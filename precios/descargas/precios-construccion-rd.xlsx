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'Catálogo'!$A$2:$AH$1611</definedName>
    <definedName name="_xlnm._FilterDatabase" localSheetId="1" hidden="1">'Comparativo'!$A$2:$S$1605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62685A"/>
      <sz val="9"/>
    </font>
  </fonts>
  <fills count="3">
    <fill>
      <patternFill/>
    </fill>
    <fill>
      <patternFill patternType="gray125"/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6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30" customWidth="1" min="34" max="34"/>
  </cols>
  <sheetData>
    <row r="1" ht="16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Alto (mm)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Categoría de cable</t>
        </is>
      </c>
      <c r="AB2" s="2" t="inlineStr">
        <is>
          <t>Largo (pies)</t>
        </is>
      </c>
      <c r="AC2" s="2" t="inlineStr">
        <is>
          <t>Capacidad (gal)</t>
        </is>
      </c>
      <c r="AD2" s="2" t="inlineStr">
        <is>
          <t>Peso (lb)</t>
        </is>
      </c>
      <c r="AE2" s="2" t="inlineStr">
        <is>
          <t>Calibre</t>
        </is>
      </c>
      <c r="AF2" s="2" t="inlineStr">
        <is>
          <t>Tamaño</t>
        </is>
      </c>
      <c r="AG2" s="2" t="inlineStr">
        <is>
          <t>Uso</t>
        </is>
      </c>
      <c r="AH2" s="2" t="inlineStr">
        <is>
          <t>Otras medidas</t>
        </is>
      </c>
    </row>
    <row r="3">
      <c r="A3" s="3" t="inlineStr">
        <is>
          <t>MAT-02-001</t>
        </is>
      </c>
      <c r="B3" s="3" t="inlineStr">
        <is>
          <t>Materiales</t>
        </is>
      </c>
      <c r="C3" s="3" t="inlineStr">
        <is>
          <t>Cemento, morteros y aditivos</t>
        </is>
      </c>
      <c r="D3" s="4" t="inlineStr">
        <is>
          <t>Cemento gris portland, funda 42.5 kg</t>
        </is>
      </c>
      <c r="E3" s="4" t="inlineStr">
        <is>
          <t>Portland mixto tipo IP, NORDOM 2</t>
        </is>
      </c>
      <c r="F3" s="3" t="inlineStr">
        <is>
          <t>funda</t>
        </is>
      </c>
      <c r="G3" s="3" t="inlineStr">
        <is>
          <t>Estructura</t>
        </is>
      </c>
      <c r="H3" s="3" t="inlineStr">
        <is>
          <t>estandar</t>
        </is>
      </c>
      <c r="I3" s="3" t="inlineStr">
        <is>
          <t>nacional</t>
        </is>
      </c>
      <c r="J3" s="5" t="n">
        <v>4</v>
      </c>
      <c r="K3" s="6" t="n">
        <v>595</v>
      </c>
      <c r="L3" s="6" t="n">
        <v>535</v>
      </c>
      <c r="M3" s="6" t="n">
        <v>655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2026-09-09</t>
        </is>
      </c>
      <c r="Q3" s="4" t="inlineStr">
        <is>
          <t>Ferremix (Grupo Alterra) · Ferretería Cima · InnovaCentro (La Innovación) · Max Ferretería</t>
        </is>
      </c>
    </row>
    <row r="4">
      <c r="A4" s="3" t="inlineStr">
        <is>
          <t>MAT-02-002</t>
        </is>
      </c>
      <c r="B4" s="3" t="inlineStr">
        <is>
          <t>Materiales</t>
        </is>
      </c>
      <c r="C4" s="3" t="inlineStr">
        <is>
          <t>Cemento, morteros y aditivos</t>
        </is>
      </c>
      <c r="D4" s="4" t="inlineStr">
        <is>
          <t>Cemento blanco, funda 25 kg</t>
        </is>
      </c>
      <c r="E4" s="4" t="inlineStr">
        <is>
          <t>Para terminación y derretido</t>
        </is>
      </c>
      <c r="F4" s="3" t="inlineStr">
        <is>
          <t>funda</t>
        </is>
      </c>
      <c r="G4" s="3" t="inlineStr">
        <is>
          <t>Terminación de superficies</t>
        </is>
      </c>
      <c r="H4" s="3" t="inlineStr">
        <is>
          <t>estandar</t>
        </is>
      </c>
      <c r="I4" s="3" t="inlineStr">
        <is>
          <t>importado</t>
        </is>
      </c>
      <c r="J4" s="5" t="n">
        <v>1</v>
      </c>
      <c r="K4" s="6" t="n">
        <v>755</v>
      </c>
      <c r="L4" s="6" t="n">
        <v>755</v>
      </c>
      <c r="M4" s="6" t="n">
        <v>755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2026-09-09</t>
        </is>
      </c>
      <c r="Q4" s="4" t="inlineStr">
        <is>
          <t>InnovaCentro (La Innovación)</t>
        </is>
      </c>
    </row>
    <row r="5">
      <c r="A5" s="3" t="inlineStr">
        <is>
          <t>MAT-02-003</t>
        </is>
      </c>
      <c r="B5" s="3" t="inlineStr">
        <is>
          <t>Materiales</t>
        </is>
      </c>
      <c r="C5" s="3" t="inlineStr">
        <is>
          <t>Cemento, morteros y aditivos</t>
        </is>
      </c>
      <c r="D5" s="4" t="inlineStr">
        <is>
          <t>Cemento blanco, funda 40 kg</t>
        </is>
      </c>
      <c r="E5" s="4" t="inlineStr"/>
      <c r="F5" s="3" t="inlineStr">
        <is>
          <t>funda</t>
        </is>
      </c>
      <c r="G5" s="3" t="inlineStr">
        <is>
          <t>Terminación de superficies</t>
        </is>
      </c>
      <c r="H5" s="3" t="inlineStr">
        <is>
          <t>estandar</t>
        </is>
      </c>
      <c r="I5" s="3" t="inlineStr">
        <is>
          <t>importado</t>
        </is>
      </c>
      <c r="J5" s="5" t="n">
        <v>4</v>
      </c>
      <c r="K5" s="6" t="n">
        <v>1295</v>
      </c>
      <c r="L5" s="6" t="n">
        <v>1130.86</v>
      </c>
      <c r="M5" s="6" t="n">
        <v>1595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2026-09-09</t>
        </is>
      </c>
      <c r="Q5" s="4" t="inlineStr">
        <is>
          <t>Ferretería Cima · Ferretería Ochoa (8A) · InnovaCentro (La Innovación) · Max Ferretería</t>
        </is>
      </c>
    </row>
    <row r="6">
      <c r="A6" s="3" t="inlineStr">
        <is>
          <t>MAT-02-004</t>
        </is>
      </c>
      <c r="B6" s="3" t="inlineStr">
        <is>
          <t>Materiales</t>
        </is>
      </c>
      <c r="C6" s="3" t="inlineStr">
        <is>
          <t>Cemento, morteros y aditivos</t>
        </is>
      </c>
      <c r="D6" s="4" t="inlineStr">
        <is>
          <t>Cal hidratada, funda 20 kg</t>
        </is>
      </c>
      <c r="E6" s="4" t="inlineStr"/>
      <c r="F6" s="3" t="inlineStr">
        <is>
          <t>funda</t>
        </is>
      </c>
      <c r="G6" s="3" t="inlineStr">
        <is>
          <t>Terminación de superficies</t>
        </is>
      </c>
      <c r="H6" s="3" t="inlineStr">
        <is>
          <t>economica</t>
        </is>
      </c>
      <c r="I6" s="3" t="inlineStr">
        <is>
          <t>nacional</t>
        </is>
      </c>
      <c r="J6" s="5" t="n">
        <v>2</v>
      </c>
      <c r="K6" s="6" t="n">
        <v>503.66</v>
      </c>
      <c r="L6" s="6" t="n">
        <v>437.31</v>
      </c>
      <c r="M6" s="6" t="n">
        <v>570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2026-09-09</t>
        </is>
      </c>
      <c r="Q6" s="4" t="inlineStr">
        <is>
          <t>Ferretería Ochoa (8A) · InnovaCentro (La Innovación)</t>
        </is>
      </c>
    </row>
    <row r="7">
      <c r="A7" s="3" t="inlineStr">
        <is>
          <t>MAT-02-005</t>
        </is>
      </c>
      <c r="B7" s="3" t="inlineStr">
        <is>
          <t>Materiales</t>
        </is>
      </c>
      <c r="C7" s="3" t="inlineStr">
        <is>
          <t>Cemento, morteros y aditivos</t>
        </is>
      </c>
      <c r="D7" s="4" t="inlineStr">
        <is>
          <t>Mortero para pegar bloques, funda 42.5 kg</t>
        </is>
      </c>
      <c r="E7" s="4" t="inlineStr">
        <is>
          <t>Predosificado</t>
        </is>
      </c>
      <c r="F7" s="3" t="inlineStr">
        <is>
          <t>funda</t>
        </is>
      </c>
      <c r="G7" s="3" t="inlineStr">
        <is>
          <t>Mampostería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345</v>
      </c>
      <c r="L7" s="6" t="n">
        <v>345</v>
      </c>
      <c r="M7" s="6" t="n">
        <v>345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2026-09-09</t>
        </is>
      </c>
      <c r="Q7" s="4" t="inlineStr">
        <is>
          <t>Ferretería Cima</t>
        </is>
      </c>
    </row>
    <row r="8">
      <c r="A8" s="3" t="inlineStr">
        <is>
          <t>MAT-02-007</t>
        </is>
      </c>
      <c r="B8" s="3" t="inlineStr">
        <is>
          <t>Materiales</t>
        </is>
      </c>
      <c r="C8" s="3" t="inlineStr">
        <is>
          <t>Cemento, morteros y aditivos</t>
        </is>
      </c>
      <c r="D8" s="4" t="inlineStr">
        <is>
          <t>Pegamento de cerámica blanco, funda 22.7 kg</t>
        </is>
      </c>
      <c r="E8" s="4" t="inlineStr">
        <is>
          <t>Para piezas claras</t>
        </is>
      </c>
      <c r="F8" s="3" t="inlineStr">
        <is>
          <t>funda</t>
        </is>
      </c>
      <c r="G8" s="3" t="inlineStr">
        <is>
          <t>Pisos</t>
        </is>
      </c>
      <c r="H8" s="3" t="inlineStr">
        <is>
          <t>estandar</t>
        </is>
      </c>
      <c r="I8" s="3" t="inlineStr">
        <is>
          <t>nacional</t>
        </is>
      </c>
      <c r="J8" s="5" t="n">
        <v>3</v>
      </c>
      <c r="K8" s="6" t="n">
        <v>825</v>
      </c>
      <c r="L8" s="6" t="n">
        <v>554.28</v>
      </c>
      <c r="M8" s="6" t="n">
        <v>1054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2026-09-09</t>
        </is>
      </c>
      <c r="Q8" s="4" t="inlineStr">
        <is>
          <t>Ferretería Ochoa (8A) · InnovaCentro (La Innovación) · Max Ferretería</t>
        </is>
      </c>
    </row>
    <row r="9">
      <c r="A9" s="3" t="inlineStr">
        <is>
          <t>MAT-02-009</t>
        </is>
      </c>
      <c r="B9" s="3" t="inlineStr">
        <is>
          <t>Materiales</t>
        </is>
      </c>
      <c r="C9" s="3" t="inlineStr">
        <is>
          <t>Cemento, morteros y aditivos</t>
        </is>
      </c>
      <c r="D9" s="4" t="inlineStr">
        <is>
          <t>Mortero predosificado de pañete, funda 42.5 kg</t>
        </is>
      </c>
      <c r="E9" s="4" t="inlineStr"/>
      <c r="F9" s="3" t="inlineStr">
        <is>
          <t>funda</t>
        </is>
      </c>
      <c r="G9" s="3" t="inlineStr">
        <is>
          <t>Terminación de superficies</t>
        </is>
      </c>
      <c r="H9" s="3" t="inlineStr">
        <is>
          <t>estandar</t>
        </is>
      </c>
      <c r="I9" s="3" t="inlineStr">
        <is>
          <t>nacional</t>
        </is>
      </c>
      <c r="J9" s="5" t="n">
        <v>4</v>
      </c>
      <c r="K9" s="6" t="n">
        <v>365</v>
      </c>
      <c r="L9" s="6" t="n">
        <v>330</v>
      </c>
      <c r="M9" s="6" t="n">
        <v>385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2026-09-09</t>
        </is>
      </c>
      <c r="Q9" s="4" t="inlineStr">
        <is>
          <t>Ferretería Cima · Ferretería Ochoa (8A) · InnovaCentro (La Innovación) · Max Ferretería</t>
        </is>
      </c>
    </row>
    <row r="10">
      <c r="A10" s="3" t="inlineStr">
        <is>
          <t>MAT-02-013</t>
        </is>
      </c>
      <c r="B10" s="3" t="inlineStr">
        <is>
          <t>Materiales</t>
        </is>
      </c>
      <c r="C10" s="3" t="inlineStr">
        <is>
          <t>Cemento, morteros y aditivos</t>
        </is>
      </c>
      <c r="D10" s="4" t="inlineStr">
        <is>
          <t>Derretido (grout) con arena, funda 5 kg</t>
        </is>
      </c>
      <c r="E10" s="4" t="inlineStr">
        <is>
          <t>Juntas de 3 mm en adelante</t>
        </is>
      </c>
      <c r="F10" s="3" t="inlineStr">
        <is>
          <t>funda</t>
        </is>
      </c>
      <c r="G10" s="3" t="inlineStr">
        <is>
          <t>Pisos</t>
        </is>
      </c>
      <c r="H10" s="3" t="inlineStr">
        <is>
          <t>estandar</t>
        </is>
      </c>
      <c r="I10" s="3" t="inlineStr">
        <is>
          <t>nacional</t>
        </is>
      </c>
      <c r="J10" s="5" t="n">
        <v>3</v>
      </c>
      <c r="K10" s="6" t="n">
        <v>505</v>
      </c>
      <c r="L10" s="6" t="n">
        <v>323.12</v>
      </c>
      <c r="M10" s="6" t="n">
        <v>525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2026-09-09</t>
        </is>
      </c>
      <c r="Q10" s="4" t="inlineStr">
        <is>
          <t>Ferretería Cima · Ferretería Ochoa (8A) · Max Ferretería</t>
        </is>
      </c>
    </row>
    <row r="11">
      <c r="A11" s="3" t="inlineStr">
        <is>
          <t>MAT-04-001</t>
        </is>
      </c>
      <c r="B11" s="3" t="inlineStr">
        <is>
          <t>Materiales</t>
        </is>
      </c>
      <c r="C11" s="3" t="inlineStr">
        <is>
          <t>Acero de refuerzo y metales</t>
        </is>
      </c>
      <c r="D11" s="4" t="inlineStr">
        <is>
          <t>Varilla corrugada 3/8" x 20 pies</t>
        </is>
      </c>
      <c r="E11" s="4" t="inlineStr">
        <is>
          <t>Grado 60 · ASTM A615 / RTD 458</t>
        </is>
      </c>
      <c r="F11" s="3" t="inlineStr">
        <is>
          <t>unidad</t>
        </is>
      </c>
      <c r="G11" s="3" t="inlineStr">
        <is>
          <t>Estructura</t>
        </is>
      </c>
      <c r="H11" s="3" t="inlineStr">
        <is>
          <t>estandar</t>
        </is>
      </c>
      <c r="I11" s="3" t="inlineStr">
        <is>
          <t>nacional</t>
        </is>
      </c>
      <c r="J11" s="5" t="n">
        <v>2</v>
      </c>
      <c r="K11" s="6" t="n">
        <v>346.38</v>
      </c>
      <c r="L11" s="6" t="n">
        <v>249.98</v>
      </c>
      <c r="M11" s="6" t="n">
        <v>442.77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2026-09-09</t>
        </is>
      </c>
      <c r="Q11" s="4" t="inlineStr">
        <is>
          <t>Ferremix (Grupo Alterra) · Ferretería MC</t>
        </is>
      </c>
    </row>
    <row r="12">
      <c r="A12" s="3" t="inlineStr">
        <is>
          <t>MAT-04-002</t>
        </is>
      </c>
      <c r="B12" s="3" t="inlineStr">
        <is>
          <t>Materiales</t>
        </is>
      </c>
      <c r="C12" s="3" t="inlineStr">
        <is>
          <t>Acero de refuerzo y metales</t>
        </is>
      </c>
      <c r="D12" s="4" t="inlineStr">
        <is>
          <t>Varilla corrugada 1/2" x 20 pies</t>
        </is>
      </c>
      <c r="E12" s="4" t="inlineStr">
        <is>
          <t>Grado 60 · ASTM A615 / RTD 458</t>
        </is>
      </c>
      <c r="F12" s="3" t="inlineStr">
        <is>
          <t>unidad</t>
        </is>
      </c>
      <c r="G12" s="3" t="inlineStr">
        <is>
          <t>Estructura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445.76</v>
      </c>
      <c r="L12" s="6" t="n">
        <v>445.76</v>
      </c>
      <c r="M12" s="6" t="n">
        <v>445.76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2026-09-09</t>
        </is>
      </c>
      <c r="Q12" s="4" t="inlineStr">
        <is>
          <t>Ferretería MC</t>
        </is>
      </c>
    </row>
    <row r="13">
      <c r="A13" s="3" t="inlineStr">
        <is>
          <t>MAT-04-004</t>
        </is>
      </c>
      <c r="B13" s="3" t="inlineStr">
        <is>
          <t>Materiales</t>
        </is>
      </c>
      <c r="C13" s="3" t="inlineStr">
        <is>
          <t>Acero de refuerzo y metales</t>
        </is>
      </c>
      <c r="D13" s="4" t="inlineStr">
        <is>
          <t>Varilla corrugada 3/4" x 20 pies</t>
        </is>
      </c>
      <c r="E13" s="4" t="inlineStr">
        <is>
          <t>Grado 60 · ASTM A615</t>
        </is>
      </c>
      <c r="F13" s="3" t="inlineStr">
        <is>
          <t>unidad</t>
        </is>
      </c>
      <c r="G13" s="3" t="inlineStr">
        <is>
          <t>Estructura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1013.49</v>
      </c>
      <c r="L13" s="6" t="n">
        <v>1013.49</v>
      </c>
      <c r="M13" s="6" t="n">
        <v>1013.49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2026-09-09</t>
        </is>
      </c>
      <c r="Q13" s="4" t="inlineStr">
        <is>
          <t>Ferretería MC</t>
        </is>
      </c>
    </row>
    <row r="14">
      <c r="A14" s="3" t="inlineStr">
        <is>
          <t>MAT-04-005</t>
        </is>
      </c>
      <c r="B14" s="3" t="inlineStr">
        <is>
          <t>Materiales</t>
        </is>
      </c>
      <c r="C14" s="3" t="inlineStr">
        <is>
          <t>Acero de refuerzo y metales</t>
        </is>
      </c>
      <c r="D14" s="4" t="inlineStr">
        <is>
          <t>Varilla corrugada 1" x 20 pies</t>
        </is>
      </c>
      <c r="E14" s="4" t="inlineStr">
        <is>
          <t>Grado 60 · ASTM A615</t>
        </is>
      </c>
      <c r="F14" s="3" t="inlineStr">
        <is>
          <t>unidad</t>
        </is>
      </c>
      <c r="G14" s="3" t="inlineStr">
        <is>
          <t>Estructura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1785.67</v>
      </c>
      <c r="L14" s="6" t="n">
        <v>1785.67</v>
      </c>
      <c r="M14" s="6" t="n">
        <v>1785.67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2026-09-09</t>
        </is>
      </c>
      <c r="Q14" s="4" t="inlineStr">
        <is>
          <t>Ferretería MC</t>
        </is>
      </c>
    </row>
    <row r="15">
      <c r="A15" s="3" t="inlineStr">
        <is>
          <t>MAT-04-008</t>
        </is>
      </c>
      <c r="B15" s="3" t="inlineStr">
        <is>
          <t>Materiales</t>
        </is>
      </c>
      <c r="C15" s="3" t="inlineStr">
        <is>
          <t>Acero de refuerzo y metales</t>
        </is>
      </c>
      <c r="D15" s="4" t="inlineStr">
        <is>
          <t>Malla electrosoldada D2.3, retícula 10 x 10, rollo</t>
        </is>
      </c>
      <c r="E15" s="4" t="inlineStr">
        <is>
          <t>Rollo 2.40 x 40 m</t>
        </is>
      </c>
      <c r="F15" s="3" t="inlineStr">
        <is>
          <t>rollo</t>
        </is>
      </c>
      <c r="G15" s="3" t="inlineStr">
        <is>
          <t>Estructura</t>
        </is>
      </c>
      <c r="H15" s="3" t="inlineStr">
        <is>
          <t>estandar</t>
        </is>
      </c>
      <c r="I15" s="3" t="inlineStr">
        <is>
          <t>nacional</t>
        </is>
      </c>
      <c r="J15" s="5" t="n">
        <v>2</v>
      </c>
      <c r="K15" s="6" t="n">
        <v>18252.92</v>
      </c>
      <c r="L15" s="6" t="n">
        <v>17130.85</v>
      </c>
      <c r="M15" s="6" t="n">
        <v>19375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2026-09-09</t>
        </is>
      </c>
      <c r="Q15" s="4" t="inlineStr">
        <is>
          <t>Ferretería MC · Ferretería Ochoa (8A)</t>
        </is>
      </c>
    </row>
    <row r="16">
      <c r="A16" s="3" t="inlineStr">
        <is>
          <t>MAT-04-011</t>
        </is>
      </c>
      <c r="B16" s="3" t="inlineStr">
        <is>
          <t>Materiales</t>
        </is>
      </c>
      <c r="C16" s="3" t="inlineStr">
        <is>
          <t>Acero de refuerzo y metales</t>
        </is>
      </c>
      <c r="D16" s="4" t="inlineStr">
        <is>
          <t>Malla electrosoldada D2.5, retícula 10 x 10, rollo</t>
        </is>
      </c>
      <c r="E16" s="4" t="inlineStr">
        <is>
          <t>Rollo 2.40 x 40 m</t>
        </is>
      </c>
      <c r="F16" s="3" t="inlineStr">
        <is>
          <t>rollo</t>
        </is>
      </c>
      <c r="G16" s="3" t="inlineStr">
        <is>
          <t>Estructura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20871.84</v>
      </c>
      <c r="L16" s="6" t="n">
        <v>20871.84</v>
      </c>
      <c r="M16" s="6" t="n">
        <v>20871.84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2026-09-09</t>
        </is>
      </c>
      <c r="Q16" s="4" t="inlineStr">
        <is>
          <t>Ferretería MC</t>
        </is>
      </c>
    </row>
    <row r="17">
      <c r="A17" s="3" t="inlineStr">
        <is>
          <t>MAT-04-014</t>
        </is>
      </c>
      <c r="B17" s="3" t="inlineStr">
        <is>
          <t>Materiales</t>
        </is>
      </c>
      <c r="C17" s="3" t="inlineStr">
        <is>
          <t>Acero de refuerzo y metales</t>
        </is>
      </c>
      <c r="D17" s="4" t="inlineStr">
        <is>
          <t>Malla electrosoldada D2.7, retícula 10 x 10, rollo</t>
        </is>
      </c>
      <c r="E17" s="4" t="inlineStr">
        <is>
          <t>Rollo 2.40 x 40 m</t>
        </is>
      </c>
      <c r="F17" s="3" t="inlineStr">
        <is>
          <t>rollo</t>
        </is>
      </c>
      <c r="G17" s="3" t="inlineStr">
        <is>
          <t>Estructura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20629.26</v>
      </c>
      <c r="L17" s="6" t="n">
        <v>20629.26</v>
      </c>
      <c r="M17" s="6" t="n">
        <v>20629.26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2026-09-09</t>
        </is>
      </c>
      <c r="Q17" s="4" t="inlineStr">
        <is>
          <t>Ferretería Ochoa (8A)</t>
        </is>
      </c>
    </row>
    <row r="18">
      <c r="A18" s="3" t="inlineStr">
        <is>
          <t>MAT-04-021</t>
        </is>
      </c>
      <c r="B18" s="3" t="inlineStr">
        <is>
          <t>Materiales</t>
        </is>
      </c>
      <c r="C18" s="3" t="inlineStr">
        <is>
          <t>Acero de refuerzo y metales</t>
        </is>
      </c>
      <c r="D18" s="4" t="inlineStr">
        <is>
          <t>Alambre galvanizado calibre 18, para varillas</t>
        </is>
      </c>
      <c r="E18" s="4" t="inlineStr"/>
      <c r="F18" s="3" t="inlineStr">
        <is>
          <t>lb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1</v>
      </c>
      <c r="K18" s="6" t="n">
        <v>62.48</v>
      </c>
      <c r="L18" s="6" t="n">
        <v>62.48</v>
      </c>
      <c r="M18" s="6" t="n">
        <v>62.48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Ferretería Ochoa (8A)</t>
        </is>
      </c>
    </row>
    <row r="19">
      <c r="A19" s="3" t="inlineStr">
        <is>
          <t>MAT-04-022</t>
        </is>
      </c>
      <c r="B19" s="3" t="inlineStr">
        <is>
          <t>Materiales</t>
        </is>
      </c>
      <c r="C19" s="3" t="inlineStr">
        <is>
          <t>Acero de refuerzo y metales</t>
        </is>
      </c>
      <c r="D19" s="4" t="inlineStr">
        <is>
          <t>Alambre galvanizado calibre 14, para encofrados</t>
        </is>
      </c>
      <c r="E19" s="4" t="inlineStr"/>
      <c r="F19" s="3" t="inlineStr">
        <is>
          <t>lb</t>
        </is>
      </c>
      <c r="G19" s="3" t="inlineStr">
        <is>
          <t>Estructura</t>
        </is>
      </c>
      <c r="H19" s="3" t="inlineStr">
        <is>
          <t>estandar</t>
        </is>
      </c>
      <c r="I19" s="3" t="inlineStr">
        <is>
          <t>nacional</t>
        </is>
      </c>
      <c r="J19" s="5" t="n">
        <v>1</v>
      </c>
      <c r="K19" s="6" t="n">
        <v>61.12</v>
      </c>
      <c r="L19" s="6" t="n">
        <v>61.12</v>
      </c>
      <c r="M19" s="6" t="n">
        <v>61.12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Ferretería Ochoa (8A)</t>
        </is>
      </c>
    </row>
    <row r="20">
      <c r="A20" s="3" t="inlineStr">
        <is>
          <t>MAT-04-023</t>
        </is>
      </c>
      <c r="B20" s="3" t="inlineStr">
        <is>
          <t>Materiales</t>
        </is>
      </c>
      <c r="C20" s="3" t="inlineStr">
        <is>
          <t>Acero de refuerzo y metales</t>
        </is>
      </c>
      <c r="D20" s="4" t="inlineStr">
        <is>
          <t>Angular 1 1/2" x 1/8" x 20 pies</t>
        </is>
      </c>
      <c r="E20" s="4" t="inlineStr">
        <is>
          <t>Perfil L de acero negro</t>
        </is>
      </c>
      <c r="F20" s="3" t="inlineStr">
        <is>
          <t>unidad</t>
        </is>
      </c>
      <c r="G20" s="3" t="inlineStr">
        <is>
          <t>Estructura</t>
        </is>
      </c>
      <c r="H20" s="3" t="inlineStr">
        <is>
          <t>estandar</t>
        </is>
      </c>
      <c r="I20" s="3" t="inlineStr">
        <is>
          <t>nacional</t>
        </is>
      </c>
      <c r="J20" s="5" t="n">
        <v>1</v>
      </c>
      <c r="K20" s="6" t="n">
        <v>861</v>
      </c>
      <c r="L20" s="6" t="n">
        <v>861</v>
      </c>
      <c r="M20" s="6" t="n">
        <v>861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Ochoa (8A)</t>
        </is>
      </c>
    </row>
    <row r="21">
      <c r="A21" s="3" t="inlineStr">
        <is>
          <t>MAT-06-002</t>
        </is>
      </c>
      <c r="B21" s="3" t="inlineStr">
        <is>
          <t>Materiales</t>
        </is>
      </c>
      <c r="C21" s="3" t="inlineStr">
        <is>
          <t>Madera y encofrado</t>
        </is>
      </c>
      <c r="D21" s="4" t="inlineStr">
        <is>
          <t>Cuartón de pino 2" x 4" x 12 pies</t>
        </is>
      </c>
      <c r="E21" s="4" t="inlineStr">
        <is>
          <t>Pino bruto</t>
        </is>
      </c>
      <c r="F21" s="3" t="inlineStr">
        <is>
          <t>unidad</t>
        </is>
      </c>
      <c r="G21" s="3" t="inlineStr">
        <is>
          <t>Estructura</t>
        </is>
      </c>
      <c r="H21" s="3" t="inlineStr">
        <is>
          <t>estandar</t>
        </is>
      </c>
      <c r="I21" s="3" t="inlineStr">
        <is>
          <t>importado</t>
        </is>
      </c>
      <c r="J21" s="5" t="n">
        <v>1</v>
      </c>
      <c r="K21" s="6" t="n">
        <v>860</v>
      </c>
      <c r="L21" s="6" t="n">
        <v>860</v>
      </c>
      <c r="M21" s="6" t="n">
        <v>860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Max Ferretería</t>
        </is>
      </c>
    </row>
    <row r="22">
      <c r="A22" s="3" t="inlineStr">
        <is>
          <t>MAT-06-005</t>
        </is>
      </c>
      <c r="B22" s="3" t="inlineStr">
        <is>
          <t>Materiales</t>
        </is>
      </c>
      <c r="C22" s="3" t="inlineStr">
        <is>
          <t>Madera y encofrado</t>
        </is>
      </c>
      <c r="D22" s="4" t="inlineStr">
        <is>
          <t>Plywood corriente 1/2", 4 x 8 pies</t>
        </is>
      </c>
      <c r="E22" s="4" t="inlineStr"/>
      <c r="F22" s="3" t="inlineStr">
        <is>
          <t>plancha</t>
        </is>
      </c>
      <c r="G22" s="3" t="inlineStr">
        <is>
          <t>Estructura</t>
        </is>
      </c>
      <c r="H22" s="3" t="inlineStr">
        <is>
          <t>economica</t>
        </is>
      </c>
      <c r="I22" s="3" t="inlineStr">
        <is>
          <t>importado</t>
        </is>
      </c>
      <c r="J22" s="5" t="n">
        <v>2</v>
      </c>
      <c r="K22" s="6" t="n">
        <v>1520</v>
      </c>
      <c r="L22" s="6" t="n">
        <v>1425</v>
      </c>
      <c r="M22" s="6" t="n">
        <v>1530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InnovaCentro (La Innovación) · Max Ferretería</t>
        </is>
      </c>
    </row>
    <row r="23">
      <c r="A23" s="3" t="inlineStr">
        <is>
          <t>MAT-06-006</t>
        </is>
      </c>
      <c r="B23" s="3" t="inlineStr">
        <is>
          <t>Materiales</t>
        </is>
      </c>
      <c r="C23" s="3" t="inlineStr">
        <is>
          <t>Madera y encofrado</t>
        </is>
      </c>
      <c r="D23" s="4" t="inlineStr">
        <is>
          <t>Plywood corriente 3/4", 4 x 8 pies</t>
        </is>
      </c>
      <c r="E23" s="4" t="inlineStr"/>
      <c r="F23" s="3" t="inlineStr">
        <is>
          <t>plancha</t>
        </is>
      </c>
      <c r="G23" s="3" t="inlineStr">
        <is>
          <t>Estructura</t>
        </is>
      </c>
      <c r="H23" s="3" t="inlineStr">
        <is>
          <t>estandar</t>
        </is>
      </c>
      <c r="I23" s="3" t="inlineStr">
        <is>
          <t>importado</t>
        </is>
      </c>
      <c r="J23" s="5" t="n">
        <v>2</v>
      </c>
      <c r="K23" s="6" t="n">
        <v>1995</v>
      </c>
      <c r="L23" s="6" t="n">
        <v>1990</v>
      </c>
      <c r="M23" s="6" t="n">
        <v>2200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InnovaCentro (La Innovación) · Max Ferretería</t>
        </is>
      </c>
    </row>
    <row r="24">
      <c r="A24" s="3" t="inlineStr">
        <is>
          <t>MAT-08-001</t>
        </is>
      </c>
      <c r="B24" s="3" t="inlineStr">
        <is>
          <t>Materiales</t>
        </is>
      </c>
      <c r="C24" s="3" t="inlineStr">
        <is>
          <t>Pisos y revestimientos</t>
        </is>
      </c>
      <c r="D24" s="4" t="inlineStr">
        <is>
          <t>Cerámica de piso, 33 x 33 cm</t>
        </is>
      </c>
      <c r="E24" s="4" t="inlineStr">
        <is>
          <t>Pasta cerámica esmaltada</t>
        </is>
      </c>
      <c r="F24" s="3" t="inlineStr">
        <is>
          <t>m²</t>
        </is>
      </c>
      <c r="G24" s="3" t="inlineStr">
        <is>
          <t>Pisos</t>
        </is>
      </c>
      <c r="H24" s="3" t="inlineStr">
        <is>
          <t>economica</t>
        </is>
      </c>
      <c r="I24" s="3" t="inlineStr">
        <is>
          <t>nacional</t>
        </is>
      </c>
      <c r="J24" s="5" t="n">
        <v>1</v>
      </c>
      <c r="K24" s="6" t="n">
        <v>764.63</v>
      </c>
      <c r="L24" s="6" t="n">
        <v>752</v>
      </c>
      <c r="M24" s="6" t="n">
        <v>1267.13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Ochoa (8A)</t>
        </is>
      </c>
      <c r="U24" s="7" t="n">
        <v>33</v>
      </c>
      <c r="W24" s="7" t="inlineStr">
        <is>
          <t>33 x 33 cm</t>
        </is>
      </c>
      <c r="AG24" s="7" t="inlineStr">
        <is>
          <t>piso</t>
        </is>
      </c>
      <c r="AH24" s="4" t="inlineStr">
        <is>
          <t>material: ceramica · ancho_cm: 33</t>
        </is>
      </c>
    </row>
    <row r="25">
      <c r="A25" s="3" t="inlineStr">
        <is>
          <t>MAT-08-002</t>
        </is>
      </c>
      <c r="B25" s="3" t="inlineStr">
        <is>
          <t>Materiales</t>
        </is>
      </c>
      <c r="C25" s="3" t="inlineStr">
        <is>
          <t>Pisos y revestimientos</t>
        </is>
      </c>
      <c r="D25" s="4" t="inlineStr">
        <is>
          <t>Cerámica de pared, 40 x 25 cm</t>
        </is>
      </c>
      <c r="E25" s="4" t="inlineStr">
        <is>
          <t>Pasta cerámica esmaltada</t>
        </is>
      </c>
      <c r="F25" s="3" t="inlineStr">
        <is>
          <t>m²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1</v>
      </c>
      <c r="K25" s="6" t="n">
        <v>1266.7</v>
      </c>
      <c r="L25" s="6" t="n">
        <v>1134.1</v>
      </c>
      <c r="M25" s="6" t="n">
        <v>1306.5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Ochoa (8A)</t>
        </is>
      </c>
      <c r="U25" s="7" t="n">
        <v>40</v>
      </c>
      <c r="W25" s="7" t="inlineStr">
        <is>
          <t>40 x 25 cm</t>
        </is>
      </c>
      <c r="AG25" s="7" t="inlineStr">
        <is>
          <t>pared</t>
        </is>
      </c>
      <c r="AH25" s="4" t="inlineStr">
        <is>
          <t>material: ceramica · ancho_cm: 25</t>
        </is>
      </c>
    </row>
    <row r="26">
      <c r="A26" s="3" t="inlineStr">
        <is>
          <t>MAT-08-003</t>
        </is>
      </c>
      <c r="B26" s="3" t="inlineStr">
        <is>
          <t>Materiales</t>
        </is>
      </c>
      <c r="C26" s="3" t="inlineStr">
        <is>
          <t>Pisos y revestimientos</t>
        </is>
      </c>
      <c r="D26" s="4" t="inlineStr">
        <is>
          <t>Porcelanato de piso, 60 x 60 cm</t>
        </is>
      </c>
      <c r="E26" s="4" t="inlineStr">
        <is>
          <t>Gres porcelánico</t>
        </is>
      </c>
      <c r="F26" s="3" t="inlineStr">
        <is>
          <t>m²</t>
        </is>
      </c>
      <c r="G26" s="3" t="inlineStr">
        <is>
          <t>Pisos</t>
        </is>
      </c>
      <c r="H26" s="3" t="inlineStr">
        <is>
          <t>estandar</t>
        </is>
      </c>
      <c r="I26" s="3" t="inlineStr">
        <is>
          <t>importado</t>
        </is>
      </c>
      <c r="J26" s="5" t="n">
        <v>1</v>
      </c>
      <c r="K26" s="6" t="n">
        <v>1106.42</v>
      </c>
      <c r="L26" s="6" t="n">
        <v>528.71</v>
      </c>
      <c r="M26" s="6" t="n">
        <v>2113.9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Ferretería Ochoa (8A)</t>
        </is>
      </c>
      <c r="U26" s="7" t="n">
        <v>60</v>
      </c>
      <c r="W26" s="7" t="inlineStr">
        <is>
          <t>60 x 60 cm</t>
        </is>
      </c>
      <c r="AG26" s="7" t="inlineStr">
        <is>
          <t>piso</t>
        </is>
      </c>
      <c r="AH26" s="4" t="inlineStr">
        <is>
          <t>material: porcelanato · ancho_cm: 60</t>
        </is>
      </c>
    </row>
    <row r="27">
      <c r="A27" s="3" t="inlineStr">
        <is>
          <t>MAT-32-001</t>
        </is>
      </c>
      <c r="B27" s="3" t="inlineStr">
        <is>
          <t>Materiales</t>
        </is>
      </c>
      <c r="C27" s="3" t="inlineStr">
        <is>
          <t>Tubería y conexiones</t>
        </is>
      </c>
      <c r="D27" s="4" t="inlineStr">
        <is>
          <t>Tubo PVC drenaje 4" x 19 pies</t>
        </is>
      </c>
      <c r="E27" s="4" t="inlineStr">
        <is>
          <t>SDR-41 sanitario</t>
        </is>
      </c>
      <c r="F27" s="3" t="inlineStr">
        <is>
          <t>tubo</t>
        </is>
      </c>
      <c r="G27" s="3" t="inlineStr">
        <is>
          <t>Instalaciones</t>
        </is>
      </c>
      <c r="H27" s="3" t="inlineStr">
        <is>
          <t>estandar</t>
        </is>
      </c>
      <c r="I27" s="3" t="inlineStr">
        <is>
          <t>nacional</t>
        </is>
      </c>
      <c r="J27" s="5" t="n">
        <v>3</v>
      </c>
      <c r="K27" s="6" t="n">
        <v>1494.58</v>
      </c>
      <c r="L27" s="6" t="n">
        <v>1125</v>
      </c>
      <c r="M27" s="6" t="n">
        <v>1695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Cima · Ferretería Ochoa (8A) · Max Ferretería</t>
        </is>
      </c>
    </row>
    <row r="28">
      <c r="A28" s="3" t="inlineStr">
        <is>
          <t>MAT-32-002</t>
        </is>
      </c>
      <c r="B28" s="3" t="inlineStr">
        <is>
          <t>Materiales</t>
        </is>
      </c>
      <c r="C28" s="3" t="inlineStr">
        <is>
          <t>Tubería y conexiones</t>
        </is>
      </c>
      <c r="D28" s="4" t="inlineStr">
        <is>
          <t>Tubo PVC drenaje 2" x 19 pies</t>
        </is>
      </c>
      <c r="E28" s="4" t="inlineStr">
        <is>
          <t>SDR-41 sanitario</t>
        </is>
      </c>
      <c r="F28" s="3" t="inlineStr">
        <is>
          <t>tubo</t>
        </is>
      </c>
      <c r="G28" s="3" t="inlineStr">
        <is>
          <t>Instalaciones</t>
        </is>
      </c>
      <c r="H28" s="3" t="inlineStr">
        <is>
          <t>estandar</t>
        </is>
      </c>
      <c r="I28" s="3" t="inlineStr">
        <is>
          <t>nacional</t>
        </is>
      </c>
      <c r="J28" s="5" t="n">
        <v>3</v>
      </c>
      <c r="K28" s="6" t="n">
        <v>503.78</v>
      </c>
      <c r="L28" s="6" t="n">
        <v>350</v>
      </c>
      <c r="M28" s="6" t="n">
        <v>595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Cima · Ferretería Ochoa (8A) · Max Ferretería</t>
        </is>
      </c>
    </row>
    <row r="29">
      <c r="A29" s="3" t="inlineStr">
        <is>
          <t>MAT-32-003</t>
        </is>
      </c>
      <c r="B29" s="3" t="inlineStr">
        <is>
          <t>Materiales</t>
        </is>
      </c>
      <c r="C29" s="3" t="inlineStr">
        <is>
          <t>Tubería y conexiones</t>
        </is>
      </c>
      <c r="D29" s="4" t="inlineStr">
        <is>
          <t>Tubo PVC drenaje 6" x 19 pies</t>
        </is>
      </c>
      <c r="E29" s="4" t="inlineStr">
        <is>
          <t>SDR-41 sanitario</t>
        </is>
      </c>
      <c r="F29" s="3" t="inlineStr">
        <is>
          <t>tubo</t>
        </is>
      </c>
      <c r="G29" s="3" t="inlineStr">
        <is>
          <t>Instalaciones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2900</v>
      </c>
      <c r="L29" s="6" t="n">
        <v>2900</v>
      </c>
      <c r="M29" s="6" t="n">
        <v>2900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Max Ferretería</t>
        </is>
      </c>
    </row>
    <row r="30">
      <c r="A30" s="3" t="inlineStr">
        <is>
          <t>MAT-32-004</t>
        </is>
      </c>
      <c r="B30" s="3" t="inlineStr">
        <is>
          <t>Materiales</t>
        </is>
      </c>
      <c r="C30" s="3" t="inlineStr">
        <is>
          <t>Tubería y conexiones</t>
        </is>
      </c>
      <c r="D30" s="4" t="inlineStr">
        <is>
          <t>Tubo PVC presión 1/2" SCH-40 x 19 pies</t>
        </is>
      </c>
      <c r="E30" s="4" t="inlineStr">
        <is>
          <t>Agua fría a presión</t>
        </is>
      </c>
      <c r="F30" s="3" t="inlineStr">
        <is>
          <t>tubo</t>
        </is>
      </c>
      <c r="G30" s="3" t="inlineStr">
        <is>
          <t>Instalaciones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245.01</v>
      </c>
      <c r="L30" s="6" t="n">
        <v>175.01</v>
      </c>
      <c r="M30" s="6" t="n">
        <v>315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Cima · Max Ferretería</t>
        </is>
      </c>
    </row>
    <row r="31">
      <c r="A31" s="3" t="inlineStr">
        <is>
          <t>MAT-32-006</t>
        </is>
      </c>
      <c r="B31" s="3" t="inlineStr">
        <is>
          <t>Materiales</t>
        </is>
      </c>
      <c r="C31" s="3" t="inlineStr">
        <is>
          <t>Tubería y conexiones</t>
        </is>
      </c>
      <c r="D31" s="4" t="inlineStr">
        <is>
          <t>Codo PVC 90° de 4"</t>
        </is>
      </c>
      <c r="E31" s="4" t="inlineStr">
        <is>
          <t>Drenaje sanitario</t>
        </is>
      </c>
      <c r="F31" s="3" t="inlineStr">
        <is>
          <t>unidad</t>
        </is>
      </c>
      <c r="G31" s="3" t="inlineStr">
        <is>
          <t>Instalaciones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165</v>
      </c>
      <c r="L31" s="6" t="n">
        <v>165</v>
      </c>
      <c r="M31" s="6" t="n">
        <v>165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Cima</t>
        </is>
      </c>
    </row>
    <row r="32">
      <c r="A32" s="3" t="inlineStr">
        <is>
          <t>MAT-09-001</t>
        </is>
      </c>
      <c r="B32" s="3" t="inlineStr">
        <is>
          <t>Materiales</t>
        </is>
      </c>
      <c r="C32" s="3" t="inlineStr">
        <is>
          <t>Plomería, sanitarios y gas</t>
        </is>
      </c>
      <c r="D32" s="4" t="inlineStr">
        <is>
          <t>Inodoro de una pieza, gama económica</t>
        </is>
      </c>
      <c r="E32" s="4" t="inlineStr">
        <is>
          <t>Con asiento y accesorios</t>
        </is>
      </c>
      <c r="F32" s="3" t="inlineStr">
        <is>
          <t>unidad</t>
        </is>
      </c>
      <c r="G32" s="3" t="inlineStr">
        <is>
          <t>Instalaciones</t>
        </is>
      </c>
      <c r="H32" s="3" t="inlineStr">
        <is>
          <t>economica</t>
        </is>
      </c>
      <c r="I32" s="3" t="inlineStr">
        <is>
          <t>importado</t>
        </is>
      </c>
      <c r="J32" s="5" t="n">
        <v>1</v>
      </c>
      <c r="K32" s="6" t="n">
        <v>6107.2</v>
      </c>
      <c r="L32" s="6" t="n">
        <v>6107.2</v>
      </c>
      <c r="M32" s="6" t="n">
        <v>6107.2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2026-09-08</t>
        </is>
      </c>
      <c r="Q32" s="4" t="inlineStr">
        <is>
          <t>Ferretería Ochoa (8A)</t>
        </is>
      </c>
    </row>
    <row r="33">
      <c r="A33" s="3" t="inlineStr">
        <is>
          <t>MAT-10-001</t>
        </is>
      </c>
      <c r="B33" s="3" t="inlineStr">
        <is>
          <t>Materiales</t>
        </is>
      </c>
      <c r="C33" s="3" t="inlineStr">
        <is>
          <t>Electricidad e iluminación</t>
        </is>
      </c>
      <c r="D33" s="4" t="inlineStr">
        <is>
          <t>Cable THHN #12, rollo 100 pies</t>
        </is>
      </c>
      <c r="E33" s="4" t="inlineStr">
        <is>
          <t>Cobre · 600 V</t>
        </is>
      </c>
      <c r="F33" s="3" t="inlineStr">
        <is>
          <t>rollo</t>
        </is>
      </c>
      <c r="G33" s="3" t="inlineStr">
        <is>
          <t>Instalaciones</t>
        </is>
      </c>
      <c r="H33" s="3" t="inlineStr">
        <is>
          <t>estandar</t>
        </is>
      </c>
      <c r="I33" s="3" t="inlineStr">
        <is>
          <t>importado</t>
        </is>
      </c>
      <c r="J33" s="5" t="n">
        <v>1</v>
      </c>
      <c r="K33" s="6" t="n">
        <v>1614.24</v>
      </c>
      <c r="L33" s="6" t="n">
        <v>1614.24</v>
      </c>
      <c r="M33" s="6" t="n">
        <v>1614.24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MC</t>
        </is>
      </c>
    </row>
    <row r="34">
      <c r="A34" s="3" t="inlineStr">
        <is>
          <t>MAT-10-002</t>
        </is>
      </c>
      <c r="B34" s="3" t="inlineStr">
        <is>
          <t>Materiales</t>
        </is>
      </c>
      <c r="C34" s="3" t="inlineStr">
        <is>
          <t>Electricidad e iluminación</t>
        </is>
      </c>
      <c r="D34" s="4" t="inlineStr">
        <is>
          <t>Cable THHN #10, rollo 100 pies</t>
        </is>
      </c>
      <c r="E34" s="4" t="inlineStr">
        <is>
          <t>Cobre · 600 V</t>
        </is>
      </c>
      <c r="F34" s="3" t="inlineStr">
        <is>
          <t>rollo</t>
        </is>
      </c>
      <c r="G34" s="3" t="inlineStr">
        <is>
          <t>Instalaciones</t>
        </is>
      </c>
      <c r="H34" s="3" t="inlineStr">
        <is>
          <t>estandar</t>
        </is>
      </c>
      <c r="I34" s="3" t="inlineStr">
        <is>
          <t>importado</t>
        </is>
      </c>
      <c r="J34" s="5" t="n">
        <v>1</v>
      </c>
      <c r="K34" s="6" t="n">
        <v>2560.6</v>
      </c>
      <c r="L34" s="6" t="n">
        <v>2560.6</v>
      </c>
      <c r="M34" s="6" t="n">
        <v>2560.6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MC</t>
        </is>
      </c>
    </row>
    <row r="35">
      <c r="A35" s="3" t="inlineStr">
        <is>
          <t>MAT-10-003</t>
        </is>
      </c>
      <c r="B35" s="3" t="inlineStr">
        <is>
          <t>Materiales</t>
        </is>
      </c>
      <c r="C35" s="3" t="inlineStr">
        <is>
          <t>Electricidad e iluminación</t>
        </is>
      </c>
      <c r="D35" s="4" t="inlineStr">
        <is>
          <t>Cable THHN #8, rollo 100 pies</t>
        </is>
      </c>
      <c r="E35" s="4" t="inlineStr">
        <is>
          <t>Cobre · 600 V</t>
        </is>
      </c>
      <c r="F35" s="3" t="inlineStr">
        <is>
          <t>rollo</t>
        </is>
      </c>
      <c r="G35" s="3" t="inlineStr">
        <is>
          <t>Instalaciones</t>
        </is>
      </c>
      <c r="H35" s="3" t="inlineStr">
        <is>
          <t>estandar</t>
        </is>
      </c>
      <c r="I35" s="3" t="inlineStr">
        <is>
          <t>importado</t>
        </is>
      </c>
      <c r="J35" s="5" t="n">
        <v>1</v>
      </c>
      <c r="K35" s="6" t="n">
        <v>4092.24</v>
      </c>
      <c r="L35" s="6" t="n">
        <v>4092.24</v>
      </c>
      <c r="M35" s="6" t="n">
        <v>4092.24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MC</t>
        </is>
      </c>
    </row>
    <row r="36">
      <c r="A36" s="3" t="inlineStr">
        <is>
          <t>MAT-10-004</t>
        </is>
      </c>
      <c r="B36" s="3" t="inlineStr">
        <is>
          <t>Materiales</t>
        </is>
      </c>
      <c r="C36" s="3" t="inlineStr">
        <is>
          <t>Electricidad e iluminación</t>
        </is>
      </c>
      <c r="D36" s="4" t="inlineStr">
        <is>
          <t>Tubo EMT 1/2" x 10 pies</t>
        </is>
      </c>
      <c r="E36" s="4" t="inlineStr"/>
      <c r="F36" s="3" t="inlineStr">
        <is>
          <t>tubo</t>
        </is>
      </c>
      <c r="G36" s="3" t="inlineStr">
        <is>
          <t>Instalaciones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194.99</v>
      </c>
      <c r="L36" s="6" t="n">
        <v>194.99</v>
      </c>
      <c r="M36" s="6" t="n">
        <v>194.99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MAT-10-007</t>
        </is>
      </c>
      <c r="B37" s="3" t="inlineStr">
        <is>
          <t>Materiales</t>
        </is>
      </c>
      <c r="C37" s="3" t="inlineStr">
        <is>
          <t>Electricidad e iluminación</t>
        </is>
      </c>
      <c r="D37" s="4" t="inlineStr">
        <is>
          <t>Tomacorriente doble polarizado</t>
        </is>
      </c>
      <c r="E37" s="4" t="inlineStr">
        <is>
          <t>15 A, con placa</t>
        </is>
      </c>
      <c r="F37" s="3" t="inlineStr">
        <is>
          <t>unidad</t>
        </is>
      </c>
      <c r="G37" s="3" t="inlineStr">
        <is>
          <t>Instalaciones</t>
        </is>
      </c>
      <c r="H37" s="3" t="inlineStr">
        <is>
          <t>estandar</t>
        </is>
      </c>
      <c r="I37" s="3" t="inlineStr">
        <is>
          <t>importado</t>
        </is>
      </c>
      <c r="J37" s="5" t="n">
        <v>1</v>
      </c>
      <c r="K37" s="6" t="n">
        <v>194.99</v>
      </c>
      <c r="L37" s="6" t="n">
        <v>30</v>
      </c>
      <c r="M37" s="6" t="n">
        <v>880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Max Ferretería</t>
        </is>
      </c>
    </row>
    <row r="38">
      <c r="A38" s="3" t="inlineStr">
        <is>
          <t>MAT-10-008</t>
        </is>
      </c>
      <c r="B38" s="3" t="inlineStr">
        <is>
          <t>Materiales</t>
        </is>
      </c>
      <c r="C38" s="3" t="inlineStr">
        <is>
          <t>Electricidad e iluminación</t>
        </is>
      </c>
      <c r="D38" s="4" t="inlineStr">
        <is>
          <t>Interruptor sencillo</t>
        </is>
      </c>
      <c r="E38" s="4" t="inlineStr">
        <is>
          <t>Con placa</t>
        </is>
      </c>
      <c r="F38" s="3" t="inlineStr">
        <is>
          <t>unidad</t>
        </is>
      </c>
      <c r="G38" s="3" t="inlineStr">
        <is>
          <t>Instalaciones</t>
        </is>
      </c>
      <c r="H38" s="3" t="inlineStr">
        <is>
          <t>estandar</t>
        </is>
      </c>
      <c r="I38" s="3" t="inlineStr">
        <is>
          <t>importado</t>
        </is>
      </c>
      <c r="J38" s="5" t="n">
        <v>1</v>
      </c>
      <c r="K38" s="6" t="n">
        <v>230</v>
      </c>
      <c r="L38" s="6" t="n">
        <v>115</v>
      </c>
      <c r="M38" s="6" t="n">
        <v>3840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Max Ferretería</t>
        </is>
      </c>
    </row>
    <row r="39">
      <c r="A39" s="3" t="inlineStr">
        <is>
          <t>MAT-10-009</t>
        </is>
      </c>
      <c r="B39" s="3" t="inlineStr">
        <is>
          <t>Materiales</t>
        </is>
      </c>
      <c r="C39" s="3" t="inlineStr">
        <is>
          <t>Electricidad e iluminación</t>
        </is>
      </c>
      <c r="D39" s="4" t="inlineStr">
        <is>
          <t>Breaker enchufable 20 A</t>
        </is>
      </c>
      <c r="E39" s="4" t="inlineStr">
        <is>
          <t>1 polo, marca de línea</t>
        </is>
      </c>
      <c r="F39" s="3" t="inlineStr">
        <is>
          <t>unidad</t>
        </is>
      </c>
      <c r="G39" s="3" t="inlineStr">
        <is>
          <t>Instalaciones</t>
        </is>
      </c>
      <c r="H39" s="3" t="inlineStr">
        <is>
          <t>estandar</t>
        </is>
      </c>
      <c r="I39" s="3" t="inlineStr">
        <is>
          <t>importado</t>
        </is>
      </c>
      <c r="J39" s="5" t="n">
        <v>2</v>
      </c>
      <c r="K39" s="6" t="n">
        <v>472.72</v>
      </c>
      <c r="L39" s="6" t="n">
        <v>155</v>
      </c>
      <c r="M39" s="6" t="n">
        <v>480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 · Max Ferretería</t>
        </is>
      </c>
    </row>
    <row r="40">
      <c r="A40" s="3" t="inlineStr">
        <is>
          <t>MAT-13-001</t>
        </is>
      </c>
      <c r="B40" s="3" t="inlineStr">
        <is>
          <t>Materiales</t>
        </is>
      </c>
      <c r="C40" s="3" t="inlineStr">
        <is>
          <t>Plafones y construcción liviana</t>
        </is>
      </c>
      <c r="D40" s="4" t="inlineStr">
        <is>
          <t>Plancha de yeso regular 1/2", 4 x 8 pies</t>
        </is>
      </c>
      <c r="E40" s="4" t="inlineStr">
        <is>
          <t>Sheetrock estándar</t>
        </is>
      </c>
      <c r="F40" s="3" t="inlineStr">
        <is>
          <t>plancha</t>
        </is>
      </c>
      <c r="G40" s="3" t="inlineStr">
        <is>
          <t>Terminación de superficies</t>
        </is>
      </c>
      <c r="H40" s="3" t="inlineStr">
        <is>
          <t>estandar</t>
        </is>
      </c>
      <c r="I40" s="3" t="inlineStr">
        <is>
          <t>nacional</t>
        </is>
      </c>
      <c r="J40" s="5" t="n">
        <v>2</v>
      </c>
      <c r="K40" s="6" t="n">
        <v>925.59</v>
      </c>
      <c r="L40" s="6" t="n">
        <v>895</v>
      </c>
      <c r="M40" s="6" t="n">
        <v>956.17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 · InnovaCentro (La Innovación)</t>
        </is>
      </c>
    </row>
    <row r="41">
      <c r="A41" s="3" t="inlineStr">
        <is>
          <t>MAT-13-006</t>
        </is>
      </c>
      <c r="B41" s="3" t="inlineStr">
        <is>
          <t>Materiales</t>
        </is>
      </c>
      <c r="C41" s="3" t="inlineStr">
        <is>
          <t>Plafones y construcción liviana</t>
        </is>
      </c>
      <c r="D41" s="4" t="inlineStr">
        <is>
          <t>Plafón acústico 2 x 2 pies</t>
        </is>
      </c>
      <c r="E41" s="4" t="inlineStr">
        <is>
          <t>Fibra mineral, con suspensión aparte</t>
        </is>
      </c>
      <c r="F41" s="3" t="inlineStr">
        <is>
          <t>plancha</t>
        </is>
      </c>
      <c r="G41" s="3" t="inlineStr">
        <is>
          <t>Terminación de superficies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595</v>
      </c>
      <c r="L41" s="6" t="n">
        <v>595</v>
      </c>
      <c r="M41" s="6" t="n">
        <v>595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InnovaCentro (La Innovación)</t>
        </is>
      </c>
    </row>
    <row r="42">
      <c r="A42" s="3" t="inlineStr">
        <is>
          <t>MOS-04-001</t>
        </is>
      </c>
      <c r="B42" s="3" t="inlineStr">
        <is>
          <t>Mano de obra y servicios</t>
        </is>
      </c>
      <c r="C42" s="3" t="inlineStr">
        <is>
          <t>Trámites y permisos</t>
        </is>
      </c>
      <c r="D42" s="4" t="inlineStr">
        <is>
          <t>Licencia de construcción (MOPC)</t>
        </is>
      </c>
      <c r="E42" s="4" t="inlineStr">
        <is>
          <t>Se liquida según el tarifario oficial vigente y el costo de la obra</t>
        </is>
      </c>
      <c r="F42" s="3" t="inlineStr">
        <is>
          <t>ajuste</t>
        </is>
      </c>
      <c r="G42" s="3" t="inlineStr">
        <is>
          <t>Preliminares</t>
        </is>
      </c>
      <c r="H42" s="3" t="inlineStr">
        <is>
          <t>estandar</t>
        </is>
      </c>
      <c r="I42" s="3" t="inlineStr">
        <is>
          <t>nacional</t>
        </is>
      </c>
      <c r="J42" s="5" t="n">
        <v>0</v>
      </c>
      <c r="K42" s="6" t="n"/>
      <c r="L42" s="6" t="n"/>
      <c r="M42" s="6" t="n"/>
      <c r="N42" s="3" t="inlineStr">
        <is>
          <t>No</t>
        </is>
      </c>
      <c r="O42" s="6">
        <f>IF(K42="","",IF(N42="Sí",ROUND(K42/1.18,2),K42))</f>
        <v/>
      </c>
      <c r="P42" s="3" t="inlineStr">
        <is>
          <t>2026-09</t>
        </is>
      </c>
      <c r="Q42" s="4" t="inlineStr"/>
    </row>
    <row r="43">
      <c r="A43" s="3" t="inlineStr">
        <is>
          <t>MOS-04-002</t>
        </is>
      </c>
      <c r="B43" s="3" t="inlineStr">
        <is>
          <t>Mano de obra y servicios</t>
        </is>
      </c>
      <c r="C43" s="3" t="inlineStr">
        <is>
          <t>Trámites y permisos</t>
        </is>
      </c>
      <c r="D43" s="4" t="inlineStr">
        <is>
          <t>Permiso municipal / uso de suelo</t>
        </is>
      </c>
      <c r="E43" s="4" t="inlineStr">
        <is>
          <t>Según ayuntamiento correspondiente</t>
        </is>
      </c>
      <c r="F43" s="3" t="inlineStr">
        <is>
          <t>ajuste</t>
        </is>
      </c>
      <c r="G43" s="3" t="inlineStr">
        <is>
          <t>Preliminares</t>
        </is>
      </c>
      <c r="H43" s="3" t="inlineStr">
        <is>
          <t>estandar</t>
        </is>
      </c>
      <c r="I43" s="3" t="inlineStr">
        <is>
          <t>nacional</t>
        </is>
      </c>
      <c r="J43" s="5" t="n">
        <v>0</v>
      </c>
      <c r="K43" s="6" t="n"/>
      <c r="L43" s="6" t="n"/>
      <c r="M43" s="6" t="n"/>
      <c r="N43" s="3" t="inlineStr">
        <is>
          <t>No</t>
        </is>
      </c>
      <c r="O43" s="6">
        <f>IF(K43="","",IF(N43="Sí",ROUND(K43/1.18,2),K43))</f>
        <v/>
      </c>
      <c r="P43" s="3" t="inlineStr">
        <is>
          <t>2026-09</t>
        </is>
      </c>
      <c r="Q43" s="4" t="inlineStr"/>
    </row>
    <row r="44">
      <c r="A44" s="3" t="inlineStr">
        <is>
          <t>MOS-04-003</t>
        </is>
      </c>
      <c r="B44" s="3" t="inlineStr">
        <is>
          <t>Mano de obra y servicios</t>
        </is>
      </c>
      <c r="C44" s="3" t="inlineStr">
        <is>
          <t>Trámites y permisos</t>
        </is>
      </c>
      <c r="D44" s="4" t="inlineStr">
        <is>
          <t>No objeción de Medio Ambiente</t>
        </is>
      </c>
      <c r="E44" s="4" t="inlineStr">
        <is>
          <t>Aplica según tipo y escala del proyecto</t>
        </is>
      </c>
      <c r="F44" s="3" t="inlineStr">
        <is>
          <t>ajuste</t>
        </is>
      </c>
      <c r="G44" s="3" t="inlineStr">
        <is>
          <t>Preliminares</t>
        </is>
      </c>
      <c r="H44" s="3" t="inlineStr">
        <is>
          <t>estandar</t>
        </is>
      </c>
      <c r="I44" s="3" t="inlineStr">
        <is>
          <t>nacional</t>
        </is>
      </c>
      <c r="J44" s="5" t="n">
        <v>0</v>
      </c>
      <c r="K44" s="6" t="n"/>
      <c r="L44" s="6" t="n"/>
      <c r="M44" s="6" t="n"/>
      <c r="N44" s="3" t="inlineStr">
        <is>
          <t>No</t>
        </is>
      </c>
      <c r="O44" s="6">
        <f>IF(K44="","",IF(N44="Sí",ROUND(K44/1.18,2),K44))</f>
        <v/>
      </c>
      <c r="P44" s="3" t="inlineStr">
        <is>
          <t>2026-09</t>
        </is>
      </c>
      <c r="Q44" s="4" t="inlineStr"/>
    </row>
    <row r="45">
      <c r="A45" s="3" t="inlineStr">
        <is>
          <t>MOS-04-004</t>
        </is>
      </c>
      <c r="B45" s="3" t="inlineStr">
        <is>
          <t>Mano de obra y servicios</t>
        </is>
      </c>
      <c r="C45" s="3" t="inlineStr">
        <is>
          <t>Trámites y permisos</t>
        </is>
      </c>
      <c r="D45" s="4" t="inlineStr">
        <is>
          <t>Conexión de agua (CAASD / INAPA)</t>
        </is>
      </c>
      <c r="E45" s="4" t="inlineStr">
        <is>
          <t>Según diámetro de acometida y zona</t>
        </is>
      </c>
      <c r="F45" s="3" t="inlineStr">
        <is>
          <t>ajuste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0</v>
      </c>
      <c r="K45" s="6" t="n"/>
      <c r="L45" s="6" t="n"/>
      <c r="M45" s="6" t="n"/>
      <c r="N45" s="3" t="inlineStr">
        <is>
          <t>No</t>
        </is>
      </c>
      <c r="O45" s="6">
        <f>IF(K45="","",IF(N45="Sí",ROUND(K45/1.18,2),K45))</f>
        <v/>
      </c>
      <c r="P45" s="3" t="inlineStr">
        <is>
          <t>2026-09</t>
        </is>
      </c>
      <c r="Q45" s="4" t="inlineStr"/>
    </row>
    <row r="46">
      <c r="A46" s="3" t="inlineStr">
        <is>
          <t>MOS-04-005</t>
        </is>
      </c>
      <c r="B46" s="3" t="inlineStr">
        <is>
          <t>Mano de obra y servicios</t>
        </is>
      </c>
      <c r="C46" s="3" t="inlineStr">
        <is>
          <t>Trámites y permisos</t>
        </is>
      </c>
      <c r="D46" s="4" t="inlineStr">
        <is>
          <t>Conexión eléctrica (distribuidora)</t>
        </is>
      </c>
      <c r="E46" s="4" t="inlineStr">
        <is>
          <t>Según carga contratada</t>
        </is>
      </c>
      <c r="F46" s="3" t="inlineStr">
        <is>
          <t>ajuste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0</v>
      </c>
      <c r="K46" s="6" t="n"/>
      <c r="L46" s="6" t="n"/>
      <c r="M46" s="6" t="n"/>
      <c r="N46" s="3" t="inlineStr">
        <is>
          <t>No</t>
        </is>
      </c>
      <c r="O46" s="6">
        <f>IF(K46="","",IF(N46="Sí",ROUND(K46/1.18,2),K46))</f>
        <v/>
      </c>
      <c r="P46" s="3" t="inlineStr">
        <is>
          <t>2026-09</t>
        </is>
      </c>
      <c r="Q46" s="4" t="inlineStr"/>
    </row>
    <row r="47">
      <c r="A47" s="3" t="inlineStr">
        <is>
          <t>MOS-04-006</t>
        </is>
      </c>
      <c r="B47" s="3" t="inlineStr">
        <is>
          <t>Mano de obra y servicios</t>
        </is>
      </c>
      <c r="C47" s="3" t="inlineStr">
        <is>
          <t>Trámites y permisos</t>
        </is>
      </c>
      <c r="D47" s="4" t="inlineStr">
        <is>
          <t>Aprobación del Cuerpo de Bomberos</t>
        </is>
      </c>
      <c r="E47" s="4" t="inlineStr">
        <is>
          <t>Sistemas de detección y extinción</t>
        </is>
      </c>
      <c r="F47" s="3" t="inlineStr">
        <is>
          <t>ajuste</t>
        </is>
      </c>
      <c r="G47" s="3" t="inlineStr">
        <is>
          <t>Preliminares</t>
        </is>
      </c>
      <c r="H47" s="3" t="inlineStr">
        <is>
          <t>estandar</t>
        </is>
      </c>
      <c r="I47" s="3" t="inlineStr">
        <is>
          <t>nacional</t>
        </is>
      </c>
      <c r="J47" s="5" t="n">
        <v>0</v>
      </c>
      <c r="K47" s="6" t="n"/>
      <c r="L47" s="6" t="n"/>
      <c r="M47" s="6" t="n"/>
      <c r="N47" s="3" t="inlineStr">
        <is>
          <t>No</t>
        </is>
      </c>
      <c r="O47" s="6">
        <f>IF(K47="","",IF(N47="Sí",ROUND(K47/1.18,2),K47))</f>
        <v/>
      </c>
      <c r="P47" s="3" t="inlineStr">
        <is>
          <t>2026-09</t>
        </is>
      </c>
      <c r="Q47" s="4" t="inlineStr"/>
    </row>
    <row r="48">
      <c r="A48" s="3" t="inlineStr">
        <is>
          <t>EQU-04-006</t>
        </is>
      </c>
      <c r="B48" s="3" t="inlineStr">
        <is>
          <t>Equipos y maquinaria</t>
        </is>
      </c>
      <c r="C48" s="3" t="inlineStr">
        <is>
          <t>Herramientas y equipo menor</t>
        </is>
      </c>
      <c r="D48" s="4" t="inlineStr">
        <is>
          <t>Brocha de 1"</t>
        </is>
      </c>
      <c r="E48" s="4" t="inlineStr"/>
      <c r="F48" s="3" t="inlineStr">
        <is>
          <t>unidad</t>
        </is>
      </c>
      <c r="G48" s="3" t="inlineStr">
        <is>
          <t>Terminación de superficies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85.88</v>
      </c>
      <c r="L48" s="6" t="n">
        <v>85.88</v>
      </c>
      <c r="M48" s="6" t="n">
        <v>85.88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Tonos y Colores</t>
        </is>
      </c>
      <c r="AH48" s="4" t="inlineStr">
        <is>
          <t>tipo: brocha · medida_pulg: 1</t>
        </is>
      </c>
    </row>
    <row r="49">
      <c r="A49" s="3" t="inlineStr">
        <is>
          <t>EQU-04-007</t>
        </is>
      </c>
      <c r="B49" s="3" t="inlineStr">
        <is>
          <t>Equipos y maquinaria</t>
        </is>
      </c>
      <c r="C49" s="3" t="inlineStr">
        <is>
          <t>Herramientas y equipo menor</t>
        </is>
      </c>
      <c r="D49" s="4" t="inlineStr">
        <is>
          <t>Brocha de 1 1/2"</t>
        </is>
      </c>
      <c r="E49" s="4" t="inlineStr"/>
      <c r="F49" s="3" t="inlineStr">
        <is>
          <t>unidad</t>
        </is>
      </c>
      <c r="G49" s="3" t="inlineStr">
        <is>
          <t>Terminación de superficies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75.15000000000001</v>
      </c>
      <c r="L49" s="6" t="n">
        <v>75.15000000000001</v>
      </c>
      <c r="M49" s="6" t="n">
        <v>75.15000000000001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Tonos y Colores</t>
        </is>
      </c>
      <c r="AH49" s="4" t="inlineStr">
        <is>
          <t>tipo: brocha · medida_pulg: 1 1/2</t>
        </is>
      </c>
    </row>
    <row r="50">
      <c r="A50" s="3" t="inlineStr">
        <is>
          <t>EQU-04-008</t>
        </is>
      </c>
      <c r="B50" s="3" t="inlineStr">
        <is>
          <t>Equipos y maquinaria</t>
        </is>
      </c>
      <c r="C50" s="3" t="inlineStr">
        <is>
          <t>Herramientas y equipo menor</t>
        </is>
      </c>
      <c r="D50" s="4" t="inlineStr">
        <is>
          <t>Brocha de 1/2"</t>
        </is>
      </c>
      <c r="E50" s="4" t="inlineStr"/>
      <c r="F50" s="3" t="inlineStr">
        <is>
          <t>unidad</t>
        </is>
      </c>
      <c r="G50" s="3" t="inlineStr">
        <is>
          <t>Terminación de superficies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45</v>
      </c>
      <c r="L50" s="6" t="n">
        <v>45</v>
      </c>
      <c r="M50" s="6" t="n">
        <v>45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2026-09-10</t>
        </is>
      </c>
      <c r="Q50" s="4" t="inlineStr">
        <is>
          <t>Ferremix (Grupo Alterra)</t>
        </is>
      </c>
      <c r="AH50" s="4" t="inlineStr">
        <is>
          <t>tipo: brocha · medida_pulg: 1/2</t>
        </is>
      </c>
    </row>
    <row r="51">
      <c r="A51" s="3" t="inlineStr">
        <is>
          <t>EQU-04-009</t>
        </is>
      </c>
      <c r="B51" s="3" t="inlineStr">
        <is>
          <t>Equipos y maquinaria</t>
        </is>
      </c>
      <c r="C51" s="3" t="inlineStr">
        <is>
          <t>Herramientas y equipo menor</t>
        </is>
      </c>
      <c r="D51" s="4" t="inlineStr">
        <is>
          <t>Brocha de 2"</t>
        </is>
      </c>
      <c r="E51" s="4" t="inlineStr"/>
      <c r="F51" s="3" t="inlineStr">
        <is>
          <t>unidad</t>
        </is>
      </c>
      <c r="G51" s="3" t="inlineStr">
        <is>
          <t>Terminación de superficies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101.99</v>
      </c>
      <c r="L51" s="6" t="n">
        <v>101.99</v>
      </c>
      <c r="M51" s="6" t="n">
        <v>101.99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Tonos y Colores</t>
        </is>
      </c>
      <c r="AH51" s="4" t="inlineStr">
        <is>
          <t>tipo: brocha · medida_pulg: 2</t>
        </is>
      </c>
    </row>
    <row r="52">
      <c r="A52" s="3" t="inlineStr">
        <is>
          <t>EQU-04-010</t>
        </is>
      </c>
      <c r="B52" s="3" t="inlineStr">
        <is>
          <t>Equipos y maquinaria</t>
        </is>
      </c>
      <c r="C52" s="3" t="inlineStr">
        <is>
          <t>Herramientas y equipo menor</t>
        </is>
      </c>
      <c r="D52" s="4" t="inlineStr">
        <is>
          <t>Brocha de 2 1/2"</t>
        </is>
      </c>
      <c r="E52" s="4" t="inlineStr"/>
      <c r="F52" s="3" t="inlineStr">
        <is>
          <t>unidad</t>
        </is>
      </c>
      <c r="G52" s="3" t="inlineStr">
        <is>
          <t>Terminación de superficies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123.46</v>
      </c>
      <c r="L52" s="6" t="n">
        <v>123.46</v>
      </c>
      <c r="M52" s="6" t="n">
        <v>123.46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Tonos y Colores</t>
        </is>
      </c>
      <c r="AH52" s="4" t="inlineStr">
        <is>
          <t>tipo: brocha · medida_pulg: 2 1/2</t>
        </is>
      </c>
    </row>
    <row r="53">
      <c r="A53" s="3" t="inlineStr">
        <is>
          <t>EQU-04-011</t>
        </is>
      </c>
      <c r="B53" s="3" t="inlineStr">
        <is>
          <t>Equipos y maquinaria</t>
        </is>
      </c>
      <c r="C53" s="3" t="inlineStr">
        <is>
          <t>Herramientas y equipo menor</t>
        </is>
      </c>
      <c r="D53" s="4" t="inlineStr">
        <is>
          <t>Brocha de 3"</t>
        </is>
      </c>
      <c r="E53" s="4" t="inlineStr"/>
      <c r="F53" s="3" t="inlineStr">
        <is>
          <t>unidad</t>
        </is>
      </c>
      <c r="G53" s="3" t="inlineStr">
        <is>
          <t>Terminación de superficies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150.31</v>
      </c>
      <c r="L53" s="6" t="n">
        <v>150.31</v>
      </c>
      <c r="M53" s="6" t="n">
        <v>150.31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Tonos y Colores</t>
        </is>
      </c>
      <c r="AH53" s="4" t="inlineStr">
        <is>
          <t>tipo: brocha · medida_pulg: 3</t>
        </is>
      </c>
    </row>
    <row r="54">
      <c r="A54" s="3" t="inlineStr">
        <is>
          <t>EQU-04-012</t>
        </is>
      </c>
      <c r="B54" s="3" t="inlineStr">
        <is>
          <t>Equipos y maquinaria</t>
        </is>
      </c>
      <c r="C54" s="3" t="inlineStr">
        <is>
          <t>Herramientas y equipo menor</t>
        </is>
      </c>
      <c r="D54" s="4" t="inlineStr">
        <is>
          <t>Brocha de 4"</t>
        </is>
      </c>
      <c r="E54" s="4" t="inlineStr"/>
      <c r="F54" s="3" t="inlineStr">
        <is>
          <t>unidad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importado</t>
        </is>
      </c>
      <c r="J54" s="5" t="n">
        <v>1</v>
      </c>
      <c r="K54" s="6" t="n">
        <v>203.99</v>
      </c>
      <c r="L54" s="6" t="n">
        <v>203.99</v>
      </c>
      <c r="M54" s="6" t="n">
        <v>203.99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Tonos y Colores</t>
        </is>
      </c>
      <c r="AH54" s="4" t="inlineStr">
        <is>
          <t>tipo: brocha · medida_pulg: 4</t>
        </is>
      </c>
    </row>
    <row r="55">
      <c r="A55" s="3" t="inlineStr">
        <is>
          <t>EQU-04-013</t>
        </is>
      </c>
      <c r="B55" s="3" t="inlineStr">
        <is>
          <t>Equipos y maquinaria</t>
        </is>
      </c>
      <c r="C55" s="3" t="inlineStr">
        <is>
          <t>Herramientas y equipo menor</t>
        </is>
      </c>
      <c r="D55" s="4" t="inlineStr">
        <is>
          <t>Espátula de 10"</t>
        </is>
      </c>
      <c r="E55" s="4" t="inlineStr"/>
      <c r="F55" s="3" t="inlineStr">
        <is>
          <t>unidad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305</v>
      </c>
      <c r="L55" s="6" t="n">
        <v>305</v>
      </c>
      <c r="M55" s="6" t="n">
        <v>305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2026-09-10</t>
        </is>
      </c>
      <c r="Q55" s="4" t="inlineStr">
        <is>
          <t>Ferremix (Grupo Alterra)</t>
        </is>
      </c>
      <c r="AH55" s="4" t="inlineStr">
        <is>
          <t>tipo: espatula · medida_pulg: 10</t>
        </is>
      </c>
    </row>
    <row r="56">
      <c r="A56" s="3" t="inlineStr">
        <is>
          <t>EQU-04-014</t>
        </is>
      </c>
      <c r="B56" s="3" t="inlineStr">
        <is>
          <t>Equipos y maquinaria</t>
        </is>
      </c>
      <c r="C56" s="3" t="inlineStr">
        <is>
          <t>Herramientas y equipo menor</t>
        </is>
      </c>
      <c r="D56" s="4" t="inlineStr">
        <is>
          <t>Espátula de 12"</t>
        </is>
      </c>
      <c r="E56" s="4" t="inlineStr"/>
      <c r="F56" s="3" t="inlineStr">
        <is>
          <t>unidad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335</v>
      </c>
      <c r="L56" s="6" t="n">
        <v>335</v>
      </c>
      <c r="M56" s="6" t="n">
        <v>335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2026-09-10</t>
        </is>
      </c>
      <c r="Q56" s="4" t="inlineStr">
        <is>
          <t>Ferremix (Grupo Alterra)</t>
        </is>
      </c>
      <c r="AH56" s="4" t="inlineStr">
        <is>
          <t>tipo: espatula · medida_pulg: 12</t>
        </is>
      </c>
    </row>
    <row r="57">
      <c r="A57" s="3" t="inlineStr">
        <is>
          <t>EQU-04-015</t>
        </is>
      </c>
      <c r="B57" s="3" t="inlineStr">
        <is>
          <t>Equipos y maquinaria</t>
        </is>
      </c>
      <c r="C57" s="3" t="inlineStr">
        <is>
          <t>Herramientas y equipo menor</t>
        </is>
      </c>
      <c r="D57" s="4" t="inlineStr">
        <is>
          <t>Espátula de 2 1/2"</t>
        </is>
      </c>
      <c r="E57" s="4" t="inlineStr"/>
      <c r="F57" s="3" t="inlineStr">
        <is>
          <t>unidad</t>
        </is>
      </c>
      <c r="G57" s="3" t="inlineStr">
        <is>
          <t>Terminación de superficies</t>
        </is>
      </c>
      <c r="H57" s="3" t="inlineStr">
        <is>
          <t>estandar</t>
        </is>
      </c>
      <c r="I57" s="3" t="inlineStr">
        <is>
          <t>importado</t>
        </is>
      </c>
      <c r="J57" s="5" t="n">
        <v>1</v>
      </c>
      <c r="K57" s="6" t="n">
        <v>237.5</v>
      </c>
      <c r="L57" s="6" t="n">
        <v>220</v>
      </c>
      <c r="M57" s="6" t="n">
        <v>255</v>
      </c>
      <c r="N57" s="3" t="inlineStr">
        <is>
          <t>Sí</t>
        </is>
      </c>
      <c r="O57" s="6">
        <f>IF(K57="","",IF(N57="Sí",ROUND(K57/1.18,2),K57))</f>
        <v/>
      </c>
      <c r="P57" s="3" t="inlineStr">
        <is>
          <t>2026-09-10</t>
        </is>
      </c>
      <c r="Q57" s="4" t="inlineStr">
        <is>
          <t>Ferremix (Grupo Alterra)</t>
        </is>
      </c>
      <c r="AH57" s="4" t="inlineStr">
        <is>
          <t>tipo: espatula · medida_pulg: 2 1/2</t>
        </is>
      </c>
    </row>
    <row r="58">
      <c r="A58" s="3" t="inlineStr">
        <is>
          <t>EQU-04-016</t>
        </is>
      </c>
      <c r="B58" s="3" t="inlineStr">
        <is>
          <t>Equipos y maquinaria</t>
        </is>
      </c>
      <c r="C58" s="3" t="inlineStr">
        <is>
          <t>Herramientas y equipo menor</t>
        </is>
      </c>
      <c r="D58" s="4" t="inlineStr">
        <is>
          <t>Espátula de 3"</t>
        </is>
      </c>
      <c r="E58" s="4" t="inlineStr"/>
      <c r="F58" s="3" t="inlineStr">
        <is>
          <t>unidad</t>
        </is>
      </c>
      <c r="G58" s="3" t="inlineStr">
        <is>
          <t>Terminación de superficies</t>
        </is>
      </c>
      <c r="H58" s="3" t="inlineStr">
        <is>
          <t>estandar</t>
        </is>
      </c>
      <c r="I58" s="3" t="inlineStr">
        <is>
          <t>importado</t>
        </is>
      </c>
      <c r="J58" s="5" t="n">
        <v>1</v>
      </c>
      <c r="K58" s="6" t="n">
        <v>249</v>
      </c>
      <c r="L58" s="6" t="n">
        <v>249</v>
      </c>
      <c r="M58" s="6" t="n">
        <v>249</v>
      </c>
      <c r="N58" s="3" t="inlineStr">
        <is>
          <t>Sí</t>
        </is>
      </c>
      <c r="O58" s="6">
        <f>IF(K58="","",IF(N58="Sí",ROUND(K58/1.18,2),K58))</f>
        <v/>
      </c>
      <c r="P58" s="3" t="inlineStr">
        <is>
          <t>2026-09-10</t>
        </is>
      </c>
      <c r="Q58" s="4" t="inlineStr">
        <is>
          <t>Ferremix (Grupo Alterra)</t>
        </is>
      </c>
      <c r="AH58" s="4" t="inlineStr">
        <is>
          <t>tipo: espatula · medida_pulg: 3</t>
        </is>
      </c>
    </row>
    <row r="59">
      <c r="A59" s="3" t="inlineStr">
        <is>
          <t>EQU-04-017</t>
        </is>
      </c>
      <c r="B59" s="3" t="inlineStr">
        <is>
          <t>Equipos y maquinaria</t>
        </is>
      </c>
      <c r="C59" s="3" t="inlineStr">
        <is>
          <t>Herramientas y equipo menor</t>
        </is>
      </c>
      <c r="D59" s="4" t="inlineStr">
        <is>
          <t>Espátula de 4"</t>
        </is>
      </c>
      <c r="E59" s="4" t="inlineStr"/>
      <c r="F59" s="3" t="inlineStr">
        <is>
          <t>unidad</t>
        </is>
      </c>
      <c r="G59" s="3" t="inlineStr">
        <is>
          <t>Terminación de superficies</t>
        </is>
      </c>
      <c r="H59" s="3" t="inlineStr">
        <is>
          <t>estandar</t>
        </is>
      </c>
      <c r="I59" s="3" t="inlineStr">
        <is>
          <t>importado</t>
        </is>
      </c>
      <c r="J59" s="5" t="n">
        <v>1</v>
      </c>
      <c r="K59" s="6" t="n">
        <v>128.83</v>
      </c>
      <c r="L59" s="6" t="n">
        <v>128.83</v>
      </c>
      <c r="M59" s="6" t="n">
        <v>128.83</v>
      </c>
      <c r="N59" s="3" t="inlineStr">
        <is>
          <t>Sí</t>
        </is>
      </c>
      <c r="O59" s="6">
        <f>IF(K59="","",IF(N59="Sí",ROUND(K59/1.18,2),K59))</f>
        <v/>
      </c>
      <c r="P59" s="3" t="inlineStr">
        <is>
          <t>2026-09-09</t>
        </is>
      </c>
      <c r="Q59" s="4" t="inlineStr">
        <is>
          <t>Tonos y Colores</t>
        </is>
      </c>
      <c r="AH59" s="4" t="inlineStr">
        <is>
          <t>tipo: espatula · medida_pulg: 4</t>
        </is>
      </c>
    </row>
    <row r="60">
      <c r="A60" s="3" t="inlineStr">
        <is>
          <t>EQU-04-018</t>
        </is>
      </c>
      <c r="B60" s="3" t="inlineStr">
        <is>
          <t>Equipos y maquinaria</t>
        </is>
      </c>
      <c r="C60" s="3" t="inlineStr">
        <is>
          <t>Herramientas y equipo menor</t>
        </is>
      </c>
      <c r="D60" s="4" t="inlineStr">
        <is>
          <t>Espátula de 6"</t>
        </is>
      </c>
      <c r="E60" s="4" t="inlineStr"/>
      <c r="F60" s="3" t="inlineStr">
        <is>
          <t>unidad</t>
        </is>
      </c>
      <c r="G60" s="3" t="inlineStr">
        <is>
          <t>Terminación de superficies</t>
        </is>
      </c>
      <c r="H60" s="3" t="inlineStr">
        <is>
          <t>estandar</t>
        </is>
      </c>
      <c r="I60" s="3" t="inlineStr">
        <is>
          <t>importado</t>
        </is>
      </c>
      <c r="J60" s="5" t="n">
        <v>1</v>
      </c>
      <c r="K60" s="6" t="n">
        <v>380</v>
      </c>
      <c r="L60" s="6" t="n">
        <v>380</v>
      </c>
      <c r="M60" s="6" t="n">
        <v>380</v>
      </c>
      <c r="N60" s="3" t="inlineStr">
        <is>
          <t>Sí</t>
        </is>
      </c>
      <c r="O60" s="6">
        <f>IF(K60="","",IF(N60="Sí",ROUND(K60/1.18,2),K60))</f>
        <v/>
      </c>
      <c r="P60" s="3" t="inlineStr">
        <is>
          <t>2026-09-10</t>
        </is>
      </c>
      <c r="Q60" s="4" t="inlineStr">
        <is>
          <t>Ferremix (Grupo Alterra)</t>
        </is>
      </c>
      <c r="AH60" s="4" t="inlineStr">
        <is>
          <t>tipo: espatula · medida_pulg: 6</t>
        </is>
      </c>
    </row>
    <row r="61">
      <c r="A61" s="3" t="inlineStr">
        <is>
          <t>EQU-04-019</t>
        </is>
      </c>
      <c r="B61" s="3" t="inlineStr">
        <is>
          <t>Equipos y maquinaria</t>
        </is>
      </c>
      <c r="C61" s="3" t="inlineStr">
        <is>
          <t>Herramientas y equipo menor</t>
        </is>
      </c>
      <c r="D61" s="4" t="inlineStr">
        <is>
          <t>Espátula de 8"</t>
        </is>
      </c>
      <c r="E61" s="4" t="inlineStr"/>
      <c r="F61" s="3" t="inlineStr">
        <is>
          <t>unidad</t>
        </is>
      </c>
      <c r="G61" s="3" t="inlineStr">
        <is>
          <t>Terminación de superficies</t>
        </is>
      </c>
      <c r="H61" s="3" t="inlineStr">
        <is>
          <t>estandar</t>
        </is>
      </c>
      <c r="I61" s="3" t="inlineStr">
        <is>
          <t>importado</t>
        </is>
      </c>
      <c r="J61" s="5" t="n">
        <v>1</v>
      </c>
      <c r="K61" s="6" t="n">
        <v>265</v>
      </c>
      <c r="L61" s="6" t="n">
        <v>265</v>
      </c>
      <c r="M61" s="6" t="n">
        <v>265</v>
      </c>
      <c r="N61" s="3" t="inlineStr">
        <is>
          <t>Sí</t>
        </is>
      </c>
      <c r="O61" s="6">
        <f>IF(K61="","",IF(N61="Sí",ROUND(K61/1.18,2),K61))</f>
        <v/>
      </c>
      <c r="P61" s="3" t="inlineStr">
        <is>
          <t>2026-09-10</t>
        </is>
      </c>
      <c r="Q61" s="4" t="inlineStr">
        <is>
          <t>Ferremix (Grupo Alterra)</t>
        </is>
      </c>
      <c r="AH61" s="4" t="inlineStr">
        <is>
          <t>tipo: espatula · medida_pulg: 8</t>
        </is>
      </c>
    </row>
    <row r="62">
      <c r="A62" s="3" t="inlineStr">
        <is>
          <t>EQU-04-020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Rodillo para pintar de 1 1/4"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249</v>
      </c>
      <c r="L62" s="6" t="n">
        <v>249</v>
      </c>
      <c r="M62" s="6" t="n">
        <v>249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2026-09-10</t>
        </is>
      </c>
      <c r="Q62" s="4" t="inlineStr">
        <is>
          <t>Ferremix (Grupo Alterra)</t>
        </is>
      </c>
      <c r="AH62" s="4" t="inlineStr">
        <is>
          <t>tipo: rodillo · medida_pulg: 1 1/4</t>
        </is>
      </c>
    </row>
    <row r="63">
      <c r="A63" s="3" t="inlineStr">
        <is>
          <t>EQU-04-021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Rodillo para pintar de 12"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115</v>
      </c>
      <c r="L63" s="6" t="n">
        <v>115</v>
      </c>
      <c r="M63" s="6" t="n">
        <v>115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2026-09-10</t>
        </is>
      </c>
      <c r="Q63" s="4" t="inlineStr">
        <is>
          <t>Ferremix (Grupo Alterra)</t>
        </is>
      </c>
      <c r="AH63" s="4" t="inlineStr">
        <is>
          <t>tipo: rodillo · medida_pulg: 12</t>
        </is>
      </c>
    </row>
    <row r="64">
      <c r="A64" s="3" t="inlineStr">
        <is>
          <t>EQU-04-022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Rodillo para pintar de 14"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119</v>
      </c>
      <c r="L64" s="6" t="n">
        <v>119</v>
      </c>
      <c r="M64" s="6" t="n">
        <v>119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H64" s="4" t="inlineStr">
        <is>
          <t>tipo: rodillo · medida_pulg: 14</t>
        </is>
      </c>
    </row>
    <row r="65">
      <c r="A65" s="3" t="inlineStr">
        <is>
          <t>EQU-04-023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Rodillo para pintar de 3/4"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240</v>
      </c>
      <c r="L65" s="6" t="n">
        <v>240</v>
      </c>
      <c r="M65" s="6" t="n">
        <v>240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H65" s="4" t="inlineStr">
        <is>
          <t>tipo: rodillo · medida_pulg: 3/4</t>
        </is>
      </c>
    </row>
    <row r="66">
      <c r="A66" s="3" t="inlineStr">
        <is>
          <t>EQU-04-024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Rodillo para pintar de 4"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70</v>
      </c>
      <c r="L66" s="6" t="n">
        <v>30</v>
      </c>
      <c r="M66" s="6" t="n">
        <v>110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2026-09-10</t>
        </is>
      </c>
      <c r="Q66" s="4" t="inlineStr">
        <is>
          <t>Ferremix (Grupo Alterra)</t>
        </is>
      </c>
      <c r="AH66" s="4" t="inlineStr">
        <is>
          <t>tipo: rodillo · medida_pulg: 4</t>
        </is>
      </c>
    </row>
    <row r="67">
      <c r="A67" s="3" t="inlineStr">
        <is>
          <t>EQU-04-025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Rodillo para pintar de 5/16"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395</v>
      </c>
      <c r="L67" s="6" t="n">
        <v>395</v>
      </c>
      <c r="M67" s="6" t="n">
        <v>395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2026-09-10</t>
        </is>
      </c>
      <c r="Q67" s="4" t="inlineStr">
        <is>
          <t>Ferremix (Grupo Alterra)</t>
        </is>
      </c>
      <c r="AH67" s="4" t="inlineStr">
        <is>
          <t>tipo: rodillo · medida_pulg: 5/16</t>
        </is>
      </c>
    </row>
    <row r="68">
      <c r="A68" s="3" t="inlineStr">
        <is>
          <t>EQU-04-026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Rodillo para pintar de 7"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102.5</v>
      </c>
      <c r="L68" s="6" t="n">
        <v>60</v>
      </c>
      <c r="M68" s="6" t="n">
        <v>145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2026-09-10</t>
        </is>
      </c>
      <c r="Q68" s="4" t="inlineStr">
        <is>
          <t>Ferremix (Grupo Alterra)</t>
        </is>
      </c>
      <c r="AH68" s="4" t="inlineStr">
        <is>
          <t>tipo: rodillo · medida_pulg: 7</t>
        </is>
      </c>
    </row>
    <row r="69">
      <c r="A69" s="3" t="inlineStr">
        <is>
          <t>EQU-04-027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Rodillo para pintar de 9"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2</v>
      </c>
      <c r="K69" s="6" t="n">
        <v>172</v>
      </c>
      <c r="L69" s="6" t="n">
        <v>75</v>
      </c>
      <c r="M69" s="6" t="n">
        <v>504.59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 · Tonos y Colores</t>
        </is>
      </c>
      <c r="AH69" s="4" t="inlineStr">
        <is>
          <t>tipo: rodillo · medida_pulg: 9</t>
        </is>
      </c>
    </row>
    <row r="70">
      <c r="A70" s="3" t="inlineStr">
        <is>
          <t>EQU-04-028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Cortadora manual de cerámica, corte de 100 cm</t>
        </is>
      </c>
      <c r="E70" s="4" t="inlineStr"/>
      <c r="F70" s="3" t="inlineStr">
        <is>
          <t>unidad</t>
        </is>
      </c>
      <c r="G70" s="3" t="inlineStr">
        <is>
          <t>Preliminares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35818.07</v>
      </c>
      <c r="L70" s="6" t="n">
        <v>35818.07</v>
      </c>
      <c r="M70" s="6" t="n">
        <v>35818.07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2026-09-09</t>
        </is>
      </c>
      <c r="Q70" s="4" t="inlineStr">
        <is>
          <t>Ferretería Ochoa (8A)</t>
        </is>
      </c>
      <c r="AH70" s="4" t="inlineStr">
        <is>
          <t>tipo: cortadora-manual · corte_cm: 100</t>
        </is>
      </c>
    </row>
    <row r="71">
      <c r="A71" s="3" t="inlineStr">
        <is>
          <t>EQU-04-029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Cortadora manual de cerámica, corte de 125 cm</t>
        </is>
      </c>
      <c r="E71" s="4" t="inlineStr"/>
      <c r="F71" s="3" t="inlineStr">
        <is>
          <t>unidad</t>
        </is>
      </c>
      <c r="G71" s="3" t="inlineStr">
        <is>
          <t>Preliminares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32070.28</v>
      </c>
      <c r="L71" s="6" t="n">
        <v>32070.28</v>
      </c>
      <c r="M71" s="6" t="n">
        <v>32070.28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2026-09-09</t>
        </is>
      </c>
      <c r="Q71" s="4" t="inlineStr">
        <is>
          <t>Ferretería Ochoa (8A)</t>
        </is>
      </c>
      <c r="AH71" s="4" t="inlineStr">
        <is>
          <t>tipo: cortadora-manual · corte_cm: 125</t>
        </is>
      </c>
    </row>
    <row r="72">
      <c r="A72" s="3" t="inlineStr">
        <is>
          <t>EQU-04-030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Cortadora manual de cerámica, corte de 51 cm</t>
        </is>
      </c>
      <c r="E72" s="4" t="inlineStr"/>
      <c r="F72" s="3" t="inlineStr">
        <is>
          <t>unidad</t>
        </is>
      </c>
      <c r="G72" s="3" t="inlineStr">
        <is>
          <t>Preliminares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2857.38</v>
      </c>
      <c r="L72" s="6" t="n">
        <v>2857.38</v>
      </c>
      <c r="M72" s="6" t="n">
        <v>2857.38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2026-09-09</t>
        </is>
      </c>
      <c r="Q72" s="4" t="inlineStr">
        <is>
          <t>Ferretería Ochoa (8A)</t>
        </is>
      </c>
      <c r="AH72" s="4" t="inlineStr">
        <is>
          <t>tipo: cortadora-manual · corte_cm: 51</t>
        </is>
      </c>
    </row>
    <row r="73">
      <c r="A73" s="3" t="inlineStr">
        <is>
          <t>EQU-04-031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Cortadora manual de cerámica, corte de 62 cm</t>
        </is>
      </c>
      <c r="E73" s="4" t="inlineStr"/>
      <c r="F73" s="3" t="inlineStr">
        <is>
          <t>unidad</t>
        </is>
      </c>
      <c r="G73" s="3" t="inlineStr">
        <is>
          <t>Preliminares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6482.72</v>
      </c>
      <c r="L73" s="6" t="n">
        <v>6482.72</v>
      </c>
      <c r="M73" s="6" t="n">
        <v>6482.72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Ferretería Ochoa (8A)</t>
        </is>
      </c>
      <c r="AH73" s="4" t="inlineStr">
        <is>
          <t>tipo: cortadora-manual · corte_cm: 62</t>
        </is>
      </c>
    </row>
    <row r="74">
      <c r="A74" s="3" t="inlineStr">
        <is>
          <t>EQU-04-032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Cortadora manual de cerámica, corte de 63 cm</t>
        </is>
      </c>
      <c r="E74" s="4" t="inlineStr"/>
      <c r="F74" s="3" t="inlineStr">
        <is>
          <t>unidad</t>
        </is>
      </c>
      <c r="G74" s="3" t="inlineStr">
        <is>
          <t>Preliminares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9559.049999999999</v>
      </c>
      <c r="L74" s="6" t="n">
        <v>9559.049999999999</v>
      </c>
      <c r="M74" s="6" t="n">
        <v>9559.049999999999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Ferretería Ochoa (8A)</t>
        </is>
      </c>
      <c r="AH74" s="4" t="inlineStr">
        <is>
          <t>tipo: cortadora-manual · corte_cm: 63</t>
        </is>
      </c>
    </row>
    <row r="75">
      <c r="A75" s="3" t="inlineStr">
        <is>
          <t>EQU-04-033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Cortadora manual de cerámica, corte de 90 cm</t>
        </is>
      </c>
      <c r="E75" s="4" t="inlineStr"/>
      <c r="F75" s="3" t="inlineStr">
        <is>
          <t>unidad</t>
        </is>
      </c>
      <c r="G75" s="3" t="inlineStr">
        <is>
          <t>Preliminares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15050.43</v>
      </c>
      <c r="L75" s="6" t="n">
        <v>15050.43</v>
      </c>
      <c r="M75" s="6" t="n">
        <v>15050.43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2026-09-09</t>
        </is>
      </c>
      <c r="Q75" s="4" t="inlineStr">
        <is>
          <t>Ferretería Ochoa (8A)</t>
        </is>
      </c>
      <c r="AH75" s="4" t="inlineStr">
        <is>
          <t>tipo: cortadora-manual · corte_cm: 90</t>
        </is>
      </c>
    </row>
    <row r="76">
      <c r="A76" s="3" t="inlineStr">
        <is>
          <t>EQU-04-034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Alicate para nivelación de cerámica</t>
        </is>
      </c>
      <c r="E76" s="4" t="inlineStr"/>
      <c r="F76" s="3" t="inlineStr">
        <is>
          <t>unidad</t>
        </is>
      </c>
      <c r="G76" s="3" t="inlineStr">
        <is>
          <t>Preliminares</t>
        </is>
      </c>
      <c r="H76" s="3" t="inlineStr">
        <is>
          <t>estandar</t>
        </is>
      </c>
      <c r="I76" s="3" t="inlineStr">
        <is>
          <t>importado</t>
        </is>
      </c>
      <c r="J76" s="5" t="n">
        <v>2</v>
      </c>
      <c r="K76" s="6" t="n">
        <v>814.6799999999999</v>
      </c>
      <c r="L76" s="6" t="n">
        <v>663.14</v>
      </c>
      <c r="M76" s="6" t="n">
        <v>966.22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Ferretería Ochoa (8A) · La Ibérica</t>
        </is>
      </c>
      <c r="AH76" s="4" t="inlineStr">
        <is>
          <t>tipo: alicate</t>
        </is>
      </c>
    </row>
    <row r="77">
      <c r="A77" s="3" t="inlineStr">
        <is>
          <t>EQU-04-035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Aplicador de mortero</t>
        </is>
      </c>
      <c r="E77" s="4" t="inlineStr"/>
      <c r="F77" s="3" t="inlineStr">
        <is>
          <t>unidad</t>
        </is>
      </c>
      <c r="G77" s="3" t="inlineStr">
        <is>
          <t>Preliminares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2931.73</v>
      </c>
      <c r="L77" s="6" t="n">
        <v>1282.31</v>
      </c>
      <c r="M77" s="6" t="n">
        <v>4581.15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2026-09-09</t>
        </is>
      </c>
      <c r="Q77" s="4" t="inlineStr">
        <is>
          <t>Ferretería Ochoa (8A)</t>
        </is>
      </c>
      <c r="AH77" s="4" t="inlineStr">
        <is>
          <t>tipo: aplicador</t>
        </is>
      </c>
    </row>
    <row r="78">
      <c r="A78" s="3" t="inlineStr">
        <is>
          <t>EQU-04-036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Kit de nivelación de cerámica</t>
        </is>
      </c>
      <c r="E78" s="4" t="inlineStr"/>
      <c r="F78" s="3" t="inlineStr">
        <is>
          <t>unidad</t>
        </is>
      </c>
      <c r="G78" s="3" t="inlineStr">
        <is>
          <t>Preliminares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4694.51</v>
      </c>
      <c r="L78" s="6" t="n">
        <v>4694.51</v>
      </c>
      <c r="M78" s="6" t="n">
        <v>4694.51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2026-09-09</t>
        </is>
      </c>
      <c r="Q78" s="4" t="inlineStr">
        <is>
          <t>Ferretería Ochoa (8A)</t>
        </is>
      </c>
      <c r="AH78" s="4" t="inlineStr">
        <is>
          <t>tipo: kit-nivelacion</t>
        </is>
      </c>
    </row>
    <row r="79">
      <c r="A79" s="3" t="inlineStr">
        <is>
          <t>EQU-04-037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Llana dentada</t>
        </is>
      </c>
      <c r="E79" s="4" t="inlineStr"/>
      <c r="F79" s="3" t="inlineStr">
        <is>
          <t>unidad</t>
        </is>
      </c>
      <c r="G79" s="3" t="inlineStr">
        <is>
          <t>Preliminares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323.68</v>
      </c>
      <c r="L79" s="6" t="n">
        <v>226.37</v>
      </c>
      <c r="M79" s="6" t="n">
        <v>420.99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2026-09-09</t>
        </is>
      </c>
      <c r="Q79" s="4" t="inlineStr">
        <is>
          <t>Ferretería Ochoa (8A)</t>
        </is>
      </c>
      <c r="AH79" s="4" t="inlineStr">
        <is>
          <t>tipo: llana</t>
        </is>
      </c>
    </row>
    <row r="80">
      <c r="A80" s="3" t="inlineStr">
        <is>
          <t>EQU-04-038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Ventosa para piezas lisas</t>
        </is>
      </c>
      <c r="E80" s="4" t="inlineStr"/>
      <c r="F80" s="3" t="inlineStr">
        <is>
          <t>unidad</t>
        </is>
      </c>
      <c r="G80" s="3" t="inlineStr">
        <is>
          <t>Preliminares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1279.54</v>
      </c>
      <c r="L80" s="6" t="n">
        <v>1279.54</v>
      </c>
      <c r="M80" s="6" t="n">
        <v>1279.54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2026-09-09</t>
        </is>
      </c>
      <c r="Q80" s="4" t="inlineStr">
        <is>
          <t>Ferretería Ochoa (8A)</t>
        </is>
      </c>
      <c r="AH80" s="4" t="inlineStr">
        <is>
          <t>tipo: ventosa</t>
        </is>
      </c>
    </row>
    <row r="81">
      <c r="A81" s="3" t="inlineStr">
        <is>
          <t>EQU-04-039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Cuchilla de repuesto para cortadora, 10"</t>
        </is>
      </c>
      <c r="E81" s="4" t="inlineStr"/>
      <c r="F81" s="3" t="inlineStr">
        <is>
          <t>unidad</t>
        </is>
      </c>
      <c r="G81" s="3" t="inlineStr">
        <is>
          <t>Preliminares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5321.25</v>
      </c>
      <c r="L81" s="6" t="n">
        <v>5321.25</v>
      </c>
      <c r="M81" s="6" t="n">
        <v>5321.25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2026-09-09</t>
        </is>
      </c>
      <c r="Q81" s="4" t="inlineStr">
        <is>
          <t>Ferretería Ochoa (8A)</t>
        </is>
      </c>
      <c r="AH81" s="4" t="inlineStr">
        <is>
          <t>tipo: cuchilla · medida: 10"</t>
        </is>
      </c>
    </row>
    <row r="82">
      <c r="A82" s="3" t="inlineStr">
        <is>
          <t>EQU-04-040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Cuchilla de repuesto para cortadora, 18 mm</t>
        </is>
      </c>
      <c r="E82" s="4" t="inlineStr"/>
      <c r="F82" s="3" t="inlineStr">
        <is>
          <t>unidad</t>
        </is>
      </c>
      <c r="G82" s="3" t="inlineStr">
        <is>
          <t>Preliminares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1644.46</v>
      </c>
      <c r="L82" s="6" t="n">
        <v>1110.46</v>
      </c>
      <c r="M82" s="6" t="n">
        <v>2178.45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2026-09-09</t>
        </is>
      </c>
      <c r="Q82" s="4" t="inlineStr">
        <is>
          <t>Ferretería Ochoa (8A)</t>
        </is>
      </c>
      <c r="AH82" s="4" t="inlineStr">
        <is>
          <t>tipo: cuchilla · medida: 18 mm</t>
        </is>
      </c>
    </row>
    <row r="83">
      <c r="A83" s="3" t="inlineStr">
        <is>
          <t>EQU-04-041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Cuchilla de repuesto para cortadora, 7 mm</t>
        </is>
      </c>
      <c r="E83" s="4" t="inlineStr"/>
      <c r="F83" s="3" t="inlineStr">
        <is>
          <t>unidad</t>
        </is>
      </c>
      <c r="G83" s="3" t="inlineStr">
        <is>
          <t>Preliminares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358.67</v>
      </c>
      <c r="L83" s="6" t="n">
        <v>358.67</v>
      </c>
      <c r="M83" s="6" t="n">
        <v>358.67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2026-09-09</t>
        </is>
      </c>
      <c r="Q83" s="4" t="inlineStr">
        <is>
          <t>Ferretería Ochoa (8A)</t>
        </is>
      </c>
      <c r="AH83" s="4" t="inlineStr">
        <is>
          <t>tipo: cuchilla · medida: 7 mm</t>
        </is>
      </c>
    </row>
    <row r="84">
      <c r="A84" s="3" t="inlineStr">
        <is>
          <t>EQU-04-042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Cuchilla de repuesto para cortadora, 80 mm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234.67</v>
      </c>
      <c r="L84" s="6" t="n">
        <v>234.67</v>
      </c>
      <c r="M84" s="6" t="n">
        <v>234.67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H84" s="4" t="inlineStr">
        <is>
          <t>tipo: cuchilla · medida: 80 mm</t>
        </is>
      </c>
    </row>
    <row r="85">
      <c r="A85" s="3" t="inlineStr">
        <is>
          <t>EQU-04-043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Herramienta de terminación de cableado</t>
        </is>
      </c>
      <c r="E85" s="4" t="inlineStr">
        <is>
          <t>Ponchadora de impacto para jacks y patch panels</t>
        </is>
      </c>
      <c r="F85" s="3" t="inlineStr">
        <is>
          <t>unidad</t>
        </is>
      </c>
      <c r="G85" s="3" t="inlineStr">
        <is>
          <t>Instalaciones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480.68</v>
      </c>
      <c r="L85" s="6" t="n">
        <v>448.43</v>
      </c>
      <c r="M85" s="6" t="n">
        <v>6682.26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</row>
    <row r="86">
      <c r="A86" s="3" t="inlineStr">
        <is>
          <t>MAT-01-020</t>
        </is>
      </c>
      <c r="B86" s="3" t="inlineStr">
        <is>
          <t>Materiales</t>
        </is>
      </c>
      <c r="C86" s="3" t="inlineStr">
        <is>
          <t>Agregados y áridos</t>
        </is>
      </c>
      <c r="D86" s="4" t="inlineStr">
        <is>
          <t>Grava 3/4" en funda de 50 libras</t>
        </is>
      </c>
      <c r="E86" s="4" t="inlineStr"/>
      <c r="F86" s="3" t="inlineStr">
        <is>
          <t>funda</t>
        </is>
      </c>
      <c r="G86" s="3" t="inlineStr">
        <is>
          <t>Estructura</t>
        </is>
      </c>
      <c r="H86" s="3" t="inlineStr">
        <is>
          <t>estandar</t>
        </is>
      </c>
      <c r="I86" s="3" t="inlineStr">
        <is>
          <t>nacional</t>
        </is>
      </c>
      <c r="J86" s="5" t="n">
        <v>1</v>
      </c>
      <c r="K86" s="6" t="n">
        <v>151.87</v>
      </c>
      <c r="L86" s="6" t="n">
        <v>151.87</v>
      </c>
      <c r="M86" s="6" t="n">
        <v>151.87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</row>
    <row r="87">
      <c r="A87" s="3" t="inlineStr">
        <is>
          <t>MAT-01-021</t>
        </is>
      </c>
      <c r="B87" s="3" t="inlineStr">
        <is>
          <t>Materiales</t>
        </is>
      </c>
      <c r="C87" s="3" t="inlineStr">
        <is>
          <t>Agregados y áridos</t>
        </is>
      </c>
      <c r="D87" s="4" t="inlineStr">
        <is>
          <t>Grava blanca en funda de 50 libras</t>
        </is>
      </c>
      <c r="E87" s="4" t="inlineStr"/>
      <c r="F87" s="3" t="inlineStr">
        <is>
          <t>funda</t>
        </is>
      </c>
      <c r="G87" s="3" t="inlineStr">
        <is>
          <t>Estructura</t>
        </is>
      </c>
      <c r="H87" s="3" t="inlineStr">
        <is>
          <t>estandar</t>
        </is>
      </c>
      <c r="I87" s="3" t="inlineStr">
        <is>
          <t>nacional</t>
        </is>
      </c>
      <c r="J87" s="5" t="n">
        <v>1</v>
      </c>
      <c r="K87" s="6" t="n">
        <v>448.34</v>
      </c>
      <c r="L87" s="6" t="n">
        <v>448.34</v>
      </c>
      <c r="M87" s="6" t="n">
        <v>448.34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</row>
    <row r="88">
      <c r="A88" s="3" t="inlineStr">
        <is>
          <t>MAT-01-022</t>
        </is>
      </c>
      <c r="B88" s="3" t="inlineStr">
        <is>
          <t>Materiales</t>
        </is>
      </c>
      <c r="C88" s="3" t="inlineStr">
        <is>
          <t>Agregados y áridos</t>
        </is>
      </c>
      <c r="D88" s="4" t="inlineStr">
        <is>
          <t>Arena 3/16" en funda de 55 libras</t>
        </is>
      </c>
      <c r="E88" s="4" t="inlineStr"/>
      <c r="F88" s="3" t="inlineStr">
        <is>
          <t>funda</t>
        </is>
      </c>
      <c r="G88" s="3" t="inlineStr">
        <is>
          <t>Estructura</t>
        </is>
      </c>
      <c r="H88" s="3" t="inlineStr">
        <is>
          <t>estandar</t>
        </is>
      </c>
      <c r="I88" s="3" t="inlineStr">
        <is>
          <t>nacional</t>
        </is>
      </c>
      <c r="J88" s="5" t="n">
        <v>1</v>
      </c>
      <c r="K88" s="6" t="n">
        <v>151.87</v>
      </c>
      <c r="L88" s="6" t="n">
        <v>151.87</v>
      </c>
      <c r="M88" s="6" t="n">
        <v>151.87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</row>
    <row r="89">
      <c r="A89" s="3" t="inlineStr">
        <is>
          <t>MAT-02-017</t>
        </is>
      </c>
      <c r="B89" s="3" t="inlineStr">
        <is>
          <t>Materiales</t>
        </is>
      </c>
      <c r="C89" s="3" t="inlineStr">
        <is>
          <t>Cemento, morteros y aditivos</t>
        </is>
      </c>
      <c r="D89" s="4" t="inlineStr">
        <is>
          <t>Adhesivo cementicio C1 blanco, funda 25 kg</t>
        </is>
      </c>
      <c r="E89" s="4" t="inlineStr">
        <is>
          <t>Adherencia normal · cerámica de interiores, no porcelanato</t>
        </is>
      </c>
      <c r="F89" s="3" t="inlineStr">
        <is>
          <t>funda</t>
        </is>
      </c>
      <c r="G89" s="3" t="inlineStr">
        <is>
          <t>Pisos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1160</v>
      </c>
      <c r="L89" s="6" t="n">
        <v>1160</v>
      </c>
      <c r="M89" s="6" t="n">
        <v>1160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2026-09-10</t>
        </is>
      </c>
      <c r="Q89" s="4" t="inlineStr">
        <is>
          <t>La Ibérica</t>
        </is>
      </c>
      <c r="AH89" s="4" t="inlineStr">
        <is>
          <t>clase: c1 · color: blanco · kg: 25</t>
        </is>
      </c>
    </row>
    <row r="90">
      <c r="A90" s="3" t="inlineStr">
        <is>
          <t>MAT-02-018</t>
        </is>
      </c>
      <c r="B90" s="3" t="inlineStr">
        <is>
          <t>Materiales</t>
        </is>
      </c>
      <c r="C90" s="3" t="inlineStr">
        <is>
          <t>Cemento, morteros y aditivos</t>
        </is>
      </c>
      <c r="D90" s="4" t="inlineStr">
        <is>
          <t>Adhesivo cementicio C1 gris, funda 22.7 kg</t>
        </is>
      </c>
      <c r="E90" s="4" t="inlineStr">
        <is>
          <t>Adherencia normal · cerámica de interiores, no porcelanato</t>
        </is>
      </c>
      <c r="F90" s="3" t="inlineStr">
        <is>
          <t>funda</t>
        </is>
      </c>
      <c r="G90" s="3" t="inlineStr">
        <is>
          <t>Pisos</t>
        </is>
      </c>
      <c r="H90" s="3" t="inlineStr">
        <is>
          <t>estandar</t>
        </is>
      </c>
      <c r="I90" s="3" t="inlineStr">
        <is>
          <t>importado</t>
        </is>
      </c>
      <c r="J90" s="5" t="n">
        <v>3</v>
      </c>
      <c r="K90" s="6" t="n">
        <v>322.97</v>
      </c>
      <c r="L90" s="6" t="n">
        <v>290</v>
      </c>
      <c r="M90" s="6" t="n">
        <v>690.83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Cima · Ferretería Ochoa (8A) · Max Ferretería</t>
        </is>
      </c>
      <c r="AH90" s="4" t="inlineStr">
        <is>
          <t>clase: c1 · color: gris · kg: 22.7</t>
        </is>
      </c>
    </row>
    <row r="91">
      <c r="A91" s="3" t="inlineStr">
        <is>
          <t>MAT-02-019</t>
        </is>
      </c>
      <c r="B91" s="3" t="inlineStr">
        <is>
          <t>Materiales</t>
        </is>
      </c>
      <c r="C91" s="3" t="inlineStr">
        <is>
          <t>Cemento, morteros y aditivos</t>
        </is>
      </c>
      <c r="D91" s="4" t="inlineStr">
        <is>
          <t>Adhesivo cementicio C1 gris, funda 25 kg</t>
        </is>
      </c>
      <c r="E91" s="4" t="inlineStr">
        <is>
          <t>Adherencia normal · cerámica de interiores, no porcelanato</t>
        </is>
      </c>
      <c r="F91" s="3" t="inlineStr">
        <is>
          <t>funda</t>
        </is>
      </c>
      <c r="G91" s="3" t="inlineStr">
        <is>
          <t>Pisos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885</v>
      </c>
      <c r="L91" s="6" t="n">
        <v>885</v>
      </c>
      <c r="M91" s="6" t="n">
        <v>885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La Ibérica</t>
        </is>
      </c>
      <c r="AH91" s="4" t="inlineStr">
        <is>
          <t>clase: c1 · color: gris · kg: 25</t>
        </is>
      </c>
    </row>
    <row r="92">
      <c r="A92" s="3" t="inlineStr">
        <is>
          <t>MAT-02-020</t>
        </is>
      </c>
      <c r="B92" s="3" t="inlineStr">
        <is>
          <t>Materiales</t>
        </is>
      </c>
      <c r="C92" s="3" t="inlineStr">
        <is>
          <t>Cemento, morteros y aditivos</t>
        </is>
      </c>
      <c r="D92" s="4" t="inlineStr">
        <is>
          <t>Adhesivo cementicio C2 blanco, funda 20 kg</t>
        </is>
      </c>
      <c r="E92" s="4" t="inlineStr">
        <is>
          <t>Adherencia mejorada · porcelanato, gran formato y exteriores</t>
        </is>
      </c>
      <c r="F92" s="3" t="inlineStr">
        <is>
          <t>funda</t>
        </is>
      </c>
      <c r="G92" s="3" t="inlineStr">
        <is>
          <t>Pisos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1403.29</v>
      </c>
      <c r="L92" s="6" t="n">
        <v>1403.29</v>
      </c>
      <c r="M92" s="6" t="n">
        <v>1403.29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H92" s="4" t="inlineStr">
        <is>
          <t>clase: c2 · color: blanco · kg: 20</t>
        </is>
      </c>
    </row>
    <row r="93">
      <c r="A93" s="3" t="inlineStr">
        <is>
          <t>MAT-02-021</t>
        </is>
      </c>
      <c r="B93" s="3" t="inlineStr">
        <is>
          <t>Materiales</t>
        </is>
      </c>
      <c r="C93" s="3" t="inlineStr">
        <is>
          <t>Cemento, morteros y aditivos</t>
        </is>
      </c>
      <c r="D93" s="4" t="inlineStr">
        <is>
          <t>Adhesivo cementicio C2 blanco, funda 20.9 kg</t>
        </is>
      </c>
      <c r="E93" s="4" t="inlineStr">
        <is>
          <t>Adherencia mejorada · porcelanato, gran formato y exteriores</t>
        </is>
      </c>
      <c r="F93" s="3" t="inlineStr">
        <is>
          <t>funda</t>
        </is>
      </c>
      <c r="G93" s="3" t="inlineStr">
        <is>
          <t>Pisos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4784.99</v>
      </c>
      <c r="L93" s="6" t="n">
        <v>4784.99</v>
      </c>
      <c r="M93" s="6" t="n">
        <v>4784.99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2026-09-10</t>
        </is>
      </c>
      <c r="Q93" s="4" t="inlineStr">
        <is>
          <t>La Ibérica</t>
        </is>
      </c>
      <c r="AH93" s="4" t="inlineStr">
        <is>
          <t>clase: c2 · color: blanco · kg: 20.9</t>
        </is>
      </c>
    </row>
    <row r="94">
      <c r="A94" s="3" t="inlineStr">
        <is>
          <t>MAT-02-022</t>
        </is>
      </c>
      <c r="B94" s="3" t="inlineStr">
        <is>
          <t>Materiales</t>
        </is>
      </c>
      <c r="C94" s="3" t="inlineStr">
        <is>
          <t>Cemento, morteros y aditivos</t>
        </is>
      </c>
      <c r="D94" s="4" t="inlineStr">
        <is>
          <t>Adhesivo cementicio C2 blanco, funda 22.7 kg</t>
        </is>
      </c>
      <c r="E94" s="4" t="inlineStr">
        <is>
          <t>Adherencia mejorada · porcelanato, gran formato y exteriores</t>
        </is>
      </c>
      <c r="F94" s="3" t="inlineStr">
        <is>
          <t>funda</t>
        </is>
      </c>
      <c r="G94" s="3" t="inlineStr">
        <is>
          <t>Pisos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2490</v>
      </c>
      <c r="L94" s="6" t="n">
        <v>2265</v>
      </c>
      <c r="M94" s="6" t="n">
        <v>3375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2026-09-10</t>
        </is>
      </c>
      <c r="Q94" s="4" t="inlineStr">
        <is>
          <t>La Ibérica</t>
        </is>
      </c>
      <c r="AH94" s="4" t="inlineStr">
        <is>
          <t>clase: c2 · color: blanco · kg: 22.7</t>
        </is>
      </c>
    </row>
    <row r="95">
      <c r="A95" s="3" t="inlineStr">
        <is>
          <t>MAT-02-023</t>
        </is>
      </c>
      <c r="B95" s="3" t="inlineStr">
        <is>
          <t>Materiales</t>
        </is>
      </c>
      <c r="C95" s="3" t="inlineStr">
        <is>
          <t>Cemento, morteros y aditivos</t>
        </is>
      </c>
      <c r="D95" s="4" t="inlineStr">
        <is>
          <t>Adhesivo cementicio C2 blanco, funda 25 kg</t>
        </is>
      </c>
      <c r="E95" s="4" t="inlineStr">
        <is>
          <t>Adherencia mejorada · porcelanato, gran formato y exteriores</t>
        </is>
      </c>
      <c r="F95" s="3" t="inlineStr">
        <is>
          <t>funda</t>
        </is>
      </c>
      <c r="G95" s="3" t="inlineStr">
        <is>
          <t>Pisos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1497.5</v>
      </c>
      <c r="L95" s="6" t="n">
        <v>1320</v>
      </c>
      <c r="M95" s="6" t="n">
        <v>1675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2026-09-10</t>
        </is>
      </c>
      <c r="Q95" s="4" t="inlineStr">
        <is>
          <t>La Ibérica</t>
        </is>
      </c>
      <c r="AH95" s="4" t="inlineStr">
        <is>
          <t>clase: c2 · color: blanco · kg: 25</t>
        </is>
      </c>
    </row>
    <row r="96">
      <c r="A96" s="3" t="inlineStr">
        <is>
          <t>MAT-02-024</t>
        </is>
      </c>
      <c r="B96" s="3" t="inlineStr">
        <is>
          <t>Materiales</t>
        </is>
      </c>
      <c r="C96" s="3" t="inlineStr">
        <is>
          <t>Cemento, morteros y aditivos</t>
        </is>
      </c>
      <c r="D96" s="4" t="inlineStr">
        <is>
          <t>Adhesivo cementicio C2 gris, funda 22.7 kg</t>
        </is>
      </c>
      <c r="E96" s="4" t="inlineStr">
        <is>
          <t>Adherencia mejorada · porcelanato, gran formato y exteriores</t>
        </is>
      </c>
      <c r="F96" s="3" t="inlineStr">
        <is>
          <t>funda</t>
        </is>
      </c>
      <c r="G96" s="3" t="inlineStr">
        <is>
          <t>Pisos</t>
        </is>
      </c>
      <c r="H96" s="3" t="inlineStr">
        <is>
          <t>estandar</t>
        </is>
      </c>
      <c r="I96" s="3" t="inlineStr">
        <is>
          <t>importado</t>
        </is>
      </c>
      <c r="J96" s="5" t="n">
        <v>2</v>
      </c>
      <c r="K96" s="6" t="n">
        <v>1245.72</v>
      </c>
      <c r="L96" s="6" t="n">
        <v>662.4400000000001</v>
      </c>
      <c r="M96" s="6" t="n">
        <v>1829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2026-09-10</t>
        </is>
      </c>
      <c r="Q96" s="4" t="inlineStr">
        <is>
          <t>Ferretería Ochoa (8A) · La Ibérica</t>
        </is>
      </c>
      <c r="AH96" s="4" t="inlineStr">
        <is>
          <t>clase: c2 · color: gris · kg: 22.7</t>
        </is>
      </c>
    </row>
    <row r="97">
      <c r="A97" s="3" t="inlineStr">
        <is>
          <t>MAT-02-025</t>
        </is>
      </c>
      <c r="B97" s="3" t="inlineStr">
        <is>
          <t>Materiales</t>
        </is>
      </c>
      <c r="C97" s="3" t="inlineStr">
        <is>
          <t>Cemento, morteros y aditivos</t>
        </is>
      </c>
      <c r="D97" s="4" t="inlineStr">
        <is>
          <t>Adhesivo en pasta para cerámica, cuarto de galón</t>
        </is>
      </c>
      <c r="E97" s="4" t="inlineStr">
        <is>
          <t>Acrílico · solo interiores</t>
        </is>
      </c>
      <c r="F97" s="3" t="inlineStr">
        <is>
          <t>unidad</t>
        </is>
      </c>
      <c r="G97" s="3" t="inlineStr">
        <is>
          <t>Pisos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581.85</v>
      </c>
      <c r="L97" s="6" t="n">
        <v>502.13</v>
      </c>
      <c r="M97" s="6" t="n">
        <v>661.5599999999999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H97" s="4" t="inlineStr">
        <is>
          <t>presentacion: cuarto de galón</t>
        </is>
      </c>
    </row>
    <row r="98">
      <c r="A98" s="3" t="inlineStr">
        <is>
          <t>MAT-02-026</t>
        </is>
      </c>
      <c r="B98" s="3" t="inlineStr">
        <is>
          <t>Materiales</t>
        </is>
      </c>
      <c r="C98" s="3" t="inlineStr">
        <is>
          <t>Cemento, morteros y aditivos</t>
        </is>
      </c>
      <c r="D98" s="4" t="inlineStr">
        <is>
          <t>Adhesivo en pasta para cerámica, galón</t>
        </is>
      </c>
      <c r="E98" s="4" t="inlineStr">
        <is>
          <t>Acrílico · solo interiores</t>
        </is>
      </c>
      <c r="F98" s="3" t="inlineStr">
        <is>
          <t>unidad</t>
        </is>
      </c>
      <c r="G98" s="3" t="inlineStr">
        <is>
          <t>Pisos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1926.69</v>
      </c>
      <c r="L98" s="6" t="n">
        <v>1914.51</v>
      </c>
      <c r="M98" s="6" t="n">
        <v>1938.87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H98" s="4" t="inlineStr">
        <is>
          <t>presentacion: galón</t>
        </is>
      </c>
    </row>
    <row r="99">
      <c r="A99" s="3" t="inlineStr">
        <is>
          <t>MAT-02-027</t>
        </is>
      </c>
      <c r="B99" s="3" t="inlineStr">
        <is>
          <t>Materiales</t>
        </is>
      </c>
      <c r="C99" s="3" t="inlineStr">
        <is>
          <t>Cemento, morteros y aditivos</t>
        </is>
      </c>
      <c r="D99" s="4" t="inlineStr">
        <is>
          <t>Derretido para cerámica, funda 11.3 kg</t>
        </is>
      </c>
      <c r="E99" s="4" t="inlineStr"/>
      <c r="F99" s="3" t="inlineStr">
        <is>
          <t>funda</t>
        </is>
      </c>
      <c r="G99" s="3" t="inlineStr">
        <is>
          <t>Pisos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3100</v>
      </c>
      <c r="L99" s="6" t="n">
        <v>1475</v>
      </c>
      <c r="M99" s="6" t="n">
        <v>3425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2026-09-10</t>
        </is>
      </c>
      <c r="Q99" s="4" t="inlineStr">
        <is>
          <t>La Ibérica</t>
        </is>
      </c>
      <c r="AH99" s="4" t="inlineStr">
        <is>
          <t>kg: 11.3</t>
        </is>
      </c>
    </row>
    <row r="100">
      <c r="A100" s="3" t="inlineStr">
        <is>
          <t>MAT-02-028</t>
        </is>
      </c>
      <c r="B100" s="3" t="inlineStr">
        <is>
          <t>Materiales</t>
        </is>
      </c>
      <c r="C100" s="3" t="inlineStr">
        <is>
          <t>Cemento, morteros y aditivos</t>
        </is>
      </c>
      <c r="D100" s="4" t="inlineStr">
        <is>
          <t>Derretido para cerámica, funda 22.7 kg</t>
        </is>
      </c>
      <c r="E100" s="4" t="inlineStr"/>
      <c r="F100" s="3" t="inlineStr">
        <is>
          <t>funda</t>
        </is>
      </c>
      <c r="G100" s="3" t="inlineStr">
        <is>
          <t>Pisos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1365.01</v>
      </c>
      <c r="L100" s="6" t="n">
        <v>1280.01</v>
      </c>
      <c r="M100" s="6" t="n">
        <v>1450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2026-09-10</t>
        </is>
      </c>
      <c r="Q100" s="4" t="inlineStr">
        <is>
          <t>La Ibérica</t>
        </is>
      </c>
      <c r="AH100" s="4" t="inlineStr">
        <is>
          <t>kg: 22.7</t>
        </is>
      </c>
    </row>
    <row r="101">
      <c r="A101" s="3" t="inlineStr">
        <is>
          <t>MAT-02-029</t>
        </is>
      </c>
      <c r="B101" s="3" t="inlineStr">
        <is>
          <t>Materiales</t>
        </is>
      </c>
      <c r="C101" s="3" t="inlineStr">
        <is>
          <t>Cemento, morteros y aditivos</t>
        </is>
      </c>
      <c r="D101" s="4" t="inlineStr">
        <is>
          <t>Derretido para cerámica, funda 4.5 kg</t>
        </is>
      </c>
      <c r="E101" s="4" t="inlineStr"/>
      <c r="F101" s="3" t="inlineStr">
        <is>
          <t>funda</t>
        </is>
      </c>
      <c r="G101" s="3" t="inlineStr">
        <is>
          <t>Pisos</t>
        </is>
      </c>
      <c r="H101" s="3" t="inlineStr">
        <is>
          <t>estandar</t>
        </is>
      </c>
      <c r="I101" s="3" t="inlineStr">
        <is>
          <t>importado</t>
        </is>
      </c>
      <c r="J101" s="5" t="n">
        <v>1</v>
      </c>
      <c r="K101" s="6" t="n">
        <v>1435</v>
      </c>
      <c r="L101" s="6" t="n">
        <v>1200</v>
      </c>
      <c r="M101" s="6" t="n">
        <v>2159.4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2026-09-10</t>
        </is>
      </c>
      <c r="Q101" s="4" t="inlineStr">
        <is>
          <t>La Ibérica</t>
        </is>
      </c>
      <c r="AH101" s="4" t="inlineStr">
        <is>
          <t>kg: 4.5</t>
        </is>
      </c>
    </row>
    <row r="102">
      <c r="A102" s="3" t="inlineStr">
        <is>
          <t>MAT-02-030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Estuco blanco, funda 14 kg</t>
        </is>
      </c>
      <c r="E102" s="4" t="inlineStr"/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2</v>
      </c>
      <c r="K102" s="6" t="n">
        <v>590.12</v>
      </c>
      <c r="L102" s="6" t="n">
        <v>550.23</v>
      </c>
      <c r="M102" s="6" t="n">
        <v>630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Ferremix (Grupo Alterra) · Ferretería Ochoa (8A)</t>
        </is>
      </c>
      <c r="AH102" s="4" t="inlineStr">
        <is>
          <t>color: blanco · kg: 14</t>
        </is>
      </c>
    </row>
    <row r="103">
      <c r="A103" s="3" t="inlineStr">
        <is>
          <t>MAT-02-031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Estuco blanco, funda 15.9 kg</t>
        </is>
      </c>
      <c r="E103" s="4" t="inlineStr"/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1</v>
      </c>
      <c r="K103" s="6" t="n">
        <v>745</v>
      </c>
      <c r="L103" s="6" t="n">
        <v>745</v>
      </c>
      <c r="M103" s="6" t="n">
        <v>745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Max Ferretería</t>
        </is>
      </c>
      <c r="AH103" s="4" t="inlineStr">
        <is>
          <t>color: blanco · kg: 15.9</t>
        </is>
      </c>
    </row>
    <row r="104">
      <c r="A104" s="3" t="inlineStr">
        <is>
          <t>MAT-02-032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Estuco gris, funda 14 kg</t>
        </is>
      </c>
      <c r="E104" s="4" t="inlineStr"/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435</v>
      </c>
      <c r="L104" s="6" t="n">
        <v>435</v>
      </c>
      <c r="M104" s="6" t="n">
        <v>435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Ferremix (Grupo Alterra)</t>
        </is>
      </c>
      <c r="AH104" s="4" t="inlineStr">
        <is>
          <t>color: gris · kg: 14</t>
        </is>
      </c>
    </row>
    <row r="105">
      <c r="A105" s="3" t="inlineStr">
        <is>
          <t>MAT-02-033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Yeso en funda de 22.7 kg</t>
        </is>
      </c>
      <c r="E105" s="4" t="inlineStr"/>
      <c r="F105" s="3" t="inlineStr">
        <is>
          <t>funda</t>
        </is>
      </c>
      <c r="G105" s="3" t="inlineStr">
        <is>
          <t>Terminación de superficies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1720</v>
      </c>
      <c r="L105" s="6" t="n">
        <v>1720</v>
      </c>
      <c r="M105" s="6" t="n">
        <v>1720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2026-09-10</t>
        </is>
      </c>
      <c r="Q105" s="4" t="inlineStr">
        <is>
          <t>Ferremix (Grupo Alterra)</t>
        </is>
      </c>
      <c r="AH105" s="4" t="inlineStr">
        <is>
          <t>kg: 22.7</t>
        </is>
      </c>
    </row>
    <row r="106">
      <c r="A106" s="3" t="inlineStr">
        <is>
          <t>MAT-02-034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Yeso en funda de 27 kg</t>
        </is>
      </c>
      <c r="E106" s="4" t="inlineStr"/>
      <c r="F106" s="3" t="inlineStr">
        <is>
          <t>funda</t>
        </is>
      </c>
      <c r="G106" s="3" t="inlineStr">
        <is>
          <t>Terminación de superficies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330</v>
      </c>
      <c r="L106" s="6" t="n">
        <v>330</v>
      </c>
      <c r="M106" s="6" t="n">
        <v>330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2026-09-09</t>
        </is>
      </c>
      <c r="Q106" s="4" t="inlineStr">
        <is>
          <t>Max Ferretería</t>
        </is>
      </c>
      <c r="AH106" s="4" t="inlineStr">
        <is>
          <t>kg: 27</t>
        </is>
      </c>
    </row>
    <row r="107">
      <c r="A107" s="3" t="inlineStr">
        <is>
          <t>MAT-02-035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Hormigón seco premezclado 180 kg/cm², funda 66 lb</t>
        </is>
      </c>
      <c r="E107" s="4" t="inlineStr"/>
      <c r="F107" s="3" t="inlineStr">
        <is>
          <t>funda</t>
        </is>
      </c>
      <c r="G107" s="3" t="inlineStr">
        <is>
          <t>Estructura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245.85</v>
      </c>
      <c r="L107" s="6" t="n">
        <v>245.85</v>
      </c>
      <c r="M107" s="6" t="n">
        <v>245.85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H107" s="4" t="inlineStr">
        <is>
          <t>resistencia: 180 · lb: 66</t>
        </is>
      </c>
    </row>
    <row r="108">
      <c r="A108" s="3" t="inlineStr">
        <is>
          <t>MAT-02-036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Hormigón seco premezclado 210 kg/cm², funda 66 lb</t>
        </is>
      </c>
      <c r="E108" s="4" t="inlineStr"/>
      <c r="F108" s="3" t="inlineStr">
        <is>
          <t>funda</t>
        </is>
      </c>
      <c r="G108" s="3" t="inlineStr">
        <is>
          <t>Estructura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253.1</v>
      </c>
      <c r="L108" s="6" t="n">
        <v>253.1</v>
      </c>
      <c r="M108" s="6" t="n">
        <v>253.1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2026-09-09</t>
        </is>
      </c>
      <c r="Q108" s="4" t="inlineStr">
        <is>
          <t>Ferretería Ochoa (8A)</t>
        </is>
      </c>
      <c r="AH108" s="4" t="inlineStr">
        <is>
          <t>resistencia: 210 · lb: 66</t>
        </is>
      </c>
    </row>
    <row r="109">
      <c r="A109" s="3" t="inlineStr">
        <is>
          <t>MAT-02-037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Aditivo para hormigón, 1 galón</t>
        </is>
      </c>
      <c r="E109" s="4" t="inlineStr"/>
      <c r="F109" s="3" t="inlineStr">
        <is>
          <t>unidad</t>
        </is>
      </c>
      <c r="G109" s="3" t="inlineStr">
        <is>
          <t>Estructura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1460</v>
      </c>
      <c r="L109" s="6" t="n">
        <v>1460</v>
      </c>
      <c r="M109" s="6" t="n">
        <v>1460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2026-09-09</t>
        </is>
      </c>
      <c r="Q109" s="4" t="inlineStr">
        <is>
          <t>InnovaCentro (La Innovación)</t>
        </is>
      </c>
      <c r="AC109" s="7" t="n">
        <v>1</v>
      </c>
    </row>
    <row r="110">
      <c r="A110" s="3" t="inlineStr">
        <is>
          <t>MAT-02-038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Aditivo para hormigón, 5 galón</t>
        </is>
      </c>
      <c r="E110" s="4" t="inlineStr"/>
      <c r="F110" s="3" t="inlineStr">
        <is>
          <t>unidad</t>
        </is>
      </c>
      <c r="G110" s="3" t="inlineStr">
        <is>
          <t>Estructura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6055</v>
      </c>
      <c r="L110" s="6" t="n">
        <v>6055</v>
      </c>
      <c r="M110" s="6" t="n">
        <v>6055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InnovaCentro (La Innovación)</t>
        </is>
      </c>
      <c r="AC110" s="7" t="n">
        <v>5</v>
      </c>
    </row>
    <row r="111">
      <c r="A111" s="3" t="inlineStr">
        <is>
          <t>MAT-02-039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Aditivo para hormigón fibra de refuerzo, 0.6 kg</t>
        </is>
      </c>
      <c r="E111" s="4" t="inlineStr"/>
      <c r="F111" s="3" t="inlineStr">
        <is>
          <t>unidad</t>
        </is>
      </c>
      <c r="G111" s="3" t="inlineStr">
        <is>
          <t>Estructura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454.75</v>
      </c>
      <c r="L111" s="6" t="n">
        <v>454.75</v>
      </c>
      <c r="M111" s="6" t="n">
        <v>454.75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InnovaCentro (La Innovación)</t>
        </is>
      </c>
      <c r="AG111" s="7" t="inlineStr">
        <is>
          <t>fibra de refuerzo</t>
        </is>
      </c>
      <c r="AH111" s="4" t="inlineStr">
        <is>
          <t>Peso (kg): 0.6</t>
        </is>
      </c>
    </row>
    <row r="112">
      <c r="A112" s="3" t="inlineStr">
        <is>
          <t>MAT-02-040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Aditivo para hormigón impermeabilizante, 1/2 galón</t>
        </is>
      </c>
      <c r="E112" s="4" t="inlineStr"/>
      <c r="F112" s="3" t="inlineStr">
        <is>
          <t>unidad</t>
        </is>
      </c>
      <c r="G112" s="3" t="inlineStr">
        <is>
          <t>Estructura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535</v>
      </c>
      <c r="L112" s="6" t="n">
        <v>465</v>
      </c>
      <c r="M112" s="6" t="n">
        <v>570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InnovaCentro (La Innovación)</t>
        </is>
      </c>
      <c r="AC112" s="7" t="n">
        <v>0.5</v>
      </c>
      <c r="AG112" s="7" t="inlineStr">
        <is>
          <t>impermeabilizante</t>
        </is>
      </c>
    </row>
    <row r="113">
      <c r="A113" s="3" t="inlineStr">
        <is>
          <t>MAT-02-041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Aditivo para hormigón impermeabilizante, 1/4 galón</t>
        </is>
      </c>
      <c r="E113" s="4" t="inlineStr"/>
      <c r="F113" s="3" t="inlineStr">
        <is>
          <t>unidad</t>
        </is>
      </c>
      <c r="G113" s="3" t="inlineStr">
        <is>
          <t>Estructura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395</v>
      </c>
      <c r="L113" s="6" t="n">
        <v>395</v>
      </c>
      <c r="M113" s="6" t="n">
        <v>395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InnovaCentro (La Innovación)</t>
        </is>
      </c>
      <c r="AC113" s="7" t="n">
        <v>0.25</v>
      </c>
      <c r="AG113" s="7" t="inlineStr">
        <is>
          <t>impermeabilizante</t>
        </is>
      </c>
    </row>
    <row r="114">
      <c r="A114" s="3" t="inlineStr">
        <is>
          <t>MAT-02-042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Aditivo para hormigón impermeabilizante, 1 galón</t>
        </is>
      </c>
      <c r="E114" s="4" t="inlineStr"/>
      <c r="F114" s="3" t="inlineStr">
        <is>
          <t>unidad</t>
        </is>
      </c>
      <c r="G114" s="3" t="inlineStr">
        <is>
          <t>Estructura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1072.5</v>
      </c>
      <c r="L114" s="6" t="n">
        <v>959</v>
      </c>
      <c r="M114" s="6" t="n">
        <v>1185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2026-09-09</t>
        </is>
      </c>
      <c r="Q114" s="4" t="inlineStr">
        <is>
          <t>InnovaCentro (La Innovación)</t>
        </is>
      </c>
      <c r="AC114" s="7" t="n">
        <v>1</v>
      </c>
      <c r="AG114" s="7" t="inlineStr">
        <is>
          <t>impermeabilizante</t>
        </is>
      </c>
    </row>
    <row r="115">
      <c r="A115" s="3" t="inlineStr">
        <is>
          <t>MAT-02-043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Aditivo para hormigón impermeabilizante, 32 oz</t>
        </is>
      </c>
      <c r="E115" s="4" t="inlineStr"/>
      <c r="F115" s="3" t="inlineStr">
        <is>
          <t>unidad</t>
        </is>
      </c>
      <c r="G115" s="3" t="inlineStr">
        <is>
          <t>Estructura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285</v>
      </c>
      <c r="L115" s="6" t="n">
        <v>265</v>
      </c>
      <c r="M115" s="6" t="n">
        <v>305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2026-09-09</t>
        </is>
      </c>
      <c r="Q115" s="4" t="inlineStr">
        <is>
          <t>InnovaCentro (La Innovación)</t>
        </is>
      </c>
      <c r="AG115" s="7" t="inlineStr">
        <is>
          <t>impermeabilizante</t>
        </is>
      </c>
      <c r="AH115" s="4" t="inlineStr">
        <is>
          <t>Capacidad (oz): 32</t>
        </is>
      </c>
    </row>
    <row r="116">
      <c r="A116" s="3" t="inlineStr">
        <is>
          <t>MAT-02-044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Aditivo para hormigón impermeabilizante, 5 galón</t>
        </is>
      </c>
      <c r="E116" s="4" t="inlineStr"/>
      <c r="F116" s="3" t="inlineStr">
        <is>
          <t>unidad</t>
        </is>
      </c>
      <c r="G116" s="3" t="inlineStr">
        <is>
          <t>Estructura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8617.5</v>
      </c>
      <c r="L116" s="6" t="n">
        <v>6300</v>
      </c>
      <c r="M116" s="6" t="n">
        <v>10935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InnovaCentro (La Innovación)</t>
        </is>
      </c>
      <c r="AC116" s="7" t="n">
        <v>5</v>
      </c>
      <c r="AG116" s="7" t="inlineStr">
        <is>
          <t>impermeabilizante</t>
        </is>
      </c>
    </row>
    <row r="117">
      <c r="A117" s="3" t="inlineStr">
        <is>
          <t>MAT-02-045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Aditivo para hormigón primer epóxico, 1 kg</t>
        </is>
      </c>
      <c r="E117" s="4" t="inlineStr"/>
      <c r="F117" s="3" t="inlineStr">
        <is>
          <t>unidad</t>
        </is>
      </c>
      <c r="G117" s="3" t="inlineStr">
        <is>
          <t>Estructura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1610.75</v>
      </c>
      <c r="L117" s="6" t="n">
        <v>1610.75</v>
      </c>
      <c r="M117" s="6" t="n">
        <v>1610.75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2026-09-09</t>
        </is>
      </c>
      <c r="Q117" s="4" t="inlineStr">
        <is>
          <t>InnovaCentro (La Innovación)</t>
        </is>
      </c>
      <c r="AG117" s="7" t="inlineStr">
        <is>
          <t>primer epóxico</t>
        </is>
      </c>
      <c r="AH117" s="4" t="inlineStr">
        <is>
          <t>Peso (kg): 1</t>
        </is>
      </c>
    </row>
    <row r="118">
      <c r="A118" s="3" t="inlineStr">
        <is>
          <t>MAT-02-046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Aditivo para hormigón texturizado, 1 galón</t>
        </is>
      </c>
      <c r="E118" s="4" t="inlineStr"/>
      <c r="F118" s="3" t="inlineStr">
        <is>
          <t>unidad</t>
        </is>
      </c>
      <c r="G118" s="3" t="inlineStr">
        <is>
          <t>Estructura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2005</v>
      </c>
      <c r="L118" s="6" t="n">
        <v>2005</v>
      </c>
      <c r="M118" s="6" t="n">
        <v>2005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InnovaCentro (La Innovación)</t>
        </is>
      </c>
      <c r="AC118" s="7" t="n">
        <v>1</v>
      </c>
      <c r="AG118" s="7" t="inlineStr">
        <is>
          <t>texturizado</t>
        </is>
      </c>
    </row>
    <row r="119">
      <c r="A119" s="3" t="inlineStr">
        <is>
          <t>MAT-02-047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Cemento autonivelante, 40 lb</t>
        </is>
      </c>
      <c r="E119" s="4" t="inlineStr"/>
      <c r="F119" s="3" t="inlineStr">
        <is>
          <t>unidad</t>
        </is>
      </c>
      <c r="G119" s="3" t="inlineStr">
        <is>
          <t>Estructura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3952.5</v>
      </c>
      <c r="L119" s="6" t="n">
        <v>3952.5</v>
      </c>
      <c r="M119" s="6" t="n">
        <v>3952.5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InnovaCentro (La Innovación)</t>
        </is>
      </c>
      <c r="AD119" s="7" t="n">
        <v>40</v>
      </c>
      <c r="AG119" s="7" t="inlineStr">
        <is>
          <t>autonivelante</t>
        </is>
      </c>
    </row>
    <row r="120">
      <c r="A120" s="3" t="inlineStr">
        <is>
          <t>MAT-02-048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Cemento blanco, 10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533.8</v>
      </c>
      <c r="L120" s="6" t="n">
        <v>533.8</v>
      </c>
      <c r="M120" s="6" t="n">
        <v>533.8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InnovaCentro (La Innovación)</t>
        </is>
      </c>
      <c r="AD120" s="7" t="n">
        <v>10</v>
      </c>
      <c r="AG120" s="7" t="inlineStr">
        <is>
          <t>blanco</t>
        </is>
      </c>
    </row>
    <row r="121">
      <c r="A121" s="3" t="inlineStr">
        <is>
          <t>MAT-02-049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Cemento gris, 10 lb</t>
        </is>
      </c>
      <c r="E121" s="4" t="inlineStr"/>
      <c r="F121" s="3" t="inlineStr">
        <is>
          <t>unidad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377.4</v>
      </c>
      <c r="L121" s="6" t="n">
        <v>377.4</v>
      </c>
      <c r="M121" s="6" t="n">
        <v>377.4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InnovaCentro (La Innovación)</t>
        </is>
      </c>
      <c r="AD121" s="7" t="n">
        <v>10</v>
      </c>
      <c r="AG121" s="7" t="inlineStr">
        <is>
          <t>gris</t>
        </is>
      </c>
    </row>
    <row r="122">
      <c r="A122" s="3" t="inlineStr">
        <is>
          <t>MAT-02-050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Cemento hidráulico,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949.45</v>
      </c>
      <c r="L122" s="6" t="n">
        <v>949.45</v>
      </c>
      <c r="M122" s="6" t="n">
        <v>949.45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C122" s="7" t="n">
        <v>1</v>
      </c>
      <c r="AG122" s="7" t="inlineStr">
        <is>
          <t>hidráulico</t>
        </is>
      </c>
    </row>
    <row r="123">
      <c r="A123" s="3" t="inlineStr">
        <is>
          <t>MAT-02-051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Cemento hidráulico, 40 lb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2817.75</v>
      </c>
      <c r="L123" s="6" t="n">
        <v>2817.75</v>
      </c>
      <c r="M123" s="6" t="n">
        <v>2817.75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D123" s="7" t="n">
        <v>40</v>
      </c>
      <c r="AG123" s="7" t="inlineStr">
        <is>
          <t>hidráulico</t>
        </is>
      </c>
    </row>
    <row r="124">
      <c r="A124" s="3" t="inlineStr">
        <is>
          <t>MAT-02-052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Derretido para cerámica, 10 lb</t>
        </is>
      </c>
      <c r="E124" s="4" t="inlineStr"/>
      <c r="F124" s="3" t="inlineStr">
        <is>
          <t>unidad</t>
        </is>
      </c>
      <c r="G124" s="3" t="inlineStr">
        <is>
          <t>Pisos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712</v>
      </c>
      <c r="L124" s="6" t="n">
        <v>712</v>
      </c>
      <c r="M124" s="6" t="n">
        <v>712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D124" s="7" t="n">
        <v>10</v>
      </c>
    </row>
    <row r="125">
      <c r="A125" s="3" t="inlineStr">
        <is>
          <t>MAT-02-053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Derretido para cerámica blanco, 10 lb</t>
        </is>
      </c>
      <c r="E125" s="4" t="inlineStr"/>
      <c r="F125" s="3" t="inlineStr">
        <is>
          <t>unidad</t>
        </is>
      </c>
      <c r="G125" s="3" t="inlineStr">
        <is>
          <t>Pisos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328</v>
      </c>
      <c r="L125" s="6" t="n">
        <v>328</v>
      </c>
      <c r="M125" s="6" t="n">
        <v>328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D125" s="7" t="n">
        <v>10</v>
      </c>
      <c r="AG125" s="7" t="inlineStr">
        <is>
          <t>blanco</t>
        </is>
      </c>
    </row>
    <row r="126">
      <c r="A126" s="3" t="inlineStr">
        <is>
          <t>MAT-02-054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Derretido para cerámica, 10 lb</t>
        </is>
      </c>
      <c r="E126" s="4" t="inlineStr"/>
      <c r="F126" s="3" t="inlineStr">
        <is>
          <t>unidad</t>
        </is>
      </c>
      <c r="G126" s="3" t="inlineStr">
        <is>
          <t>Pisos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668.95</v>
      </c>
      <c r="L126" s="6" t="n">
        <v>543.15</v>
      </c>
      <c r="M126" s="6" t="n">
        <v>786.25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D126" s="7" t="n">
        <v>10</v>
      </c>
      <c r="AG126" s="7" t="inlineStr">
        <is>
          <t>para cerámica</t>
        </is>
      </c>
    </row>
    <row r="127">
      <c r="A127" s="3" t="inlineStr">
        <is>
          <t>MAT-02-055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Derretido para cerámica, 50 lb</t>
        </is>
      </c>
      <c r="E127" s="4" t="inlineStr"/>
      <c r="F127" s="3" t="inlineStr">
        <is>
          <t>unidad</t>
        </is>
      </c>
      <c r="G127" s="3" t="inlineStr">
        <is>
          <t>Pisos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1365.1</v>
      </c>
      <c r="L127" s="6" t="n">
        <v>1365.1</v>
      </c>
      <c r="M127" s="6" t="n">
        <v>1365.1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D127" s="7" t="n">
        <v>50</v>
      </c>
      <c r="AG127" s="7" t="inlineStr">
        <is>
          <t>para cerámica</t>
        </is>
      </c>
    </row>
    <row r="128">
      <c r="A128" s="3" t="inlineStr">
        <is>
          <t>MAT-02-056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Mortero de anclaje, 22 kg</t>
        </is>
      </c>
      <c r="E128" s="4" t="inlineStr"/>
      <c r="F128" s="3" t="inlineStr">
        <is>
          <t>unidad</t>
        </is>
      </c>
      <c r="G128" s="3" t="inlineStr">
        <is>
          <t>Terminación de superficies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1270.75</v>
      </c>
      <c r="L128" s="6" t="n">
        <v>1270.75</v>
      </c>
      <c r="M128" s="6" t="n">
        <v>1270.75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G128" s="7" t="inlineStr">
        <is>
          <t>de anclaje</t>
        </is>
      </c>
      <c r="AH128" s="4" t="inlineStr">
        <is>
          <t>Peso (kg): 22</t>
        </is>
      </c>
    </row>
    <row r="129">
      <c r="A129" s="3" t="inlineStr">
        <is>
          <t>MAT-02-057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Mortero de pañete, 10 lb</t>
        </is>
      </c>
      <c r="E129" s="4" t="inlineStr"/>
      <c r="F129" s="3" t="inlineStr">
        <is>
          <t>unidad</t>
        </is>
      </c>
      <c r="G129" s="3" t="inlineStr">
        <is>
          <t>Terminación de superficies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135</v>
      </c>
      <c r="L129" s="6" t="n">
        <v>135</v>
      </c>
      <c r="M129" s="6" t="n">
        <v>135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D129" s="7" t="n">
        <v>10</v>
      </c>
      <c r="AG129" s="7" t="inlineStr">
        <is>
          <t>de pañete</t>
        </is>
      </c>
    </row>
    <row r="130">
      <c r="A130" s="3" t="inlineStr">
        <is>
          <t>MAT-02-058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Mortero gris, 50 lb</t>
        </is>
      </c>
      <c r="E130" s="4" t="inlineStr"/>
      <c r="F130" s="3" t="inlineStr">
        <is>
          <t>unidad</t>
        </is>
      </c>
      <c r="G130" s="3" t="inlineStr">
        <is>
          <t>Terminación de superficies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1308</v>
      </c>
      <c r="L130" s="6" t="n">
        <v>1308</v>
      </c>
      <c r="M130" s="6" t="n">
        <v>1308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D130" s="7" t="n">
        <v>50</v>
      </c>
      <c r="AG130" s="7" t="inlineStr">
        <is>
          <t>gris</t>
        </is>
      </c>
    </row>
    <row r="131">
      <c r="A131" s="3" t="inlineStr">
        <is>
          <t>MAT-02-059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Mortero impermeabilizante, 25 kg</t>
        </is>
      </c>
      <c r="E131" s="4" t="inlineStr"/>
      <c r="F131" s="3" t="inlineStr">
        <is>
          <t>unidad</t>
        </is>
      </c>
      <c r="G131" s="3" t="inlineStr">
        <is>
          <t>Terminación de superficies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2715.75</v>
      </c>
      <c r="L131" s="6" t="n">
        <v>2715.75</v>
      </c>
      <c r="M131" s="6" t="n">
        <v>2715.75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G131" s="7" t="inlineStr">
        <is>
          <t>impermeabilizante</t>
        </is>
      </c>
      <c r="AH131" s="4" t="inlineStr">
        <is>
          <t>Peso (kg): 25</t>
        </is>
      </c>
    </row>
    <row r="132">
      <c r="A132" s="3" t="inlineStr">
        <is>
          <t>MAT-02-060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Mortero para cerámica, 50 lb</t>
        </is>
      </c>
      <c r="E132" s="4" t="inlineStr"/>
      <c r="F132" s="3" t="inlineStr">
        <is>
          <t>unidad</t>
        </is>
      </c>
      <c r="G132" s="3" t="inlineStr">
        <is>
          <t>Terminación de superficies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2396</v>
      </c>
      <c r="L132" s="6" t="n">
        <v>2396</v>
      </c>
      <c r="M132" s="6" t="n">
        <v>2396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D132" s="7" t="n">
        <v>50</v>
      </c>
      <c r="AG132" s="7" t="inlineStr">
        <is>
          <t>para cerámica</t>
        </is>
      </c>
    </row>
    <row r="133">
      <c r="A133" s="3" t="inlineStr">
        <is>
          <t>MAT-02-061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Pegamento de cerámica para cerámica, 1/4 galón</t>
        </is>
      </c>
      <c r="E133" s="4" t="inlineStr"/>
      <c r="F133" s="3" t="inlineStr">
        <is>
          <t>unidad</t>
        </is>
      </c>
      <c r="G133" s="3" t="inlineStr">
        <is>
          <t>Pisos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625</v>
      </c>
      <c r="L133" s="6" t="n">
        <v>625</v>
      </c>
      <c r="M133" s="6" t="n">
        <v>625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C133" s="7" t="n">
        <v>0.25</v>
      </c>
      <c r="AG133" s="7" t="inlineStr">
        <is>
          <t>para cerámica</t>
        </is>
      </c>
    </row>
    <row r="134">
      <c r="A134" s="3" t="inlineStr">
        <is>
          <t>MAT-02-062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Pegamento de cerámica para cerámica, 1 galón</t>
        </is>
      </c>
      <c r="E134" s="4" t="inlineStr"/>
      <c r="F134" s="3" t="inlineStr">
        <is>
          <t>unidad</t>
        </is>
      </c>
      <c r="G134" s="3" t="inlineStr">
        <is>
          <t>Pisos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1845</v>
      </c>
      <c r="L134" s="6" t="n">
        <v>1845</v>
      </c>
      <c r="M134" s="6" t="n">
        <v>1845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C134" s="7" t="n">
        <v>1</v>
      </c>
      <c r="AG134" s="7" t="inlineStr">
        <is>
          <t>para cerámica</t>
        </is>
      </c>
    </row>
    <row r="135">
      <c r="A135" s="3" t="inlineStr">
        <is>
          <t>MAT-02-063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Pegamento de cerámica para cerámica, 10 lb</t>
        </is>
      </c>
      <c r="E135" s="4" t="inlineStr"/>
      <c r="F135" s="3" t="inlineStr">
        <is>
          <t>unidad</t>
        </is>
      </c>
      <c r="G135" s="3" t="inlineStr">
        <is>
          <t>Pisos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569.5</v>
      </c>
      <c r="L135" s="6" t="n">
        <v>437.75</v>
      </c>
      <c r="M135" s="6" t="n">
        <v>610.3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D135" s="7" t="n">
        <v>10</v>
      </c>
      <c r="AG135" s="7" t="inlineStr">
        <is>
          <t>para cerámica</t>
        </is>
      </c>
    </row>
    <row r="136">
      <c r="A136" s="3" t="inlineStr">
        <is>
          <t>MAT-02-064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Pegamento de cerámica para cerámica, 50 lb</t>
        </is>
      </c>
      <c r="E136" s="4" t="inlineStr"/>
      <c r="F136" s="3" t="inlineStr">
        <is>
          <t>unidad</t>
        </is>
      </c>
      <c r="G136" s="3" t="inlineStr">
        <is>
          <t>Pisos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330.5</v>
      </c>
      <c r="L136" s="6" t="n">
        <v>325</v>
      </c>
      <c r="M136" s="6" t="n">
        <v>336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D136" s="7" t="n">
        <v>50</v>
      </c>
      <c r="AG136" s="7" t="inlineStr">
        <is>
          <t>para cerámica</t>
        </is>
      </c>
    </row>
    <row r="137">
      <c r="A137" s="3" t="inlineStr">
        <is>
          <t>MAT-02-065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Yeso en polvo blanco, 10 lb</t>
        </is>
      </c>
      <c r="E137" s="4" t="inlineStr"/>
      <c r="F137" s="3" t="inlineStr">
        <is>
          <t>unidad</t>
        </is>
      </c>
      <c r="G137" s="3" t="inlineStr">
        <is>
          <t>Terminación de superficies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167</v>
      </c>
      <c r="L137" s="6" t="n">
        <v>167</v>
      </c>
      <c r="M137" s="6" t="n">
        <v>167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D137" s="7" t="n">
        <v>10</v>
      </c>
      <c r="AG137" s="7" t="inlineStr">
        <is>
          <t>blanco</t>
        </is>
      </c>
    </row>
    <row r="138">
      <c r="A138" s="3" t="inlineStr">
        <is>
          <t>MAT-02-066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Yeso en polvo blanco, 2 lb</t>
        </is>
      </c>
      <c r="E138" s="4" t="inlineStr"/>
      <c r="F138" s="3" t="inlineStr">
        <is>
          <t>unidad</t>
        </is>
      </c>
      <c r="G138" s="3" t="inlineStr">
        <is>
          <t>Terminación de superficies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3</v>
      </c>
      <c r="K138" s="6" t="n">
        <v>30</v>
      </c>
      <c r="L138" s="6" t="n">
        <v>28</v>
      </c>
      <c r="M138" s="6" t="n">
        <v>45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Ferretería Cima · InnovaCentro (La Innovación) · Max Ferretería</t>
        </is>
      </c>
      <c r="AD138" s="7" t="n">
        <v>2</v>
      </c>
      <c r="AG138" s="7" t="inlineStr">
        <is>
          <t>blanco</t>
        </is>
      </c>
    </row>
    <row r="139">
      <c r="A139" s="3" t="inlineStr">
        <is>
          <t>MAT-02-067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Cemento gris, funda de 5 libras</t>
        </is>
      </c>
      <c r="E139" s="4" t="inlineStr"/>
      <c r="F139" s="3" t="inlineStr">
        <is>
          <t>funda</t>
        </is>
      </c>
      <c r="G139" s="3" t="inlineStr">
        <is>
          <t>Terminación de superficies</t>
        </is>
      </c>
      <c r="H139" s="3" t="inlineStr">
        <is>
          <t>estandar</t>
        </is>
      </c>
      <c r="I139" s="3" t="inlineStr">
        <is>
          <t>nacional</t>
        </is>
      </c>
      <c r="J139" s="5" t="n">
        <v>2</v>
      </c>
      <c r="K139" s="6" t="n">
        <v>54.68</v>
      </c>
      <c r="L139" s="6" t="n">
        <v>34.36</v>
      </c>
      <c r="M139" s="6" t="n">
        <v>75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Ferretería Cima · Ferretería Ochoa (8A)</t>
        </is>
      </c>
    </row>
    <row r="140">
      <c r="A140" s="3" t="inlineStr">
        <is>
          <t>MAT-02-068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Cemento gris, funda de 10 libras</t>
        </is>
      </c>
      <c r="E140" s="4" t="inlineStr"/>
      <c r="F140" s="3" t="inlineStr">
        <is>
          <t>funda</t>
        </is>
      </c>
      <c r="G140" s="3" t="inlineStr">
        <is>
          <t>Terminación de superficies</t>
        </is>
      </c>
      <c r="H140" s="3" t="inlineStr">
        <is>
          <t>estandar</t>
        </is>
      </c>
      <c r="I140" s="3" t="inlineStr">
        <is>
          <t>nacional</t>
        </is>
      </c>
      <c r="J140" s="5" t="n">
        <v>2</v>
      </c>
      <c r="K140" s="6" t="n">
        <v>119.48</v>
      </c>
      <c r="L140" s="6" t="n">
        <v>65.95999999999999</v>
      </c>
      <c r="M140" s="6" t="n">
        <v>173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Ferretería Ochoa (8A) · InnovaCentro (La Innovación)</t>
        </is>
      </c>
    </row>
    <row r="141">
      <c r="A141" s="3" t="inlineStr">
        <is>
          <t>MAT-02-069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Cemento blanco, funda de 2 libras</t>
        </is>
      </c>
      <c r="E141" s="4" t="inlineStr"/>
      <c r="F141" s="3" t="inlineStr">
        <is>
          <t>funda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4</v>
      </c>
      <c r="K141" s="6" t="n">
        <v>57</v>
      </c>
      <c r="L141" s="6" t="n">
        <v>49.97</v>
      </c>
      <c r="M141" s="6" t="n">
        <v>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Ferretería Cima · Ferretería Ochoa (8A) · InnovaCentro (La Innovación) · Max Ferretería</t>
        </is>
      </c>
    </row>
    <row r="142">
      <c r="A142" s="3" t="inlineStr">
        <is>
          <t>MAT-02-070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Cemento blanco, funda de 5 libras</t>
        </is>
      </c>
      <c r="E142" s="4" t="inlineStr"/>
      <c r="F142" s="3" t="inlineStr">
        <is>
          <t>funda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4</v>
      </c>
      <c r="K142" s="6" t="n">
        <v>138.5</v>
      </c>
      <c r="L142" s="6" t="n">
        <v>109.93</v>
      </c>
      <c r="M142" s="6" t="n">
        <v>175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Ferretería Cima · Ferretería Ochoa (8A) · InnovaCentro (La Innovación) · Max Ferretería</t>
        </is>
      </c>
    </row>
    <row r="143">
      <c r="A143" s="3" t="inlineStr">
        <is>
          <t>MAT-02-071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Cemento blanco, funda de 10 libras</t>
        </is>
      </c>
      <c r="E143" s="4" t="inlineStr"/>
      <c r="F143" s="3" t="inlineStr">
        <is>
          <t>funda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159.1</v>
      </c>
      <c r="L143" s="6" t="n">
        <v>159.1</v>
      </c>
      <c r="M143" s="6" t="n">
        <v>159.1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Ferretería Ochoa (8A)</t>
        </is>
      </c>
    </row>
    <row r="144">
      <c r="A144" s="3" t="inlineStr">
        <is>
          <t>MAT-02-072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Yeso en polvo, por libra</t>
        </is>
      </c>
      <c r="E144" s="4" t="inlineStr"/>
      <c r="F144" s="3" t="inlineStr">
        <is>
          <t>lb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nacional</t>
        </is>
      </c>
      <c r="J144" s="5" t="n">
        <v>1</v>
      </c>
      <c r="K144" s="6" t="n">
        <v>4.8</v>
      </c>
      <c r="L144" s="6" t="n">
        <v>4.8</v>
      </c>
      <c r="M144" s="6" t="n">
        <v>4.8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Ferretería Ochoa (8A)</t>
        </is>
      </c>
    </row>
    <row r="145">
      <c r="A145" s="3" t="inlineStr">
        <is>
          <t>MAT-02-073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Yeso en polvo, funda de 5 libras</t>
        </is>
      </c>
      <c r="E145" s="4" t="inlineStr"/>
      <c r="F145" s="3" t="inlineStr">
        <is>
          <t>funda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nacional</t>
        </is>
      </c>
      <c r="J145" s="5" t="n">
        <v>1</v>
      </c>
      <c r="K145" s="6" t="n">
        <v>37.93</v>
      </c>
      <c r="L145" s="6" t="n">
        <v>37.93</v>
      </c>
      <c r="M145" s="6" t="n">
        <v>37.93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Ferretería Ochoa (8A)</t>
        </is>
      </c>
    </row>
    <row r="146">
      <c r="A146" s="3" t="inlineStr">
        <is>
          <t>MAT-02-074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Yeso en polvo Paloma, funda de 65 libras</t>
        </is>
      </c>
      <c r="E146" s="4" t="inlineStr"/>
      <c r="F146" s="3" t="inlineStr">
        <is>
          <t>funda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nacional</t>
        </is>
      </c>
      <c r="J146" s="5" t="n">
        <v>1</v>
      </c>
      <c r="K146" s="6" t="n">
        <v>373.64</v>
      </c>
      <c r="L146" s="6" t="n">
        <v>373.64</v>
      </c>
      <c r="M146" s="6" t="n">
        <v>373.64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Ferretería Ochoa (8A)</t>
        </is>
      </c>
    </row>
    <row r="147">
      <c r="A147" s="3" t="inlineStr">
        <is>
          <t>MAT-02-075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Fibra de acero para hormigón, funda de 5.3 kg</t>
        </is>
      </c>
      <c r="E147" s="4" t="inlineStr"/>
      <c r="F147" s="3" t="inlineStr">
        <is>
          <t>funda</t>
        </is>
      </c>
      <c r="G147" s="3" t="inlineStr">
        <is>
          <t>Estructura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1295.68</v>
      </c>
      <c r="L147" s="6" t="n">
        <v>1295.68</v>
      </c>
      <c r="M147" s="6" t="n">
        <v>1295.68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Ferretería Ochoa (8A)</t>
        </is>
      </c>
    </row>
    <row r="148">
      <c r="A148" s="3" t="inlineStr">
        <is>
          <t>MAT-02-076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Macrofibra sintética para hormigón, funda de 1.5 kg</t>
        </is>
      </c>
      <c r="E148" s="4" t="inlineStr"/>
      <c r="F148" s="3" t="inlineStr">
        <is>
          <t>funda</t>
        </is>
      </c>
      <c r="G148" s="3" t="inlineStr">
        <is>
          <t>Estructura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807.79</v>
      </c>
      <c r="L148" s="6" t="n">
        <v>807.79</v>
      </c>
      <c r="M148" s="6" t="n">
        <v>807.79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Ferretería Ochoa (8A)</t>
        </is>
      </c>
    </row>
    <row r="149">
      <c r="A149" s="3" t="inlineStr">
        <is>
          <t>MAT-04-027</t>
        </is>
      </c>
      <c r="B149" s="3" t="inlineStr">
        <is>
          <t>Materiales</t>
        </is>
      </c>
      <c r="C149" s="3" t="inlineStr">
        <is>
          <t>Acero de refuerzo y metales</t>
        </is>
      </c>
      <c r="D149" s="4" t="inlineStr">
        <is>
          <t>Alambre liso galvanizado calibre 10</t>
        </is>
      </c>
      <c r="E149" s="4" t="inlineStr"/>
      <c r="F149" s="3" t="inlineStr">
        <is>
          <t>lb</t>
        </is>
      </c>
      <c r="G149" s="3" t="inlineStr">
        <is>
          <t>Estructura</t>
        </is>
      </c>
      <c r="H149" s="3" t="inlineStr">
        <is>
          <t>estandar</t>
        </is>
      </c>
      <c r="I149" s="3" t="inlineStr">
        <is>
          <t>nacional</t>
        </is>
      </c>
      <c r="J149" s="5" t="n">
        <v>1</v>
      </c>
      <c r="K149" s="6" t="n">
        <v>61.12</v>
      </c>
      <c r="L149" s="6" t="n">
        <v>61.12</v>
      </c>
      <c r="M149" s="6" t="n">
        <v>61.12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Ferretería Ochoa (8A)</t>
        </is>
      </c>
    </row>
    <row r="150">
      <c r="A150" s="3" t="inlineStr">
        <is>
          <t>MAT-04-028</t>
        </is>
      </c>
      <c r="B150" s="3" t="inlineStr">
        <is>
          <t>Materiales</t>
        </is>
      </c>
      <c r="C150" s="3" t="inlineStr">
        <is>
          <t>Acero de refuerzo y metales</t>
        </is>
      </c>
      <c r="D150" s="4" t="inlineStr">
        <is>
          <t>Alambre liso galvanizado calibre 12</t>
        </is>
      </c>
      <c r="E150" s="4" t="inlineStr"/>
      <c r="F150" s="3" t="inlineStr">
        <is>
          <t>lb</t>
        </is>
      </c>
      <c r="G150" s="3" t="inlineStr">
        <is>
          <t>Estructura</t>
        </is>
      </c>
      <c r="H150" s="3" t="inlineStr">
        <is>
          <t>estandar</t>
        </is>
      </c>
      <c r="I150" s="3" t="inlineStr">
        <is>
          <t>nacional</t>
        </is>
      </c>
      <c r="J150" s="5" t="n">
        <v>1</v>
      </c>
      <c r="K150" s="6" t="n">
        <v>61.12</v>
      </c>
      <c r="L150" s="6" t="n">
        <v>61.12</v>
      </c>
      <c r="M150" s="6" t="n">
        <v>61.12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Ferretería Ochoa (8A)</t>
        </is>
      </c>
    </row>
    <row r="151">
      <c r="A151" s="3" t="inlineStr">
        <is>
          <t>MAT-04-029</t>
        </is>
      </c>
      <c r="B151" s="3" t="inlineStr">
        <is>
          <t>Materiales</t>
        </is>
      </c>
      <c r="C151" s="3" t="inlineStr">
        <is>
          <t>Acero de refuerzo y metales</t>
        </is>
      </c>
      <c r="D151" s="4" t="inlineStr">
        <is>
          <t>Alambre liso galvanizado calibre 16</t>
        </is>
      </c>
      <c r="E151" s="4" t="inlineStr"/>
      <c r="F151" s="3" t="inlineStr">
        <is>
          <t>lb</t>
        </is>
      </c>
      <c r="G151" s="3" t="inlineStr">
        <is>
          <t>Estructura</t>
        </is>
      </c>
      <c r="H151" s="3" t="inlineStr">
        <is>
          <t>estandar</t>
        </is>
      </c>
      <c r="I151" s="3" t="inlineStr">
        <is>
          <t>nacional</t>
        </is>
      </c>
      <c r="J151" s="5" t="n">
        <v>1</v>
      </c>
      <c r="K151" s="6" t="n">
        <v>56.59</v>
      </c>
      <c r="L151" s="6" t="n">
        <v>56.59</v>
      </c>
      <c r="M151" s="6" t="n">
        <v>56.59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Ochoa (8A)</t>
        </is>
      </c>
    </row>
    <row r="152">
      <c r="A152" s="3" t="inlineStr">
        <is>
          <t>MAT-04-030</t>
        </is>
      </c>
      <c r="B152" s="3" t="inlineStr">
        <is>
          <t>Materiales</t>
        </is>
      </c>
      <c r="C152" s="3" t="inlineStr">
        <is>
          <t>Acero de refuerzo y metales</t>
        </is>
      </c>
      <c r="D152" s="4" t="inlineStr">
        <is>
          <t>Separador plástico para varilla 3/8"</t>
        </is>
      </c>
      <c r="E152" s="4" t="inlineStr">
        <is>
          <t>La ficha no declara el recubrimiento</t>
        </is>
      </c>
      <c r="F152" s="3" t="inlineStr">
        <is>
          <t>unidad</t>
        </is>
      </c>
      <c r="G152" s="3" t="inlineStr">
        <is>
          <t>Estructura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30.48</v>
      </c>
      <c r="L152" s="6" t="n">
        <v>30.48</v>
      </c>
      <c r="M152" s="6" t="n">
        <v>30.48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Ochoa (8A)</t>
        </is>
      </c>
    </row>
    <row r="153">
      <c r="A153" s="3" t="inlineStr">
        <is>
          <t>MAT-04-031</t>
        </is>
      </c>
      <c r="B153" s="3" t="inlineStr">
        <is>
          <t>Materiales</t>
        </is>
      </c>
      <c r="C153" s="3" t="inlineStr">
        <is>
          <t>Acero de refuerzo y metales</t>
        </is>
      </c>
      <c r="D153" s="4" t="inlineStr">
        <is>
          <t>Separador plástico para varilla 1/2"</t>
        </is>
      </c>
      <c r="E153" s="4" t="inlineStr">
        <is>
          <t>La ficha no declara el recubrimiento</t>
        </is>
      </c>
      <c r="F153" s="3" t="inlineStr">
        <is>
          <t>unidad</t>
        </is>
      </c>
      <c r="G153" s="3" t="inlineStr">
        <is>
          <t>Estructura</t>
        </is>
      </c>
      <c r="H153" s="3" t="inlineStr">
        <is>
          <t>estandar</t>
        </is>
      </c>
      <c r="I153" s="3" t="inlineStr">
        <is>
          <t>importado</t>
        </is>
      </c>
      <c r="J153" s="5" t="n">
        <v>1</v>
      </c>
      <c r="K153" s="6" t="n">
        <v>45.71</v>
      </c>
      <c r="L153" s="6" t="n">
        <v>45.71</v>
      </c>
      <c r="M153" s="6" t="n">
        <v>45.71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</t>
        </is>
      </c>
    </row>
    <row r="154">
      <c r="A154" s="3" t="inlineStr">
        <is>
          <t>MAT-04-032</t>
        </is>
      </c>
      <c r="B154" s="3" t="inlineStr">
        <is>
          <t>Materiales</t>
        </is>
      </c>
      <c r="C154" s="3" t="inlineStr">
        <is>
          <t>Acero de refuerzo y metales</t>
        </is>
      </c>
      <c r="D154" s="4" t="inlineStr">
        <is>
          <t>Separador plástico para varilla 5/8"</t>
        </is>
      </c>
      <c r="E154" s="4" t="inlineStr">
        <is>
          <t>La ficha no declara el recubrimiento</t>
        </is>
      </c>
      <c r="F154" s="3" t="inlineStr">
        <is>
          <t>unidad</t>
        </is>
      </c>
      <c r="G154" s="3" t="inlineStr">
        <is>
          <t>Estructura</t>
        </is>
      </c>
      <c r="H154" s="3" t="inlineStr">
        <is>
          <t>estandar</t>
        </is>
      </c>
      <c r="I154" s="3" t="inlineStr">
        <is>
          <t>importado</t>
        </is>
      </c>
      <c r="J154" s="5" t="n">
        <v>1</v>
      </c>
      <c r="K154" s="6" t="n">
        <v>54.43</v>
      </c>
      <c r="L154" s="6" t="n">
        <v>54.43</v>
      </c>
      <c r="M154" s="6" t="n">
        <v>54.43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Ochoa (8A)</t>
        </is>
      </c>
    </row>
    <row r="155">
      <c r="A155" s="3" t="inlineStr">
        <is>
          <t>MAT-04-033</t>
        </is>
      </c>
      <c r="B155" s="3" t="inlineStr">
        <is>
          <t>Materiales</t>
        </is>
      </c>
      <c r="C155" s="3" t="inlineStr">
        <is>
          <t>Acero de refuerzo y metales</t>
        </is>
      </c>
      <c r="D155" s="4" t="inlineStr">
        <is>
          <t>Separador plástico para varilla 3/4"</t>
        </is>
      </c>
      <c r="E155" s="4" t="inlineStr">
        <is>
          <t>La ficha no declara el recubrimiento</t>
        </is>
      </c>
      <c r="F155" s="3" t="inlineStr">
        <is>
          <t>unidad</t>
        </is>
      </c>
      <c r="G155" s="3" t="inlineStr">
        <is>
          <t>Estructura</t>
        </is>
      </c>
      <c r="H155" s="3" t="inlineStr">
        <is>
          <t>estandar</t>
        </is>
      </c>
      <c r="I155" s="3" t="inlineStr">
        <is>
          <t>importado</t>
        </is>
      </c>
      <c r="J155" s="5" t="n">
        <v>1</v>
      </c>
      <c r="K155" s="6" t="n">
        <v>63.13</v>
      </c>
      <c r="L155" s="6" t="n">
        <v>63.13</v>
      </c>
      <c r="M155" s="6" t="n">
        <v>63.13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</t>
        </is>
      </c>
    </row>
    <row r="156">
      <c r="A156" s="3" t="inlineStr">
        <is>
          <t>MAT-04-034</t>
        </is>
      </c>
      <c r="B156" s="3" t="inlineStr">
        <is>
          <t>Materiales</t>
        </is>
      </c>
      <c r="C156" s="3" t="inlineStr">
        <is>
          <t>Acero de refuerzo y metales</t>
        </is>
      </c>
      <c r="D156" s="4" t="inlineStr">
        <is>
          <t>Separador plástico para varilla 1"</t>
        </is>
      </c>
      <c r="E156" s="4" t="inlineStr">
        <is>
          <t>La ficha no declara el recubrimiento</t>
        </is>
      </c>
      <c r="F156" s="3" t="inlineStr">
        <is>
          <t>unidad</t>
        </is>
      </c>
      <c r="G156" s="3" t="inlineStr">
        <is>
          <t>Estructura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70.75</v>
      </c>
      <c r="L156" s="6" t="n">
        <v>70.75</v>
      </c>
      <c r="M156" s="6" t="n">
        <v>70.75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MAT-04-035</t>
        </is>
      </c>
      <c r="B157" s="3" t="inlineStr">
        <is>
          <t>Materiales</t>
        </is>
      </c>
      <c r="C157" s="3" t="inlineStr">
        <is>
          <t>Acero de refuerzo y metales</t>
        </is>
      </c>
      <c r="D157" s="4" t="inlineStr">
        <is>
          <t>Separador plástico para varilla 1 1/4"</t>
        </is>
      </c>
      <c r="E157" s="4" t="inlineStr">
        <is>
          <t>La ficha no declara el recubrimiento</t>
        </is>
      </c>
      <c r="F157" s="3" t="inlineStr">
        <is>
          <t>unidad</t>
        </is>
      </c>
      <c r="G157" s="3" t="inlineStr">
        <is>
          <t>Estructura</t>
        </is>
      </c>
      <c r="H157" s="3" t="inlineStr">
        <is>
          <t>estandar</t>
        </is>
      </c>
      <c r="I157" s="3" t="inlineStr">
        <is>
          <t>importado</t>
        </is>
      </c>
      <c r="J157" s="5" t="n">
        <v>1</v>
      </c>
      <c r="K157" s="6" t="n">
        <v>78.36</v>
      </c>
      <c r="L157" s="6" t="n">
        <v>78.36</v>
      </c>
      <c r="M157" s="6" t="n">
        <v>78.36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MAT-04-036</t>
        </is>
      </c>
      <c r="B158" s="3" t="inlineStr">
        <is>
          <t>Materiales</t>
        </is>
      </c>
      <c r="C158" s="3" t="inlineStr">
        <is>
          <t>Acero de refuerzo y metales</t>
        </is>
      </c>
      <c r="D158" s="4" t="inlineStr">
        <is>
          <t>Coupler mecánico para varilla 3/4"</t>
        </is>
      </c>
      <c r="E158" s="4" t="inlineStr">
        <is>
          <t>Serie Q19</t>
        </is>
      </c>
      <c r="F158" s="3" t="inlineStr">
        <is>
          <t>unidad</t>
        </is>
      </c>
      <c r="G158" s="3" t="inlineStr">
        <is>
          <t>Estructura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228.57</v>
      </c>
      <c r="L158" s="6" t="n">
        <v>228.57</v>
      </c>
      <c r="M158" s="6" t="n">
        <v>228.57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MAT-04-037</t>
        </is>
      </c>
      <c r="B159" s="3" t="inlineStr">
        <is>
          <t>Materiales</t>
        </is>
      </c>
      <c r="C159" s="3" t="inlineStr">
        <is>
          <t>Acero de refuerzo y metales</t>
        </is>
      </c>
      <c r="D159" s="4" t="inlineStr">
        <is>
          <t>Coupler mecánico para varilla 1"</t>
        </is>
      </c>
      <c r="E159" s="4" t="inlineStr">
        <is>
          <t>Serie Q25</t>
        </is>
      </c>
      <c r="F159" s="3" t="inlineStr">
        <is>
          <t>unidad</t>
        </is>
      </c>
      <c r="G159" s="3" t="inlineStr">
        <is>
          <t>Estructura</t>
        </is>
      </c>
      <c r="H159" s="3" t="inlineStr">
        <is>
          <t>estandar</t>
        </is>
      </c>
      <c r="I159" s="3" t="inlineStr">
        <is>
          <t>importado</t>
        </is>
      </c>
      <c r="J159" s="5" t="n">
        <v>1</v>
      </c>
      <c r="K159" s="6" t="n">
        <v>434.26</v>
      </c>
      <c r="L159" s="6" t="n">
        <v>434.26</v>
      </c>
      <c r="M159" s="6" t="n">
        <v>434.26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MAT-04-038</t>
        </is>
      </c>
      <c r="B160" s="3" t="inlineStr">
        <is>
          <t>Materiales</t>
        </is>
      </c>
      <c r="C160" s="3" t="inlineStr">
        <is>
          <t>Acero de refuerzo y metales</t>
        </is>
      </c>
      <c r="D160" s="4" t="inlineStr">
        <is>
          <t>Coupler mecánico para varilla 1 1/8"</t>
        </is>
      </c>
      <c r="E160" s="4" t="inlineStr">
        <is>
          <t>Serie Q28</t>
        </is>
      </c>
      <c r="F160" s="3" t="inlineStr">
        <is>
          <t>unidad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697.6799999999999</v>
      </c>
      <c r="L160" s="6" t="n">
        <v>697.6799999999999</v>
      </c>
      <c r="M160" s="6" t="n">
        <v>697.6799999999999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MAT-04-039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Coupler mecánico para varilla 1 1/4"</t>
        </is>
      </c>
      <c r="E161" s="4" t="inlineStr">
        <is>
          <t>Serie Q32</t>
        </is>
      </c>
      <c r="F161" s="3" t="inlineStr">
        <is>
          <t>unidad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854.4</v>
      </c>
      <c r="L161" s="6" t="n">
        <v>854.4</v>
      </c>
      <c r="M161" s="6" t="n">
        <v>854.4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MAT-04-040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Coupler mecánico para varilla 1 3/8"</t>
        </is>
      </c>
      <c r="E162" s="4" t="inlineStr">
        <is>
          <t>Serie Q35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1066.64</v>
      </c>
      <c r="L162" s="6" t="n">
        <v>1066.64</v>
      </c>
      <c r="M162" s="6" t="n">
        <v>1066.64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MAT-04-041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Alambre galvanizado picado, caja de 50 lb</t>
        </is>
      </c>
      <c r="E163" s="4" t="inlineStr">
        <is>
          <t>La ficha no declara el calibre</t>
        </is>
      </c>
      <c r="F163" s="3" t="inlineStr">
        <is>
          <t>caja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2488.96</v>
      </c>
      <c r="L163" s="6" t="n">
        <v>2488.96</v>
      </c>
      <c r="M163" s="6" t="n">
        <v>2488.96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MAT-04-042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picado calibre 16, paquete de 10 lb</t>
        </is>
      </c>
      <c r="E164" s="4" t="inlineStr"/>
      <c r="F164" s="3" t="inlineStr">
        <is>
          <t>paquete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importado</t>
        </is>
      </c>
      <c r="J164" s="5" t="n">
        <v>1</v>
      </c>
      <c r="K164" s="6" t="n">
        <v>619.63</v>
      </c>
      <c r="L164" s="6" t="n">
        <v>619.63</v>
      </c>
      <c r="M164" s="6" t="n">
        <v>619.63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MAT-06-018</t>
        </is>
      </c>
      <c r="B165" s="3" t="inlineStr">
        <is>
          <t>Materiales</t>
        </is>
      </c>
      <c r="C165" s="3" t="inlineStr">
        <is>
          <t>Madera y encofrado</t>
        </is>
      </c>
      <c r="D165" s="4" t="inlineStr">
        <is>
          <t>Madera de pino americano cepillada, 1" x 10" x 16 pies</t>
        </is>
      </c>
      <c r="E165" s="4" t="inlineStr"/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importado</t>
        </is>
      </c>
      <c r="J165" s="5" t="n">
        <v>1</v>
      </c>
      <c r="K165" s="6" t="n">
        <v>1425</v>
      </c>
      <c r="L165" s="6" t="n">
        <v>1425</v>
      </c>
      <c r="M165" s="6" t="n">
        <v>1425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Max Ferretería</t>
        </is>
      </c>
      <c r="AB165" s="7" t="n">
        <v>16</v>
      </c>
      <c r="AH165" s="4" t="inlineStr">
        <is>
          <t>especie: pino americano · escuadria: 1" x 10" · acabado: cepillada</t>
        </is>
      </c>
    </row>
    <row r="166">
      <c r="A166" s="3" t="inlineStr">
        <is>
          <t>MAT-06-019</t>
        </is>
      </c>
      <c r="B166" s="3" t="inlineStr">
        <is>
          <t>Materiales</t>
        </is>
      </c>
      <c r="C166" s="3" t="inlineStr">
        <is>
          <t>Madera y encofrado</t>
        </is>
      </c>
      <c r="D166" s="4" t="inlineStr">
        <is>
          <t>Madera de pino americano cepillada, 1" x 4" x 10 pies</t>
        </is>
      </c>
      <c r="E166" s="4" t="inlineStr"/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importado</t>
        </is>
      </c>
      <c r="J166" s="5" t="n">
        <v>1</v>
      </c>
      <c r="K166" s="6" t="n">
        <v>310.01</v>
      </c>
      <c r="L166" s="6" t="n">
        <v>310.01</v>
      </c>
      <c r="M166" s="6" t="n">
        <v>310.01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Max Ferretería</t>
        </is>
      </c>
      <c r="AB166" s="7" t="n">
        <v>10</v>
      </c>
      <c r="AH166" s="4" t="inlineStr">
        <is>
          <t>especie: pino americano · escuadria: 1" x 4" · acabado: cepillada</t>
        </is>
      </c>
    </row>
    <row r="167">
      <c r="A167" s="3" t="inlineStr">
        <is>
          <t>MAT-06-020</t>
        </is>
      </c>
      <c r="B167" s="3" t="inlineStr">
        <is>
          <t>Materiales</t>
        </is>
      </c>
      <c r="C167" s="3" t="inlineStr">
        <is>
          <t>Madera y encofrado</t>
        </is>
      </c>
      <c r="D167" s="4" t="inlineStr">
        <is>
          <t>Madera de pino americano cepillada, 2" x 4" x 12 pies</t>
        </is>
      </c>
      <c r="E167" s="4" t="inlineStr"/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635.01</v>
      </c>
      <c r="L167" s="6" t="n">
        <v>635.01</v>
      </c>
      <c r="M167" s="6" t="n">
        <v>635.01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Max Ferretería</t>
        </is>
      </c>
      <c r="AB167" s="7" t="n">
        <v>12</v>
      </c>
      <c r="AH167" s="4" t="inlineStr">
        <is>
          <t>especie: pino americano · escuadria: 2" x 4" · acabado: cepillada</t>
        </is>
      </c>
    </row>
    <row r="168">
      <c r="A168" s="3" t="inlineStr">
        <is>
          <t>MAT-06-021</t>
        </is>
      </c>
      <c r="B168" s="3" t="inlineStr">
        <is>
          <t>Materiales</t>
        </is>
      </c>
      <c r="C168" s="3" t="inlineStr">
        <is>
          <t>Madera y encofrado</t>
        </is>
      </c>
      <c r="D168" s="4" t="inlineStr">
        <is>
          <t>Madera de pino americano bruta, 2" x 4" x 16 pies</t>
        </is>
      </c>
      <c r="E168" s="4" t="inlineStr"/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1010</v>
      </c>
      <c r="L168" s="6" t="n">
        <v>1010</v>
      </c>
      <c r="M168" s="6" t="n">
        <v>1010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Max Ferretería</t>
        </is>
      </c>
      <c r="AB168" s="7" t="n">
        <v>16</v>
      </c>
      <c r="AH168" s="4" t="inlineStr">
        <is>
          <t>especie: pino americano · escuadria: 2" x 4" · acabado: bruta</t>
        </is>
      </c>
    </row>
    <row r="169">
      <c r="A169" s="3" t="inlineStr">
        <is>
          <t>MAT-06-022</t>
        </is>
      </c>
      <c r="B169" s="3" t="inlineStr">
        <is>
          <t>Materiales</t>
        </is>
      </c>
      <c r="C169" s="3" t="inlineStr">
        <is>
          <t>Madera y encofrado</t>
        </is>
      </c>
      <c r="D169" s="4" t="inlineStr">
        <is>
          <t>Plywood de formaleta 3/4", 4 x 8 pies</t>
        </is>
      </c>
      <c r="E169" s="4" t="inlineStr"/>
      <c r="F169" s="3" t="inlineStr">
        <is>
          <t>plancha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2470</v>
      </c>
      <c r="L169" s="6" t="n">
        <v>2470</v>
      </c>
      <c r="M169" s="6" t="n">
        <v>2470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Max Ferretería</t>
        </is>
      </c>
      <c r="W169" s="7" t="inlineStr">
        <is>
          <t>4 x 8 pies</t>
        </is>
      </c>
      <c r="AH169" s="4" t="inlineStr">
        <is>
          <t>material: Plywood de formaleta · espesor: 3/4"</t>
        </is>
      </c>
    </row>
    <row r="170">
      <c r="A170" s="3" t="inlineStr">
        <is>
          <t>MAT-06-023</t>
        </is>
      </c>
      <c r="B170" s="3" t="inlineStr">
        <is>
          <t>Materiales</t>
        </is>
      </c>
      <c r="C170" s="3" t="inlineStr">
        <is>
          <t>Madera y encofrado</t>
        </is>
      </c>
      <c r="D170" s="4" t="inlineStr">
        <is>
          <t>Plywood de okume 1/4", 4 x 8 pies</t>
        </is>
      </c>
      <c r="E170" s="4" t="inlineStr"/>
      <c r="F170" s="3" t="inlineStr">
        <is>
          <t>plancha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849.6</v>
      </c>
      <c r="L170" s="6" t="n">
        <v>849.6</v>
      </c>
      <c r="M170" s="6" t="n">
        <v>849.6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Max Ferretería</t>
        </is>
      </c>
      <c r="W170" s="7" t="inlineStr">
        <is>
          <t>4 x 8 pies</t>
        </is>
      </c>
      <c r="AH170" s="4" t="inlineStr">
        <is>
          <t>material: Plywood de okume · espesor: 1/4"</t>
        </is>
      </c>
    </row>
    <row r="171">
      <c r="A171" s="3" t="inlineStr">
        <is>
          <t>MAT-06-024</t>
        </is>
      </c>
      <c r="B171" s="3" t="inlineStr">
        <is>
          <t>Materiales</t>
        </is>
      </c>
      <c r="C171" s="3" t="inlineStr">
        <is>
          <t>Madera y encofrado</t>
        </is>
      </c>
      <c r="D171" s="4" t="inlineStr">
        <is>
          <t>Plywood MDF hidrófugo 1/2", 4 x 8 pies</t>
        </is>
      </c>
      <c r="E171" s="4" t="inlineStr"/>
      <c r="F171" s="3" t="inlineStr">
        <is>
          <t>plancha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1735</v>
      </c>
      <c r="L171" s="6" t="n">
        <v>1735</v>
      </c>
      <c r="M171" s="6" t="n">
        <v>1735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Max Ferretería</t>
        </is>
      </c>
      <c r="W171" s="7" t="inlineStr">
        <is>
          <t>4 x 8 pies</t>
        </is>
      </c>
      <c r="AH171" s="4" t="inlineStr">
        <is>
          <t>material: Plywood MDF hidrófugo · espesor: 1/2"</t>
        </is>
      </c>
    </row>
    <row r="172">
      <c r="A172" s="3" t="inlineStr">
        <is>
          <t>MAT-06-025</t>
        </is>
      </c>
      <c r="B172" s="3" t="inlineStr">
        <is>
          <t>Materiales</t>
        </is>
      </c>
      <c r="C172" s="3" t="inlineStr">
        <is>
          <t>Madera y encofrado</t>
        </is>
      </c>
      <c r="D172" s="4" t="inlineStr">
        <is>
          <t>Plywood, 4'X8'X/4" calibre 1/4"</t>
        </is>
      </c>
      <c r="E172" s="4" t="inlineStr"/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825</v>
      </c>
      <c r="L172" s="6" t="n">
        <v>825</v>
      </c>
      <c r="M172" s="6" t="n">
        <v>825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InnovaCentro (La Innovación)</t>
        </is>
      </c>
      <c r="AE172" s="7" t="inlineStr">
        <is>
          <t>1/4"</t>
        </is>
      </c>
      <c r="AF172" s="7" t="inlineStr">
        <is>
          <t>4'X8'X/4"</t>
        </is>
      </c>
    </row>
    <row r="173">
      <c r="A173" s="3" t="inlineStr">
        <is>
          <t>MAT-06-026</t>
        </is>
      </c>
      <c r="B173" s="3" t="inlineStr">
        <is>
          <t>Materiales</t>
        </is>
      </c>
      <c r="C173" s="3" t="inlineStr">
        <is>
          <t>Madera y encofrado</t>
        </is>
      </c>
      <c r="D173" s="4" t="inlineStr">
        <is>
          <t>Plywood, 4'X8'X1/4"</t>
        </is>
      </c>
      <c r="E173" s="4" t="inlineStr"/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780</v>
      </c>
      <c r="L173" s="6" t="n">
        <v>780</v>
      </c>
      <c r="M173" s="6" t="n">
        <v>780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InnovaCentro (La Innovación)</t>
        </is>
      </c>
      <c r="AE173" s="7" t="inlineStr">
        <is>
          <t>1/4"</t>
        </is>
      </c>
      <c r="AF173" s="7" t="inlineStr">
        <is>
          <t>4'X8'X1/4"</t>
        </is>
      </c>
    </row>
    <row r="174">
      <c r="A174" s="3" t="inlineStr">
        <is>
          <t>MAT-06-027</t>
        </is>
      </c>
      <c r="B174" s="3" t="inlineStr">
        <is>
          <t>Materiales</t>
        </is>
      </c>
      <c r="C174" s="3" t="inlineStr">
        <is>
          <t>Madera y encofrado</t>
        </is>
      </c>
      <c r="D174" s="4" t="inlineStr">
        <is>
          <t>Plywood, 4'X8'X1/8"</t>
        </is>
      </c>
      <c r="E174" s="4" t="inlineStr"/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475</v>
      </c>
      <c r="L174" s="6" t="n">
        <v>475</v>
      </c>
      <c r="M174" s="6" t="n">
        <v>475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InnovaCentro (La Innovación)</t>
        </is>
      </c>
      <c r="AE174" s="7" t="inlineStr">
        <is>
          <t>1/8"</t>
        </is>
      </c>
      <c r="AF174" s="7" t="inlineStr">
        <is>
          <t>4'X8'X1/8"</t>
        </is>
      </c>
    </row>
    <row r="175">
      <c r="A175" s="3" t="inlineStr">
        <is>
          <t>MAT-06-028</t>
        </is>
      </c>
      <c r="B175" s="3" t="inlineStr">
        <is>
          <t>Materiales</t>
        </is>
      </c>
      <c r="C175" s="3" t="inlineStr">
        <is>
          <t>Madera y encofrado</t>
        </is>
      </c>
      <c r="D175" s="4" t="inlineStr">
        <is>
          <t>Plywood, 4'X8'X3/8"</t>
        </is>
      </c>
      <c r="E175" s="4" t="inlineStr"/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1180</v>
      </c>
      <c r="L175" s="6" t="n">
        <v>1115</v>
      </c>
      <c r="M175" s="6" t="n">
        <v>1245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InnovaCentro (La Innovación)</t>
        </is>
      </c>
      <c r="AE175" s="7" t="inlineStr">
        <is>
          <t>3/8"</t>
        </is>
      </c>
      <c r="AF175" s="7" t="inlineStr">
        <is>
          <t>4'X8'X3/8"</t>
        </is>
      </c>
    </row>
    <row r="176">
      <c r="A176" s="3" t="inlineStr">
        <is>
          <t>MAT-06-029</t>
        </is>
      </c>
      <c r="B176" s="3" t="inlineStr">
        <is>
          <t>Materiales</t>
        </is>
      </c>
      <c r="C176" s="3" t="inlineStr">
        <is>
          <t>Madera y encofrado</t>
        </is>
      </c>
      <c r="D176" s="4" t="inlineStr">
        <is>
          <t>Plywood, 4X8'</t>
        </is>
      </c>
      <c r="E176" s="4" t="inlineStr"/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1995</v>
      </c>
      <c r="L176" s="6" t="n">
        <v>1995</v>
      </c>
      <c r="M176" s="6" t="n">
        <v>1995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InnovaCentro (La Innovación)</t>
        </is>
      </c>
      <c r="AF176" s="7" t="inlineStr">
        <is>
          <t>4X8'</t>
        </is>
      </c>
    </row>
    <row r="177">
      <c r="A177" s="3" t="inlineStr">
        <is>
          <t>MAT-07-011</t>
        </is>
      </c>
      <c r="B177" s="3" t="inlineStr">
        <is>
          <t>Materiales</t>
        </is>
      </c>
      <c r="C177" s="3" t="inlineStr">
        <is>
          <t>Techos e impermeabilización</t>
        </is>
      </c>
      <c r="D177" s="4" t="inlineStr">
        <is>
          <t>Zinc acanalado calibre 29, 3 x 6 pies</t>
        </is>
      </c>
      <c r="E177" s="4" t="inlineStr"/>
      <c r="F177" s="3" t="inlineStr">
        <is>
          <t>plancha</t>
        </is>
      </c>
      <c r="G177" s="3" t="inlineStr">
        <is>
          <t>Techos</t>
        </is>
      </c>
      <c r="H177" s="3" t="inlineStr">
        <is>
          <t>economica</t>
        </is>
      </c>
      <c r="I177" s="3" t="inlineStr">
        <is>
          <t>nacional</t>
        </is>
      </c>
      <c r="J177" s="5" t="n">
        <v>2</v>
      </c>
      <c r="K177" s="6" t="n">
        <v>296.18</v>
      </c>
      <c r="L177" s="6" t="n">
        <v>270.21</v>
      </c>
      <c r="M177" s="6" t="n">
        <v>338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 · InnovaCentro (La Innovación)</t>
        </is>
      </c>
    </row>
    <row r="178">
      <c r="A178" s="3" t="inlineStr">
        <is>
          <t>MAT-07-012</t>
        </is>
      </c>
      <c r="B178" s="3" t="inlineStr">
        <is>
          <t>Materiales</t>
        </is>
      </c>
      <c r="C178" s="3" t="inlineStr">
        <is>
          <t>Techos e impermeabilización</t>
        </is>
      </c>
      <c r="D178" s="4" t="inlineStr">
        <is>
          <t>Zinc acanalado calibre 29, 3 x 12 pies</t>
        </is>
      </c>
      <c r="E178" s="4" t="inlineStr"/>
      <c r="F178" s="3" t="inlineStr">
        <is>
          <t>plancha</t>
        </is>
      </c>
      <c r="G178" s="3" t="inlineStr">
        <is>
          <t>Techos</t>
        </is>
      </c>
      <c r="H178" s="3" t="inlineStr">
        <is>
          <t>economica</t>
        </is>
      </c>
      <c r="I178" s="3" t="inlineStr">
        <is>
          <t>nacional</t>
        </is>
      </c>
      <c r="J178" s="5" t="n">
        <v>1</v>
      </c>
      <c r="K178" s="6" t="n">
        <v>592.36</v>
      </c>
      <c r="L178" s="6" t="n">
        <v>592.36</v>
      </c>
      <c r="M178" s="6" t="n">
        <v>592.36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MAT-07-013</t>
        </is>
      </c>
      <c r="B179" s="3" t="inlineStr">
        <is>
          <t>Materiales</t>
        </is>
      </c>
      <c r="C179" s="3" t="inlineStr">
        <is>
          <t>Techos e impermeabilización</t>
        </is>
      </c>
      <c r="D179" s="4" t="inlineStr">
        <is>
          <t>Zinc acanalado calibre 34, 3 x 6 pies</t>
        </is>
      </c>
      <c r="E179" s="4" t="inlineStr"/>
      <c r="F179" s="3" t="inlineStr">
        <is>
          <t>plancha</t>
        </is>
      </c>
      <c r="G179" s="3" t="inlineStr">
        <is>
          <t>Techos</t>
        </is>
      </c>
      <c r="H179" s="3" t="inlineStr">
        <is>
          <t>economica</t>
        </is>
      </c>
      <c r="I179" s="3" t="inlineStr">
        <is>
          <t>nacional</t>
        </is>
      </c>
      <c r="J179" s="5" t="n">
        <v>3</v>
      </c>
      <c r="K179" s="6" t="n">
        <v>245</v>
      </c>
      <c r="L179" s="6" t="n">
        <v>208.33</v>
      </c>
      <c r="M179" s="6" t="n">
        <v>275.01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 · InnovaCentro (La Innovación) · Max Ferretería</t>
        </is>
      </c>
    </row>
    <row r="180">
      <c r="A180" s="3" t="inlineStr">
        <is>
          <t>MAT-07-014</t>
        </is>
      </c>
      <c r="B180" s="3" t="inlineStr">
        <is>
          <t>Materiales</t>
        </is>
      </c>
      <c r="C180" s="3" t="inlineStr">
        <is>
          <t>Techos e impermeabilización</t>
        </is>
      </c>
      <c r="D180" s="4" t="inlineStr">
        <is>
          <t>Zinc acanalado calibre 34, 3 x 12 pies</t>
        </is>
      </c>
      <c r="E180" s="4" t="inlineStr"/>
      <c r="F180" s="3" t="inlineStr">
        <is>
          <t>plancha</t>
        </is>
      </c>
      <c r="G180" s="3" t="inlineStr">
        <is>
          <t>Techos</t>
        </is>
      </c>
      <c r="H180" s="3" t="inlineStr">
        <is>
          <t>economica</t>
        </is>
      </c>
      <c r="I180" s="3" t="inlineStr">
        <is>
          <t>nacional</t>
        </is>
      </c>
      <c r="J180" s="5" t="n">
        <v>1</v>
      </c>
      <c r="K180" s="6" t="n">
        <v>414.3</v>
      </c>
      <c r="L180" s="6" t="n">
        <v>414.3</v>
      </c>
      <c r="M180" s="6" t="n">
        <v>414.3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MAT-07-015</t>
        </is>
      </c>
      <c r="B181" s="3" t="inlineStr">
        <is>
          <t>Materiales</t>
        </is>
      </c>
      <c r="C181" s="3" t="inlineStr">
        <is>
          <t>Techos e impermeabilización</t>
        </is>
      </c>
      <c r="D181" s="4" t="inlineStr">
        <is>
          <t>Teja de acero gravillado, 2 piezas por m²</t>
        </is>
      </c>
      <c r="E181" s="4" t="inlineStr"/>
      <c r="F181" s="3" t="inlineStr">
        <is>
          <t>m²</t>
        </is>
      </c>
      <c r="G181" s="3" t="inlineStr">
        <is>
          <t>Techos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1461.38</v>
      </c>
      <c r="L181" s="6" t="n">
        <v>1026.24</v>
      </c>
      <c r="M181" s="6" t="n">
        <v>1896.52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  <c r="AH181" s="4" t="inlineStr">
        <is>
          <t>material: acero gravillado · piezas_m2: 2</t>
        </is>
      </c>
    </row>
    <row r="182">
      <c r="A182" s="3" t="inlineStr">
        <is>
          <t>MAT-07-016</t>
        </is>
      </c>
      <c r="B182" s="3" t="inlineStr">
        <is>
          <t>Materiales</t>
        </is>
      </c>
      <c r="C182" s="3" t="inlineStr">
        <is>
          <t>Techos e impermeabilización</t>
        </is>
      </c>
      <c r="D182" s="4" t="inlineStr">
        <is>
          <t>Teja de cerámica, 10.5 piezas por m²</t>
        </is>
      </c>
      <c r="E182" s="4" t="inlineStr"/>
      <c r="F182" s="3" t="inlineStr">
        <is>
          <t>m²</t>
        </is>
      </c>
      <c r="G182" s="3" t="inlineStr">
        <is>
          <t>Techos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1677.27</v>
      </c>
      <c r="L182" s="6" t="n">
        <v>1677.27</v>
      </c>
      <c r="M182" s="6" t="n">
        <v>1677.27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  <c r="AH182" s="4" t="inlineStr">
        <is>
          <t>material: cerámica · piezas_m2: 10.5</t>
        </is>
      </c>
    </row>
    <row r="183">
      <c r="A183" s="3" t="inlineStr">
        <is>
          <t>MAT-07-017</t>
        </is>
      </c>
      <c r="B183" s="3" t="inlineStr">
        <is>
          <t>Materiales</t>
        </is>
      </c>
      <c r="C183" s="3" t="inlineStr">
        <is>
          <t>Techos e impermeabilización</t>
        </is>
      </c>
      <c r="D183" s="4" t="inlineStr">
        <is>
          <t>Teja de cerámica, 11.5 piezas por m²</t>
        </is>
      </c>
      <c r="E183" s="4" t="inlineStr"/>
      <c r="F183" s="3" t="inlineStr">
        <is>
          <t>m²</t>
        </is>
      </c>
      <c r="G183" s="3" t="inlineStr">
        <is>
          <t>Techos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2064.49</v>
      </c>
      <c r="L183" s="6" t="n">
        <v>2043.67</v>
      </c>
      <c r="M183" s="6" t="n">
        <v>2085.3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  <c r="AH183" s="4" t="inlineStr">
        <is>
          <t>material: cerámica · piezas_m2: 11.5</t>
        </is>
      </c>
    </row>
    <row r="184">
      <c r="A184" s="3" t="inlineStr">
        <is>
          <t>MAT-07-018</t>
        </is>
      </c>
      <c r="B184" s="3" t="inlineStr">
        <is>
          <t>Materiales</t>
        </is>
      </c>
      <c r="C184" s="3" t="inlineStr">
        <is>
          <t>Techos e impermeabilización</t>
        </is>
      </c>
      <c r="D184" s="4" t="inlineStr">
        <is>
          <t>Caballete para teja de acero gravillado</t>
        </is>
      </c>
      <c r="E184" s="4" t="inlineStr"/>
      <c r="F184" s="3" t="inlineStr">
        <is>
          <t>unidad</t>
        </is>
      </c>
      <c r="G184" s="3" t="inlineStr">
        <is>
          <t>Techos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353.39</v>
      </c>
      <c r="L184" s="6" t="n">
        <v>202.34</v>
      </c>
      <c r="M184" s="6" t="n">
        <v>394.64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  <c r="AH184" s="4" t="inlineStr">
        <is>
          <t>pieza: caballete · material: acero gravillado</t>
        </is>
      </c>
    </row>
    <row r="185">
      <c r="A185" s="3" t="inlineStr">
        <is>
          <t>MAT-07-019</t>
        </is>
      </c>
      <c r="B185" s="3" t="inlineStr">
        <is>
          <t>Materiales</t>
        </is>
      </c>
      <c r="C185" s="3" t="inlineStr">
        <is>
          <t>Techos e impermeabilización</t>
        </is>
      </c>
      <c r="D185" s="4" t="inlineStr">
        <is>
          <t>Final de caballete para teja de acero gravillado</t>
        </is>
      </c>
      <c r="E185" s="4" t="inlineStr"/>
      <c r="F185" s="3" t="inlineStr">
        <is>
          <t>unidad</t>
        </is>
      </c>
      <c r="G185" s="3" t="inlineStr">
        <is>
          <t>Techos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136.66</v>
      </c>
      <c r="L185" s="6" t="n">
        <v>131.47</v>
      </c>
      <c r="M185" s="6" t="n">
        <v>179.5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  <c r="AH185" s="4" t="inlineStr">
        <is>
          <t>pieza: final · material: acero gravillado</t>
        </is>
      </c>
    </row>
    <row r="186">
      <c r="A186" s="3" t="inlineStr">
        <is>
          <t>MAT-07-020</t>
        </is>
      </c>
      <c r="B186" s="3" t="inlineStr">
        <is>
          <t>Materiales</t>
        </is>
      </c>
      <c r="C186" s="3" t="inlineStr">
        <is>
          <t>Techos e impermeabilización</t>
        </is>
      </c>
      <c r="D186" s="4" t="inlineStr">
        <is>
          <t>Final de caballete para teja de cerámica</t>
        </is>
      </c>
      <c r="E186" s="4" t="inlineStr"/>
      <c r="F186" s="3" t="inlineStr">
        <is>
          <t>unidad</t>
        </is>
      </c>
      <c r="G186" s="3" t="inlineStr">
        <is>
          <t>Techos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2198.43</v>
      </c>
      <c r="L186" s="6" t="n">
        <v>2198.43</v>
      </c>
      <c r="M186" s="6" t="n">
        <v>2198.43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  <c r="AH186" s="4" t="inlineStr">
        <is>
          <t>pieza: final · material: cerámica</t>
        </is>
      </c>
    </row>
    <row r="187">
      <c r="A187" s="3" t="inlineStr">
        <is>
          <t>MAT-07-021</t>
        </is>
      </c>
      <c r="B187" s="3" t="inlineStr">
        <is>
          <t>Materiales</t>
        </is>
      </c>
      <c r="C187" s="3" t="inlineStr">
        <is>
          <t>Techos e impermeabilización</t>
        </is>
      </c>
      <c r="D187" s="4" t="inlineStr">
        <is>
          <t>Zinc liso calibre 29, 3 x 6 pies</t>
        </is>
      </c>
      <c r="E187" s="4" t="inlineStr"/>
      <c r="F187" s="3" t="inlineStr">
        <is>
          <t>plancha</t>
        </is>
      </c>
      <c r="G187" s="3" t="inlineStr">
        <is>
          <t>Techos</t>
        </is>
      </c>
      <c r="H187" s="3" t="inlineStr">
        <is>
          <t>economica</t>
        </is>
      </c>
      <c r="I187" s="3" t="inlineStr">
        <is>
          <t>nacional</t>
        </is>
      </c>
      <c r="J187" s="5" t="n">
        <v>1</v>
      </c>
      <c r="K187" s="6" t="n">
        <v>283.27</v>
      </c>
      <c r="L187" s="6" t="n">
        <v>270.35</v>
      </c>
      <c r="M187" s="6" t="n">
        <v>296.18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MAT-07-022</t>
        </is>
      </c>
      <c r="B188" s="3" t="inlineStr">
        <is>
          <t>Materiales</t>
        </is>
      </c>
      <c r="C188" s="3" t="inlineStr">
        <is>
          <t>Techos e impermeabilización</t>
        </is>
      </c>
      <c r="D188" s="4" t="inlineStr">
        <is>
          <t>Zinc liso calibre 34, 3 x 6 pies</t>
        </is>
      </c>
      <c r="E188" s="4" t="inlineStr"/>
      <c r="F188" s="3" t="inlineStr">
        <is>
          <t>plancha</t>
        </is>
      </c>
      <c r="G188" s="3" t="inlineStr">
        <is>
          <t>Techos</t>
        </is>
      </c>
      <c r="H188" s="3" t="inlineStr">
        <is>
          <t>economica</t>
        </is>
      </c>
      <c r="I188" s="3" t="inlineStr">
        <is>
          <t>nacional</t>
        </is>
      </c>
      <c r="J188" s="5" t="n">
        <v>1</v>
      </c>
      <c r="K188" s="6" t="n">
        <v>208.95</v>
      </c>
      <c r="L188" s="6" t="n">
        <v>208.33</v>
      </c>
      <c r="M188" s="6" t="n">
        <v>209.56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MAT-07-023</t>
        </is>
      </c>
      <c r="B189" s="3" t="inlineStr">
        <is>
          <t>Materiales</t>
        </is>
      </c>
      <c r="C189" s="3" t="inlineStr">
        <is>
          <t>Techos e impermeabilización</t>
        </is>
      </c>
      <c r="D189" s="4" t="inlineStr">
        <is>
          <t>Zinc translúcido 3 x 6 pies</t>
        </is>
      </c>
      <c r="E189" s="4" t="inlineStr"/>
      <c r="F189" s="3" t="inlineStr">
        <is>
          <t>plancha</t>
        </is>
      </c>
      <c r="G189" s="3" t="inlineStr">
        <is>
          <t>Techos</t>
        </is>
      </c>
      <c r="H189" s="3" t="inlineStr">
        <is>
          <t>estandar</t>
        </is>
      </c>
      <c r="I189" s="3" t="inlineStr">
        <is>
          <t>importado</t>
        </is>
      </c>
      <c r="J189" s="5" t="n">
        <v>3</v>
      </c>
      <c r="K189" s="6" t="n">
        <v>1161.17</v>
      </c>
      <c r="L189" s="6" t="n">
        <v>1050.01</v>
      </c>
      <c r="M189" s="6" t="n">
        <v>1795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 · InnovaCentro (La Innovación) · Max Ferretería</t>
        </is>
      </c>
    </row>
    <row r="190">
      <c r="A190" s="3" t="inlineStr">
        <is>
          <t>MAT-07-024</t>
        </is>
      </c>
      <c r="B190" s="3" t="inlineStr">
        <is>
          <t>Materiales</t>
        </is>
      </c>
      <c r="C190" s="3" t="inlineStr">
        <is>
          <t>Techos e impermeabilización</t>
        </is>
      </c>
      <c r="D190" s="4" t="inlineStr">
        <is>
          <t>Caballete para aluzinc 21"</t>
        </is>
      </c>
      <c r="E190" s="4" t="inlineStr">
        <is>
          <t>Tramo de 10 pies</t>
        </is>
      </c>
      <c r="F190" s="3" t="inlineStr">
        <is>
          <t>unidad</t>
        </is>
      </c>
      <c r="G190" s="3" t="inlineStr">
        <is>
          <t>Techos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660</v>
      </c>
      <c r="L190" s="6" t="n">
        <v>660</v>
      </c>
      <c r="M190" s="6" t="n">
        <v>660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MAT-07-025</t>
        </is>
      </c>
      <c r="B191" s="3" t="inlineStr">
        <is>
          <t>Materiales</t>
        </is>
      </c>
      <c r="C191" s="3" t="inlineStr">
        <is>
          <t>Techos e impermeabilización</t>
        </is>
      </c>
      <c r="D191" s="4" t="inlineStr">
        <is>
          <t>Caballete de fibra para techo fibra de refuerzo, 0.76x0.6</t>
        </is>
      </c>
      <c r="E191" s="4" t="inlineStr"/>
      <c r="F191" s="3" t="inlineStr">
        <is>
          <t>unidad</t>
        </is>
      </c>
      <c r="G191" s="3" t="inlineStr">
        <is>
          <t>Techos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1535</v>
      </c>
      <c r="L191" s="6" t="n">
        <v>1535</v>
      </c>
      <c r="M191" s="6" t="n">
        <v>1535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F191" s="7" t="inlineStr">
        <is>
          <t>0.76x0.6</t>
        </is>
      </c>
      <c r="AG191" s="7" t="inlineStr">
        <is>
          <t>fibra de refuerzo</t>
        </is>
      </c>
    </row>
    <row r="192">
      <c r="A192" s="3" t="inlineStr">
        <is>
          <t>MAT-07-026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Plancha tipo teja de fibra fibra de refuerzo, 0.76X1.15</t>
        </is>
      </c>
      <c r="E192" s="4" t="inlineStr"/>
      <c r="F192" s="3" t="inlineStr">
        <is>
          <t>unidad</t>
        </is>
      </c>
      <c r="G192" s="3" t="inlineStr">
        <is>
          <t>Techos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1450</v>
      </c>
      <c r="L192" s="6" t="n">
        <v>1450</v>
      </c>
      <c r="M192" s="6" t="n">
        <v>1450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InnovaCentro (La Innovación)</t>
        </is>
      </c>
      <c r="AF192" s="7" t="inlineStr">
        <is>
          <t>0.76X1.15</t>
        </is>
      </c>
      <c r="AG192" s="7" t="inlineStr">
        <is>
          <t>fibra de refuerzo</t>
        </is>
      </c>
    </row>
    <row r="193">
      <c r="A193" s="3" t="inlineStr">
        <is>
          <t>MAT-07-027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Caballete de zinc calibre 29, 6 pies</t>
        </is>
      </c>
      <c r="E193" s="4" t="inlineStr"/>
      <c r="F193" s="3" t="inlineStr">
        <is>
          <t>unidad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141.1</v>
      </c>
      <c r="L193" s="6" t="n">
        <v>141.1</v>
      </c>
      <c r="M193" s="6" t="n">
        <v>141.1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MAT-07-028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Caballete de zinc calibre 34, 6 pies</t>
        </is>
      </c>
      <c r="E194" s="4" t="inlineStr"/>
      <c r="F194" s="3" t="inlineStr">
        <is>
          <t>unidad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1</v>
      </c>
      <c r="K194" s="6" t="n">
        <v>104.29</v>
      </c>
      <c r="L194" s="6" t="n">
        <v>104.29</v>
      </c>
      <c r="M194" s="6" t="n">
        <v>104.29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MAT-07-029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Caño para aluzinc 6" x 7" x 10 pies</t>
        </is>
      </c>
      <c r="E195" s="4" t="inlineStr"/>
      <c r="F195" s="3" t="inlineStr">
        <is>
          <t>unidad</t>
        </is>
      </c>
      <c r="G195" s="3" t="inlineStr">
        <is>
          <t>Techos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659.86</v>
      </c>
      <c r="L195" s="6" t="n">
        <v>659.86</v>
      </c>
      <c r="M195" s="6" t="n">
        <v>659.86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MAT-08-014</t>
        </is>
      </c>
      <c r="B196" s="3" t="inlineStr">
        <is>
          <t>Materiales</t>
        </is>
      </c>
      <c r="C196" s="3" t="inlineStr">
        <is>
          <t>Pisos y revestimientos</t>
        </is>
      </c>
      <c r="D196" s="4" t="inlineStr">
        <is>
          <t>Cerámica de pared, 100 x 30 cm</t>
        </is>
      </c>
      <c r="E196" s="4" t="inlineStr"/>
      <c r="F196" s="3" t="inlineStr">
        <is>
          <t>m²</t>
        </is>
      </c>
      <c r="G196" s="3" t="inlineStr">
        <is>
          <t>Pisos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2</v>
      </c>
      <c r="K196" s="6" t="n">
        <v>2112.23</v>
      </c>
      <c r="L196" s="6" t="n">
        <v>1291.51</v>
      </c>
      <c r="M196" s="6" t="n">
        <v>3214.08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2026-09-10</t>
        </is>
      </c>
      <c r="Q196" s="4" t="inlineStr">
        <is>
          <t>CerArte · Ferretería Ochoa (8A)</t>
        </is>
      </c>
      <c r="U196" s="7" t="n">
        <v>100</v>
      </c>
      <c r="W196" s="7" t="inlineStr">
        <is>
          <t>100 x 30 cm</t>
        </is>
      </c>
      <c r="AG196" s="7" t="inlineStr">
        <is>
          <t>pared</t>
        </is>
      </c>
      <c r="AH196" s="4" t="inlineStr">
        <is>
          <t>material: ceramica · ancho_cm: 30 · piezas_m2: 3.17</t>
        </is>
      </c>
    </row>
    <row r="197">
      <c r="A197" s="3" t="inlineStr">
        <is>
          <t>MAT-08-015</t>
        </is>
      </c>
      <c r="B197" s="3" t="inlineStr">
        <is>
          <t>Materiales</t>
        </is>
      </c>
      <c r="C197" s="3" t="inlineStr">
        <is>
          <t>Pisos y revestimientos</t>
        </is>
      </c>
      <c r="D197" s="4" t="inlineStr">
        <is>
          <t>Cerámica de pared, 100 x 33 cm</t>
        </is>
      </c>
      <c r="E197" s="4" t="inlineStr"/>
      <c r="F197" s="3" t="inlineStr">
        <is>
          <t>m²</t>
        </is>
      </c>
      <c r="G197" s="3" t="inlineStr">
        <is>
          <t>Pisos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2</v>
      </c>
      <c r="K197" s="6" t="n">
        <v>1725.01</v>
      </c>
      <c r="L197" s="6" t="n">
        <v>1239.18</v>
      </c>
      <c r="M197" s="6" t="n">
        <v>1825.08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2026-09-10</t>
        </is>
      </c>
      <c r="Q197" s="4" t="inlineStr">
        <is>
          <t>Ferretería Ochoa (8A) · La Ibérica</t>
        </is>
      </c>
      <c r="U197" s="7" t="n">
        <v>100</v>
      </c>
      <c r="W197" s="7" t="inlineStr">
        <is>
          <t>100 x 33 cm</t>
        </is>
      </c>
      <c r="AG197" s="7" t="inlineStr">
        <is>
          <t>pared</t>
        </is>
      </c>
      <c r="AH197" s="4" t="inlineStr">
        <is>
          <t>material: ceramica · ancho_cm: 33 · piezas_m2: 3 · espesor_mm: 5</t>
        </is>
      </c>
    </row>
    <row r="198">
      <c r="A198" s="3" t="inlineStr">
        <is>
          <t>MAT-08-016</t>
        </is>
      </c>
      <c r="B198" s="3" t="inlineStr">
        <is>
          <t>Materiales</t>
        </is>
      </c>
      <c r="C198" s="3" t="inlineStr">
        <is>
          <t>Pisos y revestimientos</t>
        </is>
      </c>
      <c r="D198" s="4" t="inlineStr">
        <is>
          <t>Cerámica de pared, 113 x 55 cm</t>
        </is>
      </c>
      <c r="E198" s="4" t="inlineStr"/>
      <c r="F198" s="3" t="inlineStr">
        <is>
          <t>m²</t>
        </is>
      </c>
      <c r="G198" s="3" t="inlineStr">
        <is>
          <t>Pisos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1045.19</v>
      </c>
      <c r="L198" s="6" t="n">
        <v>1045.19</v>
      </c>
      <c r="M198" s="6" t="n">
        <v>1045.19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U198" s="7" t="n">
        <v>113</v>
      </c>
      <c r="W198" s="7" t="inlineStr">
        <is>
          <t>113 x 55 cm</t>
        </is>
      </c>
      <c r="AG198" s="7" t="inlineStr">
        <is>
          <t>pared</t>
        </is>
      </c>
      <c r="AH198" s="4" t="inlineStr">
        <is>
          <t>material: ceramica · ancho_cm: 55 · piezas_m2: 1.58 · acabado: mate · espesor_mm: 9</t>
        </is>
      </c>
    </row>
    <row r="199">
      <c r="A199" s="3" t="inlineStr">
        <is>
          <t>MAT-08-017</t>
        </is>
      </c>
      <c r="B199" s="3" t="inlineStr">
        <is>
          <t>Materiales</t>
        </is>
      </c>
      <c r="C199" s="3" t="inlineStr">
        <is>
          <t>Pisos y revestimientos</t>
        </is>
      </c>
      <c r="D199" s="4" t="inlineStr">
        <is>
          <t>Cerámica de pared, 120 x 120 cm</t>
        </is>
      </c>
      <c r="E199" s="4" t="inlineStr"/>
      <c r="F199" s="3" t="inlineStr">
        <is>
          <t>m²</t>
        </is>
      </c>
      <c r="G199" s="3" t="inlineStr">
        <is>
          <t>Pisos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2945.45</v>
      </c>
      <c r="L199" s="6" t="n">
        <v>2945.45</v>
      </c>
      <c r="M199" s="6" t="n">
        <v>2945.45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U199" s="7" t="n">
        <v>120</v>
      </c>
      <c r="W199" s="7" t="inlineStr">
        <is>
          <t>120 x 120 cm</t>
        </is>
      </c>
      <c r="AG199" s="7" t="inlineStr">
        <is>
          <t>pared</t>
        </is>
      </c>
      <c r="AH199" s="4" t="inlineStr">
        <is>
          <t>material: ceramica · ancho_cm: 120 · piezas_m2: 0.69</t>
        </is>
      </c>
    </row>
    <row r="200">
      <c r="A200" s="3" t="inlineStr">
        <is>
          <t>MAT-08-018</t>
        </is>
      </c>
      <c r="B200" s="3" t="inlineStr">
        <is>
          <t>Materiales</t>
        </is>
      </c>
      <c r="C200" s="3" t="inlineStr">
        <is>
          <t>Pisos y revestimientos</t>
        </is>
      </c>
      <c r="D200" s="4" t="inlineStr">
        <is>
          <t>Cerámica de pared, 120 x 20 cm</t>
        </is>
      </c>
      <c r="E200" s="4" t="inlineStr"/>
      <c r="F200" s="3" t="inlineStr">
        <is>
          <t>m²</t>
        </is>
      </c>
      <c r="G200" s="3" t="inlineStr">
        <is>
          <t>Pisos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1459.08</v>
      </c>
      <c r="L200" s="6" t="n">
        <v>1439.19</v>
      </c>
      <c r="M200" s="6" t="n">
        <v>1474.84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U200" s="7" t="n">
        <v>120</v>
      </c>
      <c r="W200" s="7" t="inlineStr">
        <is>
          <t>120 x 20 cm</t>
        </is>
      </c>
      <c r="AG200" s="7" t="inlineStr">
        <is>
          <t>pared</t>
        </is>
      </c>
      <c r="AH200" s="4" t="inlineStr">
        <is>
          <t>material: ceramica · ancho_cm: 20 · piezas_m2: 4.16</t>
        </is>
      </c>
    </row>
    <row r="201">
      <c r="A201" s="3" t="inlineStr">
        <is>
          <t>MAT-08-019</t>
        </is>
      </c>
      <c r="B201" s="3" t="inlineStr">
        <is>
          <t>Materiales</t>
        </is>
      </c>
      <c r="C201" s="3" t="inlineStr">
        <is>
          <t>Pisos y revestimientos</t>
        </is>
      </c>
      <c r="D201" s="4" t="inlineStr">
        <is>
          <t>Cerámica de pared, 120 x 40 cm</t>
        </is>
      </c>
      <c r="E201" s="4" t="inlineStr"/>
      <c r="F201" s="3" t="inlineStr">
        <is>
          <t>m²</t>
        </is>
      </c>
      <c r="G201" s="3" t="inlineStr">
        <is>
          <t>Pisos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2</v>
      </c>
      <c r="K201" s="6" t="n">
        <v>2202.65</v>
      </c>
      <c r="L201" s="6" t="n">
        <v>750</v>
      </c>
      <c r="M201" s="6" t="n">
        <v>3697.66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CerArte · Ferretería Ochoa (8A)</t>
        </is>
      </c>
      <c r="U201" s="7" t="n">
        <v>120</v>
      </c>
      <c r="W201" s="7" t="inlineStr">
        <is>
          <t>120 x 40 cm</t>
        </is>
      </c>
      <c r="AG201" s="7" t="inlineStr">
        <is>
          <t>pared</t>
        </is>
      </c>
      <c r="AH201" s="4" t="inlineStr">
        <is>
          <t>material: ceramica · ancho_cm: 40 · acabado: mate</t>
        </is>
      </c>
    </row>
    <row r="202">
      <c r="A202" s="3" t="inlineStr">
        <is>
          <t>MAT-08-020</t>
        </is>
      </c>
      <c r="B202" s="3" t="inlineStr">
        <is>
          <t>Materiales</t>
        </is>
      </c>
      <c r="C202" s="3" t="inlineStr">
        <is>
          <t>Pisos y revestimientos</t>
        </is>
      </c>
      <c r="D202" s="4" t="inlineStr">
        <is>
          <t>Cerámica de pared, 120 x 45 cm</t>
        </is>
      </c>
      <c r="E202" s="4" t="inlineStr"/>
      <c r="F202" s="3" t="inlineStr">
        <is>
          <t>m²</t>
        </is>
      </c>
      <c r="G202" s="3" t="inlineStr">
        <is>
          <t>Pisos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3077.3</v>
      </c>
      <c r="L202" s="6" t="n">
        <v>2625.11</v>
      </c>
      <c r="M202" s="6" t="n">
        <v>3663.85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CerArte</t>
        </is>
      </c>
      <c r="W202" s="7" t="inlineStr">
        <is>
          <t>120 x 45 cm</t>
        </is>
      </c>
      <c r="AG202" s="7" t="inlineStr">
        <is>
          <t>pared</t>
        </is>
      </c>
      <c r="AH202" s="4" t="inlineStr">
        <is>
          <t>material: ceramica · acabado: mate</t>
        </is>
      </c>
    </row>
    <row r="203">
      <c r="A203" s="3" t="inlineStr">
        <is>
          <t>MAT-08-021</t>
        </is>
      </c>
      <c r="B203" s="3" t="inlineStr">
        <is>
          <t>Materiales</t>
        </is>
      </c>
      <c r="C203" s="3" t="inlineStr">
        <is>
          <t>Pisos y revestimientos</t>
        </is>
      </c>
      <c r="D203" s="4" t="inlineStr">
        <is>
          <t>Cerámica de pared, 120 x 60 cm</t>
        </is>
      </c>
      <c r="E203" s="4" t="inlineStr"/>
      <c r="F203" s="3" t="inlineStr">
        <is>
          <t>m²</t>
        </is>
      </c>
      <c r="G203" s="3" t="inlineStr">
        <is>
          <t>Pisos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2520.03</v>
      </c>
      <c r="L203" s="6" t="n">
        <v>2119.72</v>
      </c>
      <c r="M203" s="6" t="n">
        <v>3060.22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CerArte · Ferretería Ochoa (8A)</t>
        </is>
      </c>
      <c r="U203" s="7" t="n">
        <v>120</v>
      </c>
      <c r="W203" s="7" t="inlineStr">
        <is>
          <t>120 x 60 cm</t>
        </is>
      </c>
      <c r="AG203" s="7" t="inlineStr">
        <is>
          <t>pared</t>
        </is>
      </c>
      <c r="AH203" s="4" t="inlineStr">
        <is>
          <t>material: ceramica · ancho_cm: 60 · piezas_m2: 1.38 · acabado: mate · espesor_mm: 9</t>
        </is>
      </c>
    </row>
    <row r="204">
      <c r="A204" s="3" t="inlineStr">
        <is>
          <t>MAT-08-022</t>
        </is>
      </c>
      <c r="B204" s="3" t="inlineStr">
        <is>
          <t>Materiales</t>
        </is>
      </c>
      <c r="C204" s="3" t="inlineStr">
        <is>
          <t>Pisos y revestimientos</t>
        </is>
      </c>
      <c r="D204" s="4" t="inlineStr">
        <is>
          <t>Cerámica de pared, 15 x 15 cm</t>
        </is>
      </c>
      <c r="E204" s="4" t="inlineStr"/>
      <c r="F204" s="3" t="inlineStr">
        <is>
          <t>m²</t>
        </is>
      </c>
      <c r="G204" s="3" t="inlineStr">
        <is>
          <t>Pisos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2</v>
      </c>
      <c r="K204" s="6" t="n">
        <v>2854.38</v>
      </c>
      <c r="L204" s="6" t="n">
        <v>2505.07</v>
      </c>
      <c r="M204" s="6" t="n">
        <v>3140.13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CerArte · Ferretería Ochoa (8A)</t>
        </is>
      </c>
      <c r="U204" s="7" t="n">
        <v>15</v>
      </c>
      <c r="W204" s="7" t="inlineStr">
        <is>
          <t>15 x 15 cm</t>
        </is>
      </c>
      <c r="AG204" s="7" t="inlineStr">
        <is>
          <t>pared</t>
        </is>
      </c>
      <c r="AH204" s="4" t="inlineStr">
        <is>
          <t>material: ceramica · ancho_cm: 15 · piezas_m2: 44.44 · acabado: mate · espesor_mm: 9</t>
        </is>
      </c>
    </row>
    <row r="205">
      <c r="A205" s="3" t="inlineStr">
        <is>
          <t>MAT-08-023</t>
        </is>
      </c>
      <c r="B205" s="3" t="inlineStr">
        <is>
          <t>Materiales</t>
        </is>
      </c>
      <c r="C205" s="3" t="inlineStr">
        <is>
          <t>Pisos y revestimientos</t>
        </is>
      </c>
      <c r="D205" s="4" t="inlineStr">
        <is>
          <t>Cerámica de pared, 15 x 7.5 cm</t>
        </is>
      </c>
      <c r="E205" s="4" t="inlineStr"/>
      <c r="F205" s="3" t="inlineStr">
        <is>
          <t>m²</t>
        </is>
      </c>
      <c r="G205" s="3" t="inlineStr">
        <is>
          <t>Pisos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2355.76</v>
      </c>
      <c r="L205" s="6" t="n">
        <v>2209.68</v>
      </c>
      <c r="M205" s="6" t="n">
        <v>2775.52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  <c r="U205" s="7" t="n">
        <v>15</v>
      </c>
      <c r="W205" s="7" t="inlineStr">
        <is>
          <t>15 x 7.5 cm</t>
        </is>
      </c>
      <c r="AG205" s="7" t="inlineStr">
        <is>
          <t>pared</t>
        </is>
      </c>
      <c r="AH205" s="4" t="inlineStr">
        <is>
          <t>material: ceramica · ancho_cm: 7.5 · piezas_m2: 88 · espesor_mm: 7</t>
        </is>
      </c>
    </row>
    <row r="206">
      <c r="A206" s="3" t="inlineStr">
        <is>
          <t>MAT-08-024</t>
        </is>
      </c>
      <c r="B206" s="3" t="inlineStr">
        <is>
          <t>Materiales</t>
        </is>
      </c>
      <c r="C206" s="3" t="inlineStr">
        <is>
          <t>Pisos y revestimientos</t>
        </is>
      </c>
      <c r="D206" s="4" t="inlineStr">
        <is>
          <t>Cerámica de pared, 20 x 10 cm</t>
        </is>
      </c>
      <c r="E206" s="4" t="inlineStr"/>
      <c r="F206" s="3" t="inlineStr">
        <is>
          <t>m²</t>
        </is>
      </c>
      <c r="G206" s="3" t="inlineStr">
        <is>
          <t>Pisos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1444.74</v>
      </c>
      <c r="L206" s="6" t="n">
        <v>1444.74</v>
      </c>
      <c r="M206" s="6" t="n">
        <v>1444.74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CerArte</t>
        </is>
      </c>
      <c r="W206" s="7" t="inlineStr">
        <is>
          <t>20 x 10 cm</t>
        </is>
      </c>
      <c r="AG206" s="7" t="inlineStr">
        <is>
          <t>pared</t>
        </is>
      </c>
      <c r="AH206" s="4" t="inlineStr">
        <is>
          <t>material: ceramica</t>
        </is>
      </c>
    </row>
    <row r="207">
      <c r="A207" s="3" t="inlineStr">
        <is>
          <t>MAT-08-025</t>
        </is>
      </c>
      <c r="B207" s="3" t="inlineStr">
        <is>
          <t>Materiales</t>
        </is>
      </c>
      <c r="C207" s="3" t="inlineStr">
        <is>
          <t>Pisos y revestimientos</t>
        </is>
      </c>
      <c r="D207" s="4" t="inlineStr">
        <is>
          <t>Cerámica de pared, 20 x 17.5 cm</t>
        </is>
      </c>
      <c r="E207" s="4" t="inlineStr"/>
      <c r="F207" s="3" t="inlineStr">
        <is>
          <t>m²</t>
        </is>
      </c>
      <c r="G207" s="3" t="inlineStr">
        <is>
          <t>Pisos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770.11</v>
      </c>
      <c r="L207" s="6" t="n">
        <v>767.39</v>
      </c>
      <c r="M207" s="6" t="n">
        <v>772.8200000000001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Ferretería Ochoa (8A)</t>
        </is>
      </c>
      <c r="U207" s="7" t="n">
        <v>20</v>
      </c>
      <c r="W207" s="7" t="inlineStr">
        <is>
          <t>20 x 17.5 cm</t>
        </is>
      </c>
      <c r="AG207" s="7" t="inlineStr">
        <is>
          <t>pared</t>
        </is>
      </c>
      <c r="AH207" s="4" t="inlineStr">
        <is>
          <t>material: ceramica · ancho_cm: 17.5 · piezas_m2: 28.57 · espesor_mm: 8 · acabado: brillante</t>
        </is>
      </c>
    </row>
    <row r="208">
      <c r="A208" s="3" t="inlineStr">
        <is>
          <t>MAT-08-026</t>
        </is>
      </c>
      <c r="B208" s="3" t="inlineStr">
        <is>
          <t>Materiales</t>
        </is>
      </c>
      <c r="C208" s="3" t="inlineStr">
        <is>
          <t>Pisos y revestimientos</t>
        </is>
      </c>
      <c r="D208" s="4" t="inlineStr">
        <is>
          <t>Cerámica de pared, 20 x 20 cm</t>
        </is>
      </c>
      <c r="E208" s="4" t="inlineStr"/>
      <c r="F208" s="3" t="inlineStr">
        <is>
          <t>m²</t>
        </is>
      </c>
      <c r="G208" s="3" t="inlineStr">
        <is>
          <t>Pisos</t>
        </is>
      </c>
      <c r="H208" s="3" t="inlineStr">
        <is>
          <t>estandar</t>
        </is>
      </c>
      <c r="I208" s="3" t="inlineStr">
        <is>
          <t>importado</t>
        </is>
      </c>
      <c r="J208" s="5" t="n">
        <v>2</v>
      </c>
      <c r="K208" s="6" t="n">
        <v>1081.92</v>
      </c>
      <c r="L208" s="6" t="n">
        <v>924.83</v>
      </c>
      <c r="M208" s="6" t="n">
        <v>2469.57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CerArte · La Ibérica</t>
        </is>
      </c>
      <c r="W208" s="7" t="inlineStr">
        <is>
          <t>20 x 20 cm</t>
        </is>
      </c>
      <c r="AG208" s="7" t="inlineStr">
        <is>
          <t>pared</t>
        </is>
      </c>
      <c r="AH208" s="4" t="inlineStr">
        <is>
          <t>material: ceramica</t>
        </is>
      </c>
    </row>
    <row r="209">
      <c r="A209" s="3" t="inlineStr">
        <is>
          <t>MAT-08-027</t>
        </is>
      </c>
      <c r="B209" s="3" t="inlineStr">
        <is>
          <t>Materiales</t>
        </is>
      </c>
      <c r="C209" s="3" t="inlineStr">
        <is>
          <t>Pisos y revestimientos</t>
        </is>
      </c>
      <c r="D209" s="4" t="inlineStr">
        <is>
          <t>Cerámica de pared, 22.3 x 22.3 cm</t>
        </is>
      </c>
      <c r="E209" s="4" t="inlineStr"/>
      <c r="F209" s="3" t="inlineStr">
        <is>
          <t>m²</t>
        </is>
      </c>
      <c r="G209" s="3" t="inlineStr">
        <is>
          <t>Pisos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1177.9</v>
      </c>
      <c r="L209" s="6" t="n">
        <v>1177.9</v>
      </c>
      <c r="M209" s="6" t="n">
        <v>1177.9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  <c r="U209" s="7" t="n">
        <v>22.3</v>
      </c>
      <c r="W209" s="7" t="inlineStr">
        <is>
          <t>22.3 x 22.3 cm</t>
        </is>
      </c>
      <c r="AG209" s="7" t="inlineStr">
        <is>
          <t>pared</t>
        </is>
      </c>
      <c r="AH209" s="4" t="inlineStr">
        <is>
          <t>material: ceramica · ancho_cm: 22.3 · piezas_m2: 2.7</t>
        </is>
      </c>
    </row>
    <row r="210">
      <c r="A210" s="3" t="inlineStr">
        <is>
          <t>MAT-08-028</t>
        </is>
      </c>
      <c r="B210" s="3" t="inlineStr">
        <is>
          <t>Materiales</t>
        </is>
      </c>
      <c r="C210" s="3" t="inlineStr">
        <is>
          <t>Pisos y revestimientos</t>
        </is>
      </c>
      <c r="D210" s="4" t="inlineStr">
        <is>
          <t>Cerámica de pared, 30 x 10 cm</t>
        </is>
      </c>
      <c r="E210" s="4" t="inlineStr"/>
      <c r="F210" s="3" t="inlineStr">
        <is>
          <t>m²</t>
        </is>
      </c>
      <c r="G210" s="3" t="inlineStr">
        <is>
          <t>Pisos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1204.05</v>
      </c>
      <c r="L210" s="6" t="n">
        <v>874.58</v>
      </c>
      <c r="M210" s="6" t="n">
        <v>1480.52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  <c r="U210" s="7" t="n">
        <v>30</v>
      </c>
      <c r="W210" s="7" t="inlineStr">
        <is>
          <t>30 x 10 cm</t>
        </is>
      </c>
      <c r="AG210" s="7" t="inlineStr">
        <is>
          <t>pared</t>
        </is>
      </c>
      <c r="AH210" s="4" t="inlineStr">
        <is>
          <t>material: ceramica · ancho_cm: 10 · piezas_m2: 33.33</t>
        </is>
      </c>
    </row>
    <row r="211">
      <c r="A211" s="3" t="inlineStr">
        <is>
          <t>MAT-08-029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30 x 20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2210.93</v>
      </c>
      <c r="L211" s="6" t="n">
        <v>2210.93</v>
      </c>
      <c r="M211" s="6" t="n">
        <v>2210.93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</t>
        </is>
      </c>
      <c r="W211" s="7" t="inlineStr">
        <is>
          <t>30 x 20 cm</t>
        </is>
      </c>
      <c r="AG211" s="7" t="inlineStr">
        <is>
          <t>pared</t>
        </is>
      </c>
      <c r="AH211" s="4" t="inlineStr">
        <is>
          <t>material: ceramica · acabado: mate</t>
        </is>
      </c>
    </row>
    <row r="212">
      <c r="A212" s="3" t="inlineStr">
        <is>
          <t>MAT-08-030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30 x 7.5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1860.21</v>
      </c>
      <c r="L212" s="6" t="n">
        <v>806.14</v>
      </c>
      <c r="M212" s="6" t="n">
        <v>3184.93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CerArte · Ferretería Ochoa (8A)</t>
        </is>
      </c>
      <c r="U212" s="7" t="n">
        <v>30</v>
      </c>
      <c r="W212" s="7" t="inlineStr">
        <is>
          <t>30 x 7.5 cm</t>
        </is>
      </c>
      <c r="AG212" s="7" t="inlineStr">
        <is>
          <t>pared</t>
        </is>
      </c>
      <c r="AH212" s="4" t="inlineStr">
        <is>
          <t>material: ceramica · ancho_cm: 7.5</t>
        </is>
      </c>
    </row>
    <row r="213">
      <c r="A213" s="3" t="inlineStr">
        <is>
          <t>MAT-08-031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40 x 25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1364.21</v>
      </c>
      <c r="L213" s="6" t="n">
        <v>1100</v>
      </c>
      <c r="M213" s="6" t="n">
        <v>1628.41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2026-09-10</t>
        </is>
      </c>
      <c r="Q213" s="4" t="inlineStr">
        <is>
          <t>La Ibérica</t>
        </is>
      </c>
      <c r="W213" s="7" t="inlineStr">
        <is>
          <t>40 x 25 cm</t>
        </is>
      </c>
      <c r="AG213" s="7" t="inlineStr">
        <is>
          <t>pared</t>
        </is>
      </c>
      <c r="AH213" s="4" t="inlineStr">
        <is>
          <t>material: ceramica</t>
        </is>
      </c>
    </row>
    <row r="214">
      <c r="A214" s="3" t="inlineStr">
        <is>
          <t>MAT-08-032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45 x 45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832.97</v>
      </c>
      <c r="L214" s="6" t="n">
        <v>709.33</v>
      </c>
      <c r="M214" s="6" t="n">
        <v>1123.94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45</v>
      </c>
      <c r="W214" s="7" t="inlineStr">
        <is>
          <t>45 x 45 cm</t>
        </is>
      </c>
      <c r="AG214" s="7" t="inlineStr">
        <is>
          <t>pared</t>
        </is>
      </c>
      <c r="AH214" s="4" t="inlineStr">
        <is>
          <t>material: ceramica · ancho_cm: 45 · piezas_m2: 4.93</t>
        </is>
      </c>
    </row>
    <row r="215">
      <c r="A215" s="3" t="inlineStr">
        <is>
          <t>MAT-08-033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50 x 17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1238.82</v>
      </c>
      <c r="L215" s="6" t="n">
        <v>1238.82</v>
      </c>
      <c r="M215" s="6" t="n">
        <v>1238.82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50</v>
      </c>
      <c r="W215" s="7" t="inlineStr">
        <is>
          <t>50 x 17 cm</t>
        </is>
      </c>
      <c r="AG215" s="7" t="inlineStr">
        <is>
          <t>pared</t>
        </is>
      </c>
      <c r="AH215" s="4" t="inlineStr">
        <is>
          <t>material: ceramica · ancho_cm: 17 · piezas_m2: 11.33 · acabado: mate</t>
        </is>
      </c>
    </row>
    <row r="216">
      <c r="A216" s="3" t="inlineStr">
        <is>
          <t>MAT-08-034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50 x 20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2752.62</v>
      </c>
      <c r="L216" s="6" t="n">
        <v>2752.62</v>
      </c>
      <c r="M216" s="6" t="n">
        <v>2752.62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</t>
        </is>
      </c>
      <c r="W216" s="7" t="inlineStr">
        <is>
          <t>50 x 20 cm</t>
        </is>
      </c>
      <c r="AG216" s="7" t="inlineStr">
        <is>
          <t>pared</t>
        </is>
      </c>
      <c r="AH216" s="4" t="inlineStr">
        <is>
          <t>material: ceramica · acabado: mate</t>
        </is>
      </c>
    </row>
    <row r="217">
      <c r="A217" s="3" t="inlineStr">
        <is>
          <t>MAT-08-035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50 x 25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541.6799999999999</v>
      </c>
      <c r="L217" s="6" t="n">
        <v>541.6799999999999</v>
      </c>
      <c r="M217" s="6" t="n">
        <v>541.6799999999999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W217" s="7" t="inlineStr">
        <is>
          <t>50 x 25 cm</t>
        </is>
      </c>
      <c r="AG217" s="7" t="inlineStr">
        <is>
          <t>pared</t>
        </is>
      </c>
      <c r="AH217" s="4" t="inlineStr">
        <is>
          <t>material: ceramica</t>
        </is>
      </c>
    </row>
    <row r="218">
      <c r="A218" s="3" t="inlineStr">
        <is>
          <t>MAT-08-036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50 x 33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1</v>
      </c>
      <c r="K218" s="6" t="n">
        <v>1201.87</v>
      </c>
      <c r="L218" s="6" t="n">
        <v>1173.88</v>
      </c>
      <c r="M218" s="6" t="n">
        <v>1229.86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2026-09-09</t>
        </is>
      </c>
      <c r="Q218" s="4" t="inlineStr">
        <is>
          <t>Ferretería Ochoa (8A)</t>
        </is>
      </c>
      <c r="U218" s="7" t="n">
        <v>50</v>
      </c>
      <c r="W218" s="7" t="inlineStr">
        <is>
          <t>50 x 33 cm</t>
        </is>
      </c>
      <c r="AG218" s="7" t="inlineStr">
        <is>
          <t>pared</t>
        </is>
      </c>
      <c r="AH218" s="4" t="inlineStr">
        <is>
          <t>material: ceramica · ancho_cm: 33 · piezas_m2: 5.88 · acabado: mate</t>
        </is>
      </c>
    </row>
    <row r="219">
      <c r="A219" s="3" t="inlineStr">
        <is>
          <t>MAT-08-037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50 x 35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1</v>
      </c>
      <c r="K219" s="6" t="n">
        <v>1215.03</v>
      </c>
      <c r="L219" s="6" t="n">
        <v>1215.03</v>
      </c>
      <c r="M219" s="6" t="n">
        <v>1215.03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</t>
        </is>
      </c>
      <c r="W219" s="7" t="inlineStr">
        <is>
          <t>50 x 35 cm</t>
        </is>
      </c>
      <c r="AG219" s="7" t="inlineStr">
        <is>
          <t>pared</t>
        </is>
      </c>
      <c r="AH219" s="4" t="inlineStr">
        <is>
          <t>material: ceramica</t>
        </is>
      </c>
    </row>
    <row r="220">
      <c r="A220" s="3" t="inlineStr">
        <is>
          <t>MAT-08-038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55 x 33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2</v>
      </c>
      <c r="K220" s="6" t="n">
        <v>831.88</v>
      </c>
      <c r="L220" s="6" t="n">
        <v>684.1799999999999</v>
      </c>
      <c r="M220" s="6" t="n">
        <v>1189.99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Ferretería Ochoa (8A) · La Ibérica</t>
        </is>
      </c>
      <c r="U220" s="7" t="n">
        <v>55</v>
      </c>
      <c r="W220" s="7" t="inlineStr">
        <is>
          <t>55 x 33 cm</t>
        </is>
      </c>
      <c r="AG220" s="7" t="inlineStr">
        <is>
          <t>pared</t>
        </is>
      </c>
      <c r="AH220" s="4" t="inlineStr">
        <is>
          <t>material: ceramica · ancho_cm: 33</t>
        </is>
      </c>
    </row>
    <row r="221">
      <c r="A221" s="3" t="inlineStr">
        <is>
          <t>MAT-08-039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58 x 19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785.33</v>
      </c>
      <c r="L221" s="6" t="n">
        <v>760.26</v>
      </c>
      <c r="M221" s="6" t="n">
        <v>1461.04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U221" s="7" t="n">
        <v>58</v>
      </c>
      <c r="W221" s="7" t="inlineStr">
        <is>
          <t>58 x 19 cm</t>
        </is>
      </c>
      <c r="AG221" s="7" t="inlineStr">
        <is>
          <t>pared</t>
        </is>
      </c>
      <c r="AH221" s="4" t="inlineStr">
        <is>
          <t>material: ceramica · ancho_cm: 19 · acabado: mate</t>
        </is>
      </c>
    </row>
    <row r="222">
      <c r="A222" s="3" t="inlineStr">
        <is>
          <t>MAT-08-040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58 x 30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1684.92</v>
      </c>
      <c r="L222" s="6" t="n">
        <v>1684.92</v>
      </c>
      <c r="M222" s="6" t="n">
        <v>1684.92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58</v>
      </c>
      <c r="W222" s="7" t="inlineStr">
        <is>
          <t>58 x 30 cm</t>
        </is>
      </c>
      <c r="AG222" s="7" t="inlineStr">
        <is>
          <t>pared</t>
        </is>
      </c>
      <c r="AH222" s="4" t="inlineStr">
        <is>
          <t>material: ceramica · ancho_cm: 30 · piezas_m2: 5.75 · espesor_mm: 9</t>
        </is>
      </c>
    </row>
    <row r="223">
      <c r="A223" s="3" t="inlineStr">
        <is>
          <t>MAT-08-041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58 x 33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390.97</v>
      </c>
      <c r="L223" s="6" t="n">
        <v>333.42</v>
      </c>
      <c r="M223" s="6" t="n">
        <v>944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Ferremix (Grupo Alterra) · Ferretería Ochoa (8A)</t>
        </is>
      </c>
      <c r="U223" s="7" t="n">
        <v>58</v>
      </c>
      <c r="W223" s="7" t="inlineStr">
        <is>
          <t>58 x 33 cm</t>
        </is>
      </c>
      <c r="AG223" s="7" t="inlineStr">
        <is>
          <t>pared</t>
        </is>
      </c>
      <c r="AH223" s="4" t="inlineStr">
        <is>
          <t>material: ceramica · ancho_cm: 33</t>
        </is>
      </c>
    </row>
    <row r="224">
      <c r="A224" s="3" t="inlineStr">
        <is>
          <t>MAT-08-042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60 x 20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2</v>
      </c>
      <c r="K224" s="6" t="n">
        <v>1264.08</v>
      </c>
      <c r="L224" s="6" t="n">
        <v>1162.7</v>
      </c>
      <c r="M224" s="6" t="n">
        <v>1640.18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2026-09-10</t>
        </is>
      </c>
      <c r="Q224" s="4" t="inlineStr">
        <is>
          <t>Ferretería Ochoa (8A) · La Ibérica</t>
        </is>
      </c>
      <c r="U224" s="7" t="n">
        <v>60</v>
      </c>
      <c r="W224" s="7" t="inlineStr">
        <is>
          <t>60 x 20 cm</t>
        </is>
      </c>
      <c r="AG224" s="7" t="inlineStr">
        <is>
          <t>pared</t>
        </is>
      </c>
      <c r="AH224" s="4" t="inlineStr">
        <is>
          <t>material: ceramica · ancho_cm: 20 · piezas_m2: 8.33 · acabado: mate · espesor_mm: 9</t>
        </is>
      </c>
    </row>
    <row r="225">
      <c r="A225" s="3" t="inlineStr">
        <is>
          <t>MAT-08-043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60 x 30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3</v>
      </c>
      <c r="K225" s="6" t="n">
        <v>917.65</v>
      </c>
      <c r="L225" s="6" t="n">
        <v>418.91</v>
      </c>
      <c r="M225" s="6" t="n">
        <v>1654.68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2026-09-10</t>
        </is>
      </c>
      <c r="Q225" s="4" t="inlineStr">
        <is>
          <t>CerArte · Ferretería Ochoa (8A) · La Ibérica</t>
        </is>
      </c>
      <c r="U225" s="7" t="n">
        <v>60</v>
      </c>
      <c r="W225" s="7" t="inlineStr">
        <is>
          <t>60 x 30 cm</t>
        </is>
      </c>
      <c r="AG225" s="7" t="inlineStr">
        <is>
          <t>pared</t>
        </is>
      </c>
      <c r="AH225" s="4" t="inlineStr">
        <is>
          <t>material: ceramica · ancho_cm: 30</t>
        </is>
      </c>
    </row>
    <row r="226">
      <c r="A226" s="3" t="inlineStr">
        <is>
          <t>MAT-08-044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60 x 33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2</v>
      </c>
      <c r="K226" s="6" t="n">
        <v>876.1</v>
      </c>
      <c r="L226" s="6" t="n">
        <v>724.97</v>
      </c>
      <c r="M226" s="6" t="n">
        <v>1027.23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Ferretería Ochoa (8A) · La Ibérica</t>
        </is>
      </c>
      <c r="U226" s="7" t="n">
        <v>60</v>
      </c>
      <c r="W226" s="7" t="inlineStr">
        <is>
          <t>60 x 33 cm</t>
        </is>
      </c>
      <c r="AG226" s="7" t="inlineStr">
        <is>
          <t>pared</t>
        </is>
      </c>
      <c r="AH226" s="4" t="inlineStr">
        <is>
          <t>material: ceramica · ancho_cm: 33 · piezas_m2: 5.27</t>
        </is>
      </c>
    </row>
    <row r="227">
      <c r="A227" s="3" t="inlineStr">
        <is>
          <t>MAT-08-045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60 x 60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1195.21</v>
      </c>
      <c r="L227" s="6" t="n">
        <v>1195.21</v>
      </c>
      <c r="M227" s="6" t="n">
        <v>1195.21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U227" s="7" t="n">
        <v>60</v>
      </c>
      <c r="W227" s="7" t="inlineStr">
        <is>
          <t>60 x 60 cm</t>
        </is>
      </c>
      <c r="AG227" s="7" t="inlineStr">
        <is>
          <t>pared</t>
        </is>
      </c>
      <c r="AH227" s="4" t="inlineStr">
        <is>
          <t>material: ceramica · ancho_cm: 60 · piezas_m2: 2.7</t>
        </is>
      </c>
    </row>
    <row r="228">
      <c r="A228" s="3" t="inlineStr">
        <is>
          <t>MAT-08-046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70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199.95</v>
      </c>
      <c r="L228" s="6" t="n">
        <v>199.95</v>
      </c>
      <c r="M228" s="6" t="n">
        <v>199.95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U228" s="7" t="n">
        <v>70</v>
      </c>
      <c r="W228" s="7" t="inlineStr">
        <is>
          <t>70 x 25 cm</t>
        </is>
      </c>
      <c r="AG228" s="7" t="inlineStr">
        <is>
          <t>pared</t>
        </is>
      </c>
      <c r="AH228" s="4" t="inlineStr">
        <is>
          <t>material: ceramica · ancho_cm: 25 · piezas_m2: 5.69</t>
        </is>
      </c>
    </row>
    <row r="229">
      <c r="A229" s="3" t="inlineStr">
        <is>
          <t>MAT-08-047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75 x 25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2</v>
      </c>
      <c r="K229" s="6" t="n">
        <v>1277.6</v>
      </c>
      <c r="L229" s="6" t="n">
        <v>883.8200000000001</v>
      </c>
      <c r="M229" s="6" t="n">
        <v>1675.01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2026-09-10</t>
        </is>
      </c>
      <c r="Q229" s="4" t="inlineStr">
        <is>
          <t>CerArte · Ferretería Ochoa (8A)</t>
        </is>
      </c>
      <c r="U229" s="7" t="n">
        <v>75</v>
      </c>
      <c r="W229" s="7" t="inlineStr">
        <is>
          <t>75 x 25 cm</t>
        </is>
      </c>
      <c r="AG229" s="7" t="inlineStr">
        <is>
          <t>pared</t>
        </is>
      </c>
      <c r="AH229" s="4" t="inlineStr">
        <is>
          <t>material: ceramica · ancho_cm: 25</t>
        </is>
      </c>
    </row>
    <row r="230">
      <c r="A230" s="3" t="inlineStr">
        <is>
          <t>MAT-08-048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75 x 30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1789.97</v>
      </c>
      <c r="L230" s="6" t="n">
        <v>1789.97</v>
      </c>
      <c r="M230" s="6" t="n">
        <v>1789.97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La Ibérica</t>
        </is>
      </c>
      <c r="W230" s="7" t="inlineStr">
        <is>
          <t>75 x 30 cm</t>
        </is>
      </c>
      <c r="AG230" s="7" t="inlineStr">
        <is>
          <t>pared</t>
        </is>
      </c>
      <c r="AH230" s="4" t="inlineStr">
        <is>
          <t>material: ceramica</t>
        </is>
      </c>
    </row>
    <row r="231">
      <c r="A231" s="3" t="inlineStr">
        <is>
          <t>MAT-08-049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75 x 35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2071.81</v>
      </c>
      <c r="L231" s="6" t="n">
        <v>1856.2</v>
      </c>
      <c r="M231" s="6" t="n">
        <v>2071.82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W231" s="7" t="inlineStr">
        <is>
          <t>75 x 35 cm</t>
        </is>
      </c>
      <c r="AG231" s="7" t="inlineStr">
        <is>
          <t>pared</t>
        </is>
      </c>
      <c r="AH231" s="4" t="inlineStr">
        <is>
          <t>material: ceramica · acabado: mate</t>
        </is>
      </c>
    </row>
    <row r="232">
      <c r="A232" s="3" t="inlineStr">
        <is>
          <t>MAT-08-050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75 x 38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644.1900000000001</v>
      </c>
      <c r="L232" s="6" t="n">
        <v>527.28</v>
      </c>
      <c r="M232" s="6" t="n">
        <v>761.11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Ferretería Ochoa (8A)</t>
        </is>
      </c>
      <c r="U232" s="7" t="n">
        <v>75</v>
      </c>
      <c r="W232" s="7" t="inlineStr">
        <is>
          <t>75 x 38 cm</t>
        </is>
      </c>
      <c r="AG232" s="7" t="inlineStr">
        <is>
          <t>pared</t>
        </is>
      </c>
      <c r="AH232" s="4" t="inlineStr">
        <is>
          <t>material: ceramica · ancho_cm: 38 · piezas_m2: 3.5 · acabado: mate · espesor_mm: 9</t>
        </is>
      </c>
    </row>
    <row r="233">
      <c r="A233" s="3" t="inlineStr">
        <is>
          <t>MAT-08-051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80 x 36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1511.88</v>
      </c>
      <c r="L233" s="6" t="n">
        <v>1343.86</v>
      </c>
      <c r="M233" s="6" t="n">
        <v>1679.9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80</v>
      </c>
      <c r="W233" s="7" t="inlineStr">
        <is>
          <t>80 x 36 cm</t>
        </is>
      </c>
      <c r="AG233" s="7" t="inlineStr">
        <is>
          <t>pared</t>
        </is>
      </c>
      <c r="AH233" s="4" t="inlineStr">
        <is>
          <t>material: ceramica · ancho_cm: 36 · piezas_m2: 3.47 · acabado: brillante</t>
        </is>
      </c>
    </row>
    <row r="234">
      <c r="A234" s="3" t="inlineStr">
        <is>
          <t>MAT-08-052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90 x 30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3</v>
      </c>
      <c r="K234" s="6" t="n">
        <v>1811.98</v>
      </c>
      <c r="L234" s="6" t="n">
        <v>401.35</v>
      </c>
      <c r="M234" s="6" t="n">
        <v>2977.12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 · Ferretería Ochoa (8A) · La Ibérica</t>
        </is>
      </c>
      <c r="U234" s="7" t="n">
        <v>90</v>
      </c>
      <c r="W234" s="7" t="inlineStr">
        <is>
          <t>90 x 30 cm</t>
        </is>
      </c>
      <c r="AG234" s="7" t="inlineStr">
        <is>
          <t>pared</t>
        </is>
      </c>
      <c r="AH234" s="4" t="inlineStr">
        <is>
          <t>material: ceramica · ancho_cm: 30</t>
        </is>
      </c>
    </row>
    <row r="235">
      <c r="A235" s="3" t="inlineStr">
        <is>
          <t>MAT-08-053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90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1770.01</v>
      </c>
      <c r="L235" s="6" t="n">
        <v>1690.02</v>
      </c>
      <c r="M235" s="6" t="n">
        <v>1850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La Ibérica</t>
        </is>
      </c>
      <c r="W235" s="7" t="inlineStr">
        <is>
          <t>90 x 33 cm</t>
        </is>
      </c>
      <c r="AG235" s="7" t="inlineStr">
        <is>
          <t>pared</t>
        </is>
      </c>
      <c r="AH235" s="4" t="inlineStr">
        <is>
          <t>material: ceramica</t>
        </is>
      </c>
    </row>
    <row r="236">
      <c r="A236" s="3" t="inlineStr">
        <is>
          <t>MAT-08-054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90 x 45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2169.48</v>
      </c>
      <c r="L236" s="6" t="n">
        <v>1832.08</v>
      </c>
      <c r="M236" s="6" t="n">
        <v>2506.89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90</v>
      </c>
      <c r="W236" s="7" t="inlineStr">
        <is>
          <t>90 x 45 cm</t>
        </is>
      </c>
      <c r="AG236" s="7" t="inlineStr">
        <is>
          <t>pared</t>
        </is>
      </c>
      <c r="AH236" s="4" t="inlineStr">
        <is>
          <t>material: ceramica · ancho_cm: 45 · piezas_m2: 2.46 · espesor_mm: 9</t>
        </is>
      </c>
    </row>
    <row r="237">
      <c r="A237" s="3" t="inlineStr">
        <is>
          <t>MAT-08-055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piso,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1419.42</v>
      </c>
      <c r="L237" s="6" t="n">
        <v>1333.56</v>
      </c>
      <c r="M237" s="6" t="n">
        <v>1505.28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100</v>
      </c>
      <c r="W237" s="7" t="inlineStr">
        <is>
          <t>100 x 33 cm</t>
        </is>
      </c>
      <c r="AG237" s="7" t="inlineStr">
        <is>
          <t>piso</t>
        </is>
      </c>
      <c r="AH237" s="4" t="inlineStr">
        <is>
          <t>material: ceramica · ancho_cm: 33 · piezas_m2: 3 · espesor_mm: 10</t>
        </is>
      </c>
    </row>
    <row r="238">
      <c r="A238" s="3" t="inlineStr">
        <is>
          <t>MAT-08-056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piso, 100 x 45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1352</v>
      </c>
      <c r="L238" s="6" t="n">
        <v>1352</v>
      </c>
      <c r="M238" s="6" t="n">
        <v>1352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CerArte</t>
        </is>
      </c>
      <c r="W238" s="7" t="inlineStr">
        <is>
          <t>100 x 45 cm</t>
        </is>
      </c>
      <c r="AG238" s="7" t="inlineStr">
        <is>
          <t>piso</t>
        </is>
      </c>
      <c r="AH238" s="4" t="inlineStr">
        <is>
          <t>material: ceramica · acabado: mate</t>
        </is>
      </c>
    </row>
    <row r="239">
      <c r="A239" s="3" t="inlineStr">
        <is>
          <t>MAT-08-057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piso, 110 x 55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784.04</v>
      </c>
      <c r="L239" s="6" t="n">
        <v>784.04</v>
      </c>
      <c r="M239" s="6" t="n">
        <v>784.04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CerArte</t>
        </is>
      </c>
      <c r="W239" s="7" t="inlineStr">
        <is>
          <t>110 x 55 cm</t>
        </is>
      </c>
      <c r="AG239" s="7" t="inlineStr">
        <is>
          <t>piso</t>
        </is>
      </c>
      <c r="AH239" s="4" t="inlineStr">
        <is>
          <t>material: ceramica · acabado: pulido</t>
        </is>
      </c>
    </row>
    <row r="240">
      <c r="A240" s="3" t="inlineStr">
        <is>
          <t>MAT-08-058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piso, 113 x 55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2</v>
      </c>
      <c r="K240" s="6" t="n">
        <v>778.27</v>
      </c>
      <c r="L240" s="6" t="n">
        <v>489.48</v>
      </c>
      <c r="M240" s="6" t="n">
        <v>975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Ferremix (Grupo Alterra) · Ferretería Ochoa (8A)</t>
        </is>
      </c>
      <c r="U240" s="7" t="n">
        <v>113</v>
      </c>
      <c r="W240" s="7" t="inlineStr">
        <is>
          <t>113 x 55 cm</t>
        </is>
      </c>
      <c r="AG240" s="7" t="inlineStr">
        <is>
          <t>piso</t>
        </is>
      </c>
      <c r="AH240" s="4" t="inlineStr">
        <is>
          <t>material: ceramica · ancho_cm: 55 · piezas_m2: 1.58 · espesor_mm: 9</t>
        </is>
      </c>
    </row>
    <row r="241">
      <c r="A241" s="3" t="inlineStr">
        <is>
          <t>MAT-08-059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piso, 114 x 18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737.36</v>
      </c>
      <c r="L241" s="6" t="n">
        <v>669.27</v>
      </c>
      <c r="M241" s="6" t="n">
        <v>743.3200000000001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114</v>
      </c>
      <c r="W241" s="7" t="inlineStr">
        <is>
          <t>114 x 18 cm</t>
        </is>
      </c>
      <c r="AG241" s="7" t="inlineStr">
        <is>
          <t>piso</t>
        </is>
      </c>
      <c r="AH241" s="4" t="inlineStr">
        <is>
          <t>material: ceramica · ancho_cm: 18</t>
        </is>
      </c>
    </row>
    <row r="242">
      <c r="A242" s="3" t="inlineStr">
        <is>
          <t>MAT-08-060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piso, 120 x 15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2</v>
      </c>
      <c r="K242" s="6" t="n">
        <v>3705.42</v>
      </c>
      <c r="L242" s="6" t="n">
        <v>1690</v>
      </c>
      <c r="M242" s="6" t="n">
        <v>4005.16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Ferretería Ochoa (8A) · La Ibérica</t>
        </is>
      </c>
      <c r="U242" s="7" t="n">
        <v>120</v>
      </c>
      <c r="W242" s="7" t="inlineStr">
        <is>
          <t>120 x 15 cm</t>
        </is>
      </c>
      <c r="AG242" s="7" t="inlineStr">
        <is>
          <t>piso</t>
        </is>
      </c>
      <c r="AH242" s="4" t="inlineStr">
        <is>
          <t>material: ceramica · ancho_cm: 15 · acabado: mate</t>
        </is>
      </c>
    </row>
    <row r="243">
      <c r="A243" s="3" t="inlineStr">
        <is>
          <t>MAT-08-061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piso, 120 x 20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2136.75</v>
      </c>
      <c r="L243" s="6" t="n">
        <v>1732.1</v>
      </c>
      <c r="M243" s="6" t="n">
        <v>2390.44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120</v>
      </c>
      <c r="W243" s="7" t="inlineStr">
        <is>
          <t>120 x 20 cm</t>
        </is>
      </c>
      <c r="AG243" s="7" t="inlineStr">
        <is>
          <t>piso</t>
        </is>
      </c>
      <c r="AH243" s="4" t="inlineStr">
        <is>
          <t>material: ceramica · ancho_cm: 20 · espesor_mm: 9</t>
        </is>
      </c>
    </row>
    <row r="244">
      <c r="A244" s="3" t="inlineStr">
        <is>
          <t>MAT-08-062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piso, 120 x 23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1293.72</v>
      </c>
      <c r="L244" s="6" t="n">
        <v>1253.57</v>
      </c>
      <c r="M244" s="6" t="n">
        <v>1327.67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2026-09-09</t>
        </is>
      </c>
      <c r="Q244" s="4" t="inlineStr">
        <is>
          <t>Ferretería Ochoa (8A)</t>
        </is>
      </c>
      <c r="U244" s="7" t="n">
        <v>120</v>
      </c>
      <c r="W244" s="7" t="inlineStr">
        <is>
          <t>120 x 23 cm</t>
        </is>
      </c>
      <c r="AG244" s="7" t="inlineStr">
        <is>
          <t>piso</t>
        </is>
      </c>
      <c r="AH244" s="4" t="inlineStr">
        <is>
          <t>material: ceramica · ancho_cm: 23 · piezas_m2: 3.62</t>
        </is>
      </c>
    </row>
    <row r="245">
      <c r="A245" s="3" t="inlineStr">
        <is>
          <t>MAT-08-063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piso, 120 x 40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2054.75</v>
      </c>
      <c r="L245" s="6" t="n">
        <v>1624.23</v>
      </c>
      <c r="M245" s="6" t="n">
        <v>3746.48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120</v>
      </c>
      <c r="W245" s="7" t="inlineStr">
        <is>
          <t>120 x 40 cm</t>
        </is>
      </c>
      <c r="AG245" s="7" t="inlineStr">
        <is>
          <t>piso</t>
        </is>
      </c>
      <c r="AH245" s="4" t="inlineStr">
        <is>
          <t>material: ceramica · ancho_cm: 40 · acabado: mate · espesor_mm: 9</t>
        </is>
      </c>
    </row>
    <row r="246">
      <c r="A246" s="3" t="inlineStr">
        <is>
          <t>MAT-08-064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piso, 120 x 60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1722.03</v>
      </c>
      <c r="L246" s="6" t="n">
        <v>819.97</v>
      </c>
      <c r="M246" s="6" t="n">
        <v>2737.53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120</v>
      </c>
      <c r="W246" s="7" t="inlineStr">
        <is>
          <t>120 x 60 cm</t>
        </is>
      </c>
      <c r="AG246" s="7" t="inlineStr">
        <is>
          <t>piso</t>
        </is>
      </c>
      <c r="AH246" s="4" t="inlineStr">
        <is>
          <t>material: ceramica · ancho_cm: 60 · piezas_m2: 1.38 · espesor_mm: 10</t>
        </is>
      </c>
    </row>
    <row r="247">
      <c r="A247" s="3" t="inlineStr">
        <is>
          <t>MAT-08-065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piso, 15 x 15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2</v>
      </c>
      <c r="K247" s="6" t="n">
        <v>1315.88</v>
      </c>
      <c r="L247" s="6" t="n">
        <v>741.84</v>
      </c>
      <c r="M247" s="6" t="n">
        <v>1889.91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2026-09-10</t>
        </is>
      </c>
      <c r="Q247" s="4" t="inlineStr">
        <is>
          <t>Ferretería Ochoa (8A) · La Ibérica</t>
        </is>
      </c>
      <c r="U247" s="7" t="n">
        <v>15</v>
      </c>
      <c r="W247" s="7" t="inlineStr">
        <is>
          <t>15 x 15 cm</t>
        </is>
      </c>
      <c r="AG247" s="7" t="inlineStr">
        <is>
          <t>piso</t>
        </is>
      </c>
      <c r="AH247" s="4" t="inlineStr">
        <is>
          <t>material: ceramica · ancho_cm: 15 · piezas_m2: 44 · acabado: mate · espesor_mm: 9</t>
        </is>
      </c>
    </row>
    <row r="248">
      <c r="A248" s="3" t="inlineStr">
        <is>
          <t>MAT-08-066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piso, 150 x 75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3031.01</v>
      </c>
      <c r="L248" s="6" t="n">
        <v>2996.81</v>
      </c>
      <c r="M248" s="6" t="n">
        <v>3033.86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</t>
        </is>
      </c>
      <c r="W248" s="7" t="inlineStr">
        <is>
          <t>150 x 75 cm</t>
        </is>
      </c>
      <c r="AG248" s="7" t="inlineStr">
        <is>
          <t>piso</t>
        </is>
      </c>
      <c r="AH248" s="4" t="inlineStr">
        <is>
          <t>material: ceramica · acabado: mate</t>
        </is>
      </c>
    </row>
    <row r="249">
      <c r="A249" s="3" t="inlineStr">
        <is>
          <t>MAT-08-067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piso, 20 x 20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324.25</v>
      </c>
      <c r="L249" s="6" t="n">
        <v>324.25</v>
      </c>
      <c r="M249" s="6" t="n">
        <v>324.25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20</v>
      </c>
      <c r="W249" s="7" t="inlineStr">
        <is>
          <t>20 x 20 cm</t>
        </is>
      </c>
      <c r="AG249" s="7" t="inlineStr">
        <is>
          <t>piso</t>
        </is>
      </c>
      <c r="AH249" s="4" t="inlineStr">
        <is>
          <t>material: ceramica · ancho_cm: 20 · piezas_m2: 25 · acabado: mate · espesor_mm: 9</t>
        </is>
      </c>
    </row>
    <row r="250">
      <c r="A250" s="3" t="inlineStr">
        <is>
          <t>MAT-08-068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piso, 22.3 x 22.3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2595</v>
      </c>
      <c r="L250" s="6" t="n">
        <v>2595</v>
      </c>
      <c r="M250" s="6" t="n">
        <v>2595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22.3</v>
      </c>
      <c r="W250" s="7" t="inlineStr">
        <is>
          <t>22.3 x 22.3 cm</t>
        </is>
      </c>
      <c r="AG250" s="7" t="inlineStr">
        <is>
          <t>piso</t>
        </is>
      </c>
      <c r="AH250" s="4" t="inlineStr">
        <is>
          <t>material: ceramica · ancho_cm: 22.3 · piezas_m2: 20</t>
        </is>
      </c>
    </row>
    <row r="251">
      <c r="A251" s="3" t="inlineStr">
        <is>
          <t>MAT-08-069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piso, 30 x 7.5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2989.56</v>
      </c>
      <c r="L251" s="6" t="n">
        <v>2989.56</v>
      </c>
      <c r="M251" s="6" t="n">
        <v>2989.56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La Ibérica</t>
        </is>
      </c>
      <c r="W251" s="7" t="inlineStr">
        <is>
          <t>30 x 7.5 cm</t>
        </is>
      </c>
      <c r="AG251" s="7" t="inlineStr">
        <is>
          <t>piso</t>
        </is>
      </c>
      <c r="AH251" s="4" t="inlineStr">
        <is>
          <t>material: ceramica</t>
        </is>
      </c>
    </row>
    <row r="252">
      <c r="A252" s="3" t="inlineStr">
        <is>
          <t>MAT-08-070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33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899.08</v>
      </c>
      <c r="L252" s="6" t="n">
        <v>850</v>
      </c>
      <c r="M252" s="6" t="n">
        <v>948.15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La Ibérica</t>
        </is>
      </c>
      <c r="W252" s="7" t="inlineStr">
        <is>
          <t>33 x 33 cm</t>
        </is>
      </c>
      <c r="AG252" s="7" t="inlineStr">
        <is>
          <t>piso</t>
        </is>
      </c>
      <c r="AH252" s="4" t="inlineStr">
        <is>
          <t>material: ceramica</t>
        </is>
      </c>
    </row>
    <row r="253">
      <c r="A253" s="3" t="inlineStr">
        <is>
          <t>MAT-08-071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45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3</v>
      </c>
      <c r="K253" s="6" t="n">
        <v>733.09</v>
      </c>
      <c r="L253" s="6" t="n">
        <v>371.25</v>
      </c>
      <c r="M253" s="6" t="n">
        <v>1597.37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 · Ferretería Ochoa (8A) · La Ibérica</t>
        </is>
      </c>
      <c r="U253" s="7" t="n">
        <v>45</v>
      </c>
      <c r="W253" s="7" t="inlineStr">
        <is>
          <t>45 x 45 cm</t>
        </is>
      </c>
      <c r="AG253" s="7" t="inlineStr">
        <is>
          <t>piso</t>
        </is>
      </c>
      <c r="AH253" s="4" t="inlineStr">
        <is>
          <t>material: ceramica · ancho_cm: 45</t>
        </is>
      </c>
    </row>
    <row r="254">
      <c r="A254" s="3" t="inlineStr">
        <is>
          <t>MAT-08-072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50 x 17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1223.85</v>
      </c>
      <c r="L254" s="6" t="n">
        <v>1169.89</v>
      </c>
      <c r="M254" s="6" t="n">
        <v>1312.83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50</v>
      </c>
      <c r="W254" s="7" t="inlineStr">
        <is>
          <t>50 x 17 cm</t>
        </is>
      </c>
      <c r="AG254" s="7" t="inlineStr">
        <is>
          <t>piso</t>
        </is>
      </c>
      <c r="AH254" s="4" t="inlineStr">
        <is>
          <t>material: ceramica · ancho_cm: 17</t>
        </is>
      </c>
    </row>
    <row r="255">
      <c r="A255" s="3" t="inlineStr">
        <is>
          <t>MAT-08-073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50 x 50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395.61</v>
      </c>
      <c r="L255" s="6" t="n">
        <v>344.43</v>
      </c>
      <c r="M255" s="6" t="n">
        <v>767.95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W255" s="7" t="inlineStr">
        <is>
          <t>50 x 50 cm</t>
        </is>
      </c>
      <c r="AG255" s="7" t="inlineStr">
        <is>
          <t>piso</t>
        </is>
      </c>
      <c r="AH255" s="4" t="inlineStr">
        <is>
          <t>material: ceramica · ancho_cm: 50 · piezas_m2: 3.86</t>
        </is>
      </c>
    </row>
    <row r="256">
      <c r="A256" s="3" t="inlineStr">
        <is>
          <t>MAT-08-074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55 x 33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849.8</v>
      </c>
      <c r="L256" s="6" t="n">
        <v>596.66</v>
      </c>
      <c r="M256" s="6" t="n">
        <v>1080.68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55</v>
      </c>
      <c r="W256" s="7" t="inlineStr">
        <is>
          <t>55 x 33 cm</t>
        </is>
      </c>
      <c r="AG256" s="7" t="inlineStr">
        <is>
          <t>piso</t>
        </is>
      </c>
      <c r="AH256" s="4" t="inlineStr">
        <is>
          <t>material: ceramica · ancho_cm: 33</t>
        </is>
      </c>
    </row>
    <row r="257">
      <c r="A257" s="3" t="inlineStr">
        <is>
          <t>MAT-08-075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58 x 33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509.7</v>
      </c>
      <c r="L257" s="6" t="n">
        <v>380.26</v>
      </c>
      <c r="M257" s="6" t="n">
        <v>509.76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58</v>
      </c>
      <c r="W257" s="7" t="inlineStr">
        <is>
          <t>58 x 33 cm</t>
        </is>
      </c>
      <c r="AG257" s="7" t="inlineStr">
        <is>
          <t>piso</t>
        </is>
      </c>
      <c r="AH257" s="4" t="inlineStr">
        <is>
          <t>material: ceramica · ancho_cm: 33</t>
        </is>
      </c>
    </row>
    <row r="258">
      <c r="A258" s="3" t="inlineStr">
        <is>
          <t>MAT-08-076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58 x 58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2</v>
      </c>
      <c r="K258" s="6" t="n">
        <v>375.46</v>
      </c>
      <c r="L258" s="6" t="n">
        <v>342.39</v>
      </c>
      <c r="M258" s="6" t="n">
        <v>575.8099999999999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2026-09-10</t>
        </is>
      </c>
      <c r="Q258" s="4" t="inlineStr">
        <is>
          <t>Ferremix (Grupo Alterra) · Ferretería Ochoa (8A)</t>
        </is>
      </c>
      <c r="U258" s="7" t="n">
        <v>58</v>
      </c>
      <c r="W258" s="7" t="inlineStr">
        <is>
          <t>58 x 58 cm</t>
        </is>
      </c>
      <c r="AG258" s="7" t="inlineStr">
        <is>
          <t>piso</t>
        </is>
      </c>
      <c r="AH258" s="4" t="inlineStr">
        <is>
          <t>material: ceramica · ancho_cm: 58 · acabado: brillante</t>
        </is>
      </c>
    </row>
    <row r="259">
      <c r="A259" s="3" t="inlineStr">
        <is>
          <t>MAT-08-077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60 x 20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2</v>
      </c>
      <c r="K259" s="6" t="n">
        <v>865.65</v>
      </c>
      <c r="L259" s="6" t="n">
        <v>445.65</v>
      </c>
      <c r="M259" s="6" t="n">
        <v>1227.01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 · Ferretería Ochoa (8A)</t>
        </is>
      </c>
      <c r="U259" s="7" t="n">
        <v>60</v>
      </c>
      <c r="W259" s="7" t="inlineStr">
        <is>
          <t>60 x 20 cm</t>
        </is>
      </c>
      <c r="AG259" s="7" t="inlineStr">
        <is>
          <t>piso</t>
        </is>
      </c>
      <c r="AH259" s="4" t="inlineStr">
        <is>
          <t>material: ceramica · ancho_cm: 20 · acabado: mate</t>
        </is>
      </c>
    </row>
    <row r="260">
      <c r="A260" s="3" t="inlineStr">
        <is>
          <t>MAT-08-078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60 x 30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1343.36</v>
      </c>
      <c r="L260" s="6" t="n">
        <v>846.53</v>
      </c>
      <c r="M260" s="6" t="n">
        <v>2044.4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60</v>
      </c>
      <c r="W260" s="7" t="inlineStr">
        <is>
          <t>60 x 30 cm</t>
        </is>
      </c>
      <c r="AG260" s="7" t="inlineStr">
        <is>
          <t>piso</t>
        </is>
      </c>
      <c r="AH260" s="4" t="inlineStr">
        <is>
          <t>material: ceramica · ancho_cm: 30 · espesor_mm: 9</t>
        </is>
      </c>
    </row>
    <row r="261">
      <c r="A261" s="3" t="inlineStr">
        <is>
          <t>MAT-08-079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60 x 33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902.6</v>
      </c>
      <c r="L261" s="6" t="n">
        <v>902.6</v>
      </c>
      <c r="M261" s="6" t="n">
        <v>902.6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60</v>
      </c>
      <c r="W261" s="7" t="inlineStr">
        <is>
          <t>60 x 33 cm</t>
        </is>
      </c>
      <c r="AG261" s="7" t="inlineStr">
        <is>
          <t>piso</t>
        </is>
      </c>
      <c r="AH261" s="4" t="inlineStr">
        <is>
          <t>material: ceramica · ancho_cm: 33 · piezas_m2: 5 · acabado: mate · espesor_mm: 9</t>
        </is>
      </c>
    </row>
    <row r="262">
      <c r="A262" s="3" t="inlineStr">
        <is>
          <t>MAT-08-080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60 x 60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1230.38</v>
      </c>
      <c r="L262" s="6" t="n">
        <v>687.72</v>
      </c>
      <c r="M262" s="6" t="n">
        <v>1796.04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CerArte · Ferretería Ochoa (8A)</t>
        </is>
      </c>
      <c r="U262" s="7" t="n">
        <v>60</v>
      </c>
      <c r="W262" s="7" t="inlineStr">
        <is>
          <t>60 x 60 cm</t>
        </is>
      </c>
      <c r="AG262" s="7" t="inlineStr">
        <is>
          <t>piso</t>
        </is>
      </c>
      <c r="AH262" s="4" t="inlineStr">
        <is>
          <t>material: ceramica · ancho_cm: 60</t>
        </is>
      </c>
    </row>
    <row r="263">
      <c r="A263" s="3" t="inlineStr">
        <is>
          <t>MAT-08-081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60 x 7.1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2092.5</v>
      </c>
      <c r="L263" s="6" t="n">
        <v>2092.5</v>
      </c>
      <c r="M263" s="6" t="n">
        <v>2092.5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60</v>
      </c>
      <c r="W263" s="7" t="inlineStr">
        <is>
          <t>60 x 7.1 cm</t>
        </is>
      </c>
      <c r="AG263" s="7" t="inlineStr">
        <is>
          <t>piso</t>
        </is>
      </c>
      <c r="AH263" s="4" t="inlineStr">
        <is>
          <t>material: ceramica · ancho_cm: 7.1 · piezas_m2: 23.25 · acabado: antideslizante · espesor_mm: 9</t>
        </is>
      </c>
    </row>
    <row r="264">
      <c r="A264" s="3" t="inlineStr">
        <is>
          <t>MAT-08-082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70 x 25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509.73</v>
      </c>
      <c r="L264" s="6" t="n">
        <v>509.73</v>
      </c>
      <c r="M264" s="6" t="n">
        <v>509.73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70</v>
      </c>
      <c r="W264" s="7" t="inlineStr">
        <is>
          <t>70 x 25 cm</t>
        </is>
      </c>
      <c r="AG264" s="7" t="inlineStr">
        <is>
          <t>piso</t>
        </is>
      </c>
      <c r="AH264" s="4" t="inlineStr">
        <is>
          <t>material: ceramica · ancho_cm: 25 · piezas_m2: 5.71</t>
        </is>
      </c>
    </row>
    <row r="265">
      <c r="A265" s="3" t="inlineStr">
        <is>
          <t>MAT-08-083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75 x 25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1318.41</v>
      </c>
      <c r="L265" s="6" t="n">
        <v>1055.55</v>
      </c>
      <c r="M265" s="6" t="n">
        <v>1618.56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75</v>
      </c>
      <c r="W265" s="7" t="inlineStr">
        <is>
          <t>75 x 25 cm</t>
        </is>
      </c>
      <c r="AG265" s="7" t="inlineStr">
        <is>
          <t>piso</t>
        </is>
      </c>
      <c r="AH265" s="4" t="inlineStr">
        <is>
          <t>material: ceramica · ancho_cm: 25 · piezas_m2: 5.33 · acabado: mate · espesor_mm: 9</t>
        </is>
      </c>
    </row>
    <row r="266">
      <c r="A266" s="3" t="inlineStr">
        <is>
          <t>MAT-08-084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75 x 75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1011.3</v>
      </c>
      <c r="L266" s="6" t="n">
        <v>794.1900000000001</v>
      </c>
      <c r="M266" s="6" t="n">
        <v>1228.42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CerArte</t>
        </is>
      </c>
      <c r="W266" s="7" t="inlineStr">
        <is>
          <t>75 x 75 cm</t>
        </is>
      </c>
      <c r="AG266" s="7" t="inlineStr">
        <is>
          <t>piso</t>
        </is>
      </c>
      <c r="AH266" s="4" t="inlineStr">
        <is>
          <t>material: ceramica</t>
        </is>
      </c>
    </row>
    <row r="267">
      <c r="A267" s="3" t="inlineStr">
        <is>
          <t>MAT-08-085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80 x 80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2</v>
      </c>
      <c r="K267" s="6" t="n">
        <v>1228.07</v>
      </c>
      <c r="L267" s="6" t="n">
        <v>845.45</v>
      </c>
      <c r="M267" s="6" t="n">
        <v>1832.08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CerArte · Ferretería Ochoa (8A)</t>
        </is>
      </c>
      <c r="U267" s="7" t="n">
        <v>80</v>
      </c>
      <c r="W267" s="7" t="inlineStr">
        <is>
          <t>80 x 80 cm</t>
        </is>
      </c>
      <c r="AG267" s="7" t="inlineStr">
        <is>
          <t>piso</t>
        </is>
      </c>
      <c r="AH267" s="4" t="inlineStr">
        <is>
          <t>material: ceramica · ancho_cm: 80</t>
        </is>
      </c>
    </row>
    <row r="268">
      <c r="A268" s="3" t="inlineStr">
        <is>
          <t>MAT-08-086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90 x 15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1042.92</v>
      </c>
      <c r="L268" s="6" t="n">
        <v>1042.92</v>
      </c>
      <c r="M268" s="6" t="n">
        <v>1042.92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90</v>
      </c>
      <c r="W268" s="7" t="inlineStr">
        <is>
          <t>90 x 15 cm</t>
        </is>
      </c>
      <c r="AG268" s="7" t="inlineStr">
        <is>
          <t>piso</t>
        </is>
      </c>
      <c r="AH268" s="4" t="inlineStr">
        <is>
          <t>material: ceramica · ancho_cm: 15 · piezas_m2: 7.69 · acabado: antideslizante · espesor_mm: 9</t>
        </is>
      </c>
    </row>
    <row r="269">
      <c r="A269" s="3" t="inlineStr">
        <is>
          <t>MAT-08-087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90 x 30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1646.97</v>
      </c>
      <c r="L269" s="6" t="n">
        <v>954.53</v>
      </c>
      <c r="M269" s="6" t="n">
        <v>2286.13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90</v>
      </c>
      <c r="W269" s="7" t="inlineStr">
        <is>
          <t>90 x 30 cm</t>
        </is>
      </c>
      <c r="AG269" s="7" t="inlineStr">
        <is>
          <t>piso</t>
        </is>
      </c>
      <c r="AH269" s="4" t="inlineStr">
        <is>
          <t>material: ceramica · ancho_cm: 30 · espesor_mm: 9</t>
        </is>
      </c>
    </row>
    <row r="270">
      <c r="A270" s="3" t="inlineStr">
        <is>
          <t>MAT-08-088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 y pared, 100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2014.5</v>
      </c>
      <c r="L270" s="6" t="n">
        <v>1700.29</v>
      </c>
      <c r="M270" s="6" t="n">
        <v>2499.39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100</v>
      </c>
      <c r="W270" s="7" t="inlineStr">
        <is>
          <t>100 x 30 cm</t>
        </is>
      </c>
      <c r="AG270" s="7" t="inlineStr">
        <is>
          <t>piso y pared</t>
        </is>
      </c>
      <c r="AH270" s="4" t="inlineStr">
        <is>
          <t>material: ceramica · ancho_cm: 30 · piezas_m2: 3.17</t>
        </is>
      </c>
    </row>
    <row r="271">
      <c r="A271" s="3" t="inlineStr">
        <is>
          <t>MAT-08-089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 y pared, 113 x 55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872.1900000000001</v>
      </c>
      <c r="L271" s="6" t="n">
        <v>493.24</v>
      </c>
      <c r="M271" s="6" t="n">
        <v>918.9400000000001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113</v>
      </c>
      <c r="W271" s="7" t="inlineStr">
        <is>
          <t>113 x 55 cm</t>
        </is>
      </c>
      <c r="AG271" s="7" t="inlineStr">
        <is>
          <t>piso y pared</t>
        </is>
      </c>
      <c r="AH271" s="4" t="inlineStr">
        <is>
          <t>material: ceramica · ancho_cm: 55 · piezas_m2: 1.58 · acabado: pulido</t>
        </is>
      </c>
    </row>
    <row r="272">
      <c r="A272" s="3" t="inlineStr">
        <is>
          <t>MAT-08-090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 y pared, 120 x 20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1922.79</v>
      </c>
      <c r="L272" s="6" t="n">
        <v>1294.63</v>
      </c>
      <c r="M272" s="6" t="n">
        <v>2401.05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120</v>
      </c>
      <c r="W272" s="7" t="inlineStr">
        <is>
          <t>120 x 20 cm</t>
        </is>
      </c>
      <c r="AG272" s="7" t="inlineStr">
        <is>
          <t>piso y pared</t>
        </is>
      </c>
      <c r="AH272" s="4" t="inlineStr">
        <is>
          <t>material: ceramica · ancho_cm: 20 · acabado: mate</t>
        </is>
      </c>
    </row>
    <row r="273">
      <c r="A273" s="3" t="inlineStr">
        <is>
          <t>MAT-08-091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 y pared, 120 x 23.3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1394.83</v>
      </c>
      <c r="L273" s="6" t="n">
        <v>1394.83</v>
      </c>
      <c r="M273" s="6" t="n">
        <v>1394.83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120</v>
      </c>
      <c r="W273" s="7" t="inlineStr">
        <is>
          <t>120 x 23.3 cm</t>
        </is>
      </c>
      <c r="AG273" s="7" t="inlineStr">
        <is>
          <t>piso y pared</t>
        </is>
      </c>
      <c r="AH273" s="4" t="inlineStr">
        <is>
          <t>material: ceramica · ancho_cm: 23.3 · piezas_m2: 3.57 · acabado: brillante · espesor_mm: 9</t>
        </is>
      </c>
    </row>
    <row r="274">
      <c r="A274" s="3" t="inlineStr">
        <is>
          <t>MAT-08-092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 y pared, 120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1973.41</v>
      </c>
      <c r="L274" s="6" t="n">
        <v>1905.01</v>
      </c>
      <c r="M274" s="6" t="n">
        <v>1981.7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120</v>
      </c>
      <c r="W274" s="7" t="inlineStr">
        <is>
          <t>120 x 30 cm</t>
        </is>
      </c>
      <c r="AG274" s="7" t="inlineStr">
        <is>
          <t>piso y pared</t>
        </is>
      </c>
      <c r="AH274" s="4" t="inlineStr">
        <is>
          <t>material: ceramica · ancho_cm: 30 · piezas_m2: 2.8 · acabado: mate · espesor_mm: 10</t>
        </is>
      </c>
    </row>
    <row r="275">
      <c r="A275" s="3" t="inlineStr">
        <is>
          <t>MAT-08-093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 y pared, 120 x 40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2113.36</v>
      </c>
      <c r="L275" s="6" t="n">
        <v>1397.03</v>
      </c>
      <c r="M275" s="6" t="n">
        <v>3055.54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120</v>
      </c>
      <c r="W275" s="7" t="inlineStr">
        <is>
          <t>120 x 40 cm</t>
        </is>
      </c>
      <c r="AG275" s="7" t="inlineStr">
        <is>
          <t>piso y pared</t>
        </is>
      </c>
      <c r="AH275" s="4" t="inlineStr">
        <is>
          <t>material: ceramica · ancho_cm: 40</t>
        </is>
      </c>
    </row>
    <row r="276">
      <c r="A276" s="3" t="inlineStr">
        <is>
          <t>MAT-08-094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 y pared, 120 x 60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1964.18</v>
      </c>
      <c r="L276" s="6" t="n">
        <v>1481.03</v>
      </c>
      <c r="M276" s="6" t="n">
        <v>2744.85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120</v>
      </c>
      <c r="W276" s="7" t="inlineStr">
        <is>
          <t>120 x 60 cm</t>
        </is>
      </c>
      <c r="AG276" s="7" t="inlineStr">
        <is>
          <t>piso y pared</t>
        </is>
      </c>
      <c r="AH276" s="4" t="inlineStr">
        <is>
          <t>material: ceramica · ancho_cm: 60 · piezas_m2: 1.38</t>
        </is>
      </c>
    </row>
    <row r="277">
      <c r="A277" s="3" t="inlineStr">
        <is>
          <t>MAT-08-095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 y pared, 15 x 15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1640.37</v>
      </c>
      <c r="L277" s="6" t="n">
        <v>516.5599999999999</v>
      </c>
      <c r="M277" s="6" t="n">
        <v>2764.17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15</v>
      </c>
      <c r="W277" s="7" t="inlineStr">
        <is>
          <t>15 x 15 cm</t>
        </is>
      </c>
      <c r="AG277" s="7" t="inlineStr">
        <is>
          <t>piso y pared</t>
        </is>
      </c>
      <c r="AH277" s="4" t="inlineStr">
        <is>
          <t>material: ceramica · ancho_cm: 15 · acabado: mate · espesor_mm: 9</t>
        </is>
      </c>
    </row>
    <row r="278">
      <c r="A278" s="3" t="inlineStr">
        <is>
          <t>MAT-08-096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 y pared, 18.5 x 18.5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3184.41</v>
      </c>
      <c r="L278" s="6" t="n">
        <v>3184.41</v>
      </c>
      <c r="M278" s="6" t="n">
        <v>3184.41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18.5</v>
      </c>
      <c r="W278" s="7" t="inlineStr">
        <is>
          <t>18.5 x 18.5 cm</t>
        </is>
      </c>
      <c r="AG278" s="7" t="inlineStr">
        <is>
          <t>piso y pared</t>
        </is>
      </c>
      <c r="AH278" s="4" t="inlineStr">
        <is>
          <t>material: ceramica · ancho_cm: 18.5 · piezas_m2: 29.54 · espesor_mm: 9</t>
        </is>
      </c>
    </row>
    <row r="279">
      <c r="A279" s="3" t="inlineStr">
        <is>
          <t>MAT-08-097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 y pared, 180 x 90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3073.71</v>
      </c>
      <c r="L279" s="6" t="n">
        <v>3073.71</v>
      </c>
      <c r="M279" s="6" t="n">
        <v>3073.71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180</v>
      </c>
      <c r="W279" s="7" t="inlineStr">
        <is>
          <t>180 x 90 cm</t>
        </is>
      </c>
      <c r="AG279" s="7" t="inlineStr">
        <is>
          <t>piso y pared</t>
        </is>
      </c>
      <c r="AH279" s="4" t="inlineStr">
        <is>
          <t>material: ceramica · ancho_cm: 90 · piezas_m2: 0.61 · acabado: mate · espesor_mm: 10</t>
        </is>
      </c>
    </row>
    <row r="280">
      <c r="A280" s="3" t="inlineStr">
        <is>
          <t>MAT-08-098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 y pared, 20 x 20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915.75</v>
      </c>
      <c r="L280" s="6" t="n">
        <v>915.75</v>
      </c>
      <c r="M280" s="6" t="n">
        <v>915.75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20</v>
      </c>
      <c r="W280" s="7" t="inlineStr">
        <is>
          <t>20 x 20 cm</t>
        </is>
      </c>
      <c r="AG280" s="7" t="inlineStr">
        <is>
          <t>piso y pared</t>
        </is>
      </c>
      <c r="AH280" s="4" t="inlineStr">
        <is>
          <t>material: ceramica · ancho_cm: 20 · piezas_m2: 25</t>
        </is>
      </c>
    </row>
    <row r="281">
      <c r="A281" s="3" t="inlineStr">
        <is>
          <t>MAT-08-099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 y pared, 20 x 6.5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2621.99</v>
      </c>
      <c r="L281" s="6" t="n">
        <v>2599.62</v>
      </c>
      <c r="M281" s="6" t="n">
        <v>2644.36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20</v>
      </c>
      <c r="W281" s="7" t="inlineStr">
        <is>
          <t>20 x 6.5 cm</t>
        </is>
      </c>
      <c r="AG281" s="7" t="inlineStr">
        <is>
          <t>piso y pared</t>
        </is>
      </c>
      <c r="AH281" s="4" t="inlineStr">
        <is>
          <t>material: ceramica · ancho_cm: 6.5 · piezas_m2: 77.14 · acabado: mate · espesor_mm: 9</t>
        </is>
      </c>
    </row>
    <row r="282">
      <c r="A282" s="3" t="inlineStr">
        <is>
          <t>MAT-08-100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 y pared, 22.3 x 22.3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2550.6</v>
      </c>
      <c r="L282" s="6" t="n">
        <v>2550.6</v>
      </c>
      <c r="M282" s="6" t="n">
        <v>2550.6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2026-09-09</t>
        </is>
      </c>
      <c r="Q282" s="4" t="inlineStr">
        <is>
          <t>Ferretería Ochoa (8A)</t>
        </is>
      </c>
      <c r="U282" s="7" t="n">
        <v>22.3</v>
      </c>
      <c r="W282" s="7" t="inlineStr">
        <is>
          <t>22.3 x 22.3 cm</t>
        </is>
      </c>
      <c r="AG282" s="7" t="inlineStr">
        <is>
          <t>piso y pared</t>
        </is>
      </c>
      <c r="AH282" s="4" t="inlineStr">
        <is>
          <t>material: ceramica · ancho_cm: 22.3 · piezas_m2: 20 · espesor_mm: 8</t>
        </is>
      </c>
    </row>
    <row r="283">
      <c r="A283" s="3" t="inlineStr">
        <is>
          <t>MAT-08-101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 y pared, 22.8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2071.61</v>
      </c>
      <c r="L283" s="6" t="n">
        <v>1614.78</v>
      </c>
      <c r="M283" s="6" t="n">
        <v>3195.27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22.8</v>
      </c>
      <c r="W283" s="7" t="inlineStr">
        <is>
          <t>22.8 x 20 cm</t>
        </is>
      </c>
      <c r="AG283" s="7" t="inlineStr">
        <is>
          <t>piso y pared</t>
        </is>
      </c>
      <c r="AH283" s="4" t="inlineStr">
        <is>
          <t>material: ceramica · ancho_cm: 20 · piezas_m2: 28.57 · acabado: mate · espesor_mm: 9</t>
        </is>
      </c>
    </row>
    <row r="284">
      <c r="A284" s="3" t="inlineStr">
        <is>
          <t>MAT-08-102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 y pared, 25 x 25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1641.67</v>
      </c>
      <c r="L284" s="6" t="n">
        <v>1470.37</v>
      </c>
      <c r="M284" s="6" t="n">
        <v>1643.9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25</v>
      </c>
      <c r="W284" s="7" t="inlineStr">
        <is>
          <t>25 x 25 cm</t>
        </is>
      </c>
      <c r="AG284" s="7" t="inlineStr">
        <is>
          <t>piso y pared</t>
        </is>
      </c>
      <c r="AH284" s="4" t="inlineStr">
        <is>
          <t>material: ceramica · ancho_cm: 25 · piezas_m2: 15.92 · espesor_mm: 9</t>
        </is>
      </c>
    </row>
    <row r="285">
      <c r="A285" s="3" t="inlineStr">
        <is>
          <t>MAT-08-103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26.8 x 23.2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2504.68</v>
      </c>
      <c r="L285" s="6" t="n">
        <v>2504.68</v>
      </c>
      <c r="M285" s="6" t="n">
        <v>2504.68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26.8</v>
      </c>
      <c r="W285" s="7" t="inlineStr">
        <is>
          <t>26.8 x 23.2 cm</t>
        </is>
      </c>
      <c r="AG285" s="7" t="inlineStr">
        <is>
          <t>piso y pared</t>
        </is>
      </c>
      <c r="AH285" s="4" t="inlineStr">
        <is>
          <t>material: ceramica · ancho_cm: 23.2 · piezas_m2: 21.62 · espesor_mm: 8</t>
        </is>
      </c>
    </row>
    <row r="286">
      <c r="A286" s="3" t="inlineStr">
        <is>
          <t>MAT-08-104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30 x 25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1914.66</v>
      </c>
      <c r="L286" s="6" t="n">
        <v>1914.66</v>
      </c>
      <c r="M286" s="6" t="n">
        <v>1914.66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30</v>
      </c>
      <c r="W286" s="7" t="inlineStr">
        <is>
          <t>30 x 25 cm</t>
        </is>
      </c>
      <c r="AG286" s="7" t="inlineStr">
        <is>
          <t>piso y pared</t>
        </is>
      </c>
      <c r="AH286" s="4" t="inlineStr">
        <is>
          <t>material: ceramica · ancho_cm: 25 · piezas_m2: 18 · acabado: mate · espesor_mm: 9</t>
        </is>
      </c>
    </row>
    <row r="287">
      <c r="A287" s="3" t="inlineStr">
        <is>
          <t>MAT-08-105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40 x 25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779.2</v>
      </c>
      <c r="L287" s="6" t="n">
        <v>779.2</v>
      </c>
      <c r="M287" s="6" t="n">
        <v>779.2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40</v>
      </c>
      <c r="W287" s="7" t="inlineStr">
        <is>
          <t>40 x 25 cm</t>
        </is>
      </c>
      <c r="AG287" s="7" t="inlineStr">
        <is>
          <t>piso y pared</t>
        </is>
      </c>
      <c r="AH287" s="4" t="inlineStr">
        <is>
          <t>material: ceramica · ancho_cm: 25 · piezas_m2: 10 · acabado: mate · espesor_mm: 9</t>
        </is>
      </c>
    </row>
    <row r="288">
      <c r="A288" s="3" t="inlineStr">
        <is>
          <t>MAT-08-106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45 x 45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927.46</v>
      </c>
      <c r="L288" s="6" t="n">
        <v>666.6799999999999</v>
      </c>
      <c r="M288" s="6" t="n">
        <v>1415.45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45</v>
      </c>
      <c r="W288" s="7" t="inlineStr">
        <is>
          <t>45 x 45 cm</t>
        </is>
      </c>
      <c r="AG288" s="7" t="inlineStr">
        <is>
          <t>piso y pared</t>
        </is>
      </c>
      <c r="AH288" s="4" t="inlineStr">
        <is>
          <t>material: ceramica · ancho_cm: 45</t>
        </is>
      </c>
    </row>
    <row r="289">
      <c r="A289" s="3" t="inlineStr">
        <is>
          <t>MAT-08-107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55 x 33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837.58</v>
      </c>
      <c r="L289" s="6" t="n">
        <v>811.99</v>
      </c>
      <c r="M289" s="6" t="n">
        <v>863.16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55</v>
      </c>
      <c r="W289" s="7" t="inlineStr">
        <is>
          <t>55 x 33 cm</t>
        </is>
      </c>
      <c r="AG289" s="7" t="inlineStr">
        <is>
          <t>piso y pared</t>
        </is>
      </c>
      <c r="AH289" s="4" t="inlineStr">
        <is>
          <t>material: ceramica · ancho_cm: 33 · piezas_m2: 5.52 · acabado: brillante · espesor_mm: 10</t>
        </is>
      </c>
    </row>
    <row r="290">
      <c r="A290" s="3" t="inlineStr">
        <is>
          <t>MAT-08-108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58 x 19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884.59</v>
      </c>
      <c r="L290" s="6" t="n">
        <v>851.73</v>
      </c>
      <c r="M290" s="6" t="n">
        <v>917.45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58</v>
      </c>
      <c r="W290" s="7" t="inlineStr">
        <is>
          <t>58 x 19 cm</t>
        </is>
      </c>
      <c r="AG290" s="7" t="inlineStr">
        <is>
          <t>piso y pared</t>
        </is>
      </c>
      <c r="AH290" s="4" t="inlineStr">
        <is>
          <t>material: ceramica · ancho_cm: 19 · piezas_m2: 9.09 · acabado: mate · espesor_mm: 8</t>
        </is>
      </c>
    </row>
    <row r="291">
      <c r="A291" s="3" t="inlineStr">
        <is>
          <t>MAT-08-109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58 x 58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1407.51</v>
      </c>
      <c r="L291" s="6" t="n">
        <v>1267.19</v>
      </c>
      <c r="M291" s="6" t="n">
        <v>1547.83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58</v>
      </c>
      <c r="W291" s="7" t="inlineStr">
        <is>
          <t>58 x 58 cm</t>
        </is>
      </c>
      <c r="AG291" s="7" t="inlineStr">
        <is>
          <t>piso y pared</t>
        </is>
      </c>
      <c r="AH291" s="4" t="inlineStr">
        <is>
          <t>material: ceramica · ancho_cm: 58 · piezas_m2: 2.92 · espesor_mm: 9 · acabado: mate</t>
        </is>
      </c>
    </row>
    <row r="292">
      <c r="A292" s="3" t="inlineStr">
        <is>
          <t>MAT-08-110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60 x 20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767.4400000000001</v>
      </c>
      <c r="L292" s="6" t="n">
        <v>482.11</v>
      </c>
      <c r="M292" s="6" t="n">
        <v>995.02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60</v>
      </c>
      <c r="W292" s="7" t="inlineStr">
        <is>
          <t>60 x 20 cm</t>
        </is>
      </c>
      <c r="AG292" s="7" t="inlineStr">
        <is>
          <t>piso y pared</t>
        </is>
      </c>
      <c r="AH292" s="4" t="inlineStr">
        <is>
          <t>material: ceramica · ancho_cm: 20</t>
        </is>
      </c>
    </row>
    <row r="293">
      <c r="A293" s="3" t="inlineStr">
        <is>
          <t>MAT-08-111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60 x 30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1474.52</v>
      </c>
      <c r="L293" s="6" t="n">
        <v>1048.67</v>
      </c>
      <c r="M293" s="6" t="n">
        <v>1965.14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60</v>
      </c>
      <c r="W293" s="7" t="inlineStr">
        <is>
          <t>60 x 30 cm</t>
        </is>
      </c>
      <c r="AG293" s="7" t="inlineStr">
        <is>
          <t>piso y pared</t>
        </is>
      </c>
      <c r="AH293" s="4" t="inlineStr">
        <is>
          <t>material: ceramica · ancho_cm: 30</t>
        </is>
      </c>
    </row>
    <row r="294">
      <c r="A294" s="3" t="inlineStr">
        <is>
          <t>MAT-08-112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60 x 60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1251.4</v>
      </c>
      <c r="L294" s="6" t="n">
        <v>461.4</v>
      </c>
      <c r="M294" s="6" t="n">
        <v>2912.35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60</v>
      </c>
      <c r="W294" s="7" t="inlineStr">
        <is>
          <t>60 x 60 cm</t>
        </is>
      </c>
      <c r="AG294" s="7" t="inlineStr">
        <is>
          <t>piso y pared</t>
        </is>
      </c>
      <c r="AH294" s="4" t="inlineStr">
        <is>
          <t>material: ceramica · ancho_cm: 60</t>
        </is>
      </c>
    </row>
    <row r="295">
      <c r="A295" s="3" t="inlineStr">
        <is>
          <t>MAT-08-113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75 x 25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1257.26</v>
      </c>
      <c r="L295" s="6" t="n">
        <v>915.6799999999999</v>
      </c>
      <c r="M295" s="6" t="n">
        <v>1568.95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75</v>
      </c>
      <c r="W295" s="7" t="inlineStr">
        <is>
          <t>75 x 25 cm</t>
        </is>
      </c>
      <c r="AG295" s="7" t="inlineStr">
        <is>
          <t>piso y pared</t>
        </is>
      </c>
      <c r="AH295" s="4" t="inlineStr">
        <is>
          <t>material: ceramica · ancho_cm: 25</t>
        </is>
      </c>
    </row>
    <row r="296">
      <c r="A296" s="3" t="inlineStr">
        <is>
          <t>MAT-08-114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80 x 80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929.73</v>
      </c>
      <c r="L296" s="6" t="n">
        <v>908.36</v>
      </c>
      <c r="M296" s="6" t="n">
        <v>951.1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80</v>
      </c>
      <c r="W296" s="7" t="inlineStr">
        <is>
          <t>80 x 80 cm</t>
        </is>
      </c>
      <c r="AG296" s="7" t="inlineStr">
        <is>
          <t>piso y pared</t>
        </is>
      </c>
      <c r="AH296" s="4" t="inlineStr">
        <is>
          <t>material: ceramica · ancho_cm: 80 · acabado: pulido · espesor_mm: 10</t>
        </is>
      </c>
    </row>
    <row r="297">
      <c r="A297" s="3" t="inlineStr">
        <is>
          <t>MAT-08-115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90 x 15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1496.73</v>
      </c>
      <c r="L297" s="6" t="n">
        <v>1417.32</v>
      </c>
      <c r="M297" s="6" t="n">
        <v>1576.13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90</v>
      </c>
      <c r="W297" s="7" t="inlineStr">
        <is>
          <t>90 x 15 cm</t>
        </is>
      </c>
      <c r="AG297" s="7" t="inlineStr">
        <is>
          <t>piso y pared</t>
        </is>
      </c>
      <c r="AH297" s="4" t="inlineStr">
        <is>
          <t>material: ceramica · ancho_cm: 15 · piezas_m2: 7.4 · acabado: mate · espesor_mm: 9</t>
        </is>
      </c>
    </row>
    <row r="298">
      <c r="A298" s="3" t="inlineStr">
        <is>
          <t>MAT-08-116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90 x 30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2137.59</v>
      </c>
      <c r="L298" s="6" t="n">
        <v>1180.22</v>
      </c>
      <c r="M298" s="6" t="n">
        <v>3142.97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90</v>
      </c>
      <c r="W298" s="7" t="inlineStr">
        <is>
          <t>90 x 30 cm</t>
        </is>
      </c>
      <c r="AG298" s="7" t="inlineStr">
        <is>
          <t>piso y pared</t>
        </is>
      </c>
      <c r="AH298" s="4" t="inlineStr">
        <is>
          <t>material: ceramica · ancho_cm: 30</t>
        </is>
      </c>
    </row>
    <row r="299">
      <c r="A299" s="3" t="inlineStr">
        <is>
          <t>MAT-08-117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90 x 45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1964.77</v>
      </c>
      <c r="L299" s="6" t="n">
        <v>1367.94</v>
      </c>
      <c r="M299" s="6" t="n">
        <v>2067.73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90</v>
      </c>
      <c r="W299" s="7" t="inlineStr">
        <is>
          <t>90 x 45 cm</t>
        </is>
      </c>
      <c r="AG299" s="7" t="inlineStr">
        <is>
          <t>piso y pared</t>
        </is>
      </c>
      <c r="AH299" s="4" t="inlineStr">
        <is>
          <t>material: ceramica · ancho_cm: 45</t>
        </is>
      </c>
    </row>
    <row r="300">
      <c r="A300" s="3" t="inlineStr">
        <is>
          <t>MAT-08-118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Porcelanato de pared, 100 x 30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2062.5</v>
      </c>
      <c r="L300" s="6" t="n">
        <v>1961.18</v>
      </c>
      <c r="M300" s="6" t="n">
        <v>2164.54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100</v>
      </c>
      <c r="W300" s="7" t="inlineStr">
        <is>
          <t>100 x 30 cm</t>
        </is>
      </c>
      <c r="AG300" s="7" t="inlineStr">
        <is>
          <t>pared</t>
        </is>
      </c>
      <c r="AH300" s="4" t="inlineStr">
        <is>
          <t>material: porcelanato · ancho_cm: 30 · piezas_m2: 3.17 · acabado: mate · espesor_mm: 10</t>
        </is>
      </c>
    </row>
    <row r="301">
      <c r="A301" s="3" t="inlineStr">
        <is>
          <t>MAT-08-119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Porcelanato de pared, 120 x 120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3169.66</v>
      </c>
      <c r="L301" s="6" t="n">
        <v>3169.66</v>
      </c>
      <c r="M301" s="6" t="n">
        <v>3169.66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CerArte</t>
        </is>
      </c>
      <c r="W301" s="7" t="inlineStr">
        <is>
          <t>120 x 120 cm</t>
        </is>
      </c>
      <c r="AG301" s="7" t="inlineStr">
        <is>
          <t>pared</t>
        </is>
      </c>
      <c r="AH301" s="4" t="inlineStr">
        <is>
          <t>material: porcelanato · acabado: pulido</t>
        </is>
      </c>
    </row>
    <row r="302">
      <c r="A302" s="3" t="inlineStr">
        <is>
          <t>MAT-08-120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Porcelanato de pared, 120 x 40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1540.39</v>
      </c>
      <c r="L302" s="6" t="n">
        <v>1241.03</v>
      </c>
      <c r="M302" s="6" t="n">
        <v>1839.74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120</v>
      </c>
      <c r="W302" s="7" t="inlineStr">
        <is>
          <t>120 x 40 cm</t>
        </is>
      </c>
      <c r="AG302" s="7" t="inlineStr">
        <is>
          <t>pared</t>
        </is>
      </c>
      <c r="AH302" s="4" t="inlineStr">
        <is>
          <t>material: porcelanato · ancho_cm: 40 · piezas_m2: 2.08</t>
        </is>
      </c>
    </row>
    <row r="303">
      <c r="A303" s="3" t="inlineStr">
        <is>
          <t>MAT-08-121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Porcelanato de pared, 120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1981.9</v>
      </c>
      <c r="L303" s="6" t="n">
        <v>1941.49</v>
      </c>
      <c r="M303" s="6" t="n">
        <v>2022.32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</t>
        </is>
      </c>
      <c r="W303" s="7" t="inlineStr">
        <is>
          <t>120 x 45 cm</t>
        </is>
      </c>
      <c r="AG303" s="7" t="inlineStr">
        <is>
          <t>pared</t>
        </is>
      </c>
      <c r="AH303" s="4" t="inlineStr">
        <is>
          <t>material: porcelanato · acabado: mate</t>
        </is>
      </c>
    </row>
    <row r="304">
      <c r="A304" s="3" t="inlineStr">
        <is>
          <t>MAT-08-122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Porcelanato de pared, 120 x 60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3</v>
      </c>
      <c r="K304" s="6" t="n">
        <v>2117.55</v>
      </c>
      <c r="L304" s="6" t="n">
        <v>1176.22</v>
      </c>
      <c r="M304" s="6" t="n">
        <v>2700.1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2026-09-10</t>
        </is>
      </c>
      <c r="Q304" s="4" t="inlineStr">
        <is>
          <t>CerArte · Ferretería Ochoa (8A) · La Ibérica</t>
        </is>
      </c>
      <c r="U304" s="7" t="n">
        <v>120</v>
      </c>
      <c r="W304" s="7" t="inlineStr">
        <is>
          <t>120 x 60 cm</t>
        </is>
      </c>
      <c r="AG304" s="7" t="inlineStr">
        <is>
          <t>pared</t>
        </is>
      </c>
      <c r="AH304" s="4" t="inlineStr">
        <is>
          <t>material: porcelanato · ancho_cm: 60 · piezas_m2: 1.38 · espesor_mm: 9</t>
        </is>
      </c>
    </row>
    <row r="305">
      <c r="A305" s="3" t="inlineStr">
        <is>
          <t>MAT-08-123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Porcelanato de pared, 15 x 15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3</v>
      </c>
      <c r="K305" s="6" t="n">
        <v>2187.06</v>
      </c>
      <c r="L305" s="6" t="n">
        <v>516.5599999999999</v>
      </c>
      <c r="M305" s="6" t="n">
        <v>3759.89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2026-09-10</t>
        </is>
      </c>
      <c r="Q305" s="4" t="inlineStr">
        <is>
          <t>CerArte · Ferretería Ochoa (8A) · La Ibérica</t>
        </is>
      </c>
      <c r="U305" s="7" t="n">
        <v>15</v>
      </c>
      <c r="W305" s="7" t="inlineStr">
        <is>
          <t>15 x 15 cm</t>
        </is>
      </c>
      <c r="AG305" s="7" t="inlineStr">
        <is>
          <t>pared</t>
        </is>
      </c>
      <c r="AH305" s="4" t="inlineStr">
        <is>
          <t>material: porcelanato · ancho_cm: 15 · piezas_m2: 44 · acabado: mate · espesor_mm: 8</t>
        </is>
      </c>
    </row>
    <row r="306">
      <c r="A306" s="3" t="inlineStr">
        <is>
          <t>MAT-08-124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Porcelanato de pared, 20 x 20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2678.99</v>
      </c>
      <c r="L306" s="6" t="n">
        <v>1695.74</v>
      </c>
      <c r="M306" s="6" t="n">
        <v>3255.41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2026-09-10</t>
        </is>
      </c>
      <c r="Q306" s="4" t="inlineStr">
        <is>
          <t>CerArte</t>
        </is>
      </c>
      <c r="W306" s="7" t="inlineStr">
        <is>
          <t>20 x 20 cm</t>
        </is>
      </c>
      <c r="AG306" s="7" t="inlineStr">
        <is>
          <t>pared</t>
        </is>
      </c>
      <c r="AH306" s="4" t="inlineStr">
        <is>
          <t>material: porcelanato · acabado: mate</t>
        </is>
      </c>
    </row>
    <row r="307">
      <c r="A307" s="3" t="inlineStr">
        <is>
          <t>MAT-08-125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Porcelanato de pared, 25 x 14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3926.57</v>
      </c>
      <c r="L307" s="6" t="n">
        <v>3926.57</v>
      </c>
      <c r="M307" s="6" t="n">
        <v>3926.57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La Ibérica</t>
        </is>
      </c>
      <c r="W307" s="7" t="inlineStr">
        <is>
          <t>25 x 14 cm</t>
        </is>
      </c>
      <c r="AG307" s="7" t="inlineStr">
        <is>
          <t>pared</t>
        </is>
      </c>
      <c r="AH307" s="4" t="inlineStr">
        <is>
          <t>material: porcelanato</t>
        </is>
      </c>
    </row>
    <row r="308">
      <c r="A308" s="3" t="inlineStr">
        <is>
          <t>MAT-08-126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Porcelanato de pared, 25 x 22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2990.03</v>
      </c>
      <c r="L308" s="6" t="n">
        <v>2990.03</v>
      </c>
      <c r="M308" s="6" t="n">
        <v>2990.03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La Ibérica</t>
        </is>
      </c>
      <c r="W308" s="7" t="inlineStr">
        <is>
          <t>25 x 22 cm</t>
        </is>
      </c>
      <c r="AG308" s="7" t="inlineStr">
        <is>
          <t>pared</t>
        </is>
      </c>
      <c r="AH308" s="4" t="inlineStr">
        <is>
          <t>material: porcelanato</t>
        </is>
      </c>
    </row>
    <row r="309">
      <c r="A309" s="3" t="inlineStr">
        <is>
          <t>MAT-08-127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Porcelanato de pared, 25 x 23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4291.77</v>
      </c>
      <c r="L309" s="6" t="n">
        <v>4291.77</v>
      </c>
      <c r="M309" s="6" t="n">
        <v>4291.77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</t>
        </is>
      </c>
      <c r="W309" s="7" t="inlineStr">
        <is>
          <t>25 x 23 cm</t>
        </is>
      </c>
      <c r="AG309" s="7" t="inlineStr">
        <is>
          <t>pared</t>
        </is>
      </c>
      <c r="AH309" s="4" t="inlineStr">
        <is>
          <t>material: porcelanato · acabado: mate</t>
        </is>
      </c>
    </row>
    <row r="310">
      <c r="A310" s="3" t="inlineStr">
        <is>
          <t>MAT-08-128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Porcelanato de pared, 30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2169.36</v>
      </c>
      <c r="L310" s="6" t="n">
        <v>2169.36</v>
      </c>
      <c r="M310" s="6" t="n">
        <v>2169.36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CerArte</t>
        </is>
      </c>
      <c r="W310" s="7" t="inlineStr">
        <is>
          <t>30 x 30 cm</t>
        </is>
      </c>
      <c r="AG310" s="7" t="inlineStr">
        <is>
          <t>pared</t>
        </is>
      </c>
      <c r="AH310" s="4" t="inlineStr">
        <is>
          <t>material: porcelanato · acabado: mate</t>
        </is>
      </c>
    </row>
    <row r="311">
      <c r="A311" s="3" t="inlineStr">
        <is>
          <t>MAT-08-129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Porcelanato de pared, 300 x 150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8184.41</v>
      </c>
      <c r="L311" s="6" t="n">
        <v>8184.41</v>
      </c>
      <c r="M311" s="6" t="n">
        <v>8184.41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2026-09-10</t>
        </is>
      </c>
      <c r="Q311" s="4" t="inlineStr">
        <is>
          <t>CerArte</t>
        </is>
      </c>
      <c r="W311" s="7" t="inlineStr">
        <is>
          <t>300 x 150 cm</t>
        </is>
      </c>
      <c r="AG311" s="7" t="inlineStr">
        <is>
          <t>pared</t>
        </is>
      </c>
      <c r="AH311" s="4" t="inlineStr">
        <is>
          <t>material: porcelanato</t>
        </is>
      </c>
    </row>
    <row r="312">
      <c r="A312" s="3" t="inlineStr">
        <is>
          <t>MAT-08-130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Porcelanato de pared, 50 x 17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1873.88</v>
      </c>
      <c r="L312" s="6" t="n">
        <v>1550.47</v>
      </c>
      <c r="M312" s="6" t="n">
        <v>2197.29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50</v>
      </c>
      <c r="W312" s="7" t="inlineStr">
        <is>
          <t>50 x 17 cm</t>
        </is>
      </c>
      <c r="AG312" s="7" t="inlineStr">
        <is>
          <t>pared</t>
        </is>
      </c>
      <c r="AH312" s="4" t="inlineStr">
        <is>
          <t>material: porcelanato · ancho_cm: 17 · piezas_m2: 11.3 · acabado: mate · espesor_mm: 12</t>
        </is>
      </c>
    </row>
    <row r="313">
      <c r="A313" s="3" t="inlineStr">
        <is>
          <t>MAT-08-131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Porcelanato de pared, 55 x 33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839.97</v>
      </c>
      <c r="L313" s="6" t="n">
        <v>671.4</v>
      </c>
      <c r="M313" s="6" t="n">
        <v>1073.46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55</v>
      </c>
      <c r="W313" s="7" t="inlineStr">
        <is>
          <t>55 x 33 cm</t>
        </is>
      </c>
      <c r="AG313" s="7" t="inlineStr">
        <is>
          <t>pared</t>
        </is>
      </c>
      <c r="AH313" s="4" t="inlineStr">
        <is>
          <t>material: porcelanato · ancho_cm: 33 · acabado: mate · espesor_mm: 9</t>
        </is>
      </c>
    </row>
    <row r="314">
      <c r="A314" s="3" t="inlineStr">
        <is>
          <t>MAT-08-132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Porcelanato de pared, 60 x 30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2</v>
      </c>
      <c r="K314" s="6" t="n">
        <v>1544.88</v>
      </c>
      <c r="L314" s="6" t="n">
        <v>1034.85</v>
      </c>
      <c r="M314" s="6" t="n">
        <v>1686.9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2026-09-10</t>
        </is>
      </c>
      <c r="Q314" s="4" t="inlineStr">
        <is>
          <t>CerArte · Ferretería Ochoa (8A)</t>
        </is>
      </c>
      <c r="U314" s="7" t="n">
        <v>60</v>
      </c>
      <c r="W314" s="7" t="inlineStr">
        <is>
          <t>60 x 30 cm</t>
        </is>
      </c>
      <c r="AG314" s="7" t="inlineStr">
        <is>
          <t>pared</t>
        </is>
      </c>
      <c r="AH314" s="4" t="inlineStr">
        <is>
          <t>material: porcelanato · ancho_cm: 30 · piezas_m2: 5.55 · acabado: mate · espesor_mm: 9</t>
        </is>
      </c>
    </row>
    <row r="315">
      <c r="A315" s="3" t="inlineStr">
        <is>
          <t>MAT-08-133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60 x 60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1727.89</v>
      </c>
      <c r="L315" s="6" t="n">
        <v>1727.89</v>
      </c>
      <c r="M315" s="6" t="n">
        <v>1727.89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2026-09-10</t>
        </is>
      </c>
      <c r="Q315" s="4" t="inlineStr">
        <is>
          <t>CerArte</t>
        </is>
      </c>
      <c r="W315" s="7" t="inlineStr">
        <is>
          <t>60 x 60 cm</t>
        </is>
      </c>
      <c r="AG315" s="7" t="inlineStr">
        <is>
          <t>pared</t>
        </is>
      </c>
      <c r="AH315" s="4" t="inlineStr">
        <is>
          <t>material: porcelanato</t>
        </is>
      </c>
    </row>
    <row r="316">
      <c r="A316" s="3" t="inlineStr">
        <is>
          <t>MAT-08-134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75 x 25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1170.52</v>
      </c>
      <c r="L316" s="6" t="n">
        <v>796.67</v>
      </c>
      <c r="M316" s="6" t="n">
        <v>1544.37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75</v>
      </c>
      <c r="W316" s="7" t="inlineStr">
        <is>
          <t>75 x 25 cm</t>
        </is>
      </c>
      <c r="AG316" s="7" t="inlineStr">
        <is>
          <t>pared</t>
        </is>
      </c>
      <c r="AH316" s="4" t="inlineStr">
        <is>
          <t>material: porcelanato · ancho_cm: 25 · acabado: mate · espesor_mm: 9</t>
        </is>
      </c>
    </row>
    <row r="317">
      <c r="A317" s="3" t="inlineStr">
        <is>
          <t>MAT-08-135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80 x 80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2789.99</v>
      </c>
      <c r="L317" s="6" t="n">
        <v>2789.99</v>
      </c>
      <c r="M317" s="6" t="n">
        <v>2789.99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2026-09-10</t>
        </is>
      </c>
      <c r="Q317" s="4" t="inlineStr">
        <is>
          <t>La Ibérica</t>
        </is>
      </c>
      <c r="W317" s="7" t="inlineStr">
        <is>
          <t>80 x 80 cm</t>
        </is>
      </c>
      <c r="AG317" s="7" t="inlineStr">
        <is>
          <t>pared</t>
        </is>
      </c>
      <c r="AH317" s="4" t="inlineStr">
        <is>
          <t>material: porcelanato</t>
        </is>
      </c>
    </row>
    <row r="318">
      <c r="A318" s="3" t="inlineStr">
        <is>
          <t>MAT-08-136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90 x 30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1531.25</v>
      </c>
      <c r="L318" s="6" t="n">
        <v>1531.25</v>
      </c>
      <c r="M318" s="6" t="n">
        <v>1531.25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90</v>
      </c>
      <c r="W318" s="7" t="inlineStr">
        <is>
          <t>90 x 30 cm</t>
        </is>
      </c>
      <c r="AG318" s="7" t="inlineStr">
        <is>
          <t>pared</t>
        </is>
      </c>
      <c r="AH318" s="4" t="inlineStr">
        <is>
          <t>material: porcelanato · ancho_cm: 30 · piezas_m2: 3.7 · acabado: mate · espesor_mm: 9</t>
        </is>
      </c>
    </row>
    <row r="319">
      <c r="A319" s="3" t="inlineStr">
        <is>
          <t>MAT-08-137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90 x 45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805</v>
      </c>
      <c r="L319" s="6" t="n">
        <v>805</v>
      </c>
      <c r="M319" s="6" t="n">
        <v>805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</t>
        </is>
      </c>
      <c r="W319" s="7" t="inlineStr">
        <is>
          <t>90 x 45 cm</t>
        </is>
      </c>
      <c r="AG319" s="7" t="inlineStr">
        <is>
          <t>pared</t>
        </is>
      </c>
      <c r="AH319" s="4" t="inlineStr">
        <is>
          <t>material: porcelanato · acabado: mate</t>
        </is>
      </c>
    </row>
    <row r="320">
      <c r="A320" s="3" t="inlineStr">
        <is>
          <t>MAT-08-138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piso, 100 x 100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1925.23</v>
      </c>
      <c r="L320" s="6" t="n">
        <v>1848.66</v>
      </c>
      <c r="M320" s="6" t="n">
        <v>2001.81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</t>
        </is>
      </c>
      <c r="W320" s="7" t="inlineStr">
        <is>
          <t>100 x 100 cm</t>
        </is>
      </c>
      <c r="AG320" s="7" t="inlineStr">
        <is>
          <t>piso</t>
        </is>
      </c>
      <c r="AH320" s="4" t="inlineStr">
        <is>
          <t>material: porcelanato · acabado: mate</t>
        </is>
      </c>
    </row>
    <row r="321">
      <c r="A321" s="3" t="inlineStr">
        <is>
          <t>MAT-08-139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piso, 100 x 25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1269.08</v>
      </c>
      <c r="L321" s="6" t="n">
        <v>1243.64</v>
      </c>
      <c r="M321" s="6" t="n">
        <v>1294.52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100</v>
      </c>
      <c r="W321" s="7" t="inlineStr">
        <is>
          <t>100 x 25 cm</t>
        </is>
      </c>
      <c r="AG321" s="7" t="inlineStr">
        <is>
          <t>piso</t>
        </is>
      </c>
      <c r="AH321" s="4" t="inlineStr">
        <is>
          <t>material: porcelanato · ancho_cm: 25 · piezas_m2: 4 · acabado: mate</t>
        </is>
      </c>
    </row>
    <row r="322">
      <c r="A322" s="3" t="inlineStr">
        <is>
          <t>MAT-08-140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piso, 113 x 55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955.09</v>
      </c>
      <c r="L322" s="6" t="n">
        <v>955.09</v>
      </c>
      <c r="M322" s="6" t="n">
        <v>955.09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113</v>
      </c>
      <c r="W322" s="7" t="inlineStr">
        <is>
          <t>113 x 55 cm</t>
        </is>
      </c>
      <c r="AG322" s="7" t="inlineStr">
        <is>
          <t>piso</t>
        </is>
      </c>
      <c r="AH322" s="4" t="inlineStr">
        <is>
          <t>material: porcelanato · ancho_cm: 55 · piezas_m2: 1.58 · acabado: pulido · espesor_mm: 10</t>
        </is>
      </c>
    </row>
    <row r="323">
      <c r="A323" s="3" t="inlineStr">
        <is>
          <t>MAT-08-141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piso, 120 x 120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2956.72</v>
      </c>
      <c r="L323" s="6" t="n">
        <v>2956.67</v>
      </c>
      <c r="M323" s="6" t="n">
        <v>2956.77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CerArte</t>
        </is>
      </c>
      <c r="W323" s="7" t="inlineStr">
        <is>
          <t>120 x 120 cm</t>
        </is>
      </c>
      <c r="AG323" s="7" t="inlineStr">
        <is>
          <t>piso</t>
        </is>
      </c>
      <c r="AH323" s="4" t="inlineStr">
        <is>
          <t>material: porcelanato · acabado: mate</t>
        </is>
      </c>
    </row>
    <row r="324">
      <c r="A324" s="3" t="inlineStr">
        <is>
          <t>MAT-08-142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piso, 120 x 15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3297.03</v>
      </c>
      <c r="L324" s="6" t="n">
        <v>2570.59</v>
      </c>
      <c r="M324" s="6" t="n">
        <v>3981.13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120</v>
      </c>
      <c r="W324" s="7" t="inlineStr">
        <is>
          <t>120 x 15 cm</t>
        </is>
      </c>
      <c r="AG324" s="7" t="inlineStr">
        <is>
          <t>piso</t>
        </is>
      </c>
      <c r="AH324" s="4" t="inlineStr">
        <is>
          <t>material: porcelanato · ancho_cm: 15</t>
        </is>
      </c>
    </row>
    <row r="325">
      <c r="A325" s="3" t="inlineStr">
        <is>
          <t>MAT-08-143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piso, 120 x 20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2</v>
      </c>
      <c r="K325" s="6" t="n">
        <v>1943.33</v>
      </c>
      <c r="L325" s="6" t="n">
        <v>939.3099999999999</v>
      </c>
      <c r="M325" s="6" t="n">
        <v>2601.39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 · Ferretería Ochoa (8A)</t>
        </is>
      </c>
      <c r="U325" s="7" t="n">
        <v>120</v>
      </c>
      <c r="W325" s="7" t="inlineStr">
        <is>
          <t>120 x 20 cm</t>
        </is>
      </c>
      <c r="AG325" s="7" t="inlineStr">
        <is>
          <t>piso</t>
        </is>
      </c>
      <c r="AH325" s="4" t="inlineStr">
        <is>
          <t>material: porcelanato · ancho_cm: 20</t>
        </is>
      </c>
    </row>
    <row r="326">
      <c r="A326" s="3" t="inlineStr">
        <is>
          <t>MAT-08-144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piso, 120 x 23.3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1949.98</v>
      </c>
      <c r="L326" s="6" t="n">
        <v>1949.98</v>
      </c>
      <c r="M326" s="6" t="n">
        <v>1949.98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La Ibérica</t>
        </is>
      </c>
      <c r="W326" s="7" t="inlineStr">
        <is>
          <t>120 x 23.3 cm</t>
        </is>
      </c>
      <c r="AG326" s="7" t="inlineStr">
        <is>
          <t>piso</t>
        </is>
      </c>
      <c r="AH326" s="4" t="inlineStr">
        <is>
          <t>material: porcelanato</t>
        </is>
      </c>
    </row>
    <row r="327">
      <c r="A327" s="3" t="inlineStr">
        <is>
          <t>MAT-08-145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piso, 120 x 23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2</v>
      </c>
      <c r="K327" s="6" t="n">
        <v>1798</v>
      </c>
      <c r="L327" s="6" t="n">
        <v>1122.74</v>
      </c>
      <c r="M327" s="6" t="n">
        <v>1949.99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2026-09-10</t>
        </is>
      </c>
      <c r="Q327" s="4" t="inlineStr">
        <is>
          <t>Ferretería Ochoa (8A) · La Ibérica</t>
        </is>
      </c>
      <c r="U327" s="7" t="n">
        <v>120</v>
      </c>
      <c r="W327" s="7" t="inlineStr">
        <is>
          <t>120 x 23 cm</t>
        </is>
      </c>
      <c r="AG327" s="7" t="inlineStr">
        <is>
          <t>piso</t>
        </is>
      </c>
      <c r="AH327" s="4" t="inlineStr">
        <is>
          <t>material: porcelanato · ancho_cm: 23 · piezas_m2: 3.62</t>
        </is>
      </c>
    </row>
    <row r="328">
      <c r="A328" s="3" t="inlineStr">
        <is>
          <t>MAT-08-146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piso, 120 x 40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1753.98</v>
      </c>
      <c r="L328" s="6" t="n">
        <v>1516.36</v>
      </c>
      <c r="M328" s="6" t="n">
        <v>1991.6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120</v>
      </c>
      <c r="W328" s="7" t="inlineStr">
        <is>
          <t>120 x 40 cm</t>
        </is>
      </c>
      <c r="AG328" s="7" t="inlineStr">
        <is>
          <t>piso</t>
        </is>
      </c>
      <c r="AH328" s="4" t="inlineStr">
        <is>
          <t>material: porcelanato · ancho_cm: 40 · piezas_m2: 2.08</t>
        </is>
      </c>
    </row>
    <row r="329">
      <c r="A329" s="3" t="inlineStr">
        <is>
          <t>MAT-08-147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piso, 120 x 60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3</v>
      </c>
      <c r="K329" s="6" t="n">
        <v>2249.99</v>
      </c>
      <c r="L329" s="6" t="n">
        <v>819.97</v>
      </c>
      <c r="M329" s="6" t="n">
        <v>3599.99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 · La Ibérica</t>
        </is>
      </c>
      <c r="U329" s="7" t="n">
        <v>120</v>
      </c>
      <c r="W329" s="7" t="inlineStr">
        <is>
          <t>120 x 60 cm</t>
        </is>
      </c>
      <c r="AG329" s="7" t="inlineStr">
        <is>
          <t>piso</t>
        </is>
      </c>
      <c r="AH329" s="4" t="inlineStr">
        <is>
          <t>material: porcelanato · ancho_cm: 60 · piezas_m2: 1.38</t>
        </is>
      </c>
    </row>
    <row r="330">
      <c r="A330" s="3" t="inlineStr">
        <is>
          <t>MAT-08-148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piso, 160 x 80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2394.87</v>
      </c>
      <c r="L330" s="6" t="n">
        <v>2394.87</v>
      </c>
      <c r="M330" s="6" t="n">
        <v>2394.87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W330" s="7" t="inlineStr">
        <is>
          <t>160 x 80 cm</t>
        </is>
      </c>
      <c r="AG330" s="7" t="inlineStr">
        <is>
          <t>piso</t>
        </is>
      </c>
      <c r="AH330" s="4" t="inlineStr">
        <is>
          <t>material: porcelanato · acabado: mate</t>
        </is>
      </c>
    </row>
    <row r="331">
      <c r="A331" s="3" t="inlineStr">
        <is>
          <t>MAT-08-149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piso, 20 x 20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3368.11</v>
      </c>
      <c r="L331" s="6" t="n">
        <v>3368.11</v>
      </c>
      <c r="M331" s="6" t="n">
        <v>3368.11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2026-09-10</t>
        </is>
      </c>
      <c r="Q331" s="4" t="inlineStr">
        <is>
          <t>CerArte</t>
        </is>
      </c>
      <c r="W331" s="7" t="inlineStr">
        <is>
          <t>20 x 20 cm</t>
        </is>
      </c>
      <c r="AG331" s="7" t="inlineStr">
        <is>
          <t>piso</t>
        </is>
      </c>
      <c r="AH331" s="4" t="inlineStr">
        <is>
          <t>material: porcelanato · acabado: mate</t>
        </is>
      </c>
    </row>
    <row r="332">
      <c r="A332" s="3" t="inlineStr">
        <is>
          <t>MAT-08-150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piso, 33 x 33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3834.91</v>
      </c>
      <c r="L332" s="6" t="n">
        <v>3834.91</v>
      </c>
      <c r="M332" s="6" t="n">
        <v>3834.91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W332" s="7" t="inlineStr">
        <is>
          <t>33 x 33 cm</t>
        </is>
      </c>
      <c r="AG332" s="7" t="inlineStr">
        <is>
          <t>piso</t>
        </is>
      </c>
      <c r="AH332" s="4" t="inlineStr">
        <is>
          <t>material: porcelanato</t>
        </is>
      </c>
    </row>
    <row r="333">
      <c r="A333" s="3" t="inlineStr">
        <is>
          <t>MAT-08-151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piso, 45 x 45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733.0700000000001</v>
      </c>
      <c r="L333" s="6" t="n">
        <v>581.79</v>
      </c>
      <c r="M333" s="6" t="n">
        <v>1062.22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45</v>
      </c>
      <c r="W333" s="7" t="inlineStr">
        <is>
          <t>45 x 45 cm</t>
        </is>
      </c>
      <c r="AG333" s="7" t="inlineStr">
        <is>
          <t>piso</t>
        </is>
      </c>
      <c r="AH333" s="4" t="inlineStr">
        <is>
          <t>material: porcelanato · ancho_cm: 45 · piezas_m2: 4.93</t>
        </is>
      </c>
    </row>
    <row r="334">
      <c r="A334" s="3" t="inlineStr">
        <is>
          <t>MAT-08-152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piso, 50 x 50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1035.48</v>
      </c>
      <c r="L334" s="6" t="n">
        <v>1035.48</v>
      </c>
      <c r="M334" s="6" t="n">
        <v>1035.48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50</v>
      </c>
      <c r="W334" s="7" t="inlineStr">
        <is>
          <t>50 x 50 cm</t>
        </is>
      </c>
      <c r="AG334" s="7" t="inlineStr">
        <is>
          <t>piso</t>
        </is>
      </c>
      <c r="AH334" s="4" t="inlineStr">
        <is>
          <t>material: porcelanato · ancho_cm: 50 · piezas_m2: 4 · espesor_mm: 10</t>
        </is>
      </c>
    </row>
    <row r="335">
      <c r="A335" s="3" t="inlineStr">
        <is>
          <t>MAT-08-153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58 x 19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777.65</v>
      </c>
      <c r="L335" s="6" t="n">
        <v>772.01</v>
      </c>
      <c r="M335" s="6" t="n">
        <v>783.29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58</v>
      </c>
      <c r="W335" s="7" t="inlineStr">
        <is>
          <t>58 x 19 cm</t>
        </is>
      </c>
      <c r="AG335" s="7" t="inlineStr">
        <is>
          <t>piso</t>
        </is>
      </c>
      <c r="AH335" s="4" t="inlineStr">
        <is>
          <t>material: porcelanato · ancho_cm: 19 · piezas_m2: 9.25</t>
        </is>
      </c>
    </row>
    <row r="336">
      <c r="A336" s="3" t="inlineStr">
        <is>
          <t>MAT-08-154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58 x 58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2</v>
      </c>
      <c r="K336" s="6" t="n">
        <v>1344.49</v>
      </c>
      <c r="L336" s="6" t="n">
        <v>998.99</v>
      </c>
      <c r="M336" s="6" t="n">
        <v>1689.98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2026-09-10</t>
        </is>
      </c>
      <c r="Q336" s="4" t="inlineStr">
        <is>
          <t>Ferretería Ochoa (8A) · La Ibérica</t>
        </is>
      </c>
      <c r="U336" s="7" t="n">
        <v>58</v>
      </c>
      <c r="W336" s="7" t="inlineStr">
        <is>
          <t>58 x 58 cm</t>
        </is>
      </c>
      <c r="AG336" s="7" t="inlineStr">
        <is>
          <t>piso</t>
        </is>
      </c>
      <c r="AH336" s="4" t="inlineStr">
        <is>
          <t>material: porcelanato · ancho_cm: 58 · piezas_m2: 2.87 · acabado: brillante · espesor_mm: 10</t>
        </is>
      </c>
    </row>
    <row r="337">
      <c r="A337" s="3" t="inlineStr">
        <is>
          <t>MAT-08-155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60 x 30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3</v>
      </c>
      <c r="K337" s="6" t="n">
        <v>1349.62</v>
      </c>
      <c r="L337" s="6" t="n">
        <v>988.04</v>
      </c>
      <c r="M337" s="6" t="n">
        <v>2589.94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2026-09-10</t>
        </is>
      </c>
      <c r="Q337" s="4" t="inlineStr">
        <is>
          <t>CerArte · Ferretería Ochoa (8A) · La Ibérica</t>
        </is>
      </c>
      <c r="U337" s="7" t="n">
        <v>60</v>
      </c>
      <c r="W337" s="7" t="inlineStr">
        <is>
          <t>60 x 30 cm</t>
        </is>
      </c>
      <c r="AG337" s="7" t="inlineStr">
        <is>
          <t>piso</t>
        </is>
      </c>
      <c r="AH337" s="4" t="inlineStr">
        <is>
          <t>material: porcelanato · ancho_cm: 30</t>
        </is>
      </c>
    </row>
    <row r="338">
      <c r="A338" s="3" t="inlineStr">
        <is>
          <t>MAT-08-156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60 x 60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2</v>
      </c>
      <c r="K338" s="6" t="n">
        <v>1160.99</v>
      </c>
      <c r="L338" s="6" t="n">
        <v>673.23</v>
      </c>
      <c r="M338" s="6" t="n">
        <v>2989.99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 · La Ibérica</t>
        </is>
      </c>
      <c r="W338" s="7" t="inlineStr">
        <is>
          <t>60 x 60 cm</t>
        </is>
      </c>
      <c r="AG338" s="7" t="inlineStr">
        <is>
          <t>piso</t>
        </is>
      </c>
      <c r="AH338" s="4" t="inlineStr">
        <is>
          <t>material: porcelanato</t>
        </is>
      </c>
    </row>
    <row r="339">
      <c r="A339" s="3" t="inlineStr">
        <is>
          <t>MAT-08-157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75 x 75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962.74</v>
      </c>
      <c r="L339" s="6" t="n">
        <v>814.46</v>
      </c>
      <c r="M339" s="6" t="n">
        <v>1311.32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2026-09-10</t>
        </is>
      </c>
      <c r="Q339" s="4" t="inlineStr">
        <is>
          <t>CerArte</t>
        </is>
      </c>
      <c r="W339" s="7" t="inlineStr">
        <is>
          <t>75 x 75 cm</t>
        </is>
      </c>
      <c r="AG339" s="7" t="inlineStr">
        <is>
          <t>piso</t>
        </is>
      </c>
      <c r="AH339" s="4" t="inlineStr">
        <is>
          <t>material: porcelanato</t>
        </is>
      </c>
    </row>
    <row r="340">
      <c r="A340" s="3" t="inlineStr">
        <is>
          <t>MAT-08-158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80 x 80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1035.67</v>
      </c>
      <c r="L340" s="6" t="n">
        <v>1035.67</v>
      </c>
      <c r="M340" s="6" t="n">
        <v>1035.67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</t>
        </is>
      </c>
      <c r="W340" s="7" t="inlineStr">
        <is>
          <t>80 x 80 cm</t>
        </is>
      </c>
      <c r="AG340" s="7" t="inlineStr">
        <is>
          <t>piso</t>
        </is>
      </c>
      <c r="AH340" s="4" t="inlineStr">
        <is>
          <t>material: porcelanato · acabado: pulido</t>
        </is>
      </c>
    </row>
    <row r="341">
      <c r="A341" s="3" t="inlineStr">
        <is>
          <t>MAT-08-159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85 x 22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2473.17</v>
      </c>
      <c r="L341" s="6" t="n">
        <v>2473.17</v>
      </c>
      <c r="M341" s="6" t="n">
        <v>2473.17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85</v>
      </c>
      <c r="W341" s="7" t="inlineStr">
        <is>
          <t>85 x 22 cm</t>
        </is>
      </c>
      <c r="AG341" s="7" t="inlineStr">
        <is>
          <t>piso</t>
        </is>
      </c>
      <c r="AH341" s="4" t="inlineStr">
        <is>
          <t>material: porcelanato · ancho_cm: 22 · piezas_m2: 5.34 · acabado: mate · espesor_mm: 10</t>
        </is>
      </c>
    </row>
    <row r="342">
      <c r="A342" s="3" t="inlineStr">
        <is>
          <t>MAT-08-160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90 x 15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1187.6</v>
      </c>
      <c r="L342" s="6" t="n">
        <v>1156.35</v>
      </c>
      <c r="M342" s="6" t="n">
        <v>1206.84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2026-09-09</t>
        </is>
      </c>
      <c r="Q342" s="4" t="inlineStr">
        <is>
          <t>Ferretería Ochoa (8A)</t>
        </is>
      </c>
      <c r="U342" s="7" t="n">
        <v>90</v>
      </c>
      <c r="W342" s="7" t="inlineStr">
        <is>
          <t>90 x 15 cm</t>
        </is>
      </c>
      <c r="AG342" s="7" t="inlineStr">
        <is>
          <t>piso</t>
        </is>
      </c>
      <c r="AH342" s="4" t="inlineStr">
        <is>
          <t>material: porcelanato · ancho_cm: 15 · piezas_m2: 7.37</t>
        </is>
      </c>
    </row>
    <row r="343">
      <c r="A343" s="3" t="inlineStr">
        <is>
          <t>MAT-08-161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90 x 22.5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1619.97</v>
      </c>
      <c r="L343" s="6" t="n">
        <v>1589.97</v>
      </c>
      <c r="M343" s="6" t="n">
        <v>1649.96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La Ibérica</t>
        </is>
      </c>
      <c r="W343" s="7" t="inlineStr">
        <is>
          <t>90 x 22.5 cm</t>
        </is>
      </c>
      <c r="AG343" s="7" t="inlineStr">
        <is>
          <t>piso</t>
        </is>
      </c>
      <c r="AH343" s="4" t="inlineStr">
        <is>
          <t>material: porcelanato</t>
        </is>
      </c>
    </row>
    <row r="344">
      <c r="A344" s="3" t="inlineStr">
        <is>
          <t>MAT-08-162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90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1636.87</v>
      </c>
      <c r="L344" s="6" t="n">
        <v>818.71</v>
      </c>
      <c r="M344" s="6" t="n">
        <v>1987.39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2026-09-09</t>
        </is>
      </c>
      <c r="Q344" s="4" t="inlineStr">
        <is>
          <t>Ferretería Ochoa (8A)</t>
        </is>
      </c>
      <c r="U344" s="7" t="n">
        <v>90</v>
      </c>
      <c r="W344" s="7" t="inlineStr">
        <is>
          <t>90 x 45 cm</t>
        </is>
      </c>
      <c r="AG344" s="7" t="inlineStr">
        <is>
          <t>piso</t>
        </is>
      </c>
      <c r="AH344" s="4" t="inlineStr">
        <is>
          <t>material: porcelanato · ancho_cm: 45 · acabado: mate</t>
        </is>
      </c>
    </row>
    <row r="345">
      <c r="A345" s="3" t="inlineStr">
        <is>
          <t>MAT-08-163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90 x 90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2</v>
      </c>
      <c r="K345" s="6" t="n">
        <v>1935.46</v>
      </c>
      <c r="L345" s="6" t="n">
        <v>1569.2</v>
      </c>
      <c r="M345" s="6" t="n">
        <v>2950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La Ibérica</t>
        </is>
      </c>
      <c r="W345" s="7" t="inlineStr">
        <is>
          <t>90 x 90 cm</t>
        </is>
      </c>
      <c r="AG345" s="7" t="inlineStr">
        <is>
          <t>piso</t>
        </is>
      </c>
      <c r="AH345" s="4" t="inlineStr">
        <is>
          <t>material: porcelanato · acabado: mate</t>
        </is>
      </c>
    </row>
    <row r="346">
      <c r="A346" s="3" t="inlineStr">
        <is>
          <t>MAT-08-164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 y pared, 100 x 30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2196.18</v>
      </c>
      <c r="L346" s="6" t="n">
        <v>1782.68</v>
      </c>
      <c r="M346" s="6" t="n">
        <v>2601.37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2026-09-09</t>
        </is>
      </c>
      <c r="Q346" s="4" t="inlineStr">
        <is>
          <t>Ferretería Ochoa (8A)</t>
        </is>
      </c>
      <c r="U346" s="7" t="n">
        <v>100</v>
      </c>
      <c r="W346" s="7" t="inlineStr">
        <is>
          <t>100 x 30 cm</t>
        </is>
      </c>
      <c r="AG346" s="7" t="inlineStr">
        <is>
          <t>piso y pared</t>
        </is>
      </c>
      <c r="AH346" s="4" t="inlineStr">
        <is>
          <t>material: porcelanato · ancho_cm: 30 · piezas_m2: 3.17 · acabado: mate · espesor_mm: 10</t>
        </is>
      </c>
    </row>
    <row r="347">
      <c r="A347" s="3" t="inlineStr">
        <is>
          <t>MAT-08-165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 y pared, 100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1493.28</v>
      </c>
      <c r="L347" s="6" t="n">
        <v>1466.73</v>
      </c>
      <c r="M347" s="6" t="n">
        <v>1604.55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2026-09-09</t>
        </is>
      </c>
      <c r="Q347" s="4" t="inlineStr">
        <is>
          <t>Ferretería Ochoa (8A)</t>
        </is>
      </c>
      <c r="U347" s="7" t="n">
        <v>100</v>
      </c>
      <c r="W347" s="7" t="inlineStr">
        <is>
          <t>100 x 33 cm</t>
        </is>
      </c>
      <c r="AG347" s="7" t="inlineStr">
        <is>
          <t>piso y pared</t>
        </is>
      </c>
      <c r="AH347" s="4" t="inlineStr">
        <is>
          <t>material: porcelanato · ancho_cm: 33 · piezas_m2: 3 · acabado: pulido · espesor_mm: 10</t>
        </is>
      </c>
    </row>
    <row r="348">
      <c r="A348" s="3" t="inlineStr">
        <is>
          <t>MAT-08-166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 y pared, 100 x 50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2</v>
      </c>
      <c r="K348" s="6" t="n">
        <v>1801.82</v>
      </c>
      <c r="L348" s="6" t="n">
        <v>1529.79</v>
      </c>
      <c r="M348" s="6" t="n">
        <v>3647.28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 · Ferretería Ochoa (8A)</t>
        </is>
      </c>
      <c r="U348" s="7" t="n">
        <v>100</v>
      </c>
      <c r="W348" s="7" t="inlineStr">
        <is>
          <t>100 x 50 cm</t>
        </is>
      </c>
      <c r="AG348" s="7" t="inlineStr">
        <is>
          <t>piso y pared</t>
        </is>
      </c>
      <c r="AH348" s="4" t="inlineStr">
        <is>
          <t>material: porcelanato · ancho_cm: 50 · piezas_m2: 2 · espesor_mm: 9</t>
        </is>
      </c>
    </row>
    <row r="349">
      <c r="A349" s="3" t="inlineStr">
        <is>
          <t>MAT-08-167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 y pared, 120 x 11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2242</v>
      </c>
      <c r="L349" s="6" t="n">
        <v>2242</v>
      </c>
      <c r="M349" s="6" t="n">
        <v>2242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W349" s="7" t="inlineStr">
        <is>
          <t>120 x 11 cm</t>
        </is>
      </c>
      <c r="AG349" s="7" t="inlineStr">
        <is>
          <t>piso y pared</t>
        </is>
      </c>
      <c r="AH349" s="4" t="inlineStr">
        <is>
          <t>material: porcelanato · acabado: mate</t>
        </is>
      </c>
    </row>
    <row r="350">
      <c r="A350" s="3" t="inlineStr">
        <is>
          <t>MAT-08-168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 y pared, 120 x 120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2</v>
      </c>
      <c r="K350" s="6" t="n">
        <v>2885.43</v>
      </c>
      <c r="L350" s="6" t="n">
        <v>2538.27</v>
      </c>
      <c r="M350" s="6" t="n">
        <v>3205.38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 · Ferretería Ochoa (8A)</t>
        </is>
      </c>
      <c r="U350" s="7" t="n">
        <v>120</v>
      </c>
      <c r="W350" s="7" t="inlineStr">
        <is>
          <t>120 x 120 cm</t>
        </is>
      </c>
      <c r="AG350" s="7" t="inlineStr">
        <is>
          <t>piso y pared</t>
        </is>
      </c>
      <c r="AH350" s="4" t="inlineStr">
        <is>
          <t>material: porcelanato · ancho_cm: 120 · piezas_m2: 0.69 · acabado: mate · espesor_mm: 9</t>
        </is>
      </c>
    </row>
    <row r="351">
      <c r="A351" s="3" t="inlineStr">
        <is>
          <t>MAT-08-169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 y pared, 120 x 20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2095.03</v>
      </c>
      <c r="L351" s="6" t="n">
        <v>1279.34</v>
      </c>
      <c r="M351" s="6" t="n">
        <v>2260.28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 · Ferretería Ochoa (8A)</t>
        </is>
      </c>
      <c r="U351" s="7" t="n">
        <v>120</v>
      </c>
      <c r="W351" s="7" t="inlineStr">
        <is>
          <t>120 x 20 cm</t>
        </is>
      </c>
      <c r="AG351" s="7" t="inlineStr">
        <is>
          <t>piso y pared</t>
        </is>
      </c>
      <c r="AH351" s="4" t="inlineStr">
        <is>
          <t>material: porcelanato · ancho_cm: 20 · piezas_m2: 4 · acabado: mate · espesor_mm: 12</t>
        </is>
      </c>
    </row>
    <row r="352">
      <c r="A352" s="3" t="inlineStr">
        <is>
          <t>MAT-08-170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 y pared, 120 x 40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3697.64</v>
      </c>
      <c r="L352" s="6" t="n">
        <v>3697.64</v>
      </c>
      <c r="M352" s="6" t="n">
        <v>3697.64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2026-09-09</t>
        </is>
      </c>
      <c r="Q352" s="4" t="inlineStr">
        <is>
          <t>Ferretería Ochoa (8A)</t>
        </is>
      </c>
      <c r="U352" s="7" t="n">
        <v>120</v>
      </c>
      <c r="W352" s="7" t="inlineStr">
        <is>
          <t>120 x 40 cm</t>
        </is>
      </c>
      <c r="AG352" s="7" t="inlineStr">
        <is>
          <t>piso y pared</t>
        </is>
      </c>
      <c r="AH352" s="4" t="inlineStr">
        <is>
          <t>material: porcelanato · ancho_cm: 40 · piezas_m2: 2.1 · acabado: mate · espesor_mm: 10</t>
        </is>
      </c>
    </row>
    <row r="353">
      <c r="A353" s="3" t="inlineStr">
        <is>
          <t>MAT-08-171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 y pared, 120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2101.39</v>
      </c>
      <c r="L353" s="6" t="n">
        <v>819.97</v>
      </c>
      <c r="M353" s="6" t="n">
        <v>3478.01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Ferretería Ochoa (8A)</t>
        </is>
      </c>
      <c r="U353" s="7" t="n">
        <v>120</v>
      </c>
      <c r="W353" s="7" t="inlineStr">
        <is>
          <t>120 x 60 cm</t>
        </is>
      </c>
      <c r="AG353" s="7" t="inlineStr">
        <is>
          <t>piso y pared</t>
        </is>
      </c>
      <c r="AH353" s="4" t="inlineStr">
        <is>
          <t>material: porcelanato · ancho_cm: 60 · piezas_m2: 1.38 · espesor_mm: 10</t>
        </is>
      </c>
    </row>
    <row r="354">
      <c r="A354" s="3" t="inlineStr">
        <is>
          <t>MAT-08-172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 y pared, 15 x 15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2629.95</v>
      </c>
      <c r="L354" s="6" t="n">
        <v>2629.95</v>
      </c>
      <c r="M354" s="6" t="n">
        <v>2629.95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W354" s="7" t="inlineStr">
        <is>
          <t>15 x 15 cm</t>
        </is>
      </c>
      <c r="AG354" s="7" t="inlineStr">
        <is>
          <t>piso y pared</t>
        </is>
      </c>
      <c r="AH354" s="4" t="inlineStr">
        <is>
          <t>material: porcelanato · acabado: mate</t>
        </is>
      </c>
    </row>
    <row r="355">
      <c r="A355" s="3" t="inlineStr">
        <is>
          <t>MAT-08-173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 y pared, 160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2406.36</v>
      </c>
      <c r="L355" s="6" t="n">
        <v>2406.36</v>
      </c>
      <c r="M355" s="6" t="n">
        <v>2406.36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W355" s="7" t="inlineStr">
        <is>
          <t>160 x 80 cm</t>
        </is>
      </c>
      <c r="AG355" s="7" t="inlineStr">
        <is>
          <t>piso y pared</t>
        </is>
      </c>
      <c r="AH355" s="4" t="inlineStr">
        <is>
          <t>material: porcelanato · acabado: mate</t>
        </is>
      </c>
    </row>
    <row r="356">
      <c r="A356" s="3" t="inlineStr">
        <is>
          <t>MAT-08-174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 y pared, 180 x 80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5709.64</v>
      </c>
      <c r="L356" s="6" t="n">
        <v>5574.62</v>
      </c>
      <c r="M356" s="6" t="n">
        <v>5844.67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W356" s="7" t="inlineStr">
        <is>
          <t>180 x 80 cm</t>
        </is>
      </c>
      <c r="AG356" s="7" t="inlineStr">
        <is>
          <t>piso y pared</t>
        </is>
      </c>
      <c r="AH356" s="4" t="inlineStr">
        <is>
          <t>material: porcelanato · acabado: pulido</t>
        </is>
      </c>
    </row>
    <row r="357">
      <c r="A357" s="3" t="inlineStr">
        <is>
          <t>MAT-08-175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 y pared, 180 x 90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3376.66</v>
      </c>
      <c r="L357" s="6" t="n">
        <v>3376.66</v>
      </c>
      <c r="M357" s="6" t="n">
        <v>3376.66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180</v>
      </c>
      <c r="W357" s="7" t="inlineStr">
        <is>
          <t>180 x 90 cm</t>
        </is>
      </c>
      <c r="AG357" s="7" t="inlineStr">
        <is>
          <t>piso y pared</t>
        </is>
      </c>
      <c r="AH357" s="4" t="inlineStr">
        <is>
          <t>material: porcelanato · ancho_cm: 90 · piezas_m2: 0.61 · acabado: pulido · espesor_mm: 10</t>
        </is>
      </c>
    </row>
    <row r="358">
      <c r="A358" s="3" t="inlineStr">
        <is>
          <t>MAT-08-176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 y pared, 23 x 20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2449.22</v>
      </c>
      <c r="L358" s="6" t="n">
        <v>2449.22</v>
      </c>
      <c r="M358" s="6" t="n">
        <v>2449.22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W358" s="7" t="inlineStr">
        <is>
          <t>23 x 20 cm</t>
        </is>
      </c>
      <c r="AG358" s="7" t="inlineStr">
        <is>
          <t>piso y pared</t>
        </is>
      </c>
      <c r="AH358" s="4" t="inlineStr">
        <is>
          <t>material: porcelanato · acabado: pulido</t>
        </is>
      </c>
    </row>
    <row r="359">
      <c r="A359" s="3" t="inlineStr">
        <is>
          <t>MAT-08-177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 y pared, 240 x 120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7223.87</v>
      </c>
      <c r="L359" s="6" t="n">
        <v>6824.2</v>
      </c>
      <c r="M359" s="6" t="n">
        <v>9192.92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2026-09-10</t>
        </is>
      </c>
      <c r="Q359" s="4" t="inlineStr">
        <is>
          <t>CerArte</t>
        </is>
      </c>
      <c r="W359" s="7" t="inlineStr">
        <is>
          <t>240 x 120 cm</t>
        </is>
      </c>
      <c r="AG359" s="7" t="inlineStr">
        <is>
          <t>piso y pared</t>
        </is>
      </c>
      <c r="AH359" s="4" t="inlineStr">
        <is>
          <t>material: porcelanato</t>
        </is>
      </c>
    </row>
    <row r="360">
      <c r="A360" s="3" t="inlineStr">
        <is>
          <t>MAT-08-178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 y pared, 270 x 120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5758.12</v>
      </c>
      <c r="L360" s="6" t="n">
        <v>5758.12</v>
      </c>
      <c r="M360" s="6" t="n">
        <v>5758.12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W360" s="7" t="inlineStr">
        <is>
          <t>270 x 120 cm</t>
        </is>
      </c>
      <c r="AG360" s="7" t="inlineStr">
        <is>
          <t>piso y pared</t>
        </is>
      </c>
      <c r="AH360" s="4" t="inlineStr">
        <is>
          <t>material: porcelanato · acabado: mate</t>
        </is>
      </c>
    </row>
    <row r="361">
      <c r="A361" s="3" t="inlineStr">
        <is>
          <t>MAT-08-179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280 x 120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7323.3</v>
      </c>
      <c r="L361" s="6" t="n">
        <v>6843.82</v>
      </c>
      <c r="M361" s="6" t="n">
        <v>7777.42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W361" s="7" t="inlineStr">
        <is>
          <t>280 x 120 cm</t>
        </is>
      </c>
      <c r="AG361" s="7" t="inlineStr">
        <is>
          <t>piso y pared</t>
        </is>
      </c>
      <c r="AH361" s="4" t="inlineStr">
        <is>
          <t>material: porcelanato · acabado: pulido</t>
        </is>
      </c>
    </row>
    <row r="362">
      <c r="A362" s="3" t="inlineStr">
        <is>
          <t>MAT-08-180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30 x 10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3161.29</v>
      </c>
      <c r="L362" s="6" t="n">
        <v>2835.14</v>
      </c>
      <c r="M362" s="6" t="n">
        <v>3197.35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2026-09-10</t>
        </is>
      </c>
      <c r="Q362" s="4" t="inlineStr">
        <is>
          <t>CerArte</t>
        </is>
      </c>
      <c r="W362" s="7" t="inlineStr">
        <is>
          <t>30 x 10 cm</t>
        </is>
      </c>
      <c r="AG362" s="7" t="inlineStr">
        <is>
          <t>piso y pared</t>
        </is>
      </c>
      <c r="AH362" s="4" t="inlineStr">
        <is>
          <t>material: porcelanato · acabado: pulido</t>
        </is>
      </c>
    </row>
    <row r="363">
      <c r="A363" s="3" t="inlineStr">
        <is>
          <t>MAT-08-181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30 x 30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2649.03</v>
      </c>
      <c r="L363" s="6" t="n">
        <v>812.1</v>
      </c>
      <c r="M363" s="6" t="n">
        <v>3050.17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30</v>
      </c>
      <c r="W363" s="7" t="inlineStr">
        <is>
          <t>30 x 30 cm</t>
        </is>
      </c>
      <c r="AG363" s="7" t="inlineStr">
        <is>
          <t>piso y pared</t>
        </is>
      </c>
      <c r="AH363" s="4" t="inlineStr">
        <is>
          <t>material: porcelanato · ancho_cm: 30 · piezas_m2: 10</t>
        </is>
      </c>
    </row>
    <row r="364">
      <c r="A364" s="3" t="inlineStr">
        <is>
          <t>MAT-08-182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300 x 100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7262.22</v>
      </c>
      <c r="L364" s="6" t="n">
        <v>7262.22</v>
      </c>
      <c r="M364" s="6" t="n">
        <v>7262.22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W364" s="7" t="inlineStr">
        <is>
          <t>300 x 100 cm</t>
        </is>
      </c>
      <c r="AG364" s="7" t="inlineStr">
        <is>
          <t>piso y pared</t>
        </is>
      </c>
      <c r="AH364" s="4" t="inlineStr">
        <is>
          <t>material: porcelanato · acabado: mate</t>
        </is>
      </c>
    </row>
    <row r="365">
      <c r="A365" s="3" t="inlineStr">
        <is>
          <t>MAT-08-183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300 x 150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9310.93</v>
      </c>
      <c r="L365" s="6" t="n">
        <v>7176.34</v>
      </c>
      <c r="M365" s="6" t="n">
        <v>9485.42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</t>
        </is>
      </c>
      <c r="W365" s="7" t="inlineStr">
        <is>
          <t>300 x 150 cm</t>
        </is>
      </c>
      <c r="AG365" s="7" t="inlineStr">
        <is>
          <t>piso y pared</t>
        </is>
      </c>
      <c r="AH365" s="4" t="inlineStr">
        <is>
          <t>material: porcelanato</t>
        </is>
      </c>
    </row>
    <row r="366">
      <c r="A366" s="3" t="inlineStr">
        <is>
          <t>MAT-08-184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324 x 160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14792.36</v>
      </c>
      <c r="L366" s="6" t="n">
        <v>4125.46</v>
      </c>
      <c r="M366" s="6" t="n">
        <v>19490.82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</t>
        </is>
      </c>
      <c r="W366" s="7" t="inlineStr">
        <is>
          <t>324 x 160 cm</t>
        </is>
      </c>
      <c r="AG366" s="7" t="inlineStr">
        <is>
          <t>piso y pared</t>
        </is>
      </c>
      <c r="AH366" s="4" t="inlineStr">
        <is>
          <t>material: porcelanato</t>
        </is>
      </c>
    </row>
    <row r="367">
      <c r="A367" s="3" t="inlineStr">
        <is>
          <t>MAT-08-185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45 x 45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764.38</v>
      </c>
      <c r="L367" s="6" t="n">
        <v>710.61</v>
      </c>
      <c r="M367" s="6" t="n">
        <v>857.97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45</v>
      </c>
      <c r="W367" s="7" t="inlineStr">
        <is>
          <t>45 x 45 cm</t>
        </is>
      </c>
      <c r="AG367" s="7" t="inlineStr">
        <is>
          <t>piso y pared</t>
        </is>
      </c>
      <c r="AH367" s="4" t="inlineStr">
        <is>
          <t>material: porcelanato · ancho_cm: 45 · piezas_m2: 4.93 · acabado: mate</t>
        </is>
      </c>
    </row>
    <row r="368">
      <c r="A368" s="3" t="inlineStr">
        <is>
          <t>MAT-08-186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55 x 33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1</v>
      </c>
      <c r="K368" s="6" t="n">
        <v>839.97</v>
      </c>
      <c r="L368" s="6" t="n">
        <v>839.97</v>
      </c>
      <c r="M368" s="6" t="n">
        <v>839.97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2026-09-09</t>
        </is>
      </c>
      <c r="Q368" s="4" t="inlineStr">
        <is>
          <t>Ferretería Ochoa (8A)</t>
        </is>
      </c>
      <c r="U368" s="7" t="n">
        <v>55</v>
      </c>
      <c r="W368" s="7" t="inlineStr">
        <is>
          <t>55 x 33 cm</t>
        </is>
      </c>
      <c r="AG368" s="7" t="inlineStr">
        <is>
          <t>piso y pared</t>
        </is>
      </c>
      <c r="AH368" s="4" t="inlineStr">
        <is>
          <t>material: porcelanato · ancho_cm: 33 · piezas_m2: 5.43</t>
        </is>
      </c>
    </row>
    <row r="369">
      <c r="A369" s="3" t="inlineStr">
        <is>
          <t>MAT-08-187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58 x 58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2571.44</v>
      </c>
      <c r="L369" s="6" t="n">
        <v>2571.44</v>
      </c>
      <c r="M369" s="6" t="n">
        <v>2571.44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58</v>
      </c>
      <c r="W369" s="7" t="inlineStr">
        <is>
          <t>58 x 58 cm</t>
        </is>
      </c>
      <c r="AG369" s="7" t="inlineStr">
        <is>
          <t>piso y pared</t>
        </is>
      </c>
      <c r="AH369" s="4" t="inlineStr">
        <is>
          <t>material: porcelanato · ancho_cm: 58 · piezas_m2: 2.92</t>
        </is>
      </c>
    </row>
    <row r="370">
      <c r="A370" s="3" t="inlineStr">
        <is>
          <t>MAT-08-188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60 x 20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482.11</v>
      </c>
      <c r="L370" s="6" t="n">
        <v>482.11</v>
      </c>
      <c r="M370" s="6" t="n">
        <v>482.11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2026-09-09</t>
        </is>
      </c>
      <c r="Q370" s="4" t="inlineStr">
        <is>
          <t>Ferretería Ochoa (8A)</t>
        </is>
      </c>
      <c r="U370" s="7" t="n">
        <v>60</v>
      </c>
      <c r="W370" s="7" t="inlineStr">
        <is>
          <t>60 x 20 cm</t>
        </is>
      </c>
      <c r="AG370" s="7" t="inlineStr">
        <is>
          <t>piso y pared</t>
        </is>
      </c>
      <c r="AH370" s="4" t="inlineStr">
        <is>
          <t>material: porcelanato · ancho_cm: 20 · piezas_m2: 8.23 · acabado: mate · espesor_mm: 10</t>
        </is>
      </c>
    </row>
    <row r="371">
      <c r="A371" s="3" t="inlineStr">
        <is>
          <t>MAT-08-189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60 x 30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2</v>
      </c>
      <c r="K371" s="6" t="n">
        <v>1371.18</v>
      </c>
      <c r="L371" s="6" t="n">
        <v>778.8</v>
      </c>
      <c r="M371" s="6" t="n">
        <v>2805.98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 · Ferretería Ochoa (8A)</t>
        </is>
      </c>
      <c r="U371" s="7" t="n">
        <v>60</v>
      </c>
      <c r="W371" s="7" t="inlineStr">
        <is>
          <t>60 x 30 cm</t>
        </is>
      </c>
      <c r="AG371" s="7" t="inlineStr">
        <is>
          <t>piso y pared</t>
        </is>
      </c>
      <c r="AH371" s="4" t="inlineStr">
        <is>
          <t>material: porcelanato · ancho_cm: 30</t>
        </is>
      </c>
    </row>
    <row r="372">
      <c r="A372" s="3" t="inlineStr">
        <is>
          <t>MAT-08-190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60 x 60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2</v>
      </c>
      <c r="K372" s="6" t="n">
        <v>1350.1</v>
      </c>
      <c r="L372" s="6" t="n">
        <v>518.13</v>
      </c>
      <c r="M372" s="6" t="n">
        <v>2562.78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 · Ferretería Ochoa (8A)</t>
        </is>
      </c>
      <c r="U372" s="7" t="n">
        <v>60</v>
      </c>
      <c r="W372" s="7" t="inlineStr">
        <is>
          <t>60 x 60 cm</t>
        </is>
      </c>
      <c r="AG372" s="7" t="inlineStr">
        <is>
          <t>piso y pared</t>
        </is>
      </c>
      <c r="AH372" s="4" t="inlineStr">
        <is>
          <t>material: porcelanato · ancho_cm: 60</t>
        </is>
      </c>
    </row>
    <row r="373">
      <c r="A373" s="3" t="inlineStr">
        <is>
          <t>MAT-08-191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75 x 25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1403.05</v>
      </c>
      <c r="L373" s="6" t="n">
        <v>1146.06</v>
      </c>
      <c r="M373" s="6" t="n">
        <v>1689.5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2026-09-09</t>
        </is>
      </c>
      <c r="Q373" s="4" t="inlineStr">
        <is>
          <t>Ferretería Ochoa (8A)</t>
        </is>
      </c>
      <c r="U373" s="7" t="n">
        <v>75</v>
      </c>
      <c r="W373" s="7" t="inlineStr">
        <is>
          <t>75 x 25 cm</t>
        </is>
      </c>
      <c r="AG373" s="7" t="inlineStr">
        <is>
          <t>piso y pared</t>
        </is>
      </c>
      <c r="AH373" s="4" t="inlineStr">
        <is>
          <t>material: porcelanato · ancho_cm: 25 · piezas_m2: 5.33 · acabado: mate · espesor_mm: 10</t>
        </is>
      </c>
    </row>
    <row r="374">
      <c r="A374" s="3" t="inlineStr">
        <is>
          <t>MAT-08-192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75 x 75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1400.04</v>
      </c>
      <c r="L374" s="6" t="n">
        <v>1400.03</v>
      </c>
      <c r="M374" s="6" t="n">
        <v>1400.05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W374" s="7" t="inlineStr">
        <is>
          <t>75 x 75 cm</t>
        </is>
      </c>
      <c r="AG374" s="7" t="inlineStr">
        <is>
          <t>piso y pared</t>
        </is>
      </c>
      <c r="AH374" s="4" t="inlineStr">
        <is>
          <t>material: porcelanato · acabado: mate</t>
        </is>
      </c>
    </row>
    <row r="375">
      <c r="A375" s="3" t="inlineStr">
        <is>
          <t>MAT-08-193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80 x 80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1662.02</v>
      </c>
      <c r="L375" s="6" t="n">
        <v>1324.23</v>
      </c>
      <c r="M375" s="6" t="n">
        <v>2414.91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W375" s="7" t="inlineStr">
        <is>
          <t>80 x 80 cm</t>
        </is>
      </c>
      <c r="AG375" s="7" t="inlineStr">
        <is>
          <t>piso y pared</t>
        </is>
      </c>
      <c r="AH375" s="4" t="inlineStr">
        <is>
          <t>material: porcelanato</t>
        </is>
      </c>
    </row>
    <row r="376">
      <c r="A376" s="3" t="inlineStr">
        <is>
          <t>MAT-08-194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90 x 15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1835.57</v>
      </c>
      <c r="L376" s="6" t="n">
        <v>1835.57</v>
      </c>
      <c r="M376" s="6" t="n">
        <v>1835.57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90</v>
      </c>
      <c r="W376" s="7" t="inlineStr">
        <is>
          <t>90 x 15 cm</t>
        </is>
      </c>
      <c r="AG376" s="7" t="inlineStr">
        <is>
          <t>piso y pared</t>
        </is>
      </c>
      <c r="AH376" s="4" t="inlineStr">
        <is>
          <t>material: porcelanato · ancho_cm: 15 · piezas_m2: 7.4 · acabado: mate · espesor_mm: 10</t>
        </is>
      </c>
    </row>
    <row r="377">
      <c r="A377" s="3" t="inlineStr">
        <is>
          <t>MAT-08-195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90 x 20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1649.86</v>
      </c>
      <c r="L377" s="6" t="n">
        <v>1649.86</v>
      </c>
      <c r="M377" s="6" t="n">
        <v>1649.86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W377" s="7" t="inlineStr">
        <is>
          <t>90 x 20 cm</t>
        </is>
      </c>
      <c r="AG377" s="7" t="inlineStr">
        <is>
          <t>piso y pared</t>
        </is>
      </c>
      <c r="AH377" s="4" t="inlineStr">
        <is>
          <t>material: porcelanato · acabado: mate</t>
        </is>
      </c>
    </row>
    <row r="378">
      <c r="A378" s="3" t="inlineStr">
        <is>
          <t>MAT-08-196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90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2210.12</v>
      </c>
      <c r="L378" s="6" t="n">
        <v>2210.12</v>
      </c>
      <c r="M378" s="6" t="n">
        <v>2210.12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90</v>
      </c>
      <c r="W378" s="7" t="inlineStr">
        <is>
          <t>90 x 30 cm</t>
        </is>
      </c>
      <c r="AG378" s="7" t="inlineStr">
        <is>
          <t>piso y pared</t>
        </is>
      </c>
      <c r="AH378" s="4" t="inlineStr">
        <is>
          <t>material: porcelanato · ancho_cm: 30 · piezas_m2: 3.7 · acabado: mate · espesor_mm: 9</t>
        </is>
      </c>
    </row>
    <row r="379">
      <c r="A379" s="3" t="inlineStr">
        <is>
          <t>MAT-08-197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90 x 45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2022.08</v>
      </c>
      <c r="L379" s="6" t="n">
        <v>1630.87</v>
      </c>
      <c r="M379" s="6" t="n">
        <v>6073.73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Ferretería Ochoa (8A)</t>
        </is>
      </c>
      <c r="U379" s="7" t="n">
        <v>90</v>
      </c>
      <c r="W379" s="7" t="inlineStr">
        <is>
          <t>90 x 45 cm</t>
        </is>
      </c>
      <c r="AG379" s="7" t="inlineStr">
        <is>
          <t>piso y pared</t>
        </is>
      </c>
      <c r="AH379" s="4" t="inlineStr">
        <is>
          <t>material: porcelanato · ancho_cm: 45 · acabado: mate</t>
        </is>
      </c>
    </row>
    <row r="380">
      <c r="A380" s="3" t="inlineStr">
        <is>
          <t>MAT-08-198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90 x 90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2167.28</v>
      </c>
      <c r="L380" s="6" t="n">
        <v>2167.28</v>
      </c>
      <c r="M380" s="6" t="n">
        <v>2167.28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W380" s="7" t="inlineStr">
        <is>
          <t>90 x 90 cm</t>
        </is>
      </c>
      <c r="AG380" s="7" t="inlineStr">
        <is>
          <t>piso y pared</t>
        </is>
      </c>
      <c r="AH380" s="4" t="inlineStr">
        <is>
          <t>material: porcelanato · acabado: mate</t>
        </is>
      </c>
    </row>
    <row r="381">
      <c r="A381" s="3" t="inlineStr">
        <is>
          <t>MAT-08-199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Mosaico cerámico en malla, 2.5 x 2.5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495</v>
      </c>
      <c r="L381" s="6" t="n">
        <v>495</v>
      </c>
      <c r="M381" s="6" t="n">
        <v>495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La Ibérica</t>
        </is>
      </c>
      <c r="W381" s="7" t="inlineStr">
        <is>
          <t>2.5 x 2.5 cm</t>
        </is>
      </c>
    </row>
    <row r="382">
      <c r="A382" s="3" t="inlineStr">
        <is>
          <t>MAT-08-200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Mosaico cerámico en malla, 20 x 20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1099.76</v>
      </c>
      <c r="L382" s="6" t="n">
        <v>1099.76</v>
      </c>
      <c r="M382" s="6" t="n">
        <v>1099.76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2026-09-10</t>
        </is>
      </c>
      <c r="Q382" s="4" t="inlineStr">
        <is>
          <t>La Ibérica</t>
        </is>
      </c>
      <c r="W382" s="7" t="inlineStr">
        <is>
          <t>20 x 20 cm</t>
        </is>
      </c>
    </row>
    <row r="383">
      <c r="A383" s="3" t="inlineStr">
        <is>
          <t>MAT-08-201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Mosaico cerámico en malla, 30 x 25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1881.01</v>
      </c>
      <c r="L383" s="6" t="n">
        <v>1117.88</v>
      </c>
      <c r="M383" s="6" t="n">
        <v>2008.37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CerArte</t>
        </is>
      </c>
      <c r="W383" s="7" t="inlineStr">
        <is>
          <t>30 x 25 cm</t>
        </is>
      </c>
    </row>
    <row r="384">
      <c r="A384" s="3" t="inlineStr">
        <is>
          <t>MAT-08-202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Mosaico cerámico en malla, 30 x 30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3</v>
      </c>
      <c r="K384" s="6" t="n">
        <v>2863.5</v>
      </c>
      <c r="L384" s="6" t="n">
        <v>156.94</v>
      </c>
      <c r="M384" s="6" t="n">
        <v>7157.4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CerArte · Ferretería Ochoa (8A) · La Ibérica</t>
        </is>
      </c>
      <c r="U384" s="7" t="n">
        <v>30</v>
      </c>
      <c r="W384" s="7" t="inlineStr">
        <is>
          <t>30 x 30 cm</t>
        </is>
      </c>
      <c r="AH384" s="4" t="inlineStr">
        <is>
          <t>ancho_cm: 30 · piezas_m2: 10</t>
        </is>
      </c>
    </row>
    <row r="385">
      <c r="A385" s="3" t="inlineStr">
        <is>
          <t>MAT-08-203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Mosaico cerámico en malla, 33 x 30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5065.06</v>
      </c>
      <c r="L385" s="6" t="n">
        <v>4369.31</v>
      </c>
      <c r="M385" s="6" t="n">
        <v>6188.82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33</v>
      </c>
      <c r="W385" s="7" t="inlineStr">
        <is>
          <t>33 x 30 cm</t>
        </is>
      </c>
      <c r="AH385" s="4" t="inlineStr">
        <is>
          <t>ancho_cm: 30 · piezas_m2: 11</t>
        </is>
      </c>
    </row>
    <row r="386">
      <c r="A386" s="3" t="inlineStr">
        <is>
          <t>MAT-08-204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Mosaico cerámico en malla, 33 x 33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1558.53</v>
      </c>
      <c r="L386" s="6" t="n">
        <v>325</v>
      </c>
      <c r="M386" s="6" t="n">
        <v>4021.38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Ferretería Ochoa (8A) · La Ibérica</t>
        </is>
      </c>
      <c r="U386" s="7" t="n">
        <v>33</v>
      </c>
      <c r="W386" s="7" t="inlineStr">
        <is>
          <t>33 x 33 cm</t>
        </is>
      </c>
      <c r="AH386" s="4" t="inlineStr">
        <is>
          <t>ancho_cm: 33 · piezas_m2: 9</t>
        </is>
      </c>
    </row>
    <row r="387">
      <c r="A387" s="3" t="inlineStr">
        <is>
          <t>MAT-08-205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Mosaico cerámico en malla, 40 x 10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2768.79</v>
      </c>
      <c r="L387" s="6" t="n">
        <v>2568.55</v>
      </c>
      <c r="M387" s="6" t="n">
        <v>3442.07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CerArte</t>
        </is>
      </c>
      <c r="W387" s="7" t="inlineStr">
        <is>
          <t>40 x 10 cm</t>
        </is>
      </c>
    </row>
    <row r="388">
      <c r="A388" s="3" t="inlineStr">
        <is>
          <t>MAT-08-206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Mosaico cerámico en malla, 45 x 30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650</v>
      </c>
      <c r="L388" s="6" t="n">
        <v>650</v>
      </c>
      <c r="M388" s="6" t="n">
        <v>650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2026-09-10</t>
        </is>
      </c>
      <c r="Q388" s="4" t="inlineStr">
        <is>
          <t>La Ibérica</t>
        </is>
      </c>
      <c r="W388" s="7" t="inlineStr">
        <is>
          <t>45 x 30 cm</t>
        </is>
      </c>
    </row>
    <row r="389">
      <c r="A389" s="3" t="inlineStr">
        <is>
          <t>MAT-08-207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Mosaico cerámico en malla, 45 x 45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789.64</v>
      </c>
      <c r="L389" s="6" t="n">
        <v>789.64</v>
      </c>
      <c r="M389" s="6" t="n">
        <v>789.64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2026-09-09</t>
        </is>
      </c>
      <c r="Q389" s="4" t="inlineStr">
        <is>
          <t>Ferretería Ochoa (8A)</t>
        </is>
      </c>
      <c r="U389" s="7" t="n">
        <v>45</v>
      </c>
      <c r="W389" s="7" t="inlineStr">
        <is>
          <t>45 x 45 cm</t>
        </is>
      </c>
      <c r="AH389" s="4" t="inlineStr">
        <is>
          <t>ancho_cm: 45 · piezas_m2: 4.93</t>
        </is>
      </c>
    </row>
    <row r="390">
      <c r="A390" s="3" t="inlineStr">
        <is>
          <t>MAT-08-208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Mosaico cerámico en malla, 5 x 5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690</v>
      </c>
      <c r="L390" s="6" t="n">
        <v>590</v>
      </c>
      <c r="M390" s="6" t="n">
        <v>790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La Ibérica</t>
        </is>
      </c>
      <c r="W390" s="7" t="inlineStr">
        <is>
          <t>5 x 5 cm</t>
        </is>
      </c>
    </row>
    <row r="391">
      <c r="A391" s="3" t="inlineStr">
        <is>
          <t>MAT-08-209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Mosaico cerámico en malla, 60 x 15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3110.82</v>
      </c>
      <c r="L391" s="6" t="n">
        <v>2290.15</v>
      </c>
      <c r="M391" s="6" t="n">
        <v>3998.02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La Ibérica</t>
        </is>
      </c>
      <c r="W391" s="7" t="inlineStr">
        <is>
          <t>60 x 15 cm</t>
        </is>
      </c>
    </row>
    <row r="392">
      <c r="A392" s="3" t="inlineStr">
        <is>
          <t>MAT-08-210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Mosaico cerámico en malla, 60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743.62</v>
      </c>
      <c r="L392" s="6" t="n">
        <v>743.62</v>
      </c>
      <c r="M392" s="6" t="n">
        <v>743.62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2026-09-09</t>
        </is>
      </c>
      <c r="Q392" s="4" t="inlineStr">
        <is>
          <t>Ferretería Ochoa (8A)</t>
        </is>
      </c>
      <c r="U392" s="7" t="n">
        <v>60</v>
      </c>
      <c r="W392" s="7" t="inlineStr">
        <is>
          <t>60 x 20 cm</t>
        </is>
      </c>
      <c r="AH392" s="4" t="inlineStr">
        <is>
          <t>ancho_cm: 20 · piezas_m2: 8.33</t>
        </is>
      </c>
    </row>
    <row r="393">
      <c r="A393" s="3" t="inlineStr">
        <is>
          <t>MAT-08-211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Mosaico cerámico en malla, 7.5 x 7.5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1771.16</v>
      </c>
      <c r="L393" s="6" t="n">
        <v>1716.64</v>
      </c>
      <c r="M393" s="6" t="n">
        <v>1784.58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2026-09-10</t>
        </is>
      </c>
      <c r="Q393" s="4" t="inlineStr">
        <is>
          <t>CerArte</t>
        </is>
      </c>
      <c r="W393" s="7" t="inlineStr">
        <is>
          <t>7.5 x 7.5 cm</t>
        </is>
      </c>
    </row>
    <row r="394">
      <c r="A394" s="3" t="inlineStr">
        <is>
          <t>MAT-08-212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Peldaño cerámico recto, 120 x 30 cm</t>
        </is>
      </c>
      <c r="E394" s="4" t="inlineStr"/>
      <c r="F394" s="3" t="inlineStr">
        <is>
          <t>unidad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1</v>
      </c>
      <c r="K394" s="6" t="n">
        <v>1986.69</v>
      </c>
      <c r="L394" s="6" t="n">
        <v>1719.56</v>
      </c>
      <c r="M394" s="6" t="n">
        <v>2179.25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2026-09-09</t>
        </is>
      </c>
      <c r="Q394" s="4" t="inlineStr">
        <is>
          <t>Ferretería Ochoa (8A)</t>
        </is>
      </c>
      <c r="U394" s="7" t="n">
        <v>120</v>
      </c>
      <c r="W394" s="7" t="inlineStr">
        <is>
          <t>120 x 30 cm</t>
        </is>
      </c>
      <c r="AH394" s="4" t="inlineStr">
        <is>
          <t>ancho_cm: 30</t>
        </is>
      </c>
    </row>
    <row r="395">
      <c r="A395" s="3" t="inlineStr">
        <is>
          <t>MAT-08-213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Peldaño cerámico recto, 120 x 33 cm</t>
        </is>
      </c>
      <c r="E395" s="4" t="inlineStr"/>
      <c r="F395" s="3" t="inlineStr">
        <is>
          <t>unidad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2</v>
      </c>
      <c r="K395" s="6" t="n">
        <v>5245.32</v>
      </c>
      <c r="L395" s="6" t="n">
        <v>3607.11</v>
      </c>
      <c r="M395" s="6" t="n">
        <v>9990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Ferretería Ochoa (8A) · La Ibérica</t>
        </is>
      </c>
      <c r="U395" s="7" t="n">
        <v>120</v>
      </c>
      <c r="W395" s="7" t="inlineStr">
        <is>
          <t>120 x 33 cm</t>
        </is>
      </c>
      <c r="AH395" s="4" t="inlineStr">
        <is>
          <t>ancho_cm: 33</t>
        </is>
      </c>
    </row>
    <row r="396">
      <c r="A396" s="3" t="inlineStr">
        <is>
          <t>MAT-08-214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Set de huella y contrahuella, 1 cm</t>
        </is>
      </c>
      <c r="E396" s="4" t="inlineStr"/>
      <c r="F396" s="3" t="inlineStr">
        <is>
          <t>juego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1427.79</v>
      </c>
      <c r="L396" s="6" t="n">
        <v>1266.29</v>
      </c>
      <c r="M396" s="6" t="n">
        <v>1547.92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2026-09-09</t>
        </is>
      </c>
      <c r="Q396" s="4" t="inlineStr">
        <is>
          <t>Ferretería Ochoa (8A)</t>
        </is>
      </c>
      <c r="U396" s="7" t="n">
        <v>1</v>
      </c>
    </row>
    <row r="397">
      <c r="A397" s="3" t="inlineStr">
        <is>
          <t>MAT-08-215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Set de huella y contrahuella, 120 cm</t>
        </is>
      </c>
      <c r="E397" s="4" t="inlineStr"/>
      <c r="F397" s="3" t="inlineStr">
        <is>
          <t>juego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1218.66</v>
      </c>
      <c r="L397" s="6" t="n">
        <v>1170.21</v>
      </c>
      <c r="M397" s="6" t="n">
        <v>1267.1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2026-09-09</t>
        </is>
      </c>
      <c r="Q397" s="4" t="inlineStr">
        <is>
          <t>Ferretería Ochoa (8A)</t>
        </is>
      </c>
      <c r="U397" s="7" t="n">
        <v>120</v>
      </c>
    </row>
    <row r="398">
      <c r="A398" s="3" t="inlineStr">
        <is>
          <t>MAT-08-216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Borde para peldaño, 70 cm</t>
        </is>
      </c>
      <c r="E398" s="4" t="inlineStr"/>
      <c r="F398" s="3" t="inlineStr">
        <is>
          <t>unidad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434.66</v>
      </c>
      <c r="L398" s="6" t="n">
        <v>425.5</v>
      </c>
      <c r="M398" s="6" t="n">
        <v>453.27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70</v>
      </c>
    </row>
    <row r="399">
      <c r="A399" s="3" t="inlineStr">
        <is>
          <t>MAT-08-217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Rodapié de cerámica</t>
        </is>
      </c>
      <c r="E399" s="4" t="inlineStr"/>
      <c r="F399" s="3" t="inlineStr">
        <is>
          <t>ml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189.99</v>
      </c>
      <c r="L399" s="6" t="n">
        <v>189.99</v>
      </c>
      <c r="M399" s="6" t="n">
        <v>189.99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La Ibérica</t>
        </is>
      </c>
      <c r="AH399" s="4" t="inlineStr">
        <is>
          <t>material: cerámica</t>
        </is>
      </c>
    </row>
    <row r="400">
      <c r="A400" s="3" t="inlineStr">
        <is>
          <t>MAT-08-218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Rodapié de mármol</t>
        </is>
      </c>
      <c r="E400" s="4" t="inlineStr"/>
      <c r="F400" s="3" t="inlineStr">
        <is>
          <t>ml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1395.33</v>
      </c>
      <c r="L400" s="6" t="n">
        <v>1395.33</v>
      </c>
      <c r="M400" s="6" t="n">
        <v>1395.33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2026-09-09</t>
        </is>
      </c>
      <c r="Q400" s="4" t="inlineStr">
        <is>
          <t>Ferretería Ochoa (8A)</t>
        </is>
      </c>
      <c r="AH400" s="4" t="inlineStr">
        <is>
          <t>material: mármol</t>
        </is>
      </c>
    </row>
    <row r="401">
      <c r="A401" s="3" t="inlineStr">
        <is>
          <t>MAT-08-219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Rodapié de vinil</t>
        </is>
      </c>
      <c r="E401" s="4" t="inlineStr"/>
      <c r="F401" s="3" t="inlineStr">
        <is>
          <t>ml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465.01</v>
      </c>
      <c r="L401" s="6" t="n">
        <v>442.88</v>
      </c>
      <c r="M401" s="6" t="n">
        <v>640.8099999999999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AH401" s="4" t="inlineStr">
        <is>
          <t>material: vinil</t>
        </is>
      </c>
    </row>
    <row r="402">
      <c r="A402" s="3" t="inlineStr">
        <is>
          <t>MAT-08-220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Perfil de canto de acero inoxidable, 10 mm</t>
        </is>
      </c>
      <c r="E402" s="4" t="inlineStr">
        <is>
          <t>Tramo de 2.5 a 2.6 m</t>
        </is>
      </c>
      <c r="F402" s="3" t="inlineStr">
        <is>
          <t>unidad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2878.24</v>
      </c>
      <c r="L402" s="6" t="n">
        <v>2492.8</v>
      </c>
      <c r="M402" s="6" t="n">
        <v>3263.69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AH402" s="4" t="inlineStr">
        <is>
          <t>tipo: canto · material: acero inoxidable · medida_mm: 10</t>
        </is>
      </c>
    </row>
    <row r="403">
      <c r="A403" s="3" t="inlineStr">
        <is>
          <t>MAT-08-221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Perfil de canto de acero inoxidable, 12 mm</t>
        </is>
      </c>
      <c r="E403" s="4" t="inlineStr">
        <is>
          <t>Tramo de 2.5 a 2.6 m</t>
        </is>
      </c>
      <c r="F403" s="3" t="inlineStr">
        <is>
          <t>unidad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844.55</v>
      </c>
      <c r="L403" s="6" t="n">
        <v>832.63</v>
      </c>
      <c r="M403" s="6" t="n">
        <v>845.21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2026-09-09</t>
        </is>
      </c>
      <c r="Q403" s="4" t="inlineStr">
        <is>
          <t>Ferretería Ochoa (8A)</t>
        </is>
      </c>
      <c r="AH403" s="4" t="inlineStr">
        <is>
          <t>tipo: canto · material: acero inoxidable · medida_mm: 12</t>
        </is>
      </c>
    </row>
    <row r="404">
      <c r="A404" s="3" t="inlineStr">
        <is>
          <t>MAT-08-222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Perfil de canto de acero inoxidable, 12.5 mm</t>
        </is>
      </c>
      <c r="E404" s="4" t="inlineStr">
        <is>
          <t>Tramo de 2.5 a 2.6 m</t>
        </is>
      </c>
      <c r="F404" s="3" t="inlineStr">
        <is>
          <t>unidad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3418.96</v>
      </c>
      <c r="L404" s="6" t="n">
        <v>3418.96</v>
      </c>
      <c r="M404" s="6" t="n">
        <v>3418.96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</t>
        </is>
      </c>
      <c r="AH404" s="4" t="inlineStr">
        <is>
          <t>tipo: canto · material: acero inoxidable · medida_mm: 12.5</t>
        </is>
      </c>
    </row>
    <row r="405">
      <c r="A405" s="3" t="inlineStr">
        <is>
          <t>MAT-08-223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Perfil de canto de aluminio, 10 mm</t>
        </is>
      </c>
      <c r="E405" s="4" t="inlineStr">
        <is>
          <t>Tramo de 2.5 a 2.6 m</t>
        </is>
      </c>
      <c r="F405" s="3" t="inlineStr">
        <is>
          <t>unidad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3</v>
      </c>
      <c r="K405" s="6" t="n">
        <v>1462.23</v>
      </c>
      <c r="L405" s="6" t="n">
        <v>573.59</v>
      </c>
      <c r="M405" s="6" t="n">
        <v>2100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 · Ferretería Ochoa (8A) · La Ibérica</t>
        </is>
      </c>
      <c r="AH405" s="4" t="inlineStr">
        <is>
          <t>tipo: canto · material: aluminio · medida_mm: 10</t>
        </is>
      </c>
    </row>
    <row r="406">
      <c r="A406" s="3" t="inlineStr">
        <is>
          <t>MAT-08-224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Perfil de canto de aluminio, 12 mm</t>
        </is>
      </c>
      <c r="E406" s="4" t="inlineStr">
        <is>
          <t>Tramo de 2.5 a 2.6 m</t>
        </is>
      </c>
      <c r="F406" s="3" t="inlineStr">
        <is>
          <t>unidad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2</v>
      </c>
      <c r="K406" s="6" t="n">
        <v>2125</v>
      </c>
      <c r="L406" s="6" t="n">
        <v>521.95</v>
      </c>
      <c r="M406" s="6" t="n">
        <v>5549.99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Ferretería Ochoa (8A) · La Ibérica</t>
        </is>
      </c>
      <c r="AH406" s="4" t="inlineStr">
        <is>
          <t>tipo: canto · material: aluminio · medida_mm: 12</t>
        </is>
      </c>
    </row>
    <row r="407">
      <c r="A407" s="3" t="inlineStr">
        <is>
          <t>MAT-08-225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Perfil de canto de aluminio, 12.5 mm</t>
        </is>
      </c>
      <c r="E407" s="4" t="inlineStr">
        <is>
          <t>Tramo de 2.5 a 2.6 m</t>
        </is>
      </c>
      <c r="F407" s="3" t="inlineStr">
        <is>
          <t>unidad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2241.28</v>
      </c>
      <c r="L407" s="6" t="n">
        <v>2100</v>
      </c>
      <c r="M407" s="6" t="n">
        <v>2560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La Ibérica</t>
        </is>
      </c>
      <c r="AH407" s="4" t="inlineStr">
        <is>
          <t>tipo: canto · material: aluminio · medida_mm: 12.5</t>
        </is>
      </c>
    </row>
    <row r="408">
      <c r="A408" s="3" t="inlineStr">
        <is>
          <t>MAT-08-226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Perfil de canto de aluminio, 13 mm</t>
        </is>
      </c>
      <c r="E408" s="4" t="inlineStr">
        <is>
          <t>Tramo de 2.5 a 2.6 m</t>
        </is>
      </c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1699.99</v>
      </c>
      <c r="L408" s="6" t="n">
        <v>1699.99</v>
      </c>
      <c r="M408" s="6" t="n">
        <v>1699.99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La Ibérica</t>
        </is>
      </c>
      <c r="AH408" s="4" t="inlineStr">
        <is>
          <t>tipo: canto · material: aluminio · medida_mm: 13</t>
        </is>
      </c>
    </row>
    <row r="409">
      <c r="A409" s="3" t="inlineStr">
        <is>
          <t>MAT-08-227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Perfil de canto de aluminio, 2.7 mm</t>
        </is>
      </c>
      <c r="E409" s="4" t="inlineStr">
        <is>
          <t>Tramo de 2.5 a 2.6 m</t>
        </is>
      </c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2500</v>
      </c>
      <c r="L409" s="6" t="n">
        <v>2500</v>
      </c>
      <c r="M409" s="6" t="n">
        <v>2500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La Ibérica</t>
        </is>
      </c>
      <c r="AH409" s="4" t="inlineStr">
        <is>
          <t>tipo: canto · material: aluminio · medida_mm: 2.7</t>
        </is>
      </c>
    </row>
    <row r="410">
      <c r="A410" s="3" t="inlineStr">
        <is>
          <t>MAT-08-228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Perfil de canto de aluminio, 20 mm</t>
        </is>
      </c>
      <c r="E410" s="4" t="inlineStr">
        <is>
          <t>Tramo de 2.5 a 2.6 m</t>
        </is>
      </c>
      <c r="F410" s="3" t="inlineStr">
        <is>
          <t>unidad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1024.48</v>
      </c>
      <c r="L410" s="6" t="n">
        <v>775.1900000000001</v>
      </c>
      <c r="M410" s="6" t="n">
        <v>1273.77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AH410" s="4" t="inlineStr">
        <is>
          <t>tipo: canto · material: aluminio · medida_mm: 20</t>
        </is>
      </c>
    </row>
    <row r="411">
      <c r="A411" s="3" t="inlineStr">
        <is>
          <t>MAT-08-229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Perfil de canto de aluminio, 25 mm</t>
        </is>
      </c>
      <c r="E411" s="4" t="inlineStr">
        <is>
          <t>Tramo de 2.5 a 2.6 m</t>
        </is>
      </c>
      <c r="F411" s="3" t="inlineStr">
        <is>
          <t>unidad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2</v>
      </c>
      <c r="K411" s="6" t="n">
        <v>2161.21</v>
      </c>
      <c r="L411" s="6" t="n">
        <v>627.91</v>
      </c>
      <c r="M411" s="6" t="n">
        <v>4290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2026-09-10</t>
        </is>
      </c>
      <c r="Q411" s="4" t="inlineStr">
        <is>
          <t>Ferretería Ochoa (8A) · La Ibérica</t>
        </is>
      </c>
      <c r="AH411" s="4" t="inlineStr">
        <is>
          <t>tipo: canto · material: aluminio · medida_mm: 25</t>
        </is>
      </c>
    </row>
    <row r="412">
      <c r="A412" s="3" t="inlineStr">
        <is>
          <t>MAT-08-230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Perfil de canto de aluminio, 70 mm</t>
        </is>
      </c>
      <c r="E412" s="4" t="inlineStr">
        <is>
          <t>Tramo de 2.5 a 2.6 m</t>
        </is>
      </c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4875</v>
      </c>
      <c r="L412" s="6" t="n">
        <v>3400</v>
      </c>
      <c r="M412" s="6" t="n">
        <v>6349.99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La Ibérica</t>
        </is>
      </c>
      <c r="AH412" s="4" t="inlineStr">
        <is>
          <t>tipo: canto · material: aluminio · medida_mm: 70</t>
        </is>
      </c>
    </row>
    <row r="413">
      <c r="A413" s="3" t="inlineStr">
        <is>
          <t>MAT-08-231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Perfil de canto de aluminio, 9 mm</t>
        </is>
      </c>
      <c r="E413" s="4" t="inlineStr">
        <is>
          <t>Tramo de 2.5 a 2.6 m</t>
        </is>
      </c>
      <c r="F413" s="3" t="inlineStr">
        <is>
          <t>unidad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1189.99</v>
      </c>
      <c r="L413" s="6" t="n">
        <v>1189.99</v>
      </c>
      <c r="M413" s="6" t="n">
        <v>1189.99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La Ibérica</t>
        </is>
      </c>
      <c r="AH413" s="4" t="inlineStr">
        <is>
          <t>tipo: canto · material: aluminio · medida_mm: 9</t>
        </is>
      </c>
    </row>
    <row r="414">
      <c r="A414" s="3" t="inlineStr">
        <is>
          <t>MAT-08-232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Perfil de canto de fibra vegetal, 10 mm</t>
        </is>
      </c>
      <c r="E414" s="4" t="inlineStr">
        <is>
          <t>Tramo de 2.5 a 2.6 m</t>
        </is>
      </c>
      <c r="F414" s="3" t="inlineStr">
        <is>
          <t>unidad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396.66</v>
      </c>
      <c r="L414" s="6" t="n">
        <v>365.33</v>
      </c>
      <c r="M414" s="6" t="n">
        <v>417.52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AH414" s="4" t="inlineStr">
        <is>
          <t>tipo: canto · material: fibra vegetal · medida_mm: 10</t>
        </is>
      </c>
    </row>
    <row r="415">
      <c r="A415" s="3" t="inlineStr">
        <is>
          <t>MAT-08-233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Perfil de canto de latón, 10 mm</t>
        </is>
      </c>
      <c r="E415" s="4" t="inlineStr">
        <is>
          <t>Tramo de 2.5 a 2.6 m</t>
        </is>
      </c>
      <c r="F415" s="3" t="inlineStr">
        <is>
          <t>unidad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3254.44</v>
      </c>
      <c r="L415" s="6" t="n">
        <v>3254.44</v>
      </c>
      <c r="M415" s="6" t="n">
        <v>3254.44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La Ibérica</t>
        </is>
      </c>
      <c r="AH415" s="4" t="inlineStr">
        <is>
          <t>tipo: canto · material: latón · medida_mm: 10</t>
        </is>
      </c>
    </row>
    <row r="416">
      <c r="A416" s="3" t="inlineStr">
        <is>
          <t>MAT-08-234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PVC, 10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2</v>
      </c>
      <c r="K416" s="6" t="n">
        <v>393.6</v>
      </c>
      <c r="L416" s="6" t="n">
        <v>344.42</v>
      </c>
      <c r="M416" s="6" t="n">
        <v>590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 · La Ibérica</t>
        </is>
      </c>
      <c r="AH416" s="4" t="inlineStr">
        <is>
          <t>tipo: canto · material: PVC · medida_mm: 10</t>
        </is>
      </c>
    </row>
    <row r="417">
      <c r="A417" s="3" t="inlineStr">
        <is>
          <t>MAT-08-235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PVC, 5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67.81999999999999</v>
      </c>
      <c r="L417" s="6" t="n">
        <v>66.68000000000001</v>
      </c>
      <c r="M417" s="6" t="n">
        <v>68.95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AH417" s="4" t="inlineStr">
        <is>
          <t>tipo: canto · material: PVC · medida_mm: 5</t>
        </is>
      </c>
    </row>
    <row r="418">
      <c r="A418" s="3" t="inlineStr">
        <is>
          <t>MAT-08-236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PVC, 8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248</v>
      </c>
      <c r="L418" s="6" t="n">
        <v>248</v>
      </c>
      <c r="M418" s="6" t="n">
        <v>248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2026-09-09</t>
        </is>
      </c>
      <c r="Q418" s="4" t="inlineStr">
        <is>
          <t>Ferretería Cima</t>
        </is>
      </c>
      <c r="AH418" s="4" t="inlineStr">
        <is>
          <t>tipo: canto · material: PVC · medida_mm: 8</t>
        </is>
      </c>
    </row>
    <row r="419">
      <c r="A419" s="3" t="inlineStr">
        <is>
          <t>MAT-08-237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Perfil de canto de PVC, 8.5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2</v>
      </c>
      <c r="K419" s="6" t="n">
        <v>71.09</v>
      </c>
      <c r="L419" s="6" t="n">
        <v>66.61</v>
      </c>
      <c r="M419" s="6" t="n">
        <v>224.99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Ferretería Ochoa (8A) · La Ibérica</t>
        </is>
      </c>
      <c r="AH419" s="4" t="inlineStr">
        <is>
          <t>tipo: canto · material: PVC · medida_mm: 8.5</t>
        </is>
      </c>
    </row>
    <row r="420">
      <c r="A420" s="3" t="inlineStr">
        <is>
          <t>MAT-08-238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Junta de dilatación de aluminio, 12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7649.35</v>
      </c>
      <c r="L420" s="6" t="n">
        <v>5822.12</v>
      </c>
      <c r="M420" s="6" t="n">
        <v>9476.58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La Ibérica</t>
        </is>
      </c>
      <c r="AH420" s="4" t="inlineStr">
        <is>
          <t>tipo: dilatacion · material: aluminio · medida_mm: 12</t>
        </is>
      </c>
    </row>
    <row r="421">
      <c r="A421" s="3" t="inlineStr">
        <is>
          <t>MAT-08-239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Junta de dilatación de aluminio, 14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1589.99</v>
      </c>
      <c r="L421" s="6" t="n">
        <v>1589.99</v>
      </c>
      <c r="M421" s="6" t="n">
        <v>1589.99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H421" s="4" t="inlineStr">
        <is>
          <t>tipo: dilatacion · material: aluminio · medida_mm: 14</t>
        </is>
      </c>
    </row>
    <row r="422">
      <c r="A422" s="3" t="inlineStr">
        <is>
          <t>MAT-08-240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Junta de dilatación de aluminio, 26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6400</v>
      </c>
      <c r="L422" s="6" t="n">
        <v>6400</v>
      </c>
      <c r="M422" s="6" t="n">
        <v>6400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H422" s="4" t="inlineStr">
        <is>
          <t>tipo: dilatacion · material: aluminio · medida_mm: 26</t>
        </is>
      </c>
    </row>
    <row r="423">
      <c r="A423" s="3" t="inlineStr">
        <is>
          <t>MAT-08-241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Junta de dilatación de PVC, 25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1100</v>
      </c>
      <c r="L423" s="6" t="n">
        <v>1100</v>
      </c>
      <c r="M423" s="6" t="n">
        <v>1100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H423" s="4" t="inlineStr">
        <is>
          <t>tipo: dilatacion · material: PVC · medida_mm: 25</t>
        </is>
      </c>
    </row>
    <row r="424">
      <c r="A424" s="3" t="inlineStr">
        <is>
          <t>MAT-08-242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Junta de dilatación de PVC, 8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720</v>
      </c>
      <c r="L424" s="6" t="n">
        <v>490</v>
      </c>
      <c r="M424" s="6" t="n">
        <v>949.99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La Ibérica</t>
        </is>
      </c>
      <c r="AH424" s="4" t="inlineStr">
        <is>
          <t>tipo: dilatacion · material: PVC · medida_mm: 8</t>
        </is>
      </c>
    </row>
    <row r="425">
      <c r="A425" s="3" t="inlineStr">
        <is>
          <t>MAT-08-243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peldaño de aluminio, 12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3592.5</v>
      </c>
      <c r="L425" s="6" t="n">
        <v>2190</v>
      </c>
      <c r="M425" s="6" t="n">
        <v>4995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La Ibérica</t>
        </is>
      </c>
      <c r="AH425" s="4" t="inlineStr">
        <is>
          <t>tipo: peldano · material: aluminio · medida_mm: 12</t>
        </is>
      </c>
    </row>
    <row r="426">
      <c r="A426" s="3" t="inlineStr">
        <is>
          <t>MAT-08-244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peldaño de aluminio, 48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6525</v>
      </c>
      <c r="L426" s="6" t="n">
        <v>6525</v>
      </c>
      <c r="M426" s="6" t="n">
        <v>6525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H426" s="4" t="inlineStr">
        <is>
          <t>tipo: peldano · material: aluminio · medida_mm: 48</t>
        </is>
      </c>
    </row>
    <row r="427">
      <c r="A427" s="3" t="inlineStr">
        <is>
          <t>MAT-08-245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Perfil de peldaño de aluminio, 65 mm</t>
        </is>
      </c>
      <c r="E427" s="4" t="inlineStr">
        <is>
          <t>Tramo de 2.5 a 2.6 m</t>
        </is>
      </c>
      <c r="F427" s="3" t="inlineStr">
        <is>
          <t>unidad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4893.46</v>
      </c>
      <c r="L427" s="6" t="n">
        <v>4893.46</v>
      </c>
      <c r="M427" s="6" t="n">
        <v>4893.46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La Ibérica</t>
        </is>
      </c>
      <c r="AH427" s="4" t="inlineStr">
        <is>
          <t>tipo: peldano · material: aluminio · medida_mm: 65</t>
        </is>
      </c>
    </row>
    <row r="428">
      <c r="A428" s="3" t="inlineStr">
        <is>
          <t>MAT-08-246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Cruceta para cerámica 1.5 mm, funda de 100</t>
        </is>
      </c>
      <c r="E428" s="4" t="inlineStr"/>
      <c r="F428" s="3" t="inlineStr">
        <is>
          <t>funda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2</v>
      </c>
      <c r="K428" s="6" t="n">
        <v>73.92</v>
      </c>
      <c r="L428" s="6" t="n">
        <v>47.83</v>
      </c>
      <c r="M428" s="6" t="n">
        <v>100.01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Ferretería Ochoa (8A) · La Ibérica</t>
        </is>
      </c>
      <c r="T428" s="7" t="n">
        <v>100</v>
      </c>
      <c r="AH428" s="4" t="inlineStr">
        <is>
          <t>espesor_mm: 1.5</t>
        </is>
      </c>
    </row>
    <row r="429">
      <c r="A429" s="3" t="inlineStr">
        <is>
          <t>MAT-08-247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Cruceta para cerámica 1.5 mm, funda de 250</t>
        </is>
      </c>
      <c r="E429" s="4" t="inlineStr"/>
      <c r="F429" s="3" t="inlineStr">
        <is>
          <t>funda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114.99</v>
      </c>
      <c r="L429" s="6" t="n">
        <v>114.99</v>
      </c>
      <c r="M429" s="6" t="n">
        <v>114.99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T429" s="7" t="n">
        <v>250</v>
      </c>
      <c r="AH429" s="4" t="inlineStr">
        <is>
          <t>espesor_mm: 1.5</t>
        </is>
      </c>
    </row>
    <row r="430">
      <c r="A430" s="3" t="inlineStr">
        <is>
          <t>MAT-08-248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Cruceta para cerámica 1.5 mm, funda de 300</t>
        </is>
      </c>
      <c r="E430" s="4" t="inlineStr"/>
      <c r="F430" s="3" t="inlineStr">
        <is>
          <t>funda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2</v>
      </c>
      <c r="K430" s="6" t="n">
        <v>233.76</v>
      </c>
      <c r="L430" s="6" t="n">
        <v>165</v>
      </c>
      <c r="M430" s="6" t="n">
        <v>330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Cima · Ferretería Ochoa (8A)</t>
        </is>
      </c>
      <c r="T430" s="7" t="n">
        <v>300</v>
      </c>
      <c r="AH430" s="4" t="inlineStr">
        <is>
          <t>espesor_mm: 1.5</t>
        </is>
      </c>
    </row>
    <row r="431">
      <c r="A431" s="3" t="inlineStr">
        <is>
          <t>MAT-08-249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Cruceta para cerámica 1 mm, funda de 100</t>
        </is>
      </c>
      <c r="E431" s="4" t="inlineStr"/>
      <c r="F431" s="3" t="inlineStr">
        <is>
          <t>funda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42.56</v>
      </c>
      <c r="L431" s="6" t="n">
        <v>42.56</v>
      </c>
      <c r="M431" s="6" t="n">
        <v>42.56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T431" s="7" t="n">
        <v>100</v>
      </c>
      <c r="AH431" s="4" t="inlineStr">
        <is>
          <t>espesor_mm: 1</t>
        </is>
      </c>
    </row>
    <row r="432">
      <c r="A432" s="3" t="inlineStr">
        <is>
          <t>MAT-08-250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Cruceta para cerámica 1 mm, funda de 300</t>
        </is>
      </c>
      <c r="E432" s="4" t="inlineStr"/>
      <c r="F432" s="3" t="inlineStr">
        <is>
          <t>funda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10608.65</v>
      </c>
      <c r="L432" s="6" t="n">
        <v>10608.65</v>
      </c>
      <c r="M432" s="6" t="n">
        <v>10608.65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2026-09-09</t>
        </is>
      </c>
      <c r="Q432" s="4" t="inlineStr">
        <is>
          <t>Ferretería Ochoa (8A)</t>
        </is>
      </c>
      <c r="T432" s="7" t="n">
        <v>300</v>
      </c>
      <c r="AH432" s="4" t="inlineStr">
        <is>
          <t>espesor_mm: 1</t>
        </is>
      </c>
    </row>
    <row r="433">
      <c r="A433" s="3" t="inlineStr">
        <is>
          <t>MAT-08-251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Cruceta para cerámica 2 mm, funda de 100</t>
        </is>
      </c>
      <c r="E433" s="4" t="inlineStr"/>
      <c r="F433" s="3" t="inlineStr">
        <is>
          <t>funda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2</v>
      </c>
      <c r="K433" s="6" t="n">
        <v>76.16</v>
      </c>
      <c r="L433" s="6" t="n">
        <v>52.3</v>
      </c>
      <c r="M433" s="6" t="n">
        <v>100.01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Ferretería Ochoa (8A) · La Ibérica</t>
        </is>
      </c>
      <c r="T433" s="7" t="n">
        <v>100</v>
      </c>
      <c r="AH433" s="4" t="inlineStr">
        <is>
          <t>espesor_mm: 2</t>
        </is>
      </c>
    </row>
    <row r="434">
      <c r="A434" s="3" t="inlineStr">
        <is>
          <t>MAT-08-252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Cruceta para cerámica 2 mm, funda de 300</t>
        </is>
      </c>
      <c r="E434" s="4" t="inlineStr"/>
      <c r="F434" s="3" t="inlineStr">
        <is>
          <t>funda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12274.78</v>
      </c>
      <c r="L434" s="6" t="n">
        <v>12274.78</v>
      </c>
      <c r="M434" s="6" t="n">
        <v>12274.78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2026-09-09</t>
        </is>
      </c>
      <c r="Q434" s="4" t="inlineStr">
        <is>
          <t>Ferretería Ochoa (8A)</t>
        </is>
      </c>
      <c r="T434" s="7" t="n">
        <v>300</v>
      </c>
      <c r="AH434" s="4" t="inlineStr">
        <is>
          <t>espesor_mm: 2</t>
        </is>
      </c>
    </row>
    <row r="435">
      <c r="A435" s="3" t="inlineStr">
        <is>
          <t>MAT-08-253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Cruceta para cerámica 2 mm, funda de 500</t>
        </is>
      </c>
      <c r="E435" s="4" t="inlineStr"/>
      <c r="F435" s="3" t="inlineStr">
        <is>
          <t>funda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374.71</v>
      </c>
      <c r="L435" s="6" t="n">
        <v>372.08</v>
      </c>
      <c r="M435" s="6" t="n">
        <v>377.35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2026-09-10</t>
        </is>
      </c>
      <c r="Q435" s="4" t="inlineStr">
        <is>
          <t>CerArte</t>
        </is>
      </c>
      <c r="T435" s="7" t="n">
        <v>500</v>
      </c>
      <c r="AH435" s="4" t="inlineStr">
        <is>
          <t>espesor_mm: 2</t>
        </is>
      </c>
    </row>
    <row r="436">
      <c r="A436" s="3" t="inlineStr">
        <is>
          <t>MAT-08-254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Cruceta para cerámica 3 mm, funda de 100</t>
        </is>
      </c>
      <c r="E436" s="4" t="inlineStr"/>
      <c r="F436" s="3" t="inlineStr">
        <is>
          <t>funda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61.54</v>
      </c>
      <c r="L436" s="6" t="n">
        <v>61.54</v>
      </c>
      <c r="M436" s="6" t="n">
        <v>61.54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2026-09-09</t>
        </is>
      </c>
      <c r="Q436" s="4" t="inlineStr">
        <is>
          <t>Ferretería Ochoa (8A)</t>
        </is>
      </c>
      <c r="T436" s="7" t="n">
        <v>100</v>
      </c>
      <c r="AH436" s="4" t="inlineStr">
        <is>
          <t>espesor_mm: 3</t>
        </is>
      </c>
    </row>
    <row r="437">
      <c r="A437" s="3" t="inlineStr">
        <is>
          <t>MAT-08-255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Cruceta para cerámica 3 mm, funda de 200</t>
        </is>
      </c>
      <c r="E437" s="4" t="inlineStr"/>
      <c r="F437" s="3" t="inlineStr">
        <is>
          <t>funda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3</v>
      </c>
      <c r="K437" s="6" t="n">
        <v>252.59</v>
      </c>
      <c r="L437" s="6" t="n">
        <v>249.99</v>
      </c>
      <c r="M437" s="6" t="n">
        <v>340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Ferretería Cima · Ferretería Ochoa (8A) · La Ibérica</t>
        </is>
      </c>
      <c r="T437" s="7" t="n">
        <v>200</v>
      </c>
      <c r="AH437" s="4" t="inlineStr">
        <is>
          <t>espesor_mm: 3</t>
        </is>
      </c>
    </row>
    <row r="438">
      <c r="A438" s="3" t="inlineStr">
        <is>
          <t>MAT-08-256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Cruceta para cerámica 4 mm, funda de 100</t>
        </is>
      </c>
      <c r="E438" s="4" t="inlineStr"/>
      <c r="F438" s="3" t="inlineStr">
        <is>
          <t>funda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72.83</v>
      </c>
      <c r="L438" s="6" t="n">
        <v>72.83</v>
      </c>
      <c r="M438" s="6" t="n">
        <v>72.83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T438" s="7" t="n">
        <v>100</v>
      </c>
      <c r="AH438" s="4" t="inlineStr">
        <is>
          <t>espesor_mm: 4</t>
        </is>
      </c>
    </row>
    <row r="439">
      <c r="A439" s="3" t="inlineStr">
        <is>
          <t>MAT-08-257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Cruceta para cerámica 4 mm, funda de 200</t>
        </is>
      </c>
      <c r="E439" s="4" t="inlineStr"/>
      <c r="F439" s="3" t="inlineStr">
        <is>
          <t>funda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7235.96</v>
      </c>
      <c r="L439" s="6" t="n">
        <v>7235.96</v>
      </c>
      <c r="M439" s="6" t="n">
        <v>7235.96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T439" s="7" t="n">
        <v>200</v>
      </c>
      <c r="AH439" s="4" t="inlineStr">
        <is>
          <t>espesor_mm: 4</t>
        </is>
      </c>
    </row>
    <row r="440">
      <c r="A440" s="3" t="inlineStr">
        <is>
          <t>MAT-08-258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Cruceta para cerámica 5 mm, funda de 100</t>
        </is>
      </c>
      <c r="E440" s="4" t="inlineStr"/>
      <c r="F440" s="3" t="inlineStr">
        <is>
          <t>funda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2</v>
      </c>
      <c r="K440" s="6" t="n">
        <v>235.54</v>
      </c>
      <c r="L440" s="6" t="n">
        <v>81.06999999999999</v>
      </c>
      <c r="M440" s="6" t="n">
        <v>390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Cima · Ferretería Ochoa (8A)</t>
        </is>
      </c>
      <c r="T440" s="7" t="n">
        <v>100</v>
      </c>
      <c r="AH440" s="4" t="inlineStr">
        <is>
          <t>espesor_mm: 5</t>
        </is>
      </c>
    </row>
    <row r="441">
      <c r="A441" s="3" t="inlineStr">
        <is>
          <t>MAT-08-259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Cruceta para cerámica 6 mm, funda de 100</t>
        </is>
      </c>
      <c r="E441" s="4" t="inlineStr"/>
      <c r="F441" s="3" t="inlineStr">
        <is>
          <t>funda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78.89</v>
      </c>
      <c r="L441" s="6" t="n">
        <v>78.89</v>
      </c>
      <c r="M441" s="6" t="n">
        <v>78.89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T441" s="7" t="n">
        <v>100</v>
      </c>
      <c r="AH441" s="4" t="inlineStr">
        <is>
          <t>espesor_mm: 6</t>
        </is>
      </c>
    </row>
    <row r="442">
      <c r="A442" s="3" t="inlineStr">
        <is>
          <t>MAT-08-260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Calzo de nivelación para cerámica 0.5 mm</t>
        </is>
      </c>
      <c r="E442" s="4" t="inlineStr">
        <is>
          <t>La medida es la junta · la cuña va aparte</t>
        </is>
      </c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919.9400000000001</v>
      </c>
      <c r="L442" s="6" t="n">
        <v>919.9400000000001</v>
      </c>
      <c r="M442" s="6" t="n">
        <v>919.9400000000001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2026-09-09</t>
        </is>
      </c>
      <c r="Q442" s="4" t="inlineStr">
        <is>
          <t>Ferretería Ochoa (8A)</t>
        </is>
      </c>
      <c r="AH442" s="4" t="inlineStr">
        <is>
          <t>pieza: calzo · espesor_mm: 0.5</t>
        </is>
      </c>
    </row>
    <row r="443">
      <c r="A443" s="3" t="inlineStr">
        <is>
          <t>MAT-08-261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Calzo de nivelación para cerámica 1 mm</t>
        </is>
      </c>
      <c r="E443" s="4" t="inlineStr">
        <is>
          <t>La medida es la junta · la cuña va aparte</t>
        </is>
      </c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3</v>
      </c>
      <c r="K443" s="6" t="n">
        <v>767.39</v>
      </c>
      <c r="L443" s="6" t="n">
        <v>476.91</v>
      </c>
      <c r="M443" s="6" t="n">
        <v>1490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 · Ferretería Ochoa (8A) · La Ibérica</t>
        </is>
      </c>
      <c r="AH443" s="4" t="inlineStr">
        <is>
          <t>pieza: calzo · espesor_mm: 1</t>
        </is>
      </c>
    </row>
    <row r="444">
      <c r="A444" s="3" t="inlineStr">
        <is>
          <t>MAT-08-262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Calzo de nivelación para cerámica 1.5 mm</t>
        </is>
      </c>
      <c r="E444" s="4" t="inlineStr">
        <is>
          <t>La medida es la junta · la cuña va aparte</t>
        </is>
      </c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3</v>
      </c>
      <c r="K444" s="6" t="n">
        <v>487.49</v>
      </c>
      <c r="L444" s="6" t="n">
        <v>457.8</v>
      </c>
      <c r="M444" s="6" t="n">
        <v>1490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2026-09-10</t>
        </is>
      </c>
      <c r="Q444" s="4" t="inlineStr">
        <is>
          <t>CerArte · Ferretería Ochoa (8A) · La Ibérica</t>
        </is>
      </c>
      <c r="AH444" s="4" t="inlineStr">
        <is>
          <t>pieza: calzo · espesor_mm: 1.5</t>
        </is>
      </c>
    </row>
    <row r="445">
      <c r="A445" s="3" t="inlineStr">
        <is>
          <t>MAT-08-263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Calzo de nivelación para cerámica 2 mm</t>
        </is>
      </c>
      <c r="E445" s="4" t="inlineStr">
        <is>
          <t>La medida es la junta · la cuña va aparte</t>
        </is>
      </c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3</v>
      </c>
      <c r="K445" s="6" t="n">
        <v>1058.7</v>
      </c>
      <c r="L445" s="6" t="n">
        <v>476.91</v>
      </c>
      <c r="M445" s="6" t="n">
        <v>1789.99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 · Ferretería Ochoa (8A) · La Ibérica</t>
        </is>
      </c>
      <c r="AH445" s="4" t="inlineStr">
        <is>
          <t>pieza: calzo · espesor_mm: 2</t>
        </is>
      </c>
    </row>
    <row r="446">
      <c r="A446" s="3" t="inlineStr">
        <is>
          <t>MAT-08-264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Calzo de nivelación para cerámica 3 mm</t>
        </is>
      </c>
      <c r="E446" s="4" t="inlineStr">
        <is>
          <t>La medida es la junta · la cuña va aparte</t>
        </is>
      </c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2</v>
      </c>
      <c r="K446" s="6" t="n">
        <v>655.48</v>
      </c>
      <c r="L446" s="6" t="n">
        <v>437.5</v>
      </c>
      <c r="M446" s="6" t="n">
        <v>873.47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</t>
        </is>
      </c>
      <c r="AH446" s="4" t="inlineStr">
        <is>
          <t>pieza: calzo · espesor_mm: 3</t>
        </is>
      </c>
    </row>
    <row r="447">
      <c r="A447" s="3" t="inlineStr">
        <is>
          <t>MAT-08-265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Clip de nivelación para cerámica 1 mm</t>
        </is>
      </c>
      <c r="E447" s="4" t="inlineStr">
        <is>
          <t>La medida es la junta · la cuña va aparte</t>
        </is>
      </c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1094.69</v>
      </c>
      <c r="L447" s="6" t="n">
        <v>144.94</v>
      </c>
      <c r="M447" s="6" t="n">
        <v>3405.96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CerArte · Ferretería Ochoa (8A)</t>
        </is>
      </c>
      <c r="AH447" s="4" t="inlineStr">
        <is>
          <t>pieza: clip · espesor_mm: 1</t>
        </is>
      </c>
    </row>
    <row r="448">
      <c r="A448" s="3" t="inlineStr">
        <is>
          <t>MAT-08-266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Clip de nivelación para cerámica 1.5 mm</t>
        </is>
      </c>
      <c r="E448" s="4" t="inlineStr">
        <is>
          <t>La medida es la junta · la cuña va aparte</t>
        </is>
      </c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2</v>
      </c>
      <c r="K448" s="6" t="n">
        <v>219.97</v>
      </c>
      <c r="L448" s="6" t="n">
        <v>144.94</v>
      </c>
      <c r="M448" s="6" t="n">
        <v>295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Ferretería Ochoa (8A) · La Ibérica</t>
        </is>
      </c>
      <c r="AH448" s="4" t="inlineStr">
        <is>
          <t>pieza: clip · espesor_mm: 1.5</t>
        </is>
      </c>
    </row>
    <row r="449">
      <c r="A449" s="3" t="inlineStr">
        <is>
          <t>MAT-08-267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Clip de nivelación para cerámica 2 mm</t>
        </is>
      </c>
      <c r="E449" s="4" t="inlineStr">
        <is>
          <t>La medida es la junta · la cuña va aparte</t>
        </is>
      </c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3</v>
      </c>
      <c r="K449" s="6" t="n">
        <v>1768.33</v>
      </c>
      <c r="L449" s="6" t="n">
        <v>144.94</v>
      </c>
      <c r="M449" s="6" t="n">
        <v>3405.96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 · Ferretería Ochoa (8A) · La Ibérica</t>
        </is>
      </c>
      <c r="AH449" s="4" t="inlineStr">
        <is>
          <t>pieza: clip · espesor_mm: 2</t>
        </is>
      </c>
    </row>
    <row r="450">
      <c r="A450" s="3" t="inlineStr">
        <is>
          <t>MAT-08-268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Clip de nivelación para cerámica 3 mm</t>
        </is>
      </c>
      <c r="E450" s="4" t="inlineStr">
        <is>
          <t>La medida es la junta · la cuña va aparte</t>
        </is>
      </c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1758.39</v>
      </c>
      <c r="L450" s="6" t="n">
        <v>478.62</v>
      </c>
      <c r="M450" s="6" t="n">
        <v>3038.16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CerArte</t>
        </is>
      </c>
      <c r="AH450" s="4" t="inlineStr">
        <is>
          <t>pieza: clip · espesor_mm: 3</t>
        </is>
      </c>
    </row>
    <row r="451">
      <c r="A451" s="3" t="inlineStr">
        <is>
          <t>MAT-08-269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Cuña de nivelación para cerámica</t>
        </is>
      </c>
      <c r="E451" s="4" t="inlineStr">
        <is>
          <t>Aprieta calzos y clips de cualquier junta</t>
        </is>
      </c>
      <c r="F451" s="3" t="inlineStr">
        <is>
          <t>funda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602.14</v>
      </c>
      <c r="L451" s="6" t="n">
        <v>358.87</v>
      </c>
      <c r="M451" s="6" t="n">
        <v>845.41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H451" s="4" t="inlineStr">
        <is>
          <t>pieza: cuna · espesor_mm: 0</t>
        </is>
      </c>
    </row>
    <row r="452">
      <c r="A452" s="3" t="inlineStr">
        <is>
          <t>MAT-08-270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Panel de vinil para pared, 4.5 mm</t>
        </is>
      </c>
      <c r="E452" s="4" t="inlineStr"/>
      <c r="F452" s="3" t="inlineStr">
        <is>
          <t>m²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1274.57</v>
      </c>
      <c r="L452" s="6" t="n">
        <v>1012.06</v>
      </c>
      <c r="M452" s="6" t="n">
        <v>1537.07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CerArte</t>
        </is>
      </c>
      <c r="AG452" s="7" t="inlineStr">
        <is>
          <t>pared</t>
        </is>
      </c>
      <c r="AH452" s="4" t="inlineStr">
        <is>
          <t>espesor_mm: 4.5</t>
        </is>
      </c>
    </row>
    <row r="453">
      <c r="A453" s="3" t="inlineStr">
        <is>
          <t>MAT-08-271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Adoquín de hormigón tipo cuadrado</t>
        </is>
      </c>
      <c r="E453" s="4" t="inlineStr"/>
      <c r="F453" s="3" t="inlineStr">
        <is>
          <t>m²</t>
        </is>
      </c>
      <c r="G453" s="3" t="inlineStr">
        <is>
          <t>Exteriores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874.38</v>
      </c>
      <c r="L453" s="6" t="n">
        <v>874.38</v>
      </c>
      <c r="M453" s="6" t="n">
        <v>874.38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AH453" s="4" t="inlineStr">
        <is>
          <t>tipo: cuadrado · piezas_m2: 6.25</t>
        </is>
      </c>
    </row>
    <row r="454">
      <c r="A454" s="3" t="inlineStr">
        <is>
          <t>MAT-08-272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Adoquín de hormigón tipo flecha</t>
        </is>
      </c>
      <c r="E454" s="4" t="inlineStr"/>
      <c r="F454" s="3" t="inlineStr">
        <is>
          <t>m²</t>
        </is>
      </c>
      <c r="G454" s="3" t="inlineStr">
        <is>
          <t>Exteriores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812.28</v>
      </c>
      <c r="L454" s="6" t="n">
        <v>812.28</v>
      </c>
      <c r="M454" s="6" t="n">
        <v>812.28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Ochoa (8A)</t>
        </is>
      </c>
      <c r="AH454" s="4" t="inlineStr">
        <is>
          <t>tipo: flecha · piezas_m2: 42</t>
        </is>
      </c>
    </row>
    <row r="455">
      <c r="A455" s="3" t="inlineStr">
        <is>
          <t>MAT-08-273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Adoquín de hormigón tipo ladrillo</t>
        </is>
      </c>
      <c r="E455" s="4" t="inlineStr"/>
      <c r="F455" s="3" t="inlineStr">
        <is>
          <t>m²</t>
        </is>
      </c>
      <c r="G455" s="3" t="inlineStr">
        <is>
          <t>Exteriores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850</v>
      </c>
      <c r="L455" s="6" t="n">
        <v>850</v>
      </c>
      <c r="M455" s="6" t="n">
        <v>850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H455" s="4" t="inlineStr">
        <is>
          <t>tipo: ladrillo · piezas_m2: 50</t>
        </is>
      </c>
    </row>
    <row r="456">
      <c r="A456" s="3" t="inlineStr">
        <is>
          <t>MAT-08-274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Adoquín de hormigón tipo raqueta</t>
        </is>
      </c>
      <c r="E456" s="4" t="inlineStr"/>
      <c r="F456" s="3" t="inlineStr">
        <is>
          <t>m²</t>
        </is>
      </c>
      <c r="G456" s="3" t="inlineStr">
        <is>
          <t>Exteriores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872.87</v>
      </c>
      <c r="L456" s="6" t="n">
        <v>872.87</v>
      </c>
      <c r="M456" s="6" t="n">
        <v>872.87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H456" s="4" t="inlineStr">
        <is>
          <t>tipo: raqueta · piezas_m2: 38.25</t>
        </is>
      </c>
    </row>
    <row r="457">
      <c r="A457" s="3" t="inlineStr">
        <is>
          <t>MAT-08-275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Polvo de color para mosaico amarillo comercial, 1 lb</t>
        </is>
      </c>
      <c r="E457" s="4" t="inlineStr"/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1</v>
      </c>
      <c r="K457" s="6" t="n">
        <v>55.94</v>
      </c>
      <c r="L457" s="6" t="n">
        <v>55.94</v>
      </c>
      <c r="M457" s="6" t="n">
        <v>55.94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2026-09-09</t>
        </is>
      </c>
      <c r="Q457" s="4" t="inlineStr">
        <is>
          <t>Ferretería Ochoa (8A)</t>
        </is>
      </c>
    </row>
    <row r="458">
      <c r="A458" s="3" t="inlineStr">
        <is>
          <t>MAT-08-276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Polvo de color para mosaico amarillo industrial, 1 lb</t>
        </is>
      </c>
      <c r="E458" s="4" t="inlineStr"/>
      <c r="F458" s="3" t="inlineStr">
        <is>
          <t>unidad</t>
        </is>
      </c>
      <c r="G458" s="3" t="inlineStr">
        <is>
          <t>Pisos</t>
        </is>
      </c>
      <c r="H458" s="3" t="inlineStr">
        <is>
          <t>premium</t>
        </is>
      </c>
      <c r="I458" s="3" t="inlineStr">
        <is>
          <t>importado</t>
        </is>
      </c>
      <c r="J458" s="5" t="n">
        <v>1</v>
      </c>
      <c r="K458" s="6" t="n">
        <v>153.81</v>
      </c>
      <c r="L458" s="6" t="n">
        <v>153.81</v>
      </c>
      <c r="M458" s="6" t="n">
        <v>153.81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</row>
    <row r="459">
      <c r="A459" s="3" t="inlineStr">
        <is>
          <t>MAT-08-277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Polvo de color para mosaico azul comercial, 1 lb</t>
        </is>
      </c>
      <c r="E459" s="4" t="inlineStr"/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82.72</v>
      </c>
      <c r="L459" s="6" t="n">
        <v>82.72</v>
      </c>
      <c r="M459" s="6" t="n">
        <v>82.72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</row>
    <row r="460">
      <c r="A460" s="3" t="inlineStr">
        <is>
          <t>MAT-08-278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Polvo de color para mosaico azul industrial, 1 lb</t>
        </is>
      </c>
      <c r="E460" s="4" t="inlineStr"/>
      <c r="F460" s="3" t="inlineStr">
        <is>
          <t>unidad</t>
        </is>
      </c>
      <c r="G460" s="3" t="inlineStr">
        <is>
          <t>Pisos</t>
        </is>
      </c>
      <c r="H460" s="3" t="inlineStr">
        <is>
          <t>premium</t>
        </is>
      </c>
      <c r="I460" s="3" t="inlineStr">
        <is>
          <t>importado</t>
        </is>
      </c>
      <c r="J460" s="5" t="n">
        <v>1</v>
      </c>
      <c r="K460" s="6" t="n">
        <v>162.49</v>
      </c>
      <c r="L460" s="6" t="n">
        <v>162.49</v>
      </c>
      <c r="M460" s="6" t="n">
        <v>162.49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</row>
    <row r="461">
      <c r="A461" s="3" t="inlineStr">
        <is>
          <t>MAT-08-279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Polvo de color para mosaico negro comercial, 1 lb</t>
        </is>
      </c>
      <c r="E461" s="4" t="inlineStr"/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90.79000000000001</v>
      </c>
      <c r="L461" s="6" t="n">
        <v>90.79000000000001</v>
      </c>
      <c r="M461" s="6" t="n">
        <v>90.79000000000001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2026-09-09</t>
        </is>
      </c>
      <c r="Q461" s="4" t="inlineStr">
        <is>
          <t>Ferretería Ochoa (8A)</t>
        </is>
      </c>
    </row>
    <row r="462">
      <c r="A462" s="3" t="inlineStr">
        <is>
          <t>MAT-08-280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Polvo de color para mosaico negro industrial, 1 lb</t>
        </is>
      </c>
      <c r="E462" s="4" t="inlineStr"/>
      <c r="F462" s="3" t="inlineStr">
        <is>
          <t>unidad</t>
        </is>
      </c>
      <c r="G462" s="3" t="inlineStr">
        <is>
          <t>Pisos</t>
        </is>
      </c>
      <c r="H462" s="3" t="inlineStr">
        <is>
          <t>premium</t>
        </is>
      </c>
      <c r="I462" s="3" t="inlineStr">
        <is>
          <t>importado</t>
        </is>
      </c>
      <c r="J462" s="5" t="n">
        <v>1</v>
      </c>
      <c r="K462" s="6" t="n">
        <v>129.29</v>
      </c>
      <c r="L462" s="6" t="n">
        <v>129.29</v>
      </c>
      <c r="M462" s="6" t="n">
        <v>129.29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2026-09-09</t>
        </is>
      </c>
      <c r="Q462" s="4" t="inlineStr">
        <is>
          <t>Ferretería Ochoa (8A)</t>
        </is>
      </c>
    </row>
    <row r="463">
      <c r="A463" s="3" t="inlineStr">
        <is>
          <t>MAT-08-281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Polvo de color para mosaico rojo comercial, 1 lb</t>
        </is>
      </c>
      <c r="E463" s="4" t="inlineStr"/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66.5</v>
      </c>
      <c r="L463" s="6" t="n">
        <v>66.5</v>
      </c>
      <c r="M463" s="6" t="n">
        <v>66.5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</row>
    <row r="464">
      <c r="A464" s="3" t="inlineStr">
        <is>
          <t>MAT-08-282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Polvo de color para mosaico rojo industrial, 1 lb</t>
        </is>
      </c>
      <c r="E464" s="4" t="inlineStr"/>
      <c r="F464" s="3" t="inlineStr">
        <is>
          <t>unidad</t>
        </is>
      </c>
      <c r="G464" s="3" t="inlineStr">
        <is>
          <t>Pisos</t>
        </is>
      </c>
      <c r="H464" s="3" t="inlineStr">
        <is>
          <t>premium</t>
        </is>
      </c>
      <c r="I464" s="3" t="inlineStr">
        <is>
          <t>importado</t>
        </is>
      </c>
      <c r="J464" s="5" t="n">
        <v>1</v>
      </c>
      <c r="K464" s="6" t="n">
        <v>106.37</v>
      </c>
      <c r="L464" s="6" t="n">
        <v>106.37</v>
      </c>
      <c r="M464" s="6" t="n">
        <v>106.37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Ochoa (8A)</t>
        </is>
      </c>
    </row>
    <row r="465">
      <c r="A465" s="3" t="inlineStr">
        <is>
          <t>MAT-08-283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Polvo de color para mosaico verde comercial, 1 lb</t>
        </is>
      </c>
      <c r="E465" s="4" t="inlineStr"/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78.84</v>
      </c>
      <c r="L465" s="6" t="n">
        <v>78.84</v>
      </c>
      <c r="M465" s="6" t="n">
        <v>78.84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</row>
    <row r="466">
      <c r="A466" s="3" t="inlineStr">
        <is>
          <t>MAT-08-284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Polvo de color para mosaico verde industrial, 1 lb</t>
        </is>
      </c>
      <c r="E466" s="4" t="inlineStr"/>
      <c r="F466" s="3" t="inlineStr">
        <is>
          <t>unidad</t>
        </is>
      </c>
      <c r="G466" s="3" t="inlineStr">
        <is>
          <t>Pisos</t>
        </is>
      </c>
      <c r="H466" s="3" t="inlineStr">
        <is>
          <t>premium</t>
        </is>
      </c>
      <c r="I466" s="3" t="inlineStr">
        <is>
          <t>importado</t>
        </is>
      </c>
      <c r="J466" s="5" t="n">
        <v>1</v>
      </c>
      <c r="K466" s="6" t="n">
        <v>180.39</v>
      </c>
      <c r="L466" s="6" t="n">
        <v>180.39</v>
      </c>
      <c r="M466" s="6" t="n">
        <v>180.39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2026-09-09</t>
        </is>
      </c>
      <c r="Q466" s="4" t="inlineStr">
        <is>
          <t>Ferretería Ochoa (8A)</t>
        </is>
      </c>
    </row>
    <row r="467">
      <c r="A467" s="3" t="inlineStr">
        <is>
          <t>MAT-08-285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Polvo de color para mosaico amarillo industrial, 3 lb</t>
        </is>
      </c>
      <c r="E467" s="4" t="inlineStr"/>
      <c r="F467" s="3" t="inlineStr">
        <is>
          <t>unidad</t>
        </is>
      </c>
      <c r="G467" s="3" t="inlineStr">
        <is>
          <t>Pisos</t>
        </is>
      </c>
      <c r="H467" s="3" t="inlineStr">
        <is>
          <t>premium</t>
        </is>
      </c>
      <c r="I467" s="3" t="inlineStr">
        <is>
          <t>importado</t>
        </is>
      </c>
      <c r="J467" s="5" t="n">
        <v>1</v>
      </c>
      <c r="K467" s="6" t="n">
        <v>460.92</v>
      </c>
      <c r="L467" s="6" t="n">
        <v>460.92</v>
      </c>
      <c r="M467" s="6" t="n">
        <v>460.92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</row>
    <row r="468">
      <c r="A468" s="3" t="inlineStr">
        <is>
          <t>MAT-08-286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Polvo de color para mosaico amarillo comercial, 5 lb</t>
        </is>
      </c>
      <c r="E468" s="4" t="inlineStr"/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280.64</v>
      </c>
      <c r="L468" s="6" t="n">
        <v>280.64</v>
      </c>
      <c r="M468" s="6" t="n">
        <v>280.64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</row>
    <row r="469">
      <c r="A469" s="3" t="inlineStr">
        <is>
          <t>MAT-08-287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Polvo de color para mosaico azul comercial, 5 lb</t>
        </is>
      </c>
      <c r="E469" s="4" t="inlineStr"/>
      <c r="F469" s="3" t="inlineStr">
        <is>
          <t>unidad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367.96</v>
      </c>
      <c r="L469" s="6" t="n">
        <v>367.96</v>
      </c>
      <c r="M469" s="6" t="n">
        <v>367.96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</row>
    <row r="470">
      <c r="A470" s="3" t="inlineStr">
        <is>
          <t>MAT-08-288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Polvo de color para mosaico azul industrial, 5 lb</t>
        </is>
      </c>
      <c r="E470" s="4" t="inlineStr"/>
      <c r="F470" s="3" t="inlineStr">
        <is>
          <t>unidad</t>
        </is>
      </c>
      <c r="G470" s="3" t="inlineStr">
        <is>
          <t>Pisos</t>
        </is>
      </c>
      <c r="H470" s="3" t="inlineStr">
        <is>
          <t>premium</t>
        </is>
      </c>
      <c r="I470" s="3" t="inlineStr">
        <is>
          <t>importado</t>
        </is>
      </c>
      <c r="J470" s="5" t="n">
        <v>1</v>
      </c>
      <c r="K470" s="6" t="n">
        <v>813.47</v>
      </c>
      <c r="L470" s="6" t="n">
        <v>813.47</v>
      </c>
      <c r="M470" s="6" t="n">
        <v>813.47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</row>
    <row r="471">
      <c r="A471" s="3" t="inlineStr">
        <is>
          <t>MAT-08-289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negro comercial, 5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406.73</v>
      </c>
      <c r="L471" s="6" t="n">
        <v>406.73</v>
      </c>
      <c r="M471" s="6" t="n">
        <v>406.73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MAT-08-290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negro industrial, 5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premium</t>
        </is>
      </c>
      <c r="I472" s="3" t="inlineStr">
        <is>
          <t>importado</t>
        </is>
      </c>
      <c r="J472" s="5" t="n">
        <v>1</v>
      </c>
      <c r="K472" s="6" t="n">
        <v>647.51</v>
      </c>
      <c r="L472" s="6" t="n">
        <v>647.51</v>
      </c>
      <c r="M472" s="6" t="n">
        <v>647.51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MAT-08-291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rojo comercial, 5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333.56</v>
      </c>
      <c r="L473" s="6" t="n">
        <v>333.56</v>
      </c>
      <c r="M473" s="6" t="n">
        <v>333.56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MAT-08-292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rojo industrial, 5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premium</t>
        </is>
      </c>
      <c r="I474" s="3" t="inlineStr">
        <is>
          <t>importado</t>
        </is>
      </c>
      <c r="J474" s="5" t="n">
        <v>1</v>
      </c>
      <c r="K474" s="6" t="n">
        <v>472.9</v>
      </c>
      <c r="L474" s="6" t="n">
        <v>472.9</v>
      </c>
      <c r="M474" s="6" t="n">
        <v>472.9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MAT-08-293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verde comercial, 5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350.7</v>
      </c>
      <c r="L475" s="6" t="n">
        <v>350.7</v>
      </c>
      <c r="M475" s="6" t="n">
        <v>350.7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MAT-08-294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verde industrial, 5 lb</t>
        </is>
      </c>
      <c r="E476" s="4" t="inlineStr"/>
      <c r="F476" s="3" t="inlineStr">
        <is>
          <t>unidad</t>
        </is>
      </c>
      <c r="G476" s="3" t="inlineStr">
        <is>
          <t>Pisos</t>
        </is>
      </c>
      <c r="H476" s="3" t="inlineStr">
        <is>
          <t>premium</t>
        </is>
      </c>
      <c r="I476" s="3" t="inlineStr">
        <is>
          <t>importado</t>
        </is>
      </c>
      <c r="J476" s="5" t="n">
        <v>1</v>
      </c>
      <c r="K476" s="6" t="n">
        <v>902.88</v>
      </c>
      <c r="L476" s="6" t="n">
        <v>902.88</v>
      </c>
      <c r="M476" s="6" t="n">
        <v>902.88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MAT-08-295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amarillo comercial, 55 lb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3195.68</v>
      </c>
      <c r="L477" s="6" t="n">
        <v>3195.68</v>
      </c>
      <c r="M477" s="6" t="n">
        <v>3195.68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MAT-08-296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amarillo industrial, 55 lb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premium</t>
        </is>
      </c>
      <c r="I478" s="3" t="inlineStr">
        <is>
          <t>importado</t>
        </is>
      </c>
      <c r="J478" s="5" t="n">
        <v>1</v>
      </c>
      <c r="K478" s="6" t="n">
        <v>7742.13</v>
      </c>
      <c r="L478" s="6" t="n">
        <v>7742.13</v>
      </c>
      <c r="M478" s="6" t="n">
        <v>7742.13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MAT-08-297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azul comercial, 55 lb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4220.23</v>
      </c>
      <c r="L479" s="6" t="n">
        <v>4220.23</v>
      </c>
      <c r="M479" s="6" t="n">
        <v>4220.23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MAT-08-298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azul industrial, 55 lb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premium</t>
        </is>
      </c>
      <c r="I480" s="3" t="inlineStr">
        <is>
          <t>importado</t>
        </is>
      </c>
      <c r="J480" s="5" t="n">
        <v>1</v>
      </c>
      <c r="K480" s="6" t="n">
        <v>8183.45</v>
      </c>
      <c r="L480" s="6" t="n">
        <v>8183.45</v>
      </c>
      <c r="M480" s="6" t="n">
        <v>8183.45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MAT-08-299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negro comercial, 55 lb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1</v>
      </c>
      <c r="K481" s="6" t="n">
        <v>4640.79</v>
      </c>
      <c r="L481" s="6" t="n">
        <v>4640.79</v>
      </c>
      <c r="M481" s="6" t="n">
        <v>4640.79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MAT-08-300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negro industrial, 55 lb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premium</t>
        </is>
      </c>
      <c r="I482" s="3" t="inlineStr">
        <is>
          <t>importado</t>
        </is>
      </c>
      <c r="J482" s="5" t="n">
        <v>1</v>
      </c>
      <c r="K482" s="6" t="n">
        <v>6521.15</v>
      </c>
      <c r="L482" s="6" t="n">
        <v>6521.15</v>
      </c>
      <c r="M482" s="6" t="n">
        <v>6521.15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MAT-08-301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rojo comercial, 55 lb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3350.57</v>
      </c>
      <c r="L483" s="6" t="n">
        <v>3350.57</v>
      </c>
      <c r="M483" s="6" t="n">
        <v>3350.57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MAT-08-302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rojo industrial, 55 lb</t>
        </is>
      </c>
      <c r="E484" s="4" t="inlineStr"/>
      <c r="F484" s="3" t="inlineStr">
        <is>
          <t>funda</t>
        </is>
      </c>
      <c r="G484" s="3" t="inlineStr">
        <is>
          <t>Pisos</t>
        </is>
      </c>
      <c r="H484" s="3" t="inlineStr">
        <is>
          <t>premium</t>
        </is>
      </c>
      <c r="I484" s="3" t="inlineStr">
        <is>
          <t>importado</t>
        </is>
      </c>
      <c r="J484" s="5" t="n">
        <v>1</v>
      </c>
      <c r="K484" s="6" t="n">
        <v>5451.6</v>
      </c>
      <c r="L484" s="6" t="n">
        <v>5451.6</v>
      </c>
      <c r="M484" s="6" t="n">
        <v>5451.6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MAT-08-303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verde comercial, 55 lb</t>
        </is>
      </c>
      <c r="E485" s="4" t="inlineStr"/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4017.75</v>
      </c>
      <c r="L485" s="6" t="n">
        <v>4017.75</v>
      </c>
      <c r="M485" s="6" t="n">
        <v>4017.75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MAT-08-304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Polvo de color para mosaico verde industrial, 55 lb</t>
        </is>
      </c>
      <c r="E486" s="4" t="inlineStr"/>
      <c r="F486" s="3" t="inlineStr">
        <is>
          <t>funda</t>
        </is>
      </c>
      <c r="G486" s="3" t="inlineStr">
        <is>
          <t>Pisos</t>
        </is>
      </c>
      <c r="H486" s="3" t="inlineStr">
        <is>
          <t>premium</t>
        </is>
      </c>
      <c r="I486" s="3" t="inlineStr">
        <is>
          <t>importado</t>
        </is>
      </c>
      <c r="J486" s="5" t="n">
        <v>1</v>
      </c>
      <c r="K486" s="6" t="n">
        <v>9092.93</v>
      </c>
      <c r="L486" s="6" t="n">
        <v>9092.93</v>
      </c>
      <c r="M486" s="6" t="n">
        <v>9092.93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Ochoa (8A)</t>
        </is>
      </c>
    </row>
    <row r="487">
      <c r="A487" s="3" t="inlineStr">
        <is>
          <t>MAT-09-009</t>
        </is>
      </c>
      <c r="B487" s="3" t="inlineStr">
        <is>
          <t>Materiales</t>
        </is>
      </c>
      <c r="C487" s="3" t="inlineStr">
        <is>
          <t>Plomería, sanitarios y gas</t>
        </is>
      </c>
      <c r="D487" s="4" t="inlineStr">
        <is>
          <t>Cabezal de ducha</t>
        </is>
      </c>
      <c r="E487" s="4" t="inlineStr"/>
      <c r="F487" s="3" t="inlineStr">
        <is>
          <t>unidad</t>
        </is>
      </c>
      <c r="G487" s="3" t="inlineStr">
        <is>
          <t>Instalaciones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5</v>
      </c>
      <c r="K487" s="6" t="n">
        <v>1581</v>
      </c>
      <c r="L487" s="6" t="n">
        <v>126.44</v>
      </c>
      <c r="M487" s="6" t="n">
        <v>169410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Ferremix (Grupo Alterra) · Ferretería Cima · Ferretería Ochoa (8A) · La Ibérica</t>
        </is>
      </c>
    </row>
    <row r="488">
      <c r="A488" s="3" t="inlineStr">
        <is>
          <t>MAT-09-010</t>
        </is>
      </c>
      <c r="B488" s="3" t="inlineStr">
        <is>
          <t>Materiales</t>
        </is>
      </c>
      <c r="C488" s="3" t="inlineStr">
        <is>
          <t>Plomería, sanitarios y gas</t>
        </is>
      </c>
      <c r="D488" s="4" t="inlineStr">
        <is>
          <t>Ducha teléfono</t>
        </is>
      </c>
      <c r="E488" s="4" t="inlineStr"/>
      <c r="F488" s="3" t="inlineStr">
        <is>
          <t>unidad</t>
        </is>
      </c>
      <c r="G488" s="3" t="inlineStr">
        <is>
          <t>Instalaciones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4</v>
      </c>
      <c r="K488" s="6" t="n">
        <v>811.23</v>
      </c>
      <c r="L488" s="6" t="n">
        <v>267.91</v>
      </c>
      <c r="M488" s="6" t="n">
        <v>19666.08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Ferremix (Grupo Alterra) · Ferretería Cima · Ferretería Ochoa (8A)</t>
        </is>
      </c>
    </row>
    <row r="489">
      <c r="A489" s="3" t="inlineStr">
        <is>
          <t>MAT-09-011</t>
        </is>
      </c>
      <c r="B489" s="3" t="inlineStr">
        <is>
          <t>Materiales</t>
        </is>
      </c>
      <c r="C489" s="3" t="inlineStr">
        <is>
          <t>Plomería, sanitarios y gas</t>
        </is>
      </c>
      <c r="D489" s="4" t="inlineStr">
        <is>
          <t>Columna de ducha</t>
        </is>
      </c>
      <c r="E489" s="4" t="inlineStr"/>
      <c r="F489" s="3" t="inlineStr">
        <is>
          <t>unidad</t>
        </is>
      </c>
      <c r="G489" s="3" t="inlineStr">
        <is>
          <t>Instalaciones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4</v>
      </c>
      <c r="K489" s="6" t="n">
        <v>17325</v>
      </c>
      <c r="L489" s="6" t="n">
        <v>900</v>
      </c>
      <c r="M489" s="6" t="n">
        <v>179163.01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CerArte · Ferretería Cima · Ferretería Ochoa (8A) · La Ibérica</t>
        </is>
      </c>
    </row>
    <row r="490">
      <c r="A490" s="3" t="inlineStr">
        <is>
          <t>MAT-09-012</t>
        </is>
      </c>
      <c r="B490" s="3" t="inlineStr">
        <is>
          <t>Materiales</t>
        </is>
      </c>
      <c r="C490" s="3" t="inlineStr">
        <is>
          <t>Plomería, sanitarios y gas</t>
        </is>
      </c>
      <c r="D490" s="4" t="inlineStr">
        <is>
          <t>Columna de ducha</t>
        </is>
      </c>
      <c r="E490" s="4" t="inlineStr"/>
      <c r="F490" s="3" t="inlineStr">
        <is>
          <t>unidad</t>
        </is>
      </c>
      <c r="G490" s="3" t="inlineStr">
        <is>
          <t>Instalaciones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2</v>
      </c>
      <c r="K490" s="6" t="n">
        <v>9896.809999999999</v>
      </c>
      <c r="L490" s="6" t="n">
        <v>553.61</v>
      </c>
      <c r="M490" s="6" t="n">
        <v>29022.19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</t>
        </is>
      </c>
    </row>
    <row r="491">
      <c r="A491" s="3" t="inlineStr">
        <is>
          <t>MAT-09-013</t>
        </is>
      </c>
      <c r="B491" s="3" t="inlineStr">
        <is>
          <t>Materiales</t>
        </is>
      </c>
      <c r="C491" s="3" t="inlineStr">
        <is>
          <t>Plomería, sanitarios y gas</t>
        </is>
      </c>
      <c r="D491" s="4" t="inlineStr">
        <is>
          <t>Brazo de ducha</t>
        </is>
      </c>
      <c r="E491" s="4" t="inlineStr"/>
      <c r="F491" s="3" t="inlineStr">
        <is>
          <t>unidad</t>
        </is>
      </c>
      <c r="G491" s="3" t="inlineStr">
        <is>
          <t>Instalaciones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5</v>
      </c>
      <c r="K491" s="6" t="n">
        <v>1025</v>
      </c>
      <c r="L491" s="6" t="n">
        <v>108.23</v>
      </c>
      <c r="M491" s="6" t="n">
        <v>7015.01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 · Ferremix (Grupo Alterra) · Ferretería Cima · Ferretería Ochoa (8A) · La Ibérica</t>
        </is>
      </c>
    </row>
    <row r="492">
      <c r="A492" s="3" t="inlineStr">
        <is>
          <t>MAT-09-014</t>
        </is>
      </c>
      <c r="B492" s="3" t="inlineStr">
        <is>
          <t>Materiales</t>
        </is>
      </c>
      <c r="C492" s="3" t="inlineStr">
        <is>
          <t>Plomería, sanitarios y gas</t>
        </is>
      </c>
      <c r="D492" s="4" t="inlineStr">
        <is>
          <t>Mezcladora, de baño</t>
        </is>
      </c>
      <c r="E492" s="4" t="inlineStr"/>
      <c r="F492" s="3" t="inlineStr">
        <is>
          <t>unidad</t>
        </is>
      </c>
      <c r="G492" s="3" t="inlineStr">
        <is>
          <t>Instalaciones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4</v>
      </c>
      <c r="K492" s="6" t="n">
        <v>7550.01</v>
      </c>
      <c r="L492" s="6" t="n">
        <v>340</v>
      </c>
      <c r="M492" s="6" t="n">
        <v>83292.84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2026-09-10</t>
        </is>
      </c>
      <c r="Q492" s="4" t="inlineStr">
        <is>
          <t>CerArte · Ferremix (Grupo Alterra) · Ferretería Cima · La Ibérica</t>
        </is>
      </c>
      <c r="AG492" s="7" t="inlineStr">
        <is>
          <t>bano</t>
        </is>
      </c>
      <c r="AH492" s="4" t="inlineStr">
        <is>
          <t>Activación: manual</t>
        </is>
      </c>
    </row>
    <row r="493">
      <c r="A493" s="3" t="inlineStr">
        <is>
          <t>MAT-09-015</t>
        </is>
      </c>
      <c r="B493" s="3" t="inlineStr">
        <is>
          <t>Materiales</t>
        </is>
      </c>
      <c r="C493" s="3" t="inlineStr">
        <is>
          <t>Plomería, sanitarios y gas</t>
        </is>
      </c>
      <c r="D493" s="4" t="inlineStr">
        <is>
          <t>Mezcladora, de baño, con sensor</t>
        </is>
      </c>
      <c r="E493" s="4" t="inlineStr"/>
      <c r="F493" s="3" t="inlineStr">
        <is>
          <t>unidad</t>
        </is>
      </c>
      <c r="G493" s="3" t="inlineStr">
        <is>
          <t>Instalaciones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3</v>
      </c>
      <c r="K493" s="6" t="n">
        <v>6499.99</v>
      </c>
      <c r="L493" s="6" t="n">
        <v>740</v>
      </c>
      <c r="M493" s="6" t="n">
        <v>38069.93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 · Ferremix (Grupo Alterra) · La Ibérica</t>
        </is>
      </c>
      <c r="AG493" s="7" t="inlineStr">
        <is>
          <t>bano</t>
        </is>
      </c>
      <c r="AH493" s="4" t="inlineStr">
        <is>
          <t>Activación: sensor</t>
        </is>
      </c>
    </row>
    <row r="494">
      <c r="A494" s="3" t="inlineStr">
        <is>
          <t>MAT-09-016</t>
        </is>
      </c>
      <c r="B494" s="3" t="inlineStr">
        <is>
          <t>Materiales</t>
        </is>
      </c>
      <c r="C494" s="3" t="inlineStr">
        <is>
          <t>Plomería, sanitarios y gas</t>
        </is>
      </c>
      <c r="D494" s="4" t="inlineStr">
        <is>
          <t>Mezcladora, de fregadero</t>
        </is>
      </c>
      <c r="E494" s="4" t="inlineStr"/>
      <c r="F494" s="3" t="inlineStr">
        <is>
          <t>unidad</t>
        </is>
      </c>
      <c r="G494" s="3" t="inlineStr">
        <is>
          <t>Instalaciones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4</v>
      </c>
      <c r="K494" s="6" t="n">
        <v>3950</v>
      </c>
      <c r="L494" s="6" t="n">
        <v>230</v>
      </c>
      <c r="M494" s="6" t="n">
        <v>53263.37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CerArte · Ferremix (Grupo Alterra) · Ferretería Cima · La Ibérica</t>
        </is>
      </c>
      <c r="AG494" s="7" t="inlineStr">
        <is>
          <t>fregadero</t>
        </is>
      </c>
      <c r="AH494" s="4" t="inlineStr">
        <is>
          <t>Activación: manual</t>
        </is>
      </c>
    </row>
    <row r="495">
      <c r="A495" s="3" t="inlineStr">
        <is>
          <t>MAT-09-017</t>
        </is>
      </c>
      <c r="B495" s="3" t="inlineStr">
        <is>
          <t>Materiales</t>
        </is>
      </c>
      <c r="C495" s="3" t="inlineStr">
        <is>
          <t>Plomería, sanitarios y gas</t>
        </is>
      </c>
      <c r="D495" s="4" t="inlineStr">
        <is>
          <t>Mezcladora de ducha</t>
        </is>
      </c>
      <c r="E495" s="4" t="inlineStr"/>
      <c r="F495" s="3" t="inlineStr">
        <is>
          <t>unidad</t>
        </is>
      </c>
      <c r="G495" s="3" t="inlineStr">
        <is>
          <t>Instalaciones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5</v>
      </c>
      <c r="K495" s="6" t="n">
        <v>10950</v>
      </c>
      <c r="L495" s="6" t="n">
        <v>945</v>
      </c>
      <c r="M495" s="6" t="n">
        <v>92472.53999999999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CerArte · Ferremix (Grupo Alterra) · Ferretería Cima · Ferretería Ochoa (8A) · La Ibérica</t>
        </is>
      </c>
    </row>
    <row r="496">
      <c r="A496" s="3" t="inlineStr">
        <is>
          <t>MAT-09-018</t>
        </is>
      </c>
      <c r="B496" s="3" t="inlineStr">
        <is>
          <t>Materiales</t>
        </is>
      </c>
      <c r="C496" s="3" t="inlineStr">
        <is>
          <t>Plomería, sanitarios y gas</t>
        </is>
      </c>
      <c r="D496" s="4" t="inlineStr">
        <is>
          <t>Manguera para ducha teléfono</t>
        </is>
      </c>
      <c r="E496" s="4" t="inlineStr"/>
      <c r="F496" s="3" t="inlineStr">
        <is>
          <t>unidad</t>
        </is>
      </c>
      <c r="G496" s="3" t="inlineStr">
        <is>
          <t>Instalaciones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3</v>
      </c>
      <c r="K496" s="6" t="n">
        <v>747.45</v>
      </c>
      <c r="L496" s="6" t="n">
        <v>256.18</v>
      </c>
      <c r="M496" s="6" t="n">
        <v>2460.71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 · Ferretería Cima · Ferretería Ochoa (8A)</t>
        </is>
      </c>
    </row>
    <row r="497">
      <c r="A497" s="3" t="inlineStr">
        <is>
          <t>MAT-09-019</t>
        </is>
      </c>
      <c r="B497" s="3" t="inlineStr">
        <is>
          <t>Materiales</t>
        </is>
      </c>
      <c r="C497" s="3" t="inlineStr">
        <is>
          <t>Plomería, sanitarios y gas</t>
        </is>
      </c>
      <c r="D497" s="4" t="inlineStr">
        <is>
          <t>Regulador de gas de doble tanque</t>
        </is>
      </c>
      <c r="E497" s="4" t="inlineStr"/>
      <c r="F497" s="3" t="inlineStr">
        <is>
          <t>unidad</t>
        </is>
      </c>
      <c r="G497" s="3" t="inlineStr">
        <is>
          <t>Instalaciones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1139</v>
      </c>
      <c r="L497" s="6" t="n">
        <v>1139</v>
      </c>
      <c r="M497" s="6" t="n">
        <v>1139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Cima</t>
        </is>
      </c>
      <c r="AH497" s="4" t="inlineStr">
        <is>
          <t>tipo: de doble tanque</t>
        </is>
      </c>
    </row>
    <row r="498">
      <c r="A498" s="3" t="inlineStr">
        <is>
          <t>MAT-09-020</t>
        </is>
      </c>
      <c r="B498" s="3" t="inlineStr">
        <is>
          <t>Materiales</t>
        </is>
      </c>
      <c r="C498" s="3" t="inlineStr">
        <is>
          <t>Plomería, sanitarios y gas</t>
        </is>
      </c>
      <c r="D498" s="4" t="inlineStr">
        <is>
          <t>Regulador de gas grande</t>
        </is>
      </c>
      <c r="E498" s="4" t="inlineStr"/>
      <c r="F498" s="3" t="inlineStr">
        <is>
          <t>unidad</t>
        </is>
      </c>
      <c r="G498" s="3" t="inlineStr">
        <is>
          <t>Instalaciones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656</v>
      </c>
      <c r="L498" s="6" t="n">
        <v>326</v>
      </c>
      <c r="M498" s="6" t="n">
        <v>1315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Cima</t>
        </is>
      </c>
      <c r="AH498" s="4" t="inlineStr">
        <is>
          <t>tipo: grande</t>
        </is>
      </c>
    </row>
    <row r="499">
      <c r="A499" s="3" t="inlineStr">
        <is>
          <t>MAT-09-021</t>
        </is>
      </c>
      <c r="B499" s="3" t="inlineStr">
        <is>
          <t>Materiales</t>
        </is>
      </c>
      <c r="C499" s="3" t="inlineStr">
        <is>
          <t>Plomería, sanitarios y gas</t>
        </is>
      </c>
      <c r="D499" s="4" t="inlineStr">
        <is>
          <t>Regulador de gas pequeño</t>
        </is>
      </c>
      <c r="E499" s="4" t="inlineStr"/>
      <c r="F499" s="3" t="inlineStr">
        <is>
          <t>unidad</t>
        </is>
      </c>
      <c r="G499" s="3" t="inlineStr">
        <is>
          <t>Instalaciones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509.5</v>
      </c>
      <c r="L499" s="6" t="n">
        <v>259</v>
      </c>
      <c r="M499" s="6" t="n">
        <v>760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Cima</t>
        </is>
      </c>
      <c r="AH499" s="4" t="inlineStr">
        <is>
          <t>tipo: pequeño</t>
        </is>
      </c>
    </row>
    <row r="500">
      <c r="A500" s="3" t="inlineStr">
        <is>
          <t>MAT-09-022</t>
        </is>
      </c>
      <c r="B500" s="3" t="inlineStr">
        <is>
          <t>Materiales</t>
        </is>
      </c>
      <c r="C500" s="3" t="inlineStr">
        <is>
          <t>Plomería, sanitarios y gas</t>
        </is>
      </c>
      <c r="D500" s="4" t="inlineStr">
        <is>
          <t>Pig tail para conexión de gas</t>
        </is>
      </c>
      <c r="E500" s="4" t="inlineStr">
        <is>
          <t>Del tanque al regulador</t>
        </is>
      </c>
      <c r="F500" s="3" t="inlineStr">
        <is>
          <t>unidad</t>
        </is>
      </c>
      <c r="G500" s="3" t="inlineStr">
        <is>
          <t>Instalaciones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489.5</v>
      </c>
      <c r="L500" s="6" t="n">
        <v>299</v>
      </c>
      <c r="M500" s="6" t="n">
        <v>1095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Cima</t>
        </is>
      </c>
    </row>
    <row r="501">
      <c r="A501" s="3" t="inlineStr">
        <is>
          <t>MAT-09-023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Llave para tanque de gas 7/8"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377</v>
      </c>
      <c r="L501" s="6" t="n">
        <v>377</v>
      </c>
      <c r="M501" s="6" t="n">
        <v>377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Cima</t>
        </is>
      </c>
      <c r="AH501" s="4" t="inlineStr">
        <is>
          <t>medida: 7/8"</t>
        </is>
      </c>
    </row>
    <row r="502">
      <c r="A502" s="3" t="inlineStr">
        <is>
          <t>MAT-09-024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Bomba centrífuga de 1 1/3 HP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11205</v>
      </c>
      <c r="L502" s="6" t="n">
        <v>11205</v>
      </c>
      <c r="M502" s="6" t="n">
        <v>11205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2026-09-10</t>
        </is>
      </c>
      <c r="Q502" s="4" t="inlineStr">
        <is>
          <t>Ferremix (Grupo Alterra)</t>
        </is>
      </c>
      <c r="AH502" s="4" t="inlineStr">
        <is>
          <t>tipo: centrífuga · hp: 1 1/3</t>
        </is>
      </c>
    </row>
    <row r="503">
      <c r="A503" s="3" t="inlineStr">
        <is>
          <t>MAT-09-025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Bomba centrífuga de 1/2 HP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7989</v>
      </c>
      <c r="L503" s="6" t="n">
        <v>7989</v>
      </c>
      <c r="M503" s="6" t="n">
        <v>7989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2026-09-10</t>
        </is>
      </c>
      <c r="Q503" s="4" t="inlineStr">
        <is>
          <t>Ferremix (Grupo Alterra)</t>
        </is>
      </c>
      <c r="AH503" s="4" t="inlineStr">
        <is>
          <t>tipo: centrífuga · hp: 1/2</t>
        </is>
      </c>
    </row>
    <row r="504">
      <c r="A504" s="3" t="inlineStr">
        <is>
          <t>MAT-09-026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Bomba centrífuga de 15 HP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30539</v>
      </c>
      <c r="L504" s="6" t="n">
        <v>30539</v>
      </c>
      <c r="M504" s="6" t="n">
        <v>30539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Ferremix (Grupo Alterra)</t>
        </is>
      </c>
      <c r="AH504" s="4" t="inlineStr">
        <is>
          <t>tipo: centrífuga · hp: 15</t>
        </is>
      </c>
    </row>
    <row r="505">
      <c r="A505" s="3" t="inlineStr">
        <is>
          <t>MAT-09-027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Bomba centrífuga de 3/4 HP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8672</v>
      </c>
      <c r="L505" s="6" t="n">
        <v>7849</v>
      </c>
      <c r="M505" s="6" t="n">
        <v>9495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Ferremix (Grupo Alterra)</t>
        </is>
      </c>
      <c r="AH505" s="4" t="inlineStr">
        <is>
          <t>tipo: centrífuga · hp: 3/4</t>
        </is>
      </c>
    </row>
    <row r="506">
      <c r="A506" s="3" t="inlineStr">
        <is>
          <t>MAT-09-028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Bomba centrífuga de 6 1/2 HP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13189</v>
      </c>
      <c r="L506" s="6" t="n">
        <v>13189</v>
      </c>
      <c r="M506" s="6" t="n">
        <v>13189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Ferremix (Grupo Alterra)</t>
        </is>
      </c>
      <c r="AH506" s="4" t="inlineStr">
        <is>
          <t>tipo: centrífuga · hp: 6 1/2</t>
        </is>
      </c>
    </row>
    <row r="507">
      <c r="A507" s="3" t="inlineStr">
        <is>
          <t>MAT-09-029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Bomba de cisterna de 1/2 HP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7106</v>
      </c>
      <c r="L507" s="6" t="n">
        <v>7106</v>
      </c>
      <c r="M507" s="6" t="n">
        <v>7106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H507" s="4" t="inlineStr">
        <is>
          <t>tipo: de cisterna · hp: 1/2</t>
        </is>
      </c>
    </row>
    <row r="508">
      <c r="A508" s="3" t="inlineStr">
        <is>
          <t>MAT-09-030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Bomba ladrona de 1/2 HP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3957</v>
      </c>
      <c r="L508" s="6" t="n">
        <v>2670</v>
      </c>
      <c r="M508" s="6" t="n">
        <v>6300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H508" s="4" t="inlineStr">
        <is>
          <t>tipo: ladrona · hp: 1/2</t>
        </is>
      </c>
    </row>
    <row r="509">
      <c r="A509" s="3" t="inlineStr">
        <is>
          <t>MAT-09-031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Bomba periférica de 1 HP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5719</v>
      </c>
      <c r="L509" s="6" t="n">
        <v>5719</v>
      </c>
      <c r="M509" s="6" t="n">
        <v>5719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2026-09-10</t>
        </is>
      </c>
      <c r="Q509" s="4" t="inlineStr">
        <is>
          <t>Ferremix (Grupo Alterra)</t>
        </is>
      </c>
      <c r="AH509" s="4" t="inlineStr">
        <is>
          <t>tipo: periférica · hp: 1</t>
        </is>
      </c>
    </row>
    <row r="510">
      <c r="A510" s="3" t="inlineStr">
        <is>
          <t>MAT-09-032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Bomba periférica de 1/2 HP</t>
        </is>
      </c>
      <c r="E510" s="4" t="inlineStr"/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1995</v>
      </c>
      <c r="L510" s="6" t="n">
        <v>1995</v>
      </c>
      <c r="M510" s="6" t="n">
        <v>1995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2026-09-10</t>
        </is>
      </c>
      <c r="Q510" s="4" t="inlineStr">
        <is>
          <t>Ferremix (Grupo Alterra)</t>
        </is>
      </c>
      <c r="AH510" s="4" t="inlineStr">
        <is>
          <t>tipo: periférica · hp: 1/2</t>
        </is>
      </c>
    </row>
    <row r="511">
      <c r="A511" s="3" t="inlineStr">
        <is>
          <t>MAT-09-033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Bomba periférica de 3/4 HP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5079</v>
      </c>
      <c r="L511" s="6" t="n">
        <v>5079</v>
      </c>
      <c r="M511" s="6" t="n">
        <v>5079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2026-09-10</t>
        </is>
      </c>
      <c r="Q511" s="4" t="inlineStr">
        <is>
          <t>Ferremix (Grupo Alterra)</t>
        </is>
      </c>
      <c r="AH511" s="4" t="inlineStr">
        <is>
          <t>tipo: periférica · hp: 3/4</t>
        </is>
      </c>
    </row>
    <row r="512">
      <c r="A512" s="3" t="inlineStr">
        <is>
          <t>MAT-09-034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presurizadora de 1/2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5075</v>
      </c>
      <c r="L512" s="6" t="n">
        <v>5075</v>
      </c>
      <c r="M512" s="6" t="n">
        <v>5075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Cima</t>
        </is>
      </c>
      <c r="AH512" s="4" t="inlineStr">
        <is>
          <t>tipo: presurizadora · hp: 1/2</t>
        </is>
      </c>
    </row>
    <row r="513">
      <c r="A513" s="3" t="inlineStr">
        <is>
          <t>MAT-09-035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presurizadora de 1/3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4914</v>
      </c>
      <c r="L513" s="6" t="n">
        <v>4914</v>
      </c>
      <c r="M513" s="6" t="n">
        <v>4914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Cima</t>
        </is>
      </c>
      <c r="AH513" s="4" t="inlineStr">
        <is>
          <t>tipo: presurizadora · hp: 1/3</t>
        </is>
      </c>
    </row>
    <row r="514">
      <c r="A514" s="3" t="inlineStr">
        <is>
          <t>MAT-09-036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presurizadora de 1/6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2911</v>
      </c>
      <c r="L514" s="6" t="n">
        <v>2911</v>
      </c>
      <c r="M514" s="6" t="n">
        <v>2911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Cima</t>
        </is>
      </c>
      <c r="AH514" s="4" t="inlineStr">
        <is>
          <t>tipo: presurizadora · hp: 1/6</t>
        </is>
      </c>
    </row>
    <row r="515">
      <c r="A515" s="3" t="inlineStr">
        <is>
          <t>MAT-09-037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Bomba sumergible de 1 HP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5255</v>
      </c>
      <c r="L515" s="6" t="n">
        <v>1920</v>
      </c>
      <c r="M515" s="6" t="n">
        <v>13220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2026-09-10</t>
        </is>
      </c>
      <c r="Q515" s="4" t="inlineStr">
        <is>
          <t>Ferremix (Grupo Alterra)</t>
        </is>
      </c>
      <c r="AH515" s="4" t="inlineStr">
        <is>
          <t>tipo: sumergible · hp: 1</t>
        </is>
      </c>
    </row>
    <row r="516">
      <c r="A516" s="3" t="inlineStr">
        <is>
          <t>MAT-09-038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Bomba sumergible de 1 1/2 HP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14569</v>
      </c>
      <c r="L516" s="6" t="n">
        <v>14569</v>
      </c>
      <c r="M516" s="6" t="n">
        <v>14569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2026-09-10</t>
        </is>
      </c>
      <c r="Q516" s="4" t="inlineStr">
        <is>
          <t>Ferremix (Grupo Alterra)</t>
        </is>
      </c>
      <c r="AH516" s="4" t="inlineStr">
        <is>
          <t>tipo: sumergible · hp: 1 1/2</t>
        </is>
      </c>
    </row>
    <row r="517">
      <c r="A517" s="3" t="inlineStr">
        <is>
          <t>MAT-09-039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Bomba sumergible de 1/2 HP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8607</v>
      </c>
      <c r="L517" s="6" t="n">
        <v>2835</v>
      </c>
      <c r="M517" s="6" t="n">
        <v>9595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2026-09-10</t>
        </is>
      </c>
      <c r="Q517" s="4" t="inlineStr">
        <is>
          <t>Ferremix (Grupo Alterra)</t>
        </is>
      </c>
      <c r="AH517" s="4" t="inlineStr">
        <is>
          <t>tipo: sumergible · hp: 1/2</t>
        </is>
      </c>
    </row>
    <row r="518">
      <c r="A518" s="3" t="inlineStr">
        <is>
          <t>MAT-09-040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Bomba sumergible de 2 HP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16615</v>
      </c>
      <c r="L518" s="6" t="n">
        <v>16615</v>
      </c>
      <c r="M518" s="6" t="n">
        <v>16615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2026-09-10</t>
        </is>
      </c>
      <c r="Q518" s="4" t="inlineStr">
        <is>
          <t>Ferremix (Grupo Alterra)</t>
        </is>
      </c>
      <c r="AH518" s="4" t="inlineStr">
        <is>
          <t>tipo: sumergible · hp: 2</t>
        </is>
      </c>
    </row>
    <row r="519">
      <c r="A519" s="3" t="inlineStr">
        <is>
          <t>MAT-09-041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Bomba sumergible de 3/4 HP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2999</v>
      </c>
      <c r="L519" s="6" t="n">
        <v>2999</v>
      </c>
      <c r="M519" s="6" t="n">
        <v>2999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2026-09-10</t>
        </is>
      </c>
      <c r="Q519" s="4" t="inlineStr">
        <is>
          <t>Ferremix (Grupo Alterra)</t>
        </is>
      </c>
      <c r="AH519" s="4" t="inlineStr">
        <is>
          <t>tipo: sumergible · hp: 3/4</t>
        </is>
      </c>
    </row>
    <row r="520">
      <c r="A520" s="3" t="inlineStr">
        <is>
          <t>MAT-09-042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Tanque presurizado de 24 litros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1825</v>
      </c>
      <c r="L520" s="6" t="n">
        <v>1825</v>
      </c>
      <c r="M520" s="6" t="n">
        <v>1825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Cima</t>
        </is>
      </c>
      <c r="AH520" s="4" t="inlineStr">
        <is>
          <t>litros: 24</t>
        </is>
      </c>
    </row>
    <row r="521">
      <c r="A521" s="3" t="inlineStr">
        <is>
          <t>MAT-09-043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Interruptor automático de presión 20–40 PSI</t>
        </is>
      </c>
      <c r="E521" s="4" t="inlineStr"/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1666</v>
      </c>
      <c r="L521" s="6" t="n">
        <v>1666</v>
      </c>
      <c r="M521" s="6" t="n">
        <v>1666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Cima</t>
        </is>
      </c>
      <c r="AH521" s="4" t="inlineStr">
        <is>
          <t>rango: 20–40</t>
        </is>
      </c>
    </row>
    <row r="522">
      <c r="A522" s="3" t="inlineStr">
        <is>
          <t>MAT-09-044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Interruptor automático de presión 30–50 PSI</t>
        </is>
      </c>
      <c r="E522" s="4" t="inlineStr"/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1631</v>
      </c>
      <c r="L522" s="6" t="n">
        <v>1631</v>
      </c>
      <c r="M522" s="6" t="n">
        <v>1631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H522" s="4" t="inlineStr">
        <is>
          <t>rango: 30–50</t>
        </is>
      </c>
    </row>
    <row r="523">
      <c r="A523" s="3" t="inlineStr">
        <is>
          <t>MAT-09-045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Interruptor automático de presión 40–60 PSI</t>
        </is>
      </c>
      <c r="E523" s="4" t="inlineStr"/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1688</v>
      </c>
      <c r="L523" s="6" t="n">
        <v>1688</v>
      </c>
      <c r="M523" s="6" t="n">
        <v>1688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H523" s="4" t="inlineStr">
        <is>
          <t>rango: 40–60</t>
        </is>
      </c>
    </row>
    <row r="524">
      <c r="A524" s="3" t="inlineStr">
        <is>
          <t>MAT-09-046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Interruptor de flotante eléctrico</t>
        </is>
      </c>
      <c r="E524" s="4" t="inlineStr"/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1072</v>
      </c>
      <c r="L524" s="6" t="n">
        <v>690</v>
      </c>
      <c r="M524" s="6" t="n">
        <v>1454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</row>
    <row r="525">
      <c r="A525" s="3" t="inlineStr">
        <is>
          <t>MAT-09-047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Control automático de bomba 1"</t>
        </is>
      </c>
      <c r="E525" s="4" t="inlineStr"/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3178</v>
      </c>
      <c r="L525" s="6" t="n">
        <v>3178</v>
      </c>
      <c r="M525" s="6" t="n">
        <v>3178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Cima</t>
        </is>
      </c>
      <c r="AH525" s="4" t="inlineStr">
        <is>
          <t>medida: 1"</t>
        </is>
      </c>
    </row>
    <row r="526">
      <c r="A526" s="3" t="inlineStr">
        <is>
          <t>MAT-09-048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Manómetro de glicerina de 150 PSI</t>
        </is>
      </c>
      <c r="E526" s="4" t="inlineStr">
        <is>
          <t>El de glicerina aguanta la vibración de la bomba</t>
        </is>
      </c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990</v>
      </c>
      <c r="L526" s="6" t="n">
        <v>990</v>
      </c>
      <c r="M526" s="6" t="n">
        <v>990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Cima</t>
        </is>
      </c>
      <c r="AH526" s="4" t="inlineStr">
        <is>
          <t>psi: 150 · tipo: de glicerina</t>
        </is>
      </c>
    </row>
    <row r="527">
      <c r="A527" s="3" t="inlineStr">
        <is>
          <t>MAT-09-049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Manómetro de glicerina de 90 PSI</t>
        </is>
      </c>
      <c r="E527" s="4" t="inlineStr">
        <is>
          <t>El de glicerina aguanta la vibración de la bomba</t>
        </is>
      </c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905</v>
      </c>
      <c r="L527" s="6" t="n">
        <v>905</v>
      </c>
      <c r="M527" s="6" t="n">
        <v>905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Cima</t>
        </is>
      </c>
      <c r="AH527" s="4" t="inlineStr">
        <is>
          <t>psi: 90 · tipo: de glicerina</t>
        </is>
      </c>
    </row>
    <row r="528">
      <c r="A528" s="3" t="inlineStr">
        <is>
          <t>MAT-09-050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Manómetro seco de 90 PSI</t>
        </is>
      </c>
      <c r="E528" s="4" t="inlineStr">
        <is>
          <t>El de glicerina aguanta la vibración de la bomba</t>
        </is>
      </c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407</v>
      </c>
      <c r="L528" s="6" t="n">
        <v>407</v>
      </c>
      <c r="M528" s="6" t="n">
        <v>407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Cima</t>
        </is>
      </c>
      <c r="AH528" s="4" t="inlineStr">
        <is>
          <t>psi: 90 · tipo: seco</t>
        </is>
      </c>
    </row>
    <row r="529">
      <c r="A529" s="3" t="inlineStr">
        <is>
          <t>MAT-09-051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Calentador de agua a gas de 8 litros por minuto</t>
        </is>
      </c>
      <c r="E529" s="4" t="inlineStr">
        <is>
          <t>De paso</t>
        </is>
      </c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10670</v>
      </c>
      <c r="L529" s="6" t="n">
        <v>5395</v>
      </c>
      <c r="M529" s="6" t="n">
        <v>15945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Cima</t>
        </is>
      </c>
      <c r="AH529" s="4" t="inlineStr">
        <is>
          <t>energia: a gas · capacidad: 8 litros por minuto</t>
        </is>
      </c>
    </row>
    <row r="530">
      <c r="A530" s="3" t="inlineStr">
        <is>
          <t>MAT-09-052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Calentador de agua eléctrico de 6 galones</t>
        </is>
      </c>
      <c r="E530" s="4" t="inlineStr">
        <is>
          <t>De acumulación</t>
        </is>
      </c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10291</v>
      </c>
      <c r="L530" s="6" t="n">
        <v>10291</v>
      </c>
      <c r="M530" s="6" t="n">
        <v>10291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H530" s="4" t="inlineStr">
        <is>
          <t>energia: eléctrico · capacidad: 6 galones</t>
        </is>
      </c>
    </row>
    <row r="531">
      <c r="A531" s="3" t="inlineStr">
        <is>
          <t>MAT-09-053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Calentador de agua eléctrico de 7 kW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20503</v>
      </c>
      <c r="L531" s="6" t="n">
        <v>20503</v>
      </c>
      <c r="M531" s="6" t="n">
        <v>20503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H531" s="4" t="inlineStr">
        <is>
          <t>energia: eléctrico · capacidad: 7 kW</t>
        </is>
      </c>
    </row>
    <row r="532">
      <c r="A532" s="3" t="inlineStr">
        <is>
          <t>MAT-09-054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Calentador de agua eléctrico de 8 galones</t>
        </is>
      </c>
      <c r="E532" s="4" t="inlineStr">
        <is>
          <t>De acumulación</t>
        </is>
      </c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11717</v>
      </c>
      <c r="L532" s="6" t="n">
        <v>11717</v>
      </c>
      <c r="M532" s="6" t="n">
        <v>11717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H532" s="4" t="inlineStr">
        <is>
          <t>energia: eléctrico · capacidad: 8 galones</t>
        </is>
      </c>
    </row>
    <row r="533">
      <c r="A533" s="3" t="inlineStr">
        <is>
          <t>MAT-09-055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Cisterna de fibra de vidrio de 120 galones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17755</v>
      </c>
      <c r="L533" s="6" t="n">
        <v>17755</v>
      </c>
      <c r="M533" s="6" t="n">
        <v>17755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Cima</t>
        </is>
      </c>
      <c r="AC533" s="7" t="n">
        <v>120</v>
      </c>
      <c r="AH533" s="4" t="inlineStr">
        <is>
          <t>material: fibra de vidrio</t>
        </is>
      </c>
    </row>
    <row r="534">
      <c r="A534" s="3" t="inlineStr">
        <is>
          <t>MAT-09-056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Cisterna de fibra de vidrio de 30 galones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5101</v>
      </c>
      <c r="L534" s="6" t="n">
        <v>5101</v>
      </c>
      <c r="M534" s="6" t="n">
        <v>5101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Ferretería Cima</t>
        </is>
      </c>
      <c r="AC534" s="7" t="n">
        <v>30</v>
      </c>
      <c r="AH534" s="4" t="inlineStr">
        <is>
          <t>material: fibra de vidrio</t>
        </is>
      </c>
    </row>
    <row r="535">
      <c r="A535" s="3" t="inlineStr">
        <is>
          <t>MAT-09-057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Cisterna de fibra de vidrio de 42 galones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10852</v>
      </c>
      <c r="L535" s="6" t="n">
        <v>7487</v>
      </c>
      <c r="M535" s="6" t="n">
        <v>14217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Cima</t>
        </is>
      </c>
      <c r="AC535" s="7" t="n">
        <v>42</v>
      </c>
      <c r="AH535" s="4" t="inlineStr">
        <is>
          <t>material: fibra de vidrio</t>
        </is>
      </c>
    </row>
    <row r="536">
      <c r="A536" s="3" t="inlineStr">
        <is>
          <t>MAT-09-058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Cisterna de fibra de vidrio de 60 galones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12989</v>
      </c>
      <c r="L536" s="6" t="n">
        <v>10496</v>
      </c>
      <c r="M536" s="6" t="n">
        <v>15482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2026-09-09</t>
        </is>
      </c>
      <c r="Q536" s="4" t="inlineStr">
        <is>
          <t>Ferretería Cima</t>
        </is>
      </c>
      <c r="AC536" s="7" t="n">
        <v>60</v>
      </c>
      <c r="AH536" s="4" t="inlineStr">
        <is>
          <t>material: fibra de vidrio</t>
        </is>
      </c>
    </row>
    <row r="537">
      <c r="A537" s="3" t="inlineStr">
        <is>
          <t>MAT-09-059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Cisterna de fibra de vidrio de 82 galones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9895</v>
      </c>
      <c r="L537" s="6" t="n">
        <v>9895</v>
      </c>
      <c r="M537" s="6" t="n">
        <v>9895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</t>
        </is>
      </c>
      <c r="AC537" s="7" t="n">
        <v>82</v>
      </c>
      <c r="AH537" s="4" t="inlineStr">
        <is>
          <t>material: fibra de vidrio</t>
        </is>
      </c>
    </row>
    <row r="538">
      <c r="A538" s="3" t="inlineStr">
        <is>
          <t>MAT-09-060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Tinaco de 1100 galones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41115</v>
      </c>
      <c r="L538" s="6" t="n">
        <v>41115</v>
      </c>
      <c r="M538" s="6" t="n">
        <v>41115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Max Ferretería</t>
        </is>
      </c>
      <c r="AC538" s="7" t="n">
        <v>1100</v>
      </c>
    </row>
    <row r="539">
      <c r="A539" s="3" t="inlineStr">
        <is>
          <t>MAT-09-061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Tinaco de 145 galones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5385</v>
      </c>
      <c r="L539" s="6" t="n">
        <v>5385</v>
      </c>
      <c r="M539" s="6" t="n">
        <v>5385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Max Ferretería</t>
        </is>
      </c>
      <c r="AC539" s="7" t="n">
        <v>145</v>
      </c>
    </row>
    <row r="540">
      <c r="A540" s="3" t="inlineStr">
        <is>
          <t>MAT-09-062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Tinaco de 200 galones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10469.3</v>
      </c>
      <c r="L540" s="6" t="n">
        <v>10469.3</v>
      </c>
      <c r="M540" s="6" t="n">
        <v>10469.3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Max Ferretería</t>
        </is>
      </c>
      <c r="AC540" s="7" t="n">
        <v>200</v>
      </c>
    </row>
    <row r="541">
      <c r="A541" s="3" t="inlineStr">
        <is>
          <t>MAT-09-063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Tinaco de 255 galones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8375</v>
      </c>
      <c r="L541" s="6" t="n">
        <v>8375</v>
      </c>
      <c r="M541" s="6" t="n">
        <v>8375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2026-09-10</t>
        </is>
      </c>
      <c r="Q541" s="4" t="inlineStr">
        <is>
          <t>Ferremix (Grupo Alterra)</t>
        </is>
      </c>
      <c r="AC541" s="7" t="n">
        <v>255</v>
      </c>
    </row>
    <row r="542">
      <c r="A542" s="3" t="inlineStr">
        <is>
          <t>MAT-09-064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Tinaco de 265 galones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2</v>
      </c>
      <c r="K542" s="6" t="n">
        <v>9070</v>
      </c>
      <c r="L542" s="6" t="n">
        <v>8585</v>
      </c>
      <c r="M542" s="6" t="n">
        <v>9555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 · Max Ferretería</t>
        </is>
      </c>
      <c r="AC542" s="7" t="n">
        <v>265</v>
      </c>
    </row>
    <row r="543">
      <c r="A543" s="3" t="inlineStr">
        <is>
          <t>MAT-09-065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Tinaco de 300 galones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9660</v>
      </c>
      <c r="L543" s="6" t="n">
        <v>9660</v>
      </c>
      <c r="M543" s="6" t="n">
        <v>9660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Max Ferretería</t>
        </is>
      </c>
      <c r="AC543" s="7" t="n">
        <v>300</v>
      </c>
    </row>
    <row r="544">
      <c r="A544" s="3" t="inlineStr">
        <is>
          <t>MAT-09-066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Tinaco de 400 galones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12125</v>
      </c>
      <c r="L544" s="6" t="n">
        <v>12125</v>
      </c>
      <c r="M544" s="6" t="n">
        <v>12125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Max Ferretería</t>
        </is>
      </c>
      <c r="AC544" s="7" t="n">
        <v>400</v>
      </c>
    </row>
    <row r="545">
      <c r="A545" s="3" t="inlineStr">
        <is>
          <t>MAT-09-067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Tinaco de 530 galones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16933.23</v>
      </c>
      <c r="L545" s="6" t="n">
        <v>15331.46</v>
      </c>
      <c r="M545" s="6" t="n">
        <v>18535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 · Max Ferretería</t>
        </is>
      </c>
      <c r="AC545" s="7" t="n">
        <v>530</v>
      </c>
    </row>
    <row r="546">
      <c r="A546" s="3" t="inlineStr">
        <is>
          <t>MAT-09-068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Tapa de cisterna de aluminio 24 x 24 pulgadas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2</v>
      </c>
      <c r="K546" s="6" t="n">
        <v>3554</v>
      </c>
      <c r="L546" s="6" t="n">
        <v>3313</v>
      </c>
      <c r="M546" s="6" t="n">
        <v>3795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 · Max Ferretería</t>
        </is>
      </c>
      <c r="AH546" s="4" t="inlineStr">
        <is>
          <t>material: aluminio · medida: 24 x 24 pulgadas</t>
        </is>
      </c>
    </row>
    <row r="547">
      <c r="A547" s="3" t="inlineStr">
        <is>
          <t>MAT-09-069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Tapa de cisterna de aluminio 30 x 30 pulgadas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2</v>
      </c>
      <c r="K547" s="6" t="n">
        <v>4624</v>
      </c>
      <c r="L547" s="6" t="n">
        <v>4503</v>
      </c>
      <c r="M547" s="6" t="n">
        <v>4745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Ferretería Cima · Max Ferretería</t>
        </is>
      </c>
      <c r="AH547" s="4" t="inlineStr">
        <is>
          <t>material: aluminio · medida: 30 x 30 pulgadas</t>
        </is>
      </c>
    </row>
    <row r="548">
      <c r="A548" s="3" t="inlineStr">
        <is>
          <t>MAT-09-070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Tapa de cisterna de aluminio 33 x 33 pulgadas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3995</v>
      </c>
      <c r="L548" s="6" t="n">
        <v>3995</v>
      </c>
      <c r="M548" s="6" t="n">
        <v>3995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Ferretería Cima</t>
        </is>
      </c>
      <c r="AH548" s="4" t="inlineStr">
        <is>
          <t>material: aluminio · medida: 33 x 33 pulgadas</t>
        </is>
      </c>
    </row>
    <row r="549">
      <c r="A549" s="3" t="inlineStr">
        <is>
          <t>MAT-09-071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Boya para válvula de cisterna, 120 mm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295</v>
      </c>
      <c r="L549" s="6" t="n">
        <v>295</v>
      </c>
      <c r="M549" s="6" t="n">
        <v>295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Ferretería Cima</t>
        </is>
      </c>
      <c r="AH549" s="4" t="inlineStr">
        <is>
          <t>medida_mm: 120</t>
        </is>
      </c>
    </row>
    <row r="550">
      <c r="A550" s="3" t="inlineStr">
        <is>
          <t>MAT-09-072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Boya para válvula de cisterna, 150 mm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375</v>
      </c>
      <c r="L550" s="6" t="n">
        <v>375</v>
      </c>
      <c r="M550" s="6" t="n">
        <v>375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Ferretería Cima</t>
        </is>
      </c>
      <c r="AH550" s="4" t="inlineStr">
        <is>
          <t>medida_mm: 150</t>
        </is>
      </c>
    </row>
    <row r="551">
      <c r="A551" s="3" t="inlineStr">
        <is>
          <t>MAT-09-073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Boya para válvula de cisterna, 90 mm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160</v>
      </c>
      <c r="L551" s="6" t="n">
        <v>160</v>
      </c>
      <c r="M551" s="6" t="n">
        <v>160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2026-09-09</t>
        </is>
      </c>
      <c r="Q551" s="4" t="inlineStr">
        <is>
          <t>Ferretería Cima</t>
        </is>
      </c>
      <c r="AH551" s="4" t="inlineStr">
        <is>
          <t>medida_mm: 90</t>
        </is>
      </c>
    </row>
    <row r="552">
      <c r="A552" s="3" t="inlineStr">
        <is>
          <t>MAT-09-074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Fregadero de un pozo, 10 x 9 pulgadas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4000</v>
      </c>
      <c r="L552" s="6" t="n">
        <v>4000</v>
      </c>
      <c r="M552" s="6" t="n">
        <v>4000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La Ibérica</t>
        </is>
      </c>
      <c r="AH552" s="4" t="inlineStr">
        <is>
          <t>pozos: 1 · medida: 10 x 9 pulgadas</t>
        </is>
      </c>
    </row>
    <row r="553">
      <c r="A553" s="3" t="inlineStr">
        <is>
          <t>MAT-09-075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Fregadero de un pozo, 15 x 15 pulgadas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1425</v>
      </c>
      <c r="L553" s="6" t="n">
        <v>1425</v>
      </c>
      <c r="M553" s="6" t="n">
        <v>1425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H553" s="4" t="inlineStr">
        <is>
          <t>pozos: 1 · medida: 15 x 15 pulgadas</t>
        </is>
      </c>
    </row>
    <row r="554">
      <c r="A554" s="3" t="inlineStr">
        <is>
          <t>MAT-09-076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Fregadero de un pozo, 16 x 13 pulgadas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3262.23</v>
      </c>
      <c r="L554" s="6" t="n">
        <v>3262.23</v>
      </c>
      <c r="M554" s="6" t="n">
        <v>3262.23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CerArte</t>
        </is>
      </c>
      <c r="AH554" s="4" t="inlineStr">
        <is>
          <t>pozos: 1 · medida: 16 x 13 pulgadas</t>
        </is>
      </c>
    </row>
    <row r="555">
      <c r="A555" s="3" t="inlineStr">
        <is>
          <t>MAT-09-077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Fregadero de un pozo, 19 x 13 pulgadas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3248.99</v>
      </c>
      <c r="L555" s="6" t="n">
        <v>3248.99</v>
      </c>
      <c r="M555" s="6" t="n">
        <v>3248.99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CerArte</t>
        </is>
      </c>
      <c r="AH555" s="4" t="inlineStr">
        <is>
          <t>pozos: 1 · medida: 19 x 13 pulgadas</t>
        </is>
      </c>
    </row>
    <row r="556">
      <c r="A556" s="3" t="inlineStr">
        <is>
          <t>MAT-09-078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Fregadero de un pozo, 20 x 16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19817.88</v>
      </c>
      <c r="L556" s="6" t="n">
        <v>19817.88</v>
      </c>
      <c r="M556" s="6" t="n">
        <v>19817.88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CerArte</t>
        </is>
      </c>
      <c r="AH556" s="4" t="inlineStr">
        <is>
          <t>pozos: 1 · medida: 20 x 16 pulgadas</t>
        </is>
      </c>
    </row>
    <row r="557">
      <c r="A557" s="3" t="inlineStr">
        <is>
          <t>MAT-09-079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Fregadero de un pozo, 22 x 13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5428.74</v>
      </c>
      <c r="L557" s="6" t="n">
        <v>5428.74</v>
      </c>
      <c r="M557" s="6" t="n">
        <v>5428.74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CerArte</t>
        </is>
      </c>
      <c r="AH557" s="4" t="inlineStr">
        <is>
          <t>pozos: 1 · medida: 22 x 13 pulgadas</t>
        </is>
      </c>
    </row>
    <row r="558">
      <c r="A558" s="3" t="inlineStr">
        <is>
          <t>MAT-09-080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Fregadero de un pozo, 24 x 19 pulgadas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18281.61</v>
      </c>
      <c r="L558" s="6" t="n">
        <v>18281.61</v>
      </c>
      <c r="M558" s="6" t="n">
        <v>18281.61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CerArte</t>
        </is>
      </c>
      <c r="AH558" s="4" t="inlineStr">
        <is>
          <t>pozos: 1 · medida: 24 x 19 pulgadas</t>
        </is>
      </c>
    </row>
    <row r="559">
      <c r="A559" s="3" t="inlineStr">
        <is>
          <t>MAT-09-081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Fregadero de un pozo, 28 x 16 pulgadas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21671.14</v>
      </c>
      <c r="L559" s="6" t="n">
        <v>21671.14</v>
      </c>
      <c r="M559" s="6" t="n">
        <v>21671.14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CerArte</t>
        </is>
      </c>
      <c r="AH559" s="4" t="inlineStr">
        <is>
          <t>pozos: 1 · medida: 28 x 16 pulgadas</t>
        </is>
      </c>
    </row>
    <row r="560">
      <c r="A560" s="3" t="inlineStr">
        <is>
          <t>MAT-09-082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Fregadero de un pozo, 29 x 16 pulgadas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28269.25</v>
      </c>
      <c r="L560" s="6" t="n">
        <v>28269.25</v>
      </c>
      <c r="M560" s="6" t="n">
        <v>28269.25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CerArte</t>
        </is>
      </c>
      <c r="AH560" s="4" t="inlineStr">
        <is>
          <t>pozos: 1 · medida: 29 x 16 pulgadas</t>
        </is>
      </c>
    </row>
    <row r="561">
      <c r="A561" s="3" t="inlineStr">
        <is>
          <t>MAT-09-083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Fregadero de un pozo, 31 x 20 pulgadas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1635</v>
      </c>
      <c r="L561" s="6" t="n">
        <v>1635</v>
      </c>
      <c r="M561" s="6" t="n">
        <v>1635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Ferremix (Grupo Alterra)</t>
        </is>
      </c>
      <c r="AH561" s="4" t="inlineStr">
        <is>
          <t>pozos: 1 · medida: 31 x 20 pulgadas</t>
        </is>
      </c>
    </row>
    <row r="562">
      <c r="A562" s="3" t="inlineStr">
        <is>
          <t>MAT-09-084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un pozo, 8 x 8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74.84999999999999</v>
      </c>
      <c r="L562" s="6" t="n">
        <v>74.84999999999999</v>
      </c>
      <c r="M562" s="6" t="n">
        <v>74.84999999999999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La Ibérica</t>
        </is>
      </c>
      <c r="AH562" s="4" t="inlineStr">
        <is>
          <t>pozos: 1 · medida: 8 x 8 pulgadas</t>
        </is>
      </c>
    </row>
    <row r="563">
      <c r="A563" s="3" t="inlineStr">
        <is>
          <t>MAT-09-085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un pozo, 9 x 7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5265.16</v>
      </c>
      <c r="L563" s="6" t="n">
        <v>5265.16</v>
      </c>
      <c r="M563" s="6" t="n">
        <v>5265.16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La Ibérica</t>
        </is>
      </c>
      <c r="AH563" s="4" t="inlineStr">
        <is>
          <t>pozos: 1 · medida: 9 x 7 pulgadas</t>
        </is>
      </c>
    </row>
    <row r="564">
      <c r="A564" s="3" t="inlineStr">
        <is>
          <t>MAT-09-086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un pozo, medida estándar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3040</v>
      </c>
      <c r="L564" s="6" t="n">
        <v>3040</v>
      </c>
      <c r="M564" s="6" t="n">
        <v>3040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2026-09-09</t>
        </is>
      </c>
      <c r="Q564" s="4" t="inlineStr">
        <is>
          <t>Ferretería Cima</t>
        </is>
      </c>
      <c r="AH564" s="4" t="inlineStr">
        <is>
          <t>pozos: 1 · medida: medida estándar</t>
        </is>
      </c>
    </row>
    <row r="565">
      <c r="A565" s="3" t="inlineStr">
        <is>
          <t>MAT-09-087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2 pozos, 28 x 16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13423.68</v>
      </c>
      <c r="L565" s="6" t="n">
        <v>13423.68</v>
      </c>
      <c r="M565" s="6" t="n">
        <v>13423.68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CerArte</t>
        </is>
      </c>
      <c r="AH565" s="4" t="inlineStr">
        <is>
          <t>pozos: 2 · medida: 28 x 16 pulgadas</t>
        </is>
      </c>
    </row>
    <row r="566">
      <c r="A566" s="3" t="inlineStr">
        <is>
          <t>MAT-09-088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2 pozos, 31 x 18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37416.26</v>
      </c>
      <c r="L566" s="6" t="n">
        <v>21435.03</v>
      </c>
      <c r="M566" s="6" t="n">
        <v>53397.49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CerArte</t>
        </is>
      </c>
      <c r="AH566" s="4" t="inlineStr">
        <is>
          <t>pozos: 2 · medida: 31 x 18 pulgadas</t>
        </is>
      </c>
    </row>
    <row r="567">
      <c r="A567" s="3" t="inlineStr">
        <is>
          <t>MAT-09-089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2 pozos, 31 x 19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21066.29</v>
      </c>
      <c r="L567" s="6" t="n">
        <v>21066.29</v>
      </c>
      <c r="M567" s="6" t="n">
        <v>21066.29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H567" s="4" t="inlineStr">
        <is>
          <t>pozos: 2 · medida: 31 x 19 pulgadas</t>
        </is>
      </c>
    </row>
    <row r="568">
      <c r="A568" s="3" t="inlineStr">
        <is>
          <t>MAT-09-090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2 pozos, 31 x 20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13464.3</v>
      </c>
      <c r="L568" s="6" t="n">
        <v>6601.13</v>
      </c>
      <c r="M568" s="6" t="n">
        <v>20327.47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CerArte</t>
        </is>
      </c>
      <c r="AH568" s="4" t="inlineStr">
        <is>
          <t>pozos: 2 · medida: 31 x 20 pulgadas</t>
        </is>
      </c>
    </row>
    <row r="569">
      <c r="A569" s="3" t="inlineStr">
        <is>
          <t>MAT-09-091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Fregadero de 2 pozos, 33 x 14 pulgadas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13176.46</v>
      </c>
      <c r="L569" s="6" t="n">
        <v>13176.46</v>
      </c>
      <c r="M569" s="6" t="n">
        <v>13176.46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CerArte</t>
        </is>
      </c>
      <c r="AH569" s="4" t="inlineStr">
        <is>
          <t>pozos: 2 · medida: 33 x 14 pulgadas</t>
        </is>
      </c>
    </row>
    <row r="570">
      <c r="A570" s="3" t="inlineStr">
        <is>
          <t>MAT-09-092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Fregadero de 2 pozos, 33 x 19 pulgadas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3285</v>
      </c>
      <c r="L570" s="6" t="n">
        <v>3285</v>
      </c>
      <c r="M570" s="6" t="n">
        <v>3285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H570" s="4" t="inlineStr">
        <is>
          <t>pozos: 2 · medida: 33 x 19 pulgadas</t>
        </is>
      </c>
    </row>
    <row r="571">
      <c r="A571" s="3" t="inlineStr">
        <is>
          <t>MAT-09-093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Fregadero de 2 pozos, 33 x 22 pulgadas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6540</v>
      </c>
      <c r="L571" s="6" t="n">
        <v>6540</v>
      </c>
      <c r="M571" s="6" t="n">
        <v>6540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H571" s="4" t="inlineStr">
        <is>
          <t>pozos: 2 · medida: 33 x 22 pulgadas</t>
        </is>
      </c>
    </row>
    <row r="572">
      <c r="A572" s="3" t="inlineStr">
        <is>
          <t>MAT-09-094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Fregadero de 2 pozos, 34 x 17 pulgadas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45860</v>
      </c>
      <c r="L572" s="6" t="n">
        <v>45860</v>
      </c>
      <c r="M572" s="6" t="n">
        <v>45860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La Ibérica</t>
        </is>
      </c>
      <c r="AH572" s="4" t="inlineStr">
        <is>
          <t>pozos: 2 · medida: 34 x 17 pulgadas</t>
        </is>
      </c>
    </row>
    <row r="573">
      <c r="A573" s="3" t="inlineStr">
        <is>
          <t>MAT-09-095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Fregadero de 2 pozos, 34 x 18 pulgadas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20289.07</v>
      </c>
      <c r="L573" s="6" t="n">
        <v>20289.07</v>
      </c>
      <c r="M573" s="6" t="n">
        <v>20289.07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2026-09-10</t>
        </is>
      </c>
      <c r="Q573" s="4" t="inlineStr">
        <is>
          <t>CerArte</t>
        </is>
      </c>
      <c r="AH573" s="4" t="inlineStr">
        <is>
          <t>pozos: 2 · medida: 34 x 18 pulgadas</t>
        </is>
      </c>
    </row>
    <row r="574">
      <c r="A574" s="3" t="inlineStr">
        <is>
          <t>MAT-09-096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Fregadero de 2 pozos, 47 x 20 pulgadas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6672.5</v>
      </c>
      <c r="L574" s="6" t="n">
        <v>6665</v>
      </c>
      <c r="M574" s="6" t="n">
        <v>6680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2026-09-10</t>
        </is>
      </c>
      <c r="Q574" s="4" t="inlineStr">
        <is>
          <t>Ferremix (Grupo Alterra)</t>
        </is>
      </c>
      <c r="AH574" s="4" t="inlineStr">
        <is>
          <t>pozos: 2 · medida: 47 x 20 pulgadas</t>
        </is>
      </c>
    </row>
    <row r="575">
      <c r="A575" s="3" t="inlineStr">
        <is>
          <t>MAT-09-097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Llave de bebedero</t>
        </is>
      </c>
      <c r="E575" s="4" t="inlineStr">
        <is>
          <t>Plástico</t>
        </is>
      </c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217.5</v>
      </c>
      <c r="L575" s="6" t="n">
        <v>205</v>
      </c>
      <c r="M575" s="6" t="n">
        <v>256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</row>
    <row r="576">
      <c r="A576" s="3" t="inlineStr">
        <is>
          <t>MAT-10-017</t>
        </is>
      </c>
      <c r="B576" s="3" t="inlineStr">
        <is>
          <t>Materiales</t>
        </is>
      </c>
      <c r="C576" s="3" t="inlineStr">
        <is>
          <t>Electricidad e iluminación</t>
        </is>
      </c>
      <c r="D576" s="4" t="inlineStr">
        <is>
          <t>Bombillo ahorrador de 105 W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785</v>
      </c>
      <c r="L576" s="6" t="n">
        <v>785</v>
      </c>
      <c r="M576" s="6" t="n">
        <v>785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Max Ferretería</t>
        </is>
      </c>
      <c r="W576" s="7" t="inlineStr">
        <is>
          <t>E40</t>
        </is>
      </c>
      <c r="Y576" s="7" t="inlineStr">
        <is>
          <t>ahorrador</t>
        </is>
      </c>
      <c r="AH576" s="4" t="inlineStr">
        <is>
          <t>potencia_w: 105 · temp_k: 6400</t>
        </is>
      </c>
    </row>
    <row r="577">
      <c r="A577" s="3" t="inlineStr">
        <is>
          <t>MAT-10-018</t>
        </is>
      </c>
      <c r="B577" s="3" t="inlineStr">
        <is>
          <t>Materiales</t>
        </is>
      </c>
      <c r="C577" s="3" t="inlineStr">
        <is>
          <t>Electricidad e iluminación</t>
        </is>
      </c>
      <c r="D577" s="4" t="inlineStr">
        <is>
          <t>Bombillo ahorrador de 11 W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100</v>
      </c>
      <c r="L577" s="6" t="n">
        <v>100</v>
      </c>
      <c r="M577" s="6" t="n">
        <v>100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Max Ferretería</t>
        </is>
      </c>
      <c r="Y577" s="7" t="inlineStr">
        <is>
          <t>ahorrador</t>
        </is>
      </c>
      <c r="AH577" s="4" t="inlineStr">
        <is>
          <t>potencia_w: 11 · temp_k: 2700</t>
        </is>
      </c>
    </row>
    <row r="578">
      <c r="A578" s="3" t="inlineStr">
        <is>
          <t>MAT-10-019</t>
        </is>
      </c>
      <c r="B578" s="3" t="inlineStr">
        <is>
          <t>Materiales</t>
        </is>
      </c>
      <c r="C578" s="3" t="inlineStr">
        <is>
          <t>Electricidad e iluminación</t>
        </is>
      </c>
      <c r="D578" s="4" t="inlineStr">
        <is>
          <t>Bombillo ahorrador de 15 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100</v>
      </c>
      <c r="L578" s="6" t="n">
        <v>100</v>
      </c>
      <c r="M578" s="6" t="n">
        <v>100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Max Ferretería</t>
        </is>
      </c>
      <c r="Y578" s="7" t="inlineStr">
        <is>
          <t>ahorrador</t>
        </is>
      </c>
      <c r="AH578" s="4" t="inlineStr">
        <is>
          <t>potencia_w: 15</t>
        </is>
      </c>
    </row>
    <row r="579">
      <c r="A579" s="3" t="inlineStr">
        <is>
          <t>MAT-10-020</t>
        </is>
      </c>
      <c r="B579" s="3" t="inlineStr">
        <is>
          <t>Materiales</t>
        </is>
      </c>
      <c r="C579" s="3" t="inlineStr">
        <is>
          <t>Electricidad e iluminación</t>
        </is>
      </c>
      <c r="D579" s="4" t="inlineStr">
        <is>
          <t>Bombillo ahorrador de 25 W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113.56</v>
      </c>
      <c r="L579" s="6" t="n">
        <v>100</v>
      </c>
      <c r="M579" s="6" t="n">
        <v>127.12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Max Ferretería</t>
        </is>
      </c>
      <c r="Y579" s="7" t="inlineStr">
        <is>
          <t>ahorrador</t>
        </is>
      </c>
      <c r="AH579" s="4" t="inlineStr">
        <is>
          <t>potencia_w: 25</t>
        </is>
      </c>
    </row>
    <row r="580">
      <c r="A580" s="3" t="inlineStr">
        <is>
          <t>MAT-10-021</t>
        </is>
      </c>
      <c r="B580" s="3" t="inlineStr">
        <is>
          <t>Materiales</t>
        </is>
      </c>
      <c r="C580" s="3" t="inlineStr">
        <is>
          <t>Electricidad e iluminación</t>
        </is>
      </c>
      <c r="D580" s="4" t="inlineStr">
        <is>
          <t>Bombillo ahorrador de 45 W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313.56</v>
      </c>
      <c r="L580" s="6" t="n">
        <v>313.56</v>
      </c>
      <c r="M580" s="6" t="n">
        <v>313.56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Max Ferretería</t>
        </is>
      </c>
      <c r="Y580" s="7" t="inlineStr">
        <is>
          <t>ahorrador</t>
        </is>
      </c>
      <c r="AH580" s="4" t="inlineStr">
        <is>
          <t>potencia_w: 45</t>
        </is>
      </c>
    </row>
    <row r="581">
      <c r="A581" s="3" t="inlineStr">
        <is>
          <t>MAT-10-022</t>
        </is>
      </c>
      <c r="B581" s="3" t="inlineStr">
        <is>
          <t>Materiales</t>
        </is>
      </c>
      <c r="C581" s="3" t="inlineStr">
        <is>
          <t>Electricidad e iluminación</t>
        </is>
      </c>
      <c r="D581" s="4" t="inlineStr">
        <is>
          <t>Bombillo ahorrador de 7 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100</v>
      </c>
      <c r="L581" s="6" t="n">
        <v>100</v>
      </c>
      <c r="M581" s="6" t="n">
        <v>100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Max Ferretería</t>
        </is>
      </c>
      <c r="Y581" s="7" t="inlineStr">
        <is>
          <t>ahorrador</t>
        </is>
      </c>
      <c r="AH581" s="4" t="inlineStr">
        <is>
          <t>potencia_w: 7 · temp_k: 6500</t>
        </is>
      </c>
    </row>
    <row r="582">
      <c r="A582" s="3" t="inlineStr">
        <is>
          <t>MAT-10-023</t>
        </is>
      </c>
      <c r="B582" s="3" t="inlineStr">
        <is>
          <t>Materiales</t>
        </is>
      </c>
      <c r="C582" s="3" t="inlineStr">
        <is>
          <t>Electricidad e iluminación</t>
        </is>
      </c>
      <c r="D582" s="4" t="inlineStr">
        <is>
          <t>Bombillo ahorrador de 85 W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795</v>
      </c>
      <c r="L582" s="6" t="n">
        <v>795</v>
      </c>
      <c r="M582" s="6" t="n">
        <v>795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Max Ferretería</t>
        </is>
      </c>
      <c r="Y582" s="7" t="inlineStr">
        <is>
          <t>ahorrador</t>
        </is>
      </c>
      <c r="AH582" s="4" t="inlineStr">
        <is>
          <t>potencia_w: 85 · temp_k: 6400</t>
        </is>
      </c>
    </row>
    <row r="583">
      <c r="A583" s="3" t="inlineStr">
        <is>
          <t>MAT-10-024</t>
        </is>
      </c>
      <c r="B583" s="3" t="inlineStr">
        <is>
          <t>Materiales</t>
        </is>
      </c>
      <c r="C583" s="3" t="inlineStr">
        <is>
          <t>Electricidad e iluminación</t>
        </is>
      </c>
      <c r="D583" s="4" t="inlineStr">
        <is>
          <t>Bombillo bajo consumo de 15 W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105</v>
      </c>
      <c r="L583" s="6" t="n">
        <v>85</v>
      </c>
      <c r="M583" s="6" t="n">
        <v>125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</t>
        </is>
      </c>
      <c r="Y583" s="7" t="inlineStr">
        <is>
          <t>bajo consumo</t>
        </is>
      </c>
      <c r="AH583" s="4" t="inlineStr">
        <is>
          <t>potencia_w: 15</t>
        </is>
      </c>
    </row>
    <row r="584">
      <c r="A584" s="3" t="inlineStr">
        <is>
          <t>MAT-10-025</t>
        </is>
      </c>
      <c r="B584" s="3" t="inlineStr">
        <is>
          <t>Materiales</t>
        </is>
      </c>
      <c r="C584" s="3" t="inlineStr">
        <is>
          <t>Electricidad e iluminación</t>
        </is>
      </c>
      <c r="D584" s="4" t="inlineStr">
        <is>
          <t>Bombillo bajo consumo de 20 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135</v>
      </c>
      <c r="L584" s="6" t="n">
        <v>135</v>
      </c>
      <c r="M584" s="6" t="n">
        <v>135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2026-09-10</t>
        </is>
      </c>
      <c r="Q584" s="4" t="inlineStr">
        <is>
          <t>Ferremix (Grupo Alterra)</t>
        </is>
      </c>
      <c r="Y584" s="7" t="inlineStr">
        <is>
          <t>bajo consumo</t>
        </is>
      </c>
      <c r="AH584" s="4" t="inlineStr">
        <is>
          <t>potencia_w: 20</t>
        </is>
      </c>
    </row>
    <row r="585">
      <c r="A585" s="3" t="inlineStr">
        <is>
          <t>MAT-10-026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bajo consumo de 24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145</v>
      </c>
      <c r="L585" s="6" t="n">
        <v>145</v>
      </c>
      <c r="M585" s="6" t="n">
        <v>145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2026-09-10</t>
        </is>
      </c>
      <c r="Q585" s="4" t="inlineStr">
        <is>
          <t>Ferremix (Grupo Alterra)</t>
        </is>
      </c>
      <c r="Y585" s="7" t="inlineStr">
        <is>
          <t>bajo consumo</t>
        </is>
      </c>
      <c r="AH585" s="4" t="inlineStr">
        <is>
          <t>potencia_w: 24</t>
        </is>
      </c>
    </row>
    <row r="586">
      <c r="A586" s="3" t="inlineStr">
        <is>
          <t>MAT-10-027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halógeno de 50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69.5</v>
      </c>
      <c r="L586" s="6" t="n">
        <v>59</v>
      </c>
      <c r="M586" s="6" t="n">
        <v>99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2026-09-10</t>
        </is>
      </c>
      <c r="Q586" s="4" t="inlineStr">
        <is>
          <t>Ferremix (Grupo Alterra)</t>
        </is>
      </c>
      <c r="Y586" s="7" t="inlineStr">
        <is>
          <t>halógeno</t>
        </is>
      </c>
      <c r="AH586" s="4" t="inlineStr">
        <is>
          <t>potencia_w: 50</t>
        </is>
      </c>
    </row>
    <row r="587">
      <c r="A587" s="3" t="inlineStr">
        <is>
          <t>MAT-10-028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incandescente de 11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50</v>
      </c>
      <c r="L587" s="6" t="n">
        <v>50</v>
      </c>
      <c r="M587" s="6" t="n">
        <v>50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2026-09-10</t>
        </is>
      </c>
      <c r="Q587" s="4" t="inlineStr">
        <is>
          <t>Ferremix (Grupo Alterra)</t>
        </is>
      </c>
      <c r="Y587" s="7" t="inlineStr">
        <is>
          <t>incandescente</t>
        </is>
      </c>
      <c r="AH587" s="4" t="inlineStr">
        <is>
          <t>potencia_w: 11</t>
        </is>
      </c>
    </row>
    <row r="588">
      <c r="A588" s="3" t="inlineStr">
        <is>
          <t>MAT-10-029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incandescente de 25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100</v>
      </c>
      <c r="L588" s="6" t="n">
        <v>85</v>
      </c>
      <c r="M588" s="6" t="n">
        <v>115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Y588" s="7" t="inlineStr">
        <is>
          <t>incandescente</t>
        </is>
      </c>
      <c r="AH588" s="4" t="inlineStr">
        <is>
          <t>potencia_w: 25</t>
        </is>
      </c>
    </row>
    <row r="589">
      <c r="A589" s="3" t="inlineStr">
        <is>
          <t>MAT-10-030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incandescente de 40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2</v>
      </c>
      <c r="K589" s="6" t="n">
        <v>205</v>
      </c>
      <c r="L589" s="6" t="n">
        <v>80</v>
      </c>
      <c r="M589" s="6" t="n">
        <v>340.01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2026-09-10</t>
        </is>
      </c>
      <c r="Q589" s="4" t="inlineStr">
        <is>
          <t>Ferremix (Grupo Alterra) · Max Ferretería</t>
        </is>
      </c>
      <c r="Y589" s="7" t="inlineStr">
        <is>
          <t>incandescente</t>
        </is>
      </c>
      <c r="AH589" s="4" t="inlineStr">
        <is>
          <t>potencia_w: 40</t>
        </is>
      </c>
    </row>
    <row r="590">
      <c r="A590" s="3" t="inlineStr">
        <is>
          <t>MAT-10-031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incandescente de 50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235.06</v>
      </c>
      <c r="L590" s="6" t="n">
        <v>235.06</v>
      </c>
      <c r="M590" s="6" t="n">
        <v>235.06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Max Ferretería</t>
        </is>
      </c>
      <c r="W590" s="7" t="inlineStr">
        <is>
          <t>R20</t>
        </is>
      </c>
      <c r="Y590" s="7" t="inlineStr">
        <is>
          <t>incandescente</t>
        </is>
      </c>
      <c r="AH590" s="4" t="inlineStr">
        <is>
          <t>potencia_w: 50</t>
        </is>
      </c>
    </row>
    <row r="591">
      <c r="A591" s="3" t="inlineStr">
        <is>
          <t>MAT-10-032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LED de 1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2</v>
      </c>
      <c r="K591" s="6" t="n">
        <v>64.5</v>
      </c>
      <c r="L591" s="6" t="n">
        <v>60</v>
      </c>
      <c r="M591" s="6" t="n">
        <v>89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Ferremix (Grupo Alterra) · Max Ferretería</t>
        </is>
      </c>
      <c r="AH591" s="4" t="inlineStr">
        <is>
          <t>potencia_w: 1 · temp_k: 2200</t>
        </is>
      </c>
    </row>
    <row r="592">
      <c r="A592" s="3" t="inlineStr">
        <is>
          <t>MAT-10-033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LED de 1.2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40</v>
      </c>
      <c r="L592" s="6" t="n">
        <v>40</v>
      </c>
      <c r="M592" s="6" t="n">
        <v>40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Y592" s="7" t="inlineStr">
        <is>
          <t>LED</t>
        </is>
      </c>
      <c r="AH592" s="4" t="inlineStr">
        <is>
          <t>potencia_w: 1.2</t>
        </is>
      </c>
    </row>
    <row r="593">
      <c r="A593" s="3" t="inlineStr">
        <is>
          <t>MAT-10-034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LED de 10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210</v>
      </c>
      <c r="L593" s="6" t="n">
        <v>170</v>
      </c>
      <c r="M593" s="6" t="n">
        <v>215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 · Max Ferretería</t>
        </is>
      </c>
      <c r="W593" s="7" t="inlineStr">
        <is>
          <t>A60</t>
        </is>
      </c>
      <c r="AH593" s="4" t="inlineStr">
        <is>
          <t>potencia_w: 10 · temp_k: 3000</t>
        </is>
      </c>
    </row>
    <row r="594">
      <c r="A594" s="3" t="inlineStr">
        <is>
          <t>MAT-10-035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LED de 11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560.01</v>
      </c>
      <c r="L594" s="6" t="n">
        <v>190</v>
      </c>
      <c r="M594" s="6" t="n">
        <v>930.01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Y594" s="7" t="inlineStr">
        <is>
          <t>LED</t>
        </is>
      </c>
      <c r="AH594" s="4" t="inlineStr">
        <is>
          <t>potencia_w: 11</t>
        </is>
      </c>
    </row>
    <row r="595">
      <c r="A595" s="3" t="inlineStr">
        <is>
          <t>MAT-10-036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LED de 12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2</v>
      </c>
      <c r="K595" s="6" t="n">
        <v>180</v>
      </c>
      <c r="L595" s="6" t="n">
        <v>60</v>
      </c>
      <c r="M595" s="6" t="n">
        <v>265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Ferremix (Grupo Alterra) · Max Ferretería</t>
        </is>
      </c>
      <c r="W595" s="7" t="inlineStr">
        <is>
          <t>A60</t>
        </is>
      </c>
      <c r="AH595" s="4" t="inlineStr">
        <is>
          <t>potencia_w: 12</t>
        </is>
      </c>
    </row>
    <row r="596">
      <c r="A596" s="3" t="inlineStr">
        <is>
          <t>MAT-10-037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led de 125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295</v>
      </c>
      <c r="L596" s="6" t="n">
        <v>295</v>
      </c>
      <c r="M596" s="6" t="n">
        <v>295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Y596" s="7" t="inlineStr">
        <is>
          <t>led</t>
        </is>
      </c>
      <c r="AH596" s="4" t="inlineStr">
        <is>
          <t>potencia_w: 125</t>
        </is>
      </c>
    </row>
    <row r="597">
      <c r="A597" s="3" t="inlineStr">
        <is>
          <t>MAT-10-038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LED de 14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167.5</v>
      </c>
      <c r="L597" s="6" t="n">
        <v>69</v>
      </c>
      <c r="M597" s="6" t="n">
        <v>350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Ferremix (Grupo Alterra) · Max Ferretería</t>
        </is>
      </c>
      <c r="AH597" s="4" t="inlineStr">
        <is>
          <t>potencia_w: 14 · temp_k: 6500</t>
        </is>
      </c>
    </row>
    <row r="598">
      <c r="A598" s="3" t="inlineStr">
        <is>
          <t>MAT-10-039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LED de 15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135</v>
      </c>
      <c r="L598" s="6" t="n">
        <v>130</v>
      </c>
      <c r="M598" s="6" t="n">
        <v>140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2026-09-09</t>
        </is>
      </c>
      <c r="Q598" s="4" t="inlineStr">
        <is>
          <t>Max Ferretería</t>
        </is>
      </c>
      <c r="Y598" s="7" t="inlineStr">
        <is>
          <t>LED</t>
        </is>
      </c>
      <c r="AH598" s="4" t="inlineStr">
        <is>
          <t>potencia_w: 15</t>
        </is>
      </c>
    </row>
    <row r="599">
      <c r="A599" s="3" t="inlineStr">
        <is>
          <t>MAT-10-040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LED de 18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194.5</v>
      </c>
      <c r="L599" s="6" t="n">
        <v>129</v>
      </c>
      <c r="M599" s="6" t="n">
        <v>260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Ferremix (Grupo Alterra) · Max Ferretería</t>
        </is>
      </c>
      <c r="AH599" s="4" t="inlineStr">
        <is>
          <t>potencia_w: 18 · temp_k: 4000</t>
        </is>
      </c>
    </row>
    <row r="600">
      <c r="A600" s="3" t="inlineStr">
        <is>
          <t>MAT-10-041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2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250</v>
      </c>
      <c r="L600" s="6" t="n">
        <v>250</v>
      </c>
      <c r="M600" s="6" t="n">
        <v>250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Ferremix (Grupo Alterra)</t>
        </is>
      </c>
      <c r="Y600" s="7" t="inlineStr">
        <is>
          <t>led</t>
        </is>
      </c>
      <c r="AH600" s="4" t="inlineStr">
        <is>
          <t>potencia_w: 2</t>
        </is>
      </c>
    </row>
    <row r="601">
      <c r="A601" s="3" t="inlineStr">
        <is>
          <t>MAT-10-042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2.5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310</v>
      </c>
      <c r="L601" s="6" t="n">
        <v>310</v>
      </c>
      <c r="M601" s="6" t="n">
        <v>310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Max Ferretería</t>
        </is>
      </c>
      <c r="W601" s="7" t="inlineStr">
        <is>
          <t>G9</t>
        </is>
      </c>
      <c r="Y601" s="7" t="inlineStr">
        <is>
          <t>LED</t>
        </is>
      </c>
      <c r="AH601" s="4" t="inlineStr">
        <is>
          <t>potencia_w: 2.5 · temp_k: 6500</t>
        </is>
      </c>
    </row>
    <row r="602">
      <c r="A602" s="3" t="inlineStr">
        <is>
          <t>MAT-10-043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20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149</v>
      </c>
      <c r="L602" s="6" t="n">
        <v>149</v>
      </c>
      <c r="M602" s="6" t="n">
        <v>149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Ferremix (Grupo Alterra)</t>
        </is>
      </c>
      <c r="Y602" s="7" t="inlineStr">
        <is>
          <t>led</t>
        </is>
      </c>
      <c r="AH602" s="4" t="inlineStr">
        <is>
          <t>potencia_w: 20</t>
        </is>
      </c>
    </row>
    <row r="603">
      <c r="A603" s="3" t="inlineStr">
        <is>
          <t>MAT-10-044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25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214</v>
      </c>
      <c r="L603" s="6" t="n">
        <v>199</v>
      </c>
      <c r="M603" s="6" t="n">
        <v>229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Ferremix (Grupo Alterra)</t>
        </is>
      </c>
      <c r="Y603" s="7" t="inlineStr">
        <is>
          <t>led</t>
        </is>
      </c>
      <c r="AH603" s="4" t="inlineStr">
        <is>
          <t>potencia_w: 25</t>
        </is>
      </c>
    </row>
    <row r="604">
      <c r="A604" s="3" t="inlineStr">
        <is>
          <t>MAT-10-045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3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150</v>
      </c>
      <c r="L604" s="6" t="n">
        <v>50</v>
      </c>
      <c r="M604" s="6" t="n">
        <v>165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AH604" s="4" t="inlineStr">
        <is>
          <t>potencia_w: 3 · temp_k: 3000</t>
        </is>
      </c>
    </row>
    <row r="605">
      <c r="A605" s="3" t="inlineStr">
        <is>
          <t>MAT-10-046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3.5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474.36</v>
      </c>
      <c r="L605" s="6" t="n">
        <v>474.36</v>
      </c>
      <c r="M605" s="6" t="n">
        <v>474.36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</t>
        </is>
      </c>
      <c r="Y605" s="7" t="inlineStr">
        <is>
          <t>led</t>
        </is>
      </c>
      <c r="AH605" s="4" t="inlineStr">
        <is>
          <t>potencia_w: 3.5</t>
        </is>
      </c>
    </row>
    <row r="606">
      <c r="A606" s="3" t="inlineStr">
        <is>
          <t>MAT-10-047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30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595</v>
      </c>
      <c r="L606" s="6" t="n">
        <v>595</v>
      </c>
      <c r="M606" s="6" t="n">
        <v>595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Max Ferretería</t>
        </is>
      </c>
      <c r="Y606" s="7" t="inlineStr">
        <is>
          <t>LED</t>
        </is>
      </c>
      <c r="AH606" s="4" t="inlineStr">
        <is>
          <t>potencia_w: 30</t>
        </is>
      </c>
    </row>
    <row r="607">
      <c r="A607" s="3" t="inlineStr">
        <is>
          <t>MAT-10-048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35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767</v>
      </c>
      <c r="L607" s="6" t="n">
        <v>339</v>
      </c>
      <c r="M607" s="6" t="n">
        <v>1195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2026-09-10</t>
        </is>
      </c>
      <c r="Q607" s="4" t="inlineStr">
        <is>
          <t>Ferremix (Grupo Alterra) · Max Ferretería</t>
        </is>
      </c>
      <c r="AH607" s="4" t="inlineStr">
        <is>
          <t>potencia_w: 35</t>
        </is>
      </c>
    </row>
    <row r="608">
      <c r="A608" s="3" t="inlineStr">
        <is>
          <t>MAT-10-049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4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162.5</v>
      </c>
      <c r="L608" s="6" t="n">
        <v>64.98999999999999</v>
      </c>
      <c r="M608" s="6" t="n">
        <v>365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Max Ferretería</t>
        </is>
      </c>
      <c r="Y608" s="7" t="inlineStr">
        <is>
          <t>LED</t>
        </is>
      </c>
      <c r="AH608" s="4" t="inlineStr">
        <is>
          <t>potencia_w: 4</t>
        </is>
      </c>
    </row>
    <row r="609">
      <c r="A609" s="3" t="inlineStr">
        <is>
          <t>MAT-10-050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4.9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105</v>
      </c>
      <c r="L609" s="6" t="n">
        <v>105</v>
      </c>
      <c r="M609" s="6" t="n">
        <v>105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Max Ferretería</t>
        </is>
      </c>
      <c r="Y609" s="7" t="inlineStr">
        <is>
          <t>LED</t>
        </is>
      </c>
      <c r="AH609" s="4" t="inlineStr">
        <is>
          <t>potencia_w: 4.9 · temp_k: 6500</t>
        </is>
      </c>
    </row>
    <row r="610">
      <c r="A610" s="3" t="inlineStr">
        <is>
          <t>MAT-10-051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40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2</v>
      </c>
      <c r="K610" s="6" t="n">
        <v>590</v>
      </c>
      <c r="L610" s="6" t="n">
        <v>470</v>
      </c>
      <c r="M610" s="6" t="n">
        <v>709.99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Ferremix (Grupo Alterra) · Max Ferretería</t>
        </is>
      </c>
      <c r="AH610" s="4" t="inlineStr">
        <is>
          <t>potencia_w: 40</t>
        </is>
      </c>
    </row>
    <row r="611">
      <c r="A611" s="3" t="inlineStr">
        <is>
          <t>MAT-10-052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5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2</v>
      </c>
      <c r="K611" s="6" t="n">
        <v>197.51</v>
      </c>
      <c r="L611" s="6" t="n">
        <v>123</v>
      </c>
      <c r="M611" s="6" t="n">
        <v>272.01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 · Max Ferretería</t>
        </is>
      </c>
      <c r="W611" s="7" t="inlineStr">
        <is>
          <t>MR16</t>
        </is>
      </c>
      <c r="AH611" s="4" t="inlineStr">
        <is>
          <t>potencia_w: 5</t>
        </is>
      </c>
    </row>
    <row r="612">
      <c r="A612" s="3" t="inlineStr">
        <is>
          <t>MAT-10-053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Bombillo LED de 50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990</v>
      </c>
      <c r="L612" s="6" t="n">
        <v>990</v>
      </c>
      <c r="M612" s="6" t="n">
        <v>990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Max Ferretería</t>
        </is>
      </c>
      <c r="Y612" s="7" t="inlineStr">
        <is>
          <t>LED</t>
        </is>
      </c>
      <c r="AH612" s="4" t="inlineStr">
        <is>
          <t>potencia_w: 50</t>
        </is>
      </c>
    </row>
    <row r="613">
      <c r="A613" s="3" t="inlineStr">
        <is>
          <t>MAT-10-054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Bombillo LED de 55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1724.99</v>
      </c>
      <c r="L613" s="6" t="n">
        <v>1724.99</v>
      </c>
      <c r="M613" s="6" t="n">
        <v>1724.99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Max Ferretería</t>
        </is>
      </c>
      <c r="Y613" s="7" t="inlineStr">
        <is>
          <t>LED</t>
        </is>
      </c>
      <c r="AH613" s="4" t="inlineStr">
        <is>
          <t>potencia_w: 55</t>
        </is>
      </c>
    </row>
    <row r="614">
      <c r="A614" s="3" t="inlineStr">
        <is>
          <t>MAT-10-055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Bombillo LED de 6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2</v>
      </c>
      <c r="K614" s="6" t="n">
        <v>145</v>
      </c>
      <c r="L614" s="6" t="n">
        <v>65</v>
      </c>
      <c r="M614" s="6" t="n">
        <v>505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Ferremix (Grupo Alterra) · Max Ferretería</t>
        </is>
      </c>
      <c r="AH614" s="4" t="inlineStr">
        <is>
          <t>potencia_w: 6</t>
        </is>
      </c>
    </row>
    <row r="615">
      <c r="A615" s="3" t="inlineStr">
        <is>
          <t>MAT-10-056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Bombillo LED de 7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105</v>
      </c>
      <c r="L615" s="6" t="n">
        <v>105</v>
      </c>
      <c r="M615" s="6" t="n">
        <v>105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Y615" s="7" t="inlineStr">
        <is>
          <t>LED</t>
        </is>
      </c>
      <c r="AH615" s="4" t="inlineStr">
        <is>
          <t>potencia_w: 7</t>
        </is>
      </c>
    </row>
    <row r="616">
      <c r="A616" s="3" t="inlineStr">
        <is>
          <t>MAT-10-057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Bombillo led de 8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215</v>
      </c>
      <c r="L616" s="6" t="n">
        <v>160</v>
      </c>
      <c r="M616" s="6" t="n">
        <v>225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Ferremix (Grupo Alterra)</t>
        </is>
      </c>
      <c r="Y616" s="7" t="inlineStr">
        <is>
          <t>led</t>
        </is>
      </c>
      <c r="AH616" s="4" t="inlineStr">
        <is>
          <t>potencia_w: 8</t>
        </is>
      </c>
    </row>
    <row r="617">
      <c r="A617" s="3" t="inlineStr">
        <is>
          <t>MAT-10-058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Bombillo LED de 9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2</v>
      </c>
      <c r="K617" s="6" t="n">
        <v>170</v>
      </c>
      <c r="L617" s="6" t="n">
        <v>105</v>
      </c>
      <c r="M617" s="6" t="n">
        <v>275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Ferremix (Grupo Alterra) · Max Ferretería</t>
        </is>
      </c>
      <c r="AH617" s="4" t="inlineStr">
        <is>
          <t>potencia_w: 9 · temp_k: 6500</t>
        </is>
      </c>
    </row>
    <row r="618">
      <c r="A618" s="3" t="inlineStr">
        <is>
          <t>MAT-10-059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Panel LED empotrado cuadrado de 18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340.01</v>
      </c>
      <c r="L618" s="6" t="n">
        <v>340.01</v>
      </c>
      <c r="M618" s="6" t="n">
        <v>340.01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Max Ferretería</t>
        </is>
      </c>
      <c r="R618" s="7" t="inlineStr">
        <is>
          <t>cuadrado</t>
        </is>
      </c>
      <c r="S618" s="7" t="inlineStr">
        <is>
          <t>empotrado</t>
        </is>
      </c>
      <c r="AH618" s="4" t="inlineStr">
        <is>
          <t>potencia_w: 18 · temp_k: 6500</t>
        </is>
      </c>
    </row>
    <row r="619">
      <c r="A619" s="3" t="inlineStr">
        <is>
          <t>MAT-10-060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Panel LED empotrado cuadrado de 3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240</v>
      </c>
      <c r="L619" s="6" t="n">
        <v>240</v>
      </c>
      <c r="M619" s="6" t="n">
        <v>240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2026-09-09</t>
        </is>
      </c>
      <c r="Q619" s="4" t="inlineStr">
        <is>
          <t>Max Ferretería</t>
        </is>
      </c>
      <c r="R619" s="7" t="inlineStr">
        <is>
          <t>cuadrado</t>
        </is>
      </c>
      <c r="S619" s="7" t="inlineStr">
        <is>
          <t>empotrado</t>
        </is>
      </c>
      <c r="AH619" s="4" t="inlineStr">
        <is>
          <t>potencia_w: 3 · temp_k: 3000</t>
        </is>
      </c>
    </row>
    <row r="620">
      <c r="A620" s="3" t="inlineStr">
        <is>
          <t>MAT-10-061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Panel LED empotrado redondo de 12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304.99</v>
      </c>
      <c r="L620" s="6" t="n">
        <v>304.99</v>
      </c>
      <c r="M620" s="6" t="n">
        <v>304.99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2026-09-09</t>
        </is>
      </c>
      <c r="Q620" s="4" t="inlineStr">
        <is>
          <t>Max Ferretería</t>
        </is>
      </c>
      <c r="R620" s="7" t="inlineStr">
        <is>
          <t>redondo</t>
        </is>
      </c>
      <c r="S620" s="7" t="inlineStr">
        <is>
          <t>empotrado</t>
        </is>
      </c>
      <c r="AH620" s="4" t="inlineStr">
        <is>
          <t>potencia_w: 12 · temp_k: 6500</t>
        </is>
      </c>
    </row>
    <row r="621">
      <c r="A621" s="3" t="inlineStr">
        <is>
          <t>MAT-10-062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Panel LED empotrado redondo de 18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290</v>
      </c>
      <c r="L621" s="6" t="n">
        <v>290</v>
      </c>
      <c r="M621" s="6" t="n">
        <v>290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Max Ferretería</t>
        </is>
      </c>
      <c r="R621" s="7" t="inlineStr">
        <is>
          <t>redondo</t>
        </is>
      </c>
      <c r="S621" s="7" t="inlineStr">
        <is>
          <t>empotrado</t>
        </is>
      </c>
      <c r="AH621" s="4" t="inlineStr">
        <is>
          <t>potencia_w: 18 · temp_k: 6500</t>
        </is>
      </c>
    </row>
    <row r="622">
      <c r="A622" s="3" t="inlineStr">
        <is>
          <t>MAT-10-063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Panel LED empotrado redondo de 24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650</v>
      </c>
      <c r="L622" s="6" t="n">
        <v>650</v>
      </c>
      <c r="M622" s="6" t="n">
        <v>650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2026-09-09</t>
        </is>
      </c>
      <c r="Q622" s="4" t="inlineStr">
        <is>
          <t>Max Ferretería</t>
        </is>
      </c>
      <c r="R622" s="7" t="inlineStr">
        <is>
          <t>redondo</t>
        </is>
      </c>
      <c r="S622" s="7" t="inlineStr">
        <is>
          <t>empotrado</t>
        </is>
      </c>
      <c r="AH622" s="4" t="inlineStr">
        <is>
          <t>potencia_w: 24 · temp_k: 6500</t>
        </is>
      </c>
    </row>
    <row r="623">
      <c r="A623" s="3" t="inlineStr">
        <is>
          <t>MAT-10-064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Panel LED empotrar cuadrado de 12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245</v>
      </c>
      <c r="L623" s="6" t="n">
        <v>245</v>
      </c>
      <c r="M623" s="6" t="n">
        <v>245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</t>
        </is>
      </c>
      <c r="R623" s="7" t="inlineStr">
        <is>
          <t>cuadrado</t>
        </is>
      </c>
      <c r="S623" s="7" t="inlineStr">
        <is>
          <t>empotrar</t>
        </is>
      </c>
      <c r="AH623" s="4" t="inlineStr">
        <is>
          <t>potencia_w: 12</t>
        </is>
      </c>
    </row>
    <row r="624">
      <c r="A624" s="3" t="inlineStr">
        <is>
          <t>MAT-10-065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Panel LED empotrar cuadrado de 18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349</v>
      </c>
      <c r="L624" s="6" t="n">
        <v>349</v>
      </c>
      <c r="M624" s="6" t="n">
        <v>349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Ferremix (Grupo Alterra)</t>
        </is>
      </c>
      <c r="R624" s="7" t="inlineStr">
        <is>
          <t>cuadrado</t>
        </is>
      </c>
      <c r="S624" s="7" t="inlineStr">
        <is>
          <t>empotrar</t>
        </is>
      </c>
      <c r="AH624" s="4" t="inlineStr">
        <is>
          <t>potencia_w: 18</t>
        </is>
      </c>
    </row>
    <row r="625">
      <c r="A625" s="3" t="inlineStr">
        <is>
          <t>MAT-10-066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Panel LED empotrar cuadrado de 6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159</v>
      </c>
      <c r="L625" s="6" t="n">
        <v>159</v>
      </c>
      <c r="M625" s="6" t="n">
        <v>159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R625" s="7" t="inlineStr">
        <is>
          <t>cuadrado</t>
        </is>
      </c>
      <c r="S625" s="7" t="inlineStr">
        <is>
          <t>empotrar</t>
        </is>
      </c>
      <c r="AH625" s="4" t="inlineStr">
        <is>
          <t>potencia_w: 6</t>
        </is>
      </c>
    </row>
    <row r="626">
      <c r="A626" s="3" t="inlineStr">
        <is>
          <t>MAT-10-067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Panel LED empotrar redondo de 12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297</v>
      </c>
      <c r="L626" s="6" t="n">
        <v>219</v>
      </c>
      <c r="M626" s="6" t="n">
        <v>375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</t>
        </is>
      </c>
      <c r="R626" s="7" t="inlineStr">
        <is>
          <t>redondo</t>
        </is>
      </c>
      <c r="S626" s="7" t="inlineStr">
        <is>
          <t>empotrar</t>
        </is>
      </c>
      <c r="AH626" s="4" t="inlineStr">
        <is>
          <t>potencia_w: 12</t>
        </is>
      </c>
    </row>
    <row r="627">
      <c r="A627" s="3" t="inlineStr">
        <is>
          <t>MAT-10-068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empotrar redondo de 18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325</v>
      </c>
      <c r="L627" s="6" t="n">
        <v>325</v>
      </c>
      <c r="M627" s="6" t="n">
        <v>325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Ferremix (Grupo Alterra)</t>
        </is>
      </c>
      <c r="R627" s="7" t="inlineStr">
        <is>
          <t>redondo</t>
        </is>
      </c>
      <c r="S627" s="7" t="inlineStr">
        <is>
          <t>empotrar</t>
        </is>
      </c>
      <c r="AH627" s="4" t="inlineStr">
        <is>
          <t>potencia_w: 18</t>
        </is>
      </c>
    </row>
    <row r="628">
      <c r="A628" s="3" t="inlineStr">
        <is>
          <t>MAT-10-069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Panel LED empotrar redondo de 5 W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159</v>
      </c>
      <c r="L628" s="6" t="n">
        <v>159</v>
      </c>
      <c r="M628" s="6" t="n">
        <v>159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Ferremix (Grupo Alterra)</t>
        </is>
      </c>
      <c r="R628" s="7" t="inlineStr">
        <is>
          <t>redondo</t>
        </is>
      </c>
      <c r="S628" s="7" t="inlineStr">
        <is>
          <t>empotrar</t>
        </is>
      </c>
      <c r="AH628" s="4" t="inlineStr">
        <is>
          <t>potencia_w: 5</t>
        </is>
      </c>
    </row>
    <row r="629">
      <c r="A629" s="3" t="inlineStr">
        <is>
          <t>MAT-10-070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Panel LED empotrar redondo de 6 W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155</v>
      </c>
      <c r="L629" s="6" t="n">
        <v>155</v>
      </c>
      <c r="M629" s="6" t="n">
        <v>155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Ferremix (Grupo Alterra)</t>
        </is>
      </c>
      <c r="R629" s="7" t="inlineStr">
        <is>
          <t>redondo</t>
        </is>
      </c>
      <c r="S629" s="7" t="inlineStr">
        <is>
          <t>empotrar</t>
        </is>
      </c>
      <c r="AH629" s="4" t="inlineStr">
        <is>
          <t>potencia_w: 6</t>
        </is>
      </c>
    </row>
    <row r="630">
      <c r="A630" s="3" t="inlineStr">
        <is>
          <t>MAT-10-071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Panel LED empotrar redondo de 7 W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219</v>
      </c>
      <c r="L630" s="6" t="n">
        <v>219</v>
      </c>
      <c r="M630" s="6" t="n">
        <v>219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Ferremix (Grupo Alterra)</t>
        </is>
      </c>
      <c r="R630" s="7" t="inlineStr">
        <is>
          <t>redondo</t>
        </is>
      </c>
      <c r="S630" s="7" t="inlineStr">
        <is>
          <t>empotrar</t>
        </is>
      </c>
      <c r="AH630" s="4" t="inlineStr">
        <is>
          <t>potencia_w: 7</t>
        </is>
      </c>
    </row>
    <row r="631">
      <c r="A631" s="3" t="inlineStr">
        <is>
          <t>MAT-10-072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Panel LED sobreponer redondo de 12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269</v>
      </c>
      <c r="L631" s="6" t="n">
        <v>269</v>
      </c>
      <c r="M631" s="6" t="n">
        <v>269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R631" s="7" t="inlineStr">
        <is>
          <t>redondo</t>
        </is>
      </c>
      <c r="S631" s="7" t="inlineStr">
        <is>
          <t>sobreponer</t>
        </is>
      </c>
      <c r="AH631" s="4" t="inlineStr">
        <is>
          <t>potencia_w: 12</t>
        </is>
      </c>
    </row>
    <row r="632">
      <c r="A632" s="3" t="inlineStr">
        <is>
          <t>MAT-10-073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Panel LED sobreponer redondo de 18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345</v>
      </c>
      <c r="L632" s="6" t="n">
        <v>345</v>
      </c>
      <c r="M632" s="6" t="n">
        <v>345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Ferremix (Grupo Alterra)</t>
        </is>
      </c>
      <c r="R632" s="7" t="inlineStr">
        <is>
          <t>redondo</t>
        </is>
      </c>
      <c r="S632" s="7" t="inlineStr">
        <is>
          <t>sobreponer</t>
        </is>
      </c>
      <c r="AH632" s="4" t="inlineStr">
        <is>
          <t>potencia_w: 18</t>
        </is>
      </c>
    </row>
    <row r="633">
      <c r="A633" s="3" t="inlineStr">
        <is>
          <t>MAT-10-074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Panel LED sobreponer redondo de 24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519</v>
      </c>
      <c r="L633" s="6" t="n">
        <v>519</v>
      </c>
      <c r="M633" s="6" t="n">
        <v>519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R633" s="7" t="inlineStr">
        <is>
          <t>redondo</t>
        </is>
      </c>
      <c r="S633" s="7" t="inlineStr">
        <is>
          <t>sobreponer</t>
        </is>
      </c>
      <c r="AH633" s="4" t="inlineStr">
        <is>
          <t>potencia_w: 24</t>
        </is>
      </c>
    </row>
    <row r="634">
      <c r="A634" s="3" t="inlineStr">
        <is>
          <t>MAT-10-075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Luminaria empotrada dirigible cuadrada</t>
        </is>
      </c>
      <c r="E634" s="4" t="inlineStr">
        <is>
          <t>Sin bombillo · se compra aparte</t>
        </is>
      </c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222.5</v>
      </c>
      <c r="L634" s="6" t="n">
        <v>190</v>
      </c>
      <c r="M634" s="6" t="n">
        <v>255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R634" s="7" t="inlineStr">
        <is>
          <t>cuadrada</t>
        </is>
      </c>
      <c r="AH634" s="4" t="inlineStr">
        <is>
          <t>tipo: dirigible</t>
        </is>
      </c>
    </row>
    <row r="635">
      <c r="A635" s="3" t="inlineStr">
        <is>
          <t>MAT-10-076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Luminaria empotrada dirigible redonda</t>
        </is>
      </c>
      <c r="E635" s="4" t="inlineStr">
        <is>
          <t>Sin bombillo · se compra aparte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252.5</v>
      </c>
      <c r="L635" s="6" t="n">
        <v>190</v>
      </c>
      <c r="M635" s="6" t="n">
        <v>270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R635" s="7" t="inlineStr">
        <is>
          <t>redonda</t>
        </is>
      </c>
      <c r="AH635" s="4" t="inlineStr">
        <is>
          <t>tipo: dirigible</t>
        </is>
      </c>
    </row>
    <row r="636">
      <c r="A636" s="3" t="inlineStr">
        <is>
          <t>MAT-10-077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Lámpara de emergencia recargable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1015</v>
      </c>
      <c r="L636" s="6" t="n">
        <v>1015</v>
      </c>
      <c r="M636" s="6" t="n">
        <v>1015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</row>
    <row r="637">
      <c r="A637" s="3" t="inlineStr">
        <is>
          <t>MAT-10-078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Reflector LED de 10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2</v>
      </c>
      <c r="K637" s="6" t="n">
        <v>605</v>
      </c>
      <c r="L637" s="6" t="n">
        <v>397.34</v>
      </c>
      <c r="M637" s="6" t="n">
        <v>985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Ferremix (Grupo Alterra) · Max Ferretería</t>
        </is>
      </c>
      <c r="AH637" s="4" t="inlineStr">
        <is>
          <t>potencia_w: 10 · temp_k: 6500</t>
        </is>
      </c>
    </row>
    <row r="638">
      <c r="A638" s="3" t="inlineStr">
        <is>
          <t>MAT-10-079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Reflector LED de 100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1945</v>
      </c>
      <c r="L638" s="6" t="n">
        <v>1940</v>
      </c>
      <c r="M638" s="6" t="n">
        <v>1950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AH638" s="4" t="inlineStr">
        <is>
          <t>potencia_w: 100 · temp_k: 3000</t>
        </is>
      </c>
    </row>
    <row r="639">
      <c r="A639" s="3" t="inlineStr">
        <is>
          <t>MAT-10-080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Reflector LED de 20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462.51</v>
      </c>
      <c r="L639" s="6" t="n">
        <v>462.51</v>
      </c>
      <c r="M639" s="6" t="n">
        <v>462.51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AH639" s="4" t="inlineStr">
        <is>
          <t>potencia_w: 20</t>
        </is>
      </c>
    </row>
    <row r="640">
      <c r="A640" s="3" t="inlineStr">
        <is>
          <t>MAT-10-081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Reflector LED de 200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2335</v>
      </c>
      <c r="L640" s="6" t="n">
        <v>2335</v>
      </c>
      <c r="M640" s="6" t="n">
        <v>2335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AH640" s="4" t="inlineStr">
        <is>
          <t>potencia_w: 200 · temp_k: 6500</t>
        </is>
      </c>
    </row>
    <row r="641">
      <c r="A641" s="3" t="inlineStr">
        <is>
          <t>MAT-10-082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Reflector LED de 23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455</v>
      </c>
      <c r="L641" s="6" t="n">
        <v>455</v>
      </c>
      <c r="M641" s="6" t="n">
        <v>455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AH641" s="4" t="inlineStr">
        <is>
          <t>potencia_w: 23 · temp_k: 2700</t>
        </is>
      </c>
    </row>
    <row r="642">
      <c r="A642" s="3" t="inlineStr">
        <is>
          <t>MAT-10-083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Reflector LED de 250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580</v>
      </c>
      <c r="L642" s="6" t="n">
        <v>280</v>
      </c>
      <c r="M642" s="6" t="n">
        <v>880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AH642" s="4" t="inlineStr">
        <is>
          <t>potencia_w: 250</t>
        </is>
      </c>
    </row>
    <row r="643">
      <c r="A643" s="3" t="inlineStr">
        <is>
          <t>MAT-10-084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Reflector LED de 30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972.5</v>
      </c>
      <c r="L643" s="6" t="n">
        <v>620</v>
      </c>
      <c r="M643" s="6" t="n">
        <v>1325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AH643" s="4" t="inlineStr">
        <is>
          <t>potencia_w: 30 · temp_k: 3000</t>
        </is>
      </c>
    </row>
    <row r="644">
      <c r="A644" s="3" t="inlineStr">
        <is>
          <t>MAT-10-085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Reflector LED de 50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970</v>
      </c>
      <c r="L644" s="6" t="n">
        <v>970</v>
      </c>
      <c r="M644" s="6" t="n">
        <v>970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AH644" s="4" t="inlineStr">
        <is>
          <t>potencia_w: 50 · temp_k: 3000</t>
        </is>
      </c>
    </row>
    <row r="645">
      <c r="A645" s="3" t="inlineStr">
        <is>
          <t>MAT-10-086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Tubo LED de 11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699</v>
      </c>
      <c r="L645" s="6" t="n">
        <v>699</v>
      </c>
      <c r="M645" s="6" t="n">
        <v>699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Ferremix (Grupo Alterra)</t>
        </is>
      </c>
      <c r="AH645" s="4" t="inlineStr">
        <is>
          <t>potencia_w: 11</t>
        </is>
      </c>
    </row>
    <row r="646">
      <c r="A646" s="3" t="inlineStr">
        <is>
          <t>MAT-10-087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Tubo LED de 16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249.99</v>
      </c>
      <c r="L646" s="6" t="n">
        <v>249.99</v>
      </c>
      <c r="M646" s="6" t="n">
        <v>249.99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2026-09-09</t>
        </is>
      </c>
      <c r="Q646" s="4" t="inlineStr">
        <is>
          <t>Max Ferretería</t>
        </is>
      </c>
      <c r="AH646" s="4" t="inlineStr">
        <is>
          <t>potencia_w: 16</t>
        </is>
      </c>
    </row>
    <row r="647">
      <c r="A647" s="3" t="inlineStr">
        <is>
          <t>MAT-10-088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Tubo LED de 19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785</v>
      </c>
      <c r="L647" s="6" t="n">
        <v>785</v>
      </c>
      <c r="M647" s="6" t="n">
        <v>785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AH647" s="4" t="inlineStr">
        <is>
          <t>potencia_w: 19</t>
        </is>
      </c>
    </row>
    <row r="648">
      <c r="A648" s="3" t="inlineStr">
        <is>
          <t>MAT-10-089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Tubo LED de 20.5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264.99</v>
      </c>
      <c r="L648" s="6" t="n">
        <v>264.99</v>
      </c>
      <c r="M648" s="6" t="n">
        <v>264.99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AH648" s="4" t="inlineStr">
        <is>
          <t>potencia_w: 20.5</t>
        </is>
      </c>
    </row>
    <row r="649">
      <c r="A649" s="3" t="inlineStr">
        <is>
          <t>MAT-10-090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Tubo LED de 24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889</v>
      </c>
      <c r="L649" s="6" t="n">
        <v>889</v>
      </c>
      <c r="M649" s="6" t="n">
        <v>889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AH649" s="4" t="inlineStr">
        <is>
          <t>potencia_w: 24</t>
        </is>
      </c>
    </row>
    <row r="650">
      <c r="A650" s="3" t="inlineStr">
        <is>
          <t>MAT-10-091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Tubo LED de 36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875</v>
      </c>
      <c r="L650" s="6" t="n">
        <v>875</v>
      </c>
      <c r="M650" s="6" t="n">
        <v>875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Ferremix (Grupo Alterra)</t>
        </is>
      </c>
      <c r="AH650" s="4" t="inlineStr">
        <is>
          <t>potencia_w: 36</t>
        </is>
      </c>
    </row>
    <row r="651">
      <c r="A651" s="3" t="inlineStr">
        <is>
          <t>MAT-10-092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Tubo LED de 6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505</v>
      </c>
      <c r="L651" s="6" t="n">
        <v>505</v>
      </c>
      <c r="M651" s="6" t="n">
        <v>505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Ferremix (Grupo Alterra)</t>
        </is>
      </c>
      <c r="AH651" s="4" t="inlineStr">
        <is>
          <t>potencia_w: 6</t>
        </is>
      </c>
    </row>
    <row r="652">
      <c r="A652" s="3" t="inlineStr">
        <is>
          <t>MAT-10-093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Tubo LED de 9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145</v>
      </c>
      <c r="L652" s="6" t="n">
        <v>145</v>
      </c>
      <c r="M652" s="6" t="n">
        <v>145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AH652" s="4" t="inlineStr">
        <is>
          <t>potencia_w: 9</t>
        </is>
      </c>
    </row>
    <row r="653">
      <c r="A653" s="3" t="inlineStr">
        <is>
          <t>MAT-10-094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Tubo LED de 9.9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210</v>
      </c>
      <c r="L653" s="6" t="n">
        <v>210</v>
      </c>
      <c r="M653" s="6" t="n">
        <v>210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H653" s="4" t="inlineStr">
        <is>
          <t>potencia_w: 9.9</t>
        </is>
      </c>
    </row>
    <row r="654">
      <c r="A654" s="3" t="inlineStr">
        <is>
          <t>MAT-10-095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Fotocelda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</v>
      </c>
      <c r="L654" s="6" t="n">
        <v>150</v>
      </c>
      <c r="M654" s="6" t="n">
        <v>370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AH654" s="4" t="inlineStr">
        <is>
          <t>tipo: fotocelda</t>
        </is>
      </c>
    </row>
    <row r="655">
      <c r="A655" s="3" t="inlineStr">
        <is>
          <t>MAT-10-096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Portalámparas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55</v>
      </c>
      <c r="L655" s="6" t="n">
        <v>35</v>
      </c>
      <c r="M655" s="6" t="n">
        <v>259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Ferremix (Grupo Alterra)</t>
        </is>
      </c>
      <c r="AH655" s="4" t="inlineStr">
        <is>
          <t>tipo: plástico</t>
        </is>
      </c>
    </row>
    <row r="656">
      <c r="A656" s="3" t="inlineStr">
        <is>
          <t>MAT-10-097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Portalámparas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49</v>
      </c>
      <c r="L656" s="6" t="n">
        <v>29</v>
      </c>
      <c r="M656" s="6" t="n">
        <v>299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Ferremix (Grupo Alterra)</t>
        </is>
      </c>
      <c r="AH656" s="4" t="inlineStr">
        <is>
          <t>tipo: porcelana</t>
        </is>
      </c>
    </row>
    <row r="657">
      <c r="A657" s="3" t="inlineStr">
        <is>
          <t>MAT-10-098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Roseta de techo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120</v>
      </c>
      <c r="L657" s="6" t="n">
        <v>115</v>
      </c>
      <c r="M657" s="6" t="n">
        <v>125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H657" s="4" t="inlineStr">
        <is>
          <t>tipo: roseta</t>
        </is>
      </c>
    </row>
    <row r="658">
      <c r="A658" s="3" t="inlineStr">
        <is>
          <t>MAT-10-099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Zócalo para bombillo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55</v>
      </c>
      <c r="L658" s="6" t="n">
        <v>30</v>
      </c>
      <c r="M658" s="6" t="n">
        <v>560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Max Ferretería</t>
        </is>
      </c>
      <c r="AH658" s="4" t="inlineStr">
        <is>
          <t>tipo: zocalo</t>
        </is>
      </c>
    </row>
    <row r="659">
      <c r="A659" s="3" t="inlineStr">
        <is>
          <t>MAT-10-100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Interruptor con tomacorriente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500</v>
      </c>
      <c r="L659" s="6" t="n">
        <v>465</v>
      </c>
      <c r="M659" s="6" t="n">
        <v>535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AH659" s="4" t="inlineStr">
        <is>
          <t>tipo: con tomacorriente</t>
        </is>
      </c>
    </row>
    <row r="660">
      <c r="A660" s="3" t="inlineStr">
        <is>
          <t>MAT-10-101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Interruptor conmutador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69.5</v>
      </c>
      <c r="L660" s="6" t="n">
        <v>45</v>
      </c>
      <c r="M660" s="6" t="n">
        <v>135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</t>
        </is>
      </c>
      <c r="AH660" s="4" t="inlineStr">
        <is>
          <t>tipo: conmutador</t>
        </is>
      </c>
    </row>
    <row r="661">
      <c r="A661" s="3" t="inlineStr">
        <is>
          <t>MAT-10-102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Interruptor de 3 vías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542.5</v>
      </c>
      <c r="L661" s="6" t="n">
        <v>395</v>
      </c>
      <c r="M661" s="6" t="n">
        <v>685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2026-09-09</t>
        </is>
      </c>
      <c r="Q661" s="4" t="inlineStr">
        <is>
          <t>Max Ferretería</t>
        </is>
      </c>
      <c r="AH661" s="4" t="inlineStr">
        <is>
          <t>tipo: de 3 vías</t>
        </is>
      </c>
    </row>
    <row r="662">
      <c r="A662" s="3" t="inlineStr">
        <is>
          <t>MAT-10-103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Interruptor de 4 vías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467.5</v>
      </c>
      <c r="L662" s="6" t="n">
        <v>390</v>
      </c>
      <c r="M662" s="6" t="n">
        <v>544.99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2026-09-09</t>
        </is>
      </c>
      <c r="Q662" s="4" t="inlineStr">
        <is>
          <t>Max Ferretería</t>
        </is>
      </c>
      <c r="AH662" s="4" t="inlineStr">
        <is>
          <t>tipo: de 4 vías</t>
        </is>
      </c>
    </row>
    <row r="663">
      <c r="A663" s="3" t="inlineStr">
        <is>
          <t>MAT-10-104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Interruptor dimmer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1112.5</v>
      </c>
      <c r="L663" s="6" t="n">
        <v>960</v>
      </c>
      <c r="M663" s="6" t="n">
        <v>1265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AH663" s="4" t="inlineStr">
        <is>
          <t>tipo: dimmer</t>
        </is>
      </c>
    </row>
    <row r="664">
      <c r="A664" s="3" t="inlineStr">
        <is>
          <t>MAT-10-105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Interruptor doble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190</v>
      </c>
      <c r="L664" s="6" t="n">
        <v>45</v>
      </c>
      <c r="M664" s="6" t="n">
        <v>4515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 · Max Ferretería</t>
        </is>
      </c>
      <c r="AH664" s="4" t="inlineStr">
        <is>
          <t>tipo: doble</t>
        </is>
      </c>
    </row>
    <row r="665">
      <c r="A665" s="3" t="inlineStr">
        <is>
          <t>MAT-10-106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Interruptor sencillo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94.5</v>
      </c>
      <c r="L665" s="6" t="n">
        <v>30</v>
      </c>
      <c r="M665" s="6" t="n">
        <v>275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H665" s="4" t="inlineStr">
        <is>
          <t>tipo: sencillo</t>
        </is>
      </c>
    </row>
    <row r="666">
      <c r="A666" s="3" t="inlineStr">
        <is>
          <t>MAT-10-107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Interruptor triple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2</v>
      </c>
      <c r="K666" s="6" t="n">
        <v>212.5</v>
      </c>
      <c r="L666" s="6" t="n">
        <v>60</v>
      </c>
      <c r="M666" s="6" t="n">
        <v>4440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Ferremix (Grupo Alterra) · Max Ferretería</t>
        </is>
      </c>
      <c r="AH666" s="4" t="inlineStr">
        <is>
          <t>tipo: triple</t>
        </is>
      </c>
    </row>
    <row r="667">
      <c r="A667" s="3" t="inlineStr">
        <is>
          <t>MAT-10-108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Tomacorriente con USB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817.5</v>
      </c>
      <c r="L667" s="6" t="n">
        <v>460</v>
      </c>
      <c r="M667" s="6" t="n">
        <v>1795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Ferremix (Grupo Alterra) · Max Ferretería</t>
        </is>
      </c>
      <c r="AH667" s="4" t="inlineStr">
        <is>
          <t>tipo: con USB</t>
        </is>
      </c>
    </row>
    <row r="668">
      <c r="A668" s="3" t="inlineStr">
        <is>
          <t>MAT-10-109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Tomacorriente doble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122</v>
      </c>
      <c r="L668" s="6" t="n">
        <v>34</v>
      </c>
      <c r="M668" s="6" t="n">
        <v>935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Ferremix (Grupo Alterra)</t>
        </is>
      </c>
      <c r="AH668" s="4" t="inlineStr">
        <is>
          <t>tipo: doble</t>
        </is>
      </c>
    </row>
    <row r="669">
      <c r="A669" s="3" t="inlineStr">
        <is>
          <t>MAT-10-110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Tomacorriente sencillo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60</v>
      </c>
      <c r="L669" s="6" t="n">
        <v>39</v>
      </c>
      <c r="M669" s="6" t="n">
        <v>75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H669" s="4" t="inlineStr">
        <is>
          <t>tipo: sencillo</t>
        </is>
      </c>
    </row>
    <row r="670">
      <c r="A670" s="3" t="inlineStr">
        <is>
          <t>MAT-10-111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ciega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64</v>
      </c>
      <c r="L670" s="6" t="n">
        <v>11</v>
      </c>
      <c r="M670" s="6" t="n">
        <v>156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AH670" s="4" t="inlineStr">
        <is>
          <t>tipo: ciega</t>
        </is>
      </c>
    </row>
    <row r="671">
      <c r="A671" s="3" t="inlineStr">
        <is>
          <t>MAT-10-112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doble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132.5</v>
      </c>
      <c r="L671" s="6" t="n">
        <v>15</v>
      </c>
      <c r="M671" s="6" t="n">
        <v>1199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Ferremix (Grupo Alterra)</t>
        </is>
      </c>
      <c r="AH671" s="4" t="inlineStr">
        <is>
          <t>tipo: doble</t>
        </is>
      </c>
    </row>
    <row r="672">
      <c r="A672" s="3" t="inlineStr">
        <is>
          <t>MAT-10-113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Placa de 3 módulos</t>
        </is>
      </c>
      <c r="E672" s="4" t="inlineStr">
        <is>
          <t>Solo la placa · los módulos van aparte</t>
        </is>
      </c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85</v>
      </c>
      <c r="L672" s="6" t="n">
        <v>85</v>
      </c>
      <c r="M672" s="6" t="n">
        <v>85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2026-09-09</t>
        </is>
      </c>
      <c r="Q672" s="4" t="inlineStr">
        <is>
          <t>Max Ferretería</t>
        </is>
      </c>
      <c r="AH672" s="4" t="inlineStr">
        <is>
          <t>tipo: Placa de 3 módulos</t>
        </is>
      </c>
    </row>
    <row r="673">
      <c r="A673" s="3" t="inlineStr">
        <is>
          <t>MAT-10-114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Placa de 7 módulos</t>
        </is>
      </c>
      <c r="E673" s="4" t="inlineStr">
        <is>
          <t>Solo la placa · los módulos van aparte</t>
        </is>
      </c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1620</v>
      </c>
      <c r="L673" s="6" t="n">
        <v>1620</v>
      </c>
      <c r="M673" s="6" t="n">
        <v>1620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2026-09-09</t>
        </is>
      </c>
      <c r="Q673" s="4" t="inlineStr">
        <is>
          <t>Max Ferretería</t>
        </is>
      </c>
      <c r="AH673" s="4" t="inlineStr">
        <is>
          <t>tipo: Placa de 7 módulos</t>
        </is>
      </c>
    </row>
    <row r="674">
      <c r="A674" s="3" t="inlineStr">
        <is>
          <t>MAT-10-115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Placa de pared de 2 huecos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9.99</v>
      </c>
      <c r="L674" s="6" t="n">
        <v>9.99</v>
      </c>
      <c r="M674" s="6" t="n">
        <v>9.99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Max Ferretería</t>
        </is>
      </c>
      <c r="AH674" s="4" t="inlineStr">
        <is>
          <t>tipo: Placa de pared de 2 huecos</t>
        </is>
      </c>
    </row>
    <row r="675">
      <c r="A675" s="3" t="inlineStr">
        <is>
          <t>MAT-10-116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sencilla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49</v>
      </c>
      <c r="L675" s="6" t="n">
        <v>45</v>
      </c>
      <c r="M675" s="6" t="n">
        <v>52.59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</t>
        </is>
      </c>
      <c r="AH675" s="4" t="inlineStr">
        <is>
          <t>tipo: sencilla</t>
        </is>
      </c>
    </row>
    <row r="676">
      <c r="A676" s="3" t="inlineStr">
        <is>
          <t>MAT-10-117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Tapa ciega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200</v>
      </c>
      <c r="L676" s="6" t="n">
        <v>115</v>
      </c>
      <c r="M676" s="6" t="n">
        <v>295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2026-09-09</t>
        </is>
      </c>
      <c r="Q676" s="4" t="inlineStr">
        <is>
          <t>Max Ferretería</t>
        </is>
      </c>
      <c r="AH676" s="4" t="inlineStr">
        <is>
          <t>tipo: Tapa ciega</t>
        </is>
      </c>
    </row>
    <row r="677">
      <c r="A677" s="3" t="inlineStr">
        <is>
          <t>MAT-10-118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Tapa para tomacorriente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95</v>
      </c>
      <c r="L677" s="6" t="n">
        <v>25</v>
      </c>
      <c r="M677" s="6" t="n">
        <v>100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AH677" s="4" t="inlineStr">
        <is>
          <t>tipo: Tapa para tomacorriente</t>
        </is>
      </c>
    </row>
    <row r="678">
      <c r="A678" s="3" t="inlineStr">
        <is>
          <t>MAT-10-119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triple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105</v>
      </c>
      <c r="L678" s="6" t="n">
        <v>40</v>
      </c>
      <c r="M678" s="6" t="n">
        <v>520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</t>
        </is>
      </c>
      <c r="AH678" s="4" t="inlineStr">
        <is>
          <t>tipo: triple</t>
        </is>
      </c>
    </row>
    <row r="679">
      <c r="A679" s="3" t="inlineStr">
        <is>
          <t>MAT-10-120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Adaptador de enchufe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217.51</v>
      </c>
      <c r="L679" s="6" t="n">
        <v>45.01</v>
      </c>
      <c r="M679" s="6" t="n">
        <v>1360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2026-09-09</t>
        </is>
      </c>
      <c r="Q679" s="4" t="inlineStr">
        <is>
          <t>Max Ferretería</t>
        </is>
      </c>
      <c r="AH679" s="4" t="inlineStr">
        <is>
          <t>tipo: Adaptador de enchufe</t>
        </is>
      </c>
    </row>
    <row r="680">
      <c r="A680" s="3" t="inlineStr">
        <is>
          <t>MAT-10-121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Enchufe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92.5</v>
      </c>
      <c r="L680" s="6" t="n">
        <v>50</v>
      </c>
      <c r="M680" s="6" t="n">
        <v>465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AH680" s="4" t="inlineStr">
        <is>
          <t>tipo: Enchufe</t>
        </is>
      </c>
    </row>
    <row r="681">
      <c r="A681" s="3" t="inlineStr">
        <is>
          <t>MAT-10-122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Breaker enchufable 1P de 15 A, formato fino</t>
        </is>
      </c>
      <c r="E681" s="4" t="inlineStr">
        <is>
          <t>Ocupa medio espacio · no es intercambiable con el estándar</t>
        </is>
      </c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485</v>
      </c>
      <c r="L681" s="6" t="n">
        <v>485</v>
      </c>
      <c r="M681" s="6" t="n">
        <v>485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W681" s="7" t="inlineStr">
        <is>
          <t>fino</t>
        </is>
      </c>
      <c r="AH681" s="4" t="inlineStr">
        <is>
          <t>polos: 1 · amperaje: 15</t>
        </is>
      </c>
    </row>
    <row r="682">
      <c r="A682" s="3" t="inlineStr">
        <is>
          <t>MAT-10-123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Breaker enchufable 1P de 20 A, formato fino</t>
        </is>
      </c>
      <c r="E682" s="4" t="inlineStr">
        <is>
          <t>Ocupa medio espacio · no es intercambiable con el estándar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500</v>
      </c>
      <c r="L682" s="6" t="n">
        <v>500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W682" s="7" t="inlineStr">
        <is>
          <t>fino</t>
        </is>
      </c>
      <c r="AH682" s="4" t="inlineStr">
        <is>
          <t>polos: 1 · amperaje: 20</t>
        </is>
      </c>
    </row>
    <row r="683">
      <c r="A683" s="3" t="inlineStr">
        <is>
          <t>MAT-10-124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Breaker enchufable 1P de 30 A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470.01</v>
      </c>
      <c r="L683" s="6" t="n">
        <v>470.01</v>
      </c>
      <c r="M683" s="6" t="n">
        <v>470.01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H683" s="4" t="inlineStr">
        <is>
          <t>polos: 1 · amperaje: 30</t>
        </is>
      </c>
    </row>
    <row r="684">
      <c r="A684" s="3" t="inlineStr">
        <is>
          <t>MAT-10-125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Breaker enchufable 1P de 30 A, formato fino</t>
        </is>
      </c>
      <c r="E684" s="4" t="inlineStr">
        <is>
          <t>Ocupa medio espacio · no es intercambiable con el estándar</t>
        </is>
      </c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505</v>
      </c>
      <c r="L684" s="6" t="n">
        <v>505</v>
      </c>
      <c r="M684" s="6" t="n">
        <v>505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W684" s="7" t="inlineStr">
        <is>
          <t>fino</t>
        </is>
      </c>
      <c r="AH684" s="4" t="inlineStr">
        <is>
          <t>polos: 1 · amperaje: 30</t>
        </is>
      </c>
    </row>
    <row r="685">
      <c r="A685" s="3" t="inlineStr">
        <is>
          <t>MAT-10-126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Breaker enchufable 1P de 40 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170</v>
      </c>
      <c r="L685" s="6" t="n">
        <v>170</v>
      </c>
      <c r="M685" s="6" t="n">
        <v>170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Ferremix (Grupo Alterra)</t>
        </is>
      </c>
      <c r="AH685" s="4" t="inlineStr">
        <is>
          <t>polos: 1 · amperaje: 40</t>
        </is>
      </c>
    </row>
    <row r="686">
      <c r="A686" s="3" t="inlineStr">
        <is>
          <t>MAT-10-127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Breaker enchufable 1P de 60 A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815</v>
      </c>
      <c r="L686" s="6" t="n">
        <v>815</v>
      </c>
      <c r="M686" s="6" t="n">
        <v>815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H686" s="4" t="inlineStr">
        <is>
          <t>polos: 1 · amperaje: 60</t>
        </is>
      </c>
    </row>
    <row r="687">
      <c r="A687" s="3" t="inlineStr">
        <is>
          <t>MAT-10-128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Breaker enchufable 2P de 20 A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1134.99</v>
      </c>
      <c r="L687" s="6" t="n">
        <v>1134.99</v>
      </c>
      <c r="M687" s="6" t="n">
        <v>1134.99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AH687" s="4" t="inlineStr">
        <is>
          <t>polos: 2 · amperaje: 20</t>
        </is>
      </c>
    </row>
    <row r="688">
      <c r="A688" s="3" t="inlineStr">
        <is>
          <t>MAT-10-129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Breaker enchufable 2P de 20 A, formato fino</t>
        </is>
      </c>
      <c r="E688" s="4" t="inlineStr">
        <is>
          <t>Ocupa medio espacio · no es intercambiable con el estándar</t>
        </is>
      </c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1195</v>
      </c>
      <c r="L688" s="6" t="n">
        <v>1195</v>
      </c>
      <c r="M688" s="6" t="n">
        <v>1195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W688" s="7" t="inlineStr">
        <is>
          <t>fino</t>
        </is>
      </c>
      <c r="AH688" s="4" t="inlineStr">
        <is>
          <t>polos: 2 · amperaje: 20</t>
        </is>
      </c>
    </row>
    <row r="689">
      <c r="A689" s="3" t="inlineStr">
        <is>
          <t>MAT-10-130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Breaker enchufable 2P de 30 A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1134.99</v>
      </c>
      <c r="L689" s="6" t="n">
        <v>1134.99</v>
      </c>
      <c r="M689" s="6" t="n">
        <v>1134.99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H689" s="4" t="inlineStr">
        <is>
          <t>polos: 2 · amperaje: 30</t>
        </is>
      </c>
    </row>
    <row r="690">
      <c r="A690" s="3" t="inlineStr">
        <is>
          <t>MAT-10-131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Breaker enchufable 2P de 30 A, formato fino</t>
        </is>
      </c>
      <c r="E690" s="4" t="inlineStr">
        <is>
          <t>Ocupa medio espacio · no es intercambiable con el estándar</t>
        </is>
      </c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1165</v>
      </c>
      <c r="L690" s="6" t="n">
        <v>1165</v>
      </c>
      <c r="M690" s="6" t="n">
        <v>1165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W690" s="7" t="inlineStr">
        <is>
          <t>fino</t>
        </is>
      </c>
      <c r="AH690" s="4" t="inlineStr">
        <is>
          <t>polos: 2 · amperaje: 30</t>
        </is>
      </c>
    </row>
    <row r="691">
      <c r="A691" s="3" t="inlineStr">
        <is>
          <t>MAT-10-132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Breaker enchufable 2P de 40 A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1134.99</v>
      </c>
      <c r="L691" s="6" t="n">
        <v>1134.99</v>
      </c>
      <c r="M691" s="6" t="n">
        <v>1134.99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AH691" s="4" t="inlineStr">
        <is>
          <t>polos: 2 · amperaje: 40</t>
        </is>
      </c>
    </row>
    <row r="692">
      <c r="A692" s="3" t="inlineStr">
        <is>
          <t>MAT-10-133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Breaker enchufable 2P de 60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1189.99</v>
      </c>
      <c r="L692" s="6" t="n">
        <v>1189.99</v>
      </c>
      <c r="M692" s="6" t="n">
        <v>1189.99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H692" s="4" t="inlineStr">
        <is>
          <t>polos: 2 · amperaje: 60</t>
        </is>
      </c>
    </row>
    <row r="693">
      <c r="A693" s="3" t="inlineStr">
        <is>
          <t>MAT-10-134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de breakers de 16 espacios</t>
        </is>
      </c>
      <c r="E693" s="4" t="inlineStr">
        <is>
          <t>Solo la caja · los breakers van aparte</t>
        </is>
      </c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4755</v>
      </c>
      <c r="L693" s="6" t="n">
        <v>4755</v>
      </c>
      <c r="M693" s="6" t="n">
        <v>4755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AH693" s="4" t="inlineStr">
        <is>
          <t>espacios: 16</t>
        </is>
      </c>
    </row>
    <row r="694">
      <c r="A694" s="3" t="inlineStr">
        <is>
          <t>MAT-10-135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de breakers de 8 espacios</t>
        </is>
      </c>
      <c r="E694" s="4" t="inlineStr">
        <is>
          <t>Solo la caja · los breakers van aparte</t>
        </is>
      </c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566</v>
      </c>
      <c r="L694" s="6" t="n">
        <v>566</v>
      </c>
      <c r="M694" s="6" t="n">
        <v>566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AH694" s="4" t="inlineStr">
        <is>
          <t>espacios: 8</t>
        </is>
      </c>
    </row>
    <row r="695">
      <c r="A695" s="3" t="inlineStr">
        <is>
          <t>MAT-10-136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Caja de breaker principal de 125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6160</v>
      </c>
      <c r="L695" s="6" t="n">
        <v>6160</v>
      </c>
      <c r="M695" s="6" t="n">
        <v>6160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H695" s="4" t="inlineStr">
        <is>
          <t>amperaje: 125</t>
        </is>
      </c>
    </row>
    <row r="696">
      <c r="A696" s="3" t="inlineStr">
        <is>
          <t>MAT-10-137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Caja de breaker principal de 25 A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815</v>
      </c>
      <c r="L696" s="6" t="n">
        <v>815</v>
      </c>
      <c r="M696" s="6" t="n">
        <v>815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H696" s="4" t="inlineStr">
        <is>
          <t>amperaje: 25</t>
        </is>
      </c>
    </row>
    <row r="697">
      <c r="A697" s="3" t="inlineStr">
        <is>
          <t>MAT-10-138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Caja de breaker principal de 32 A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700</v>
      </c>
      <c r="L697" s="6" t="n">
        <v>700</v>
      </c>
      <c r="M697" s="6" t="n">
        <v>700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AH697" s="4" t="inlineStr">
        <is>
          <t>amperaje: 32</t>
        </is>
      </c>
    </row>
    <row r="698">
      <c r="A698" s="3" t="inlineStr">
        <is>
          <t>MAT-10-139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Switch de doble tiro 2P de 30 A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675</v>
      </c>
      <c r="L698" s="6" t="n">
        <v>675</v>
      </c>
      <c r="M698" s="6" t="n">
        <v>675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H698" s="4" t="inlineStr">
        <is>
          <t>polos: 2 · amperaje: 30</t>
        </is>
      </c>
    </row>
    <row r="699">
      <c r="A699" s="3" t="inlineStr">
        <is>
          <t>MAT-10-140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Switch de doble tiro 2P de 60 A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1805</v>
      </c>
      <c r="L699" s="6" t="n">
        <v>1805</v>
      </c>
      <c r="M699" s="6" t="n">
        <v>1805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AH699" s="4" t="inlineStr">
        <is>
          <t>polos: 2 · amperaje: 60</t>
        </is>
      </c>
    </row>
    <row r="700">
      <c r="A700" s="3" t="inlineStr">
        <is>
          <t>MAT-10-141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Fusible de 30 A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50</v>
      </c>
      <c r="L700" s="6" t="n">
        <v>50</v>
      </c>
      <c r="M700" s="6" t="n">
        <v>50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H700" s="4" t="inlineStr">
        <is>
          <t>amperaje: 30</t>
        </is>
      </c>
    </row>
    <row r="701">
      <c r="A701" s="3" t="inlineStr">
        <is>
          <t>MAT-10-142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Fusible de 60 A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140</v>
      </c>
      <c r="L701" s="6" t="n">
        <v>140</v>
      </c>
      <c r="M701" s="6" t="n">
        <v>140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H701" s="4" t="inlineStr">
        <is>
          <t>amperaje: 60</t>
        </is>
      </c>
    </row>
    <row r="702">
      <c r="A702" s="3" t="inlineStr">
        <is>
          <t>MAT-10-143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Protector de voltaje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950.01</v>
      </c>
      <c r="L702" s="6" t="n">
        <v>745</v>
      </c>
      <c r="M702" s="6" t="n">
        <v>1610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H702" s="4" t="inlineStr">
        <is>
          <t>tipo: Protector de voltaje</t>
        </is>
      </c>
    </row>
    <row r="703">
      <c r="A703" s="3" t="inlineStr">
        <is>
          <t>MAT-10-144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Regulador de voltaje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1395</v>
      </c>
      <c r="L703" s="6" t="n">
        <v>1395</v>
      </c>
      <c r="M703" s="6" t="n">
        <v>1395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H703" s="4" t="inlineStr">
        <is>
          <t>tipo: Regulador de voltaje</t>
        </is>
      </c>
    </row>
    <row r="704">
      <c r="A704" s="3" t="inlineStr">
        <is>
          <t>MAT-10-145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Tubo eléctrico EMT 1 1/2" x 10 pies</t>
        </is>
      </c>
      <c r="E704" s="4" t="inlineStr"/>
      <c r="F704" s="3" t="inlineStr">
        <is>
          <t>tubo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725</v>
      </c>
      <c r="L704" s="6" t="n">
        <v>725</v>
      </c>
      <c r="M704" s="6" t="n">
        <v>725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B704" s="7" t="n">
        <v>10</v>
      </c>
      <c r="AH704" s="4" t="inlineStr">
        <is>
          <t>material: EMT · medida: 1 1/2"</t>
        </is>
      </c>
    </row>
    <row r="705">
      <c r="A705" s="3" t="inlineStr">
        <is>
          <t>MAT-10-146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Tubo eléctrico EMT 1" x 10 pies</t>
        </is>
      </c>
      <c r="E705" s="4" t="inlineStr"/>
      <c r="F705" s="3" t="inlineStr">
        <is>
          <t>tubo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375</v>
      </c>
      <c r="L705" s="6" t="n">
        <v>375</v>
      </c>
      <c r="M705" s="6" t="n">
        <v>375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B705" s="7" t="n">
        <v>10</v>
      </c>
      <c r="AH705" s="4" t="inlineStr">
        <is>
          <t>material: EMT · medida: 1"</t>
        </is>
      </c>
    </row>
    <row r="706">
      <c r="A706" s="3" t="inlineStr">
        <is>
          <t>MAT-10-147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Tubo eléctrico EMT 3/4" x 10 pies</t>
        </is>
      </c>
      <c r="E706" s="4" t="inlineStr"/>
      <c r="F706" s="3" t="inlineStr">
        <is>
          <t>tubo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310</v>
      </c>
      <c r="L706" s="6" t="n">
        <v>310</v>
      </c>
      <c r="M706" s="6" t="n">
        <v>310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B706" s="7" t="n">
        <v>10</v>
      </c>
      <c r="AH706" s="4" t="inlineStr">
        <is>
          <t>material: EMT · medida: 3/4"</t>
        </is>
      </c>
    </row>
    <row r="707">
      <c r="A707" s="3" t="inlineStr">
        <is>
          <t>MAT-10-148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Tubería flexible BX 1/2"</t>
        </is>
      </c>
      <c r="E707" s="4" t="inlineStr">
        <is>
          <t>La ficha no declara el largo del rollo</t>
        </is>
      </c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25</v>
      </c>
      <c r="L707" s="6" t="n">
        <v>25</v>
      </c>
      <c r="M707" s="6" t="n">
        <v>25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H707" s="4" t="inlineStr">
        <is>
          <t>material: BX · medida: 1/2"</t>
        </is>
      </c>
    </row>
    <row r="708">
      <c r="A708" s="3" t="inlineStr">
        <is>
          <t>MAT-10-149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Tubería flexible BX 3/4"</t>
        </is>
      </c>
      <c r="E708" s="4" t="inlineStr">
        <is>
          <t>La ficha no declara el largo del rollo</t>
        </is>
      </c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35</v>
      </c>
      <c r="L708" s="6" t="n">
        <v>35</v>
      </c>
      <c r="M708" s="6" t="n">
        <v>35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H708" s="4" t="inlineStr">
        <is>
          <t>material: BX · medida: 3/4"</t>
        </is>
      </c>
    </row>
    <row r="709">
      <c r="A709" s="3" t="inlineStr">
        <is>
          <t>MAT-10-150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Tubería flexible liquid tight 3/4"</t>
        </is>
      </c>
      <c r="E709" s="4" t="inlineStr">
        <is>
          <t>La ficha no declara el largo del rollo</t>
        </is>
      </c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77.51000000000001</v>
      </c>
      <c r="L709" s="6" t="n">
        <v>45.01</v>
      </c>
      <c r="M709" s="6" t="n">
        <v>110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H709" s="4" t="inlineStr">
        <is>
          <t>material: liquid tight · medida: 3/4"</t>
        </is>
      </c>
    </row>
    <row r="710">
      <c r="A710" s="3" t="inlineStr">
        <is>
          <t>MAT-10-151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Canaleta plástica 11 x 10 mm</t>
        </is>
      </c>
      <c r="E710" s="4" t="inlineStr"/>
      <c r="F710" s="3" t="inlineStr">
        <is>
          <t>tramo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115</v>
      </c>
      <c r="L710" s="6" t="n">
        <v>115</v>
      </c>
      <c r="M710" s="6" t="n">
        <v>115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H710" s="4" t="inlineStr">
        <is>
          <t>medida: 11 x 10 mm</t>
        </is>
      </c>
    </row>
    <row r="711">
      <c r="A711" s="3" t="inlineStr">
        <is>
          <t>MAT-10-152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Canaleta plástica 15 x 10 mm</t>
        </is>
      </c>
      <c r="E711" s="4" t="inlineStr"/>
      <c r="F711" s="3" t="inlineStr">
        <is>
          <t>tramo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119.99</v>
      </c>
      <c r="L711" s="6" t="n">
        <v>119.99</v>
      </c>
      <c r="M711" s="6" t="n">
        <v>119.99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H711" s="4" t="inlineStr">
        <is>
          <t>medida: 15 x 10 mm</t>
        </is>
      </c>
    </row>
    <row r="712">
      <c r="A712" s="3" t="inlineStr">
        <is>
          <t>MAT-10-153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Canaleta plástica 15 x 12 mm</t>
        </is>
      </c>
      <c r="E712" s="4" t="inlineStr"/>
      <c r="F712" s="3" t="inlineStr">
        <is>
          <t>tramo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135</v>
      </c>
      <c r="L712" s="6" t="n">
        <v>135</v>
      </c>
      <c r="M712" s="6" t="n">
        <v>135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H712" s="4" t="inlineStr">
        <is>
          <t>medida: 15 x 12 mm</t>
        </is>
      </c>
    </row>
    <row r="713">
      <c r="A713" s="3" t="inlineStr">
        <is>
          <t>MAT-10-154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Canaleta plástica 20 x 10 mm</t>
        </is>
      </c>
      <c r="E713" s="4" t="inlineStr"/>
      <c r="F713" s="3" t="inlineStr">
        <is>
          <t>tramo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150</v>
      </c>
      <c r="L713" s="6" t="n">
        <v>150</v>
      </c>
      <c r="M713" s="6" t="n">
        <v>150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AH713" s="4" t="inlineStr">
        <is>
          <t>medida: 20 x 10 mm</t>
        </is>
      </c>
    </row>
    <row r="714">
      <c r="A714" s="3" t="inlineStr">
        <is>
          <t>MAT-10-155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Canaleta plástica 25 x 15 mm</t>
        </is>
      </c>
      <c r="E714" s="4" t="inlineStr"/>
      <c r="F714" s="3" t="inlineStr">
        <is>
          <t>tramo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200</v>
      </c>
      <c r="L714" s="6" t="n">
        <v>200</v>
      </c>
      <c r="M714" s="6" t="n">
        <v>200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AH714" s="4" t="inlineStr">
        <is>
          <t>medida: 25 x 15 mm</t>
        </is>
      </c>
    </row>
    <row r="715">
      <c r="A715" s="3" t="inlineStr">
        <is>
          <t>MAT-10-156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Canaleta plástica 32 x 15 mm</t>
        </is>
      </c>
      <c r="E715" s="4" t="inlineStr"/>
      <c r="F715" s="3" t="inlineStr">
        <is>
          <t>tramo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215</v>
      </c>
      <c r="L715" s="6" t="n">
        <v>215</v>
      </c>
      <c r="M715" s="6" t="n">
        <v>215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AH715" s="4" t="inlineStr">
        <is>
          <t>medida: 32 x 15 mm</t>
        </is>
      </c>
    </row>
    <row r="716">
      <c r="A716" s="3" t="inlineStr">
        <is>
          <t>MAT-10-157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Canaleta plástica 40 x 15 mm</t>
        </is>
      </c>
      <c r="E716" s="4" t="inlineStr"/>
      <c r="F716" s="3" t="inlineStr">
        <is>
          <t>tramo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320</v>
      </c>
      <c r="L716" s="6" t="n">
        <v>320</v>
      </c>
      <c r="M716" s="6" t="n">
        <v>320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H716" s="4" t="inlineStr">
        <is>
          <t>medida: 40 x 15 mm</t>
        </is>
      </c>
    </row>
    <row r="717">
      <c r="A717" s="3" t="inlineStr">
        <is>
          <t>MAT-10-158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Canaleta plástica 60 x 40 mm</t>
        </is>
      </c>
      <c r="E717" s="4" t="inlineStr"/>
      <c r="F717" s="3" t="inlineStr">
        <is>
          <t>tramo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550</v>
      </c>
      <c r="L717" s="6" t="n">
        <v>550</v>
      </c>
      <c r="M717" s="6" t="n">
        <v>550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H717" s="4" t="inlineStr">
        <is>
          <t>medida: 60 x 40 mm</t>
        </is>
      </c>
    </row>
    <row r="718">
      <c r="A718" s="3" t="inlineStr">
        <is>
          <t>MAT-10-159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Canaleta plástica 80 x 40 mm</t>
        </is>
      </c>
      <c r="E718" s="4" t="inlineStr"/>
      <c r="F718" s="3" t="inlineStr">
        <is>
          <t>tramo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745</v>
      </c>
      <c r="L718" s="6" t="n">
        <v>745</v>
      </c>
      <c r="M718" s="6" t="n">
        <v>745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H718" s="4" t="inlineStr">
        <is>
          <t>medida: 80 x 40 mm</t>
        </is>
      </c>
    </row>
    <row r="719">
      <c r="A719" s="3" t="inlineStr">
        <is>
          <t>MAT-10-160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Caja eléctrica octagonal de metal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115</v>
      </c>
      <c r="L719" s="6" t="n">
        <v>115</v>
      </c>
      <c r="M719" s="6" t="n">
        <v>115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R719" s="7" t="inlineStr">
        <is>
          <t>octagonal</t>
        </is>
      </c>
      <c r="AH719" s="4" t="inlineStr">
        <is>
          <t>material: metal</t>
        </is>
      </c>
    </row>
    <row r="720">
      <c r="A720" s="3" t="inlineStr">
        <is>
          <t>MAT-10-161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Caja eléctrica rectangular de metal 2 x 4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40.5</v>
      </c>
      <c r="L720" s="6" t="n">
        <v>40</v>
      </c>
      <c r="M720" s="6" t="n">
        <v>41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R720" s="7" t="inlineStr">
        <is>
          <t>rectangular</t>
        </is>
      </c>
      <c r="AH720" s="4" t="inlineStr">
        <is>
          <t>material: metal · medida: 2 x 4</t>
        </is>
      </c>
    </row>
    <row r="721">
      <c r="A721" s="3" t="inlineStr">
        <is>
          <t>MAT-10-162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Caja eléctrica rectangular de PVC 2 x 4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45.01</v>
      </c>
      <c r="L721" s="6" t="n">
        <v>45.01</v>
      </c>
      <c r="M721" s="6" t="n">
        <v>45.01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R721" s="7" t="inlineStr">
        <is>
          <t>rectangular</t>
        </is>
      </c>
      <c r="AH721" s="4" t="inlineStr">
        <is>
          <t>material: PVC · medida: 2 x 4</t>
        </is>
      </c>
    </row>
    <row r="722">
      <c r="A722" s="3" t="inlineStr">
        <is>
          <t>MAT-10-163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Abrazadera para tubo eléctrico 1/2"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4</v>
      </c>
      <c r="L722" s="6" t="n">
        <v>4</v>
      </c>
      <c r="M722" s="6" t="n">
        <v>4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Max Ferretería</t>
        </is>
      </c>
      <c r="AH722" s="4" t="inlineStr">
        <is>
          <t>medida: 1/2"</t>
        </is>
      </c>
    </row>
    <row r="723">
      <c r="A723" s="3" t="inlineStr">
        <is>
          <t>MAT-10-164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Abrazadera para tubo eléctrico 1/2", 2 huecos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5</v>
      </c>
      <c r="L723" s="6" t="n">
        <v>5</v>
      </c>
      <c r="M723" s="6" t="n">
        <v>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Max Ferretería</t>
        </is>
      </c>
      <c r="AH723" s="4" t="inlineStr">
        <is>
          <t>medida: 1/2" · huecos: 2</t>
        </is>
      </c>
    </row>
    <row r="724">
      <c r="A724" s="3" t="inlineStr">
        <is>
          <t>MAT-10-165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Abrazadera para tubo eléctrico 1"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7</v>
      </c>
      <c r="L724" s="6" t="n">
        <v>7</v>
      </c>
      <c r="M724" s="6" t="n">
        <v>7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Max Ferretería</t>
        </is>
      </c>
      <c r="AH724" s="4" t="inlineStr">
        <is>
          <t>medida: 1"</t>
        </is>
      </c>
    </row>
    <row r="725">
      <c r="A725" s="3" t="inlineStr">
        <is>
          <t>MAT-10-166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Abrazadera para tubo eléctrico 2"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35</v>
      </c>
      <c r="L725" s="6" t="n">
        <v>35</v>
      </c>
      <c r="M725" s="6" t="n">
        <v>35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Max Ferretería</t>
        </is>
      </c>
      <c r="AH725" s="4" t="inlineStr">
        <is>
          <t>medida: 2"</t>
        </is>
      </c>
    </row>
    <row r="726">
      <c r="A726" s="3" t="inlineStr">
        <is>
          <t>MAT-10-167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Abrazadera para tubo eléctrico 3/4"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4</v>
      </c>
      <c r="L726" s="6" t="n">
        <v>4</v>
      </c>
      <c r="M726" s="6" t="n">
        <v>4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Max Ferretería</t>
        </is>
      </c>
      <c r="AH726" s="4" t="inlineStr">
        <is>
          <t>medida: 3/4"</t>
        </is>
      </c>
    </row>
    <row r="727">
      <c r="A727" s="3" t="inlineStr">
        <is>
          <t>MAT-10-168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Abrazadera para tubo eléctrico 3"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64.98999999999999</v>
      </c>
      <c r="L727" s="6" t="n">
        <v>64.98999999999999</v>
      </c>
      <c r="M727" s="6" t="n">
        <v>64.98999999999999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Max Ferretería</t>
        </is>
      </c>
      <c r="AH727" s="4" t="inlineStr">
        <is>
          <t>medida: 3"</t>
        </is>
      </c>
    </row>
    <row r="728">
      <c r="A728" s="3" t="inlineStr">
        <is>
          <t>MAT-10-169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Codo conduit de PVC 1 1/2"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45.6</v>
      </c>
      <c r="L728" s="6" t="n">
        <v>45.6</v>
      </c>
      <c r="M728" s="6" t="n">
        <v>45.6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Ferretería MC</t>
        </is>
      </c>
      <c r="AH728" s="4" t="inlineStr">
        <is>
          <t>tipo: codo · medida: 1 1/2"</t>
        </is>
      </c>
    </row>
    <row r="729">
      <c r="A729" s="3" t="inlineStr">
        <is>
          <t>MAT-10-170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Codo conduit de PVC 1/2"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8.99</v>
      </c>
      <c r="L729" s="6" t="n">
        <v>8.99</v>
      </c>
      <c r="M729" s="6" t="n">
        <v>8.99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Ferretería MC</t>
        </is>
      </c>
      <c r="AH729" s="4" t="inlineStr">
        <is>
          <t>tipo: codo · medida: 1/2"</t>
        </is>
      </c>
    </row>
    <row r="730">
      <c r="A730" s="3" t="inlineStr">
        <is>
          <t>MAT-10-171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Codo conduit de PVC 1"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17.89</v>
      </c>
      <c r="L730" s="6" t="n">
        <v>17.89</v>
      </c>
      <c r="M730" s="6" t="n">
        <v>17.89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Ferretería MC</t>
        </is>
      </c>
      <c r="AH730" s="4" t="inlineStr">
        <is>
          <t>tipo: codo · medida: 1"</t>
        </is>
      </c>
    </row>
    <row r="731">
      <c r="A731" s="3" t="inlineStr">
        <is>
          <t>MAT-10-172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Codo conduit de PVC 2"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65.88</v>
      </c>
      <c r="L731" s="6" t="n">
        <v>65.88</v>
      </c>
      <c r="M731" s="6" t="n">
        <v>65.88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Ferretería MC</t>
        </is>
      </c>
      <c r="AH731" s="4" t="inlineStr">
        <is>
          <t>tipo: codo · medida: 2"</t>
        </is>
      </c>
    </row>
    <row r="732">
      <c r="A732" s="3" t="inlineStr">
        <is>
          <t>MAT-10-173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Codo conduit de PVC 3/4"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10.77</v>
      </c>
      <c r="L732" s="6" t="n">
        <v>10.77</v>
      </c>
      <c r="M732" s="6" t="n">
        <v>10.77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Ferretería MC</t>
        </is>
      </c>
      <c r="AH732" s="4" t="inlineStr">
        <is>
          <t>tipo: codo · medida: 3/4"</t>
        </is>
      </c>
    </row>
    <row r="733">
      <c r="A733" s="3" t="inlineStr">
        <is>
          <t>MAT-10-174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Codo conduit de PVC 3"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195.41</v>
      </c>
      <c r="L733" s="6" t="n">
        <v>195.41</v>
      </c>
      <c r="M733" s="6" t="n">
        <v>195.41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Ferretería MC</t>
        </is>
      </c>
      <c r="AH733" s="4" t="inlineStr">
        <is>
          <t>tipo: codo · medida: 3"</t>
        </is>
      </c>
    </row>
    <row r="734">
      <c r="A734" s="3" t="inlineStr">
        <is>
          <t>MAT-10-175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Codo conduit de PVC 4"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367.2</v>
      </c>
      <c r="L734" s="6" t="n">
        <v>367.2</v>
      </c>
      <c r="M734" s="6" t="n">
        <v>367.2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2026-09-09</t>
        </is>
      </c>
      <c r="Q734" s="4" t="inlineStr">
        <is>
          <t>Ferretería MC</t>
        </is>
      </c>
      <c r="AH734" s="4" t="inlineStr">
        <is>
          <t>tipo: codo · medida: 4"</t>
        </is>
      </c>
    </row>
    <row r="735">
      <c r="A735" s="3" t="inlineStr">
        <is>
          <t>MAT-10-176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Abrazadera plástica de 10"</t>
        </is>
      </c>
      <c r="E735" s="4" t="inlineStr">
        <is>
          <t>La ficha no declara cuántas trae el paquete</t>
        </is>
      </c>
      <c r="F735" s="3" t="inlineStr">
        <is>
          <t>paquete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150</v>
      </c>
      <c r="L735" s="6" t="n">
        <v>150</v>
      </c>
      <c r="M735" s="6" t="n">
        <v>150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2026-09-09</t>
        </is>
      </c>
      <c r="Q735" s="4" t="inlineStr">
        <is>
          <t>Max Ferretería</t>
        </is>
      </c>
      <c r="AH735" s="4" t="inlineStr">
        <is>
          <t>largo_pulg: 10</t>
        </is>
      </c>
    </row>
    <row r="736">
      <c r="A736" s="3" t="inlineStr">
        <is>
          <t>MAT-10-177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Abrazadera plástica de 12"</t>
        </is>
      </c>
      <c r="E736" s="4" t="inlineStr">
        <is>
          <t>La ficha no declara cuántas trae el paquete</t>
        </is>
      </c>
      <c r="F736" s="3" t="inlineStr">
        <is>
          <t>paquete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2.42</v>
      </c>
      <c r="L736" s="6" t="n">
        <v>1.99</v>
      </c>
      <c r="M736" s="6" t="n">
        <v>2.86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2026-09-09</t>
        </is>
      </c>
      <c r="Q736" s="4" t="inlineStr">
        <is>
          <t>Max Ferretería</t>
        </is>
      </c>
      <c r="AH736" s="4" t="inlineStr">
        <is>
          <t>largo_pulg: 12</t>
        </is>
      </c>
    </row>
    <row r="737">
      <c r="A737" s="3" t="inlineStr">
        <is>
          <t>MAT-10-178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Abrazadera plástica de 8"</t>
        </is>
      </c>
      <c r="E737" s="4" t="inlineStr">
        <is>
          <t>La ficha no declara cuántas trae el paquete</t>
        </is>
      </c>
      <c r="F737" s="3" t="inlineStr">
        <is>
          <t>paquete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95</v>
      </c>
      <c r="L737" s="6" t="n">
        <v>85</v>
      </c>
      <c r="M737" s="6" t="n">
        <v>105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2026-09-09</t>
        </is>
      </c>
      <c r="Q737" s="4" t="inlineStr">
        <is>
          <t>Max Ferretería</t>
        </is>
      </c>
      <c r="AH737" s="4" t="inlineStr">
        <is>
          <t>largo_pulg: 8</t>
        </is>
      </c>
    </row>
    <row r="738">
      <c r="A738" s="3" t="inlineStr">
        <is>
          <t>MAT-10-179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Cinta aislante 15 mts</t>
        </is>
      </c>
      <c r="E738" s="4" t="inlineStr"/>
      <c r="F738" s="3" t="inlineStr">
        <is>
          <t>rollo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1125</v>
      </c>
      <c r="L738" s="6" t="n">
        <v>1125</v>
      </c>
      <c r="M738" s="6" t="n">
        <v>1125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Max Ferretería</t>
        </is>
      </c>
      <c r="AH738" s="4" t="inlineStr">
        <is>
          <t>medida: 15 mts</t>
        </is>
      </c>
    </row>
    <row r="739">
      <c r="A739" s="3" t="inlineStr">
        <is>
          <t>MAT-10-180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Cinta aislante 3 m</t>
        </is>
      </c>
      <c r="E739" s="4" t="inlineStr"/>
      <c r="F739" s="3" t="inlineStr">
        <is>
          <t>rollo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787.5</v>
      </c>
      <c r="L739" s="6" t="n">
        <v>135</v>
      </c>
      <c r="M739" s="6" t="n">
        <v>2115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Max Ferretería</t>
        </is>
      </c>
      <c r="AH739" s="4" t="inlineStr">
        <is>
          <t>medida: 3 m</t>
        </is>
      </c>
    </row>
    <row r="740">
      <c r="A740" s="3" t="inlineStr">
        <is>
          <t>MAT-10-181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Cinta aislante 30 mts</t>
        </is>
      </c>
      <c r="E740" s="4" t="inlineStr"/>
      <c r="F740" s="3" t="inlineStr">
        <is>
          <t>rollo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1730</v>
      </c>
      <c r="L740" s="6" t="n">
        <v>1730</v>
      </c>
      <c r="M740" s="6" t="n">
        <v>1730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Max Ferretería</t>
        </is>
      </c>
      <c r="AH740" s="4" t="inlineStr">
        <is>
          <t>medida: 30 mts</t>
        </is>
      </c>
    </row>
    <row r="741">
      <c r="A741" s="3" t="inlineStr">
        <is>
          <t>MAT-10-182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Cable THHN #1, rollo 100 pies</t>
        </is>
      </c>
      <c r="E741" s="4" t="inlineStr">
        <is>
          <t>Cobre · 600 V</t>
        </is>
      </c>
      <c r="F741" s="3" t="inlineStr">
        <is>
          <t>rollo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325</v>
      </c>
      <c r="L741" s="6" t="n">
        <v>325</v>
      </c>
      <c r="M741" s="6" t="n">
        <v>325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Ferremix (Grupo Alterra)</t>
        </is>
      </c>
      <c r="AE741" s="7" t="n">
        <v>1</v>
      </c>
    </row>
    <row r="742">
      <c r="A742" s="3" t="inlineStr">
        <is>
          <t>MAT-10-183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Cable THHN #12, rollo 100 pies</t>
        </is>
      </c>
      <c r="E742" s="4" t="inlineStr">
        <is>
          <t>Cobre · 600 V</t>
        </is>
      </c>
      <c r="F742" s="3" t="inlineStr">
        <is>
          <t>rollo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10.9</v>
      </c>
      <c r="L742" s="6" t="n">
        <v>10.9</v>
      </c>
      <c r="M742" s="6" t="n">
        <v>10.9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Ferremix (Grupo Alterra)</t>
        </is>
      </c>
      <c r="AE742" s="7" t="n">
        <v>12</v>
      </c>
    </row>
    <row r="743">
      <c r="A743" s="3" t="inlineStr">
        <is>
          <t>MAT-10-184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Cable THHN #14, rollo 100 pies</t>
        </is>
      </c>
      <c r="E743" s="4" t="inlineStr">
        <is>
          <t>Cobre · 600 V</t>
        </is>
      </c>
      <c r="F743" s="3" t="inlineStr">
        <is>
          <t>rollo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2</v>
      </c>
      <c r="K743" s="6" t="n">
        <v>9.390000000000001</v>
      </c>
      <c r="L743" s="6" t="n">
        <v>7.39</v>
      </c>
      <c r="M743" s="6" t="n">
        <v>11.4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Ferremix (Grupo Alterra) · Ferretería MC</t>
        </is>
      </c>
      <c r="AE743" s="7" t="inlineStr">
        <is>
          <t>14</t>
        </is>
      </c>
    </row>
    <row r="744">
      <c r="A744" s="3" t="inlineStr">
        <is>
          <t>MAT-10-185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Cable THHN #2, rollo 100 pies</t>
        </is>
      </c>
      <c r="E744" s="4" t="inlineStr">
        <is>
          <t>Cobre · 600 V</t>
        </is>
      </c>
      <c r="F744" s="3" t="inlineStr">
        <is>
          <t>rollo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248.84</v>
      </c>
      <c r="L744" s="6" t="n">
        <v>148.68</v>
      </c>
      <c r="M744" s="6" t="n">
        <v>349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Ferremix (Grupo Alterra) · Ferretería MC</t>
        </is>
      </c>
      <c r="AE744" s="7" t="inlineStr">
        <is>
          <t>2</t>
        </is>
      </c>
    </row>
    <row r="745">
      <c r="A745" s="3" t="inlineStr">
        <is>
          <t>MAT-10-186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Cable THHN #2/0, rollo 100 pies</t>
        </is>
      </c>
      <c r="E745" s="4" t="inlineStr">
        <is>
          <t>Cobre · 600 V</t>
        </is>
      </c>
      <c r="F745" s="3" t="inlineStr">
        <is>
          <t>rollo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305.62</v>
      </c>
      <c r="L745" s="6" t="n">
        <v>305.62</v>
      </c>
      <c r="M745" s="6" t="n">
        <v>305.62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Ferretería MC</t>
        </is>
      </c>
      <c r="AE745" s="7" t="inlineStr">
        <is>
          <t>2/0</t>
        </is>
      </c>
    </row>
    <row r="746">
      <c r="A746" s="3" t="inlineStr">
        <is>
          <t>MAT-10-187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Cable THHN #3/0, rollo 100 pies</t>
        </is>
      </c>
      <c r="E746" s="4" t="inlineStr">
        <is>
          <t>Cobre · 600 V</t>
        </is>
      </c>
      <c r="F746" s="3" t="inlineStr">
        <is>
          <t>rollo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387.04</v>
      </c>
      <c r="L746" s="6" t="n">
        <v>387.04</v>
      </c>
      <c r="M746" s="6" t="n">
        <v>387.04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Ferretería MC</t>
        </is>
      </c>
      <c r="AE746" s="7" t="inlineStr">
        <is>
          <t>3/0</t>
        </is>
      </c>
    </row>
    <row r="747">
      <c r="A747" s="3" t="inlineStr">
        <is>
          <t>MAT-10-188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Cable THHN #4, rollo 100 pies</t>
        </is>
      </c>
      <c r="E747" s="4" t="inlineStr">
        <is>
          <t>Cobre · 600 V</t>
        </is>
      </c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2</v>
      </c>
      <c r="K747" s="6" t="n">
        <v>102.27</v>
      </c>
      <c r="L747" s="6" t="n">
        <v>99.54000000000001</v>
      </c>
      <c r="M747" s="6" t="n">
        <v>105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Ferremix (Grupo Alterra) · Ferretería MC</t>
        </is>
      </c>
      <c r="AE747" s="7" t="inlineStr">
        <is>
          <t>4</t>
        </is>
      </c>
    </row>
    <row r="748">
      <c r="A748" s="3" t="inlineStr">
        <is>
          <t>MAT-10-189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Cable THHN #4/0, rollo 100 pies</t>
        </is>
      </c>
      <c r="E748" s="4" t="inlineStr">
        <is>
          <t>Cobre · 600 V</t>
        </is>
      </c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462.56</v>
      </c>
      <c r="L748" s="6" t="n">
        <v>462.56</v>
      </c>
      <c r="M748" s="6" t="n">
        <v>462.56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Ferretería MC</t>
        </is>
      </c>
      <c r="AE748" s="7" t="inlineStr">
        <is>
          <t>4/0</t>
        </is>
      </c>
    </row>
    <row r="749">
      <c r="A749" s="3" t="inlineStr">
        <is>
          <t>MAT-10-190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THHN #6, rollo 100 pies</t>
        </is>
      </c>
      <c r="E749" s="4" t="inlineStr">
        <is>
          <t>Cobre · 600 V</t>
        </is>
      </c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2</v>
      </c>
      <c r="K749" s="6" t="n">
        <v>71.08</v>
      </c>
      <c r="L749" s="6" t="n">
        <v>62.16</v>
      </c>
      <c r="M749" s="6" t="n">
        <v>80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Ferremix (Grupo Alterra) · Ferretería MC</t>
        </is>
      </c>
      <c r="AE749" s="7" t="inlineStr">
        <is>
          <t>6</t>
        </is>
      </c>
    </row>
    <row r="750">
      <c r="A750" s="3" t="inlineStr">
        <is>
          <t>MAT-10-191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THHN #8, rollo 100 pies</t>
        </is>
      </c>
      <c r="E750" s="4" t="inlineStr">
        <is>
          <t>Cobre · 600 V</t>
        </is>
      </c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29.15</v>
      </c>
      <c r="L750" s="6" t="n">
        <v>29.15</v>
      </c>
      <c r="M750" s="6" t="n">
        <v>29.15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Ferremix (Grupo Alterra)</t>
        </is>
      </c>
      <c r="AE750" s="7" t="n">
        <v>8</v>
      </c>
    </row>
    <row r="751">
      <c r="A751" s="3" t="inlineStr">
        <is>
          <t>MAT-10-192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de goma 1.5 mm, 2 conductores, rollo 100 pies</t>
        </is>
      </c>
      <c r="E751" s="4" t="inlineStr"/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24.8</v>
      </c>
      <c r="L751" s="6" t="n">
        <v>24.8</v>
      </c>
      <c r="M751" s="6" t="n">
        <v>24.8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Ferretería MC</t>
        </is>
      </c>
      <c r="AE751" s="7" t="inlineStr">
        <is>
          <t>1.5 mm</t>
        </is>
      </c>
      <c r="AH751" s="4" t="inlineStr">
        <is>
          <t>conductores: 2</t>
        </is>
      </c>
    </row>
    <row r="752">
      <c r="A752" s="3" t="inlineStr">
        <is>
          <t>MAT-10-193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de goma 1.5 mm, 3 conductores, rollo 100 pies</t>
        </is>
      </c>
      <c r="E752" s="4" t="inlineStr"/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34.54</v>
      </c>
      <c r="L752" s="6" t="n">
        <v>34.54</v>
      </c>
      <c r="M752" s="6" t="n">
        <v>34.54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Ferretería MC</t>
        </is>
      </c>
      <c r="AE752" s="7" t="inlineStr">
        <is>
          <t>1.5 mm</t>
        </is>
      </c>
      <c r="AH752" s="4" t="inlineStr">
        <is>
          <t>conductores: 3</t>
        </is>
      </c>
    </row>
    <row r="753">
      <c r="A753" s="3" t="inlineStr">
        <is>
          <t>MAT-10-194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Cable de goma 1.5 mm, 4 conductores, rollo 100 pies</t>
        </is>
      </c>
      <c r="E753" s="4" t="inlineStr"/>
      <c r="F753" s="3" t="inlineStr">
        <is>
          <t>rollo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43.81</v>
      </c>
      <c r="L753" s="6" t="n">
        <v>43.81</v>
      </c>
      <c r="M753" s="6" t="n">
        <v>43.81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Ferretería MC</t>
        </is>
      </c>
      <c r="AE753" s="7" t="inlineStr">
        <is>
          <t>1.5 mm</t>
        </is>
      </c>
      <c r="AH753" s="4" t="inlineStr">
        <is>
          <t>conductores: 4</t>
        </is>
      </c>
    </row>
    <row r="754">
      <c r="A754" s="3" t="inlineStr">
        <is>
          <t>MAT-10-195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Cable de goma 12, 2 conductores, rollo 100 pies</t>
        </is>
      </c>
      <c r="E754" s="4" t="inlineStr"/>
      <c r="F754" s="3" t="inlineStr">
        <is>
          <t>rollo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43</v>
      </c>
      <c r="L754" s="6" t="n">
        <v>43</v>
      </c>
      <c r="M754" s="6" t="n">
        <v>43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Ferretería MC</t>
        </is>
      </c>
      <c r="AE754" s="7" t="inlineStr">
        <is>
          <t>12</t>
        </is>
      </c>
      <c r="AH754" s="4" t="inlineStr">
        <is>
          <t>conductores: 2</t>
        </is>
      </c>
    </row>
    <row r="755">
      <c r="A755" s="3" t="inlineStr">
        <is>
          <t>MAT-10-196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Cable de goma 12, 3 conductores, rollo 100 pies</t>
        </is>
      </c>
      <c r="E755" s="4" t="inlineStr"/>
      <c r="F755" s="3" t="inlineStr">
        <is>
          <t>rollo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62.99</v>
      </c>
      <c r="L755" s="6" t="n">
        <v>62.99</v>
      </c>
      <c r="M755" s="6" t="n">
        <v>62.99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Ferretería MC</t>
        </is>
      </c>
      <c r="AE755" s="7" t="inlineStr">
        <is>
          <t>12</t>
        </is>
      </c>
      <c r="AH755" s="4" t="inlineStr">
        <is>
          <t>conductores: 3</t>
        </is>
      </c>
    </row>
    <row r="756">
      <c r="A756" s="3" t="inlineStr">
        <is>
          <t>MAT-10-197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Cable de goma 14, 4 conductores, rollo 100 pies</t>
        </is>
      </c>
      <c r="E756" s="4" t="inlineStr"/>
      <c r="F756" s="3" t="inlineStr">
        <is>
          <t>rollo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55.08</v>
      </c>
      <c r="L756" s="6" t="n">
        <v>55.08</v>
      </c>
      <c r="M756" s="6" t="n">
        <v>55.08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Ferretería MC</t>
        </is>
      </c>
      <c r="AE756" s="7" t="inlineStr">
        <is>
          <t>14</t>
        </is>
      </c>
      <c r="AH756" s="4" t="inlineStr">
        <is>
          <t>conductores: 4</t>
        </is>
      </c>
    </row>
    <row r="757">
      <c r="A757" s="3" t="inlineStr">
        <is>
          <t>MAT-10-198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Cable de goma 2.5 mm, 2 conductores, rollo 100 pies</t>
        </is>
      </c>
      <c r="E757" s="4" t="inlineStr"/>
      <c r="F757" s="3" t="inlineStr">
        <is>
          <t>rollo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34.31</v>
      </c>
      <c r="L757" s="6" t="n">
        <v>34.31</v>
      </c>
      <c r="M757" s="6" t="n">
        <v>34.31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Ferretería MC</t>
        </is>
      </c>
      <c r="AE757" s="7" t="inlineStr">
        <is>
          <t>2.5 mm</t>
        </is>
      </c>
      <c r="AH757" s="4" t="inlineStr">
        <is>
          <t>conductores: 2</t>
        </is>
      </c>
    </row>
    <row r="758">
      <c r="A758" s="3" t="inlineStr">
        <is>
          <t>MAT-10-199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Cable de goma 2.5 mm, 3 conductores, rollo 100 pies</t>
        </is>
      </c>
      <c r="E758" s="4" t="inlineStr"/>
      <c r="F758" s="3" t="inlineStr">
        <is>
          <t>rollo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51.46</v>
      </c>
      <c r="L758" s="6" t="n">
        <v>51.46</v>
      </c>
      <c r="M758" s="6" t="n">
        <v>51.46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Ferretería MC</t>
        </is>
      </c>
      <c r="AE758" s="7" t="inlineStr">
        <is>
          <t>2.5 mm</t>
        </is>
      </c>
      <c r="AH758" s="4" t="inlineStr">
        <is>
          <t>conductores: 3</t>
        </is>
      </c>
    </row>
    <row r="759">
      <c r="A759" s="3" t="inlineStr">
        <is>
          <t>MAT-10-200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Cable de goma 6, 4 conductores, rollo 100 pies</t>
        </is>
      </c>
      <c r="E759" s="4" t="inlineStr"/>
      <c r="F759" s="3" t="inlineStr">
        <is>
          <t>rollo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315.06</v>
      </c>
      <c r="L759" s="6" t="n">
        <v>315.06</v>
      </c>
      <c r="M759" s="6" t="n">
        <v>315.06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Ferretería MC</t>
        </is>
      </c>
      <c r="AE759" s="7" t="inlineStr">
        <is>
          <t>6</t>
        </is>
      </c>
      <c r="AH759" s="4" t="inlineStr">
        <is>
          <t>conductores: 4</t>
        </is>
      </c>
    </row>
    <row r="760">
      <c r="A760" s="3" t="inlineStr">
        <is>
          <t>MAT-10-201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Extensión eléctrica de 10 pies</t>
        </is>
      </c>
      <c r="E760" s="4" t="inlineStr">
        <is>
          <t>Casi ninguna ficha declara el calibre · ahí está la diferencia</t>
        </is>
      </c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180</v>
      </c>
      <c r="L760" s="6" t="n">
        <v>180</v>
      </c>
      <c r="M760" s="6" t="n">
        <v>180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B760" s="7" t="n">
        <v>10</v>
      </c>
    </row>
    <row r="761">
      <c r="A761" s="3" t="inlineStr">
        <is>
          <t>MAT-10-202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Extensión eléctrica de 100 pies</t>
        </is>
      </c>
      <c r="E761" s="4" t="inlineStr">
        <is>
          <t>Casi ninguna ficha declara el calibre · ahí está la diferencia</t>
        </is>
      </c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1940</v>
      </c>
      <c r="L761" s="6" t="n">
        <v>1355.01</v>
      </c>
      <c r="M761" s="6" t="n">
        <v>2335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B761" s="7" t="n">
        <v>100</v>
      </c>
    </row>
    <row r="762">
      <c r="A762" s="3" t="inlineStr">
        <is>
          <t>MAT-10-203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Extensión eléctrica de 12 pies</t>
        </is>
      </c>
      <c r="E762" s="4" t="inlineStr">
        <is>
          <t>Casi ninguna ficha declara el calibre · ahí está la diferencia</t>
        </is>
      </c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285</v>
      </c>
      <c r="L762" s="6" t="n">
        <v>210</v>
      </c>
      <c r="M762" s="6" t="n">
        <v>359.99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B762" s="7" t="n">
        <v>12</v>
      </c>
    </row>
    <row r="763">
      <c r="A763" s="3" t="inlineStr">
        <is>
          <t>MAT-10-204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Extensión eléctrica de 13 pies</t>
        </is>
      </c>
      <c r="E763" s="4" t="inlineStr">
        <is>
          <t>Casi ninguna ficha declara el calibre · ahí está la diferencia</t>
        </is>
      </c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225</v>
      </c>
      <c r="L763" s="6" t="n">
        <v>225</v>
      </c>
      <c r="M763" s="6" t="n">
        <v>225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Max Ferretería</t>
        </is>
      </c>
      <c r="AB763" s="7" t="n">
        <v>13</v>
      </c>
    </row>
    <row r="764">
      <c r="A764" s="3" t="inlineStr">
        <is>
          <t>MAT-10-205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Extensión eléctrica de 15 pies</t>
        </is>
      </c>
      <c r="E764" s="4" t="inlineStr">
        <is>
          <t>Casi ninguna ficha declara el calibre · ahí está la diferencia</t>
        </is>
      </c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505</v>
      </c>
      <c r="L764" s="6" t="n">
        <v>300</v>
      </c>
      <c r="M764" s="6" t="n">
        <v>894.99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Max Ferretería</t>
        </is>
      </c>
      <c r="AB764" s="7" t="n">
        <v>15</v>
      </c>
    </row>
    <row r="765">
      <c r="A765" s="3" t="inlineStr">
        <is>
          <t>MAT-10-206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Extensión eléctrica de 16 pies</t>
        </is>
      </c>
      <c r="E765" s="4" t="inlineStr">
        <is>
          <t>Casi ninguna ficha declara el calibre · ahí está la diferencia</t>
        </is>
      </c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270</v>
      </c>
      <c r="L765" s="6" t="n">
        <v>270</v>
      </c>
      <c r="M765" s="6" t="n">
        <v>270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Max Ferretería</t>
        </is>
      </c>
      <c r="AB765" s="7" t="n">
        <v>16</v>
      </c>
    </row>
    <row r="766">
      <c r="A766" s="3" t="inlineStr">
        <is>
          <t>MAT-10-207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Extensión eléctrica de 25 pies</t>
        </is>
      </c>
      <c r="E766" s="4" t="inlineStr">
        <is>
          <t>Casi ninguna ficha declara el calibre · ahí está la diferencia</t>
        </is>
      </c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1700</v>
      </c>
      <c r="L766" s="6" t="n">
        <v>1700</v>
      </c>
      <c r="M766" s="6" t="n">
        <v>1700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B766" s="7" t="n">
        <v>25</v>
      </c>
    </row>
    <row r="767">
      <c r="A767" s="3" t="inlineStr">
        <is>
          <t>MAT-10-208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Extensión eléctrica de 26 pies</t>
        </is>
      </c>
      <c r="E767" s="4" t="inlineStr">
        <is>
          <t>Casi ninguna ficha declara el calibre · ahí está la diferencia</t>
        </is>
      </c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520</v>
      </c>
      <c r="L767" s="6" t="n">
        <v>520</v>
      </c>
      <c r="M767" s="6" t="n">
        <v>520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Max Ferretería</t>
        </is>
      </c>
      <c r="AB767" s="7" t="n">
        <v>26</v>
      </c>
    </row>
    <row r="768">
      <c r="A768" s="3" t="inlineStr">
        <is>
          <t>MAT-10-209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Extensión eléctrica de 50 pies</t>
        </is>
      </c>
      <c r="E768" s="4" t="inlineStr">
        <is>
          <t>Casi ninguna ficha declara el calibre · ahí está la diferencia</t>
        </is>
      </c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1330</v>
      </c>
      <c r="L768" s="6" t="n">
        <v>725</v>
      </c>
      <c r="M768" s="6" t="n">
        <v>2989.99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B768" s="7" t="n">
        <v>50</v>
      </c>
    </row>
    <row r="769">
      <c r="A769" s="3" t="inlineStr">
        <is>
          <t>MAT-10-210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Extensión eléctrica de 6 pies</t>
        </is>
      </c>
      <c r="E769" s="4" t="inlineStr">
        <is>
          <t>Casi ninguna ficha declara el calibre · ahí está la diferencia</t>
        </is>
      </c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310</v>
      </c>
      <c r="L769" s="6" t="n">
        <v>310</v>
      </c>
      <c r="M769" s="6" t="n">
        <v>310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B769" s="7" t="n">
        <v>6</v>
      </c>
    </row>
    <row r="770">
      <c r="A770" s="3" t="inlineStr">
        <is>
          <t>MAT-10-211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Extensión eléctrica de 7 pies</t>
        </is>
      </c>
      <c r="E770" s="4" t="inlineStr">
        <is>
          <t>Casi ninguna ficha declara el calibre · ahí está la diferencia</t>
        </is>
      </c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145</v>
      </c>
      <c r="L770" s="6" t="n">
        <v>145</v>
      </c>
      <c r="M770" s="6" t="n">
        <v>145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2026-09-09</t>
        </is>
      </c>
      <c r="Q770" s="4" t="inlineStr">
        <is>
          <t>Max Ferretería</t>
        </is>
      </c>
      <c r="AB770" s="7" t="n">
        <v>7</v>
      </c>
    </row>
    <row r="771">
      <c r="A771" s="3" t="inlineStr">
        <is>
          <t>MAT-10-212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Regleta de 6 salidas</t>
        </is>
      </c>
      <c r="E771" s="4" t="inlineStr">
        <is>
          <t>La ficha no declara si trae supresor de picos</t>
        </is>
      </c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737.5</v>
      </c>
      <c r="L771" s="6" t="n">
        <v>654.99</v>
      </c>
      <c r="M771" s="6" t="n">
        <v>1330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Max Ferretería</t>
        </is>
      </c>
      <c r="AH771" s="4" t="inlineStr">
        <is>
          <t>salidas: 6</t>
        </is>
      </c>
    </row>
    <row r="772">
      <c r="A772" s="3" t="inlineStr">
        <is>
          <t>MAT-10-213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Regleta de 6 salidas con supresor de picos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725</v>
      </c>
      <c r="L772" s="6" t="n">
        <v>725</v>
      </c>
      <c r="M772" s="6" t="n">
        <v>725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H772" s="4" t="inlineStr">
        <is>
          <t>salidas: 6 · supresor: si</t>
        </is>
      </c>
    </row>
    <row r="773">
      <c r="A773" s="3" t="inlineStr">
        <is>
          <t>MAT-10-214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Regleta de 8 salidas</t>
        </is>
      </c>
      <c r="E773" s="4" t="inlineStr">
        <is>
          <t>La ficha no declara si trae supresor de picos</t>
        </is>
      </c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1195</v>
      </c>
      <c r="L773" s="6" t="n">
        <v>1195</v>
      </c>
      <c r="M773" s="6" t="n">
        <v>1195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H773" s="4" t="inlineStr">
        <is>
          <t>salidas: 8</t>
        </is>
      </c>
    </row>
    <row r="774">
      <c r="A774" s="3" t="inlineStr">
        <is>
          <t>MAT-10-215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Sensor de movimiento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570</v>
      </c>
      <c r="L774" s="6" t="n">
        <v>500</v>
      </c>
      <c r="M774" s="6" t="n">
        <v>780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H774" s="4" t="inlineStr">
        <is>
          <t>tipo: Sensor de movimiento</t>
        </is>
      </c>
    </row>
    <row r="775">
      <c r="A775" s="3" t="inlineStr">
        <is>
          <t>MAT-10-216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Temporizador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805</v>
      </c>
      <c r="L775" s="6" t="n">
        <v>805</v>
      </c>
      <c r="M775" s="6" t="n">
        <v>805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H775" s="4" t="inlineStr">
        <is>
          <t>tipo: Temporizador</t>
        </is>
      </c>
    </row>
    <row r="776">
      <c r="A776" s="3" t="inlineStr">
        <is>
          <t>MAT-10-217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Timbre eléctrico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397.5</v>
      </c>
      <c r="L776" s="6" t="n">
        <v>100</v>
      </c>
      <c r="M776" s="6" t="n">
        <v>894.99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H776" s="4" t="inlineStr">
        <is>
          <t>tipo: Timbre eléctrico</t>
        </is>
      </c>
    </row>
    <row r="777">
      <c r="A777" s="3" t="inlineStr">
        <is>
          <t>MAT-12-009</t>
        </is>
      </c>
      <c r="B777" s="3" t="inlineStr">
        <is>
          <t>Materiales</t>
        </is>
      </c>
      <c r="C777" s="3" t="inlineStr">
        <is>
          <t>Pintura y acabados</t>
        </is>
      </c>
      <c r="D777" s="4" t="inlineStr">
        <is>
          <t>Pintura acrílica, cubeta de 5 galones</t>
        </is>
      </c>
      <c r="E777" s="4" t="inlineStr"/>
      <c r="F777" s="3" t="inlineStr">
        <is>
          <t>envase</t>
        </is>
      </c>
      <c r="G777" s="3" t="inlineStr">
        <is>
          <t>Terminación de superficies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2</v>
      </c>
      <c r="K777" s="6" t="n">
        <v>6383.65</v>
      </c>
      <c r="L777" s="6" t="n">
        <v>1730.56</v>
      </c>
      <c r="M777" s="6" t="n">
        <v>11526.59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 · Tonos y Colores</t>
        </is>
      </c>
      <c r="AH777" s="4" t="inlineStr">
        <is>
          <t>tipo: acrílica · envase: cubeta de 5 galones</t>
        </is>
      </c>
    </row>
    <row r="778">
      <c r="A778" s="3" t="inlineStr">
        <is>
          <t>MAT-12-010</t>
        </is>
      </c>
      <c r="B778" s="3" t="inlineStr">
        <is>
          <t>Materiales</t>
        </is>
      </c>
      <c r="C778" s="3" t="inlineStr">
        <is>
          <t>Pintura y acabados</t>
        </is>
      </c>
      <c r="D778" s="4" t="inlineStr">
        <is>
          <t>Pintura acrílica, galón</t>
        </is>
      </c>
      <c r="E778" s="4" t="inlineStr"/>
      <c r="F778" s="3" t="inlineStr">
        <is>
          <t>envase</t>
        </is>
      </c>
      <c r="G778" s="3" t="inlineStr">
        <is>
          <t>Terminación de superficies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2</v>
      </c>
      <c r="K778" s="6" t="n">
        <v>1308.45</v>
      </c>
      <c r="L778" s="6" t="n">
        <v>374.4</v>
      </c>
      <c r="M778" s="6" t="n">
        <v>5297.6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Ferremix (Grupo Alterra) · Tonos y Colores</t>
        </is>
      </c>
      <c r="AH778" s="4" t="inlineStr">
        <is>
          <t>tipo: acrílica · envase: galón</t>
        </is>
      </c>
    </row>
    <row r="779">
      <c r="A779" s="3" t="inlineStr">
        <is>
          <t>MAT-12-011</t>
        </is>
      </c>
      <c r="B779" s="3" t="inlineStr">
        <is>
          <t>Materiales</t>
        </is>
      </c>
      <c r="C779" s="3" t="inlineStr">
        <is>
          <t>Pintura y acabados</t>
        </is>
      </c>
      <c r="D779" s="4" t="inlineStr">
        <is>
          <t>Pintura aislante térmica, galón</t>
        </is>
      </c>
      <c r="E779" s="4" t="inlineStr"/>
      <c r="F779" s="3" t="inlineStr">
        <is>
          <t>envase</t>
        </is>
      </c>
      <c r="G779" s="3" t="inlineStr">
        <is>
          <t>Terminación de superficies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6835.64</v>
      </c>
      <c r="L779" s="6" t="n">
        <v>6835.64</v>
      </c>
      <c r="M779" s="6" t="n">
        <v>6835.64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Tonos y Colores</t>
        </is>
      </c>
      <c r="AH779" s="4" t="inlineStr">
        <is>
          <t>tipo: aislante térmica · envase: galón · acabado: brillante</t>
        </is>
      </c>
    </row>
    <row r="780">
      <c r="A780" s="3" t="inlineStr">
        <is>
          <t>MAT-12-012</t>
        </is>
      </c>
      <c r="B780" s="3" t="inlineStr">
        <is>
          <t>Materiales</t>
        </is>
      </c>
      <c r="C780" s="3" t="inlineStr">
        <is>
          <t>Pintura y acabados</t>
        </is>
      </c>
      <c r="D780" s="4" t="inlineStr">
        <is>
          <t>Pintura anticorrosiva, galón</t>
        </is>
      </c>
      <c r="E780" s="4" t="inlineStr"/>
      <c r="F780" s="3" t="inlineStr">
        <is>
          <t>envase</t>
        </is>
      </c>
      <c r="G780" s="3" t="inlineStr">
        <is>
          <t>Terminación de superficies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2542.66</v>
      </c>
      <c r="L780" s="6" t="n">
        <v>1345.06</v>
      </c>
      <c r="M780" s="6" t="n">
        <v>4353.57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Tonos y Colores</t>
        </is>
      </c>
      <c r="AH780" s="4" t="inlineStr">
        <is>
          <t>tipo: anticorrosiva · envase: galón · acabado: brillante</t>
        </is>
      </c>
    </row>
    <row r="781">
      <c r="A781" s="3" t="inlineStr">
        <is>
          <t>MAT-12-013</t>
        </is>
      </c>
      <c r="B781" s="3" t="inlineStr">
        <is>
          <t>Materiales</t>
        </is>
      </c>
      <c r="C781" s="3" t="inlineStr">
        <is>
          <t>Pintura y acabados</t>
        </is>
      </c>
      <c r="D781" s="4" t="inlineStr">
        <is>
          <t>Pintura de tráfico, galón</t>
        </is>
      </c>
      <c r="E781" s="4" t="inlineStr"/>
      <c r="F781" s="3" t="inlineStr">
        <is>
          <t>envase</t>
        </is>
      </c>
      <c r="G781" s="3" t="inlineStr">
        <is>
          <t>Terminación de superficies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1780.6</v>
      </c>
      <c r="L781" s="6" t="n">
        <v>1705.6</v>
      </c>
      <c r="M781" s="6" t="n">
        <v>4908.28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Tonos y Colores</t>
        </is>
      </c>
      <c r="AH781" s="4" t="inlineStr">
        <is>
          <t>tipo: de tráfico · envase: galón · acabado: brillante</t>
        </is>
      </c>
    </row>
    <row r="782">
      <c r="A782" s="3" t="inlineStr">
        <is>
          <t>MAT-12-014</t>
        </is>
      </c>
      <c r="B782" s="3" t="inlineStr">
        <is>
          <t>Materiales</t>
        </is>
      </c>
      <c r="C782" s="3" t="inlineStr">
        <is>
          <t>Pintura y acabados</t>
        </is>
      </c>
      <c r="D782" s="4" t="inlineStr">
        <is>
          <t>Pintura epóxica, cubeta de 5 galones</t>
        </is>
      </c>
      <c r="E782" s="4" t="inlineStr"/>
      <c r="F782" s="3" t="inlineStr">
        <is>
          <t>envase</t>
        </is>
      </c>
      <c r="G782" s="3" t="inlineStr">
        <is>
          <t>Terminación de superficies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1675</v>
      </c>
      <c r="L782" s="6" t="n">
        <v>1675</v>
      </c>
      <c r="M782" s="6" t="n">
        <v>1675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</t>
        </is>
      </c>
      <c r="AH782" s="4" t="inlineStr">
        <is>
          <t>tipo: epóxica · envase: cubeta de 5 galones</t>
        </is>
      </c>
    </row>
    <row r="783">
      <c r="A783" s="3" t="inlineStr">
        <is>
          <t>MAT-12-015</t>
        </is>
      </c>
      <c r="B783" s="3" t="inlineStr">
        <is>
          <t>Materiales</t>
        </is>
      </c>
      <c r="C783" s="3" t="inlineStr">
        <is>
          <t>Pintura y acabados</t>
        </is>
      </c>
      <c r="D783" s="4" t="inlineStr">
        <is>
          <t>Pintura epóxica, galón</t>
        </is>
      </c>
      <c r="E783" s="4" t="inlineStr"/>
      <c r="F783" s="3" t="inlineStr">
        <is>
          <t>envase</t>
        </is>
      </c>
      <c r="G783" s="3" t="inlineStr">
        <is>
          <t>Terminación de superficies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2954.01</v>
      </c>
      <c r="L783" s="6" t="n">
        <v>2954.01</v>
      </c>
      <c r="M783" s="6" t="n">
        <v>2954.01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Tonos y Colores</t>
        </is>
      </c>
      <c r="AH783" s="4" t="inlineStr">
        <is>
          <t>tipo: epóxica · envase: galón · acabado: brillante</t>
        </is>
      </c>
    </row>
    <row r="784">
      <c r="A784" s="3" t="inlineStr">
        <is>
          <t>MAT-12-016</t>
        </is>
      </c>
      <c r="B784" s="3" t="inlineStr">
        <is>
          <t>Materiales</t>
        </is>
      </c>
      <c r="C784" s="3" t="inlineStr">
        <is>
          <t>Pintura y acabados</t>
        </is>
      </c>
      <c r="D784" s="4" t="inlineStr">
        <is>
          <t>Pintura esmalte, envase de 750 ml</t>
        </is>
      </c>
      <c r="E784" s="4" t="inlineStr"/>
      <c r="F784" s="3" t="inlineStr">
        <is>
          <t>envase</t>
        </is>
      </c>
      <c r="G784" s="3" t="inlineStr">
        <is>
          <t>Terminación de superficies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1212.3</v>
      </c>
      <c r="L784" s="6" t="n">
        <v>1212.3</v>
      </c>
      <c r="M784" s="6" t="n">
        <v>1212.3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Tonos y Colores</t>
        </is>
      </c>
      <c r="AH784" s="4" t="inlineStr">
        <is>
          <t>tipo: esmalte · envase: envase de 750 ml</t>
        </is>
      </c>
    </row>
    <row r="785">
      <c r="A785" s="3" t="inlineStr">
        <is>
          <t>MAT-12-017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Pintura esmalte, galón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1527.9</v>
      </c>
      <c r="L785" s="6" t="n">
        <v>1312.41</v>
      </c>
      <c r="M785" s="6" t="n">
        <v>5401.1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Tonos y Colores</t>
        </is>
      </c>
      <c r="AH785" s="4" t="inlineStr">
        <is>
          <t>tipo: esmalte · envase: galón · acabado: brillante</t>
        </is>
      </c>
    </row>
    <row r="786">
      <c r="A786" s="3" t="inlineStr">
        <is>
          <t>MAT-12-018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Impermeabilizante, cubeta de 5 galones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7752.62</v>
      </c>
      <c r="L786" s="6" t="n">
        <v>2065</v>
      </c>
      <c r="M786" s="6" t="n">
        <v>13902.88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Tonos y Colores</t>
        </is>
      </c>
      <c r="AH786" s="4" t="inlineStr">
        <is>
          <t>tipo: impermeabilizante · envase: cubeta de 5 galones</t>
        </is>
      </c>
    </row>
    <row r="787">
      <c r="A787" s="3" t="inlineStr">
        <is>
          <t>MAT-12-019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Impermeabilizante, funda de 40 libras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2419.2</v>
      </c>
      <c r="L787" s="6" t="n">
        <v>2419.2</v>
      </c>
      <c r="M787" s="6" t="n">
        <v>2419.2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H787" s="4" t="inlineStr">
        <is>
          <t>tipo: impermeabilizante · envase: funda de 40 libras · acabado: mate</t>
        </is>
      </c>
    </row>
    <row r="788">
      <c r="A788" s="3" t="inlineStr">
        <is>
          <t>MAT-12-020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Impermeabilizante, funda de 44 libras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2838.53</v>
      </c>
      <c r="L788" s="6" t="n">
        <v>2838.53</v>
      </c>
      <c r="M788" s="6" t="n">
        <v>2838.53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H788" s="4" t="inlineStr">
        <is>
          <t>tipo: impermeabilizante · envase: funda de 44 libras</t>
        </is>
      </c>
    </row>
    <row r="789">
      <c r="A789" s="3" t="inlineStr">
        <is>
          <t>MAT-12-021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Impermeabilizante, galón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2</v>
      </c>
      <c r="K789" s="6" t="n">
        <v>2299.98</v>
      </c>
      <c r="L789" s="6" t="n">
        <v>1265</v>
      </c>
      <c r="M789" s="6" t="n">
        <v>4642.17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 · Tonos y Colores</t>
        </is>
      </c>
      <c r="AH789" s="4" t="inlineStr">
        <is>
          <t>tipo: impermeabilizante · envase: galón · acabado: mate</t>
        </is>
      </c>
    </row>
    <row r="790">
      <c r="A790" s="3" t="inlineStr">
        <is>
          <t>MAT-12-022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Masilla,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1795</v>
      </c>
      <c r="L790" s="6" t="n">
        <v>1395</v>
      </c>
      <c r="M790" s="6" t="n">
        <v>8050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H790" s="4" t="inlineStr">
        <is>
          <t>tipo: masilla · envase: cubeta de 5 galones</t>
        </is>
      </c>
    </row>
    <row r="791">
      <c r="A791" s="3" t="inlineStr">
        <is>
          <t>MAT-12-023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Masilla, envase de 2.5 litros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1429.12</v>
      </c>
      <c r="L791" s="6" t="n">
        <v>1429.12</v>
      </c>
      <c r="M791" s="6" t="n">
        <v>1429.12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H791" s="4" t="inlineStr">
        <is>
          <t>tipo: masilla · envase: envase de 2.5 litros · acabado: mate</t>
        </is>
      </c>
    </row>
    <row r="792">
      <c r="A792" s="3" t="inlineStr">
        <is>
          <t>MAT-12-024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Masilla, funda de 1 libra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211.9</v>
      </c>
      <c r="L792" s="6" t="n">
        <v>211.9</v>
      </c>
      <c r="M792" s="6" t="n">
        <v>211.9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Tonos y Colores</t>
        </is>
      </c>
      <c r="AH792" s="4" t="inlineStr">
        <is>
          <t>tipo: masilla · envase: funda de 1 libra · acabado: mate</t>
        </is>
      </c>
    </row>
    <row r="793">
      <c r="A793" s="3" t="inlineStr">
        <is>
          <t>MAT-12-025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Masilla, funda de 11 libras</t>
        </is>
      </c>
      <c r="E793" s="4" t="inlineStr"/>
      <c r="F793" s="3" t="inlineStr">
        <is>
          <t>envase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1118.66</v>
      </c>
      <c r="L793" s="6" t="n">
        <v>1118.66</v>
      </c>
      <c r="M793" s="6" t="n">
        <v>1118.66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Tonos y Colores</t>
        </is>
      </c>
      <c r="AH793" s="4" t="inlineStr">
        <is>
          <t>tipo: masilla · envase: funda de 11 libras · acabado: mate</t>
        </is>
      </c>
    </row>
    <row r="794">
      <c r="A794" s="3" t="inlineStr">
        <is>
          <t>MAT-12-026</t>
        </is>
      </c>
      <c r="B794" s="3" t="inlineStr">
        <is>
          <t>Materiales</t>
        </is>
      </c>
      <c r="C794" s="3" t="inlineStr">
        <is>
          <t>Pintura y acabados</t>
        </is>
      </c>
      <c r="D794" s="4" t="inlineStr">
        <is>
          <t>Masilla, funda de 2 libras</t>
        </is>
      </c>
      <c r="E794" s="4" t="inlineStr"/>
      <c r="F794" s="3" t="inlineStr">
        <is>
          <t>envase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335.1</v>
      </c>
      <c r="L794" s="6" t="n">
        <v>335.1</v>
      </c>
      <c r="M794" s="6" t="n">
        <v>335.1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Tonos y Colores</t>
        </is>
      </c>
      <c r="AH794" s="4" t="inlineStr">
        <is>
          <t>tipo: masilla · envase: funda de 2 libras · acabado: mate</t>
        </is>
      </c>
    </row>
    <row r="795">
      <c r="A795" s="3" t="inlineStr">
        <is>
          <t>MAT-12-027</t>
        </is>
      </c>
      <c r="B795" s="3" t="inlineStr">
        <is>
          <t>Materiales</t>
        </is>
      </c>
      <c r="C795" s="3" t="inlineStr">
        <is>
          <t>Pintura y acabados</t>
        </is>
      </c>
      <c r="D795" s="4" t="inlineStr">
        <is>
          <t>Masilla para exterior, cubeta de 5 galones</t>
        </is>
      </c>
      <c r="E795" s="4" t="inlineStr"/>
      <c r="F795" s="3" t="inlineStr">
        <is>
          <t>envase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4072.16</v>
      </c>
      <c r="L795" s="6" t="n">
        <v>4072.16</v>
      </c>
      <c r="M795" s="6" t="n">
        <v>4072.16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Tonos y Colores</t>
        </is>
      </c>
      <c r="AH795" s="4" t="inlineStr">
        <is>
          <t>tipo: masilla para exterior · envase: cubeta de 5 galones · acabado: satinado</t>
        </is>
      </c>
    </row>
    <row r="796">
      <c r="A796" s="3" t="inlineStr">
        <is>
          <t>MAT-12-028</t>
        </is>
      </c>
      <c r="B796" s="3" t="inlineStr">
        <is>
          <t>Materiales</t>
        </is>
      </c>
      <c r="C796" s="3" t="inlineStr">
        <is>
          <t>Pintura y acabados</t>
        </is>
      </c>
      <c r="D796" s="4" t="inlineStr">
        <is>
          <t>Masilla para exterior, funda de 40 libras</t>
        </is>
      </c>
      <c r="E796" s="4" t="inlineStr"/>
      <c r="F796" s="3" t="inlineStr">
        <is>
          <t>envase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2157.6</v>
      </c>
      <c r="L796" s="6" t="n">
        <v>2157.6</v>
      </c>
      <c r="M796" s="6" t="n">
        <v>2157.6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Tonos y Colores</t>
        </is>
      </c>
      <c r="AH796" s="4" t="inlineStr">
        <is>
          <t>tipo: masilla para exterior · envase: funda de 40 libras · acabado: satinado</t>
        </is>
      </c>
    </row>
    <row r="797">
      <c r="A797" s="3" t="inlineStr">
        <is>
          <t>MAT-12-029</t>
        </is>
      </c>
      <c r="B797" s="3" t="inlineStr">
        <is>
          <t>Materiales</t>
        </is>
      </c>
      <c r="C797" s="3" t="inlineStr">
        <is>
          <t>Pintura y acabados</t>
        </is>
      </c>
      <c r="D797" s="4" t="inlineStr">
        <is>
          <t>Masilla para sheetrock, cubeta de 5 galones</t>
        </is>
      </c>
      <c r="E797" s="4" t="inlineStr"/>
      <c r="F797" s="3" t="inlineStr">
        <is>
          <t>envase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1311.83</v>
      </c>
      <c r="L797" s="6" t="n">
        <v>1221.74</v>
      </c>
      <c r="M797" s="6" t="n">
        <v>1401.92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Tonos y Colores</t>
        </is>
      </c>
      <c r="AH797" s="4" t="inlineStr">
        <is>
          <t>tipo: masilla para sheetrock · envase: cubeta de 5 galones · acabado: mate</t>
        </is>
      </c>
    </row>
    <row r="798">
      <c r="A798" s="3" t="inlineStr">
        <is>
          <t>MAT-12-030</t>
        </is>
      </c>
      <c r="B798" s="3" t="inlineStr">
        <is>
          <t>Materiales</t>
        </is>
      </c>
      <c r="C798" s="3" t="inlineStr">
        <is>
          <t>Pintura y acabados</t>
        </is>
      </c>
      <c r="D798" s="4" t="inlineStr">
        <is>
          <t>Pintura para piscina, galón</t>
        </is>
      </c>
      <c r="E798" s="4" t="inlineStr"/>
      <c r="F798" s="3" t="inlineStr">
        <is>
          <t>envase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3326.41</v>
      </c>
      <c r="L798" s="6" t="n">
        <v>3326.41</v>
      </c>
      <c r="M798" s="6" t="n">
        <v>3326.41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Tonos y Colores</t>
        </is>
      </c>
      <c r="AH798" s="4" t="inlineStr">
        <is>
          <t>tipo: para piscina · envase: galón · acabado: mate</t>
        </is>
      </c>
    </row>
    <row r="799">
      <c r="A799" s="3" t="inlineStr">
        <is>
          <t>MAT-12-031</t>
        </is>
      </c>
      <c r="B799" s="3" t="inlineStr">
        <is>
          <t>Materiales</t>
        </is>
      </c>
      <c r="C799" s="3" t="inlineStr">
        <is>
          <t>Pintura y acabados</t>
        </is>
      </c>
      <c r="D799" s="4" t="inlineStr">
        <is>
          <t>Primer sellador, cubeta de 5 galones</t>
        </is>
      </c>
      <c r="E799" s="4" t="inlineStr"/>
      <c r="F799" s="3" t="inlineStr">
        <is>
          <t>envase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2</v>
      </c>
      <c r="K799" s="6" t="n">
        <v>5925</v>
      </c>
      <c r="L799" s="6" t="n">
        <v>3260</v>
      </c>
      <c r="M799" s="6" t="n">
        <v>8900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Ferremix (Grupo Alterra) · Tonos y Colores</t>
        </is>
      </c>
      <c r="AH799" s="4" t="inlineStr">
        <is>
          <t>tipo: primer · envase: cubeta de 5 galones · acabado: mate</t>
        </is>
      </c>
    </row>
    <row r="800">
      <c r="A800" s="3" t="inlineStr">
        <is>
          <t>MAT-12-032</t>
        </is>
      </c>
      <c r="B800" s="3" t="inlineStr">
        <is>
          <t>Materiales</t>
        </is>
      </c>
      <c r="C800" s="3" t="inlineStr">
        <is>
          <t>Pintura y acabados</t>
        </is>
      </c>
      <c r="D800" s="4" t="inlineStr">
        <is>
          <t>Estuco para interiores, funda de 35 libras</t>
        </is>
      </c>
      <c r="E800" s="4" t="inlineStr"/>
      <c r="F800" s="3" t="inlineStr">
        <is>
          <t>funda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nacional</t>
        </is>
      </c>
      <c r="J800" s="5" t="n">
        <v>2</v>
      </c>
      <c r="K800" s="6" t="n">
        <v>510.56</v>
      </c>
      <c r="L800" s="6" t="n">
        <v>331.11</v>
      </c>
      <c r="M800" s="6" t="n">
        <v>690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Ferretería Ochoa (8A) · InnovaCentro (La Innovación)</t>
        </is>
      </c>
    </row>
    <row r="801">
      <c r="A801" s="3" t="inlineStr">
        <is>
          <t>MAT-13-011</t>
        </is>
      </c>
      <c r="B801" s="3" t="inlineStr">
        <is>
          <t>Materiales</t>
        </is>
      </c>
      <c r="C801" s="3" t="inlineStr">
        <is>
          <t>Plafones y construcción liviana</t>
        </is>
      </c>
      <c r="D801" s="4" t="inlineStr">
        <is>
          <t>Angular para plafón, 10'</t>
        </is>
      </c>
      <c r="E801" s="4" t="inlineStr"/>
      <c r="F801" s="3" t="inlineStr">
        <is>
          <t>unidad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98</v>
      </c>
      <c r="L801" s="6" t="n">
        <v>98</v>
      </c>
      <c r="M801" s="6" t="n">
        <v>98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InnovaCentro (La Innovación)</t>
        </is>
      </c>
      <c r="AF801" s="7" t="inlineStr">
        <is>
          <t>10'</t>
        </is>
      </c>
    </row>
    <row r="802">
      <c r="A802" s="3" t="inlineStr">
        <is>
          <t>MAT-13-012</t>
        </is>
      </c>
      <c r="B802" s="3" t="inlineStr">
        <is>
          <t>Materiales</t>
        </is>
      </c>
      <c r="C802" s="3" t="inlineStr">
        <is>
          <t>Plafones y construcción liviana</t>
        </is>
      </c>
      <c r="D802" s="4" t="inlineStr">
        <is>
          <t>Cartón piedra, 4'X8' 3X2Mm 1/8"</t>
        </is>
      </c>
      <c r="E802" s="4" t="inlineStr"/>
      <c r="F802" s="3" t="inlineStr">
        <is>
          <t>unidad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495</v>
      </c>
      <c r="L802" s="6" t="n">
        <v>495</v>
      </c>
      <c r="M802" s="6" t="n">
        <v>495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InnovaCentro (La Innovación)</t>
        </is>
      </c>
      <c r="AE802" s="7" t="inlineStr">
        <is>
          <t>1/8"</t>
        </is>
      </c>
      <c r="AF802" s="7" t="inlineStr">
        <is>
          <t>4'X8' 3X2Mm 1/8"</t>
        </is>
      </c>
    </row>
    <row r="803">
      <c r="A803" s="3" t="inlineStr">
        <is>
          <t>MAT-13-013</t>
        </is>
      </c>
      <c r="B803" s="3" t="inlineStr">
        <is>
          <t>Materiales</t>
        </is>
      </c>
      <c r="C803" s="3" t="inlineStr">
        <is>
          <t>Plafones y construcción liviana</t>
        </is>
      </c>
      <c r="D803" s="4" t="inlineStr">
        <is>
          <t>Cross tee para plafón, 2'</t>
        </is>
      </c>
      <c r="E803" s="4" t="inlineStr"/>
      <c r="F803" s="3" t="inlineStr">
        <is>
          <t>unidad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26</v>
      </c>
      <c r="L803" s="6" t="n">
        <v>26</v>
      </c>
      <c r="M803" s="6" t="n">
        <v>26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InnovaCentro (La Innovación)</t>
        </is>
      </c>
      <c r="AF803" s="7" t="inlineStr">
        <is>
          <t>2'</t>
        </is>
      </c>
    </row>
    <row r="804">
      <c r="A804" s="3" t="inlineStr">
        <is>
          <t>MAT-13-014</t>
        </is>
      </c>
      <c r="B804" s="3" t="inlineStr">
        <is>
          <t>Materiales</t>
        </is>
      </c>
      <c r="C804" s="3" t="inlineStr">
        <is>
          <t>Plafones y construcción liviana</t>
        </is>
      </c>
      <c r="D804" s="4" t="inlineStr">
        <is>
          <t>Cross tee para plafón, 4'</t>
        </is>
      </c>
      <c r="E804" s="4" t="inlineStr"/>
      <c r="F804" s="3" t="inlineStr">
        <is>
          <t>unidad</t>
        </is>
      </c>
      <c r="G804" s="3" t="inlineStr">
        <is>
          <t>Terminación de superficies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56</v>
      </c>
      <c r="L804" s="6" t="n">
        <v>56</v>
      </c>
      <c r="M804" s="6" t="n">
        <v>56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InnovaCentro (La Innovación)</t>
        </is>
      </c>
      <c r="AF804" s="7" t="inlineStr">
        <is>
          <t>4'</t>
        </is>
      </c>
    </row>
    <row r="805">
      <c r="A805" s="3" t="inlineStr">
        <is>
          <t>MAT-13-015</t>
        </is>
      </c>
      <c r="B805" s="3" t="inlineStr">
        <is>
          <t>Materiales</t>
        </is>
      </c>
      <c r="C805" s="3" t="inlineStr">
        <is>
          <t>Plafones y construcción liviana</t>
        </is>
      </c>
      <c r="D805" s="4" t="inlineStr">
        <is>
          <t>Durmiente para plafón, 2-1/2"X10 calibre 25</t>
        </is>
      </c>
      <c r="E805" s="4" t="inlineStr"/>
      <c r="F805" s="3" t="inlineStr">
        <is>
          <t>unidad</t>
        </is>
      </c>
      <c r="G805" s="3" t="inlineStr">
        <is>
          <t>Terminación de superficies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149</v>
      </c>
      <c r="L805" s="6" t="n">
        <v>149</v>
      </c>
      <c r="M805" s="6" t="n">
        <v>149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InnovaCentro (La Innovación)</t>
        </is>
      </c>
      <c r="AE805" s="7" t="inlineStr">
        <is>
          <t>25</t>
        </is>
      </c>
      <c r="AF805" s="7" t="inlineStr">
        <is>
          <t>2-1/2"X10</t>
        </is>
      </c>
    </row>
    <row r="806">
      <c r="A806" s="3" t="inlineStr">
        <is>
          <t>MAT-13-016</t>
        </is>
      </c>
      <c r="B806" s="3" t="inlineStr">
        <is>
          <t>Materiales</t>
        </is>
      </c>
      <c r="C806" s="3" t="inlineStr">
        <is>
          <t>Plafones y construcción liviana</t>
        </is>
      </c>
      <c r="D806" s="4" t="inlineStr">
        <is>
          <t>Main tee para plafón, 12'</t>
        </is>
      </c>
      <c r="E806" s="4" t="inlineStr"/>
      <c r="F806" s="3" t="inlineStr">
        <is>
          <t>unidad</t>
        </is>
      </c>
      <c r="G806" s="3" t="inlineStr">
        <is>
          <t>Terminación de superficies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186</v>
      </c>
      <c r="L806" s="6" t="n">
        <v>186</v>
      </c>
      <c r="M806" s="6" t="n">
        <v>186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InnovaCentro (La Innovación)</t>
        </is>
      </c>
      <c r="AF806" s="7" t="inlineStr">
        <is>
          <t>12'</t>
        </is>
      </c>
    </row>
    <row r="807">
      <c r="A807" s="3" t="inlineStr">
        <is>
          <t>MAT-13-017</t>
        </is>
      </c>
      <c r="B807" s="3" t="inlineStr">
        <is>
          <t>Materiales</t>
        </is>
      </c>
      <c r="C807" s="3" t="inlineStr">
        <is>
          <t>Plafones y construcción liviana</t>
        </is>
      </c>
      <c r="D807" s="4" t="inlineStr">
        <is>
          <t>Paral para plafón, 2-1/2"X10 calibre 25</t>
        </is>
      </c>
      <c r="E807" s="4" t="inlineStr"/>
      <c r="F807" s="3" t="inlineStr">
        <is>
          <t>unidad</t>
        </is>
      </c>
      <c r="G807" s="3" t="inlineStr">
        <is>
          <t>Terminación de superficies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185</v>
      </c>
      <c r="L807" s="6" t="n">
        <v>185</v>
      </c>
      <c r="M807" s="6" t="n">
        <v>185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2026-09-09</t>
        </is>
      </c>
      <c r="Q807" s="4" t="inlineStr">
        <is>
          <t>InnovaCentro (La Innovación)</t>
        </is>
      </c>
      <c r="AE807" s="7" t="inlineStr">
        <is>
          <t>25</t>
        </is>
      </c>
      <c r="AF807" s="7" t="inlineStr">
        <is>
          <t>2-1/2"X10</t>
        </is>
      </c>
    </row>
    <row r="808">
      <c r="A808" s="3" t="inlineStr">
        <is>
          <t>MAT-13-018</t>
        </is>
      </c>
      <c r="B808" s="3" t="inlineStr">
        <is>
          <t>Materiales</t>
        </is>
      </c>
      <c r="C808" s="3" t="inlineStr">
        <is>
          <t>Plafones y construcción liviana</t>
        </is>
      </c>
      <c r="D808" s="4" t="inlineStr">
        <is>
          <t>Plafón, 2X4'</t>
        </is>
      </c>
      <c r="E808" s="4" t="inlineStr"/>
      <c r="F808" s="3" t="inlineStr">
        <is>
          <t>unidad</t>
        </is>
      </c>
      <c r="G808" s="3" t="inlineStr">
        <is>
          <t>Terminación de superficies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295</v>
      </c>
      <c r="L808" s="6" t="n">
        <v>295</v>
      </c>
      <c r="M808" s="6" t="n">
        <v>295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InnovaCentro (La Innovación)</t>
        </is>
      </c>
      <c r="AF808" s="7" t="inlineStr">
        <is>
          <t>2X4'</t>
        </is>
      </c>
    </row>
    <row r="809">
      <c r="A809" s="3" t="inlineStr">
        <is>
          <t>MAT-13-019</t>
        </is>
      </c>
      <c r="B809" s="3" t="inlineStr">
        <is>
          <t>Materiales</t>
        </is>
      </c>
      <c r="C809" s="3" t="inlineStr">
        <is>
          <t>Plafones y construcción liviana</t>
        </is>
      </c>
      <c r="D809" s="4" t="inlineStr">
        <is>
          <t>Plafón blanco, 250X5800X7MM</t>
        </is>
      </c>
      <c r="E809" s="4" t="inlineStr"/>
      <c r="F809" s="3" t="inlineStr">
        <is>
          <t>unidad</t>
        </is>
      </c>
      <c r="G809" s="3" t="inlineStr">
        <is>
          <t>Terminación de superficies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375</v>
      </c>
      <c r="L809" s="6" t="n">
        <v>375</v>
      </c>
      <c r="M809" s="6" t="n">
        <v>375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InnovaCentro (La Innovación)</t>
        </is>
      </c>
      <c r="AF809" s="7" t="inlineStr">
        <is>
          <t>250X5800X7MM</t>
        </is>
      </c>
      <c r="AG809" s="7" t="inlineStr">
        <is>
          <t>blanco</t>
        </is>
      </c>
    </row>
    <row r="810">
      <c r="A810" s="3" t="inlineStr">
        <is>
          <t>MAT-13-020</t>
        </is>
      </c>
      <c r="B810" s="3" t="inlineStr">
        <is>
          <t>Materiales</t>
        </is>
      </c>
      <c r="C810" s="3" t="inlineStr">
        <is>
          <t>Plafones y construcción liviana</t>
        </is>
      </c>
      <c r="D810" s="4" t="inlineStr">
        <is>
          <t>Plafón blanco, 2X4'</t>
        </is>
      </c>
      <c r="E810" s="4" t="inlineStr"/>
      <c r="F810" s="3" t="inlineStr">
        <is>
          <t>unidad</t>
        </is>
      </c>
      <c r="G810" s="3" t="inlineStr">
        <is>
          <t>Terminación de superficies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202</v>
      </c>
      <c r="L810" s="6" t="n">
        <v>202</v>
      </c>
      <c r="M810" s="6" t="n">
        <v>202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InnovaCentro (La Innovación)</t>
        </is>
      </c>
      <c r="AF810" s="7" t="inlineStr">
        <is>
          <t>2X4'</t>
        </is>
      </c>
      <c r="AG810" s="7" t="inlineStr">
        <is>
          <t>blanco</t>
        </is>
      </c>
    </row>
    <row r="811">
      <c r="A811" s="3" t="inlineStr">
        <is>
          <t>MAT-16-003</t>
        </is>
      </c>
      <c r="B811" s="3" t="inlineStr">
        <is>
          <t>Materiales</t>
        </is>
      </c>
      <c r="C811" s="3" t="inlineStr">
        <is>
          <t>Cámaras y videovigilancia</t>
        </is>
      </c>
      <c r="D811" s="4" t="inlineStr">
        <is>
          <t>Kit de videovigilancia 4 cámaras bullet 2 MP</t>
        </is>
      </c>
      <c r="E811" s="4" t="inlineStr">
        <is>
          <t>Incluye grabador y disco</t>
        </is>
      </c>
      <c r="F811" s="3" t="inlineStr">
        <is>
          <t>juego</t>
        </is>
      </c>
      <c r="G811" s="3" t="inlineStr">
        <is>
          <t>Estructura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18221.03</v>
      </c>
      <c r="L811" s="6" t="n">
        <v>18221.03</v>
      </c>
      <c r="M811" s="6" t="n">
        <v>18221.03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Ferretería Ochoa (8A)</t>
        </is>
      </c>
      <c r="W811" s="7" t="inlineStr">
        <is>
          <t>bullet</t>
        </is>
      </c>
      <c r="X811" s="7" t="n">
        <v>2</v>
      </c>
      <c r="AH811" s="4" t="inlineStr">
        <is>
          <t>Cámaras: 4</t>
        </is>
      </c>
    </row>
    <row r="812">
      <c r="A812" s="3" t="inlineStr">
        <is>
          <t>MAT-16-004</t>
        </is>
      </c>
      <c r="B812" s="3" t="inlineStr">
        <is>
          <t>Materiales</t>
        </is>
      </c>
      <c r="C812" s="3" t="inlineStr">
        <is>
          <t>Cámaras y videovigilancia</t>
        </is>
      </c>
      <c r="D812" s="4" t="inlineStr">
        <is>
          <t>Kit de videovigilancia 4 cámaras domo 2 MP</t>
        </is>
      </c>
      <c r="E812" s="4" t="inlineStr">
        <is>
          <t>Incluye grabador y disco</t>
        </is>
      </c>
      <c r="F812" s="3" t="inlineStr">
        <is>
          <t>juego</t>
        </is>
      </c>
      <c r="G812" s="3" t="inlineStr">
        <is>
          <t>Estructura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17133.95</v>
      </c>
      <c r="L812" s="6" t="n">
        <v>17133.95</v>
      </c>
      <c r="M812" s="6" t="n">
        <v>17133.95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Ferretería Ochoa (8A)</t>
        </is>
      </c>
      <c r="W812" s="7" t="inlineStr">
        <is>
          <t>domo</t>
        </is>
      </c>
      <c r="X812" s="7" t="n">
        <v>2</v>
      </c>
      <c r="AH812" s="4" t="inlineStr">
        <is>
          <t>Cámaras: 4</t>
        </is>
      </c>
    </row>
    <row r="813">
      <c r="A813" s="3" t="inlineStr">
        <is>
          <t>MAT-16-005</t>
        </is>
      </c>
      <c r="B813" s="3" t="inlineStr">
        <is>
          <t>Materiales</t>
        </is>
      </c>
      <c r="C813" s="3" t="inlineStr">
        <is>
          <t>Cámaras y videovigilancia</t>
        </is>
      </c>
      <c r="D813" s="4" t="inlineStr">
        <is>
          <t>Cámara de seguridad</t>
        </is>
      </c>
      <c r="E813" s="4" t="inlineStr"/>
      <c r="F813" s="3" t="inlineStr">
        <is>
          <t>unidad</t>
        </is>
      </c>
      <c r="G813" s="3" t="inlineStr">
        <is>
          <t>Estructura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3342.09</v>
      </c>
      <c r="L813" s="6" t="n">
        <v>2548.17</v>
      </c>
      <c r="M813" s="6" t="n">
        <v>4136.01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Ferretería Ochoa (8A)</t>
        </is>
      </c>
    </row>
    <row r="814">
      <c r="A814" s="3" t="inlineStr">
        <is>
          <t>MAT-16-006</t>
        </is>
      </c>
      <c r="B814" s="3" t="inlineStr">
        <is>
          <t>Materiales</t>
        </is>
      </c>
      <c r="C814" s="3" t="inlineStr">
        <is>
          <t>Cámaras y videovigilancia</t>
        </is>
      </c>
      <c r="D814" s="4" t="inlineStr">
        <is>
          <t>Cámara de seguridad bullet</t>
        </is>
      </c>
      <c r="E814" s="4" t="inlineStr"/>
      <c r="F814" s="3" t="inlineStr">
        <is>
          <t>unidad</t>
        </is>
      </c>
      <c r="G814" s="3" t="inlineStr">
        <is>
          <t>Estructura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2588.72</v>
      </c>
      <c r="L814" s="6" t="n">
        <v>2191.4</v>
      </c>
      <c r="M814" s="6" t="n">
        <v>5547.25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Ferretería Ochoa (8A)</t>
        </is>
      </c>
      <c r="W814" s="7" t="inlineStr">
        <is>
          <t>bullet</t>
        </is>
      </c>
    </row>
    <row r="815">
      <c r="A815" s="3" t="inlineStr">
        <is>
          <t>MAT-16-007</t>
        </is>
      </c>
      <c r="B815" s="3" t="inlineStr">
        <is>
          <t>Materiales</t>
        </is>
      </c>
      <c r="C815" s="3" t="inlineStr">
        <is>
          <t>Cámaras y videovigilancia</t>
        </is>
      </c>
      <c r="D815" s="4" t="inlineStr">
        <is>
          <t>Cámara de seguridad bullet 2 MP</t>
        </is>
      </c>
      <c r="E815" s="4" t="inlineStr"/>
      <c r="F815" s="3" t="inlineStr">
        <is>
          <t>unidad</t>
        </is>
      </c>
      <c r="G815" s="3" t="inlineStr">
        <is>
          <t>Estructura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4606.9</v>
      </c>
      <c r="L815" s="6" t="n">
        <v>1784.16</v>
      </c>
      <c r="M815" s="6" t="n">
        <v>8801.58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Ferretería Ochoa (8A)</t>
        </is>
      </c>
      <c r="W815" s="7" t="inlineStr">
        <is>
          <t>bullet</t>
        </is>
      </c>
      <c r="X815" s="7" t="n">
        <v>2</v>
      </c>
      <c r="AH815" s="4" t="inlineStr">
        <is>
          <t>Alcance IR (m): 40</t>
        </is>
      </c>
    </row>
    <row r="816">
      <c r="A816" s="3" t="inlineStr">
        <is>
          <t>MAT-16-008</t>
        </is>
      </c>
      <c r="B816" s="3" t="inlineStr">
        <is>
          <t>Materiales</t>
        </is>
      </c>
      <c r="C816" s="3" t="inlineStr">
        <is>
          <t>Cámaras y videovigilancia</t>
        </is>
      </c>
      <c r="D816" s="4" t="inlineStr">
        <is>
          <t>Cámara de seguridad bullet 4 MP</t>
        </is>
      </c>
      <c r="E816" s="4" t="inlineStr"/>
      <c r="F816" s="3" t="inlineStr">
        <is>
          <t>unidad</t>
        </is>
      </c>
      <c r="G816" s="3" t="inlineStr">
        <is>
          <t>Estructura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9064.129999999999</v>
      </c>
      <c r="L816" s="6" t="n">
        <v>3087.35</v>
      </c>
      <c r="M816" s="6" t="n">
        <v>17705.5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Ferretería Ochoa (8A)</t>
        </is>
      </c>
      <c r="W816" s="7" t="inlineStr">
        <is>
          <t>bullet</t>
        </is>
      </c>
      <c r="X816" s="7" t="n">
        <v>4</v>
      </c>
      <c r="Y816" s="7" t="inlineStr">
        <is>
          <t>IP</t>
        </is>
      </c>
      <c r="AH816" s="4" t="inlineStr">
        <is>
          <t>Lente (mm): 2.8</t>
        </is>
      </c>
    </row>
    <row r="817">
      <c r="A817" s="3" t="inlineStr">
        <is>
          <t>MAT-16-009</t>
        </is>
      </c>
      <c r="B817" s="3" t="inlineStr">
        <is>
          <t>Materiales</t>
        </is>
      </c>
      <c r="C817" s="3" t="inlineStr">
        <is>
          <t>Cámaras y videovigilancia</t>
        </is>
      </c>
      <c r="D817" s="4" t="inlineStr">
        <is>
          <t>Cámara de seguridad bullet 5 MP</t>
        </is>
      </c>
      <c r="E817" s="4" t="inlineStr"/>
      <c r="F817" s="3" t="inlineStr">
        <is>
          <t>unidad</t>
        </is>
      </c>
      <c r="G817" s="3" t="inlineStr">
        <is>
          <t>Estructura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5675.9</v>
      </c>
      <c r="L817" s="6" t="n">
        <v>1394.08</v>
      </c>
      <c r="M817" s="6" t="n">
        <v>12499.73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Ferretería Ochoa (8A)</t>
        </is>
      </c>
      <c r="W817" s="7" t="inlineStr">
        <is>
          <t>bullet</t>
        </is>
      </c>
      <c r="X817" s="7" t="n">
        <v>5</v>
      </c>
    </row>
    <row r="818">
      <c r="A818" s="3" t="inlineStr">
        <is>
          <t>MAT-16-010</t>
        </is>
      </c>
      <c r="B818" s="3" t="inlineStr">
        <is>
          <t>Materiales</t>
        </is>
      </c>
      <c r="C818" s="3" t="inlineStr">
        <is>
          <t>Cámaras y videovigilancia</t>
        </is>
      </c>
      <c r="D818" s="4" t="inlineStr">
        <is>
          <t>Cámara de seguridad bullet 8 MP</t>
        </is>
      </c>
      <c r="E818" s="4" t="inlineStr"/>
      <c r="F818" s="3" t="inlineStr">
        <is>
          <t>unidad</t>
        </is>
      </c>
      <c r="G818" s="3" t="inlineStr">
        <is>
          <t>Estructura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13465.71</v>
      </c>
      <c r="L818" s="6" t="n">
        <v>13465.71</v>
      </c>
      <c r="M818" s="6" t="n">
        <v>13465.71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Ferretería Ochoa (8A)</t>
        </is>
      </c>
      <c r="W818" s="7" t="inlineStr">
        <is>
          <t>bullet</t>
        </is>
      </c>
      <c r="X818" s="7" t="n">
        <v>8</v>
      </c>
      <c r="Y818" s="7" t="inlineStr">
        <is>
          <t>IP</t>
        </is>
      </c>
    </row>
    <row r="819">
      <c r="A819" s="3" t="inlineStr">
        <is>
          <t>MAT-16-011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Cámara de seguridad domo</t>
        </is>
      </c>
      <c r="E819" s="4" t="inlineStr"/>
      <c r="F819" s="3" t="inlineStr">
        <is>
          <t>unidad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12992.17</v>
      </c>
      <c r="L819" s="6" t="n">
        <v>12992.17</v>
      </c>
      <c r="M819" s="6" t="n">
        <v>12992.17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W819" s="7" t="inlineStr">
        <is>
          <t>domo</t>
        </is>
      </c>
      <c r="Y819" s="7" t="inlineStr">
        <is>
          <t>IP</t>
        </is>
      </c>
    </row>
    <row r="820">
      <c r="A820" s="3" t="inlineStr">
        <is>
          <t>MAT-16-012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Cámara de seguridad domo 2 MP</t>
        </is>
      </c>
      <c r="E820" s="4" t="inlineStr"/>
      <c r="F820" s="3" t="inlineStr">
        <is>
          <t>unidad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3461.37</v>
      </c>
      <c r="L820" s="6" t="n">
        <v>740.01</v>
      </c>
      <c r="M820" s="6" t="n">
        <v>7322.31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W820" s="7" t="inlineStr">
        <is>
          <t>domo</t>
        </is>
      </c>
      <c r="X820" s="7" t="n">
        <v>2</v>
      </c>
    </row>
    <row r="821">
      <c r="A821" s="3" t="inlineStr">
        <is>
          <t>MAT-16-013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 domo 4 MP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5025.16</v>
      </c>
      <c r="L821" s="6" t="n">
        <v>3695.82</v>
      </c>
      <c r="M821" s="6" t="n">
        <v>8268.27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  <c r="W821" s="7" t="inlineStr">
        <is>
          <t>domo</t>
        </is>
      </c>
      <c r="X821" s="7" t="n">
        <v>4</v>
      </c>
    </row>
    <row r="822">
      <c r="A822" s="3" t="inlineStr">
        <is>
          <t>MAT-16-014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domo 5 MP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6122.92</v>
      </c>
      <c r="L822" s="6" t="n">
        <v>1368.3</v>
      </c>
      <c r="M822" s="6" t="n">
        <v>24325.6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W822" s="7" t="inlineStr">
        <is>
          <t>domo</t>
        </is>
      </c>
      <c r="X822" s="7" t="n">
        <v>5</v>
      </c>
    </row>
    <row r="823">
      <c r="A823" s="3" t="inlineStr">
        <is>
          <t>MAT-16-015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ojo de pez 5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11020.47</v>
      </c>
      <c r="L823" s="6" t="n">
        <v>11020.47</v>
      </c>
      <c r="M823" s="6" t="n">
        <v>11020.47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W823" s="7" t="inlineStr">
        <is>
          <t>ojo de pez</t>
        </is>
      </c>
      <c r="X823" s="7" t="n">
        <v>5</v>
      </c>
      <c r="Y823" s="7" t="inlineStr">
        <is>
          <t>IP</t>
        </is>
      </c>
    </row>
    <row r="824">
      <c r="A824" s="3" t="inlineStr">
        <is>
          <t>MAT-16-016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Cámara de seguridad PTZ 2 MP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30360.56</v>
      </c>
      <c r="L824" s="6" t="n">
        <v>30360.56</v>
      </c>
      <c r="M824" s="6" t="n">
        <v>30360.56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W824" s="7" t="inlineStr">
        <is>
          <t>PTZ</t>
        </is>
      </c>
      <c r="X824" s="7" t="n">
        <v>2</v>
      </c>
      <c r="Y824" s="7" t="inlineStr">
        <is>
          <t>IP</t>
        </is>
      </c>
    </row>
    <row r="825">
      <c r="A825" s="3" t="inlineStr">
        <is>
          <t>MAT-16-017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Cámara de seguridad PTZ 3 MP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19602.61</v>
      </c>
      <c r="L825" s="6" t="n">
        <v>19602.61</v>
      </c>
      <c r="M825" s="6" t="n">
        <v>19602.61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W825" s="7" t="inlineStr">
        <is>
          <t>PTZ</t>
        </is>
      </c>
      <c r="X825" s="7" t="n">
        <v>3</v>
      </c>
    </row>
    <row r="826">
      <c r="A826" s="3" t="inlineStr">
        <is>
          <t>MAT-16-018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Cámara de seguridad turret 2 MP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3614.58</v>
      </c>
      <c r="L826" s="6" t="n">
        <v>2549.16</v>
      </c>
      <c r="M826" s="6" t="n">
        <v>4679.99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W826" s="7" t="inlineStr">
        <is>
          <t>turret</t>
        </is>
      </c>
      <c r="X826" s="7" t="n">
        <v>2</v>
      </c>
      <c r="AH826" s="4" t="inlineStr">
        <is>
          <t>Lente (mm): 2.8</t>
        </is>
      </c>
    </row>
    <row r="827">
      <c r="A827" s="3" t="inlineStr">
        <is>
          <t>MAT-16-019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Cámara de seguridad turret 4 MP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3073.06</v>
      </c>
      <c r="L827" s="6" t="n">
        <v>3073.06</v>
      </c>
      <c r="M827" s="6" t="n">
        <v>3073.06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W827" s="7" t="inlineStr">
        <is>
          <t>turret</t>
        </is>
      </c>
      <c r="X827" s="7" t="n">
        <v>4</v>
      </c>
    </row>
    <row r="828">
      <c r="A828" s="3" t="inlineStr">
        <is>
          <t>MAT-16-020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Cámara de seguridad turret 5 MP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4570.82</v>
      </c>
      <c r="L828" s="6" t="n">
        <v>3714.5</v>
      </c>
      <c r="M828" s="6" t="n">
        <v>5427.13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W828" s="7" t="inlineStr">
        <is>
          <t>turret</t>
        </is>
      </c>
      <c r="X828" s="7" t="n">
        <v>5</v>
      </c>
      <c r="AH828" s="4" t="inlineStr">
        <is>
          <t>Lente (mm): 2.8</t>
        </is>
      </c>
    </row>
    <row r="829">
      <c r="A829" s="3" t="inlineStr">
        <is>
          <t>MAT-16-021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Cámara de seguridad 2 MP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5421.17</v>
      </c>
      <c r="L829" s="6" t="n">
        <v>1576.87</v>
      </c>
      <c r="M829" s="6" t="n">
        <v>14863.32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X829" s="7" t="n">
        <v>2</v>
      </c>
      <c r="AH829" s="4" t="inlineStr">
        <is>
          <t>Lente (mm): 12</t>
        </is>
      </c>
    </row>
    <row r="830">
      <c r="A830" s="3" t="inlineStr">
        <is>
          <t>MAT-16-022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Cámara de seguridad 5 MP</t>
        </is>
      </c>
      <c r="E830" s="4" t="inlineStr"/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3414.74</v>
      </c>
      <c r="L830" s="6" t="n">
        <v>3414.74</v>
      </c>
      <c r="M830" s="6" t="n">
        <v>3414.74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X830" s="7" t="n">
        <v>5</v>
      </c>
      <c r="Y830" s="7" t="inlineStr">
        <is>
          <t>IP</t>
        </is>
      </c>
    </row>
    <row r="831">
      <c r="A831" s="3" t="inlineStr">
        <is>
          <t>MAT-16-023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Grabador de video DVR 16 canales</t>
        </is>
      </c>
      <c r="E831" s="4" t="inlineStr"/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18426.33</v>
      </c>
      <c r="L831" s="6" t="n">
        <v>18426.33</v>
      </c>
      <c r="M831" s="6" t="n">
        <v>18426.33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Y831" s="7" t="inlineStr">
        <is>
          <t>DVR</t>
        </is>
      </c>
      <c r="Z831" s="7" t="n">
        <v>16</v>
      </c>
    </row>
    <row r="832">
      <c r="A832" s="3" t="inlineStr">
        <is>
          <t>MAT-16-024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Grabador de video DVR 4 canales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7057.8</v>
      </c>
      <c r="L832" s="6" t="n">
        <v>6677.44</v>
      </c>
      <c r="M832" s="6" t="n">
        <v>7438.16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  <c r="Y832" s="7" t="inlineStr">
        <is>
          <t>DVR</t>
        </is>
      </c>
      <c r="Z832" s="7" t="n">
        <v>4</v>
      </c>
    </row>
    <row r="833">
      <c r="A833" s="3" t="inlineStr">
        <is>
          <t>MAT-16-025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Grabador de video NVR 16 canales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17077.39</v>
      </c>
      <c r="L833" s="6" t="n">
        <v>17077.39</v>
      </c>
      <c r="M833" s="6" t="n">
        <v>17077.39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Y833" s="7" t="inlineStr">
        <is>
          <t>NVR</t>
        </is>
      </c>
      <c r="Z833" s="7" t="n">
        <v>16</v>
      </c>
    </row>
    <row r="834">
      <c r="A834" s="3" t="inlineStr">
        <is>
          <t>MAT-16-026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Grabador de video NVR 32 canales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20990.22</v>
      </c>
      <c r="L834" s="6" t="n">
        <v>20990.22</v>
      </c>
      <c r="M834" s="6" t="n">
        <v>20990.22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Y834" s="7" t="inlineStr">
        <is>
          <t>NVR</t>
        </is>
      </c>
      <c r="Z834" s="7" t="n">
        <v>32</v>
      </c>
    </row>
    <row r="835">
      <c r="A835" s="3" t="inlineStr">
        <is>
          <t>MAT-16-027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Grabador de video NVR 64 canales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126684.93</v>
      </c>
      <c r="L835" s="6" t="n">
        <v>126684.93</v>
      </c>
      <c r="M835" s="6" t="n">
        <v>126684.93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Y835" s="7" t="inlineStr">
        <is>
          <t>NVR</t>
        </is>
      </c>
      <c r="Z835" s="7" t="n">
        <v>64</v>
      </c>
    </row>
    <row r="836">
      <c r="A836" s="3" t="inlineStr">
        <is>
          <t>MAT-16-028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Grabador de video XVR 16 canales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6079.41</v>
      </c>
      <c r="L836" s="6" t="n">
        <v>6079.41</v>
      </c>
      <c r="M836" s="6" t="n">
        <v>6079.41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Y836" s="7" t="inlineStr">
        <is>
          <t>XVR</t>
        </is>
      </c>
      <c r="Z836" s="7" t="n">
        <v>16</v>
      </c>
    </row>
    <row r="837">
      <c r="A837" s="3" t="inlineStr">
        <is>
          <t>MAT-16-029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Disco duro para videovigilancia 1 TB</t>
        </is>
      </c>
      <c r="E837" s="4" t="inlineStr">
        <is>
          <t>Escritura 24/7 · uno de escritorio no aguanta</t>
        </is>
      </c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7633.17</v>
      </c>
      <c r="L837" s="6" t="n">
        <v>7633.17</v>
      </c>
      <c r="M837" s="6" t="n">
        <v>7633.17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  <c r="AH837" s="4" t="inlineStr">
        <is>
          <t>Capacidad (TB): 1</t>
        </is>
      </c>
    </row>
    <row r="838">
      <c r="A838" s="3" t="inlineStr">
        <is>
          <t>MAT-16-030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Disco duro para videovigilancia 8 TB</t>
        </is>
      </c>
      <c r="E838" s="4" t="inlineStr">
        <is>
          <t>Escritura 24/7 · uno de escritorio no aguanta</t>
        </is>
      </c>
      <c r="F838" s="3" t="inlineStr">
        <is>
          <t>unidad</t>
        </is>
      </c>
      <c r="G838" s="3" t="inlineStr">
        <is>
          <t>Estructura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22243.38</v>
      </c>
      <c r="L838" s="6" t="n">
        <v>22243.38</v>
      </c>
      <c r="M838" s="6" t="n">
        <v>22243.38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  <c r="AH838" s="4" t="inlineStr">
        <is>
          <t>Capacidad (TB): 8</t>
        </is>
      </c>
    </row>
    <row r="839">
      <c r="A839" s="3" t="inlineStr">
        <is>
          <t>MAT-16-031</t>
        </is>
      </c>
      <c r="B839" s="3" t="inlineStr">
        <is>
          <t>Materiales</t>
        </is>
      </c>
      <c r="C839" s="3" t="inlineStr">
        <is>
          <t>Cámaras y videovigilancia</t>
        </is>
      </c>
      <c r="D839" s="4" t="inlineStr">
        <is>
          <t>Monitor para CCTV</t>
        </is>
      </c>
      <c r="E839" s="4" t="inlineStr"/>
      <c r="F839" s="3" t="inlineStr">
        <is>
          <t>unidad</t>
        </is>
      </c>
      <c r="G839" s="3" t="inlineStr">
        <is>
          <t>Estructura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5356.08</v>
      </c>
      <c r="L839" s="6" t="n">
        <v>2976.42</v>
      </c>
      <c r="M839" s="6" t="n">
        <v>7129.26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Ferretería Ochoa (8A)</t>
        </is>
      </c>
    </row>
    <row r="840">
      <c r="A840" s="3" t="inlineStr">
        <is>
          <t>MAT-16-032</t>
        </is>
      </c>
      <c r="B840" s="3" t="inlineStr">
        <is>
          <t>Materiales</t>
        </is>
      </c>
      <c r="C840" s="3" t="inlineStr">
        <is>
          <t>Cámaras y videovigilancia</t>
        </is>
      </c>
      <c r="D840" s="4" t="inlineStr">
        <is>
          <t>Monitor para CCTV 3.5"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4362.91</v>
      </c>
      <c r="L840" s="6" t="n">
        <v>4362.91</v>
      </c>
      <c r="M840" s="6" t="n">
        <v>4362.91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  <c r="AH840" s="4" t="inlineStr">
        <is>
          <t>Pulgadas: 3.5</t>
        </is>
      </c>
    </row>
    <row r="841">
      <c r="A841" s="3" t="inlineStr">
        <is>
          <t>MAT-16-033</t>
        </is>
      </c>
      <c r="B841" s="3" t="inlineStr">
        <is>
          <t>Materiales</t>
        </is>
      </c>
      <c r="C841" s="3" t="inlineStr">
        <is>
          <t>Cámaras y videovigilancia</t>
        </is>
      </c>
      <c r="D841" s="4" t="inlineStr">
        <is>
          <t>Monitor para CCTV 32"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15349.99</v>
      </c>
      <c r="L841" s="6" t="n">
        <v>15349.99</v>
      </c>
      <c r="M841" s="6" t="n">
        <v>15349.99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Ochoa (8A)</t>
        </is>
      </c>
      <c r="AH841" s="4" t="inlineStr">
        <is>
          <t>Pulgadas: 32</t>
        </is>
      </c>
    </row>
    <row r="842">
      <c r="A842" s="3" t="inlineStr">
        <is>
          <t>MAT-16-034</t>
        </is>
      </c>
      <c r="B842" s="3" t="inlineStr">
        <is>
          <t>Materiales</t>
        </is>
      </c>
      <c r="C842" s="3" t="inlineStr">
        <is>
          <t>Cámaras y videovigilancia</t>
        </is>
      </c>
      <c r="D842" s="4" t="inlineStr">
        <is>
          <t>Monitor para CCTV 4"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2707.65</v>
      </c>
      <c r="L842" s="6" t="n">
        <v>2707.65</v>
      </c>
      <c r="M842" s="6" t="n">
        <v>2707.65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Ochoa (8A)</t>
        </is>
      </c>
      <c r="AH842" s="4" t="inlineStr">
        <is>
          <t>Pulgadas: 4</t>
        </is>
      </c>
    </row>
    <row r="843">
      <c r="A843" s="3" t="inlineStr">
        <is>
          <t>MAT-16-035</t>
        </is>
      </c>
      <c r="B843" s="3" t="inlineStr">
        <is>
          <t>Materiales</t>
        </is>
      </c>
      <c r="C843" s="3" t="inlineStr">
        <is>
          <t>Cámaras y videovigilancia</t>
        </is>
      </c>
      <c r="D843" s="4" t="inlineStr">
        <is>
          <t>Monitor para CCTV 7"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7823.52</v>
      </c>
      <c r="L843" s="6" t="n">
        <v>5570.12</v>
      </c>
      <c r="M843" s="6" t="n">
        <v>10076.91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  <c r="AH843" s="4" t="inlineStr">
        <is>
          <t>Pulgadas: 7</t>
        </is>
      </c>
    </row>
    <row r="844">
      <c r="A844" s="3" t="inlineStr">
        <is>
          <t>MAT-16-036</t>
        </is>
      </c>
      <c r="B844" s="3" t="inlineStr">
        <is>
          <t>Materiales</t>
        </is>
      </c>
      <c r="C844" s="3" t="inlineStr">
        <is>
          <t>Cámaras y videovigilancia</t>
        </is>
      </c>
      <c r="D844" s="4" t="inlineStr">
        <is>
          <t>Soporte o caja para cámara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1012.91</v>
      </c>
      <c r="L844" s="6" t="n">
        <v>1012.91</v>
      </c>
      <c r="M844" s="6" t="n">
        <v>1012.91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</row>
    <row r="845">
      <c r="A845" s="3" t="inlineStr">
        <is>
          <t>MAT-16-037</t>
        </is>
      </c>
      <c r="B845" s="3" t="inlineStr">
        <is>
          <t>Materiales</t>
        </is>
      </c>
      <c r="C845" s="3" t="inlineStr">
        <is>
          <t>Cámaras y videovigilancia</t>
        </is>
      </c>
      <c r="D845" s="4" t="inlineStr">
        <is>
          <t>Video balun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241.33</v>
      </c>
      <c r="L845" s="6" t="n">
        <v>231.08</v>
      </c>
      <c r="M845" s="6" t="n">
        <v>251.58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Ochoa (8A)</t>
        </is>
      </c>
    </row>
    <row r="846">
      <c r="A846" s="3" t="inlineStr">
        <is>
          <t>MAT-18-006</t>
        </is>
      </c>
      <c r="B846" s="3" t="inlineStr">
        <is>
          <t>Materiales</t>
        </is>
      </c>
      <c r="C846" s="3" t="inlineStr">
        <is>
          <t>Exteriores y paisajismo</t>
        </is>
      </c>
      <c r="D846" s="4" t="inlineStr">
        <is>
          <t>Asfalto en frío, 25 kg</t>
        </is>
      </c>
      <c r="E846" s="4" t="inlineStr"/>
      <c r="F846" s="3" t="inlineStr">
        <is>
          <t>unidad</t>
        </is>
      </c>
      <c r="G846" s="3" t="inlineStr">
        <is>
          <t>Exteriores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1695</v>
      </c>
      <c r="L846" s="6" t="n">
        <v>1695</v>
      </c>
      <c r="M846" s="6" t="n">
        <v>1695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InnovaCentro (La Innovación)</t>
        </is>
      </c>
      <c r="AH846" s="4" t="inlineStr">
        <is>
          <t>Peso (kg): 25</t>
        </is>
      </c>
    </row>
    <row r="847">
      <c r="A847" s="3" t="inlineStr">
        <is>
          <t>MAT-19-001</t>
        </is>
      </c>
      <c r="B847" s="3" t="inlineStr">
        <is>
          <t>Materiales</t>
        </is>
      </c>
      <c r="C847" s="3" t="inlineStr">
        <is>
          <t>Perfiles y tubos de acero</t>
        </is>
      </c>
      <c r="D847" s="4" t="inlineStr">
        <is>
          <t>Perfil cuadrado negro 3/4" x 3/4" x 20 pies, pared 1.2 mm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262.29</v>
      </c>
      <c r="L847" s="6" t="n">
        <v>262.29</v>
      </c>
      <c r="M847" s="6" t="n">
        <v>262.29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Ochoa (8A)</t>
        </is>
      </c>
    </row>
    <row r="848">
      <c r="A848" s="3" t="inlineStr">
        <is>
          <t>MAT-19-002</t>
        </is>
      </c>
      <c r="B848" s="3" t="inlineStr">
        <is>
          <t>Materiales</t>
        </is>
      </c>
      <c r="C848" s="3" t="inlineStr">
        <is>
          <t>Perfiles y tubos de acero</t>
        </is>
      </c>
      <c r="D848" s="4" t="inlineStr">
        <is>
          <t>Perfil cuadrado negro 3/4" x 3/4" x 20 pies, pared 1.6 mm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347.73</v>
      </c>
      <c r="L848" s="6" t="n">
        <v>321.76</v>
      </c>
      <c r="M848" s="6" t="n">
        <v>373.71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MC · Ferretería Ochoa (8A)</t>
        </is>
      </c>
    </row>
    <row r="849">
      <c r="A849" s="3" t="inlineStr">
        <is>
          <t>MAT-19-003</t>
        </is>
      </c>
      <c r="B849" s="3" t="inlineStr">
        <is>
          <t>Materiales</t>
        </is>
      </c>
      <c r="C849" s="3" t="inlineStr">
        <is>
          <t>Perfiles y tubos de acero</t>
        </is>
      </c>
      <c r="D849" s="4" t="inlineStr">
        <is>
          <t>Perfil cuadrado negro 1" x 1" x 20 pies, pared 1.2 mm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383.29</v>
      </c>
      <c r="L849" s="6" t="n">
        <v>355.58</v>
      </c>
      <c r="M849" s="6" t="n">
        <v>410.99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MC · Ferretería Ochoa (8A)</t>
        </is>
      </c>
    </row>
    <row r="850">
      <c r="A850" s="3" t="inlineStr">
        <is>
          <t>MAT-19-004</t>
        </is>
      </c>
      <c r="B850" s="3" t="inlineStr">
        <is>
          <t>Materiales</t>
        </is>
      </c>
      <c r="C850" s="3" t="inlineStr">
        <is>
          <t>Perfiles y tubos de acero</t>
        </is>
      </c>
      <c r="D850" s="4" t="inlineStr">
        <is>
          <t>Perfil cuadrado negro 1 1/4" x 1 1/4" x 20 pies, pared 1.2 mm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510.43</v>
      </c>
      <c r="L850" s="6" t="n">
        <v>510.43</v>
      </c>
      <c r="M850" s="6" t="n">
        <v>510.43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Ochoa (8A)</t>
        </is>
      </c>
    </row>
    <row r="851">
      <c r="A851" s="3" t="inlineStr">
        <is>
          <t>MAT-19-005</t>
        </is>
      </c>
      <c r="B851" s="3" t="inlineStr">
        <is>
          <t>Materiales</t>
        </is>
      </c>
      <c r="C851" s="3" t="inlineStr">
        <is>
          <t>Perfiles y tubos de acero</t>
        </is>
      </c>
      <c r="D851" s="4" t="inlineStr">
        <is>
          <t>Perfil cuadrado negro 1 1/4" x 1 1/4" x 20 pies, pared 1.6 mm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556.02</v>
      </c>
      <c r="L851" s="6" t="n">
        <v>556.02</v>
      </c>
      <c r="M851" s="6" t="n">
        <v>556.02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Ochoa (8A)</t>
        </is>
      </c>
    </row>
    <row r="852">
      <c r="A852" s="3" t="inlineStr">
        <is>
          <t>MAT-19-006</t>
        </is>
      </c>
      <c r="B852" s="3" t="inlineStr">
        <is>
          <t>Materiales</t>
        </is>
      </c>
      <c r="C852" s="3" t="inlineStr">
        <is>
          <t>Perfiles y tubos de acero</t>
        </is>
      </c>
      <c r="D852" s="4" t="inlineStr">
        <is>
          <t>Perfil cuadrado negro 1 1/2" x 1 1/2" x 20 pies, pared 1.2 mm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2</v>
      </c>
      <c r="K852" s="6" t="n">
        <v>584.58</v>
      </c>
      <c r="L852" s="6" t="n">
        <v>542.15</v>
      </c>
      <c r="M852" s="6" t="n">
        <v>627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MC · Ferretería Ochoa (8A)</t>
        </is>
      </c>
    </row>
    <row r="853">
      <c r="A853" s="3" t="inlineStr">
        <is>
          <t>MAT-19-007</t>
        </is>
      </c>
      <c r="B853" s="3" t="inlineStr">
        <is>
          <t>Materiales</t>
        </is>
      </c>
      <c r="C853" s="3" t="inlineStr">
        <is>
          <t>Perfiles y tubos de acero</t>
        </is>
      </c>
      <c r="D853" s="4" t="inlineStr">
        <is>
          <t>Perfil cuadrado negro 1 1/2" x 1 1/2" x 20 pies, pared 1.6 mm</t>
        </is>
      </c>
      <c r="E853" s="4" t="inlineStr"/>
      <c r="F853" s="3" t="inlineStr">
        <is>
          <t>unidad</t>
        </is>
      </c>
      <c r="G853" s="3" t="inlineStr">
        <is>
          <t>Estructura</t>
        </is>
      </c>
      <c r="H853" s="3" t="inlineStr">
        <is>
          <t>estandar</t>
        </is>
      </c>
      <c r="I853" s="3" t="inlineStr">
        <is>
          <t>importado</t>
        </is>
      </c>
      <c r="J853" s="5" t="n">
        <v>2</v>
      </c>
      <c r="K853" s="6" t="n">
        <v>717.05</v>
      </c>
      <c r="L853" s="6" t="n">
        <v>647.03</v>
      </c>
      <c r="M853" s="6" t="n">
        <v>787.0599999999999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MC · Ferretería Ochoa (8A)</t>
        </is>
      </c>
    </row>
    <row r="854">
      <c r="A854" s="3" t="inlineStr">
        <is>
          <t>MAT-19-008</t>
        </is>
      </c>
      <c r="B854" s="3" t="inlineStr">
        <is>
          <t>Materiales</t>
        </is>
      </c>
      <c r="C854" s="3" t="inlineStr">
        <is>
          <t>Perfiles y tubos de acero</t>
        </is>
      </c>
      <c r="D854" s="4" t="inlineStr">
        <is>
          <t>Perfil cuadrado negro 2" x 2" x 20 pies, pared 1.6 mm</t>
        </is>
      </c>
      <c r="E854" s="4" t="inlineStr"/>
      <c r="F854" s="3" t="inlineStr">
        <is>
          <t>unidad</t>
        </is>
      </c>
      <c r="G854" s="3" t="inlineStr">
        <is>
          <t>Estructura</t>
        </is>
      </c>
      <c r="H854" s="3" t="inlineStr">
        <is>
          <t>estandar</t>
        </is>
      </c>
      <c r="I854" s="3" t="inlineStr">
        <is>
          <t>importado</t>
        </is>
      </c>
      <c r="J854" s="5" t="n">
        <v>2</v>
      </c>
      <c r="K854" s="6" t="n">
        <v>940.63</v>
      </c>
      <c r="L854" s="6" t="n">
        <v>867.64</v>
      </c>
      <c r="M854" s="6" t="n">
        <v>1013.62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Ferretería MC · Ferretería Ochoa (8A)</t>
        </is>
      </c>
    </row>
    <row r="855">
      <c r="A855" s="3" t="inlineStr">
        <is>
          <t>MAT-19-009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negro 3" x 3" x 20 pies, pared 1.6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2</v>
      </c>
      <c r="K855" s="6" t="n">
        <v>1472.93</v>
      </c>
      <c r="L855" s="6" t="n">
        <v>1319.81</v>
      </c>
      <c r="M855" s="6" t="n">
        <v>1626.04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MC · Ferretería Ochoa (8A)</t>
        </is>
      </c>
    </row>
    <row r="856">
      <c r="A856" s="3" t="inlineStr">
        <is>
          <t>MAT-19-010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galvanizado 3/4" x 3/4" x 20 pies, pared 1.2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316.11</v>
      </c>
      <c r="L856" s="6" t="n">
        <v>316.11</v>
      </c>
      <c r="M856" s="6" t="n">
        <v>316.11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Ochoa (8A)</t>
        </is>
      </c>
    </row>
    <row r="857">
      <c r="A857" s="3" t="inlineStr">
        <is>
          <t>MAT-19-011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cuadrado galvanizado 1" x 1"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2</v>
      </c>
      <c r="K857" s="6" t="n">
        <v>467.93</v>
      </c>
      <c r="L857" s="6" t="n">
        <v>423.74</v>
      </c>
      <c r="M857" s="6" t="n">
        <v>512.12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MC · Ferretería Ochoa (8A)</t>
        </is>
      </c>
    </row>
    <row r="858">
      <c r="A858" s="3" t="inlineStr">
        <is>
          <t>MAT-19-012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cuadrado galvanizado 1" x 1" x 20 pies, pared 1.6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2</v>
      </c>
      <c r="K858" s="6" t="n">
        <v>600.86</v>
      </c>
      <c r="L858" s="6" t="n">
        <v>539.74</v>
      </c>
      <c r="M858" s="6" t="n">
        <v>661.98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MC · Ferretería Ochoa (8A)</t>
        </is>
      </c>
    </row>
    <row r="859">
      <c r="A859" s="3" t="inlineStr">
        <is>
          <t>MAT-19-013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cuadrado galvanizado 1 1/4" x 1 1/4" x 20 pies, pared 1.5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712.04</v>
      </c>
      <c r="L859" s="6" t="n">
        <v>712.04</v>
      </c>
      <c r="M859" s="6" t="n">
        <v>712.04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MAT-19-014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cuadrado galvanizado 1 1/2" x 1 1/2" x 20 pies, pared 1.2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2</v>
      </c>
      <c r="K860" s="6" t="n">
        <v>703.59</v>
      </c>
      <c r="L860" s="6" t="n">
        <v>648.6799999999999</v>
      </c>
      <c r="M860" s="6" t="n">
        <v>758.5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MC · Ferretería Ochoa (8A)</t>
        </is>
      </c>
    </row>
    <row r="861">
      <c r="A861" s="3" t="inlineStr">
        <is>
          <t>MAT-19-015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cuadrado galvanizado 1 1/2" x 1 1/2"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885.17</v>
      </c>
      <c r="L861" s="6" t="n">
        <v>814.53</v>
      </c>
      <c r="M861" s="6" t="n">
        <v>955.8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MC · Ferretería Ochoa (8A)</t>
        </is>
      </c>
    </row>
    <row r="862">
      <c r="A862" s="3" t="inlineStr">
        <is>
          <t>MAT-19-016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cuadrado galvanizado 2" x 2"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1108.57</v>
      </c>
      <c r="L862" s="6" t="n">
        <v>1108.57</v>
      </c>
      <c r="M862" s="6" t="n">
        <v>1108.57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Ochoa (8A)</t>
        </is>
      </c>
    </row>
    <row r="863">
      <c r="A863" s="3" t="inlineStr">
        <is>
          <t>MAT-19-017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cuadrado galvanizado 3" x 3" x 20 pies, pared 1.5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2</v>
      </c>
      <c r="K863" s="6" t="n">
        <v>1872.3</v>
      </c>
      <c r="L863" s="6" t="n">
        <v>1707.91</v>
      </c>
      <c r="M863" s="6" t="n">
        <v>2036.68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MC · Ferretería Ochoa (8A)</t>
        </is>
      </c>
    </row>
    <row r="864">
      <c r="A864" s="3" t="inlineStr">
        <is>
          <t>MAT-19-018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rectangular negro 3/4" x 1 1/2"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402.51</v>
      </c>
      <c r="L864" s="6" t="n">
        <v>402.51</v>
      </c>
      <c r="M864" s="6" t="n">
        <v>402.51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MAT-19-019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rectangular negro 3/4" x 1 1/2" x 20 pies, pared 1.6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472.19</v>
      </c>
      <c r="L865" s="6" t="n">
        <v>472.19</v>
      </c>
      <c r="M865" s="6" t="n">
        <v>472.19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Ochoa (8A)</t>
        </is>
      </c>
    </row>
    <row r="866">
      <c r="A866" s="3" t="inlineStr">
        <is>
          <t>MAT-19-020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rectangular negro 2" x 1" x 20 pies, pared 1.2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542.15</v>
      </c>
      <c r="L866" s="6" t="n">
        <v>542.15</v>
      </c>
      <c r="M866" s="6" t="n">
        <v>542.15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Ochoa (8A)</t>
        </is>
      </c>
    </row>
    <row r="867">
      <c r="A867" s="3" t="inlineStr">
        <is>
          <t>MAT-19-021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rectangular negro 2" x 1" x 20 pies, pared 1.6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639.71</v>
      </c>
      <c r="L867" s="6" t="n">
        <v>639.71</v>
      </c>
      <c r="M867" s="6" t="n">
        <v>639.71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MAT-19-022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rectangular negro 2" x 3" x 20 pies, pared 1.6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1082.3</v>
      </c>
      <c r="L868" s="6" t="n">
        <v>1082.3</v>
      </c>
      <c r="M868" s="6" t="n">
        <v>1082.3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Ochoa (8A)</t>
        </is>
      </c>
    </row>
    <row r="869">
      <c r="A869" s="3" t="inlineStr">
        <is>
          <t>MAT-19-023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rectangular negro 2" x 4"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1349.04</v>
      </c>
      <c r="L869" s="6" t="n">
        <v>1349.04</v>
      </c>
      <c r="M869" s="6" t="n">
        <v>1349.04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Ochoa (8A)</t>
        </is>
      </c>
    </row>
    <row r="870">
      <c r="A870" s="3" t="inlineStr">
        <is>
          <t>MAT-19-024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rectangular negro 3" x 1 1/2"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973.59</v>
      </c>
      <c r="L870" s="6" t="n">
        <v>973.59</v>
      </c>
      <c r="M870" s="6" t="n">
        <v>973.59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MAT-19-025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Perfil rectangular galvanizado 3/4" x 1 1/2" x 20 pies, pared 1.2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492.8</v>
      </c>
      <c r="L871" s="6" t="n">
        <v>492.8</v>
      </c>
      <c r="M871" s="6" t="n">
        <v>492.8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Ochoa (8A)</t>
        </is>
      </c>
    </row>
    <row r="872">
      <c r="A872" s="3" t="inlineStr">
        <is>
          <t>MAT-19-026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Perfil rectangular galvanizado 3/4" x 1 1/2" x 20 pies, pared 1.5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626.88</v>
      </c>
      <c r="L872" s="6" t="n">
        <v>626.88</v>
      </c>
      <c r="M872" s="6" t="n">
        <v>626.88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MAT-19-027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Perfil rectangular galvanizado 2" x 1" x 20 pies, pared 1.2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646.73</v>
      </c>
      <c r="L873" s="6" t="n">
        <v>646.73</v>
      </c>
      <c r="M873" s="6" t="n">
        <v>646.73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MAT-19-028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Perfil rectangular galvanizado 2" x 1" x 20 pies, pared 1.6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812.22</v>
      </c>
      <c r="L874" s="6" t="n">
        <v>812.22</v>
      </c>
      <c r="M874" s="6" t="n">
        <v>812.22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MAT-19-029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Perfil rectangular galvanizado 2" x 3" x 20 pies, pared 1.6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1400.9</v>
      </c>
      <c r="L875" s="6" t="n">
        <v>1400.9</v>
      </c>
      <c r="M875" s="6" t="n">
        <v>1400.9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MAT-19-030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Perfil rectangular galvanizado 2" x 4" x 20 pies, pared 1.6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1695.85</v>
      </c>
      <c r="L876" s="6" t="n">
        <v>1695.85</v>
      </c>
      <c r="M876" s="6" t="n">
        <v>1695.85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MAT-19-031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Perfil rectangular galvanizado 3" x 1 1/2" x 20 pies, pared 1.6 mm</t>
        </is>
      </c>
      <c r="E877" s="4" t="inlineStr"/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1275.97</v>
      </c>
      <c r="L877" s="6" t="n">
        <v>1275.97</v>
      </c>
      <c r="M877" s="6" t="n">
        <v>1275.97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MAT-19-032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Tubo negro redondo 1/2" x 20 pies, pared 2.77 mm</t>
        </is>
      </c>
      <c r="E878" s="4" t="inlineStr"/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620.21</v>
      </c>
      <c r="L878" s="6" t="n">
        <v>620.21</v>
      </c>
      <c r="M878" s="6" t="n">
        <v>620.21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MAT-19-033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Tubo negro redondo 3/4" x 20 pies, pared 2.87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826</v>
      </c>
      <c r="L879" s="6" t="n">
        <v>826</v>
      </c>
      <c r="M879" s="6" t="n">
        <v>826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MAT-19-034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Tubo negro redondo 1" x 20 pies, pared 3.38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1206.29</v>
      </c>
      <c r="L880" s="6" t="n">
        <v>1206.29</v>
      </c>
      <c r="M880" s="6" t="n">
        <v>1206.29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MAT-19-035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Tubo negro redondo 1 1/4" x 20 pies, pared 3.56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1507.57</v>
      </c>
      <c r="L881" s="6" t="n">
        <v>1507.57</v>
      </c>
      <c r="M881" s="6" t="n">
        <v>1507.57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MAT-19-036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Tubo negro redondo 1 1/2" x 20 pies, pared 3.68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1952.51</v>
      </c>
      <c r="L882" s="6" t="n">
        <v>1952.51</v>
      </c>
      <c r="M882" s="6" t="n">
        <v>1952.51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MAT-19-037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Tubo negro redondo 2" x 20 pies, pared 3.91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2634.08</v>
      </c>
      <c r="L883" s="6" t="n">
        <v>2634.08</v>
      </c>
      <c r="M883" s="6" t="n">
        <v>2634.08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MAT-19-038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Tubo negro redondo 2 1/2" x 20 pies</t>
        </is>
      </c>
      <c r="E884" s="4" t="inlineStr">
        <is>
          <t>La ficha no declara la pared</t>
        </is>
      </c>
      <c r="F884" s="3" t="inlineStr">
        <is>
          <t>unidad</t>
        </is>
      </c>
      <c r="G884" s="3" t="inlineStr">
        <is>
          <t>Estructura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4173.42</v>
      </c>
      <c r="L884" s="6" t="n">
        <v>4173.42</v>
      </c>
      <c r="M884" s="6" t="n">
        <v>4173.42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MAT-19-039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Tubo negro redondo 3" x 20 pies</t>
        </is>
      </c>
      <c r="E885" s="4" t="inlineStr">
        <is>
          <t>La ficha no declara la pared</t>
        </is>
      </c>
      <c r="F885" s="3" t="inlineStr">
        <is>
          <t>unidad</t>
        </is>
      </c>
      <c r="G885" s="3" t="inlineStr">
        <is>
          <t>Estructura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5029.28</v>
      </c>
      <c r="L885" s="6" t="n">
        <v>5029.28</v>
      </c>
      <c r="M885" s="6" t="n">
        <v>5029.28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MAT-19-040</t>
        </is>
      </c>
      <c r="B886" s="3" t="inlineStr">
        <is>
          <t>Materiales</t>
        </is>
      </c>
      <c r="C886" s="3" t="inlineStr">
        <is>
          <t>Perfiles y tubos de acero</t>
        </is>
      </c>
      <c r="D886" s="4" t="inlineStr">
        <is>
          <t>Tubo negro redondo 8" x 20 pies, pared 6 mm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15250.64</v>
      </c>
      <c r="L886" s="6" t="n">
        <v>15250.64</v>
      </c>
      <c r="M886" s="6" t="n">
        <v>15250.64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MAT-19-041</t>
        </is>
      </c>
      <c r="B887" s="3" t="inlineStr">
        <is>
          <t>Materiales</t>
        </is>
      </c>
      <c r="C887" s="3" t="inlineStr">
        <is>
          <t>Perfiles y tubos de acero</t>
        </is>
      </c>
      <c r="D887" s="4" t="inlineStr">
        <is>
          <t>Tubo negro redondo 8" x 20 pies, pared 6.35 mm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11671.14</v>
      </c>
      <c r="L887" s="6" t="n">
        <v>11671.14</v>
      </c>
      <c r="M887" s="6" t="n">
        <v>11671.14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Ochoa (8A)</t>
        </is>
      </c>
    </row>
    <row r="888">
      <c r="A888" s="3" t="inlineStr">
        <is>
          <t>MAT-19-042</t>
        </is>
      </c>
      <c r="B888" s="3" t="inlineStr">
        <is>
          <t>Materiales</t>
        </is>
      </c>
      <c r="C888" s="3" t="inlineStr">
        <is>
          <t>Perfiles y tubos de acero</t>
        </is>
      </c>
      <c r="D888" s="4" t="inlineStr">
        <is>
          <t>Tubo negro redondo 10" x 20 pies, pared 6.00 mm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18313.02</v>
      </c>
      <c r="L888" s="6" t="n">
        <v>18313.02</v>
      </c>
      <c r="M888" s="6" t="n">
        <v>18313.02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Ochoa (8A)</t>
        </is>
      </c>
    </row>
    <row r="889">
      <c r="A889" s="3" t="inlineStr">
        <is>
          <t>MAT-19-043</t>
        </is>
      </c>
      <c r="B889" s="3" t="inlineStr">
        <is>
          <t>Materiales</t>
        </is>
      </c>
      <c r="C889" s="3" t="inlineStr">
        <is>
          <t>Perfiles y tubos de acero</t>
        </is>
      </c>
      <c r="D889" s="4" t="inlineStr">
        <is>
          <t>Tubo negro redondo 14" x 20 pies, pared 6 mm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27695.11</v>
      </c>
      <c r="L889" s="6" t="n">
        <v>27695.11</v>
      </c>
      <c r="M889" s="6" t="n">
        <v>27695.11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MAT-19-044</t>
        </is>
      </c>
      <c r="B890" s="3" t="inlineStr">
        <is>
          <t>Materiales</t>
        </is>
      </c>
      <c r="C890" s="3" t="inlineStr">
        <is>
          <t>Perfiles y tubos de acero</t>
        </is>
      </c>
      <c r="D890" s="4" t="inlineStr">
        <is>
          <t>Tubo negro redondo 16" x 20 pies, pared 12.70 mm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62026.36</v>
      </c>
      <c r="L890" s="6" t="n">
        <v>62026.36</v>
      </c>
      <c r="M890" s="6" t="n">
        <v>62026.36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MAT-19-045</t>
        </is>
      </c>
      <c r="B891" s="3" t="inlineStr">
        <is>
          <t>Materiales</t>
        </is>
      </c>
      <c r="C891" s="3" t="inlineStr">
        <is>
          <t>Perfiles y tubos de acero</t>
        </is>
      </c>
      <c r="D891" s="4" t="inlineStr">
        <is>
          <t>Correa galvanizada tipo Z 6" x 1/16" x 20 pies</t>
        </is>
      </c>
      <c r="E891" s="4" t="inlineStr"/>
      <c r="F891" s="3" t="inlineStr">
        <is>
          <t>unidad</t>
        </is>
      </c>
      <c r="G891" s="3" t="inlineStr">
        <is>
          <t>Techos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2658</v>
      </c>
      <c r="L891" s="6" t="n">
        <v>2658</v>
      </c>
      <c r="M891" s="6" t="n">
        <v>2658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Ochoa (8A)</t>
        </is>
      </c>
    </row>
    <row r="892">
      <c r="A892" s="3" t="inlineStr">
        <is>
          <t>MAT-19-046</t>
        </is>
      </c>
      <c r="B892" s="3" t="inlineStr">
        <is>
          <t>Materiales</t>
        </is>
      </c>
      <c r="C892" s="3" t="inlineStr">
        <is>
          <t>Perfiles y tubos de acero</t>
        </is>
      </c>
      <c r="D892" s="4" t="inlineStr">
        <is>
          <t>Correa galvanizada tipo Z 8" x 1/16" x 20 pies</t>
        </is>
      </c>
      <c r="E892" s="4" t="inlineStr"/>
      <c r="F892" s="3" t="inlineStr">
        <is>
          <t>unidad</t>
        </is>
      </c>
      <c r="G892" s="3" t="inlineStr">
        <is>
          <t>Techos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3039.2</v>
      </c>
      <c r="L892" s="6" t="n">
        <v>3039.2</v>
      </c>
      <c r="M892" s="6" t="n">
        <v>3039.2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MAT-20-001</t>
        </is>
      </c>
      <c r="B893" s="3" t="inlineStr">
        <is>
          <t>Materiales</t>
        </is>
      </c>
      <c r="C893" s="3" t="inlineStr">
        <is>
          <t>Angulares, planchuelas y barras</t>
        </is>
      </c>
      <c r="D893" s="4" t="inlineStr">
        <is>
          <t>Angular de hierro negro 3/4" x 1/8" x 20 pies</t>
        </is>
      </c>
      <c r="E893" s="4" t="inlineStr"/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449.99</v>
      </c>
      <c r="L893" s="6" t="n">
        <v>449.99</v>
      </c>
      <c r="M893" s="6" t="n">
        <v>449.99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Ochoa (8A)</t>
        </is>
      </c>
    </row>
    <row r="894">
      <c r="A894" s="3" t="inlineStr">
        <is>
          <t>MAT-20-002</t>
        </is>
      </c>
      <c r="B894" s="3" t="inlineStr">
        <is>
          <t>Materiales</t>
        </is>
      </c>
      <c r="C894" s="3" t="inlineStr">
        <is>
          <t>Angulares, planchuelas y barras</t>
        </is>
      </c>
      <c r="D894" s="4" t="inlineStr">
        <is>
          <t>Angular de hierro negro 1" x 1/8" x 20 pies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2</v>
      </c>
      <c r="K894" s="6" t="n">
        <v>622.2</v>
      </c>
      <c r="L894" s="6" t="n">
        <v>560</v>
      </c>
      <c r="M894" s="6" t="n">
        <v>684.4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 · Ferretería Ochoa (8A)</t>
        </is>
      </c>
    </row>
    <row r="895">
      <c r="A895" s="3" t="inlineStr">
        <is>
          <t>MAT-20-003</t>
        </is>
      </c>
      <c r="B895" s="3" t="inlineStr">
        <is>
          <t>Materiales</t>
        </is>
      </c>
      <c r="C895" s="3" t="inlineStr">
        <is>
          <t>Angulares, planchuelas y barras</t>
        </is>
      </c>
      <c r="D895" s="4" t="inlineStr">
        <is>
          <t>Angular de hierro negro 1" x 3/16" x 20 pies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2</v>
      </c>
      <c r="K895" s="6" t="n">
        <v>918.71</v>
      </c>
      <c r="L895" s="6" t="n">
        <v>812.01</v>
      </c>
      <c r="M895" s="6" t="n">
        <v>1025.42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 · Ferretería Ochoa (8A)</t>
        </is>
      </c>
    </row>
    <row r="896">
      <c r="A896" s="3" t="inlineStr">
        <is>
          <t>MAT-20-004</t>
        </is>
      </c>
      <c r="B896" s="3" t="inlineStr">
        <is>
          <t>Materiales</t>
        </is>
      </c>
      <c r="C896" s="3" t="inlineStr">
        <is>
          <t>Angulares, planchuelas y barras</t>
        </is>
      </c>
      <c r="D896" s="4" t="inlineStr">
        <is>
          <t>Angular de hierro negro 1" x 1/4" x 20 pies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1163.48</v>
      </c>
      <c r="L896" s="6" t="n">
        <v>1163.48</v>
      </c>
      <c r="M896" s="6" t="n">
        <v>1163.48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Ochoa (8A)</t>
        </is>
      </c>
    </row>
    <row r="897">
      <c r="A897" s="3" t="inlineStr">
        <is>
          <t>MAT-20-005</t>
        </is>
      </c>
      <c r="B897" s="3" t="inlineStr">
        <is>
          <t>Materiales</t>
        </is>
      </c>
      <c r="C897" s="3" t="inlineStr">
        <is>
          <t>Angulares, planchuelas y barras</t>
        </is>
      </c>
      <c r="D897" s="4" t="inlineStr">
        <is>
          <t>Angular de hierro negro 1 1/4" x 1/8" x 20 pies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781</v>
      </c>
      <c r="L897" s="6" t="n">
        <v>781</v>
      </c>
      <c r="M897" s="6" t="n">
        <v>781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Ochoa (8A)</t>
        </is>
      </c>
    </row>
    <row r="898">
      <c r="A898" s="3" t="inlineStr">
        <is>
          <t>MAT-20-006</t>
        </is>
      </c>
      <c r="B898" s="3" t="inlineStr">
        <is>
          <t>Materiales</t>
        </is>
      </c>
      <c r="C898" s="3" t="inlineStr">
        <is>
          <t>Angulares, planchuelas y barras</t>
        </is>
      </c>
      <c r="D898" s="4" t="inlineStr">
        <is>
          <t>Angular de hierro negro 1 1/4" x 3/16" x 20 pies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2</v>
      </c>
      <c r="K898" s="6" t="n">
        <v>1115</v>
      </c>
      <c r="L898" s="6" t="n">
        <v>1036</v>
      </c>
      <c r="M898" s="6" t="n">
        <v>1193.99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MC · Ferretería Ochoa (8A)</t>
        </is>
      </c>
    </row>
    <row r="899">
      <c r="A899" s="3" t="inlineStr">
        <is>
          <t>MAT-20-007</t>
        </is>
      </c>
      <c r="B899" s="3" t="inlineStr">
        <is>
          <t>Materiales</t>
        </is>
      </c>
      <c r="C899" s="3" t="inlineStr">
        <is>
          <t>Angulares, planchuelas y barras</t>
        </is>
      </c>
      <c r="D899" s="4" t="inlineStr">
        <is>
          <t>Angular de hierro negro 1 1/4" x 1/4" x 20 pies</t>
        </is>
      </c>
      <c r="E899" s="4" t="inlineStr"/>
      <c r="F899" s="3" t="inlineStr">
        <is>
          <t>unidad</t>
        </is>
      </c>
      <c r="G899" s="3" t="inlineStr">
        <is>
          <t>Estructura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1344</v>
      </c>
      <c r="L899" s="6" t="n">
        <v>1344</v>
      </c>
      <c r="M899" s="6" t="n">
        <v>1344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MAT-20-008</t>
        </is>
      </c>
      <c r="B900" s="3" t="inlineStr">
        <is>
          <t>Materiales</t>
        </is>
      </c>
      <c r="C900" s="3" t="inlineStr">
        <is>
          <t>Angulares, planchuelas y barras</t>
        </is>
      </c>
      <c r="D900" s="4" t="inlineStr">
        <is>
          <t>Angular de hierro negro 1 1/2" x 3/16" x 20 pies</t>
        </is>
      </c>
      <c r="E900" s="4" t="inlineStr"/>
      <c r="F900" s="3" t="inlineStr">
        <is>
          <t>unidad</t>
        </is>
      </c>
      <c r="G900" s="3" t="inlineStr">
        <is>
          <t>Estructura</t>
        </is>
      </c>
      <c r="H900" s="3" t="inlineStr">
        <is>
          <t>estandar</t>
        </is>
      </c>
      <c r="I900" s="3" t="inlineStr">
        <is>
          <t>importado</t>
        </is>
      </c>
      <c r="J900" s="5" t="n">
        <v>2</v>
      </c>
      <c r="K900" s="6" t="n">
        <v>1477.83</v>
      </c>
      <c r="L900" s="6" t="n">
        <v>1260</v>
      </c>
      <c r="M900" s="6" t="n">
        <v>1695.66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 · Ferretería Ochoa (8A)</t>
        </is>
      </c>
    </row>
    <row r="901">
      <c r="A901" s="3" t="inlineStr">
        <is>
          <t>MAT-20-009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1 1/2" x 1/4"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2</v>
      </c>
      <c r="K901" s="6" t="n">
        <v>1820.82</v>
      </c>
      <c r="L901" s="6" t="n">
        <v>1638.01</v>
      </c>
      <c r="M901" s="6" t="n">
        <v>2003.64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MC · Ferretería Ochoa (8A)</t>
        </is>
      </c>
    </row>
    <row r="902">
      <c r="A902" s="3" t="inlineStr">
        <is>
          <t>MAT-20-010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2" x 1/8"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1195.82</v>
      </c>
      <c r="L902" s="6" t="n">
        <v>1155</v>
      </c>
      <c r="M902" s="6" t="n">
        <v>1236.64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MAT-20-011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2" x 3/16"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2</v>
      </c>
      <c r="K903" s="6" t="n">
        <v>2016.89</v>
      </c>
      <c r="L903" s="6" t="n">
        <v>1708</v>
      </c>
      <c r="M903" s="6" t="n">
        <v>2325.78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 · Ferretería Ochoa (8A)</t>
        </is>
      </c>
    </row>
    <row r="904">
      <c r="A904" s="3" t="inlineStr">
        <is>
          <t>MAT-20-012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2"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2</v>
      </c>
      <c r="K904" s="6" t="n">
        <v>2660.36</v>
      </c>
      <c r="L904" s="6" t="n">
        <v>2324.69</v>
      </c>
      <c r="M904" s="6" t="n">
        <v>2996.02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 · Ferretería Ochoa (8A)</t>
        </is>
      </c>
    </row>
    <row r="905">
      <c r="A905" s="3" t="inlineStr">
        <is>
          <t>MAT-20-013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2" x 3/8"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3290.01</v>
      </c>
      <c r="L905" s="6" t="n">
        <v>3290.01</v>
      </c>
      <c r="M905" s="6" t="n">
        <v>3290.01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MAT-20-014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de hierro negro 2 1/2" x 3/16" x 20 pies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2149</v>
      </c>
      <c r="L906" s="6" t="n">
        <v>2149</v>
      </c>
      <c r="M906" s="6" t="n">
        <v>2149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Ochoa (8A)</t>
        </is>
      </c>
    </row>
    <row r="907">
      <c r="A907" s="3" t="inlineStr">
        <is>
          <t>MAT-20-015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de hierro negro 2 1/2" x 1/4" x 20 pies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2</v>
      </c>
      <c r="K907" s="6" t="n">
        <v>3053.96</v>
      </c>
      <c r="L907" s="6" t="n">
        <v>2870</v>
      </c>
      <c r="M907" s="6" t="n">
        <v>3237.92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MC · Ferretería Ochoa (8A)</t>
        </is>
      </c>
    </row>
    <row r="908">
      <c r="A908" s="3" t="inlineStr">
        <is>
          <t>MAT-20-016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Angular de hierro negro 2 1/2" x 3/8"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4130</v>
      </c>
      <c r="L908" s="6" t="n">
        <v>4130</v>
      </c>
      <c r="M908" s="6" t="n">
        <v>4130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Ochoa (8A)</t>
        </is>
      </c>
    </row>
    <row r="909">
      <c r="A909" s="3" t="inlineStr">
        <is>
          <t>MAT-20-017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Angular de hierro negro 3" x 1/4"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2</v>
      </c>
      <c r="K909" s="6" t="n">
        <v>3559.93</v>
      </c>
      <c r="L909" s="6" t="n">
        <v>3430</v>
      </c>
      <c r="M909" s="6" t="n">
        <v>3689.86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 · Ferretería Ochoa (8A)</t>
        </is>
      </c>
    </row>
    <row r="910">
      <c r="A910" s="3" t="inlineStr">
        <is>
          <t>MAT-20-018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Angular de hierro negro 3" x 3/8"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5622.2</v>
      </c>
      <c r="L910" s="6" t="n">
        <v>5622.2</v>
      </c>
      <c r="M910" s="6" t="n">
        <v>5622.2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Ochoa (8A)</t>
        </is>
      </c>
    </row>
    <row r="911">
      <c r="A911" s="3" t="inlineStr">
        <is>
          <t>MAT-20-019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Angular de hierro negro 4" x 1/4"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2</v>
      </c>
      <c r="K911" s="6" t="n">
        <v>5189.41</v>
      </c>
      <c r="L911" s="6" t="n">
        <v>4117.73</v>
      </c>
      <c r="M911" s="6" t="n">
        <v>6261.08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 · Ferretería Ochoa (8A)</t>
        </is>
      </c>
    </row>
    <row r="912">
      <c r="A912" s="3" t="inlineStr">
        <is>
          <t>MAT-20-020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Angular de hierro negro 4" x 1/2"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9995.309999999999</v>
      </c>
      <c r="L912" s="6" t="n">
        <v>9995.309999999999</v>
      </c>
      <c r="M912" s="6" t="n">
        <v>9995.309999999999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Ochoa (8A)</t>
        </is>
      </c>
    </row>
    <row r="913">
      <c r="A913" s="3" t="inlineStr">
        <is>
          <t>MAT-20-021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Angular perforado, 1-1/2X1-1/2"X10'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425</v>
      </c>
      <c r="L913" s="6" t="n">
        <v>425</v>
      </c>
      <c r="M913" s="6" t="n">
        <v>425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InnovaCentro (La Innovación)</t>
        </is>
      </c>
      <c r="AF913" s="7" t="inlineStr">
        <is>
          <t>1-1/2X1-1/2"X10'</t>
        </is>
      </c>
    </row>
    <row r="914">
      <c r="A914" s="3" t="inlineStr">
        <is>
          <t>MAT-20-022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Angular perforado, 1-1/2X1-1/2"X8'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360</v>
      </c>
      <c r="L914" s="6" t="n">
        <v>360</v>
      </c>
      <c r="M914" s="6" t="n">
        <v>360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InnovaCentro (La Innovación)</t>
        </is>
      </c>
      <c r="AF914" s="7" t="inlineStr">
        <is>
          <t>1-1/2X1-1/2"X8'</t>
        </is>
      </c>
    </row>
    <row r="915">
      <c r="A915" s="3" t="inlineStr">
        <is>
          <t>MAT-20-023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Planchuela de hierro negro 1/2" x 1/8"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141.64</v>
      </c>
      <c r="L915" s="6" t="n">
        <v>141.64</v>
      </c>
      <c r="M915" s="6" t="n">
        <v>141.64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Ochoa (8A)</t>
        </is>
      </c>
    </row>
    <row r="916">
      <c r="A916" s="3" t="inlineStr">
        <is>
          <t>MAT-20-024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Planchuela de hierro negro 1/2" x 3/16"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249.92</v>
      </c>
      <c r="L916" s="6" t="n">
        <v>249.92</v>
      </c>
      <c r="M916" s="6" t="n">
        <v>249.92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MAT-20-025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Planchuela de hierro negro 1/2" x 1/4"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331.8</v>
      </c>
      <c r="L917" s="6" t="n">
        <v>331.8</v>
      </c>
      <c r="M917" s="6" t="n">
        <v>331.8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Ochoa (8A)</t>
        </is>
      </c>
    </row>
    <row r="918">
      <c r="A918" s="3" t="inlineStr">
        <is>
          <t>MAT-20-026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Planchuela de hierro negro 3/4" x 1/8"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298.91</v>
      </c>
      <c r="L918" s="6" t="n">
        <v>298.91</v>
      </c>
      <c r="M918" s="6" t="n">
        <v>298.91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MAT-20-027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Planchuela de hierro negro 3/4" x 3/16"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373</v>
      </c>
      <c r="L919" s="6" t="n">
        <v>373</v>
      </c>
      <c r="M919" s="6" t="n">
        <v>373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Ochoa (8A)</t>
        </is>
      </c>
    </row>
    <row r="920">
      <c r="A920" s="3" t="inlineStr">
        <is>
          <t>MAT-20-028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Planchuela de hierro negro 3/4" x 1/4"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497.72</v>
      </c>
      <c r="L920" s="6" t="n">
        <v>497.72</v>
      </c>
      <c r="M920" s="6" t="n">
        <v>497.72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MAT-20-029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Planchuela de hierro negro 1" x 1/8" x 20 pies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297.5</v>
      </c>
      <c r="L921" s="6" t="n">
        <v>297.5</v>
      </c>
      <c r="M921" s="6" t="n">
        <v>297.5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Ochoa (8A)</t>
        </is>
      </c>
    </row>
    <row r="922">
      <c r="A922" s="3" t="inlineStr">
        <is>
          <t>MAT-20-030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Planchuela de hierro negro 1" x 3/16" x 20 pies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446.25</v>
      </c>
      <c r="L922" s="6" t="n">
        <v>446.25</v>
      </c>
      <c r="M922" s="6" t="n">
        <v>446.25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Ochoa (8A)</t>
        </is>
      </c>
    </row>
    <row r="923">
      <c r="A923" s="3" t="inlineStr">
        <is>
          <t>MAT-20-031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1" x 1/4"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595</v>
      </c>
      <c r="L923" s="6" t="n">
        <v>595</v>
      </c>
      <c r="M923" s="6" t="n">
        <v>595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MAT-20-032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1" x 1/2"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1327.5</v>
      </c>
      <c r="L924" s="6" t="n">
        <v>1327.5</v>
      </c>
      <c r="M924" s="6" t="n">
        <v>1327.5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MAT-20-033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 1/4" x 1/8"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415.35</v>
      </c>
      <c r="L925" s="6" t="n">
        <v>415.35</v>
      </c>
      <c r="M925" s="6" t="n">
        <v>415.35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MAT-20-034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1 1/4" x 3/16"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614.58</v>
      </c>
      <c r="L926" s="6" t="n">
        <v>614.58</v>
      </c>
      <c r="M926" s="6" t="n">
        <v>614.58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MAT-20-035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1 1/4" x 1/4"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745.5</v>
      </c>
      <c r="L927" s="6" t="n">
        <v>745.5</v>
      </c>
      <c r="M927" s="6" t="n">
        <v>745.5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MAT-20-036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1 1/4" x 3/8"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1115.73</v>
      </c>
      <c r="L928" s="6" t="n">
        <v>1115.73</v>
      </c>
      <c r="M928" s="6" t="n">
        <v>1115.73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MAT-20-037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1 1/2" x 1/8"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451.7</v>
      </c>
      <c r="L929" s="6" t="n">
        <v>451.7</v>
      </c>
      <c r="M929" s="6" t="n">
        <v>451.7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MAT-20-038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1 1/2" x 3/16"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682.5</v>
      </c>
      <c r="L930" s="6" t="n">
        <v>682.5</v>
      </c>
      <c r="M930" s="6" t="n">
        <v>682.5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MAT-20-039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1 1/2" x 1/4"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892.5</v>
      </c>
      <c r="L931" s="6" t="n">
        <v>892.5</v>
      </c>
      <c r="M931" s="6" t="n">
        <v>892.5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MAT-20-040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1 1/2" x 3/8"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1338.75</v>
      </c>
      <c r="L932" s="6" t="n">
        <v>1338.75</v>
      </c>
      <c r="M932" s="6" t="n">
        <v>1338.75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MAT-20-041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1 1/2" x 1/2"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1991.13</v>
      </c>
      <c r="L933" s="6" t="n">
        <v>1991.13</v>
      </c>
      <c r="M933" s="6" t="n">
        <v>1991.13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MAT-20-042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2" x 1/8"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595</v>
      </c>
      <c r="L934" s="6" t="n">
        <v>595</v>
      </c>
      <c r="M934" s="6" t="n">
        <v>595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MAT-20-043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2" x 3/16"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892.5</v>
      </c>
      <c r="L935" s="6" t="n">
        <v>892.5</v>
      </c>
      <c r="M935" s="6" t="n">
        <v>892.5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MAT-20-044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2" x 1/4"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1189.99</v>
      </c>
      <c r="L936" s="6" t="n">
        <v>1189.99</v>
      </c>
      <c r="M936" s="6" t="n">
        <v>1189.99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MAT-20-045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2" x 3/8"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1785</v>
      </c>
      <c r="L937" s="6" t="n">
        <v>1785</v>
      </c>
      <c r="M937" s="6" t="n">
        <v>1785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MAT-20-046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hierro negro 2" x 1/2"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2380</v>
      </c>
      <c r="L938" s="6" t="n">
        <v>2380</v>
      </c>
      <c r="M938" s="6" t="n">
        <v>2380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MAT-20-047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Planchuela de hierro negro 2 1/2" x 1/4"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1487.5</v>
      </c>
      <c r="L939" s="6" t="n">
        <v>1487.5</v>
      </c>
      <c r="M939" s="6" t="n">
        <v>1487.5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MAT-20-048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Planchuela de hierro negro 2 1/2" x 3/8"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2231.6</v>
      </c>
      <c r="L940" s="6" t="n">
        <v>2231.6</v>
      </c>
      <c r="M940" s="6" t="n">
        <v>2231.6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MAT-20-049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Planchuela de hierro negro 3" x 1/4"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1785</v>
      </c>
      <c r="L941" s="6" t="n">
        <v>1785</v>
      </c>
      <c r="M941" s="6" t="n">
        <v>1785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MAT-20-050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Planchuela de hierro negro 3" x 3/8"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2677.62</v>
      </c>
      <c r="L942" s="6" t="n">
        <v>2677.62</v>
      </c>
      <c r="M942" s="6" t="n">
        <v>2677.62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MAT-20-051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Planchuela de hierro negro 4" x 1/4"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2380</v>
      </c>
      <c r="L943" s="6" t="n">
        <v>2380</v>
      </c>
      <c r="M943" s="6" t="n">
        <v>2380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MAT-20-052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Planchuela de hierro negro 4" x 3/8"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3982.5</v>
      </c>
      <c r="L944" s="6" t="n">
        <v>3982.5</v>
      </c>
      <c r="M944" s="6" t="n">
        <v>3982.5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MAT-20-053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Planchuela de acero inoxidable 2" x 1/8"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premium</t>
        </is>
      </c>
      <c r="I945" s="3" t="inlineStr">
        <is>
          <t>importado</t>
        </is>
      </c>
      <c r="J945" s="5" t="n">
        <v>1</v>
      </c>
      <c r="K945" s="6" t="n">
        <v>1397.2</v>
      </c>
      <c r="L945" s="6" t="n">
        <v>1397.2</v>
      </c>
      <c r="M945" s="6" t="n">
        <v>1397.2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MAT-20-054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Barra cuadrada de acero 7/16"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411.76</v>
      </c>
      <c r="L946" s="6" t="n">
        <v>411.76</v>
      </c>
      <c r="M946" s="6" t="n">
        <v>411.76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MAT-20-055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Barra cuadrada de acero 1/2"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538.46</v>
      </c>
      <c r="L947" s="6" t="n">
        <v>538.46</v>
      </c>
      <c r="M947" s="6" t="n">
        <v>538.46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MAT-20-056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Barra cuadrada de acero 5/8"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843.37</v>
      </c>
      <c r="L948" s="6" t="n">
        <v>843.37</v>
      </c>
      <c r="M948" s="6" t="n">
        <v>843.37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MAT-20-057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Barra redonda de acero 3/8"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238.1</v>
      </c>
      <c r="L949" s="6" t="n">
        <v>238.1</v>
      </c>
      <c r="M949" s="6" t="n">
        <v>238.1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MAT-20-058</t>
        </is>
      </c>
      <c r="B950" s="3" t="inlineStr">
        <is>
          <t>Materiales</t>
        </is>
      </c>
      <c r="C950" s="3" t="inlineStr">
        <is>
          <t>Angulares, planchuelas y barras</t>
        </is>
      </c>
      <c r="D950" s="4" t="inlineStr">
        <is>
          <t>Barra redonda de acero 1/2" x 20 pies</t>
        </is>
      </c>
      <c r="E950" s="4" t="inlineStr"/>
      <c r="F950" s="3" t="inlineStr">
        <is>
          <t>unidad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421.68</v>
      </c>
      <c r="L950" s="6" t="n">
        <v>421.68</v>
      </c>
      <c r="M950" s="6" t="n">
        <v>421.68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MAT-20-059</t>
        </is>
      </c>
      <c r="B951" s="3" t="inlineStr">
        <is>
          <t>Materiales</t>
        </is>
      </c>
      <c r="C951" s="3" t="inlineStr">
        <is>
          <t>Angulares, planchuelas y barras</t>
        </is>
      </c>
      <c r="D951" s="4" t="inlineStr">
        <is>
          <t>Barra redonda de acero 5/8" x 20 pies</t>
        </is>
      </c>
      <c r="E951" s="4" t="inlineStr"/>
      <c r="F951" s="3" t="inlineStr">
        <is>
          <t>unidad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660.38</v>
      </c>
      <c r="L951" s="6" t="n">
        <v>660.38</v>
      </c>
      <c r="M951" s="6" t="n">
        <v>660.38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MAT-20-060</t>
        </is>
      </c>
      <c r="B952" s="3" t="inlineStr">
        <is>
          <t>Materiales</t>
        </is>
      </c>
      <c r="C952" s="3" t="inlineStr">
        <is>
          <t>Angulares, planchuelas y barras</t>
        </is>
      </c>
      <c r="D952" s="4" t="inlineStr">
        <is>
          <t>Barra redonda de acero 3/4" x 20 pies</t>
        </is>
      </c>
      <c r="E952" s="4" t="inlineStr"/>
      <c r="F952" s="3" t="inlineStr">
        <is>
          <t>unidad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945.95</v>
      </c>
      <c r="L952" s="6" t="n">
        <v>945.95</v>
      </c>
      <c r="M952" s="6" t="n">
        <v>945.95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MAT-20-061</t>
        </is>
      </c>
      <c r="B953" s="3" t="inlineStr">
        <is>
          <t>Materiales</t>
        </is>
      </c>
      <c r="C953" s="3" t="inlineStr">
        <is>
          <t>Angulares, planchuelas y barras</t>
        </is>
      </c>
      <c r="D953" s="4" t="inlineStr">
        <is>
          <t>Barra redonda de acero 1" x 20 pies</t>
        </is>
      </c>
      <c r="E953" s="4" t="inlineStr"/>
      <c r="F953" s="3" t="inlineStr">
        <is>
          <t>unidad</t>
        </is>
      </c>
      <c r="G953" s="3" t="inlineStr">
        <is>
          <t>Estructura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1666.67</v>
      </c>
      <c r="L953" s="6" t="n">
        <v>1666.67</v>
      </c>
      <c r="M953" s="6" t="n">
        <v>1666.67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MAT-20-062</t>
        </is>
      </c>
      <c r="B954" s="3" t="inlineStr">
        <is>
          <t>Materiales</t>
        </is>
      </c>
      <c r="C954" s="3" t="inlineStr">
        <is>
          <t>Angulares, planchuelas y barras</t>
        </is>
      </c>
      <c r="D954" s="4" t="inlineStr">
        <is>
          <t>Barra redonda torneada de acero 7/16" x 20 pies</t>
        </is>
      </c>
      <c r="E954" s="4" t="inlineStr"/>
      <c r="F954" s="3" t="inlineStr">
        <is>
          <t>unidad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426.77</v>
      </c>
      <c r="L954" s="6" t="n">
        <v>426.77</v>
      </c>
      <c r="M954" s="6" t="n">
        <v>426.77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MAT-20-063</t>
        </is>
      </c>
      <c r="B955" s="3" t="inlineStr">
        <is>
          <t>Materiales</t>
        </is>
      </c>
      <c r="C955" s="3" t="inlineStr">
        <is>
          <t>Angulares, planchuelas y barras</t>
        </is>
      </c>
      <c r="D955" s="4" t="inlineStr">
        <is>
          <t>Barra redonda torneada de acero 1/2" x 20 pies</t>
        </is>
      </c>
      <c r="E955" s="4" t="inlineStr"/>
      <c r="F955" s="3" t="inlineStr">
        <is>
          <t>unidad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553.47</v>
      </c>
      <c r="L955" s="6" t="n">
        <v>553.47</v>
      </c>
      <c r="M955" s="6" t="n">
        <v>553.47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MAT-20-064</t>
        </is>
      </c>
      <c r="B956" s="3" t="inlineStr">
        <is>
          <t>Materiales</t>
        </is>
      </c>
      <c r="C956" s="3" t="inlineStr">
        <is>
          <t>Angulares, planchuelas y barras</t>
        </is>
      </c>
      <c r="D956" s="4" t="inlineStr">
        <is>
          <t>Barra redonda torneada de acero 5/8" x 20 pies</t>
        </is>
      </c>
      <c r="E956" s="4" t="inlineStr"/>
      <c r="F956" s="3" t="inlineStr">
        <is>
          <t>unidad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858.38</v>
      </c>
      <c r="L956" s="6" t="n">
        <v>858.38</v>
      </c>
      <c r="M956" s="6" t="n">
        <v>858.38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MAT-21-001</t>
        </is>
      </c>
      <c r="B957" s="3" t="inlineStr">
        <is>
          <t>Materiales</t>
        </is>
      </c>
      <c r="C957" s="3" t="inlineStr">
        <is>
          <t>Tolas y láminas de acero</t>
        </is>
      </c>
      <c r="D957" s="4" t="inlineStr">
        <is>
          <t>Tola negra 1/32", plancha 4 x 8 pies</t>
        </is>
      </c>
      <c r="E957" s="4" t="inlineStr">
        <is>
          <t>Peso 40.8 lb</t>
        </is>
      </c>
      <c r="F957" s="3" t="inlineStr">
        <is>
          <t>plancha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1113.61</v>
      </c>
      <c r="L957" s="6" t="n">
        <v>1113.61</v>
      </c>
      <c r="M957" s="6" t="n">
        <v>1113.61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MAT-21-002</t>
        </is>
      </c>
      <c r="B958" s="3" t="inlineStr">
        <is>
          <t>Materiales</t>
        </is>
      </c>
      <c r="C958" s="3" t="inlineStr">
        <is>
          <t>Tolas y láminas de acero</t>
        </is>
      </c>
      <c r="D958" s="4" t="inlineStr">
        <is>
          <t>Tola negra 1/22", plancha 4 x 8 pies</t>
        </is>
      </c>
      <c r="E958" s="4" t="inlineStr">
        <is>
          <t>Peso 59.34 lb</t>
        </is>
      </c>
      <c r="F958" s="3" t="inlineStr">
        <is>
          <t>plancha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1497.04</v>
      </c>
      <c r="L958" s="6" t="n">
        <v>1497.04</v>
      </c>
      <c r="M958" s="6" t="n">
        <v>1497.04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MAT-21-003</t>
        </is>
      </c>
      <c r="B959" s="3" t="inlineStr">
        <is>
          <t>Materiales</t>
        </is>
      </c>
      <c r="C959" s="3" t="inlineStr">
        <is>
          <t>Tolas y láminas de acero</t>
        </is>
      </c>
      <c r="D959" s="4" t="inlineStr">
        <is>
          <t>Tola negra 1/16", plancha 4 x 10 pies</t>
        </is>
      </c>
      <c r="E959" s="4" t="inlineStr">
        <is>
          <t>Peso 102 lb</t>
        </is>
      </c>
      <c r="F959" s="3" t="inlineStr">
        <is>
          <t>plancha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2938.54</v>
      </c>
      <c r="L959" s="6" t="n">
        <v>2938.54</v>
      </c>
      <c r="M959" s="6" t="n">
        <v>2938.54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MAT-21-004</t>
        </is>
      </c>
      <c r="B960" s="3" t="inlineStr">
        <is>
          <t>Materiales</t>
        </is>
      </c>
      <c r="C960" s="3" t="inlineStr">
        <is>
          <t>Tolas y láminas de acero</t>
        </is>
      </c>
      <c r="D960" s="4" t="inlineStr">
        <is>
          <t>Tola negra 1/16", plancha 4 x 8 pies</t>
        </is>
      </c>
      <c r="E960" s="4" t="inlineStr">
        <is>
          <t>Peso 81.61 lb</t>
        </is>
      </c>
      <c r="F960" s="3" t="inlineStr">
        <is>
          <t>plancha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2224.54</v>
      </c>
      <c r="L960" s="6" t="n">
        <v>2224.54</v>
      </c>
      <c r="M960" s="6" t="n">
        <v>2224.54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MAT-21-005</t>
        </is>
      </c>
      <c r="B961" s="3" t="inlineStr">
        <is>
          <t>Materiales</t>
        </is>
      </c>
      <c r="C961" s="3" t="inlineStr">
        <is>
          <t>Tolas y láminas de acero</t>
        </is>
      </c>
      <c r="D961" s="4" t="inlineStr">
        <is>
          <t>Tola negra 3/32", plancha 4 x 8 pies</t>
        </is>
      </c>
      <c r="E961" s="4" t="inlineStr">
        <is>
          <t>Peso 122.4 lb</t>
        </is>
      </c>
      <c r="F961" s="3" t="inlineStr">
        <is>
          <t>plancha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3132.92</v>
      </c>
      <c r="L961" s="6" t="n">
        <v>3132.92</v>
      </c>
      <c r="M961" s="6" t="n">
        <v>3132.92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MAT-21-006</t>
        </is>
      </c>
      <c r="B962" s="3" t="inlineStr">
        <is>
          <t>Materiales</t>
        </is>
      </c>
      <c r="C962" s="3" t="inlineStr">
        <is>
          <t>Tolas y láminas de acero</t>
        </is>
      </c>
      <c r="D962" s="4" t="inlineStr">
        <is>
          <t>Tola negra 1/8", plancha 4 x 10 pies</t>
        </is>
      </c>
      <c r="E962" s="4" t="inlineStr">
        <is>
          <t>Peso 204 lb</t>
        </is>
      </c>
      <c r="F962" s="3" t="inlineStr">
        <is>
          <t>plancha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5622.83</v>
      </c>
      <c r="L962" s="6" t="n">
        <v>5622.83</v>
      </c>
      <c r="M962" s="6" t="n">
        <v>5622.83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MAT-21-007</t>
        </is>
      </c>
      <c r="B963" s="3" t="inlineStr">
        <is>
          <t>Materiales</t>
        </is>
      </c>
      <c r="C963" s="3" t="inlineStr">
        <is>
          <t>Tolas y láminas de acero</t>
        </is>
      </c>
      <c r="D963" s="4" t="inlineStr">
        <is>
          <t>Tola negra 1/8", plancha 4 x 8 pies</t>
        </is>
      </c>
      <c r="E963" s="4" t="inlineStr">
        <is>
          <t>Peso 163.2 lb</t>
        </is>
      </c>
      <c r="F963" s="3" t="inlineStr">
        <is>
          <t>plancha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4104.8</v>
      </c>
      <c r="L963" s="6" t="n">
        <v>4104.8</v>
      </c>
      <c r="M963" s="6" t="n">
        <v>4104.8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MAT-21-008</t>
        </is>
      </c>
      <c r="B964" s="3" t="inlineStr">
        <is>
          <t>Materiales</t>
        </is>
      </c>
      <c r="C964" s="3" t="inlineStr">
        <is>
          <t>Tolas y láminas de acero</t>
        </is>
      </c>
      <c r="D964" s="4" t="inlineStr">
        <is>
          <t>Tola negra 1/8", plancha 5 x 10 pies</t>
        </is>
      </c>
      <c r="E964" s="4" t="inlineStr">
        <is>
          <t>Peso 255 lb</t>
        </is>
      </c>
      <c r="F964" s="3" t="inlineStr">
        <is>
          <t>plancha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6428.83</v>
      </c>
      <c r="L964" s="6" t="n">
        <v>6428.83</v>
      </c>
      <c r="M964" s="6" t="n">
        <v>6428.83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MAT-21-009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3/16", plancha 4 x 8 pies</t>
        </is>
      </c>
      <c r="E965" s="4" t="inlineStr">
        <is>
          <t>Peso 244.8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6678.8</v>
      </c>
      <c r="L965" s="6" t="n">
        <v>6678.8</v>
      </c>
      <c r="M965" s="6" t="n">
        <v>6678.8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MAT-21-010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negra 3/16", plancha 5 x 10 pies</t>
        </is>
      </c>
      <c r="E966" s="4" t="inlineStr">
        <is>
          <t>Peso 382.5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10410.48</v>
      </c>
      <c r="L966" s="6" t="n">
        <v>10410.48</v>
      </c>
      <c r="M966" s="6" t="n">
        <v>10410.48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MAT-21-011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negra 3/16", plancha 6 x 10 pies</t>
        </is>
      </c>
      <c r="E967" s="4" t="inlineStr">
        <is>
          <t>Peso 459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12392.84</v>
      </c>
      <c r="L967" s="6" t="n">
        <v>12392.84</v>
      </c>
      <c r="M967" s="6" t="n">
        <v>12392.84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MAT-21-012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negra 1/4", plancha 4 x 8 pies</t>
        </is>
      </c>
      <c r="E968" s="4" t="inlineStr">
        <is>
          <t>Peso 326.4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8276.58</v>
      </c>
      <c r="L968" s="6" t="n">
        <v>8276.58</v>
      </c>
      <c r="M968" s="6" t="n">
        <v>8276.58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MAT-21-013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negra 1/4", plancha 6 x 10 pies</t>
        </is>
      </c>
      <c r="E969" s="4" t="inlineStr">
        <is>
          <t>Peso 612 lb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16280.34</v>
      </c>
      <c r="L969" s="6" t="n">
        <v>16280.34</v>
      </c>
      <c r="M969" s="6" t="n">
        <v>16280.34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MAT-21-014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negra 3/8", plancha 4 x 8 pies</t>
        </is>
      </c>
      <c r="E970" s="4" t="inlineStr">
        <is>
          <t>Peso 489.6 lb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12665.86</v>
      </c>
      <c r="L970" s="6" t="n">
        <v>12665.86</v>
      </c>
      <c r="M970" s="6" t="n">
        <v>12665.86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MAT-21-015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negra 5/8", plancha 4 x 8 pies</t>
        </is>
      </c>
      <c r="E971" s="4" t="inlineStr">
        <is>
          <t>Peso 819.2 lb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21001.52</v>
      </c>
      <c r="L971" s="6" t="n">
        <v>21001.52</v>
      </c>
      <c r="M971" s="6" t="n">
        <v>21001.52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MAT-21-016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negra 1", plancha 4 x 8 pies</t>
        </is>
      </c>
      <c r="E972" s="4" t="inlineStr">
        <is>
          <t>Peso 1305.6 lb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37319.49</v>
      </c>
      <c r="L972" s="6" t="n">
        <v>37319.49</v>
      </c>
      <c r="M972" s="6" t="n">
        <v>37319.49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MAT-21-017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corrugada 3/32", plancha 4 x 8 pies</t>
        </is>
      </c>
      <c r="E973" s="4" t="inlineStr">
        <is>
          <t>Peso 133 lb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3253.65</v>
      </c>
      <c r="L973" s="6" t="n">
        <v>3253.65</v>
      </c>
      <c r="M973" s="6" t="n">
        <v>3253.65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MAT-21-018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Tola corrugada 1/8", plancha 4 x 8 pies</t>
        </is>
      </c>
      <c r="E974" s="4" t="inlineStr">
        <is>
          <t>Peso 186.5 lb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4279.86</v>
      </c>
      <c r="L974" s="6" t="n">
        <v>4279.86</v>
      </c>
      <c r="M974" s="6" t="n">
        <v>4279.86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MAT-21-019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Tola corrugada 3/16", plancha 4 x 8 pies</t>
        </is>
      </c>
      <c r="E975" s="4" t="inlineStr">
        <is>
          <t>Peso 244.8 lb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6433.47</v>
      </c>
      <c r="L975" s="6" t="n">
        <v>6433.47</v>
      </c>
      <c r="M975" s="6" t="n">
        <v>6433.47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MAT-21-020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Tola galvanizada 4 x 8 pies, 25 lb</t>
        </is>
      </c>
      <c r="E976" s="4" t="inlineStr">
        <is>
          <t>Calibre 26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825.17</v>
      </c>
      <c r="L976" s="6" t="n">
        <v>825.17</v>
      </c>
      <c r="M976" s="6" t="n">
        <v>825.17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MAT-21-021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Tola galvanizada 4 x 8 pies, 32 lb</t>
        </is>
      </c>
      <c r="E977" s="4" t="inlineStr">
        <is>
          <t>Calibre 24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952.1900000000001</v>
      </c>
      <c r="L977" s="6" t="n">
        <v>952.1900000000001</v>
      </c>
      <c r="M977" s="6" t="n">
        <v>952.1900000000001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MAT-21-022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Tola galvanizada 4 x 8 pies, 44 lb</t>
        </is>
      </c>
      <c r="E978" s="4" t="inlineStr">
        <is>
          <t>Calibre 22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1169.6</v>
      </c>
      <c r="L978" s="6" t="n">
        <v>1169.6</v>
      </c>
      <c r="M978" s="6" t="n">
        <v>1169.6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MAT-21-023</t>
        </is>
      </c>
      <c r="B979" s="3" t="inlineStr">
        <is>
          <t>Materiales</t>
        </is>
      </c>
      <c r="C979" s="3" t="inlineStr">
        <is>
          <t>Tolas y láminas de acero</t>
        </is>
      </c>
      <c r="D979" s="4" t="inlineStr">
        <is>
          <t>Tola galvanizada 4 x 8 pies, 52 lb</t>
        </is>
      </c>
      <c r="E979" s="4" t="inlineStr">
        <is>
          <t>Calibre 20</t>
        </is>
      </c>
      <c r="F979" s="3" t="inlineStr">
        <is>
          <t>plancha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1551.37</v>
      </c>
      <c r="L979" s="6" t="n">
        <v>1551.37</v>
      </c>
      <c r="M979" s="6" t="n">
        <v>1551.37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MAT-21-024</t>
        </is>
      </c>
      <c r="B980" s="3" t="inlineStr">
        <is>
          <t>Materiales</t>
        </is>
      </c>
      <c r="C980" s="3" t="inlineStr">
        <is>
          <t>Tolas y láminas de acero</t>
        </is>
      </c>
      <c r="D980" s="4" t="inlineStr">
        <is>
          <t>Tola galvanizada 4 x 8 pies, 83.75 lb</t>
        </is>
      </c>
      <c r="E980" s="4" t="inlineStr">
        <is>
          <t>Calibre 16</t>
        </is>
      </c>
      <c r="F980" s="3" t="inlineStr">
        <is>
          <t>plancha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2364.86</v>
      </c>
      <c r="L980" s="6" t="n">
        <v>2364.86</v>
      </c>
      <c r="M980" s="6" t="n">
        <v>2364.86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</row>
    <row r="981">
      <c r="A981" s="3" t="inlineStr">
        <is>
          <t>MAT-21-025</t>
        </is>
      </c>
      <c r="B981" s="3" t="inlineStr">
        <is>
          <t>Materiales</t>
        </is>
      </c>
      <c r="C981" s="3" t="inlineStr">
        <is>
          <t>Tolas y láminas de acero</t>
        </is>
      </c>
      <c r="D981" s="4" t="inlineStr">
        <is>
          <t>Metal desplegable plano 3/8", plancha 4 x 8 pies</t>
        </is>
      </c>
      <c r="E981" s="4" t="inlineStr">
        <is>
          <t>La ficha no declara el calibre</t>
        </is>
      </c>
      <c r="F981" s="3" t="inlineStr">
        <is>
          <t>plancha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2209.05</v>
      </c>
      <c r="L981" s="6" t="n">
        <v>2209.05</v>
      </c>
      <c r="M981" s="6" t="n">
        <v>2209.05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</row>
    <row r="982">
      <c r="A982" s="3" t="inlineStr">
        <is>
          <t>MAT-21-026</t>
        </is>
      </c>
      <c r="B982" s="3" t="inlineStr">
        <is>
          <t>Materiales</t>
        </is>
      </c>
      <c r="C982" s="3" t="inlineStr">
        <is>
          <t>Tolas y láminas de acero</t>
        </is>
      </c>
      <c r="D982" s="4" t="inlineStr">
        <is>
          <t>Metal desplegable plano 1/2", plancha 4 x 8 pies</t>
        </is>
      </c>
      <c r="E982" s="4" t="inlineStr">
        <is>
          <t>La ficha no declara el calibre</t>
        </is>
      </c>
      <c r="F982" s="3" t="inlineStr">
        <is>
          <t>plancha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765.55</v>
      </c>
      <c r="L982" s="6" t="n">
        <v>765.55</v>
      </c>
      <c r="M982" s="6" t="n">
        <v>765.55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</row>
    <row r="983">
      <c r="A983" s="3" t="inlineStr">
        <is>
          <t>MAT-21-027</t>
        </is>
      </c>
      <c r="B983" s="3" t="inlineStr">
        <is>
          <t>Materiales</t>
        </is>
      </c>
      <c r="C983" s="3" t="inlineStr">
        <is>
          <t>Tolas y láminas de acero</t>
        </is>
      </c>
      <c r="D983" s="4" t="inlineStr">
        <is>
          <t>Metal desplegable plano 3/4", plancha 4 x 8 pies</t>
        </is>
      </c>
      <c r="E983" s="4" t="inlineStr">
        <is>
          <t>La ficha no declara el calibre</t>
        </is>
      </c>
      <c r="F983" s="3" t="inlineStr">
        <is>
          <t>plancha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850</v>
      </c>
      <c r="L983" s="6" t="n">
        <v>850</v>
      </c>
      <c r="M983" s="6" t="n">
        <v>850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</row>
    <row r="984">
      <c r="A984" s="3" t="inlineStr">
        <is>
          <t>MAT-21-028</t>
        </is>
      </c>
      <c r="B984" s="3" t="inlineStr">
        <is>
          <t>Materiales</t>
        </is>
      </c>
      <c r="C984" s="3" t="inlineStr">
        <is>
          <t>Tolas y láminas de acero</t>
        </is>
      </c>
      <c r="D984" s="4" t="inlineStr">
        <is>
          <t>Metal desplegable plano 1", plancha 4 x 8 pies</t>
        </is>
      </c>
      <c r="E984" s="4" t="inlineStr">
        <is>
          <t>La ficha no declara el calibre</t>
        </is>
      </c>
      <c r="F984" s="3" t="inlineStr">
        <is>
          <t>plancha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1080.47</v>
      </c>
      <c r="L984" s="6" t="n">
        <v>1080.47</v>
      </c>
      <c r="M984" s="6" t="n">
        <v>1080.47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</row>
    <row r="985">
      <c r="A985" s="3" t="inlineStr">
        <is>
          <t>MAT-21-029</t>
        </is>
      </c>
      <c r="B985" s="3" t="inlineStr">
        <is>
          <t>Materiales</t>
        </is>
      </c>
      <c r="C985" s="3" t="inlineStr">
        <is>
          <t>Tolas y láminas de acero</t>
        </is>
      </c>
      <c r="D985" s="4" t="inlineStr">
        <is>
          <t>Metal desplegable plano 1 1/2", plancha 4 x 8 pies</t>
        </is>
      </c>
      <c r="E985" s="4" t="inlineStr">
        <is>
          <t>La ficha no declara el calibre</t>
        </is>
      </c>
      <c r="F985" s="3" t="inlineStr">
        <is>
          <t>plancha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939.35</v>
      </c>
      <c r="L985" s="6" t="n">
        <v>939.35</v>
      </c>
      <c r="M985" s="6" t="n">
        <v>939.35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</row>
    <row r="986">
      <c r="A986" s="3" t="inlineStr">
        <is>
          <t>MAT-22-001</t>
        </is>
      </c>
      <c r="B986" s="3" t="inlineStr">
        <is>
          <t>Materiales</t>
        </is>
      </c>
      <c r="C986" s="3" t="inlineStr">
        <is>
          <t>Cerramiento perimetral</t>
        </is>
      </c>
      <c r="D986" s="4" t="inlineStr">
        <is>
          <t>Malla ciclónica calibre 9, 3 pies de alto, rollo de 50 pies</t>
        </is>
      </c>
      <c r="E986" s="4" t="inlineStr">
        <is>
          <t>Galvanizada</t>
        </is>
      </c>
      <c r="F986" s="3" t="inlineStr">
        <is>
          <t>rollo</t>
        </is>
      </c>
      <c r="G986" s="3" t="inlineStr">
        <is>
          <t>Exteriores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5223.1</v>
      </c>
      <c r="L986" s="6" t="n">
        <v>5223.1</v>
      </c>
      <c r="M986" s="6" t="n">
        <v>5223.1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</row>
    <row r="987">
      <c r="A987" s="3" t="inlineStr">
        <is>
          <t>MAT-22-002</t>
        </is>
      </c>
      <c r="B987" s="3" t="inlineStr">
        <is>
          <t>Materiales</t>
        </is>
      </c>
      <c r="C987" s="3" t="inlineStr">
        <is>
          <t>Cerramiento perimetral</t>
        </is>
      </c>
      <c r="D987" s="4" t="inlineStr">
        <is>
          <t>Malla ciclónica calibre 9, 4 pies de alto, rollo de 50 pies</t>
        </is>
      </c>
      <c r="E987" s="4" t="inlineStr">
        <is>
          <t>Galvanizada</t>
        </is>
      </c>
      <c r="F987" s="3" t="inlineStr">
        <is>
          <t>rollo</t>
        </is>
      </c>
      <c r="G987" s="3" t="inlineStr">
        <is>
          <t>Exteriores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2</v>
      </c>
      <c r="K987" s="6" t="n">
        <v>6740.23</v>
      </c>
      <c r="L987" s="6" t="n">
        <v>6121.98</v>
      </c>
      <c r="M987" s="6" t="n">
        <v>7358.48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MC · Ferretería Ochoa (8A)</t>
        </is>
      </c>
    </row>
    <row r="988">
      <c r="A988" s="3" t="inlineStr">
        <is>
          <t>MAT-22-003</t>
        </is>
      </c>
      <c r="B988" s="3" t="inlineStr">
        <is>
          <t>Materiales</t>
        </is>
      </c>
      <c r="C988" s="3" t="inlineStr">
        <is>
          <t>Cerramiento perimetral</t>
        </is>
      </c>
      <c r="D988" s="4" t="inlineStr">
        <is>
          <t>Malla ciclónica calibre 9, 6 pies de alto, rollo de 50 pies</t>
        </is>
      </c>
      <c r="E988" s="4" t="inlineStr">
        <is>
          <t>Galvanizada</t>
        </is>
      </c>
      <c r="F988" s="3" t="inlineStr">
        <is>
          <t>rollo</t>
        </is>
      </c>
      <c r="G988" s="3" t="inlineStr">
        <is>
          <t>Exteriores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2</v>
      </c>
      <c r="K988" s="6" t="n">
        <v>10808.21</v>
      </c>
      <c r="L988" s="6" t="n">
        <v>9867.16</v>
      </c>
      <c r="M988" s="6" t="n">
        <v>11749.26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MC · Ferretería Ochoa (8A)</t>
        </is>
      </c>
    </row>
    <row r="989">
      <c r="A989" s="3" t="inlineStr">
        <is>
          <t>MAT-22-004</t>
        </is>
      </c>
      <c r="B989" s="3" t="inlineStr">
        <is>
          <t>Materiales</t>
        </is>
      </c>
      <c r="C989" s="3" t="inlineStr">
        <is>
          <t>Cerramiento perimetral</t>
        </is>
      </c>
      <c r="D989" s="4" t="inlineStr">
        <is>
          <t>Malla ciclónica calibre 9 revestida en PVC, 6 pies de alto, rollo de 50 pies</t>
        </is>
      </c>
      <c r="E989" s="4" t="inlineStr">
        <is>
          <t>Galvanizada</t>
        </is>
      </c>
      <c r="F989" s="3" t="inlineStr">
        <is>
          <t>rollo</t>
        </is>
      </c>
      <c r="G989" s="3" t="inlineStr">
        <is>
          <t>Exteriores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2</v>
      </c>
      <c r="K989" s="6" t="n">
        <v>13223.83</v>
      </c>
      <c r="L989" s="6" t="n">
        <v>11757.65</v>
      </c>
      <c r="M989" s="6" t="n">
        <v>14690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 · InnovaCentro (La Innovación)</t>
        </is>
      </c>
    </row>
    <row r="990">
      <c r="A990" s="3" t="inlineStr">
        <is>
          <t>MAT-22-005</t>
        </is>
      </c>
      <c r="B990" s="3" t="inlineStr">
        <is>
          <t>Materiales</t>
        </is>
      </c>
      <c r="C990" s="3" t="inlineStr">
        <is>
          <t>Cerramiento perimetral</t>
        </is>
      </c>
      <c r="D990" s="4" t="inlineStr">
        <is>
          <t>Malla ciclónica calibre 9, 8 pies de alto, rollo de 50 pies</t>
        </is>
      </c>
      <c r="E990" s="4" t="inlineStr">
        <is>
          <t>Galvanizada</t>
        </is>
      </c>
      <c r="F990" s="3" t="inlineStr">
        <is>
          <t>rollo</t>
        </is>
      </c>
      <c r="G990" s="3" t="inlineStr">
        <is>
          <t>Exteriores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2</v>
      </c>
      <c r="K990" s="6" t="n">
        <v>14467.25</v>
      </c>
      <c r="L990" s="6" t="n">
        <v>13273.54</v>
      </c>
      <c r="M990" s="6" t="n">
        <v>15660.96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MC · Ferretería Ochoa (8A)</t>
        </is>
      </c>
    </row>
    <row r="991">
      <c r="A991" s="3" t="inlineStr">
        <is>
          <t>MAT-22-006</t>
        </is>
      </c>
      <c r="B991" s="3" t="inlineStr">
        <is>
          <t>Materiales</t>
        </is>
      </c>
      <c r="C991" s="3" t="inlineStr">
        <is>
          <t>Cerramiento perimetral</t>
        </is>
      </c>
      <c r="D991" s="4" t="inlineStr">
        <is>
          <t>Tubo galvanizado para malla ciclónica 1 1/4" x 20 pies</t>
        </is>
      </c>
      <c r="E991" s="4" t="inlineStr"/>
      <c r="F991" s="3" t="inlineStr">
        <is>
          <t>unidad</t>
        </is>
      </c>
      <c r="G991" s="3" t="inlineStr">
        <is>
          <t>Exteriores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3</v>
      </c>
      <c r="K991" s="6" t="n">
        <v>711.54</v>
      </c>
      <c r="L991" s="6" t="n">
        <v>527.0599999999999</v>
      </c>
      <c r="M991" s="6" t="n">
        <v>730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MC · Ferretería Ochoa (8A) · InnovaCentro (La Innovación)</t>
        </is>
      </c>
    </row>
    <row r="992">
      <c r="A992" s="3" t="inlineStr">
        <is>
          <t>MAT-22-007</t>
        </is>
      </c>
      <c r="B992" s="3" t="inlineStr">
        <is>
          <t>Materiales</t>
        </is>
      </c>
      <c r="C992" s="3" t="inlineStr">
        <is>
          <t>Cerramiento perimetral</t>
        </is>
      </c>
      <c r="D992" s="4" t="inlineStr">
        <is>
          <t>Tubo galvanizado para malla ciclónica 1 1/2" x 15 pies</t>
        </is>
      </c>
      <c r="E992" s="4" t="inlineStr"/>
      <c r="F992" s="3" t="inlineStr">
        <is>
          <t>unidad</t>
        </is>
      </c>
      <c r="G992" s="3" t="inlineStr">
        <is>
          <t>Exteriores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3</v>
      </c>
      <c r="K992" s="6" t="n">
        <v>542.8</v>
      </c>
      <c r="L992" s="6" t="n">
        <v>462.61</v>
      </c>
      <c r="M992" s="6" t="n">
        <v>625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MC · Ferretería Ochoa (8A) · InnovaCentro (La Innovación)</t>
        </is>
      </c>
    </row>
    <row r="993">
      <c r="A993" s="3" t="inlineStr">
        <is>
          <t>MAT-22-008</t>
        </is>
      </c>
      <c r="B993" s="3" t="inlineStr">
        <is>
          <t>Materiales</t>
        </is>
      </c>
      <c r="C993" s="3" t="inlineStr">
        <is>
          <t>Cerramiento perimetral</t>
        </is>
      </c>
      <c r="D993" s="4" t="inlineStr">
        <is>
          <t>Tubo galvanizado para malla ciclónica 2" x 20 pies</t>
        </is>
      </c>
      <c r="E993" s="4" t="inlineStr"/>
      <c r="F993" s="3" t="inlineStr">
        <is>
          <t>unidad</t>
        </is>
      </c>
      <c r="G993" s="3" t="inlineStr">
        <is>
          <t>Exteriores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2</v>
      </c>
      <c r="K993" s="6" t="n">
        <v>762.96</v>
      </c>
      <c r="L993" s="6" t="n">
        <v>699.92</v>
      </c>
      <c r="M993" s="6" t="n">
        <v>826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MC · Ferretería Ochoa (8A)</t>
        </is>
      </c>
    </row>
    <row r="994">
      <c r="A994" s="3" t="inlineStr">
        <is>
          <t>MAT-22-009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Malla ciclónica calibre 11, 3 pies de alto, rollo de 50 pies</t>
        </is>
      </c>
      <c r="E994" s="4" t="inlineStr">
        <is>
          <t>Galvanizada</t>
        </is>
      </c>
      <c r="F994" s="3" t="inlineStr">
        <is>
          <t>rollo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4335.91</v>
      </c>
      <c r="L994" s="6" t="n">
        <v>4335.91</v>
      </c>
      <c r="M994" s="6" t="n">
        <v>4335.91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MAT-22-010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Malla ciclónica calibre 11, 6 pies de alto, rollo de 50 pies</t>
        </is>
      </c>
      <c r="E995" s="4" t="inlineStr">
        <is>
          <t>Galvanizada</t>
        </is>
      </c>
      <c r="F995" s="3" t="inlineStr">
        <is>
          <t>rollo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3</v>
      </c>
      <c r="K995" s="6" t="n">
        <v>10250</v>
      </c>
      <c r="L995" s="6" t="n">
        <v>8694.459999999999</v>
      </c>
      <c r="M995" s="6" t="n">
        <v>10360.4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MC · Ferretería Ochoa (8A) · InnovaCentro (La Innovación)</t>
        </is>
      </c>
    </row>
    <row r="996">
      <c r="A996" s="3" t="inlineStr">
        <is>
          <t>MAT-22-011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Alambre de púas 1.50 mm, rollo de 250 metros</t>
        </is>
      </c>
      <c r="E996" s="4" t="inlineStr">
        <is>
          <t>La ficha lo declara calibre 16</t>
        </is>
      </c>
      <c r="F996" s="3" t="inlineStr">
        <is>
          <t>rollo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2601.2</v>
      </c>
      <c r="L996" s="6" t="n">
        <v>2601.2</v>
      </c>
      <c r="M996" s="6" t="n">
        <v>2601.2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MAT-22-012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Alambre de púas calibre 15, rollo de 250 metros</t>
        </is>
      </c>
      <c r="E997" s="4" t="inlineStr"/>
      <c r="F997" s="3" t="inlineStr">
        <is>
          <t>rollo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2541.47</v>
      </c>
      <c r="L997" s="6" t="n">
        <v>2541.47</v>
      </c>
      <c r="M997" s="6" t="n">
        <v>2541.47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</row>
    <row r="998">
      <c r="A998" s="3" t="inlineStr">
        <is>
          <t>MAT-22-013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Alambre de púas calibre 16, rollo de 110 metros</t>
        </is>
      </c>
      <c r="E998" s="4" t="inlineStr"/>
      <c r="F998" s="3" t="inlineStr">
        <is>
          <t>rollo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2</v>
      </c>
      <c r="K998" s="6" t="n">
        <v>904.5599999999999</v>
      </c>
      <c r="L998" s="6" t="n">
        <v>845</v>
      </c>
      <c r="M998" s="6" t="n">
        <v>964.11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 · InnovaCentro (La Innovación)</t>
        </is>
      </c>
    </row>
    <row r="999">
      <c r="A999" s="3" t="inlineStr">
        <is>
          <t>MAT-22-014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Alambre de púas calibre 16, rollo de 250 metros</t>
        </is>
      </c>
      <c r="E999" s="4" t="inlineStr"/>
      <c r="F999" s="3" t="inlineStr">
        <is>
          <t>rollo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4</v>
      </c>
      <c r="K999" s="6" t="n">
        <v>2696.5</v>
      </c>
      <c r="L999" s="6" t="n">
        <v>1885</v>
      </c>
      <c r="M999" s="6" t="n">
        <v>3785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Cima · Ferretería Ochoa (8A) · InnovaCentro (La Innovación) · Max Ferretería</t>
        </is>
      </c>
    </row>
    <row r="1000">
      <c r="A1000" s="3" t="inlineStr">
        <is>
          <t>MAT-22-015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Alambre de púas calibre 17, rollo de 250 metros</t>
        </is>
      </c>
      <c r="E1000" s="4" t="inlineStr"/>
      <c r="F1000" s="3" t="inlineStr">
        <is>
          <t>rollo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1933.36</v>
      </c>
      <c r="L1000" s="6" t="n">
        <v>1933.36</v>
      </c>
      <c r="M1000" s="6" t="n">
        <v>1933.36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MAT-22-016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Tela metálica calibre 16, retícula 1" x 2", 4 pies de alto</t>
        </is>
      </c>
      <c r="E1001" s="4" t="inlineStr">
        <is>
          <t>Rollo de 100 pies</t>
        </is>
      </c>
      <c r="F1001" s="3" t="inlineStr">
        <is>
          <t>yarda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113.78</v>
      </c>
      <c r="L1001" s="6" t="n">
        <v>113.78</v>
      </c>
      <c r="M1001" s="6" t="n">
        <v>113.78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MAT-22-017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Tela metálica calibre 18, retícula 1/2" x 1/2", 4 pies de alto</t>
        </is>
      </c>
      <c r="E1002" s="4" t="inlineStr">
        <is>
          <t>Rollo de 100 pies</t>
        </is>
      </c>
      <c r="F1002" s="3" t="inlineStr">
        <is>
          <t>yarda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192.26</v>
      </c>
      <c r="L1002" s="6" t="n">
        <v>192.26</v>
      </c>
      <c r="M1002" s="6" t="n">
        <v>192.26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</row>
    <row r="1003">
      <c r="A1003" s="3" t="inlineStr">
        <is>
          <t>MAT-22-018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Tela metálica calibre 18, retícula 1" x 1/2", 3 pies de alto</t>
        </is>
      </c>
      <c r="E1003" s="4" t="inlineStr">
        <is>
          <t>Rollo de 100 pies</t>
        </is>
      </c>
      <c r="F1003" s="3" t="inlineStr">
        <is>
          <t>yarda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106.11</v>
      </c>
      <c r="L1003" s="6" t="n">
        <v>106.11</v>
      </c>
      <c r="M1003" s="6" t="n">
        <v>106.11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</row>
    <row r="1004">
      <c r="A1004" s="3" t="inlineStr">
        <is>
          <t>MAT-22-019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Tela metálica calibre 18, retícula 1" x 1/2", 4 pies de alto</t>
        </is>
      </c>
      <c r="E1004" s="4" t="inlineStr">
        <is>
          <t>Rollo de 100 pies</t>
        </is>
      </c>
      <c r="F1004" s="3" t="inlineStr">
        <is>
          <t>yarda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145.1</v>
      </c>
      <c r="L1004" s="6" t="n">
        <v>145.1</v>
      </c>
      <c r="M1004" s="6" t="n">
        <v>145.1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MAT-22-020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Tela metálica calibre 20, retícula 1" x 2", 3 pies de alto</t>
        </is>
      </c>
      <c r="E1005" s="4" t="inlineStr">
        <is>
          <t>Rollo de 100 pies</t>
        </is>
      </c>
      <c r="F1005" s="3" t="inlineStr">
        <is>
          <t>yarda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37.54</v>
      </c>
      <c r="L1005" s="6" t="n">
        <v>37.54</v>
      </c>
      <c r="M1005" s="6" t="n">
        <v>37.54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MAT-22-021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Tela metálica calibre 21, retícula 3/8" x 3/8", 3 pies de alto</t>
        </is>
      </c>
      <c r="E1006" s="4" t="inlineStr">
        <is>
          <t>Rollo de 100 pies</t>
        </is>
      </c>
      <c r="F1006" s="3" t="inlineStr">
        <is>
          <t>yarda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72.61</v>
      </c>
      <c r="L1006" s="6" t="n">
        <v>72.61</v>
      </c>
      <c r="M1006" s="6" t="n">
        <v>72.61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</row>
    <row r="1007">
      <c r="A1007" s="3" t="inlineStr">
        <is>
          <t>MAT-22-022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Tela para gallinero calibre 19, 3 pies de alto</t>
        </is>
      </c>
      <c r="E1007" s="4" t="inlineStr">
        <is>
          <t>Rollo de 100 pies</t>
        </is>
      </c>
      <c r="F1007" s="3" t="inlineStr">
        <is>
          <t>yarda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54.04</v>
      </c>
      <c r="L1007" s="6" t="n">
        <v>54.04</v>
      </c>
      <c r="M1007" s="6" t="n">
        <v>54.04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</row>
    <row r="1008">
      <c r="A1008" s="3" t="inlineStr">
        <is>
          <t>MAT-22-023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Tela para gallinero calibre 20, 3 pies de alto</t>
        </is>
      </c>
      <c r="E1008" s="4" t="inlineStr">
        <is>
          <t>Rollo de 100 pies</t>
        </is>
      </c>
      <c r="F1008" s="3" t="inlineStr">
        <is>
          <t>yarda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46.53</v>
      </c>
      <c r="L1008" s="6" t="n">
        <v>46.53</v>
      </c>
      <c r="M1008" s="6" t="n">
        <v>46.53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MAT-22-024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Alambre de trinchera, 45 Mts</t>
        </is>
      </c>
      <c r="E1009" s="4" t="inlineStr"/>
      <c r="F1009" s="3" t="inlineStr">
        <is>
          <t>rollo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595</v>
      </c>
      <c r="L1009" s="6" t="n">
        <v>595</v>
      </c>
      <c r="M1009" s="6" t="n">
        <v>595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InnovaCentro (La Innovación)</t>
        </is>
      </c>
      <c r="AF1009" s="7" t="inlineStr">
        <is>
          <t>45 Mts</t>
        </is>
      </c>
    </row>
    <row r="1010">
      <c r="A1010" s="3" t="inlineStr">
        <is>
          <t>MAT-22-025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Protección de verja, 1mt</t>
        </is>
      </c>
      <c r="E1010" s="4" t="inlineStr"/>
      <c r="F1010" s="3" t="inlineStr">
        <is>
          <t>unidad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990</v>
      </c>
      <c r="L1010" s="6" t="n">
        <v>985</v>
      </c>
      <c r="M1010" s="6" t="n">
        <v>995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InnovaCentro (La Innovación)</t>
        </is>
      </c>
      <c r="AF1010" s="7" t="inlineStr">
        <is>
          <t>1mt</t>
        </is>
      </c>
    </row>
    <row r="1011">
      <c r="A1011" s="3" t="inlineStr">
        <is>
          <t>MAT-22-026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Abrazadera corta para malla ciclónica 1 1/4"</t>
        </is>
      </c>
      <c r="E1011" s="4" t="inlineStr"/>
      <c r="F1011" s="3" t="inlineStr">
        <is>
          <t>unidad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28.52</v>
      </c>
      <c r="L1011" s="6" t="n">
        <v>16.91</v>
      </c>
      <c r="M1011" s="6" t="n">
        <v>40.12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</t>
        </is>
      </c>
    </row>
    <row r="1012">
      <c r="A1012" s="3" t="inlineStr">
        <is>
          <t>MAT-22-027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Copa pasante para malla ciclónica 1 1/4" x 1 1/2"</t>
        </is>
      </c>
      <c r="E1012" s="4" t="inlineStr"/>
      <c r="F1012" s="3" t="inlineStr">
        <is>
          <t>unidad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3</v>
      </c>
      <c r="K1012" s="6" t="n">
        <v>98</v>
      </c>
      <c r="L1012" s="6" t="n">
        <v>76.66</v>
      </c>
      <c r="M1012" s="6" t="n">
        <v>136.41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 · InnovaCentro (La Innovación)</t>
        </is>
      </c>
    </row>
    <row r="1013">
      <c r="A1013" s="3" t="inlineStr">
        <is>
          <t>MAT-22-028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Copa tensora para malla ciclónica 1 1/4"</t>
        </is>
      </c>
      <c r="E1013" s="4" t="inlineStr"/>
      <c r="F1013" s="3" t="inlineStr">
        <is>
          <t>unidad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55.61</v>
      </c>
      <c r="L1013" s="6" t="n">
        <v>55.61</v>
      </c>
      <c r="M1013" s="6" t="n">
        <v>55.61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MAT-22-029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Copa terminal para malla ciclónica 1 1/4"</t>
        </is>
      </c>
      <c r="E1014" s="4" t="inlineStr"/>
      <c r="F1014" s="3" t="inlineStr">
        <is>
          <t>unidad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2</v>
      </c>
      <c r="K1014" s="6" t="n">
        <v>66.62</v>
      </c>
      <c r="L1014" s="6" t="n">
        <v>36.96</v>
      </c>
      <c r="M1014" s="6" t="n">
        <v>96.29000000000001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</t>
        </is>
      </c>
    </row>
    <row r="1015">
      <c r="A1015" s="3" t="inlineStr">
        <is>
          <t>MAT-22-030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Unión reforzada para malla ciclónica 1 1/4"</t>
        </is>
      </c>
      <c r="E1015" s="4" t="inlineStr"/>
      <c r="F1015" s="3" t="inlineStr">
        <is>
          <t>unidad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60.03</v>
      </c>
      <c r="L1015" s="6" t="n">
        <v>60.03</v>
      </c>
      <c r="M1015" s="6" t="n">
        <v>60.03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</row>
    <row r="1016">
      <c r="A1016" s="3" t="inlineStr">
        <is>
          <t>MAT-22-031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Abrazadera corta para malla ciclónica 1 1/2"</t>
        </is>
      </c>
      <c r="E1016" s="4" t="inlineStr"/>
      <c r="F1016" s="3" t="inlineStr">
        <is>
          <t>unidad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24.66</v>
      </c>
      <c r="L1016" s="6" t="n">
        <v>19.14</v>
      </c>
      <c r="M1016" s="6" t="n">
        <v>30.17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MC · Ferretería Ochoa (8A)</t>
        </is>
      </c>
    </row>
    <row r="1017">
      <c r="A1017" s="3" t="inlineStr">
        <is>
          <t>MAT-22-032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Abrazadera larga para malla ciclónica 1 1/2"</t>
        </is>
      </c>
      <c r="E1017" s="4" t="inlineStr">
        <is>
          <t>Sin tornillo · se compra aparte</t>
        </is>
      </c>
      <c r="F1017" s="3" t="inlineStr">
        <is>
          <t>unidad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3</v>
      </c>
      <c r="K1017" s="6" t="n">
        <v>39.91</v>
      </c>
      <c r="L1017" s="6" t="n">
        <v>28.77</v>
      </c>
      <c r="M1017" s="6" t="n">
        <v>46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 · InnovaCentro (La Innovación)</t>
        </is>
      </c>
    </row>
    <row r="1018">
      <c r="A1018" s="3" t="inlineStr">
        <is>
          <t>MAT-22-033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Brazo doble para malla ciclónica 1 1/2" x 1 1/4"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3</v>
      </c>
      <c r="K1018" s="6" t="n">
        <v>277</v>
      </c>
      <c r="L1018" s="6" t="n">
        <v>187.9</v>
      </c>
      <c r="M1018" s="6" t="n">
        <v>337.48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MC · Ferretería Ochoa (8A) · InnovaCentro (La Innovación)</t>
        </is>
      </c>
    </row>
    <row r="1019">
      <c r="A1019" s="3" t="inlineStr">
        <is>
          <t>MAT-22-034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Brazo sencillo para malla ciclónica 1 1/2" x 1 1/4"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3</v>
      </c>
      <c r="K1019" s="6" t="n">
        <v>168</v>
      </c>
      <c r="L1019" s="6" t="n">
        <v>124.76</v>
      </c>
      <c r="M1019" s="6" t="n">
        <v>257.24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 · InnovaCentro (La Innovación)</t>
        </is>
      </c>
    </row>
    <row r="1020">
      <c r="A1020" s="3" t="inlineStr">
        <is>
          <t>MAT-22-035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Copa pasante para malla ciclónica 1 1/2"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76.66</v>
      </c>
      <c r="L1020" s="6" t="n">
        <v>76.66</v>
      </c>
      <c r="M1020" s="6" t="n">
        <v>76.66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MAT-22-036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terminal para malla ciclónica 1 1/2"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3</v>
      </c>
      <c r="K1021" s="6" t="n">
        <v>96.29000000000001</v>
      </c>
      <c r="L1021" s="6" t="n">
        <v>61.63</v>
      </c>
      <c r="M1021" s="6" t="n">
        <v>105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MC · Ferretería Ochoa (8A) · InnovaCentro (La Innovación)</t>
        </is>
      </c>
    </row>
    <row r="1022">
      <c r="A1022" s="3" t="inlineStr">
        <is>
          <t>MAT-22-037</t>
        </is>
      </c>
      <c r="B1022" s="3" t="inlineStr">
        <is>
          <t>Materiales</t>
        </is>
      </c>
      <c r="C1022" s="3" t="inlineStr">
        <is>
          <t>Cerramiento perimetral</t>
        </is>
      </c>
      <c r="D1022" s="4" t="inlineStr">
        <is>
          <t>Abrazadera corta para malla ciclónica 2"</t>
        </is>
      </c>
      <c r="E1022" s="4" t="inlineStr"/>
      <c r="F1022" s="3" t="inlineStr">
        <is>
          <t>unidad</t>
        </is>
      </c>
      <c r="G1022" s="3" t="inlineStr">
        <is>
          <t>Exteriores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2</v>
      </c>
      <c r="K1022" s="6" t="n">
        <v>33.79</v>
      </c>
      <c r="L1022" s="6" t="n">
        <v>21.04</v>
      </c>
      <c r="M1022" s="6" t="n">
        <v>46.54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MC · Ferretería Ochoa (8A)</t>
        </is>
      </c>
    </row>
    <row r="1023">
      <c r="A1023" s="3" t="inlineStr">
        <is>
          <t>MAT-22-038</t>
        </is>
      </c>
      <c r="B1023" s="3" t="inlineStr">
        <is>
          <t>Materiales</t>
        </is>
      </c>
      <c r="C1023" s="3" t="inlineStr">
        <is>
          <t>Cerramiento perimetral</t>
        </is>
      </c>
      <c r="D1023" s="4" t="inlineStr">
        <is>
          <t>Abrazadera larga para malla ciclónica 2"</t>
        </is>
      </c>
      <c r="E1023" s="4" t="inlineStr">
        <is>
          <t>Sin tornillo · se compra aparte</t>
        </is>
      </c>
      <c r="F1023" s="3" t="inlineStr">
        <is>
          <t>unidad</t>
        </is>
      </c>
      <c r="G1023" s="3" t="inlineStr">
        <is>
          <t>Exteriores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2</v>
      </c>
      <c r="K1023" s="6" t="n">
        <v>34.26</v>
      </c>
      <c r="L1023" s="6" t="n">
        <v>20.38</v>
      </c>
      <c r="M1023" s="6" t="n">
        <v>48.14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MC · Ferretería Ochoa (8A)</t>
        </is>
      </c>
    </row>
    <row r="1024">
      <c r="A1024" s="3" t="inlineStr">
        <is>
          <t>MAT-22-039</t>
        </is>
      </c>
      <c r="B1024" s="3" t="inlineStr">
        <is>
          <t>Materiales</t>
        </is>
      </c>
      <c r="C1024" s="3" t="inlineStr">
        <is>
          <t>Cerramiento perimetral</t>
        </is>
      </c>
      <c r="D1024" s="4" t="inlineStr">
        <is>
          <t>Brazo sencillo para malla ciclónica 2" x 1 1/4"</t>
        </is>
      </c>
      <c r="E1024" s="4" t="inlineStr"/>
      <c r="F1024" s="3" t="inlineStr">
        <is>
          <t>unidad</t>
        </is>
      </c>
      <c r="G1024" s="3" t="inlineStr">
        <is>
          <t>Exteriores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2</v>
      </c>
      <c r="K1024" s="6" t="n">
        <v>252.96</v>
      </c>
      <c r="L1024" s="6" t="n">
        <v>187.9</v>
      </c>
      <c r="M1024" s="6" t="n">
        <v>318.01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MC · Ferretería Ochoa (8A)</t>
        </is>
      </c>
    </row>
    <row r="1025">
      <c r="A1025" s="3" t="inlineStr">
        <is>
          <t>MAT-22-040</t>
        </is>
      </c>
      <c r="B1025" s="3" t="inlineStr">
        <is>
          <t>Materiales</t>
        </is>
      </c>
      <c r="C1025" s="3" t="inlineStr">
        <is>
          <t>Cerramiento perimetral</t>
        </is>
      </c>
      <c r="D1025" s="4" t="inlineStr">
        <is>
          <t>Brazo doble para malla ciclónica 2" x 1 1/2"</t>
        </is>
      </c>
      <c r="E1025" s="4" t="inlineStr"/>
      <c r="F1025" s="3" t="inlineStr">
        <is>
          <t>unidad</t>
        </is>
      </c>
      <c r="G1025" s="3" t="inlineStr">
        <is>
          <t>Exteriores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2</v>
      </c>
      <c r="K1025" s="6" t="n">
        <v>355.33</v>
      </c>
      <c r="L1025" s="6" t="n">
        <v>337.48</v>
      </c>
      <c r="M1025" s="6" t="n">
        <v>373.18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MC · Ferretería Ochoa (8A)</t>
        </is>
      </c>
    </row>
    <row r="1026">
      <c r="A1026" s="3" t="inlineStr">
        <is>
          <t>MAT-22-041</t>
        </is>
      </c>
      <c r="B1026" s="3" t="inlineStr">
        <is>
          <t>Materiales</t>
        </is>
      </c>
      <c r="C1026" s="3" t="inlineStr">
        <is>
          <t>Cerramiento perimetral</t>
        </is>
      </c>
      <c r="D1026" s="4" t="inlineStr">
        <is>
          <t>Copa terminal para malla ciclónica 2"</t>
        </is>
      </c>
      <c r="E1026" s="4" t="inlineStr"/>
      <c r="F1026" s="3" t="inlineStr">
        <is>
          <t>unidad</t>
        </is>
      </c>
      <c r="G1026" s="3" t="inlineStr">
        <is>
          <t>Exteriores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2</v>
      </c>
      <c r="K1026" s="6" t="n">
        <v>77.70999999999999</v>
      </c>
      <c r="L1026" s="6" t="n">
        <v>51.11</v>
      </c>
      <c r="M1026" s="6" t="n">
        <v>104.31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MC · Ferretería Ochoa (8A)</t>
        </is>
      </c>
    </row>
    <row r="1027">
      <c r="A1027" s="3" t="inlineStr">
        <is>
          <t>MAT-22-042</t>
        </is>
      </c>
      <c r="B1027" s="3" t="inlineStr">
        <is>
          <t>Materiales</t>
        </is>
      </c>
      <c r="C1027" s="3" t="inlineStr">
        <is>
          <t>Cerramiento perimetral</t>
        </is>
      </c>
      <c r="D1027" s="4" t="inlineStr">
        <is>
          <t>Brazo para malla ciclónica 2 3/8" x 1 1/2"</t>
        </is>
      </c>
      <c r="E1027" s="4" t="inlineStr"/>
      <c r="F1027" s="3" t="inlineStr">
        <is>
          <t>unidad</t>
        </is>
      </c>
      <c r="G1027" s="3" t="inlineStr">
        <is>
          <t>Exteriores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300.64</v>
      </c>
      <c r="L1027" s="6" t="n">
        <v>300.64</v>
      </c>
      <c r="M1027" s="6" t="n">
        <v>300.64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MAT-22-043</t>
        </is>
      </c>
      <c r="B1028" s="3" t="inlineStr">
        <is>
          <t>Materiales</t>
        </is>
      </c>
      <c r="C1028" s="3" t="inlineStr">
        <is>
          <t>Cerramiento perimetral</t>
        </is>
      </c>
      <c r="D1028" s="4" t="inlineStr">
        <is>
          <t>Copa terminal para malla ciclónica 3"</t>
        </is>
      </c>
      <c r="E1028" s="4" t="inlineStr"/>
      <c r="F1028" s="3" t="inlineStr">
        <is>
          <t>unidad</t>
        </is>
      </c>
      <c r="G1028" s="3" t="inlineStr">
        <is>
          <t>Exteriores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36.5</v>
      </c>
      <c r="L1028" s="6" t="n">
        <v>36.5</v>
      </c>
      <c r="M1028" s="6" t="n">
        <v>36.5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MAT-23-001</t>
        </is>
      </c>
      <c r="B1029" s="3" t="inlineStr">
        <is>
          <t>Materiales</t>
        </is>
      </c>
      <c r="C1029" s="3" t="inlineStr">
        <is>
          <t>Perfilería de aluminio</t>
        </is>
      </c>
      <c r="D1029" s="4" t="inlineStr">
        <is>
          <t>Tubo redondo de aluminio 3/8" x 19.20 pies</t>
        </is>
      </c>
      <c r="E1029" s="4" t="inlineStr">
        <is>
          <t>La ficha no declara la pared</t>
        </is>
      </c>
      <c r="F1029" s="3" t="inlineStr">
        <is>
          <t>unidad</t>
        </is>
      </c>
      <c r="G1029" s="3" t="inlineStr">
        <is>
          <t>Puertas y ventanas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299.9</v>
      </c>
      <c r="L1029" s="6" t="n">
        <v>299.9</v>
      </c>
      <c r="M1029" s="6" t="n">
        <v>299.9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</row>
    <row r="1030">
      <c r="A1030" s="3" t="inlineStr">
        <is>
          <t>MAT-23-002</t>
        </is>
      </c>
      <c r="B1030" s="3" t="inlineStr">
        <is>
          <t>Materiales</t>
        </is>
      </c>
      <c r="C1030" s="3" t="inlineStr">
        <is>
          <t>Perfilería de aluminio</t>
        </is>
      </c>
      <c r="D1030" s="4" t="inlineStr">
        <is>
          <t>Tubo redondo de aluminio 1/2" x 19.20 pies</t>
        </is>
      </c>
      <c r="E1030" s="4" t="inlineStr">
        <is>
          <t>La ficha no declara la pared</t>
        </is>
      </c>
      <c r="F1030" s="3" t="inlineStr">
        <is>
          <t>unidad</t>
        </is>
      </c>
      <c r="G1030" s="3" t="inlineStr">
        <is>
          <t>Puertas y ventanas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373.61</v>
      </c>
      <c r="L1030" s="6" t="n">
        <v>373.61</v>
      </c>
      <c r="M1030" s="6" t="n">
        <v>373.61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MAT-23-003</t>
        </is>
      </c>
      <c r="B1031" s="3" t="inlineStr">
        <is>
          <t>Materiales</t>
        </is>
      </c>
      <c r="C1031" s="3" t="inlineStr">
        <is>
          <t>Perfilería de aluminio</t>
        </is>
      </c>
      <c r="D1031" s="4" t="inlineStr">
        <is>
          <t>Planchuela de aluminio 1/2" x 1/8" x 19.20 pies</t>
        </is>
      </c>
      <c r="E1031" s="4" t="inlineStr"/>
      <c r="F1031" s="3" t="inlineStr">
        <is>
          <t>unidad</t>
        </is>
      </c>
      <c r="G1031" s="3" t="inlineStr">
        <is>
          <t>Puertas y ventanas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452.36</v>
      </c>
      <c r="L1031" s="6" t="n">
        <v>452.36</v>
      </c>
      <c r="M1031" s="6" t="n">
        <v>452.36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MAT-23-004</t>
        </is>
      </c>
      <c r="B1032" s="3" t="inlineStr">
        <is>
          <t>Materiales</t>
        </is>
      </c>
      <c r="C1032" s="3" t="inlineStr">
        <is>
          <t>Perfilería de aluminio</t>
        </is>
      </c>
      <c r="D1032" s="4" t="inlineStr">
        <is>
          <t>Angular de aluminio 1/2" x 1/2" x 19.20 pies</t>
        </is>
      </c>
      <c r="E1032" s="4" t="inlineStr">
        <is>
          <t>La ficha no declara el espesor</t>
        </is>
      </c>
      <c r="F1032" s="3" t="inlineStr">
        <is>
          <t>unidad</t>
        </is>
      </c>
      <c r="G1032" s="3" t="inlineStr">
        <is>
          <t>Puertas y ventanas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344.86</v>
      </c>
      <c r="L1032" s="6" t="n">
        <v>295</v>
      </c>
      <c r="M1032" s="6" t="n">
        <v>394.72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 · InnovaCentro (La Innovación)</t>
        </is>
      </c>
    </row>
    <row r="1033">
      <c r="A1033" s="3" t="inlineStr">
        <is>
          <t>MAT-23-005</t>
        </is>
      </c>
      <c r="B1033" s="3" t="inlineStr">
        <is>
          <t>Materiales</t>
        </is>
      </c>
      <c r="C1033" s="3" t="inlineStr">
        <is>
          <t>Perfilería de aluminio</t>
        </is>
      </c>
      <c r="D1033" s="4" t="inlineStr">
        <is>
          <t>Moldura U de aluminio 1/2" x 1/2" x 19.20 pies</t>
        </is>
      </c>
      <c r="E1033" s="4" t="inlineStr">
        <is>
          <t>La ficha no declara el espesor</t>
        </is>
      </c>
      <c r="F1033" s="3" t="inlineStr">
        <is>
          <t>unidad</t>
        </is>
      </c>
      <c r="G1033" s="3" t="inlineStr">
        <is>
          <t>Puertas y ventanas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377.71</v>
      </c>
      <c r="L1033" s="6" t="n">
        <v>377.71</v>
      </c>
      <c r="M1033" s="6" t="n">
        <v>377.71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MAT-23-006</t>
        </is>
      </c>
      <c r="B1034" s="3" t="inlineStr">
        <is>
          <t>Materiales</t>
        </is>
      </c>
      <c r="C1034" s="3" t="inlineStr">
        <is>
          <t>Perfilería de aluminio</t>
        </is>
      </c>
      <c r="D1034" s="4" t="inlineStr">
        <is>
          <t>Moldura U de aluminio 5/8" x 5/8" x 19.20 pies</t>
        </is>
      </c>
      <c r="E1034" s="4" t="inlineStr">
        <is>
          <t>La ficha no declara el espesor</t>
        </is>
      </c>
      <c r="F1034" s="3" t="inlineStr">
        <is>
          <t>unidad</t>
        </is>
      </c>
      <c r="G1034" s="3" t="inlineStr">
        <is>
          <t>Puertas y ventanas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827.9</v>
      </c>
      <c r="L1034" s="6" t="n">
        <v>827.9</v>
      </c>
      <c r="M1034" s="6" t="n">
        <v>827.9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MAT-23-007</t>
        </is>
      </c>
      <c r="B1035" s="3" t="inlineStr">
        <is>
          <t>Materiales</t>
        </is>
      </c>
      <c r="C1035" s="3" t="inlineStr">
        <is>
          <t>Perfilería de aluminio</t>
        </is>
      </c>
      <c r="D1035" s="4" t="inlineStr">
        <is>
          <t>Tubo redondo de aluminio 3/4" x 19.20 pies</t>
        </is>
      </c>
      <c r="E1035" s="4" t="inlineStr">
        <is>
          <t>La ficha no declara la pared</t>
        </is>
      </c>
      <c r="F1035" s="3" t="inlineStr">
        <is>
          <t>unidad</t>
        </is>
      </c>
      <c r="G1035" s="3" t="inlineStr">
        <is>
          <t>Puertas y ventanas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772.42</v>
      </c>
      <c r="L1035" s="6" t="n">
        <v>772.42</v>
      </c>
      <c r="M1035" s="6" t="n">
        <v>772.42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MAT-23-008</t>
        </is>
      </c>
      <c r="B1036" s="3" t="inlineStr">
        <is>
          <t>Materiales</t>
        </is>
      </c>
      <c r="C1036" s="3" t="inlineStr">
        <is>
          <t>Perfilería de aluminio</t>
        </is>
      </c>
      <c r="D1036" s="4" t="inlineStr">
        <is>
          <t>Angular de aluminio 3/4" x 3/4" x 19.20 pies</t>
        </is>
      </c>
      <c r="E1036" s="4" t="inlineStr">
        <is>
          <t>La ficha no declara el espesor</t>
        </is>
      </c>
      <c r="F1036" s="3" t="inlineStr">
        <is>
          <t>unidad</t>
        </is>
      </c>
      <c r="G1036" s="3" t="inlineStr">
        <is>
          <t>Puertas y ventanas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440.65</v>
      </c>
      <c r="L1036" s="6" t="n">
        <v>436.29</v>
      </c>
      <c r="M1036" s="6" t="n">
        <v>445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 · InnovaCentro (La Innovación)</t>
        </is>
      </c>
    </row>
    <row r="1037">
      <c r="A1037" s="3" t="inlineStr">
        <is>
          <t>MAT-23-009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Tubo redondo de aluminio 1" x 19.20 pies</t>
        </is>
      </c>
      <c r="E1037" s="4" t="inlineStr">
        <is>
          <t>La ficha no declara la pared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957.33</v>
      </c>
      <c r="L1037" s="6" t="n">
        <v>957.33</v>
      </c>
      <c r="M1037" s="6" t="n">
        <v>957.33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MAT-23-010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Planchuela de aluminio 1" x 1/4" x 19.20 pies</t>
        </is>
      </c>
      <c r="E1038" s="4" t="inlineStr"/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1709.91</v>
      </c>
      <c r="L1038" s="6" t="n">
        <v>1709.91</v>
      </c>
      <c r="M1038" s="6" t="n">
        <v>1709.91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MAT-23-011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Angular de aluminio 1" x 3/4" x 19.20 pies</t>
        </is>
      </c>
      <c r="E1039" s="4" t="inlineStr">
        <is>
          <t>La ficha no declara el espesor</t>
        </is>
      </c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690.79</v>
      </c>
      <c r="L1039" s="6" t="n">
        <v>626.5700000000001</v>
      </c>
      <c r="M1039" s="6" t="n">
        <v>755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 · InnovaCentro (La Innovación)</t>
        </is>
      </c>
    </row>
    <row r="1040">
      <c r="A1040" s="3" t="inlineStr">
        <is>
          <t>MAT-23-012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Perfil de aluminio 1" x 1" x 19.20 pies</t>
        </is>
      </c>
      <c r="E1040" s="4" t="inlineStr">
        <is>
          <t>La ficha no declara la pared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1336.93</v>
      </c>
      <c r="L1040" s="6" t="n">
        <v>1336.93</v>
      </c>
      <c r="M1040" s="6" t="n">
        <v>1336.93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MAT-23-013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Tubo redondo de aluminio 1 1/4" x 19.20 pies</t>
        </is>
      </c>
      <c r="E1041" s="4" t="inlineStr">
        <is>
          <t>La ficha no declara la pared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2185.58</v>
      </c>
      <c r="L1041" s="6" t="n">
        <v>2185.58</v>
      </c>
      <c r="M1041" s="6" t="n">
        <v>2185.58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MAT-23-014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Angular de aluminio 1 1/4" x 1 1/4" x 19.20 pies</t>
        </is>
      </c>
      <c r="E1042" s="4" t="inlineStr">
        <is>
          <t>La ficha no declara el espesor</t>
        </is>
      </c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2</v>
      </c>
      <c r="K1042" s="6" t="n">
        <v>1073.61</v>
      </c>
      <c r="L1042" s="6" t="n">
        <v>982.22</v>
      </c>
      <c r="M1042" s="6" t="n">
        <v>1165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 · InnovaCentro (La Innovación)</t>
        </is>
      </c>
    </row>
    <row r="1043">
      <c r="A1043" s="3" t="inlineStr">
        <is>
          <t>MAT-23-015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Planchuela de aluminio 1 1/2" x 1/4" x 19.20 pies</t>
        </is>
      </c>
      <c r="E1043" s="4" t="inlineStr"/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2567.7</v>
      </c>
      <c r="L1043" s="6" t="n">
        <v>2567.7</v>
      </c>
      <c r="M1043" s="6" t="n">
        <v>2567.7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MAT-23-016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Moldura U de aluminio 1 1/2" x 3/4" x 19.20 pies</t>
        </is>
      </c>
      <c r="E1044" s="4" t="inlineStr">
        <is>
          <t>La ficha no declara el espesor</t>
        </is>
      </c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1117.37</v>
      </c>
      <c r="L1044" s="6" t="n">
        <v>1117.37</v>
      </c>
      <c r="M1044" s="6" t="n">
        <v>1117.37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MAT-23-017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Angular de aluminio 1 1/2" x 1 1/2" x 19.20 pies</t>
        </is>
      </c>
      <c r="E1045" s="4" t="inlineStr">
        <is>
          <t>La ficha no declara el espesor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2473.52</v>
      </c>
      <c r="L1045" s="6" t="n">
        <v>2473.52</v>
      </c>
      <c r="M1045" s="6" t="n">
        <v>2473.52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MAT-23-018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Perfil cuadrado de aluminio 1 1/2" x 1 1/2" x 19.20 pies</t>
        </is>
      </c>
      <c r="E1046" s="4" t="inlineStr">
        <is>
          <t>La ficha no declara la pared</t>
        </is>
      </c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1701.73</v>
      </c>
      <c r="L1046" s="6" t="n">
        <v>1701.73</v>
      </c>
      <c r="M1046" s="6" t="n">
        <v>1701.73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MAT-23-019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Perfil rectangular de aluminio 2" x 1" x 19.20 pies</t>
        </is>
      </c>
      <c r="E1047" s="4" t="inlineStr">
        <is>
          <t>La ficha no declara la pared</t>
        </is>
      </c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1846.63</v>
      </c>
      <c r="L1047" s="6" t="n">
        <v>1846.63</v>
      </c>
      <c r="M1047" s="6" t="n">
        <v>1846.63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MAT-23-020</t>
        </is>
      </c>
      <c r="B1048" s="3" t="inlineStr">
        <is>
          <t>Materiales</t>
        </is>
      </c>
      <c r="C1048" s="3" t="inlineStr">
        <is>
          <t>Perfilería de aluminio</t>
        </is>
      </c>
      <c r="D1048" s="4" t="inlineStr">
        <is>
          <t>Angular de aluminio 2" x 2" x 19.20 pies</t>
        </is>
      </c>
      <c r="E1048" s="4" t="inlineStr">
        <is>
          <t>La ficha no declara el espesor</t>
        </is>
      </c>
      <c r="F1048" s="3" t="inlineStr">
        <is>
          <t>unidad</t>
        </is>
      </c>
      <c r="G1048" s="3" t="inlineStr">
        <is>
          <t>Puertas y ventanas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3334.76</v>
      </c>
      <c r="L1048" s="6" t="n">
        <v>3334.76</v>
      </c>
      <c r="M1048" s="6" t="n">
        <v>3334.76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MAT-23-021</t>
        </is>
      </c>
      <c r="B1049" s="3" t="inlineStr">
        <is>
          <t>Materiales</t>
        </is>
      </c>
      <c r="C1049" s="3" t="inlineStr">
        <is>
          <t>Perfilería de aluminio</t>
        </is>
      </c>
      <c r="D1049" s="4" t="inlineStr">
        <is>
          <t>Planchuela de aluminio 3" x 3/16" x 19.20 pies</t>
        </is>
      </c>
      <c r="E1049" s="4" t="inlineStr"/>
      <c r="F1049" s="3" t="inlineStr">
        <is>
          <t>unidad</t>
        </is>
      </c>
      <c r="G1049" s="3" t="inlineStr">
        <is>
          <t>Puertas y ventanas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2695.59</v>
      </c>
      <c r="L1049" s="6" t="n">
        <v>2695.59</v>
      </c>
      <c r="M1049" s="6" t="n">
        <v>2695.59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MAT-23-022</t>
        </is>
      </c>
      <c r="B1050" s="3" t="inlineStr">
        <is>
          <t>Materiales</t>
        </is>
      </c>
      <c r="C1050" s="3" t="inlineStr">
        <is>
          <t>Perfilería de aluminio</t>
        </is>
      </c>
      <c r="D1050" s="4" t="inlineStr">
        <is>
          <t>Perfil rectangular de aluminio 3" x 1 1/2" x 19.20 pies</t>
        </is>
      </c>
      <c r="E1050" s="4" t="inlineStr">
        <is>
          <t>La ficha no declara la pared</t>
        </is>
      </c>
      <c r="F1050" s="3" t="inlineStr">
        <is>
          <t>unidad</t>
        </is>
      </c>
      <c r="G1050" s="3" t="inlineStr">
        <is>
          <t>Puertas y ventanas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3956.93</v>
      </c>
      <c r="L1050" s="6" t="n">
        <v>3956.93</v>
      </c>
      <c r="M1050" s="6" t="n">
        <v>3956.93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MAT-23-023</t>
        </is>
      </c>
      <c r="B1051" s="3" t="inlineStr">
        <is>
          <t>Materiales</t>
        </is>
      </c>
      <c r="C1051" s="3" t="inlineStr">
        <is>
          <t>Perfilería de aluminio</t>
        </is>
      </c>
      <c r="D1051" s="4" t="inlineStr">
        <is>
          <t>Planchuela de aluminio 4" x 1/8" x 19.20 pies</t>
        </is>
      </c>
      <c r="E1051" s="4" t="inlineStr"/>
      <c r="F1051" s="3" t="inlineStr">
        <is>
          <t>unidad</t>
        </is>
      </c>
      <c r="G1051" s="3" t="inlineStr">
        <is>
          <t>Puertas y ventanas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3464.55</v>
      </c>
      <c r="L1051" s="6" t="n">
        <v>3464.55</v>
      </c>
      <c r="M1051" s="6" t="n">
        <v>3464.55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MAT-23-024</t>
        </is>
      </c>
      <c r="B1052" s="3" t="inlineStr">
        <is>
          <t>Materiales</t>
        </is>
      </c>
      <c r="C1052" s="3" t="inlineStr">
        <is>
          <t>Perfilería de aluminio</t>
        </is>
      </c>
      <c r="D1052" s="4" t="inlineStr">
        <is>
          <t>Perfil rectangular de aluminio 4" x 1 3/4" x 19.20 pies</t>
        </is>
      </c>
      <c r="E1052" s="4" t="inlineStr">
        <is>
          <t>La ficha no declara la pared</t>
        </is>
      </c>
      <c r="F1052" s="3" t="inlineStr">
        <is>
          <t>unidad</t>
        </is>
      </c>
      <c r="G1052" s="3" t="inlineStr">
        <is>
          <t>Puertas y ventanas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5142.65</v>
      </c>
      <c r="L1052" s="6" t="n">
        <v>5142.65</v>
      </c>
      <c r="M1052" s="6" t="n">
        <v>5142.65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MAT-23-025</t>
        </is>
      </c>
      <c r="B1053" s="3" t="inlineStr">
        <is>
          <t>Materiales</t>
        </is>
      </c>
      <c r="C1053" s="3" t="inlineStr">
        <is>
          <t>Perfilería de aluminio</t>
        </is>
      </c>
      <c r="D1053" s="4" t="inlineStr">
        <is>
          <t>Angular de aluminio, 1X1"X19'</t>
        </is>
      </c>
      <c r="E1053" s="4" t="inlineStr"/>
      <c r="F1053" s="3" t="inlineStr">
        <is>
          <t>unidad</t>
        </is>
      </c>
      <c r="G1053" s="3" t="inlineStr">
        <is>
          <t>Puertas y ventanas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750</v>
      </c>
      <c r="L1053" s="6" t="n">
        <v>750</v>
      </c>
      <c r="M1053" s="6" t="n">
        <v>750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InnovaCentro (La Innovación)</t>
        </is>
      </c>
      <c r="AF1053" s="7" t="inlineStr">
        <is>
          <t>1X1"X19'</t>
        </is>
      </c>
    </row>
    <row r="1054">
      <c r="A1054" s="3" t="inlineStr">
        <is>
          <t>MAT-23-026</t>
        </is>
      </c>
      <c r="B1054" s="3" t="inlineStr">
        <is>
          <t>Materiales</t>
        </is>
      </c>
      <c r="C1054" s="3" t="inlineStr">
        <is>
          <t>Perfilería de aluminio</t>
        </is>
      </c>
      <c r="D1054" s="4" t="inlineStr">
        <is>
          <t>Angular de aluminio, 3/4X1/2"X19'</t>
        </is>
      </c>
      <c r="E1054" s="4" t="inlineStr"/>
      <c r="F1054" s="3" t="inlineStr">
        <is>
          <t>unidad</t>
        </is>
      </c>
      <c r="G1054" s="3" t="inlineStr">
        <is>
          <t>Puertas y ventanas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398</v>
      </c>
      <c r="L1054" s="6" t="n">
        <v>398</v>
      </c>
      <c r="M1054" s="6" t="n">
        <v>398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InnovaCentro (La Innovación)</t>
        </is>
      </c>
      <c r="AF1054" s="7" t="inlineStr">
        <is>
          <t>3/4X1/2"X19'</t>
        </is>
      </c>
    </row>
    <row r="1055">
      <c r="A1055" s="3" t="inlineStr">
        <is>
          <t>MAT-24-001</t>
        </is>
      </c>
      <c r="B1055" s="3" t="inlineStr">
        <is>
          <t>Materiales</t>
        </is>
      </c>
      <c r="C1055" s="3" t="inlineStr">
        <is>
          <t>Inodoros y urinarios</t>
        </is>
      </c>
      <c r="D1055" s="4" t="inlineStr">
        <is>
          <t>Inodoro de una pieza</t>
        </is>
      </c>
      <c r="E1055" s="4" t="inlineStr"/>
      <c r="F1055" s="3" t="inlineStr">
        <is>
          <t>unidad</t>
        </is>
      </c>
      <c r="G1055" s="3" t="inlineStr">
        <is>
          <t>Instalaciones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5</v>
      </c>
      <c r="K1055" s="6" t="n">
        <v>10235</v>
      </c>
      <c r="L1055" s="6" t="n">
        <v>4225</v>
      </c>
      <c r="M1055" s="6" t="n">
        <v>112642.82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2026-09-10</t>
        </is>
      </c>
      <c r="Q1055" s="4" t="inlineStr">
        <is>
          <t>CerArte · Ferretería Cima · Ferretería Ochoa (8A) · InnovaCentro (La Innovación) · La Ibérica</t>
        </is>
      </c>
      <c r="V1055" s="7" t="n">
        <v>750</v>
      </c>
      <c r="AH1055" s="4" t="inlineStr">
        <is>
          <t>Largo (mm): 710 · Ancho (mm): 380</t>
        </is>
      </c>
    </row>
    <row r="1056">
      <c r="A1056" s="3" t="inlineStr">
        <is>
          <t>MAT-24-002</t>
        </is>
      </c>
      <c r="B1056" s="3" t="inlineStr">
        <is>
          <t>Materiales</t>
        </is>
      </c>
      <c r="C1056" s="3" t="inlineStr">
        <is>
          <t>Inodoros y urinarios</t>
        </is>
      </c>
      <c r="D1056" s="4" t="inlineStr">
        <is>
          <t>Inodoro infantil</t>
        </is>
      </c>
      <c r="E1056" s="4" t="inlineStr"/>
      <c r="F1056" s="3" t="inlineStr">
        <is>
          <t>unidad</t>
        </is>
      </c>
      <c r="G1056" s="3" t="inlineStr">
        <is>
          <t>Instalaciones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2</v>
      </c>
      <c r="K1056" s="6" t="n">
        <v>10620.33</v>
      </c>
      <c r="L1056" s="6" t="n">
        <v>7490.66</v>
      </c>
      <c r="M1056" s="6" t="n">
        <v>13750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2026-09-10</t>
        </is>
      </c>
      <c r="Q1056" s="4" t="inlineStr">
        <is>
          <t>CerArte · La Ibérica</t>
        </is>
      </c>
    </row>
    <row r="1057">
      <c r="A1057" s="3" t="inlineStr">
        <is>
          <t>MAT-24-003</t>
        </is>
      </c>
      <c r="B1057" s="3" t="inlineStr">
        <is>
          <t>Materiales</t>
        </is>
      </c>
      <c r="C1057" s="3" t="inlineStr">
        <is>
          <t>Inodoros y urinarios</t>
        </is>
      </c>
      <c r="D1057" s="4" t="inlineStr">
        <is>
          <t>Inodoro suspendido</t>
        </is>
      </c>
      <c r="E1057" s="4" t="inlineStr"/>
      <c r="F1057" s="3" t="inlineStr">
        <is>
          <t>unidad</t>
        </is>
      </c>
      <c r="G1057" s="3" t="inlineStr">
        <is>
          <t>Instalaciones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2</v>
      </c>
      <c r="K1057" s="6" t="n">
        <v>29804.18</v>
      </c>
      <c r="L1057" s="6" t="n">
        <v>554.97</v>
      </c>
      <c r="M1057" s="6" t="n">
        <v>70000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2026-09-10</t>
        </is>
      </c>
      <c r="Q1057" s="4" t="inlineStr">
        <is>
          <t>CerArte · La Ibérica</t>
        </is>
      </c>
    </row>
    <row r="1058">
      <c r="A1058" s="3" t="inlineStr">
        <is>
          <t>MAT-24-004</t>
        </is>
      </c>
      <c r="B1058" s="3" t="inlineStr">
        <is>
          <t>Materiales</t>
        </is>
      </c>
      <c r="C1058" s="3" t="inlineStr">
        <is>
          <t>Inodoros y urinarios</t>
        </is>
      </c>
      <c r="D1058" s="4" t="inlineStr">
        <is>
          <t>Inodoro de dos piezas</t>
        </is>
      </c>
      <c r="E1058" s="4" t="inlineStr">
        <is>
          <t>Tanque y basineta incluidos</t>
        </is>
      </c>
      <c r="F1058" s="3" t="inlineStr">
        <is>
          <t>unidad</t>
        </is>
      </c>
      <c r="G1058" s="3" t="inlineStr">
        <is>
          <t>Instalaciones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2</v>
      </c>
      <c r="K1058" s="6" t="n">
        <v>10342.97</v>
      </c>
      <c r="L1058" s="6" t="n">
        <v>5320</v>
      </c>
      <c r="M1058" s="6" t="n">
        <v>25810.28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2026-09-10</t>
        </is>
      </c>
      <c r="Q1058" s="4" t="inlineStr">
        <is>
          <t>CerArte · Ferretería Cima</t>
        </is>
      </c>
    </row>
    <row r="1059">
      <c r="A1059" s="3" t="inlineStr">
        <is>
          <t>MAT-24-005</t>
        </is>
      </c>
      <c r="B1059" s="3" t="inlineStr">
        <is>
          <t>Materiales</t>
        </is>
      </c>
      <c r="C1059" s="3" t="inlineStr">
        <is>
          <t>Inodoros y urinarios</t>
        </is>
      </c>
      <c r="D1059" s="4" t="inlineStr">
        <is>
          <t>Tanque para inodoro de dos piezas</t>
        </is>
      </c>
      <c r="E1059" s="4" t="inlineStr">
        <is>
          <t>Sin basineta · se compra aparte</t>
        </is>
      </c>
      <c r="F1059" s="3" t="inlineStr">
        <is>
          <t>unidad</t>
        </is>
      </c>
      <c r="G1059" s="3" t="inlineStr">
        <is>
          <t>Instalaciones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2</v>
      </c>
      <c r="K1059" s="6" t="n">
        <v>4050.93</v>
      </c>
      <c r="L1059" s="6" t="n">
        <v>586.47</v>
      </c>
      <c r="M1059" s="6" t="n">
        <v>18906.72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 · InnovaCentro (La Innovación)</t>
        </is>
      </c>
      <c r="R1059" s="7" t="inlineStr">
        <is>
          <t>redondo</t>
        </is>
      </c>
      <c r="V1059" s="7" t="n">
        <v>800</v>
      </c>
      <c r="AH1059" s="4" t="inlineStr">
        <is>
          <t>Largo (mm): 710 · Ancho (mm): 415 · Descarga (L): 4.8</t>
        </is>
      </c>
    </row>
    <row r="1060">
      <c r="A1060" s="3" t="inlineStr">
        <is>
          <t>MAT-24-006</t>
        </is>
      </c>
      <c r="B1060" s="3" t="inlineStr">
        <is>
          <t>Materiales</t>
        </is>
      </c>
      <c r="C1060" s="3" t="inlineStr">
        <is>
          <t>Inodoros y urinarios</t>
        </is>
      </c>
      <c r="D1060" s="4" t="inlineStr">
        <is>
          <t>Basineta para inodoro de dos piezas</t>
        </is>
      </c>
      <c r="E1060" s="4" t="inlineStr">
        <is>
          <t>Sin tanque · se compra aparte</t>
        </is>
      </c>
      <c r="F1060" s="3" t="inlineStr">
        <is>
          <t>unidad</t>
        </is>
      </c>
      <c r="G1060" s="3" t="inlineStr">
        <is>
          <t>Instalaciones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2</v>
      </c>
      <c r="K1060" s="6" t="n">
        <v>5571.51</v>
      </c>
      <c r="L1060" s="6" t="n">
        <v>2129.12</v>
      </c>
      <c r="M1060" s="6" t="n">
        <v>31632.12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2026-09-10</t>
        </is>
      </c>
      <c r="Q1060" s="4" t="inlineStr">
        <is>
          <t>CerArte · Ferretería Ochoa (8A)</t>
        </is>
      </c>
    </row>
    <row r="1061">
      <c r="A1061" s="3" t="inlineStr">
        <is>
          <t>MAT-24-007</t>
        </is>
      </c>
      <c r="B1061" s="3" t="inlineStr">
        <is>
          <t>Materiales</t>
        </is>
      </c>
      <c r="C1061" s="3" t="inlineStr">
        <is>
          <t>Inodoros y urinarios</t>
        </is>
      </c>
      <c r="D1061" s="4" t="inlineStr">
        <is>
          <t>Taza para fluxómetro</t>
        </is>
      </c>
      <c r="E1061" s="4" t="inlineStr">
        <is>
          <t>Sin tanque · el fluxómetro va aparte</t>
        </is>
      </c>
      <c r="F1061" s="3" t="inlineStr">
        <is>
          <t>unidad</t>
        </is>
      </c>
      <c r="G1061" s="3" t="inlineStr">
        <is>
          <t>Instalaciones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3</v>
      </c>
      <c r="K1061" s="6" t="n">
        <v>9187</v>
      </c>
      <c r="L1061" s="6" t="n">
        <v>3925</v>
      </c>
      <c r="M1061" s="6" t="n">
        <v>16838.01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2026-09-10</t>
        </is>
      </c>
      <c r="Q1061" s="4" t="inlineStr">
        <is>
          <t>CerArte · InnovaCentro (La Innovación) · La Ibérica</t>
        </is>
      </c>
      <c r="R1061" s="7" t="inlineStr">
        <is>
          <t>elongado</t>
        </is>
      </c>
    </row>
    <row r="1062">
      <c r="A1062" s="3" t="inlineStr">
        <is>
          <t>MAT-24-008</t>
        </is>
      </c>
      <c r="B1062" s="3" t="inlineStr">
        <is>
          <t>Materiales</t>
        </is>
      </c>
      <c r="C1062" s="3" t="inlineStr">
        <is>
          <t>Inodoros y urinarios</t>
        </is>
      </c>
      <c r="D1062" s="4" t="inlineStr">
        <is>
          <t>Urinario de porcelana</t>
        </is>
      </c>
      <c r="E1062" s="4" t="inlineStr"/>
      <c r="F1062" s="3" t="inlineStr">
        <is>
          <t>unidad</t>
        </is>
      </c>
      <c r="G1062" s="3" t="inlineStr">
        <is>
          <t>Instalaciones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4</v>
      </c>
      <c r="K1062" s="6" t="n">
        <v>9995</v>
      </c>
      <c r="L1062" s="6" t="n">
        <v>4362</v>
      </c>
      <c r="M1062" s="6" t="n">
        <v>30546.11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2026-09-10</t>
        </is>
      </c>
      <c r="Q1062" s="4" t="inlineStr">
        <is>
          <t>CerArte · Ferretería Ochoa (8A) · InnovaCentro (La Innovación) · La Ibérica</t>
        </is>
      </c>
    </row>
    <row r="1063">
      <c r="A1063" s="3" t="inlineStr">
        <is>
          <t>MAT-24-009</t>
        </is>
      </c>
      <c r="B1063" s="3" t="inlineStr">
        <is>
          <t>Materiales</t>
        </is>
      </c>
      <c r="C1063" s="3" t="inlineStr">
        <is>
          <t>Inodoros y urinarios</t>
        </is>
      </c>
      <c r="D1063" s="4" t="inlineStr">
        <is>
          <t>Bidé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4</v>
      </c>
      <c r="K1063" s="6" t="n">
        <v>20490</v>
      </c>
      <c r="L1063" s="6" t="n">
        <v>3998</v>
      </c>
      <c r="M1063" s="6" t="n">
        <v>48499.99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2026-09-10</t>
        </is>
      </c>
      <c r="Q1063" s="4" t="inlineStr">
        <is>
          <t>CerArte · Ferretería Cima · InnovaCentro (La Innovación) · La Ibérica</t>
        </is>
      </c>
    </row>
    <row r="1064">
      <c r="A1064" s="3" t="inlineStr">
        <is>
          <t>MAT-24-010</t>
        </is>
      </c>
      <c r="B1064" s="3" t="inlineStr">
        <is>
          <t>Materiales</t>
        </is>
      </c>
      <c r="C1064" s="3" t="inlineStr">
        <is>
          <t>Inodoros y urinarios</t>
        </is>
      </c>
      <c r="D1064" s="4" t="inlineStr">
        <is>
          <t>Kit de instalación de inodoro</t>
        </is>
      </c>
      <c r="E1064" s="4" t="inlineStr"/>
      <c r="F1064" s="3" t="inlineStr">
        <is>
          <t>juego</t>
        </is>
      </c>
      <c r="G1064" s="3" t="inlineStr">
        <is>
          <t>Instalaciones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1773</v>
      </c>
      <c r="L1064" s="6" t="n">
        <v>1773</v>
      </c>
      <c r="M1064" s="6" t="n">
        <v>1773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MAT-25-001</t>
        </is>
      </c>
      <c r="B1065" s="3" t="inlineStr">
        <is>
          <t>Materiales</t>
        </is>
      </c>
      <c r="C1065" s="3" t="inlineStr">
        <is>
          <t>Lavamanos y pedestales</t>
        </is>
      </c>
      <c r="D1065" s="4" t="inlineStr">
        <is>
          <t>Lavamanos</t>
        </is>
      </c>
      <c r="E1065" s="4" t="inlineStr"/>
      <c r="F1065" s="3" t="inlineStr">
        <is>
          <t>unidad</t>
        </is>
      </c>
      <c r="G1065" s="3" t="inlineStr">
        <is>
          <t>Instalaciones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3</v>
      </c>
      <c r="K1065" s="6" t="n">
        <v>9590</v>
      </c>
      <c r="L1065" s="6" t="n">
        <v>910</v>
      </c>
      <c r="M1065" s="6" t="n">
        <v>88600.00999999999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2026-09-10</t>
        </is>
      </c>
      <c r="Q1065" s="4" t="inlineStr">
        <is>
          <t>Ferremix (Grupo Alterra) · Ferretería Ochoa (8A) · La Ibérica</t>
        </is>
      </c>
      <c r="V1065" s="7" t="n">
        <v>170</v>
      </c>
      <c r="AH1065" s="4" t="inlineStr">
        <is>
          <t>Largo (mm): 810 · Ancho (mm): 460</t>
        </is>
      </c>
    </row>
    <row r="1066">
      <c r="A1066" s="3" t="inlineStr">
        <is>
          <t>MAT-25-002</t>
        </is>
      </c>
      <c r="B1066" s="3" t="inlineStr">
        <is>
          <t>Materiales</t>
        </is>
      </c>
      <c r="C1066" s="3" t="inlineStr">
        <is>
          <t>Lavamanos y pedestales</t>
        </is>
      </c>
      <c r="D1066" s="4" t="inlineStr">
        <is>
          <t>Lavamanos, de empotrar</t>
        </is>
      </c>
      <c r="E1066" s="4" t="inlineStr"/>
      <c r="F1066" s="3" t="inlineStr">
        <is>
          <t>unidad</t>
        </is>
      </c>
      <c r="G1066" s="3" t="inlineStr">
        <is>
          <t>Instalaciones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4</v>
      </c>
      <c r="K1066" s="6" t="n">
        <v>2937.04</v>
      </c>
      <c r="L1066" s="6" t="n">
        <v>684.67</v>
      </c>
      <c r="M1066" s="6" t="n">
        <v>17160.88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2026-09-10</t>
        </is>
      </c>
      <c r="Q1066" s="4" t="inlineStr">
        <is>
          <t>CerArte · Ferretería Ochoa (8A) · InnovaCentro (La Innovación) · La Ibérica</t>
        </is>
      </c>
      <c r="S1066" s="7" t="inlineStr">
        <is>
          <t>empotrar</t>
        </is>
      </c>
      <c r="V1066" s="7" t="n">
        <v>175</v>
      </c>
    </row>
    <row r="1067">
      <c r="A1067" s="3" t="inlineStr">
        <is>
          <t>MAT-25-003</t>
        </is>
      </c>
      <c r="B1067" s="3" t="inlineStr">
        <is>
          <t>Materiales</t>
        </is>
      </c>
      <c r="C1067" s="3" t="inlineStr">
        <is>
          <t>Lavamanos y pedestales</t>
        </is>
      </c>
      <c r="D1067" s="4" t="inlineStr">
        <is>
          <t>Lavamanos, de pared</t>
        </is>
      </c>
      <c r="E1067" s="4" t="inlineStr"/>
      <c r="F1067" s="3" t="inlineStr">
        <is>
          <t>unidad</t>
        </is>
      </c>
      <c r="G1067" s="3" t="inlineStr">
        <is>
          <t>Instalaciones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2</v>
      </c>
      <c r="K1067" s="6" t="n">
        <v>7875</v>
      </c>
      <c r="L1067" s="6" t="n">
        <v>995</v>
      </c>
      <c r="M1067" s="6" t="n">
        <v>373670.01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2026-09-10</t>
        </is>
      </c>
      <c r="Q1067" s="4" t="inlineStr">
        <is>
          <t>CerArte · InnovaCentro (La Innovación)</t>
        </is>
      </c>
      <c r="S1067" s="7" t="inlineStr">
        <is>
          <t>pared</t>
        </is>
      </c>
      <c r="V1067" s="7" t="n">
        <v>160</v>
      </c>
      <c r="AH1067" s="4" t="inlineStr">
        <is>
          <t>Largo (mm): 400</t>
        </is>
      </c>
    </row>
    <row r="1068">
      <c r="A1068" s="3" t="inlineStr">
        <is>
          <t>MAT-25-004</t>
        </is>
      </c>
      <c r="B1068" s="3" t="inlineStr">
        <is>
          <t>Materiales</t>
        </is>
      </c>
      <c r="C1068" s="3" t="inlineStr">
        <is>
          <t>Lavamanos y pedestales</t>
        </is>
      </c>
      <c r="D1068" s="4" t="inlineStr">
        <is>
          <t>Lavamanos, de pedestal</t>
        </is>
      </c>
      <c r="E1068" s="4" t="inlineStr"/>
      <c r="F1068" s="3" t="inlineStr">
        <is>
          <t>unidad</t>
        </is>
      </c>
      <c r="G1068" s="3" t="inlineStr">
        <is>
          <t>Instalaciones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5</v>
      </c>
      <c r="K1068" s="6" t="n">
        <v>2892</v>
      </c>
      <c r="L1068" s="6" t="n">
        <v>216</v>
      </c>
      <c r="M1068" s="6" t="n">
        <v>269879.99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Ferretería Cima · Ferretería Ochoa (8A) · InnovaCentro (La Innovación) · La Ibérica</t>
        </is>
      </c>
      <c r="S1068" s="7" t="inlineStr">
        <is>
          <t>pedestal</t>
        </is>
      </c>
      <c r="V1068" s="7" t="n">
        <v>110</v>
      </c>
      <c r="AH1068" s="4" t="inlineStr">
        <is>
          <t>Agujeros: 1 · Largo (mm): 310</t>
        </is>
      </c>
    </row>
    <row r="1069">
      <c r="A1069" s="3" t="inlineStr">
        <is>
          <t>MAT-25-005</t>
        </is>
      </c>
      <c r="B1069" s="3" t="inlineStr">
        <is>
          <t>Materiales</t>
        </is>
      </c>
      <c r="C1069" s="3" t="inlineStr">
        <is>
          <t>Lavamanos y pedestales</t>
        </is>
      </c>
      <c r="D1069" s="4" t="inlineStr">
        <is>
          <t>Lavamanos, de sobreponer</t>
        </is>
      </c>
      <c r="E1069" s="4" t="inlineStr"/>
      <c r="F1069" s="3" t="inlineStr">
        <is>
          <t>unidad</t>
        </is>
      </c>
      <c r="G1069" s="3" t="inlineStr">
        <is>
          <t>Instalaciones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5</v>
      </c>
      <c r="K1069" s="6" t="n">
        <v>4889.67</v>
      </c>
      <c r="L1069" s="6" t="n">
        <v>1150</v>
      </c>
      <c r="M1069" s="6" t="n">
        <v>127140.01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Ferretería Cima · Ferretería Ochoa (8A) · InnovaCentro (La Innovación) · La Ibérica</t>
        </is>
      </c>
      <c r="S1069" s="7" t="inlineStr">
        <is>
          <t>sobreponer</t>
        </is>
      </c>
      <c r="AH1069" s="4" t="inlineStr">
        <is>
          <t>Agujeros: 1</t>
        </is>
      </c>
    </row>
    <row r="1070">
      <c r="A1070" s="3" t="inlineStr">
        <is>
          <t>MAT-25-006</t>
        </is>
      </c>
      <c r="B1070" s="3" t="inlineStr">
        <is>
          <t>Materiales</t>
        </is>
      </c>
      <c r="C1070" s="3" t="inlineStr">
        <is>
          <t>Lavamanos y pedestales</t>
        </is>
      </c>
      <c r="D1070" s="4" t="inlineStr">
        <is>
          <t>Pedestal para lavamanos</t>
        </is>
      </c>
      <c r="E1070" s="4" t="inlineStr">
        <is>
          <t>Sin lavamanos · se compra aparte</t>
        </is>
      </c>
      <c r="F1070" s="3" t="inlineStr">
        <is>
          <t>unidad</t>
        </is>
      </c>
      <c r="G1070" s="3" t="inlineStr">
        <is>
          <t>Instalaciones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2</v>
      </c>
      <c r="K1070" s="6" t="n">
        <v>2014.01</v>
      </c>
      <c r="L1070" s="6" t="n">
        <v>891.27</v>
      </c>
      <c r="M1070" s="6" t="n">
        <v>3334.17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2026-09-10</t>
        </is>
      </c>
      <c r="Q1070" s="4" t="inlineStr">
        <is>
          <t>Ferretería Ochoa (8A) · La Ibérica</t>
        </is>
      </c>
    </row>
    <row r="1071">
      <c r="A1071" s="3" t="inlineStr">
        <is>
          <t>MAT-25-007</t>
        </is>
      </c>
      <c r="B1071" s="3" t="inlineStr">
        <is>
          <t>Materiales</t>
        </is>
      </c>
      <c r="C1071" s="3" t="inlineStr">
        <is>
          <t>Lavamanos y pedestales</t>
        </is>
      </c>
      <c r="D1071" s="4" t="inlineStr">
        <is>
          <t>Palometa para lavamanos</t>
        </is>
      </c>
      <c r="E1071" s="4" t="inlineStr"/>
      <c r="F1071" s="3" t="inlineStr">
        <is>
          <t>unidad</t>
        </is>
      </c>
      <c r="G1071" s="3" t="inlineStr">
        <is>
          <t>Instalaciones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2</v>
      </c>
      <c r="K1071" s="6" t="n">
        <v>80.59</v>
      </c>
      <c r="L1071" s="6" t="n">
        <v>57.88</v>
      </c>
      <c r="M1071" s="6" t="n">
        <v>189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Cima · Ferretería Ochoa (8A)</t>
        </is>
      </c>
    </row>
    <row r="1072">
      <c r="A1072" s="3" t="inlineStr">
        <is>
          <t>MAT-25-008</t>
        </is>
      </c>
      <c r="B1072" s="3" t="inlineStr">
        <is>
          <t>Materiales</t>
        </is>
      </c>
      <c r="C1072" s="3" t="inlineStr">
        <is>
          <t>Lavamanos y pedestales</t>
        </is>
      </c>
      <c r="D1072" s="4" t="inlineStr">
        <is>
          <t>Conector de desagüe para lavamanos</t>
        </is>
      </c>
      <c r="E1072" s="4" t="inlineStr"/>
      <c r="F1072" s="3" t="inlineStr">
        <is>
          <t>unidad</t>
        </is>
      </c>
      <c r="G1072" s="3" t="inlineStr">
        <is>
          <t>Instalaciones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255.94</v>
      </c>
      <c r="L1072" s="6" t="n">
        <v>255.94</v>
      </c>
      <c r="M1072" s="6" t="n">
        <v>255.94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MAT-26-001</t>
        </is>
      </c>
      <c r="B1073" s="3" t="inlineStr">
        <is>
          <t>Materiales</t>
        </is>
      </c>
      <c r="C1073" s="3" t="inlineStr">
        <is>
          <t>Muebles y espejos de baño</t>
        </is>
      </c>
      <c r="D1073" s="4" t="inlineStr">
        <is>
          <t>Mueble de baño</t>
        </is>
      </c>
      <c r="E1073" s="4" t="inlineStr"/>
      <c r="F1073" s="3" t="inlineStr">
        <is>
          <t>unidad</t>
        </is>
      </c>
      <c r="G1073" s="3" t="inlineStr">
        <is>
          <t>Terminación de superficies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2</v>
      </c>
      <c r="K1073" s="6" t="n">
        <v>14668.75</v>
      </c>
      <c r="L1073" s="6" t="n">
        <v>1140</v>
      </c>
      <c r="M1073" s="6" t="n">
        <v>45479.87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 · InnovaCentro (La Innovación)</t>
        </is>
      </c>
    </row>
    <row r="1074">
      <c r="A1074" s="3" t="inlineStr">
        <is>
          <t>MAT-26-002</t>
        </is>
      </c>
      <c r="B1074" s="3" t="inlineStr">
        <is>
          <t>Materiales</t>
        </is>
      </c>
      <c r="C1074" s="3" t="inlineStr">
        <is>
          <t>Muebles y espejos de baño</t>
        </is>
      </c>
      <c r="D1074" s="4" t="inlineStr">
        <is>
          <t>Mueble de baño, de pared</t>
        </is>
      </c>
      <c r="E1074" s="4" t="inlineStr"/>
      <c r="F1074" s="3" t="inlineStr">
        <is>
          <t>unidad</t>
        </is>
      </c>
      <c r="G1074" s="3" t="inlineStr">
        <is>
          <t>Terminación de superficies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4</v>
      </c>
      <c r="K1074" s="6" t="n">
        <v>19517.62</v>
      </c>
      <c r="L1074" s="6" t="n">
        <v>5433.44</v>
      </c>
      <c r="M1074" s="6" t="n">
        <v>58000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2026-09-10</t>
        </is>
      </c>
      <c r="Q1074" s="4" t="inlineStr">
        <is>
          <t>Ferremix (Grupo Alterra) · Ferretería Ochoa (8A) · InnovaCentro (La Innovación) · La Ibérica</t>
        </is>
      </c>
      <c r="S1074" s="7" t="inlineStr">
        <is>
          <t>pared</t>
        </is>
      </c>
    </row>
    <row r="1075">
      <c r="A1075" s="3" t="inlineStr">
        <is>
          <t>MAT-26-003</t>
        </is>
      </c>
      <c r="B1075" s="3" t="inlineStr">
        <is>
          <t>Materiales</t>
        </is>
      </c>
      <c r="C1075" s="3" t="inlineStr">
        <is>
          <t>Muebles y espejos de baño</t>
        </is>
      </c>
      <c r="D1075" s="4" t="inlineStr">
        <is>
          <t>Mueble de baño, de piso</t>
        </is>
      </c>
      <c r="E1075" s="4" t="inlineStr"/>
      <c r="F1075" s="3" t="inlineStr">
        <is>
          <t>unidad</t>
        </is>
      </c>
      <c r="G1075" s="3" t="inlineStr">
        <is>
          <t>Terminación de superficies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5</v>
      </c>
      <c r="K1075" s="6" t="n">
        <v>21806.99</v>
      </c>
      <c r="L1075" s="6" t="n">
        <v>2725</v>
      </c>
      <c r="M1075" s="6" t="n">
        <v>197500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2026-09-10</t>
        </is>
      </c>
      <c r="Q1075" s="4" t="inlineStr">
        <is>
          <t>CerArte · Ferremix (Grupo Alterra) · Ferretería Cima · InnovaCentro (La Innovación) · La Ibérica</t>
        </is>
      </c>
      <c r="S1075" s="7" t="inlineStr">
        <is>
          <t>piso</t>
        </is>
      </c>
    </row>
    <row r="1076">
      <c r="A1076" s="3" t="inlineStr">
        <is>
          <t>MAT-26-004</t>
        </is>
      </c>
      <c r="B1076" s="3" t="inlineStr">
        <is>
          <t>Materiales</t>
        </is>
      </c>
      <c r="C1076" s="3" t="inlineStr">
        <is>
          <t>Muebles y espejos de baño</t>
        </is>
      </c>
      <c r="D1076" s="4" t="inlineStr">
        <is>
          <t>Botiquín de baño</t>
        </is>
      </c>
      <c r="E1076" s="4" t="inlineStr"/>
      <c r="F1076" s="3" t="inlineStr">
        <is>
          <t>unidad</t>
        </is>
      </c>
      <c r="G1076" s="3" t="inlineStr">
        <is>
          <t>Terminación de superficies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3</v>
      </c>
      <c r="K1076" s="6" t="n">
        <v>1547</v>
      </c>
      <c r="L1076" s="6" t="n">
        <v>725.87</v>
      </c>
      <c r="M1076" s="6" t="n">
        <v>6543.83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Cima · Ferretería Ochoa (8A) · InnovaCentro (La Innovación)</t>
        </is>
      </c>
      <c r="V1076" s="7" t="n">
        <v>120</v>
      </c>
      <c r="AH1076" s="4" t="inlineStr">
        <is>
          <t>Largo (mm): 300</t>
        </is>
      </c>
    </row>
    <row r="1077">
      <c r="A1077" s="3" t="inlineStr">
        <is>
          <t>MAT-26-005</t>
        </is>
      </c>
      <c r="B1077" s="3" t="inlineStr">
        <is>
          <t>Materiales</t>
        </is>
      </c>
      <c r="C1077" s="3" t="inlineStr">
        <is>
          <t>Muebles y espejos de baño</t>
        </is>
      </c>
      <c r="D1077" s="4" t="inlineStr">
        <is>
          <t>Botiquín de baño, con luz LED</t>
        </is>
      </c>
      <c r="E1077" s="4" t="inlineStr"/>
      <c r="F1077" s="3" t="inlineStr">
        <is>
          <t>unidad</t>
        </is>
      </c>
      <c r="G1077" s="3" t="inlineStr">
        <is>
          <t>Terminación de superficies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15456.85</v>
      </c>
      <c r="L1077" s="6" t="n">
        <v>10320.96</v>
      </c>
      <c r="M1077" s="6" t="n">
        <v>24256.84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  <c r="AH1077" s="4" t="inlineStr">
        <is>
          <t>Luz: led</t>
        </is>
      </c>
    </row>
    <row r="1078">
      <c r="A1078" s="3" t="inlineStr">
        <is>
          <t>MAT-26-006</t>
        </is>
      </c>
      <c r="B1078" s="3" t="inlineStr">
        <is>
          <t>Materiales</t>
        </is>
      </c>
      <c r="C1078" s="3" t="inlineStr">
        <is>
          <t>Muebles y espejos de baño</t>
        </is>
      </c>
      <c r="D1078" s="4" t="inlineStr">
        <is>
          <t>Espejo de baño</t>
        </is>
      </c>
      <c r="E1078" s="4" t="inlineStr"/>
      <c r="F1078" s="3" t="inlineStr">
        <is>
          <t>unidad</t>
        </is>
      </c>
      <c r="G1078" s="3" t="inlineStr">
        <is>
          <t>Terminación de superficies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4</v>
      </c>
      <c r="K1078" s="6" t="n">
        <v>2267.87</v>
      </c>
      <c r="L1078" s="6" t="n">
        <v>665</v>
      </c>
      <c r="M1078" s="6" t="n">
        <v>47121.22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2026-09-10</t>
        </is>
      </c>
      <c r="Q1078" s="4" t="inlineStr">
        <is>
          <t>CerArte · Ferretería Ochoa (8A) · InnovaCentro (La Innovación) · La Ibérica</t>
        </is>
      </c>
    </row>
    <row r="1079">
      <c r="A1079" s="3" t="inlineStr">
        <is>
          <t>MAT-26-007</t>
        </is>
      </c>
      <c r="B1079" s="3" t="inlineStr">
        <is>
          <t>Materiales</t>
        </is>
      </c>
      <c r="C1079" s="3" t="inlineStr">
        <is>
          <t>Muebles y espejos de baño</t>
        </is>
      </c>
      <c r="D1079" s="4" t="inlineStr">
        <is>
          <t>Espejo de baño, con luz LED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5</v>
      </c>
      <c r="K1079" s="6" t="n">
        <v>8534.43</v>
      </c>
      <c r="L1079" s="6" t="n">
        <v>1795</v>
      </c>
      <c r="M1079" s="6" t="n">
        <v>30090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2026-09-10</t>
        </is>
      </c>
      <c r="Q1079" s="4" t="inlineStr">
        <is>
          <t>CerArte · Ferremix (Grupo Alterra) · Ferretería Ochoa (8A) · InnovaCentro (La Innovación) · La Ibérica</t>
        </is>
      </c>
      <c r="AH1079" s="4" t="inlineStr">
        <is>
          <t>Luz: led</t>
        </is>
      </c>
    </row>
    <row r="1080">
      <c r="A1080" s="3" t="inlineStr">
        <is>
          <t>MAT-26-008</t>
        </is>
      </c>
      <c r="B1080" s="3" t="inlineStr">
        <is>
          <t>Materiales</t>
        </is>
      </c>
      <c r="C1080" s="3" t="inlineStr">
        <is>
          <t>Muebles y espejos de baño</t>
        </is>
      </c>
      <c r="D1080" s="4" t="inlineStr">
        <is>
          <t>Cabina o panel de ducha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3</v>
      </c>
      <c r="K1080" s="6" t="n">
        <v>5733</v>
      </c>
      <c r="L1080" s="6" t="n">
        <v>3118.5</v>
      </c>
      <c r="M1080" s="6" t="n">
        <v>18914.37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2026-09-10</t>
        </is>
      </c>
      <c r="Q1080" s="4" t="inlineStr">
        <is>
          <t>CerArte · InnovaCentro (La Innovación) · La Ibérica</t>
        </is>
      </c>
    </row>
    <row r="1081">
      <c r="A1081" s="3" t="inlineStr">
        <is>
          <t>MAT-26-009</t>
        </is>
      </c>
      <c r="B1081" s="3" t="inlineStr">
        <is>
          <t>Materiales</t>
        </is>
      </c>
      <c r="C1081" s="3" t="inlineStr">
        <is>
          <t>Muebles y espejos de baño</t>
        </is>
      </c>
      <c r="D1081" s="4" t="inlineStr">
        <is>
          <t>Bañera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105149.99</v>
      </c>
      <c r="L1081" s="6" t="n">
        <v>14250</v>
      </c>
      <c r="M1081" s="6" t="n">
        <v>430700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2026-09-10</t>
        </is>
      </c>
      <c r="Q1081" s="4" t="inlineStr">
        <is>
          <t>CerArte · La Ibérica</t>
        </is>
      </c>
    </row>
    <row r="1082">
      <c r="A1082" s="3" t="inlineStr">
        <is>
          <t>MAT-26-010</t>
        </is>
      </c>
      <c r="B1082" s="3" t="inlineStr">
        <is>
          <t>Materiales</t>
        </is>
      </c>
      <c r="C1082" s="3" t="inlineStr">
        <is>
          <t>Muebles y espejos de baño</t>
        </is>
      </c>
      <c r="D1082" s="4" t="inlineStr">
        <is>
          <t>Plato de ducha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19278.36</v>
      </c>
      <c r="L1082" s="6" t="n">
        <v>14999.99</v>
      </c>
      <c r="M1082" s="6" t="n">
        <v>29990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2026-09-10</t>
        </is>
      </c>
      <c r="Q1082" s="4" t="inlineStr">
        <is>
          <t>CerArte · La Ibérica</t>
        </is>
      </c>
    </row>
    <row r="1083">
      <c r="A1083" s="3" t="inlineStr">
        <is>
          <t>MAT-27-001</t>
        </is>
      </c>
      <c r="B1083" s="3" t="inlineStr">
        <is>
          <t>Materiales</t>
        </is>
      </c>
      <c r="C1083" s="3" t="inlineStr">
        <is>
          <t>Accesorios de baño</t>
        </is>
      </c>
      <c r="D1083" s="4" t="inlineStr">
        <is>
          <t>Barra de seguridad, abatible, 20 cm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2439</v>
      </c>
      <c r="L1083" s="6" t="n">
        <v>2439</v>
      </c>
      <c r="M1083" s="6" t="n">
        <v>2439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InnovaCentro (La Innovación)</t>
        </is>
      </c>
      <c r="R1083" s="7" t="inlineStr">
        <is>
          <t>abatible</t>
        </is>
      </c>
      <c r="U1083" s="7" t="n">
        <v>20</v>
      </c>
    </row>
    <row r="1084">
      <c r="A1084" s="3" t="inlineStr">
        <is>
          <t>MAT-27-002</t>
        </is>
      </c>
      <c r="B1084" s="3" t="inlineStr">
        <is>
          <t>Materiales</t>
        </is>
      </c>
      <c r="C1084" s="3" t="inlineStr">
        <is>
          <t>Accesorios de baño</t>
        </is>
      </c>
      <c r="D1084" s="4" t="inlineStr">
        <is>
          <t>Barra de seguridad, curva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1416.67</v>
      </c>
      <c r="L1084" s="6" t="n">
        <v>1416.67</v>
      </c>
      <c r="M1084" s="6" t="n">
        <v>1416.67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  <c r="R1084" s="7" t="inlineStr">
        <is>
          <t>curva</t>
        </is>
      </c>
    </row>
    <row r="1085">
      <c r="A1085" s="3" t="inlineStr">
        <is>
          <t>MAT-27-003</t>
        </is>
      </c>
      <c r="B1085" s="3" t="inlineStr">
        <is>
          <t>Materiales</t>
        </is>
      </c>
      <c r="C1085" s="3" t="inlineStr">
        <is>
          <t>Accesorios de baño</t>
        </is>
      </c>
      <c r="D1085" s="4" t="inlineStr">
        <is>
          <t>Barra de seguridad, en L, 30 cm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1200</v>
      </c>
      <c r="L1085" s="6" t="n">
        <v>1200</v>
      </c>
      <c r="M1085" s="6" t="n">
        <v>1200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InnovaCentro (La Innovación)</t>
        </is>
      </c>
      <c r="R1085" s="7" t="inlineStr">
        <is>
          <t>en L</t>
        </is>
      </c>
      <c r="U1085" s="7" t="n">
        <v>30</v>
      </c>
    </row>
    <row r="1086">
      <c r="A1086" s="3" t="inlineStr">
        <is>
          <t>MAT-27-004</t>
        </is>
      </c>
      <c r="B1086" s="3" t="inlineStr">
        <is>
          <t>Materiales</t>
        </is>
      </c>
      <c r="C1086" s="3" t="inlineStr">
        <is>
          <t>Accesorios de baño</t>
        </is>
      </c>
      <c r="D1086" s="4" t="inlineStr">
        <is>
          <t>Barra de seguridad, en L, 45 cm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925</v>
      </c>
      <c r="L1086" s="6" t="n">
        <v>925</v>
      </c>
      <c r="M1086" s="6" t="n">
        <v>925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InnovaCentro (La Innovación)</t>
        </is>
      </c>
      <c r="R1086" s="7" t="inlineStr">
        <is>
          <t>en L</t>
        </is>
      </c>
      <c r="U1086" s="7" t="n">
        <v>45</v>
      </c>
    </row>
    <row r="1087">
      <c r="A1087" s="3" t="inlineStr">
        <is>
          <t>MAT-27-005</t>
        </is>
      </c>
      <c r="B1087" s="3" t="inlineStr">
        <is>
          <t>Materiales</t>
        </is>
      </c>
      <c r="C1087" s="3" t="inlineStr">
        <is>
          <t>Accesorios de baño</t>
        </is>
      </c>
      <c r="D1087" s="4" t="inlineStr">
        <is>
          <t>Barra de seguridad, en L, 55 cm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2619</v>
      </c>
      <c r="L1087" s="6" t="n">
        <v>2619</v>
      </c>
      <c r="M1087" s="6" t="n">
        <v>2619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InnovaCentro (La Innovación)</t>
        </is>
      </c>
      <c r="R1087" s="7" t="inlineStr">
        <is>
          <t>en L</t>
        </is>
      </c>
      <c r="U1087" s="7" t="n">
        <v>55</v>
      </c>
    </row>
    <row r="1088">
      <c r="A1088" s="3" t="inlineStr">
        <is>
          <t>MAT-27-006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en L, 75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5971.18</v>
      </c>
      <c r="L1088" s="6" t="n">
        <v>5648.35</v>
      </c>
      <c r="M1088" s="6" t="n">
        <v>6294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2026-09-10</t>
        </is>
      </c>
      <c r="Q1088" s="4" t="inlineStr">
        <is>
          <t>CerArte · InnovaCentro (La Innovación)</t>
        </is>
      </c>
      <c r="R1088" s="7" t="inlineStr">
        <is>
          <t>en L</t>
        </is>
      </c>
      <c r="U1088" s="7" t="n">
        <v>75</v>
      </c>
    </row>
    <row r="1089">
      <c r="A1089" s="3" t="inlineStr">
        <is>
          <t>MAT-27-007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Barra de seguridad, recta</t>
        </is>
      </c>
      <c r="E1089" s="4" t="inlineStr"/>
      <c r="F1089" s="3" t="inlineStr">
        <is>
          <t>unidad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1940</v>
      </c>
      <c r="L1089" s="6" t="n">
        <v>1615</v>
      </c>
      <c r="M1089" s="6" t="n">
        <v>7495.91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2026-09-10</t>
        </is>
      </c>
      <c r="Q1089" s="4" t="inlineStr">
        <is>
          <t>Ferremix (Grupo Alterra) · Ferretería Ochoa (8A)</t>
        </is>
      </c>
      <c r="R1089" s="7" t="inlineStr">
        <is>
          <t>recta</t>
        </is>
      </c>
    </row>
    <row r="1090">
      <c r="A1090" s="3" t="inlineStr">
        <is>
          <t>MAT-27-008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Barra de seguridad, recta, 105 cm</t>
        </is>
      </c>
      <c r="E1090" s="4" t="inlineStr"/>
      <c r="F1090" s="3" t="inlineStr">
        <is>
          <t>unidad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2750</v>
      </c>
      <c r="L1090" s="6" t="n">
        <v>2750</v>
      </c>
      <c r="M1090" s="6" t="n">
        <v>2750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InnovaCentro (La Innovación)</t>
        </is>
      </c>
      <c r="R1090" s="7" t="inlineStr">
        <is>
          <t>recta</t>
        </is>
      </c>
      <c r="U1090" s="7" t="n">
        <v>105</v>
      </c>
    </row>
    <row r="1091">
      <c r="A1091" s="3" t="inlineStr">
        <is>
          <t>MAT-27-009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Barra de seguridad, recta, 120 cm</t>
        </is>
      </c>
      <c r="E1091" s="4" t="inlineStr"/>
      <c r="F1091" s="3" t="inlineStr">
        <is>
          <t>unidad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3092</v>
      </c>
      <c r="L1091" s="6" t="n">
        <v>3092</v>
      </c>
      <c r="M1091" s="6" t="n">
        <v>3092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InnovaCentro (La Innovación)</t>
        </is>
      </c>
      <c r="R1091" s="7" t="inlineStr">
        <is>
          <t>recta</t>
        </is>
      </c>
      <c r="U1091" s="7" t="n">
        <v>120</v>
      </c>
    </row>
    <row r="1092">
      <c r="A1092" s="3" t="inlineStr">
        <is>
          <t>MAT-27-010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Barra de seguridad, recta, 30 cm</t>
        </is>
      </c>
      <c r="E1092" s="4" t="inlineStr"/>
      <c r="F1092" s="3" t="inlineStr">
        <is>
          <t>unidad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3</v>
      </c>
      <c r="K1092" s="6" t="n">
        <v>1805.4</v>
      </c>
      <c r="L1092" s="6" t="n">
        <v>1200</v>
      </c>
      <c r="M1092" s="6" t="n">
        <v>3007.09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2026-09-10</t>
        </is>
      </c>
      <c r="Q1092" s="4" t="inlineStr">
        <is>
          <t>CerArte · Ferretería Ochoa (8A) · InnovaCentro (La Innovación)</t>
        </is>
      </c>
      <c r="R1092" s="7" t="inlineStr">
        <is>
          <t>recta</t>
        </is>
      </c>
      <c r="U1092" s="7" t="n">
        <v>30</v>
      </c>
    </row>
    <row r="1093">
      <c r="A1093" s="3" t="inlineStr">
        <is>
          <t>MAT-27-011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Barra de seguridad, recta, 40 cm</t>
        </is>
      </c>
      <c r="E1093" s="4" t="inlineStr"/>
      <c r="F1093" s="3" t="inlineStr">
        <is>
          <t>unidad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925.98</v>
      </c>
      <c r="L1093" s="6" t="n">
        <v>675</v>
      </c>
      <c r="M1093" s="6" t="n">
        <v>1176.96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 · InnovaCentro (La Innovación)</t>
        </is>
      </c>
      <c r="R1093" s="7" t="inlineStr">
        <is>
          <t>recta</t>
        </is>
      </c>
      <c r="U1093" s="7" t="n">
        <v>40</v>
      </c>
    </row>
    <row r="1094">
      <c r="A1094" s="3" t="inlineStr">
        <is>
          <t>MAT-27-012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Barra de seguridad, recta, 45 cm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1665</v>
      </c>
      <c r="L1094" s="6" t="n">
        <v>1595</v>
      </c>
      <c r="M1094" s="6" t="n">
        <v>1735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InnovaCentro (La Innovación)</t>
        </is>
      </c>
      <c r="R1094" s="7" t="inlineStr">
        <is>
          <t>recta</t>
        </is>
      </c>
      <c r="U1094" s="7" t="n">
        <v>45</v>
      </c>
    </row>
    <row r="1095">
      <c r="A1095" s="3" t="inlineStr">
        <is>
          <t>MAT-27-013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Barra de seguridad, recta, 50 cm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1195</v>
      </c>
      <c r="L1095" s="6" t="n">
        <v>745</v>
      </c>
      <c r="M1095" s="6" t="n">
        <v>1522.47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 · InnovaCentro (La Innovación)</t>
        </is>
      </c>
      <c r="R1095" s="7" t="inlineStr">
        <is>
          <t>recta</t>
        </is>
      </c>
      <c r="U1095" s="7" t="n">
        <v>50</v>
      </c>
    </row>
    <row r="1096">
      <c r="A1096" s="3" t="inlineStr">
        <is>
          <t>MAT-27-014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Barra de seguridad, recta, 60 cm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1995</v>
      </c>
      <c r="L1096" s="6" t="n">
        <v>1869</v>
      </c>
      <c r="M1096" s="6" t="n">
        <v>3297.37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 · InnovaCentro (La Innovación)</t>
        </is>
      </c>
      <c r="R1096" s="7" t="inlineStr">
        <is>
          <t>recta</t>
        </is>
      </c>
      <c r="U1096" s="7" t="n">
        <v>60</v>
      </c>
    </row>
    <row r="1097">
      <c r="A1097" s="3" t="inlineStr">
        <is>
          <t>MAT-27-015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Barra de seguridad, recta, 70 cm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3983.41</v>
      </c>
      <c r="L1097" s="6" t="n">
        <v>3271.81</v>
      </c>
      <c r="M1097" s="6" t="n">
        <v>4695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 · InnovaCentro (La Innovación)</t>
        </is>
      </c>
      <c r="R1097" s="7" t="inlineStr">
        <is>
          <t>recta</t>
        </is>
      </c>
      <c r="U1097" s="7" t="n">
        <v>70</v>
      </c>
    </row>
    <row r="1098">
      <c r="A1098" s="3" t="inlineStr">
        <is>
          <t>MAT-27-016</t>
        </is>
      </c>
      <c r="B1098" s="3" t="inlineStr">
        <is>
          <t>Materiales</t>
        </is>
      </c>
      <c r="C1098" s="3" t="inlineStr">
        <is>
          <t>Accesorios de baño</t>
        </is>
      </c>
      <c r="D1098" s="4" t="inlineStr">
        <is>
          <t>Barra de seguridad, recta, 75 cm</t>
        </is>
      </c>
      <c r="E1098" s="4" t="inlineStr"/>
      <c r="F1098" s="3" t="inlineStr">
        <is>
          <t>unidad</t>
        </is>
      </c>
      <c r="G1098" s="3" t="inlineStr">
        <is>
          <t>Terminación de superficies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2185</v>
      </c>
      <c r="L1098" s="6" t="n">
        <v>2185</v>
      </c>
      <c r="M1098" s="6" t="n">
        <v>2185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InnovaCentro (La Innovación)</t>
        </is>
      </c>
      <c r="R1098" s="7" t="inlineStr">
        <is>
          <t>recta</t>
        </is>
      </c>
      <c r="U1098" s="7" t="n">
        <v>75</v>
      </c>
    </row>
    <row r="1099">
      <c r="A1099" s="3" t="inlineStr">
        <is>
          <t>MAT-27-017</t>
        </is>
      </c>
      <c r="B1099" s="3" t="inlineStr">
        <is>
          <t>Materiales</t>
        </is>
      </c>
      <c r="C1099" s="3" t="inlineStr">
        <is>
          <t>Accesorios de baño</t>
        </is>
      </c>
      <c r="D1099" s="4" t="inlineStr">
        <is>
          <t>Barra de seguridad, recta, 90 cm</t>
        </is>
      </c>
      <c r="E1099" s="4" t="inlineStr"/>
      <c r="F1099" s="3" t="inlineStr">
        <is>
          <t>unidad</t>
        </is>
      </c>
      <c r="G1099" s="3" t="inlineStr">
        <is>
          <t>Terminación de superficies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2</v>
      </c>
      <c r="K1099" s="6" t="n">
        <v>2439</v>
      </c>
      <c r="L1099" s="6" t="n">
        <v>2395</v>
      </c>
      <c r="M1099" s="6" t="n">
        <v>6226.47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 · InnovaCentro (La Innovación)</t>
        </is>
      </c>
      <c r="R1099" s="7" t="inlineStr">
        <is>
          <t>recta</t>
        </is>
      </c>
      <c r="U1099" s="7" t="n">
        <v>90</v>
      </c>
    </row>
    <row r="1100">
      <c r="A1100" s="3" t="inlineStr">
        <is>
          <t>MAT-27-018</t>
        </is>
      </c>
      <c r="B1100" s="3" t="inlineStr">
        <is>
          <t>Materiales</t>
        </is>
      </c>
      <c r="C1100" s="3" t="inlineStr">
        <is>
          <t>Accesorios de baño</t>
        </is>
      </c>
      <c r="D1100" s="4" t="inlineStr">
        <is>
          <t>Juego de accesorios de baño</t>
        </is>
      </c>
      <c r="E1100" s="4" t="inlineStr"/>
      <c r="F1100" s="3" t="inlineStr">
        <is>
          <t>juego</t>
        </is>
      </c>
      <c r="G1100" s="3" t="inlineStr">
        <is>
          <t>Terminación de superficies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3</v>
      </c>
      <c r="K1100" s="6" t="n">
        <v>2327.23</v>
      </c>
      <c r="L1100" s="6" t="n">
        <v>345</v>
      </c>
      <c r="M1100" s="6" t="n">
        <v>6782.1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2026-09-10</t>
        </is>
      </c>
      <c r="Q1100" s="4" t="inlineStr">
        <is>
          <t>CerArte · Ferremix (Grupo Alterra) · Ferretería Ochoa (8A)</t>
        </is>
      </c>
    </row>
    <row r="1101">
      <c r="A1101" s="3" t="inlineStr">
        <is>
          <t>MAT-27-019</t>
        </is>
      </c>
      <c r="B1101" s="3" t="inlineStr">
        <is>
          <t>Materiales</t>
        </is>
      </c>
      <c r="C1101" s="3" t="inlineStr">
        <is>
          <t>Accesorios de baño</t>
        </is>
      </c>
      <c r="D1101" s="4" t="inlineStr">
        <is>
          <t>Juego de accesorios de baño, 3 piezas</t>
        </is>
      </c>
      <c r="E1101" s="4" t="inlineStr"/>
      <c r="F1101" s="3" t="inlineStr">
        <is>
          <t>juego</t>
        </is>
      </c>
      <c r="G1101" s="3" t="inlineStr">
        <is>
          <t>Terminación de superficies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1377.76</v>
      </c>
      <c r="L1101" s="6" t="n">
        <v>1081.92</v>
      </c>
      <c r="M1101" s="6" t="n">
        <v>1673.59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  <c r="T1101" s="7" t="n">
        <v>3</v>
      </c>
    </row>
    <row r="1102">
      <c r="A1102" s="3" t="inlineStr">
        <is>
          <t>MAT-27-020</t>
        </is>
      </c>
      <c r="B1102" s="3" t="inlineStr">
        <is>
          <t>Materiales</t>
        </is>
      </c>
      <c r="C1102" s="3" t="inlineStr">
        <is>
          <t>Accesorios de baño</t>
        </is>
      </c>
      <c r="D1102" s="4" t="inlineStr">
        <is>
          <t>Juego de accesorios de baño, 4 piezas</t>
        </is>
      </c>
      <c r="E1102" s="4" t="inlineStr"/>
      <c r="F1102" s="3" t="inlineStr">
        <is>
          <t>juego</t>
        </is>
      </c>
      <c r="G1102" s="3" t="inlineStr">
        <is>
          <t>Terminación de superficies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2</v>
      </c>
      <c r="K1102" s="6" t="n">
        <v>2927.39</v>
      </c>
      <c r="L1102" s="6" t="n">
        <v>1605.2</v>
      </c>
      <c r="M1102" s="6" t="n">
        <v>3995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 · InnovaCentro (La Innovación)</t>
        </is>
      </c>
      <c r="T1102" s="7" t="n">
        <v>4</v>
      </c>
    </row>
    <row r="1103">
      <c r="A1103" s="3" t="inlineStr">
        <is>
          <t>MAT-27-021</t>
        </is>
      </c>
      <c r="B1103" s="3" t="inlineStr">
        <is>
          <t>Materiales</t>
        </is>
      </c>
      <c r="C1103" s="3" t="inlineStr">
        <is>
          <t>Accesorios de baño</t>
        </is>
      </c>
      <c r="D1103" s="4" t="inlineStr">
        <is>
          <t>Juego de accesorios de baño, 5 piezas</t>
        </is>
      </c>
      <c r="E1103" s="4" t="inlineStr"/>
      <c r="F1103" s="3" t="inlineStr">
        <is>
          <t>juego</t>
        </is>
      </c>
      <c r="G1103" s="3" t="inlineStr">
        <is>
          <t>Terminación de superficies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3</v>
      </c>
      <c r="K1103" s="6" t="n">
        <v>1139</v>
      </c>
      <c r="L1103" s="6" t="n">
        <v>394</v>
      </c>
      <c r="M1103" s="6" t="n">
        <v>1883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Cima · Ferretería Ochoa (8A) · InnovaCentro (La Innovación)</t>
        </is>
      </c>
      <c r="T1103" s="7" t="n">
        <v>5</v>
      </c>
    </row>
    <row r="1104">
      <c r="A1104" s="3" t="inlineStr">
        <is>
          <t>MAT-27-022</t>
        </is>
      </c>
      <c r="B1104" s="3" t="inlineStr">
        <is>
          <t>Materiales</t>
        </is>
      </c>
      <c r="C1104" s="3" t="inlineStr">
        <is>
          <t>Accesorios de baño</t>
        </is>
      </c>
      <c r="D1104" s="4" t="inlineStr">
        <is>
          <t>Juego de accesorios de baño, 6 piezas</t>
        </is>
      </c>
      <c r="E1104" s="4" t="inlineStr"/>
      <c r="F1104" s="3" t="inlineStr">
        <is>
          <t>juego</t>
        </is>
      </c>
      <c r="G1104" s="3" t="inlineStr">
        <is>
          <t>Terminación de superficies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3</v>
      </c>
      <c r="K1104" s="6" t="n">
        <v>3070.44</v>
      </c>
      <c r="L1104" s="6" t="n">
        <v>1342.61</v>
      </c>
      <c r="M1104" s="6" t="n">
        <v>4372.84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Cima · Ferretería Ochoa (8A) · InnovaCentro (La Innovación)</t>
        </is>
      </c>
      <c r="T1104" s="7" t="n">
        <v>6</v>
      </c>
    </row>
    <row r="1105">
      <c r="A1105" s="3" t="inlineStr">
        <is>
          <t>MAT-27-023</t>
        </is>
      </c>
      <c r="B1105" s="3" t="inlineStr">
        <is>
          <t>Materiales</t>
        </is>
      </c>
      <c r="C1105" s="3" t="inlineStr">
        <is>
          <t>Accesorios de baño</t>
        </is>
      </c>
      <c r="D1105" s="4" t="inlineStr">
        <is>
          <t>Secador de manos</t>
        </is>
      </c>
      <c r="E1105" s="4" t="inlineStr"/>
      <c r="F1105" s="3" t="inlineStr">
        <is>
          <t>unidad</t>
        </is>
      </c>
      <c r="G1105" s="3" t="inlineStr">
        <is>
          <t>Terminación de superficies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4</v>
      </c>
      <c r="K1105" s="6" t="n">
        <v>3600</v>
      </c>
      <c r="L1105" s="6" t="n">
        <v>849</v>
      </c>
      <c r="M1105" s="6" t="n">
        <v>39467.53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2026-09-10</t>
        </is>
      </c>
      <c r="Q1105" s="4" t="inlineStr">
        <is>
          <t>CerArte · Ferremix (Grupo Alterra) · Ferretería Ochoa (8A) · InnovaCentro (La Innovación)</t>
        </is>
      </c>
    </row>
    <row r="1106">
      <c r="A1106" s="3" t="inlineStr">
        <is>
          <t>MAT-27-024</t>
        </is>
      </c>
      <c r="B1106" s="3" t="inlineStr">
        <is>
          <t>Materiales</t>
        </is>
      </c>
      <c r="C1106" s="3" t="inlineStr">
        <is>
          <t>Accesorios de baño</t>
        </is>
      </c>
      <c r="D1106" s="4" t="inlineStr">
        <is>
          <t>Secador de manos, de botón</t>
        </is>
      </c>
      <c r="E1106" s="4" t="inlineStr"/>
      <c r="F1106" s="3" t="inlineStr">
        <is>
          <t>unidad</t>
        </is>
      </c>
      <c r="G1106" s="3" t="inlineStr">
        <is>
          <t>Terminación de superficies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16368.74</v>
      </c>
      <c r="L1106" s="6" t="n">
        <v>16368.74</v>
      </c>
      <c r="M1106" s="6" t="n">
        <v>16368.74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  <c r="AH1106" s="4" t="inlineStr">
        <is>
          <t>Activación: boton</t>
        </is>
      </c>
    </row>
    <row r="1107">
      <c r="A1107" s="3" t="inlineStr">
        <is>
          <t>MAT-27-025</t>
        </is>
      </c>
      <c r="B1107" s="3" t="inlineStr">
        <is>
          <t>Materiales</t>
        </is>
      </c>
      <c r="C1107" s="3" t="inlineStr">
        <is>
          <t>Accesorios de baño</t>
        </is>
      </c>
      <c r="D1107" s="4" t="inlineStr">
        <is>
          <t>Secador de manos, con sensor</t>
        </is>
      </c>
      <c r="E1107" s="4" t="inlineStr"/>
      <c r="F1107" s="3" t="inlineStr">
        <is>
          <t>unidad</t>
        </is>
      </c>
      <c r="G1107" s="3" t="inlineStr">
        <is>
          <t>Terminación de superficies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3</v>
      </c>
      <c r="K1107" s="6" t="n">
        <v>17572.74</v>
      </c>
      <c r="L1107" s="6" t="n">
        <v>12495</v>
      </c>
      <c r="M1107" s="6" t="n">
        <v>63455.69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2026-09-10</t>
        </is>
      </c>
      <c r="Q1107" s="4" t="inlineStr">
        <is>
          <t>Ferremix (Grupo Alterra) · Ferretería Ochoa (8A) · InnovaCentro (La Innovación)</t>
        </is>
      </c>
      <c r="AH1107" s="4" t="inlineStr">
        <is>
          <t>Activación: sensor · Ancho (mm): 270</t>
        </is>
      </c>
    </row>
    <row r="1108">
      <c r="A1108" s="3" t="inlineStr">
        <is>
          <t>MAT-27-026</t>
        </is>
      </c>
      <c r="B1108" s="3" t="inlineStr">
        <is>
          <t>Materiales</t>
        </is>
      </c>
      <c r="C1108" s="3" t="inlineStr">
        <is>
          <t>Accesorios de baño</t>
        </is>
      </c>
      <c r="D1108" s="4" t="inlineStr">
        <is>
          <t>Dispensador de jabón</t>
        </is>
      </c>
      <c r="E1108" s="4" t="inlineStr"/>
      <c r="F1108" s="3" t="inlineStr">
        <is>
          <t>unidad</t>
        </is>
      </c>
      <c r="G1108" s="3" t="inlineStr">
        <is>
          <t>Terminación de superficies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4</v>
      </c>
      <c r="K1108" s="6" t="n">
        <v>899</v>
      </c>
      <c r="L1108" s="6" t="n">
        <v>156</v>
      </c>
      <c r="M1108" s="6" t="n">
        <v>24565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2026-09-10</t>
        </is>
      </c>
      <c r="Q1108" s="4" t="inlineStr">
        <is>
          <t>CerArte · Ferremix (Grupo Alterra) · Ferretería Ochoa (8A) · InnovaCentro (La Innovación)</t>
        </is>
      </c>
    </row>
    <row r="1109">
      <c r="A1109" s="3" t="inlineStr">
        <is>
          <t>MAT-27-027</t>
        </is>
      </c>
      <c r="B1109" s="3" t="inlineStr">
        <is>
          <t>Materiales</t>
        </is>
      </c>
      <c r="C1109" s="3" t="inlineStr">
        <is>
          <t>Accesorios de baño</t>
        </is>
      </c>
      <c r="D1109" s="4" t="inlineStr">
        <is>
          <t>Dispensador de jabón, con sensor</t>
        </is>
      </c>
      <c r="E1109" s="4" t="inlineStr"/>
      <c r="F1109" s="3" t="inlineStr">
        <is>
          <t>unidad</t>
        </is>
      </c>
      <c r="G1109" s="3" t="inlineStr">
        <is>
          <t>Terminación de superficies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33870.73</v>
      </c>
      <c r="L1109" s="6" t="n">
        <v>33870.73</v>
      </c>
      <c r="M1109" s="6" t="n">
        <v>33870.73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2026-09-10</t>
        </is>
      </c>
      <c r="Q1109" s="4" t="inlineStr">
        <is>
          <t>CerArte</t>
        </is>
      </c>
      <c r="AH1109" s="4" t="inlineStr">
        <is>
          <t>Activación: sensor</t>
        </is>
      </c>
    </row>
    <row r="1110">
      <c r="A1110" s="3" t="inlineStr">
        <is>
          <t>MAT-27-028</t>
        </is>
      </c>
      <c r="B1110" s="3" t="inlineStr">
        <is>
          <t>Materiales</t>
        </is>
      </c>
      <c r="C1110" s="3" t="inlineStr">
        <is>
          <t>Accesorios de baño</t>
        </is>
      </c>
      <c r="D1110" s="4" t="inlineStr">
        <is>
          <t>Dispensador de papel, de papel higiénico</t>
        </is>
      </c>
      <c r="E1110" s="4" t="inlineStr"/>
      <c r="F1110" s="3" t="inlineStr">
        <is>
          <t>unidad</t>
        </is>
      </c>
      <c r="G1110" s="3" t="inlineStr">
        <is>
          <t>Terminación de superficies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1850</v>
      </c>
      <c r="L1110" s="6" t="n">
        <v>485</v>
      </c>
      <c r="M1110" s="6" t="n">
        <v>8995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InnovaCentro (La Innovación)</t>
        </is>
      </c>
      <c r="AH1110" s="4" t="inlineStr">
        <is>
          <t>Tipo de papel: papel higiénico · Ancho (mm): 270</t>
        </is>
      </c>
    </row>
    <row r="1111">
      <c r="A1111" s="3" t="inlineStr">
        <is>
          <t>MAT-27-029</t>
        </is>
      </c>
      <c r="B1111" s="3" t="inlineStr">
        <is>
          <t>Materiales</t>
        </is>
      </c>
      <c r="C1111" s="3" t="inlineStr">
        <is>
          <t>Accesorios de baño</t>
        </is>
      </c>
      <c r="D1111" s="4" t="inlineStr">
        <is>
          <t>Dispensador de papel, de toalla</t>
        </is>
      </c>
      <c r="E1111" s="4" t="inlineStr"/>
      <c r="F1111" s="3" t="inlineStr">
        <is>
          <t>unidad</t>
        </is>
      </c>
      <c r="G1111" s="3" t="inlineStr">
        <is>
          <t>Terminación de superficies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2</v>
      </c>
      <c r="K1111" s="6" t="n">
        <v>2695</v>
      </c>
      <c r="L1111" s="6" t="n">
        <v>274</v>
      </c>
      <c r="M1111" s="6" t="n">
        <v>12190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 · InnovaCentro (La Innovación)</t>
        </is>
      </c>
      <c r="AH1111" s="4" t="inlineStr">
        <is>
          <t>Tipo de papel: toalla · Ancho (mm): 310</t>
        </is>
      </c>
    </row>
    <row r="1112">
      <c r="A1112" s="3" t="inlineStr">
        <is>
          <t>MAT-27-030</t>
        </is>
      </c>
      <c r="B1112" s="3" t="inlineStr">
        <is>
          <t>Materiales</t>
        </is>
      </c>
      <c r="C1112" s="3" t="inlineStr">
        <is>
          <t>Accesorios de baño</t>
        </is>
      </c>
      <c r="D1112" s="4" t="inlineStr">
        <is>
          <t>Cambiador de bebés de pared</t>
        </is>
      </c>
      <c r="E1112" s="4" t="inlineStr"/>
      <c r="F1112" s="3" t="inlineStr">
        <is>
          <t>unidad</t>
        </is>
      </c>
      <c r="G1112" s="3" t="inlineStr">
        <is>
          <t>Terminación de superficies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8705</v>
      </c>
      <c r="L1112" s="6" t="n">
        <v>8705</v>
      </c>
      <c r="M1112" s="6" t="n">
        <v>8705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InnovaCentro (La Innovación)</t>
        </is>
      </c>
      <c r="V1112" s="7" t="n">
        <v>140</v>
      </c>
      <c r="AH1112" s="4" t="inlineStr">
        <is>
          <t>Largo (mm): 860 · Ancho (mm): 550</t>
        </is>
      </c>
    </row>
    <row r="1113">
      <c r="A1113" s="3" t="inlineStr">
        <is>
          <t>MAT-28-001</t>
        </is>
      </c>
      <c r="B1113" s="3" t="inlineStr">
        <is>
          <t>Materiales</t>
        </is>
      </c>
      <c r="C1113" s="3" t="inlineStr">
        <is>
          <t>Alarmas y control de accesos</t>
        </is>
      </c>
      <c r="D1113" s="4" t="inlineStr">
        <is>
          <t>Kit de alarma</t>
        </is>
      </c>
      <c r="E1113" s="4" t="inlineStr"/>
      <c r="F1113" s="3" t="inlineStr">
        <is>
          <t>juego</t>
        </is>
      </c>
      <c r="G1113" s="3" t="inlineStr">
        <is>
          <t>Instalaciones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7107.67</v>
      </c>
      <c r="L1113" s="6" t="n">
        <v>7107.67</v>
      </c>
      <c r="M1113" s="6" t="n">
        <v>7107.67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MAT-28-002</t>
        </is>
      </c>
      <c r="B1114" s="3" t="inlineStr">
        <is>
          <t>Materiales</t>
        </is>
      </c>
      <c r="C1114" s="3" t="inlineStr">
        <is>
          <t>Alarmas y control de accesos</t>
        </is>
      </c>
      <c r="D1114" s="4" t="inlineStr">
        <is>
          <t>Panel de alarma</t>
        </is>
      </c>
      <c r="E1114" s="4" t="inlineStr"/>
      <c r="F1114" s="3" t="inlineStr">
        <is>
          <t>unidad</t>
        </is>
      </c>
      <c r="G1114" s="3" t="inlineStr">
        <is>
          <t>Instalaciones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15771.4</v>
      </c>
      <c r="L1114" s="6" t="n">
        <v>3536.16</v>
      </c>
      <c r="M1114" s="6" t="n">
        <v>40009.07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MAT-28-003</t>
        </is>
      </c>
      <c r="B1115" s="3" t="inlineStr">
        <is>
          <t>Materiales</t>
        </is>
      </c>
      <c r="C1115" s="3" t="inlineStr">
        <is>
          <t>Alarmas y control de accesos</t>
        </is>
      </c>
      <c r="D1115" s="4" t="inlineStr">
        <is>
          <t>Panel de alarma 28 zonas</t>
        </is>
      </c>
      <c r="E1115" s="4" t="inlineStr"/>
      <c r="F1115" s="3" t="inlineStr">
        <is>
          <t>unidad</t>
        </is>
      </c>
      <c r="G1115" s="3" t="inlineStr">
        <is>
          <t>Instalaciones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7194.58</v>
      </c>
      <c r="L1115" s="6" t="n">
        <v>7194.58</v>
      </c>
      <c r="M1115" s="6" t="n">
        <v>7194.58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  <c r="AH1115" s="4" t="inlineStr">
        <is>
          <t>Zonas: 28</t>
        </is>
      </c>
    </row>
    <row r="1116">
      <c r="A1116" s="3" t="inlineStr">
        <is>
          <t>MAT-28-004</t>
        </is>
      </c>
      <c r="B1116" s="3" t="inlineStr">
        <is>
          <t>Materiales</t>
        </is>
      </c>
      <c r="C1116" s="3" t="inlineStr">
        <is>
          <t>Alarmas y control de accesos</t>
        </is>
      </c>
      <c r="D1116" s="4" t="inlineStr">
        <is>
          <t>Panel de alarma 320 zonas</t>
        </is>
      </c>
      <c r="E1116" s="4" t="inlineStr"/>
      <c r="F1116" s="3" t="inlineStr">
        <is>
          <t>unidad</t>
        </is>
      </c>
      <c r="G1116" s="3" t="inlineStr">
        <is>
          <t>Instalaciones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16552.7</v>
      </c>
      <c r="L1116" s="6" t="n">
        <v>13889.31</v>
      </c>
      <c r="M1116" s="6" t="n">
        <v>19216.09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  <c r="AH1116" s="4" t="inlineStr">
        <is>
          <t>Zonas: 320</t>
        </is>
      </c>
    </row>
    <row r="1117">
      <c r="A1117" s="3" t="inlineStr">
        <is>
          <t>MAT-28-005</t>
        </is>
      </c>
      <c r="B1117" s="3" t="inlineStr">
        <is>
          <t>Materiales</t>
        </is>
      </c>
      <c r="C1117" s="3" t="inlineStr">
        <is>
          <t>Alarmas y control de accesos</t>
        </is>
      </c>
      <c r="D1117" s="4" t="inlineStr">
        <is>
          <t>Panel de alarma 4 zonas</t>
        </is>
      </c>
      <c r="E1117" s="4" t="inlineStr"/>
      <c r="F1117" s="3" t="inlineStr">
        <is>
          <t>unidad</t>
        </is>
      </c>
      <c r="G1117" s="3" t="inlineStr">
        <is>
          <t>Instalaciones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18682.71</v>
      </c>
      <c r="L1117" s="6" t="n">
        <v>18682.71</v>
      </c>
      <c r="M1117" s="6" t="n">
        <v>18682.71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  <c r="AH1117" s="4" t="inlineStr">
        <is>
          <t>Zonas: 4</t>
        </is>
      </c>
    </row>
    <row r="1118">
      <c r="A1118" s="3" t="inlineStr">
        <is>
          <t>MAT-28-006</t>
        </is>
      </c>
      <c r="B1118" s="3" t="inlineStr">
        <is>
          <t>Materiales</t>
        </is>
      </c>
      <c r="C1118" s="3" t="inlineStr">
        <is>
          <t>Alarmas y control de accesos</t>
        </is>
      </c>
      <c r="D1118" s="4" t="inlineStr">
        <is>
          <t>Panel de alarma 48 zonas</t>
        </is>
      </c>
      <c r="E1118" s="4" t="inlineStr"/>
      <c r="F1118" s="3" t="inlineStr">
        <is>
          <t>unidad</t>
        </is>
      </c>
      <c r="G1118" s="3" t="inlineStr">
        <is>
          <t>Instalaciones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8277.66</v>
      </c>
      <c r="L1118" s="6" t="n">
        <v>8277.66</v>
      </c>
      <c r="M1118" s="6" t="n">
        <v>8277.66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  <c r="AH1118" s="4" t="inlineStr">
        <is>
          <t>Zonas: 48</t>
        </is>
      </c>
    </row>
    <row r="1119">
      <c r="A1119" s="3" t="inlineStr">
        <is>
          <t>MAT-28-007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Panel de alarma 8 zonas</t>
        </is>
      </c>
      <c r="E1119" s="4" t="inlineStr"/>
      <c r="F1119" s="3" t="inlineStr">
        <is>
          <t>unidad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11668.57</v>
      </c>
      <c r="L1119" s="6" t="n">
        <v>11668.57</v>
      </c>
      <c r="M1119" s="6" t="n">
        <v>11668.57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  <c r="AH1119" s="4" t="inlineStr">
        <is>
          <t>Zonas: 8</t>
        </is>
      </c>
    </row>
    <row r="1120">
      <c r="A1120" s="3" t="inlineStr">
        <is>
          <t>MAT-28-008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Teclado para alarma</t>
        </is>
      </c>
      <c r="E1120" s="4" t="inlineStr"/>
      <c r="F1120" s="3" t="inlineStr">
        <is>
          <t>unidad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7211.08</v>
      </c>
      <c r="L1120" s="6" t="n">
        <v>3449.44</v>
      </c>
      <c r="M1120" s="6" t="n">
        <v>13205.36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MAT-28-009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Detector de movimiento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1486.93</v>
      </c>
      <c r="L1121" s="6" t="n">
        <v>266.05</v>
      </c>
      <c r="M1121" s="6" t="n">
        <v>11447.71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  <c r="AH1121" s="4" t="inlineStr">
        <is>
          <t>Enlace: inalámbrico</t>
        </is>
      </c>
    </row>
    <row r="1122">
      <c r="A1122" s="3" t="inlineStr">
        <is>
          <t>MAT-28-010</t>
        </is>
      </c>
      <c r="B1122" s="3" t="inlineStr">
        <is>
          <t>Materiales</t>
        </is>
      </c>
      <c r="C1122" s="3" t="inlineStr">
        <is>
          <t>Alarmas y control de accesos</t>
        </is>
      </c>
      <c r="D1122" s="4" t="inlineStr">
        <is>
          <t>Detector de movimiento alcance 10 m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7135.36</v>
      </c>
      <c r="L1122" s="6" t="n">
        <v>7135.36</v>
      </c>
      <c r="M1122" s="6" t="n">
        <v>7135.36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  <c r="AH1122" s="4" t="inlineStr">
        <is>
          <t>Alcance (m): 10 · Enlace: inalámbrico</t>
        </is>
      </c>
    </row>
    <row r="1123">
      <c r="A1123" s="3" t="inlineStr">
        <is>
          <t>MAT-28-011</t>
        </is>
      </c>
      <c r="B1123" s="3" t="inlineStr">
        <is>
          <t>Materiales</t>
        </is>
      </c>
      <c r="C1123" s="3" t="inlineStr">
        <is>
          <t>Alarmas y control de accesos</t>
        </is>
      </c>
      <c r="D1123" s="4" t="inlineStr">
        <is>
          <t>Detector de movimiento alcance 11 m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5567.22</v>
      </c>
      <c r="L1123" s="6" t="n">
        <v>5567.22</v>
      </c>
      <c r="M1123" s="6" t="n">
        <v>5567.22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AH1123" s="4" t="inlineStr">
        <is>
          <t>Alcance (m): 11 · Enlace: inalámbrico</t>
        </is>
      </c>
    </row>
    <row r="1124">
      <c r="A1124" s="3" t="inlineStr">
        <is>
          <t>MAT-28-012</t>
        </is>
      </c>
      <c r="B1124" s="3" t="inlineStr">
        <is>
          <t>Materiales</t>
        </is>
      </c>
      <c r="C1124" s="3" t="inlineStr">
        <is>
          <t>Alarmas y control de accesos</t>
        </is>
      </c>
      <c r="D1124" s="4" t="inlineStr">
        <is>
          <t>Detector de movimiento alcance 12 m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2831.47</v>
      </c>
      <c r="L1124" s="6" t="n">
        <v>820.3</v>
      </c>
      <c r="M1124" s="6" t="n">
        <v>5338.48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AH1124" s="4" t="inlineStr">
        <is>
          <t>Alcance (m): 12 · Enlace: inalámbrico</t>
        </is>
      </c>
    </row>
    <row r="1125">
      <c r="A1125" s="3" t="inlineStr">
        <is>
          <t>MAT-28-013</t>
        </is>
      </c>
      <c r="B1125" s="3" t="inlineStr">
        <is>
          <t>Materiales</t>
        </is>
      </c>
      <c r="C1125" s="3" t="inlineStr">
        <is>
          <t>Alarmas y control de accesos</t>
        </is>
      </c>
      <c r="D1125" s="4" t="inlineStr">
        <is>
          <t>Detector de movimiento alcance 15 m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2675.69</v>
      </c>
      <c r="L1125" s="6" t="n">
        <v>2675.69</v>
      </c>
      <c r="M1125" s="6" t="n">
        <v>2675.69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  <c r="AH1125" s="4" t="inlineStr">
        <is>
          <t>Alcance (m): 15 · Enlace: inalámbrico</t>
        </is>
      </c>
    </row>
    <row r="1126">
      <c r="A1126" s="3" t="inlineStr">
        <is>
          <t>MAT-28-014</t>
        </is>
      </c>
      <c r="B1126" s="3" t="inlineStr">
        <is>
          <t>Materiales</t>
        </is>
      </c>
      <c r="C1126" s="3" t="inlineStr">
        <is>
          <t>Alarmas y control de accesos</t>
        </is>
      </c>
      <c r="D1126" s="4" t="inlineStr">
        <is>
          <t>Detector de movimiento alcance 16 m</t>
        </is>
      </c>
      <c r="E1126" s="4" t="inlineStr"/>
      <c r="F1126" s="3" t="inlineStr">
        <is>
          <t>unidad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2944.96</v>
      </c>
      <c r="L1126" s="6" t="n">
        <v>2944.96</v>
      </c>
      <c r="M1126" s="6" t="n">
        <v>2944.96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  <c r="AH1126" s="4" t="inlineStr">
        <is>
          <t>Alcance (m): 16</t>
        </is>
      </c>
    </row>
    <row r="1127">
      <c r="A1127" s="3" t="inlineStr">
        <is>
          <t>MAT-28-015</t>
        </is>
      </c>
      <c r="B1127" s="3" t="inlineStr">
        <is>
          <t>Materiales</t>
        </is>
      </c>
      <c r="C1127" s="3" t="inlineStr">
        <is>
          <t>Alarmas y control de accesos</t>
        </is>
      </c>
      <c r="D1127" s="4" t="inlineStr">
        <is>
          <t>Contacto magnético para puerta o ventana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1673.26</v>
      </c>
      <c r="L1127" s="6" t="n">
        <v>506.24</v>
      </c>
      <c r="M1127" s="6" t="n">
        <v>1989.25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MAT-28-016</t>
        </is>
      </c>
      <c r="B1128" s="3" t="inlineStr">
        <is>
          <t>Materiales</t>
        </is>
      </c>
      <c r="C1128" s="3" t="inlineStr">
        <is>
          <t>Alarmas y control de accesos</t>
        </is>
      </c>
      <c r="D1128" s="4" t="inlineStr">
        <is>
          <t>Sirena de alarma</t>
        </is>
      </c>
      <c r="E1128" s="4" t="inlineStr"/>
      <c r="F1128" s="3" t="inlineStr">
        <is>
          <t>unidad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12406.5</v>
      </c>
      <c r="L1128" s="6" t="n">
        <v>713.99</v>
      </c>
      <c r="M1128" s="6" t="n">
        <v>49478.37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  <c r="AH1128" s="4" t="inlineStr">
        <is>
          <t>Potencia (dB): 102</t>
        </is>
      </c>
    </row>
    <row r="1129">
      <c r="A1129" s="3" t="inlineStr">
        <is>
          <t>MAT-28-017</t>
        </is>
      </c>
      <c r="B1129" s="3" t="inlineStr">
        <is>
          <t>Materiales</t>
        </is>
      </c>
      <c r="C1129" s="3" t="inlineStr">
        <is>
          <t>Alarmas y control de accesos</t>
        </is>
      </c>
      <c r="D1129" s="4" t="inlineStr">
        <is>
          <t>Sirena de alarma de exterior</t>
        </is>
      </c>
      <c r="E1129" s="4" t="inlineStr"/>
      <c r="F1129" s="3" t="inlineStr">
        <is>
          <t>unidad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5053.69</v>
      </c>
      <c r="L1129" s="6" t="n">
        <v>5053.69</v>
      </c>
      <c r="M1129" s="6" t="n">
        <v>5053.69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H1129" s="4" t="inlineStr">
        <is>
          <t>Ubicación: exterior · Potencia (dB): 104</t>
        </is>
      </c>
    </row>
    <row r="1130">
      <c r="A1130" s="3" t="inlineStr">
        <is>
          <t>MAT-28-018</t>
        </is>
      </c>
      <c r="B1130" s="3" t="inlineStr">
        <is>
          <t>Materiales</t>
        </is>
      </c>
      <c r="C1130" s="3" t="inlineStr">
        <is>
          <t>Alarmas y control de accesos</t>
        </is>
      </c>
      <c r="D1130" s="4" t="inlineStr">
        <is>
          <t>Sirena de alarma de interior</t>
        </is>
      </c>
      <c r="E1130" s="4" t="inlineStr"/>
      <c r="F1130" s="3" t="inlineStr">
        <is>
          <t>unidad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3381.4</v>
      </c>
      <c r="L1130" s="6" t="n">
        <v>3381.4</v>
      </c>
      <c r="M1130" s="6" t="n">
        <v>3381.4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AH1130" s="4" t="inlineStr">
        <is>
          <t>Ubicación: interior · Potencia (dB): 95</t>
        </is>
      </c>
    </row>
    <row r="1131">
      <c r="A1131" s="3" t="inlineStr">
        <is>
          <t>MAT-28-019</t>
        </is>
      </c>
      <c r="B1131" s="3" t="inlineStr">
        <is>
          <t>Materiales</t>
        </is>
      </c>
      <c r="C1131" s="3" t="inlineStr">
        <is>
          <t>Alarmas y control de accesos</t>
        </is>
      </c>
      <c r="D1131" s="4" t="inlineStr">
        <is>
          <t>Control de acceso</t>
        </is>
      </c>
      <c r="E1131" s="4" t="inlineStr"/>
      <c r="F1131" s="3" t="inlineStr">
        <is>
          <t>unidad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14529.44</v>
      </c>
      <c r="L1131" s="6" t="n">
        <v>5063.11</v>
      </c>
      <c r="M1131" s="6" t="n">
        <v>51002.38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MAT-28-020</t>
        </is>
      </c>
      <c r="B1132" s="3" t="inlineStr">
        <is>
          <t>Materiales</t>
        </is>
      </c>
      <c r="C1132" s="3" t="inlineStr">
        <is>
          <t>Alarmas y control de accesos</t>
        </is>
      </c>
      <c r="D1132" s="4" t="inlineStr">
        <is>
          <t>Control de acceso huella</t>
        </is>
      </c>
      <c r="E1132" s="4" t="inlineStr"/>
      <c r="F1132" s="3" t="inlineStr">
        <is>
          <t>unidad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16289.94</v>
      </c>
      <c r="L1132" s="6" t="n">
        <v>10930.42</v>
      </c>
      <c r="M1132" s="6" t="n">
        <v>48902.72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  <c r="Y1132" s="7" t="inlineStr">
        <is>
          <t>huella</t>
        </is>
      </c>
    </row>
    <row r="1133">
      <c r="A1133" s="3" t="inlineStr">
        <is>
          <t>MAT-28-021</t>
        </is>
      </c>
      <c r="B1133" s="3" t="inlineStr">
        <is>
          <t>Materiales</t>
        </is>
      </c>
      <c r="C1133" s="3" t="inlineStr">
        <is>
          <t>Alarmas y control de accesos</t>
        </is>
      </c>
      <c r="D1133" s="4" t="inlineStr">
        <is>
          <t>Control de acceso proximidad</t>
        </is>
      </c>
      <c r="E1133" s="4" t="inlineStr"/>
      <c r="F1133" s="3" t="inlineStr">
        <is>
          <t>unidad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9465.780000000001</v>
      </c>
      <c r="L1133" s="6" t="n">
        <v>8365.110000000001</v>
      </c>
      <c r="M1133" s="6" t="n">
        <v>10566.44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  <c r="Y1133" s="7" t="inlineStr">
        <is>
          <t>proximidad</t>
        </is>
      </c>
    </row>
    <row r="1134">
      <c r="A1134" s="3" t="inlineStr">
        <is>
          <t>MAT-28-022</t>
        </is>
      </c>
      <c r="B1134" s="3" t="inlineStr">
        <is>
          <t>Materiales</t>
        </is>
      </c>
      <c r="C1134" s="3" t="inlineStr">
        <is>
          <t>Alarmas y control de accesos</t>
        </is>
      </c>
      <c r="D1134" s="4" t="inlineStr">
        <is>
          <t>Control de acceso teclado</t>
        </is>
      </c>
      <c r="E1134" s="4" t="inlineStr"/>
      <c r="F1134" s="3" t="inlineStr">
        <is>
          <t>unidad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12767.79</v>
      </c>
      <c r="L1134" s="6" t="n">
        <v>12767.79</v>
      </c>
      <c r="M1134" s="6" t="n">
        <v>12767.79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  <c r="Y1134" s="7" t="inlineStr">
        <is>
          <t>teclado</t>
        </is>
      </c>
    </row>
    <row r="1135">
      <c r="A1135" s="3" t="inlineStr">
        <is>
          <t>MAT-28-023</t>
        </is>
      </c>
      <c r="B1135" s="3" t="inlineStr">
        <is>
          <t>Materiales</t>
        </is>
      </c>
      <c r="C1135" s="3" t="inlineStr">
        <is>
          <t>Alarmas y control de accesos</t>
        </is>
      </c>
      <c r="D1135" s="4" t="inlineStr">
        <is>
          <t>Equipo de cerco eléctrico</t>
        </is>
      </c>
      <c r="E1135" s="4" t="inlineStr"/>
      <c r="F1135" s="3" t="inlineStr">
        <is>
          <t>unidad</t>
        </is>
      </c>
      <c r="G1135" s="3" t="inlineStr">
        <is>
          <t>Exteriores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1207.19</v>
      </c>
      <c r="L1135" s="6" t="n">
        <v>10.19</v>
      </c>
      <c r="M1135" s="6" t="n">
        <v>11952.92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MAT-28-024</t>
        </is>
      </c>
      <c r="B1136" s="3" t="inlineStr">
        <is>
          <t>Materiales</t>
        </is>
      </c>
      <c r="C1136" s="3" t="inlineStr">
        <is>
          <t>Alarmas y control de accesos</t>
        </is>
      </c>
      <c r="D1136" s="4" t="inlineStr">
        <is>
          <t>Accesorio de sistema de alarma</t>
        </is>
      </c>
      <c r="E1136" s="4" t="inlineStr"/>
      <c r="F1136" s="3" t="inlineStr">
        <is>
          <t>unidad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1912.8</v>
      </c>
      <c r="L1136" s="6" t="n">
        <v>146.83</v>
      </c>
      <c r="M1136" s="6" t="n">
        <v>34654.38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MAT-29-003</t>
        </is>
      </c>
      <c r="B1137" s="3" t="inlineStr">
        <is>
          <t>Materiales</t>
        </is>
      </c>
      <c r="C1137" s="3" t="inlineStr">
        <is>
          <t>Detección de incendios</t>
        </is>
      </c>
      <c r="D1137" s="4" t="inlineStr">
        <is>
          <t>Detector para sistema de incendio de calor</t>
        </is>
      </c>
      <c r="E1137" s="4" t="inlineStr"/>
      <c r="F1137" s="3" t="inlineStr">
        <is>
          <t>unidad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1780.89</v>
      </c>
      <c r="L1137" s="6" t="n">
        <v>1508.54</v>
      </c>
      <c r="M1137" s="6" t="n">
        <v>2053.24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  <c r="AH1137" s="4" t="inlineStr">
        <is>
          <t>Detección: calor</t>
        </is>
      </c>
    </row>
    <row r="1138">
      <c r="A1138" s="3" t="inlineStr">
        <is>
          <t>MAT-29-004</t>
        </is>
      </c>
      <c r="B1138" s="3" t="inlineStr">
        <is>
          <t>Materiales</t>
        </is>
      </c>
      <c r="C1138" s="3" t="inlineStr">
        <is>
          <t>Detección de incendios</t>
        </is>
      </c>
      <c r="D1138" s="4" t="inlineStr">
        <is>
          <t>Detector para sistema de incendio de humo</t>
        </is>
      </c>
      <c r="E1138" s="4" t="inlineStr"/>
      <c r="F1138" s="3" t="inlineStr">
        <is>
          <t>unidad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2135.37</v>
      </c>
      <c r="L1138" s="6" t="n">
        <v>1934.03</v>
      </c>
      <c r="M1138" s="6" t="n">
        <v>23981.94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AH1138" s="4" t="inlineStr">
        <is>
          <t>Detección: humo</t>
        </is>
      </c>
    </row>
    <row r="1139">
      <c r="A1139" s="3" t="inlineStr">
        <is>
          <t>MAT-29-005</t>
        </is>
      </c>
      <c r="B1139" s="3" t="inlineStr">
        <is>
          <t>Materiales</t>
        </is>
      </c>
      <c r="C1139" s="3" t="inlineStr">
        <is>
          <t>Detección de incendios</t>
        </is>
      </c>
      <c r="D1139" s="4" t="inlineStr">
        <is>
          <t>Detector para sistema de incendio de humo y calor</t>
        </is>
      </c>
      <c r="E1139" s="4" t="inlineStr"/>
      <c r="F1139" s="3" t="inlineStr">
        <is>
          <t>unidad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1657.72</v>
      </c>
      <c r="L1139" s="6" t="n">
        <v>1657.72</v>
      </c>
      <c r="M1139" s="6" t="n">
        <v>1657.72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  <c r="AH1139" s="4" t="inlineStr">
        <is>
          <t>Detección: humo y calor</t>
        </is>
      </c>
    </row>
    <row r="1140">
      <c r="A1140" s="3" t="inlineStr">
        <is>
          <t>MAT-29-006</t>
        </is>
      </c>
      <c r="B1140" s="3" t="inlineStr">
        <is>
          <t>Materiales</t>
        </is>
      </c>
      <c r="C1140" s="3" t="inlineStr">
        <is>
          <t>Detección de incendios</t>
        </is>
      </c>
      <c r="D1140" s="4" t="inlineStr">
        <is>
          <t>Estación manual de incendio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2358.36</v>
      </c>
      <c r="L1140" s="6" t="n">
        <v>870.3</v>
      </c>
      <c r="M1140" s="6" t="n">
        <v>4065.41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MAT-29-007</t>
        </is>
      </c>
      <c r="B1141" s="3" t="inlineStr">
        <is>
          <t>Materiales</t>
        </is>
      </c>
      <c r="C1141" s="3" t="inlineStr">
        <is>
          <t>Detección de incendios</t>
        </is>
      </c>
      <c r="D1141" s="4" t="inlineStr">
        <is>
          <t>Sirena o estrobo de incendio</t>
        </is>
      </c>
      <c r="E1141" s="4" t="inlineStr"/>
      <c r="F1141" s="3" t="inlineStr">
        <is>
          <t>unidad</t>
        </is>
      </c>
      <c r="G1141" s="3" t="inlineStr">
        <is>
          <t>Instalaciones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3502.55</v>
      </c>
      <c r="L1141" s="6" t="n">
        <v>3502.55</v>
      </c>
      <c r="M1141" s="6" t="n">
        <v>3502.55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MAT-29-008</t>
        </is>
      </c>
      <c r="B1142" s="3" t="inlineStr">
        <is>
          <t>Materiales</t>
        </is>
      </c>
      <c r="C1142" s="3" t="inlineStr">
        <is>
          <t>Detección de incendios</t>
        </is>
      </c>
      <c r="D1142" s="4" t="inlineStr">
        <is>
          <t>Accesorio de sistema de incendio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270.76</v>
      </c>
      <c r="L1142" s="6" t="n">
        <v>232.07</v>
      </c>
      <c r="M1142" s="6" t="n">
        <v>615.97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MAT-30-002</t>
        </is>
      </c>
      <c r="B1143" s="3" t="inlineStr">
        <is>
          <t>Materiales</t>
        </is>
      </c>
      <c r="C1143" s="3" t="inlineStr">
        <is>
          <t>Cableado estructurado y redes</t>
        </is>
      </c>
      <c r="D1143" s="4" t="inlineStr">
        <is>
          <t>Cable de red</t>
        </is>
      </c>
      <c r="E1143" s="4" t="inlineStr"/>
      <c r="F1143" s="3" t="inlineStr">
        <is>
          <t>rollo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433.97</v>
      </c>
      <c r="L1143" s="6" t="n">
        <v>5.11</v>
      </c>
      <c r="M1143" s="6" t="n">
        <v>21280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MAT-30-003</t>
        </is>
      </c>
      <c r="B1144" s="3" t="inlineStr">
        <is>
          <t>Materiales</t>
        </is>
      </c>
      <c r="C1144" s="3" t="inlineStr">
        <is>
          <t>Cableado estructurado y redes</t>
        </is>
      </c>
      <c r="D1144" s="4" t="inlineStr">
        <is>
          <t>Cable de red blindado</t>
        </is>
      </c>
      <c r="E1144" s="4" t="inlineStr"/>
      <c r="F1144" s="3" t="inlineStr">
        <is>
          <t>rollo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1675.6</v>
      </c>
      <c r="L1144" s="6" t="n">
        <v>1675.6</v>
      </c>
      <c r="M1144" s="6" t="n">
        <v>1675.6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AH1144" s="4" t="inlineStr">
        <is>
          <t>Blindaje: blindado</t>
        </is>
      </c>
    </row>
    <row r="1145">
      <c r="A1145" s="3" t="inlineStr">
        <is>
          <t>MAT-30-004</t>
        </is>
      </c>
      <c r="B1145" s="3" t="inlineStr">
        <is>
          <t>Materiales</t>
        </is>
      </c>
      <c r="C1145" s="3" t="inlineStr">
        <is>
          <t>Cableado estructurado y redes</t>
        </is>
      </c>
      <c r="D1145" s="4" t="inlineStr">
        <is>
          <t>Cable de red Cat 5</t>
        </is>
      </c>
      <c r="E1145" s="4" t="inlineStr"/>
      <c r="F1145" s="3" t="inlineStr">
        <is>
          <t>rollo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106.6</v>
      </c>
      <c r="L1145" s="6" t="n">
        <v>72.59999999999999</v>
      </c>
      <c r="M1145" s="6" t="n">
        <v>125.64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  <c r="AA1145" s="7" t="inlineStr">
        <is>
          <t>5</t>
        </is>
      </c>
      <c r="AH1145" s="4" t="inlineStr">
        <is>
          <t>Largo (m): 305</t>
        </is>
      </c>
    </row>
    <row r="1146">
      <c r="A1146" s="3" t="inlineStr">
        <is>
          <t>MAT-30-005</t>
        </is>
      </c>
      <c r="B1146" s="3" t="inlineStr">
        <is>
          <t>Materiales</t>
        </is>
      </c>
      <c r="C1146" s="3" t="inlineStr">
        <is>
          <t>Cableado estructurado y redes</t>
        </is>
      </c>
      <c r="D1146" s="4" t="inlineStr">
        <is>
          <t>Cable de red Cat 5 blindado</t>
        </is>
      </c>
      <c r="E1146" s="4" t="inlineStr"/>
      <c r="F1146" s="3" t="inlineStr">
        <is>
          <t>rollo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813.6</v>
      </c>
      <c r="L1146" s="6" t="n">
        <v>813.6</v>
      </c>
      <c r="M1146" s="6" t="n">
        <v>813.6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  <c r="AA1146" s="7" t="inlineStr">
        <is>
          <t>5</t>
        </is>
      </c>
      <c r="AH1146" s="4" t="inlineStr">
        <is>
          <t>Blindaje: blindado</t>
        </is>
      </c>
    </row>
    <row r="1147">
      <c r="A1147" s="3" t="inlineStr">
        <is>
          <t>MAT-30-006</t>
        </is>
      </c>
      <c r="B1147" s="3" t="inlineStr">
        <is>
          <t>Materiales</t>
        </is>
      </c>
      <c r="C1147" s="3" t="inlineStr">
        <is>
          <t>Cableado estructurado y redes</t>
        </is>
      </c>
      <c r="D1147" s="4" t="inlineStr">
        <is>
          <t>Cable de red Cat 6</t>
        </is>
      </c>
      <c r="E1147" s="4" t="inlineStr"/>
      <c r="F1147" s="3" t="inlineStr">
        <is>
          <t>rollo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248.83</v>
      </c>
      <c r="L1147" s="6" t="n">
        <v>97.2</v>
      </c>
      <c r="M1147" s="6" t="n">
        <v>11979.27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  <c r="AA1147" s="7" t="inlineStr">
        <is>
          <t>6</t>
        </is>
      </c>
      <c r="AH1147" s="4" t="inlineStr">
        <is>
          <t>Largo (m): 305</t>
        </is>
      </c>
    </row>
    <row r="1148">
      <c r="A1148" s="3" t="inlineStr">
        <is>
          <t>MAT-30-007</t>
        </is>
      </c>
      <c r="B1148" s="3" t="inlineStr">
        <is>
          <t>Materiales</t>
        </is>
      </c>
      <c r="C1148" s="3" t="inlineStr">
        <is>
          <t>Cableado estructurado y redes</t>
        </is>
      </c>
      <c r="D1148" s="4" t="inlineStr">
        <is>
          <t>Cable de red Cat 6A</t>
        </is>
      </c>
      <c r="E1148" s="4" t="inlineStr"/>
      <c r="F1148" s="3" t="inlineStr">
        <is>
          <t>rollo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363.57</v>
      </c>
      <c r="L1148" s="6" t="n">
        <v>215.59</v>
      </c>
      <c r="M1148" s="6" t="n">
        <v>860.04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  <c r="AA1148" s="7" t="inlineStr">
        <is>
          <t>6A</t>
        </is>
      </c>
    </row>
    <row r="1149">
      <c r="A1149" s="3" t="inlineStr">
        <is>
          <t>MAT-30-008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Jack RJ45</t>
        </is>
      </c>
      <c r="E1149" s="4" t="inlineStr"/>
      <c r="F1149" s="3" t="inlineStr">
        <is>
          <t>unidad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83.73</v>
      </c>
      <c r="L1149" s="6" t="n">
        <v>1.31</v>
      </c>
      <c r="M1149" s="6" t="n">
        <v>497.15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MAT-30-009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Jack RJ45 Cat 5</t>
        </is>
      </c>
      <c r="E1150" s="4" t="inlineStr"/>
      <c r="F1150" s="3" t="inlineStr">
        <is>
          <t>unidad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106.97</v>
      </c>
      <c r="L1150" s="6" t="n">
        <v>106.97</v>
      </c>
      <c r="M1150" s="6" t="n">
        <v>106.97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  <c r="AA1150" s="7" t="inlineStr">
        <is>
          <t>5</t>
        </is>
      </c>
    </row>
    <row r="1151">
      <c r="A1151" s="3" t="inlineStr">
        <is>
          <t>MAT-30-010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Jack RJ45 Cat 6</t>
        </is>
      </c>
      <c r="E1151" s="4" t="inlineStr"/>
      <c r="F1151" s="3" t="inlineStr">
        <is>
          <t>unidad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254.97</v>
      </c>
      <c r="L1151" s="6" t="n">
        <v>189.16</v>
      </c>
      <c r="M1151" s="6" t="n">
        <v>1513.22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  <c r="AA1151" s="7" t="inlineStr">
        <is>
          <t>6</t>
        </is>
      </c>
    </row>
    <row r="1152">
      <c r="A1152" s="3" t="inlineStr">
        <is>
          <t>MAT-30-011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Jack RJ45 Cat 6A</t>
        </is>
      </c>
      <c r="E1152" s="4" t="inlineStr"/>
      <c r="F1152" s="3" t="inlineStr">
        <is>
          <t>unidad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256.97</v>
      </c>
      <c r="L1152" s="6" t="n">
        <v>256.97</v>
      </c>
      <c r="M1152" s="6" t="n">
        <v>256.97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  <c r="AA1152" s="7" t="inlineStr">
        <is>
          <t>6A</t>
        </is>
      </c>
    </row>
    <row r="1153">
      <c r="A1153" s="3" t="inlineStr">
        <is>
          <t>MAT-30-012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Jack RJ45 Cat 6A blindado</t>
        </is>
      </c>
      <c r="E1153" s="4" t="inlineStr"/>
      <c r="F1153" s="3" t="inlineStr">
        <is>
          <t>unidad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337.87</v>
      </c>
      <c r="L1153" s="6" t="n">
        <v>275.76</v>
      </c>
      <c r="M1153" s="6" t="n">
        <v>439.42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  <c r="AA1153" s="7" t="inlineStr">
        <is>
          <t>6A</t>
        </is>
      </c>
      <c r="AH1153" s="4" t="inlineStr">
        <is>
          <t>Blindaje: blindado</t>
        </is>
      </c>
    </row>
    <row r="1154">
      <c r="A1154" s="3" t="inlineStr">
        <is>
          <t>MAT-30-013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Patch panel</t>
        </is>
      </c>
      <c r="E1154" s="4" t="inlineStr"/>
      <c r="F1154" s="3" t="inlineStr">
        <is>
          <t>unidad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1305.12</v>
      </c>
      <c r="L1154" s="6" t="n">
        <v>192.87</v>
      </c>
      <c r="M1154" s="6" t="n">
        <v>1396.76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MAT-30-014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Patch panel 24 puertos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5568.67</v>
      </c>
      <c r="L1155" s="6" t="n">
        <v>5568.67</v>
      </c>
      <c r="M1155" s="6" t="n">
        <v>5568.67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  <c r="AH1155" s="4" t="inlineStr">
        <is>
          <t>Puertos: 24</t>
        </is>
      </c>
    </row>
    <row r="1156">
      <c r="A1156" s="3" t="inlineStr">
        <is>
          <t>MAT-30-015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Patch panel 48 puertos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1782.28</v>
      </c>
      <c r="L1156" s="6" t="n">
        <v>1782.28</v>
      </c>
      <c r="M1156" s="6" t="n">
        <v>1782.28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  <c r="AH1156" s="4" t="inlineStr">
        <is>
          <t>Puertos: 48</t>
        </is>
      </c>
    </row>
    <row r="1157">
      <c r="A1157" s="3" t="inlineStr">
        <is>
          <t>MAT-30-016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Placa de pared para datos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102.17</v>
      </c>
      <c r="L1157" s="6" t="n">
        <v>77.06</v>
      </c>
      <c r="M1157" s="6" t="n">
        <v>612.77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MAT-30-017</t>
        </is>
      </c>
      <c r="B1158" s="3" t="inlineStr">
        <is>
          <t>Materiales</t>
        </is>
      </c>
      <c r="C1158" s="3" t="inlineStr">
        <is>
          <t>Cableado estructurado y redes</t>
        </is>
      </c>
      <c r="D1158" s="4" t="inlineStr">
        <is>
          <t>Placa de pared para datos 1 puertos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492.5</v>
      </c>
      <c r="L1158" s="6" t="n">
        <v>101.21</v>
      </c>
      <c r="M1158" s="6" t="n">
        <v>883.79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  <c r="AH1158" s="4" t="inlineStr">
        <is>
          <t>Puertos: 1</t>
        </is>
      </c>
    </row>
    <row r="1159">
      <c r="A1159" s="3" t="inlineStr">
        <is>
          <t>MAT-30-018</t>
        </is>
      </c>
      <c r="B1159" s="3" t="inlineStr">
        <is>
          <t>Materiales</t>
        </is>
      </c>
      <c r="C1159" s="3" t="inlineStr">
        <is>
          <t>Cableado estructurado y redes</t>
        </is>
      </c>
      <c r="D1159" s="4" t="inlineStr">
        <is>
          <t>Placa de pared para datos 2 puertos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492.5</v>
      </c>
      <c r="L1159" s="6" t="n">
        <v>101.21</v>
      </c>
      <c r="M1159" s="6" t="n">
        <v>883.79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AH1159" s="4" t="inlineStr">
        <is>
          <t>Puertos: 2</t>
        </is>
      </c>
    </row>
    <row r="1160">
      <c r="A1160" s="3" t="inlineStr">
        <is>
          <t>MAT-30-019</t>
        </is>
      </c>
      <c r="B1160" s="3" t="inlineStr">
        <is>
          <t>Materiales</t>
        </is>
      </c>
      <c r="C1160" s="3" t="inlineStr">
        <is>
          <t>Cableado estructurado y redes</t>
        </is>
      </c>
      <c r="D1160" s="4" t="inlineStr">
        <is>
          <t>Placa de pared para datos 3 puertos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1196.92</v>
      </c>
      <c r="L1160" s="6" t="n">
        <v>1196.92</v>
      </c>
      <c r="M1160" s="6" t="n">
        <v>1196.92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  <c r="AH1160" s="4" t="inlineStr">
        <is>
          <t>Puertos: 3</t>
        </is>
      </c>
    </row>
    <row r="1161">
      <c r="A1161" s="3" t="inlineStr">
        <is>
          <t>MAT-30-020</t>
        </is>
      </c>
      <c r="B1161" s="3" t="inlineStr">
        <is>
          <t>Materiales</t>
        </is>
      </c>
      <c r="C1161" s="3" t="inlineStr">
        <is>
          <t>Cableado estructurado y redes</t>
        </is>
      </c>
      <c r="D1161" s="4" t="inlineStr">
        <is>
          <t>Rack y accesorios de gabinete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1834.9</v>
      </c>
      <c r="L1161" s="6" t="n">
        <v>26.88</v>
      </c>
      <c r="M1161" s="6" t="n">
        <v>24364.91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MAT-30-021</t>
        </is>
      </c>
      <c r="B1162" s="3" t="inlineStr">
        <is>
          <t>Materiales</t>
        </is>
      </c>
      <c r="C1162" s="3" t="inlineStr">
        <is>
          <t>Cableado estructurado y redes</t>
        </is>
      </c>
      <c r="D1162" s="4" t="inlineStr">
        <is>
          <t>Equipo de red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4902.12</v>
      </c>
      <c r="L1162" s="6" t="n">
        <v>587.39</v>
      </c>
      <c r="M1162" s="6" t="n">
        <v>18998.93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MAT-30-022</t>
        </is>
      </c>
      <c r="B1163" s="3" t="inlineStr">
        <is>
          <t>Materiales</t>
        </is>
      </c>
      <c r="C1163" s="3" t="inlineStr">
        <is>
          <t>Cableado estructurado y redes</t>
        </is>
      </c>
      <c r="D1163" s="4" t="inlineStr">
        <is>
          <t>Equipo de red 24 puertos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16692.67</v>
      </c>
      <c r="L1163" s="6" t="n">
        <v>16692.67</v>
      </c>
      <c r="M1163" s="6" t="n">
        <v>16692.67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  <c r="AH1163" s="4" t="inlineStr">
        <is>
          <t>Puertos: 24</t>
        </is>
      </c>
    </row>
    <row r="1164">
      <c r="A1164" s="3" t="inlineStr">
        <is>
          <t>MAT-30-023</t>
        </is>
      </c>
      <c r="B1164" s="3" t="inlineStr">
        <is>
          <t>Materiales</t>
        </is>
      </c>
      <c r="C1164" s="3" t="inlineStr">
        <is>
          <t>Cableado estructurado y redes</t>
        </is>
      </c>
      <c r="D1164" s="4" t="inlineStr">
        <is>
          <t>Equipo de red 8 puertos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7097.73</v>
      </c>
      <c r="L1164" s="6" t="n">
        <v>500.98</v>
      </c>
      <c r="M1164" s="6" t="n">
        <v>13694.47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  <c r="AH1164" s="4" t="inlineStr">
        <is>
          <t>Puertos: 8</t>
        </is>
      </c>
    </row>
    <row r="1165">
      <c r="A1165" s="3" t="inlineStr">
        <is>
          <t>MAT-30-024</t>
        </is>
      </c>
      <c r="B1165" s="3" t="inlineStr">
        <is>
          <t>Materiales</t>
        </is>
      </c>
      <c r="C1165" s="3" t="inlineStr">
        <is>
          <t>Cableado estructurado y redes</t>
        </is>
      </c>
      <c r="D1165" s="4" t="inlineStr">
        <is>
          <t>Conector y accesorio de cableado</t>
        </is>
      </c>
      <c r="E1165" s="4" t="inlineStr"/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67.08</v>
      </c>
      <c r="L1165" s="6" t="n">
        <v>0.41</v>
      </c>
      <c r="M1165" s="6" t="n">
        <v>3491.49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MAT-30-025</t>
        </is>
      </c>
      <c r="B1166" s="3" t="inlineStr">
        <is>
          <t>Materiales</t>
        </is>
      </c>
      <c r="C1166" s="3" t="inlineStr">
        <is>
          <t>Cableado estructurado y redes</t>
        </is>
      </c>
      <c r="D1166" s="4" t="inlineStr">
        <is>
          <t>Parlante o amplificador de voceo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39743.82</v>
      </c>
      <c r="L1166" s="6" t="n">
        <v>104.5</v>
      </c>
      <c r="M1166" s="6" t="n">
        <v>62081.59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MAT-30-026</t>
        </is>
      </c>
      <c r="B1167" s="3" t="inlineStr">
        <is>
          <t>Materiales</t>
        </is>
      </c>
      <c r="C1167" s="3" t="inlineStr">
        <is>
          <t>Cableado estructurado y redes</t>
        </is>
      </c>
      <c r="D1167" s="4" t="inlineStr">
        <is>
          <t>Fuente de alimentación para sistemas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4801.16</v>
      </c>
      <c r="L1167" s="6" t="n">
        <v>1.21</v>
      </c>
      <c r="M1167" s="6" t="n">
        <v>9810.73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MAT-30-027</t>
        </is>
      </c>
      <c r="B1168" s="3" t="inlineStr">
        <is>
          <t>Materiales</t>
        </is>
      </c>
      <c r="C1168" s="3" t="inlineStr">
        <is>
          <t>Cableado estructurado y redes</t>
        </is>
      </c>
      <c r="D1168" s="4" t="inlineStr">
        <is>
          <t>Fuente de alimentación para sistemas 12 V</t>
        </is>
      </c>
      <c r="E1168" s="4" t="inlineStr"/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2813.06</v>
      </c>
      <c r="L1168" s="6" t="n">
        <v>1111.78</v>
      </c>
      <c r="M1168" s="6" t="n">
        <v>4514.34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  <c r="AH1168" s="4" t="inlineStr">
        <is>
          <t>Voltaje (V): 12 · Amperaje (A): 4</t>
        </is>
      </c>
    </row>
    <row r="1169">
      <c r="A1169" s="3" t="inlineStr">
        <is>
          <t>MAT-30-028</t>
        </is>
      </c>
      <c r="B1169" s="3" t="inlineStr">
        <is>
          <t>Materiales</t>
        </is>
      </c>
      <c r="C1169" s="3" t="inlineStr">
        <is>
          <t>Cableado estructurado y redes</t>
        </is>
      </c>
      <c r="D1169" s="4" t="inlineStr">
        <is>
          <t>Fuente de alimentación para sistemas 120 V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1031.86</v>
      </c>
      <c r="L1169" s="6" t="n">
        <v>906.34</v>
      </c>
      <c r="M1169" s="6" t="n">
        <v>1157.38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AH1169" s="4" t="inlineStr">
        <is>
          <t>Voltaje (V): 120</t>
        </is>
      </c>
    </row>
    <row r="1170">
      <c r="A1170" s="3" t="inlineStr">
        <is>
          <t>MAT-30-029</t>
        </is>
      </c>
      <c r="B1170" s="3" t="inlineStr">
        <is>
          <t>Materiales</t>
        </is>
      </c>
      <c r="C1170" s="3" t="inlineStr">
        <is>
          <t>Cableado estructurado y redes</t>
        </is>
      </c>
      <c r="D1170" s="4" t="inlineStr">
        <is>
          <t>Fuente de alimentación para sistemas 24 V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13861.06</v>
      </c>
      <c r="L1170" s="6" t="n">
        <v>11089.49</v>
      </c>
      <c r="M1170" s="6" t="n">
        <v>16632.64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AH1170" s="4" t="inlineStr">
        <is>
          <t>Voltaje (V): 24 · Amperaje (A): 8</t>
        </is>
      </c>
    </row>
    <row r="1171">
      <c r="A1171" s="3" t="inlineStr">
        <is>
          <t>MAT-30-030</t>
        </is>
      </c>
      <c r="B1171" s="3" t="inlineStr">
        <is>
          <t>Materiales</t>
        </is>
      </c>
      <c r="C1171" s="3" t="inlineStr">
        <is>
          <t>Cableado estructurado y redes</t>
        </is>
      </c>
      <c r="D1171" s="4" t="inlineStr">
        <is>
          <t>Fuente de alimentación para sistemas 275 V</t>
        </is>
      </c>
      <c r="E1171" s="4" t="inlineStr"/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28.95</v>
      </c>
      <c r="L1171" s="6" t="n">
        <v>28.95</v>
      </c>
      <c r="M1171" s="6" t="n">
        <v>28.95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  <c r="AH1171" s="4" t="inlineStr">
        <is>
          <t>Voltaje (V): 275</t>
        </is>
      </c>
    </row>
    <row r="1172">
      <c r="A1172" s="3" t="inlineStr">
        <is>
          <t>MAT-30-031</t>
        </is>
      </c>
      <c r="B1172" s="3" t="inlineStr">
        <is>
          <t>Materiales</t>
        </is>
      </c>
      <c r="C1172" s="3" t="inlineStr">
        <is>
          <t>Cableado estructurado y redes</t>
        </is>
      </c>
      <c r="D1172" s="4" t="inlineStr">
        <is>
          <t>Fuente de alimentación para sistemas 277 V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2150.5</v>
      </c>
      <c r="L1172" s="6" t="n">
        <v>2150.5</v>
      </c>
      <c r="M1172" s="6" t="n">
        <v>2150.5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  <c r="AH1172" s="4" t="inlineStr">
        <is>
          <t>Voltaje (V): 277</t>
        </is>
      </c>
    </row>
    <row r="1173">
      <c r="A1173" s="3" t="inlineStr">
        <is>
          <t>MAT-31-002</t>
        </is>
      </c>
      <c r="B1173" s="3" t="inlineStr">
        <is>
          <t>Materiales</t>
        </is>
      </c>
      <c r="C1173" s="3" t="inlineStr">
        <is>
          <t>Domótica e intercomunicadores</t>
        </is>
      </c>
      <c r="D1173" s="4" t="inlineStr">
        <is>
          <t>Interruptor inteligente</t>
        </is>
      </c>
      <c r="E1173" s="4" t="inlineStr">
        <is>
          <t>Necesita neutro en la caja</t>
        </is>
      </c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1630.25</v>
      </c>
      <c r="L1173" s="6" t="n">
        <v>101.11</v>
      </c>
      <c r="M1173" s="6" t="n">
        <v>7806.53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MAT-31-003</t>
        </is>
      </c>
      <c r="B1174" s="3" t="inlineStr">
        <is>
          <t>Materiales</t>
        </is>
      </c>
      <c r="C1174" s="3" t="inlineStr">
        <is>
          <t>Domótica e intercomunicadores</t>
        </is>
      </c>
      <c r="D1174" s="4" t="inlineStr">
        <is>
          <t>Interruptor inteligente 1 canales</t>
        </is>
      </c>
      <c r="E1174" s="4" t="inlineStr">
        <is>
          <t>Necesita neutro en la caja</t>
        </is>
      </c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1549.16</v>
      </c>
      <c r="L1174" s="6" t="n">
        <v>1089.61</v>
      </c>
      <c r="M1174" s="6" t="n">
        <v>2008.71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Z1174" s="7" t="n">
        <v>1</v>
      </c>
    </row>
    <row r="1175">
      <c r="A1175" s="3" t="inlineStr">
        <is>
          <t>MAT-31-004</t>
        </is>
      </c>
      <c r="B1175" s="3" t="inlineStr">
        <is>
          <t>Materiales</t>
        </is>
      </c>
      <c r="C1175" s="3" t="inlineStr">
        <is>
          <t>Domótica e intercomunicadores</t>
        </is>
      </c>
      <c r="D1175" s="4" t="inlineStr">
        <is>
          <t>Interruptor inteligente 1 canales con neutro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2892.27</v>
      </c>
      <c r="L1175" s="6" t="n">
        <v>2892.27</v>
      </c>
      <c r="M1175" s="6" t="n">
        <v>2892.27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  <c r="Z1175" s="7" t="n">
        <v>1</v>
      </c>
      <c r="AH1175" s="4" t="inlineStr">
        <is>
          <t>Neutro: con</t>
        </is>
      </c>
    </row>
    <row r="1176">
      <c r="A1176" s="3" t="inlineStr">
        <is>
          <t>MAT-31-005</t>
        </is>
      </c>
      <c r="B1176" s="3" t="inlineStr">
        <is>
          <t>Materiales</t>
        </is>
      </c>
      <c r="C1176" s="3" t="inlineStr">
        <is>
          <t>Domótica e intercomunicadores</t>
        </is>
      </c>
      <c r="D1176" s="4" t="inlineStr">
        <is>
          <t>Interruptor inteligente 1 canales sin neutro</t>
        </is>
      </c>
      <c r="E1176" s="4" t="inlineStr"/>
      <c r="F1176" s="3" t="inlineStr">
        <is>
          <t>unidad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2958.46</v>
      </c>
      <c r="L1176" s="6" t="n">
        <v>2958.46</v>
      </c>
      <c r="M1176" s="6" t="n">
        <v>2958.46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  <c r="Z1176" s="7" t="n">
        <v>1</v>
      </c>
      <c r="AH1176" s="4" t="inlineStr">
        <is>
          <t>Neutro: sin</t>
        </is>
      </c>
    </row>
    <row r="1177">
      <c r="A1177" s="3" t="inlineStr">
        <is>
          <t>MAT-31-006</t>
        </is>
      </c>
      <c r="B1177" s="3" t="inlineStr">
        <is>
          <t>Materiales</t>
        </is>
      </c>
      <c r="C1177" s="3" t="inlineStr">
        <is>
          <t>Domótica e intercomunicadores</t>
        </is>
      </c>
      <c r="D1177" s="4" t="inlineStr">
        <is>
          <t>Interruptor inteligente 2 canales</t>
        </is>
      </c>
      <c r="E1177" s="4" t="inlineStr">
        <is>
          <t>Necesita neutro en la caja</t>
        </is>
      </c>
      <c r="F1177" s="3" t="inlineStr">
        <is>
          <t>unidad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1632.51</v>
      </c>
      <c r="L1177" s="6" t="n">
        <v>1210.31</v>
      </c>
      <c r="M1177" s="6" t="n">
        <v>2054.7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  <c r="Z1177" s="7" t="n">
        <v>2</v>
      </c>
    </row>
    <row r="1178">
      <c r="A1178" s="3" t="inlineStr">
        <is>
          <t>MAT-31-007</t>
        </is>
      </c>
      <c r="B1178" s="3" t="inlineStr">
        <is>
          <t>Materiales</t>
        </is>
      </c>
      <c r="C1178" s="3" t="inlineStr">
        <is>
          <t>Domótica e intercomunicadores</t>
        </is>
      </c>
      <c r="D1178" s="4" t="inlineStr">
        <is>
          <t>Interruptor inteligente 2 canales con neutro</t>
        </is>
      </c>
      <c r="E1178" s="4" t="inlineStr"/>
      <c r="F1178" s="3" t="inlineStr">
        <is>
          <t>unidad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2743.31</v>
      </c>
      <c r="L1178" s="6" t="n">
        <v>2743.31</v>
      </c>
      <c r="M1178" s="6" t="n">
        <v>2743.31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  <c r="Z1178" s="7" t="n">
        <v>2</v>
      </c>
      <c r="AH1178" s="4" t="inlineStr">
        <is>
          <t>Neutro: con</t>
        </is>
      </c>
    </row>
    <row r="1179">
      <c r="A1179" s="3" t="inlineStr">
        <is>
          <t>MAT-31-008</t>
        </is>
      </c>
      <c r="B1179" s="3" t="inlineStr">
        <is>
          <t>Materiales</t>
        </is>
      </c>
      <c r="C1179" s="3" t="inlineStr">
        <is>
          <t>Domótica e intercomunicadores</t>
        </is>
      </c>
      <c r="D1179" s="4" t="inlineStr">
        <is>
          <t>Interruptor inteligente 2 canales sin neutro</t>
        </is>
      </c>
      <c r="E1179" s="4" t="inlineStr"/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2743.31</v>
      </c>
      <c r="L1179" s="6" t="n">
        <v>2743.31</v>
      </c>
      <c r="M1179" s="6" t="n">
        <v>2743.31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  <c r="Z1179" s="7" t="n">
        <v>2</v>
      </c>
      <c r="AH1179" s="4" t="inlineStr">
        <is>
          <t>Neutro: sin</t>
        </is>
      </c>
    </row>
    <row r="1180">
      <c r="A1180" s="3" t="inlineStr">
        <is>
          <t>MAT-31-009</t>
        </is>
      </c>
      <c r="B1180" s="3" t="inlineStr">
        <is>
          <t>Materiales</t>
        </is>
      </c>
      <c r="C1180" s="3" t="inlineStr">
        <is>
          <t>Domótica e intercomunicadores</t>
        </is>
      </c>
      <c r="D1180" s="4" t="inlineStr">
        <is>
          <t>Interruptor inteligente 3 canales</t>
        </is>
      </c>
      <c r="E1180" s="4" t="inlineStr">
        <is>
          <t>Necesita neutro en la caja</t>
        </is>
      </c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4577.22</v>
      </c>
      <c r="L1180" s="6" t="n">
        <v>1497.83</v>
      </c>
      <c r="M1180" s="6" t="n">
        <v>7656.61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  <c r="Z1180" s="7" t="n">
        <v>3</v>
      </c>
    </row>
    <row r="1181">
      <c r="A1181" s="3" t="inlineStr">
        <is>
          <t>MAT-31-010</t>
        </is>
      </c>
      <c r="B1181" s="3" t="inlineStr">
        <is>
          <t>Materiales</t>
        </is>
      </c>
      <c r="C1181" s="3" t="inlineStr">
        <is>
          <t>Domótica e intercomunicadores</t>
        </is>
      </c>
      <c r="D1181" s="4" t="inlineStr">
        <is>
          <t>Tomacorriente inteligente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2368.55</v>
      </c>
      <c r="L1181" s="6" t="n">
        <v>294.14</v>
      </c>
      <c r="M1181" s="6" t="n">
        <v>5359.63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MAT-31-011</t>
        </is>
      </c>
      <c r="B1182" s="3" t="inlineStr">
        <is>
          <t>Materiales</t>
        </is>
      </c>
      <c r="C1182" s="3" t="inlineStr">
        <is>
          <t>Domótica e intercomunicadores</t>
        </is>
      </c>
      <c r="D1182" s="4" t="inlineStr">
        <is>
          <t>Central de domótica</t>
        </is>
      </c>
      <c r="E1182" s="4" t="inlineStr"/>
      <c r="F1182" s="3" t="inlineStr">
        <is>
          <t>unidad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4457.57</v>
      </c>
      <c r="L1182" s="6" t="n">
        <v>1143.26</v>
      </c>
      <c r="M1182" s="6" t="n">
        <v>85380.83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MAT-31-012</t>
        </is>
      </c>
      <c r="B1183" s="3" t="inlineStr">
        <is>
          <t>Materiales</t>
        </is>
      </c>
      <c r="C1183" s="3" t="inlineStr">
        <is>
          <t>Domótica e intercomunicadores</t>
        </is>
      </c>
      <c r="D1183" s="4" t="inlineStr">
        <is>
          <t>Kit de intercomunicador 4 apartamentos con video</t>
        </is>
      </c>
      <c r="E1183" s="4" t="inlineStr"/>
      <c r="F1183" s="3" t="inlineStr">
        <is>
          <t>juego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32009.7</v>
      </c>
      <c r="L1183" s="6" t="n">
        <v>32009.7</v>
      </c>
      <c r="M1183" s="6" t="n">
        <v>32009.7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  <c r="AH1183" s="4" t="inlineStr">
        <is>
          <t>Apartamentos: 4 · Video: si</t>
        </is>
      </c>
    </row>
    <row r="1184">
      <c r="A1184" s="3" t="inlineStr">
        <is>
          <t>MAT-31-013</t>
        </is>
      </c>
      <c r="B1184" s="3" t="inlineStr">
        <is>
          <t>Materiales</t>
        </is>
      </c>
      <c r="C1184" s="3" t="inlineStr">
        <is>
          <t>Domótica e intercomunicadores</t>
        </is>
      </c>
      <c r="D1184" s="4" t="inlineStr">
        <is>
          <t>Kit de intercomunicador 6 apartamentos con video</t>
        </is>
      </c>
      <c r="E1184" s="4" t="inlineStr"/>
      <c r="F1184" s="3" t="inlineStr">
        <is>
          <t>juego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41504.58</v>
      </c>
      <c r="L1184" s="6" t="n">
        <v>41504.58</v>
      </c>
      <c r="M1184" s="6" t="n">
        <v>41504.58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  <c r="AH1184" s="4" t="inlineStr">
        <is>
          <t>Apartamentos: 6 · Video: si</t>
        </is>
      </c>
    </row>
    <row r="1185">
      <c r="A1185" s="3" t="inlineStr">
        <is>
          <t>MAT-31-014</t>
        </is>
      </c>
      <c r="B1185" s="3" t="inlineStr">
        <is>
          <t>Materiales</t>
        </is>
      </c>
      <c r="C1185" s="3" t="inlineStr">
        <is>
          <t>Domótica e intercomunicadores</t>
        </is>
      </c>
      <c r="D1185" s="4" t="inlineStr">
        <is>
          <t>Kit de intercomunicador 8 apartamentos solo audio</t>
        </is>
      </c>
      <c r="E1185" s="4" t="inlineStr"/>
      <c r="F1185" s="3" t="inlineStr">
        <is>
          <t>juego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16951.2</v>
      </c>
      <c r="L1185" s="6" t="n">
        <v>16951.2</v>
      </c>
      <c r="M1185" s="6" t="n">
        <v>16951.2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  <c r="AH1185" s="4" t="inlineStr">
        <is>
          <t>Apartamentos: 8 · Video: no</t>
        </is>
      </c>
    </row>
    <row r="1186">
      <c r="A1186" s="3" t="inlineStr">
        <is>
          <t>MAT-31-015</t>
        </is>
      </c>
      <c r="B1186" s="3" t="inlineStr">
        <is>
          <t>Materiales</t>
        </is>
      </c>
      <c r="C1186" s="3" t="inlineStr">
        <is>
          <t>Domótica e intercomunicadores</t>
        </is>
      </c>
      <c r="D1186" s="4" t="inlineStr">
        <is>
          <t>Kit de intercomunicador 8 apartamentos con video</t>
        </is>
      </c>
      <c r="E1186" s="4" t="inlineStr"/>
      <c r="F1186" s="3" t="inlineStr">
        <is>
          <t>juego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50715.2</v>
      </c>
      <c r="L1186" s="6" t="n">
        <v>50715.2</v>
      </c>
      <c r="M1186" s="6" t="n">
        <v>50715.2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  <c r="AH1186" s="4" t="inlineStr">
        <is>
          <t>Apartamentos: 8 · Video: si</t>
        </is>
      </c>
    </row>
    <row r="1187">
      <c r="A1187" s="3" t="inlineStr">
        <is>
          <t>MAT-31-016</t>
        </is>
      </c>
      <c r="B1187" s="3" t="inlineStr">
        <is>
          <t>Materiales</t>
        </is>
      </c>
      <c r="C1187" s="3" t="inlineStr">
        <is>
          <t>Domótica e intercomunicadores</t>
        </is>
      </c>
      <c r="D1187" s="4" t="inlineStr">
        <is>
          <t>Kit de intercomunicador con video</t>
        </is>
      </c>
      <c r="E1187" s="4" t="inlineStr"/>
      <c r="F1187" s="3" t="inlineStr">
        <is>
          <t>juego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12858.25</v>
      </c>
      <c r="L1187" s="6" t="n">
        <v>8802.870000000001</v>
      </c>
      <c r="M1187" s="6" t="n">
        <v>22538.2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  <c r="AH1187" s="4" t="inlineStr">
        <is>
          <t>Video: si</t>
        </is>
      </c>
    </row>
    <row r="1188">
      <c r="A1188" s="3" t="inlineStr">
        <is>
          <t>MAT-31-017</t>
        </is>
      </c>
      <c r="B1188" s="3" t="inlineStr">
        <is>
          <t>Materiales</t>
        </is>
      </c>
      <c r="C1188" s="3" t="inlineStr">
        <is>
          <t>Domótica e intercomunicadores</t>
        </is>
      </c>
      <c r="D1188" s="4" t="inlineStr">
        <is>
          <t>Estación de intercomunicador</t>
        </is>
      </c>
      <c r="E1188" s="4" t="inlineStr"/>
      <c r="F1188" s="3" t="inlineStr">
        <is>
          <t>unidad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9200.34</v>
      </c>
      <c r="L1188" s="6" t="n">
        <v>9200.34</v>
      </c>
      <c r="M1188" s="6" t="n">
        <v>9200.34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MAT-31-018</t>
        </is>
      </c>
      <c r="B1189" s="3" t="inlineStr">
        <is>
          <t>Materiales</t>
        </is>
      </c>
      <c r="C1189" s="3" t="inlineStr">
        <is>
          <t>Domótica e intercomunicadores</t>
        </is>
      </c>
      <c r="D1189" s="4" t="inlineStr">
        <is>
          <t>Estación de intercomunicador 7"</t>
        </is>
      </c>
      <c r="E1189" s="4" t="inlineStr"/>
      <c r="F1189" s="3" t="inlineStr">
        <is>
          <t>unidad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14861.01</v>
      </c>
      <c r="L1189" s="6" t="n">
        <v>14861.01</v>
      </c>
      <c r="M1189" s="6" t="n">
        <v>14861.01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  <c r="AH1189" s="4" t="inlineStr">
        <is>
          <t>Pulgadas: 7</t>
        </is>
      </c>
    </row>
    <row r="1190">
      <c r="A1190" s="3" t="inlineStr">
        <is>
          <t>MAT-31-019</t>
        </is>
      </c>
      <c r="B1190" s="3" t="inlineStr">
        <is>
          <t>Materiales</t>
        </is>
      </c>
      <c r="C1190" s="3" t="inlineStr">
        <is>
          <t>Domótica e intercomunicadores</t>
        </is>
      </c>
      <c r="D1190" s="4" t="inlineStr">
        <is>
          <t>Accesorio de intercomunicador</t>
        </is>
      </c>
      <c r="E1190" s="4" t="inlineStr"/>
      <c r="F1190" s="3" t="inlineStr">
        <is>
          <t>unidad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1765.47</v>
      </c>
      <c r="L1190" s="6" t="n">
        <v>305.08</v>
      </c>
      <c r="M1190" s="6" t="n">
        <v>11519.81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MAT-32-008</t>
        </is>
      </c>
      <c r="B1191" s="3" t="inlineStr">
        <is>
          <t>Materiales</t>
        </is>
      </c>
      <c r="C1191" s="3" t="inlineStr">
        <is>
          <t>Tubería y conexiones</t>
        </is>
      </c>
      <c r="D1191" s="4" t="inlineStr">
        <is>
          <t>Tubo PVC DRENAJE 3" x 19 pies</t>
        </is>
      </c>
      <c r="E1191" s="4" t="inlineStr"/>
      <c r="F1191" s="3" t="inlineStr">
        <is>
          <t>tubo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967</v>
      </c>
      <c r="L1191" s="6" t="n">
        <v>967</v>
      </c>
      <c r="M1191" s="6" t="n">
        <v>967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Cima</t>
        </is>
      </c>
      <c r="AB1191" s="7" t="n">
        <v>19</v>
      </c>
      <c r="AH1191" s="4" t="inlineStr">
        <is>
          <t>material: PVC · norma: DRENAJE · diametro: 3"</t>
        </is>
      </c>
    </row>
    <row r="1192">
      <c r="A1192" s="3" t="inlineStr">
        <is>
          <t>MAT-32-009</t>
        </is>
      </c>
      <c r="B1192" s="3" t="inlineStr">
        <is>
          <t>Materiales</t>
        </is>
      </c>
      <c r="C1192" s="3" t="inlineStr">
        <is>
          <t>Tubería y conexiones</t>
        </is>
      </c>
      <c r="D1192" s="4" t="inlineStr">
        <is>
          <t>Tubo PVC DRENAJE 4" x 19 pies</t>
        </is>
      </c>
      <c r="E1192" s="4" t="inlineStr"/>
      <c r="F1192" s="3" t="inlineStr">
        <is>
          <t>tubo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1001</v>
      </c>
      <c r="L1192" s="6" t="n">
        <v>1001</v>
      </c>
      <c r="M1192" s="6" t="n">
        <v>1001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Cima</t>
        </is>
      </c>
      <c r="AB1192" s="7" t="n">
        <v>19</v>
      </c>
      <c r="AH1192" s="4" t="inlineStr">
        <is>
          <t>material: PVC · norma: DRENAJE · diametro: 4"</t>
        </is>
      </c>
    </row>
    <row r="1193">
      <c r="A1193" s="3" t="inlineStr">
        <is>
          <t>MAT-32-010</t>
        </is>
      </c>
      <c r="B1193" s="3" t="inlineStr">
        <is>
          <t>Materiales</t>
        </is>
      </c>
      <c r="C1193" s="3" t="inlineStr">
        <is>
          <t>Tubería y conexiones</t>
        </is>
      </c>
      <c r="D1193" s="4" t="inlineStr">
        <is>
          <t>Tubo PVC SCH-40 1 1/2" x 19 pies</t>
        </is>
      </c>
      <c r="E1193" s="4" t="inlineStr"/>
      <c r="F1193" s="3" t="inlineStr">
        <is>
          <t>tubo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3</v>
      </c>
      <c r="K1193" s="6" t="n">
        <v>944</v>
      </c>
      <c r="L1193" s="6" t="n">
        <v>535</v>
      </c>
      <c r="M1193" s="6" t="n">
        <v>1059.64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Cima · Ferretería MC · Max Ferretería</t>
        </is>
      </c>
      <c r="AB1193" s="7" t="n">
        <v>19</v>
      </c>
      <c r="AH1193" s="4" t="inlineStr">
        <is>
          <t>material: PVC · norma: SCH-40 · diametro: 1 1/2"</t>
        </is>
      </c>
    </row>
    <row r="1194">
      <c r="A1194" s="3" t="inlineStr">
        <is>
          <t>MAT-32-011</t>
        </is>
      </c>
      <c r="B1194" s="3" t="inlineStr">
        <is>
          <t>Materiales</t>
        </is>
      </c>
      <c r="C1194" s="3" t="inlineStr">
        <is>
          <t>Tubería y conexiones</t>
        </is>
      </c>
      <c r="D1194" s="4" t="inlineStr">
        <is>
          <t>Tubo PVC SCH-40 1/2" x 19 pies</t>
        </is>
      </c>
      <c r="E1194" s="4" t="inlineStr"/>
      <c r="F1194" s="3" t="inlineStr">
        <is>
          <t>tubo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298.78</v>
      </c>
      <c r="L1194" s="6" t="n">
        <v>298.78</v>
      </c>
      <c r="M1194" s="6" t="n">
        <v>298.78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</t>
        </is>
      </c>
      <c r="AB1194" s="7" t="n">
        <v>19</v>
      </c>
      <c r="AH1194" s="4" t="inlineStr">
        <is>
          <t>material: PVC · norma: SCH-40 · diametro: 1/2"</t>
        </is>
      </c>
    </row>
    <row r="1195">
      <c r="A1195" s="3" t="inlineStr">
        <is>
          <t>MAT-32-012</t>
        </is>
      </c>
      <c r="B1195" s="3" t="inlineStr">
        <is>
          <t>Materiales</t>
        </is>
      </c>
      <c r="C1195" s="3" t="inlineStr">
        <is>
          <t>Tubería y conexiones</t>
        </is>
      </c>
      <c r="D1195" s="4" t="inlineStr">
        <is>
          <t>Tubo PVC SCH-40 1" x 19 pies</t>
        </is>
      </c>
      <c r="E1195" s="4" t="inlineStr"/>
      <c r="F1195" s="3" t="inlineStr">
        <is>
          <t>tubo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3</v>
      </c>
      <c r="K1195" s="6" t="n">
        <v>570</v>
      </c>
      <c r="L1195" s="6" t="n">
        <v>315</v>
      </c>
      <c r="M1195" s="6" t="n">
        <v>627.05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Cima · Ferretería MC · Max Ferretería</t>
        </is>
      </c>
      <c r="AB1195" s="7" t="n">
        <v>19</v>
      </c>
      <c r="AH1195" s="4" t="inlineStr">
        <is>
          <t>material: PVC · norma: SCH-40 · diametro: 1"</t>
        </is>
      </c>
    </row>
    <row r="1196">
      <c r="A1196" s="3" t="inlineStr">
        <is>
          <t>MAT-32-013</t>
        </is>
      </c>
      <c r="B1196" s="3" t="inlineStr">
        <is>
          <t>Materiales</t>
        </is>
      </c>
      <c r="C1196" s="3" t="inlineStr">
        <is>
          <t>Tubería y conexiones</t>
        </is>
      </c>
      <c r="D1196" s="4" t="inlineStr">
        <is>
          <t>Tubo PVC SCH-40 2" x 19 pies</t>
        </is>
      </c>
      <c r="E1196" s="4" t="inlineStr"/>
      <c r="F1196" s="3" t="inlineStr">
        <is>
          <t>tubo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2</v>
      </c>
      <c r="K1196" s="6" t="n">
        <v>1084.98</v>
      </c>
      <c r="L1196" s="6" t="n">
        <v>745</v>
      </c>
      <c r="M1196" s="6" t="n">
        <v>1424.97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MC · Max Ferretería</t>
        </is>
      </c>
      <c r="AB1196" s="7" t="n">
        <v>19</v>
      </c>
      <c r="AH1196" s="4" t="inlineStr">
        <is>
          <t>material: PVC · norma: SCH-40 · diametro: 2"</t>
        </is>
      </c>
    </row>
    <row r="1197">
      <c r="A1197" s="3" t="inlineStr">
        <is>
          <t>MAT-32-014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SCH-40 3/4"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3</v>
      </c>
      <c r="K1197" s="6" t="n">
        <v>388</v>
      </c>
      <c r="L1197" s="6" t="n">
        <v>235</v>
      </c>
      <c r="M1197" s="6" t="n">
        <v>423.5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 · Ferretería MC · Max Ferretería</t>
        </is>
      </c>
      <c r="AB1197" s="7" t="n">
        <v>19</v>
      </c>
      <c r="AH1197" s="4" t="inlineStr">
        <is>
          <t>material: PVC · norma: SCH-40 · diametro: 3/4"</t>
        </is>
      </c>
    </row>
    <row r="1198">
      <c r="A1198" s="3" t="inlineStr">
        <is>
          <t>MAT-32-015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SCH-40 3"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2958.38</v>
      </c>
      <c r="L1198" s="6" t="n">
        <v>2958.38</v>
      </c>
      <c r="M1198" s="6" t="n">
        <v>2958.38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</t>
        </is>
      </c>
      <c r="AB1198" s="7" t="n">
        <v>19</v>
      </c>
      <c r="AH1198" s="4" t="inlineStr">
        <is>
          <t>material: PVC · norma: SCH-40 · diametro: 3"</t>
        </is>
      </c>
    </row>
    <row r="1199">
      <c r="A1199" s="3" t="inlineStr">
        <is>
          <t>MAT-32-016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SCH-40 4"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4213.9</v>
      </c>
      <c r="L1199" s="6" t="n">
        <v>4213.9</v>
      </c>
      <c r="M1199" s="6" t="n">
        <v>4213.9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</t>
        </is>
      </c>
      <c r="AB1199" s="7" t="n">
        <v>19</v>
      </c>
      <c r="AH1199" s="4" t="inlineStr">
        <is>
          <t>material: PVC · norma: SCH-40 · diametro: 4"</t>
        </is>
      </c>
    </row>
    <row r="1200">
      <c r="A1200" s="3" t="inlineStr">
        <is>
          <t>MAT-32-017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SCH-40 6"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8151.2</v>
      </c>
      <c r="L1200" s="6" t="n">
        <v>8151.2</v>
      </c>
      <c r="M1200" s="6" t="n">
        <v>8151.2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B1200" s="7" t="n">
        <v>19</v>
      </c>
      <c r="AH1200" s="4" t="inlineStr">
        <is>
          <t>material: PVC · norma: SCH-40 · diametro: 6"</t>
        </is>
      </c>
    </row>
    <row r="1201">
      <c r="A1201" s="3" t="inlineStr">
        <is>
          <t>MAT-32-018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SCH-40 8"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12241.67</v>
      </c>
      <c r="L1201" s="6" t="n">
        <v>12241.67</v>
      </c>
      <c r="M1201" s="6" t="n">
        <v>12241.67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</t>
        </is>
      </c>
      <c r="AB1201" s="7" t="n">
        <v>19</v>
      </c>
      <c r="AH1201" s="4" t="inlineStr">
        <is>
          <t>material: PVC · norma: SCH-40 · diametro: 8"</t>
        </is>
      </c>
    </row>
    <row r="1202">
      <c r="A1202" s="3" t="inlineStr">
        <is>
          <t>MAT-32-019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Tubo PVC SDR-26 1 1/2" x 19 pies</t>
        </is>
      </c>
      <c r="E1202" s="4" t="inlineStr"/>
      <c r="F1202" s="3" t="inlineStr">
        <is>
          <t>tubo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585.99</v>
      </c>
      <c r="L1202" s="6" t="n">
        <v>585.99</v>
      </c>
      <c r="M1202" s="6" t="n">
        <v>585.99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</t>
        </is>
      </c>
      <c r="AB1202" s="7" t="n">
        <v>19</v>
      </c>
      <c r="AH1202" s="4" t="inlineStr">
        <is>
          <t>material: PVC · norma: SDR-26 · diametro: 1 1/2"</t>
        </is>
      </c>
    </row>
    <row r="1203">
      <c r="A1203" s="3" t="inlineStr">
        <is>
          <t>MAT-32-020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Tubo PVC SDR-26 1/2" x 19 pies</t>
        </is>
      </c>
      <c r="E1203" s="4" t="inlineStr"/>
      <c r="F1203" s="3" t="inlineStr">
        <is>
          <t>tubo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124.44</v>
      </c>
      <c r="L1203" s="6" t="n">
        <v>113.88</v>
      </c>
      <c r="M1203" s="6" t="n">
        <v>135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 · Ferretería MC</t>
        </is>
      </c>
      <c r="AB1203" s="7" t="n">
        <v>19</v>
      </c>
      <c r="AH1203" s="4" t="inlineStr">
        <is>
          <t>material: PVC · norma: SDR-26 · diametro: 1/2"</t>
        </is>
      </c>
    </row>
    <row r="1204">
      <c r="A1204" s="3" t="inlineStr">
        <is>
          <t>MAT-32-021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Tubo PVC SDR-26 1" x 19 pies</t>
        </is>
      </c>
      <c r="E1204" s="4" t="inlineStr"/>
      <c r="F1204" s="3" t="inlineStr">
        <is>
          <t>tubo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2</v>
      </c>
      <c r="K1204" s="6" t="n">
        <v>299.53</v>
      </c>
      <c r="L1204" s="6" t="n">
        <v>294.06</v>
      </c>
      <c r="M1204" s="6" t="n">
        <v>305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Cima · Ferretería MC</t>
        </is>
      </c>
      <c r="AB1204" s="7" t="n">
        <v>19</v>
      </c>
      <c r="AH1204" s="4" t="inlineStr">
        <is>
          <t>material: PVC · norma: SDR-26 · diametro: 1"</t>
        </is>
      </c>
    </row>
    <row r="1205">
      <c r="A1205" s="3" t="inlineStr">
        <is>
          <t>MAT-32-022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Tubo PVC SDR-26 2" x 19 pies</t>
        </is>
      </c>
      <c r="E1205" s="4" t="inlineStr"/>
      <c r="F1205" s="3" t="inlineStr">
        <is>
          <t>tubo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913.3200000000001</v>
      </c>
      <c r="L1205" s="6" t="n">
        <v>913.3200000000001</v>
      </c>
      <c r="M1205" s="6" t="n">
        <v>913.3200000000001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</t>
        </is>
      </c>
      <c r="AB1205" s="7" t="n">
        <v>19</v>
      </c>
      <c r="AH1205" s="4" t="inlineStr">
        <is>
          <t>material: PVC · norma: SDR-26 · diametro: 2"</t>
        </is>
      </c>
    </row>
    <row r="1206">
      <c r="A1206" s="3" t="inlineStr">
        <is>
          <t>MAT-32-023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Tubo PVC SDR-26 3/4" x 19 pies</t>
        </is>
      </c>
      <c r="E1206" s="4" t="inlineStr"/>
      <c r="F1206" s="3" t="inlineStr">
        <is>
          <t>tubo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3</v>
      </c>
      <c r="K1206" s="6" t="n">
        <v>175</v>
      </c>
      <c r="L1206" s="6" t="n">
        <v>90</v>
      </c>
      <c r="M1206" s="6" t="n">
        <v>181.13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Cima · Ferretería MC · Max Ferretería</t>
        </is>
      </c>
      <c r="AB1206" s="7" t="n">
        <v>19</v>
      </c>
      <c r="AH1206" s="4" t="inlineStr">
        <is>
          <t>material: PVC · norma: SDR-26 · diametro: 3/4"</t>
        </is>
      </c>
    </row>
    <row r="1207">
      <c r="A1207" s="3" t="inlineStr">
        <is>
          <t>MAT-32-024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Tubo PVC SDR-26 3" x 19 pies</t>
        </is>
      </c>
      <c r="E1207" s="4" t="inlineStr"/>
      <c r="F1207" s="3" t="inlineStr">
        <is>
          <t>tubo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2085.05</v>
      </c>
      <c r="L1207" s="6" t="n">
        <v>1998.09</v>
      </c>
      <c r="M1207" s="6" t="n">
        <v>2172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Cima · Ferretería MC</t>
        </is>
      </c>
      <c r="AB1207" s="7" t="n">
        <v>19</v>
      </c>
      <c r="AH1207" s="4" t="inlineStr">
        <is>
          <t>material: PVC · norma: SDR-26 · diametro: 3"</t>
        </is>
      </c>
    </row>
    <row r="1208">
      <c r="A1208" s="3" t="inlineStr">
        <is>
          <t>MAT-32-025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Tubo PVC SDR-26 4" x 19 pies</t>
        </is>
      </c>
      <c r="E1208" s="4" t="inlineStr"/>
      <c r="F1208" s="3" t="inlineStr">
        <is>
          <t>tubo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3281.58</v>
      </c>
      <c r="L1208" s="6" t="n">
        <v>3281.58</v>
      </c>
      <c r="M1208" s="6" t="n">
        <v>3281.58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</t>
        </is>
      </c>
      <c r="AB1208" s="7" t="n">
        <v>19</v>
      </c>
      <c r="AH1208" s="4" t="inlineStr">
        <is>
          <t>material: PVC · norma: SDR-26 · diametro: 4"</t>
        </is>
      </c>
    </row>
    <row r="1209">
      <c r="A1209" s="3" t="inlineStr">
        <is>
          <t>MAT-32-026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Tubo PVC SDR-26 6" x 19 pies</t>
        </is>
      </c>
      <c r="E1209" s="4" t="inlineStr"/>
      <c r="F1209" s="3" t="inlineStr">
        <is>
          <t>tubo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1</v>
      </c>
      <c r="K1209" s="6" t="n">
        <v>7116.58</v>
      </c>
      <c r="L1209" s="6" t="n">
        <v>7116.58</v>
      </c>
      <c r="M1209" s="6" t="n">
        <v>7116.58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</t>
        </is>
      </c>
      <c r="AB1209" s="7" t="n">
        <v>19</v>
      </c>
      <c r="AH1209" s="4" t="inlineStr">
        <is>
          <t>material: PVC · norma: SDR-26 · diametro: 6"</t>
        </is>
      </c>
    </row>
    <row r="1210">
      <c r="A1210" s="3" t="inlineStr">
        <is>
          <t>MAT-32-027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Tubo PVC SDR-26 8" x 19 pies</t>
        </is>
      </c>
      <c r="E1210" s="4" t="inlineStr"/>
      <c r="F1210" s="3" t="inlineStr">
        <is>
          <t>tubo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11144.96</v>
      </c>
      <c r="L1210" s="6" t="n">
        <v>10360</v>
      </c>
      <c r="M1210" s="6" t="n">
        <v>11929.92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Max Ferretería</t>
        </is>
      </c>
      <c r="AB1210" s="7" t="n">
        <v>19</v>
      </c>
      <c r="AH1210" s="4" t="inlineStr">
        <is>
          <t>material: PVC · norma: SDR-26 · diametro: 8"</t>
        </is>
      </c>
    </row>
    <row r="1211">
      <c r="A1211" s="3" t="inlineStr">
        <is>
          <t>MAT-32-028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Tubo PVC SDR-41 1 1/2" x 19 pies</t>
        </is>
      </c>
      <c r="E1211" s="4" t="inlineStr"/>
      <c r="F1211" s="3" t="inlineStr">
        <is>
          <t>tubo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425.8</v>
      </c>
      <c r="L1211" s="6" t="n">
        <v>398.6</v>
      </c>
      <c r="M1211" s="6" t="n">
        <v>453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Cima · Ferretería MC</t>
        </is>
      </c>
      <c r="AB1211" s="7" t="n">
        <v>19</v>
      </c>
      <c r="AH1211" s="4" t="inlineStr">
        <is>
          <t>material: PVC · norma: SDR-41 · diametro: 1 1/2"</t>
        </is>
      </c>
    </row>
    <row r="1212">
      <c r="A1212" s="3" t="inlineStr">
        <is>
          <t>MAT-32-029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Tubo PVC SDR-41 2" x 19 pies</t>
        </is>
      </c>
      <c r="E1212" s="4" t="inlineStr"/>
      <c r="F1212" s="3" t="inlineStr">
        <is>
          <t>tubo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586.34</v>
      </c>
      <c r="L1212" s="6" t="n">
        <v>586.34</v>
      </c>
      <c r="M1212" s="6" t="n">
        <v>586.34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</t>
        </is>
      </c>
      <c r="AB1212" s="7" t="n">
        <v>19</v>
      </c>
      <c r="AH1212" s="4" t="inlineStr">
        <is>
          <t>material: PVC · norma: SDR-41 · diametro: 2"</t>
        </is>
      </c>
    </row>
    <row r="1213">
      <c r="A1213" s="3" t="inlineStr">
        <is>
          <t>MAT-32-030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Tubo PVC SDR-41 3" x 19 pies</t>
        </is>
      </c>
      <c r="E1213" s="4" t="inlineStr"/>
      <c r="F1213" s="3" t="inlineStr">
        <is>
          <t>tubo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3</v>
      </c>
      <c r="K1213" s="6" t="n">
        <v>1083.83</v>
      </c>
      <c r="L1213" s="6" t="n">
        <v>670</v>
      </c>
      <c r="M1213" s="6" t="n">
        <v>1150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 · Ferretería MC · Max Ferretería</t>
        </is>
      </c>
      <c r="AB1213" s="7" t="n">
        <v>19</v>
      </c>
      <c r="AH1213" s="4" t="inlineStr">
        <is>
          <t>material: PVC · norma: SDR-41 · diametro: 3"</t>
        </is>
      </c>
    </row>
    <row r="1214">
      <c r="A1214" s="3" t="inlineStr">
        <is>
          <t>MAT-32-031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Tubo PVC SDR-41 4" x 19 pies</t>
        </is>
      </c>
      <c r="E1214" s="4" t="inlineStr"/>
      <c r="F1214" s="3" t="inlineStr">
        <is>
          <t>tubo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1801.86</v>
      </c>
      <c r="L1214" s="6" t="n">
        <v>1801.86</v>
      </c>
      <c r="M1214" s="6" t="n">
        <v>1801.86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MC</t>
        </is>
      </c>
      <c r="AB1214" s="7" t="n">
        <v>19</v>
      </c>
      <c r="AH1214" s="4" t="inlineStr">
        <is>
          <t>material: PVC · norma: SDR-41 · diametro: 4"</t>
        </is>
      </c>
    </row>
    <row r="1215">
      <c r="A1215" s="3" t="inlineStr">
        <is>
          <t>MAT-32-032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Tubo PVC SDR-41 6" x 19 pies</t>
        </is>
      </c>
      <c r="E1215" s="4" t="inlineStr"/>
      <c r="F1215" s="3" t="inlineStr">
        <is>
          <t>tubo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5099.96</v>
      </c>
      <c r="L1215" s="6" t="n">
        <v>5099.96</v>
      </c>
      <c r="M1215" s="6" t="n">
        <v>5099.96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MC</t>
        </is>
      </c>
      <c r="AB1215" s="7" t="n">
        <v>19</v>
      </c>
      <c r="AH1215" s="4" t="inlineStr">
        <is>
          <t>material: PVC · norma: SDR-41 · diametro: 6"</t>
        </is>
      </c>
    </row>
    <row r="1216">
      <c r="A1216" s="3" t="inlineStr">
        <is>
          <t>MAT-32-033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Tubo PVC SDR-41 8" x 19 pies</t>
        </is>
      </c>
      <c r="E1216" s="4" t="inlineStr"/>
      <c r="F1216" s="3" t="inlineStr">
        <is>
          <t>tubo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2</v>
      </c>
      <c r="K1216" s="6" t="n">
        <v>6375.33</v>
      </c>
      <c r="L1216" s="6" t="n">
        <v>4819.99</v>
      </c>
      <c r="M1216" s="6" t="n">
        <v>7930.66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MC · Max Ferretería</t>
        </is>
      </c>
      <c r="AB1216" s="7" t="n">
        <v>19</v>
      </c>
      <c r="AH1216" s="4" t="inlineStr">
        <is>
          <t>material: PVC · norma: SDR-41 · diametro: 8"</t>
        </is>
      </c>
    </row>
    <row r="1217">
      <c r="A1217" s="3" t="inlineStr">
        <is>
          <t>MAT-32-034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Abrazadera de manguera 1 1/2"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53</v>
      </c>
      <c r="L1217" s="6" t="n">
        <v>39</v>
      </c>
      <c r="M1217" s="6" t="n">
        <v>67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</t>
        </is>
      </c>
      <c r="AH1217" s="4" t="inlineStr">
        <is>
          <t>tipo: abrazadera · material: manguera · medida: 1 1/2"</t>
        </is>
      </c>
    </row>
    <row r="1218">
      <c r="A1218" s="3" t="inlineStr">
        <is>
          <t>MAT-32-035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Abrazadera de manguera 1/2"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53</v>
      </c>
      <c r="L1218" s="6" t="n">
        <v>53</v>
      </c>
      <c r="M1218" s="6" t="n">
        <v>53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Cima</t>
        </is>
      </c>
      <c r="AH1218" s="4" t="inlineStr">
        <is>
          <t>tipo: abrazadera · material: manguera · medida: 1/2"</t>
        </is>
      </c>
    </row>
    <row r="1219">
      <c r="A1219" s="3" t="inlineStr">
        <is>
          <t>MAT-32-036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Abrazadera de manguera 1"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56</v>
      </c>
      <c r="L1219" s="6" t="n">
        <v>56</v>
      </c>
      <c r="M1219" s="6" t="n">
        <v>56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</t>
        </is>
      </c>
      <c r="AH1219" s="4" t="inlineStr">
        <is>
          <t>tipo: abrazadera · material: manguera · medida: 1"</t>
        </is>
      </c>
    </row>
    <row r="1220">
      <c r="A1220" s="3" t="inlineStr">
        <is>
          <t>MAT-32-037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Abrazadera de manguera 2"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68</v>
      </c>
      <c r="L1220" s="6" t="n">
        <v>68</v>
      </c>
      <c r="M1220" s="6" t="n">
        <v>68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Cima</t>
        </is>
      </c>
      <c r="AH1220" s="4" t="inlineStr">
        <is>
          <t>tipo: abrazadera · material: manguera · medida: 2"</t>
        </is>
      </c>
    </row>
    <row r="1221">
      <c r="A1221" s="3" t="inlineStr">
        <is>
          <t>MAT-32-038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Abrazadera de manguera 3/4"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65</v>
      </c>
      <c r="L1221" s="6" t="n">
        <v>65</v>
      </c>
      <c r="M1221" s="6" t="n">
        <v>65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Cima</t>
        </is>
      </c>
      <c r="AH1221" s="4" t="inlineStr">
        <is>
          <t>tipo: abrazadera · material: manguera · medida: 3/4"</t>
        </is>
      </c>
    </row>
    <row r="1222">
      <c r="A1222" s="3" t="inlineStr">
        <is>
          <t>MAT-32-039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Adaptador hembra de PPR 20 mm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172</v>
      </c>
      <c r="L1222" s="6" t="n">
        <v>172</v>
      </c>
      <c r="M1222" s="6" t="n">
        <v>172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</t>
        </is>
      </c>
      <c r="AH1222" s="4" t="inlineStr">
        <is>
          <t>tipo: adaptador-hembra · material: PPR · medida: 20 mm</t>
        </is>
      </c>
    </row>
    <row r="1223">
      <c r="A1223" s="3" t="inlineStr">
        <is>
          <t>MAT-32-040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Adaptador hembra de PVC 1 1/2"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75</v>
      </c>
      <c r="L1223" s="6" t="n">
        <v>75</v>
      </c>
      <c r="M1223" s="6" t="n">
        <v>75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H1223" s="4" t="inlineStr">
        <is>
          <t>tipo: adaptador-hembra · material: PVC · medida: 1 1/2"</t>
        </is>
      </c>
    </row>
    <row r="1224">
      <c r="A1224" s="3" t="inlineStr">
        <is>
          <t>MAT-32-041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Adaptador hembra de PVC 1/2"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20</v>
      </c>
      <c r="L1224" s="6" t="n">
        <v>20</v>
      </c>
      <c r="M1224" s="6" t="n">
        <v>20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H1224" s="4" t="inlineStr">
        <is>
          <t>tipo: adaptador-hembra · material: PVC · medida: 1/2"</t>
        </is>
      </c>
    </row>
    <row r="1225">
      <c r="A1225" s="3" t="inlineStr">
        <is>
          <t>MAT-32-042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Adaptador hembra de PVC 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45</v>
      </c>
      <c r="L1225" s="6" t="n">
        <v>45</v>
      </c>
      <c r="M1225" s="6" t="n">
        <v>45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H1225" s="4" t="inlineStr">
        <is>
          <t>tipo: adaptador-hembra · material: PVC · medida: 1"</t>
        </is>
      </c>
    </row>
    <row r="1226">
      <c r="A1226" s="3" t="inlineStr">
        <is>
          <t>MAT-32-043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Adaptador hembra de PVC 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130</v>
      </c>
      <c r="L1226" s="6" t="n">
        <v>130</v>
      </c>
      <c r="M1226" s="6" t="n">
        <v>130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H1226" s="4" t="inlineStr">
        <is>
          <t>tipo: adaptador-hembra · material: PVC · medida: 2"</t>
        </is>
      </c>
    </row>
    <row r="1227">
      <c r="A1227" s="3" t="inlineStr">
        <is>
          <t>MAT-32-044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Adaptador hembra de PVC 3/4"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26</v>
      </c>
      <c r="L1227" s="6" t="n">
        <v>26</v>
      </c>
      <c r="M1227" s="6" t="n">
        <v>26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H1227" s="4" t="inlineStr">
        <is>
          <t>tipo: adaptador-hembra · material: PVC · medida: 3/4"</t>
        </is>
      </c>
    </row>
    <row r="1228">
      <c r="A1228" s="3" t="inlineStr">
        <is>
          <t>MAT-32-045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Adaptador hembra de PVC 3"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177</v>
      </c>
      <c r="L1228" s="6" t="n">
        <v>177</v>
      </c>
      <c r="M1228" s="6" t="n">
        <v>177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H1228" s="4" t="inlineStr">
        <is>
          <t>tipo: adaptador-hembra · material: PVC · medida: 3"</t>
        </is>
      </c>
    </row>
    <row r="1229">
      <c r="A1229" s="3" t="inlineStr">
        <is>
          <t>MAT-32-046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Adaptador hembra de PVC 4"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172</v>
      </c>
      <c r="L1229" s="6" t="n">
        <v>172</v>
      </c>
      <c r="M1229" s="6" t="n">
        <v>172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H1229" s="4" t="inlineStr">
        <is>
          <t>tipo: adaptador-hembra · material: PVC · medida: 4"</t>
        </is>
      </c>
    </row>
    <row r="1230">
      <c r="A1230" s="3" t="inlineStr">
        <is>
          <t>MAT-32-047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Adaptador macho de PPR 20 mm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196.5</v>
      </c>
      <c r="L1230" s="6" t="n">
        <v>188</v>
      </c>
      <c r="M1230" s="6" t="n">
        <v>205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H1230" s="4" t="inlineStr">
        <is>
          <t>tipo: adaptador-macho · material: PPR · medida: 20 mm</t>
        </is>
      </c>
    </row>
    <row r="1231">
      <c r="A1231" s="3" t="inlineStr">
        <is>
          <t>MAT-32-048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Adaptador macho de PPR 25 mm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253</v>
      </c>
      <c r="L1231" s="6" t="n">
        <v>253</v>
      </c>
      <c r="M1231" s="6" t="n">
        <v>253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H1231" s="4" t="inlineStr">
        <is>
          <t>tipo: adaptador-macho · material: PPR · medida: 25 mm</t>
        </is>
      </c>
    </row>
    <row r="1232">
      <c r="A1232" s="3" t="inlineStr">
        <is>
          <t>MAT-32-049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Adaptador macho de PVC 1 1/2"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95</v>
      </c>
      <c r="L1232" s="6" t="n">
        <v>95</v>
      </c>
      <c r="M1232" s="6" t="n">
        <v>95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H1232" s="4" t="inlineStr">
        <is>
          <t>tipo: adaptador-macho · material: PVC · medida: 1 1/2"</t>
        </is>
      </c>
    </row>
    <row r="1233">
      <c r="A1233" s="3" t="inlineStr">
        <is>
          <t>MAT-32-050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Adaptador macho de PVC 1/2"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26</v>
      </c>
      <c r="L1233" s="6" t="n">
        <v>26</v>
      </c>
      <c r="M1233" s="6" t="n">
        <v>26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H1233" s="4" t="inlineStr">
        <is>
          <t>tipo: adaptador-macho · material: PVC · medida: 1/2"</t>
        </is>
      </c>
    </row>
    <row r="1234">
      <c r="A1234" s="3" t="inlineStr">
        <is>
          <t>MAT-32-051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Adaptador macho de PVC 1"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40</v>
      </c>
      <c r="L1234" s="6" t="n">
        <v>40</v>
      </c>
      <c r="M1234" s="6" t="n">
        <v>40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H1234" s="4" t="inlineStr">
        <is>
          <t>tipo: adaptador-macho · material: PVC · medida: 1"</t>
        </is>
      </c>
    </row>
    <row r="1235">
      <c r="A1235" s="3" t="inlineStr">
        <is>
          <t>MAT-32-052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Adaptador macho de PVC 2"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105</v>
      </c>
      <c r="L1235" s="6" t="n">
        <v>105</v>
      </c>
      <c r="M1235" s="6" t="n">
        <v>105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H1235" s="4" t="inlineStr">
        <is>
          <t>tipo: adaptador-macho · material: PVC · medida: 2"</t>
        </is>
      </c>
    </row>
    <row r="1236">
      <c r="A1236" s="3" t="inlineStr">
        <is>
          <t>MAT-32-053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Adaptador macho de PVC 3/4"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26</v>
      </c>
      <c r="L1236" s="6" t="n">
        <v>26</v>
      </c>
      <c r="M1236" s="6" t="n">
        <v>26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H1236" s="4" t="inlineStr">
        <is>
          <t>tipo: adaptador-macho · material: PVC · medida: 3/4"</t>
        </is>
      </c>
    </row>
    <row r="1237">
      <c r="A1237" s="3" t="inlineStr">
        <is>
          <t>MAT-32-054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Adaptador macho de PVC 3"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271</v>
      </c>
      <c r="L1237" s="6" t="n">
        <v>271</v>
      </c>
      <c r="M1237" s="6" t="n">
        <v>271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H1237" s="4" t="inlineStr">
        <is>
          <t>tipo: adaptador-macho · material: PVC · medida: 3"</t>
        </is>
      </c>
    </row>
    <row r="1238">
      <c r="A1238" s="3" t="inlineStr">
        <is>
          <t>MAT-32-055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Adaptador macho de PVC 4"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291</v>
      </c>
      <c r="L1238" s="6" t="n">
        <v>291</v>
      </c>
      <c r="M1238" s="6" t="n">
        <v>291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H1238" s="4" t="inlineStr">
        <is>
          <t>tipo: adaptador-macho · material: PVC · medida: 4"</t>
        </is>
      </c>
    </row>
    <row r="1239">
      <c r="A1239" s="3" t="inlineStr">
        <is>
          <t>MAT-32-056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Anilla de cobre 0.19"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31</v>
      </c>
      <c r="L1239" s="6" t="n">
        <v>31</v>
      </c>
      <c r="M1239" s="6" t="n">
        <v>31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H1239" s="4" t="inlineStr">
        <is>
          <t>tipo: anilla · material: cobre · medida: 0.19"</t>
        </is>
      </c>
    </row>
    <row r="1240">
      <c r="A1240" s="3" t="inlineStr">
        <is>
          <t>MAT-32-057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Anilla de cobre 0.31"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19</v>
      </c>
      <c r="L1240" s="6" t="n">
        <v>19</v>
      </c>
      <c r="M1240" s="6" t="n">
        <v>19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H1240" s="4" t="inlineStr">
        <is>
          <t>tipo: anilla · material: cobre · medida: 0.31"</t>
        </is>
      </c>
    </row>
    <row r="1241">
      <c r="A1241" s="3" t="inlineStr">
        <is>
          <t>MAT-32-058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Anilla de cobre 1/2"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32</v>
      </c>
      <c r="L1241" s="6" t="n">
        <v>32</v>
      </c>
      <c r="M1241" s="6" t="n">
        <v>32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H1241" s="4" t="inlineStr">
        <is>
          <t>tipo: anilla · material: cobre · medida: 1/2"</t>
        </is>
      </c>
    </row>
    <row r="1242">
      <c r="A1242" s="3" t="inlineStr">
        <is>
          <t>MAT-32-059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Anilla de cobre 1/4"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31</v>
      </c>
      <c r="L1242" s="6" t="n">
        <v>31</v>
      </c>
      <c r="M1242" s="6" t="n">
        <v>31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H1242" s="4" t="inlineStr">
        <is>
          <t>tipo: anilla · material: cobre · medida: 1/4"</t>
        </is>
      </c>
    </row>
    <row r="1243">
      <c r="A1243" s="3" t="inlineStr">
        <is>
          <t>MAT-32-060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Anilla de cobre 3/8"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31</v>
      </c>
      <c r="L1243" s="6" t="n">
        <v>31</v>
      </c>
      <c r="M1243" s="6" t="n">
        <v>31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H1243" s="4" t="inlineStr">
        <is>
          <t>tipo: anilla · material: cobre · medida: 3/8"</t>
        </is>
      </c>
    </row>
    <row r="1244">
      <c r="A1244" s="3" t="inlineStr">
        <is>
          <t>MAT-32-061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Codo de 45° de PPR 25 mm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37</v>
      </c>
      <c r="L1244" s="6" t="n">
        <v>37</v>
      </c>
      <c r="M1244" s="6" t="n">
        <v>37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H1244" s="4" t="inlineStr">
        <is>
          <t>tipo: codo-45 · material: PPR · medida: 25 mm</t>
        </is>
      </c>
    </row>
    <row r="1245">
      <c r="A1245" s="3" t="inlineStr">
        <is>
          <t>MAT-32-062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Codo de 45° de PVC drenaje 1 1/2"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45</v>
      </c>
      <c r="L1245" s="6" t="n">
        <v>45</v>
      </c>
      <c r="M1245" s="6" t="n">
        <v>45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H1245" s="4" t="inlineStr">
        <is>
          <t>tipo: codo-45 · material: PVC drenaje · medida: 1 1/2"</t>
        </is>
      </c>
    </row>
    <row r="1246">
      <c r="A1246" s="3" t="inlineStr">
        <is>
          <t>MAT-32-063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Codo de 45° de PVC drenaje 2"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55</v>
      </c>
      <c r="L1246" s="6" t="n">
        <v>55</v>
      </c>
      <c r="M1246" s="6" t="n">
        <v>55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H1246" s="4" t="inlineStr">
        <is>
          <t>tipo: codo-45 · material: PVC drenaje · medida: 2"</t>
        </is>
      </c>
    </row>
    <row r="1247">
      <c r="A1247" s="3" t="inlineStr">
        <is>
          <t>MAT-32-064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Codo de 45° de PVC drenaje 3"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85</v>
      </c>
      <c r="L1247" s="6" t="n">
        <v>85</v>
      </c>
      <c r="M1247" s="6" t="n">
        <v>85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H1247" s="4" t="inlineStr">
        <is>
          <t>tipo: codo-45 · material: PVC drenaje · medida: 3"</t>
        </is>
      </c>
    </row>
    <row r="1248">
      <c r="A1248" s="3" t="inlineStr">
        <is>
          <t>MAT-32-065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Codo de 45° de PVC drenaje 4"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135</v>
      </c>
      <c r="L1248" s="6" t="n">
        <v>135</v>
      </c>
      <c r="M1248" s="6" t="n">
        <v>135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H1248" s="4" t="inlineStr">
        <is>
          <t>tipo: codo-45 · material: PVC drenaje · medida: 4"</t>
        </is>
      </c>
    </row>
    <row r="1249">
      <c r="A1249" s="3" t="inlineStr">
        <is>
          <t>MAT-32-066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Codo de 45° de PVC drenaje 6"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612</v>
      </c>
      <c r="L1249" s="6" t="n">
        <v>612</v>
      </c>
      <c r="M1249" s="6" t="n">
        <v>612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H1249" s="4" t="inlineStr">
        <is>
          <t>tipo: codo-45 · material: PVC drenaje · medida: 6"</t>
        </is>
      </c>
    </row>
    <row r="1250">
      <c r="A1250" s="3" t="inlineStr">
        <is>
          <t>MAT-32-067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45° de PVC presión 1 1/2"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65</v>
      </c>
      <c r="L1250" s="6" t="n">
        <v>65</v>
      </c>
      <c r="M1250" s="6" t="n">
        <v>65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H1250" s="4" t="inlineStr">
        <is>
          <t>tipo: codo-45 · material: PVC presión · medida: 1 1/2"</t>
        </is>
      </c>
    </row>
    <row r="1251">
      <c r="A1251" s="3" t="inlineStr">
        <is>
          <t>MAT-32-068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45° de PVC presión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35</v>
      </c>
      <c r="L1251" s="6" t="n">
        <v>35</v>
      </c>
      <c r="M1251" s="6" t="n">
        <v>35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H1251" s="4" t="inlineStr">
        <is>
          <t>tipo: codo-45 · material: PVC presión · medida: 1/2"</t>
        </is>
      </c>
    </row>
    <row r="1252">
      <c r="A1252" s="3" t="inlineStr">
        <is>
          <t>MAT-32-069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45° de PVC presión 1"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90</v>
      </c>
      <c r="L1252" s="6" t="n">
        <v>90</v>
      </c>
      <c r="M1252" s="6" t="n">
        <v>90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H1252" s="4" t="inlineStr">
        <is>
          <t>tipo: codo-45 · material: PVC presión · medida: 1"</t>
        </is>
      </c>
    </row>
    <row r="1253">
      <c r="A1253" s="3" t="inlineStr">
        <is>
          <t>MAT-32-070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45° de PVC presión 3/4"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25</v>
      </c>
      <c r="L1253" s="6" t="n">
        <v>25</v>
      </c>
      <c r="M1253" s="6" t="n">
        <v>25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H1253" s="4" t="inlineStr">
        <is>
          <t>tipo: codo-45 · material: PVC presión · medida: 3/4"</t>
        </is>
      </c>
    </row>
    <row r="1254">
      <c r="A1254" s="3" t="inlineStr">
        <is>
          <t>MAT-32-071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90° de PPR 20 mm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33</v>
      </c>
      <c r="L1254" s="6" t="n">
        <v>33</v>
      </c>
      <c r="M1254" s="6" t="n">
        <v>33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H1254" s="4" t="inlineStr">
        <is>
          <t>tipo: codo-90 · material: PPR · medida: 20 mm</t>
        </is>
      </c>
    </row>
    <row r="1255">
      <c r="A1255" s="3" t="inlineStr">
        <is>
          <t>MAT-32-072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90° de PPR 25 mm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40</v>
      </c>
      <c r="L1255" s="6" t="n">
        <v>40</v>
      </c>
      <c r="M1255" s="6" t="n">
        <v>40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H1255" s="4" t="inlineStr">
        <is>
          <t>tipo: codo-90 · material: PPR · medida: 25 mm</t>
        </is>
      </c>
    </row>
    <row r="1256">
      <c r="A1256" s="3" t="inlineStr">
        <is>
          <t>MAT-32-073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90° de PVC drenaje 1 1/2"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30</v>
      </c>
      <c r="L1256" s="6" t="n">
        <v>30</v>
      </c>
      <c r="M1256" s="6" t="n">
        <v>30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H1256" s="4" t="inlineStr">
        <is>
          <t>tipo: codo-90 · material: PVC drenaje · medida: 1 1/2"</t>
        </is>
      </c>
    </row>
    <row r="1257">
      <c r="A1257" s="3" t="inlineStr">
        <is>
          <t>MAT-32-074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90° de PVC drenaje 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35</v>
      </c>
      <c r="L1257" s="6" t="n">
        <v>35</v>
      </c>
      <c r="M1257" s="6" t="n">
        <v>35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H1257" s="4" t="inlineStr">
        <is>
          <t>tipo: codo-90 · material: PVC drenaje · medida: 2"</t>
        </is>
      </c>
    </row>
    <row r="1258">
      <c r="A1258" s="3" t="inlineStr">
        <is>
          <t>MAT-32-075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90° de PVC drenaje 3"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95</v>
      </c>
      <c r="L1258" s="6" t="n">
        <v>95</v>
      </c>
      <c r="M1258" s="6" t="n">
        <v>95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H1258" s="4" t="inlineStr">
        <is>
          <t>tipo: codo-90 · material: PVC drenaje · medida: 3"</t>
        </is>
      </c>
    </row>
    <row r="1259">
      <c r="A1259" s="3" t="inlineStr">
        <is>
          <t>MAT-32-076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90° de PVC presión 1 1/2"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55</v>
      </c>
      <c r="L1259" s="6" t="n">
        <v>55</v>
      </c>
      <c r="M1259" s="6" t="n">
        <v>55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H1259" s="4" t="inlineStr">
        <is>
          <t>tipo: codo-90 · material: PVC presión · medida: 1 1/2"</t>
        </is>
      </c>
    </row>
    <row r="1260">
      <c r="A1260" s="3" t="inlineStr">
        <is>
          <t>MAT-32-077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de 90° de PVC presión 1/2"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15</v>
      </c>
      <c r="L1260" s="6" t="n">
        <v>15</v>
      </c>
      <c r="M1260" s="6" t="n">
        <v>15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H1260" s="4" t="inlineStr">
        <is>
          <t>tipo: codo-90 · material: PVC presión · medida: 1/2"</t>
        </is>
      </c>
    </row>
    <row r="1261">
      <c r="A1261" s="3" t="inlineStr">
        <is>
          <t>MAT-32-078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de 90° de PVC presión 1"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27</v>
      </c>
      <c r="L1261" s="6" t="n">
        <v>27</v>
      </c>
      <c r="M1261" s="6" t="n">
        <v>27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H1261" s="4" t="inlineStr">
        <is>
          <t>tipo: codo-90 · material: PVC presión · medida: 1"</t>
        </is>
      </c>
    </row>
    <row r="1262">
      <c r="A1262" s="3" t="inlineStr">
        <is>
          <t>MAT-32-079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de 90° de PVC presión 2"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145</v>
      </c>
      <c r="L1262" s="6" t="n">
        <v>145</v>
      </c>
      <c r="M1262" s="6" t="n">
        <v>145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H1262" s="4" t="inlineStr">
        <is>
          <t>tipo: codo-90 · material: PVC presión · medida: 2"</t>
        </is>
      </c>
    </row>
    <row r="1263">
      <c r="A1263" s="3" t="inlineStr">
        <is>
          <t>MAT-32-080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de 90° de PVC presión 3/4"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15</v>
      </c>
      <c r="L1263" s="6" t="n">
        <v>15</v>
      </c>
      <c r="M1263" s="6" t="n">
        <v>15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H1263" s="4" t="inlineStr">
        <is>
          <t>tipo: codo-90 · material: PVC presión · medida: 3/4"</t>
        </is>
      </c>
    </row>
    <row r="1264">
      <c r="A1264" s="3" t="inlineStr">
        <is>
          <t>MAT-32-081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de 90° de PVC presión 3"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233</v>
      </c>
      <c r="L1264" s="6" t="n">
        <v>233</v>
      </c>
      <c r="M1264" s="6" t="n">
        <v>233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H1264" s="4" t="inlineStr">
        <is>
          <t>tipo: codo-90 · material: PVC presión · medida: 3"</t>
        </is>
      </c>
    </row>
    <row r="1265">
      <c r="A1265" s="3" t="inlineStr">
        <is>
          <t>MAT-32-082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de 90° de PVC presión 4"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370</v>
      </c>
      <c r="L1265" s="6" t="n">
        <v>370</v>
      </c>
      <c r="M1265" s="6" t="n">
        <v>370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H1265" s="4" t="inlineStr">
        <is>
          <t>tipo: codo-90 · material: PVC presión · medida: 4"</t>
        </is>
      </c>
    </row>
    <row r="1266">
      <c r="A1266" s="3" t="inlineStr">
        <is>
          <t>MAT-32-083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de HG 1 1/2"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234</v>
      </c>
      <c r="L1266" s="6" t="n">
        <v>234</v>
      </c>
      <c r="M1266" s="6" t="n">
        <v>234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H1266" s="4" t="inlineStr">
        <is>
          <t>tipo: codo · material: HG · medida: 1 1/2"</t>
        </is>
      </c>
    </row>
    <row r="1267">
      <c r="A1267" s="3" t="inlineStr">
        <is>
          <t>MAT-32-084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de HG 1 1/4"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130</v>
      </c>
      <c r="L1267" s="6" t="n">
        <v>130</v>
      </c>
      <c r="M1267" s="6" t="n">
        <v>130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H1267" s="4" t="inlineStr">
        <is>
          <t>tipo: codo · material: HG · medida: 1 1/4"</t>
        </is>
      </c>
    </row>
    <row r="1268">
      <c r="A1268" s="3" t="inlineStr">
        <is>
          <t>MAT-32-085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de HG 1/2"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30</v>
      </c>
      <c r="L1268" s="6" t="n">
        <v>30</v>
      </c>
      <c r="M1268" s="6" t="n">
        <v>30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H1268" s="4" t="inlineStr">
        <is>
          <t>tipo: codo · material: HG · medida: 1/2"</t>
        </is>
      </c>
    </row>
    <row r="1269">
      <c r="A1269" s="3" t="inlineStr">
        <is>
          <t>MAT-32-086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Codo de HG 1/4"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75</v>
      </c>
      <c r="L1269" s="6" t="n">
        <v>75</v>
      </c>
      <c r="M1269" s="6" t="n">
        <v>75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H1269" s="4" t="inlineStr">
        <is>
          <t>tipo: codo · material: HG · medida: 1/4"</t>
        </is>
      </c>
    </row>
    <row r="1270">
      <c r="A1270" s="3" t="inlineStr">
        <is>
          <t>MAT-32-087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Codo de HG 1"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65</v>
      </c>
      <c r="L1270" s="6" t="n">
        <v>65</v>
      </c>
      <c r="M1270" s="6" t="n">
        <v>65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H1270" s="4" t="inlineStr">
        <is>
          <t>tipo: codo · material: HG · medida: 1"</t>
        </is>
      </c>
    </row>
    <row r="1271">
      <c r="A1271" s="3" t="inlineStr">
        <is>
          <t>MAT-32-088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Codo de HG 2"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291</v>
      </c>
      <c r="L1271" s="6" t="n">
        <v>291</v>
      </c>
      <c r="M1271" s="6" t="n">
        <v>291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H1271" s="4" t="inlineStr">
        <is>
          <t>tipo: codo · material: HG · medida: 2"</t>
        </is>
      </c>
    </row>
    <row r="1272">
      <c r="A1272" s="3" t="inlineStr">
        <is>
          <t>MAT-32-089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Codo de HG 3/4"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51</v>
      </c>
      <c r="L1272" s="6" t="n">
        <v>51</v>
      </c>
      <c r="M1272" s="6" t="n">
        <v>51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H1272" s="4" t="inlineStr">
        <is>
          <t>tipo: codo · material: HG · medida: 3/4"</t>
        </is>
      </c>
    </row>
    <row r="1273">
      <c r="A1273" s="3" t="inlineStr">
        <is>
          <t>MAT-32-090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Codo de HG 3/8"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50</v>
      </c>
      <c r="L1273" s="6" t="n">
        <v>50</v>
      </c>
      <c r="M1273" s="6" t="n">
        <v>50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H1273" s="4" t="inlineStr">
        <is>
          <t>tipo: codo · material: HG · medida: 3/8"</t>
        </is>
      </c>
    </row>
    <row r="1274">
      <c r="A1274" s="3" t="inlineStr">
        <is>
          <t>MAT-32-091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Codo de niquelado 1/2"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363</v>
      </c>
      <c r="L1274" s="6" t="n">
        <v>363</v>
      </c>
      <c r="M1274" s="6" t="n">
        <v>363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H1274" s="4" t="inlineStr">
        <is>
          <t>tipo: codo · material: niquelado · medida: 1/2"</t>
        </is>
      </c>
    </row>
    <row r="1275">
      <c r="A1275" s="3" t="inlineStr">
        <is>
          <t>MAT-32-092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Codo niple de bronce 3/8"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179</v>
      </c>
      <c r="L1275" s="6" t="n">
        <v>179</v>
      </c>
      <c r="M1275" s="6" t="n">
        <v>179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H1275" s="4" t="inlineStr">
        <is>
          <t>tipo: codoniple · material: bronce · medida: 3/8"</t>
        </is>
      </c>
    </row>
    <row r="1276">
      <c r="A1276" s="3" t="inlineStr">
        <is>
          <t>MAT-32-093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Codo niple de HG 1 1/2"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215</v>
      </c>
      <c r="L1276" s="6" t="n">
        <v>215</v>
      </c>
      <c r="M1276" s="6" t="n">
        <v>215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H1276" s="4" t="inlineStr">
        <is>
          <t>tipo: codoniple · material: HG · medida: 1 1/2"</t>
        </is>
      </c>
    </row>
    <row r="1277">
      <c r="A1277" s="3" t="inlineStr">
        <is>
          <t>MAT-32-094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Codo niple de HG 1 1/4"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160</v>
      </c>
      <c r="L1277" s="6" t="n">
        <v>160</v>
      </c>
      <c r="M1277" s="6" t="n">
        <v>160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H1277" s="4" t="inlineStr">
        <is>
          <t>tipo: codoniple · material: HG · medida: 1 1/4"</t>
        </is>
      </c>
    </row>
    <row r="1278">
      <c r="A1278" s="3" t="inlineStr">
        <is>
          <t>MAT-32-095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Codo niple de HG 1/2"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45</v>
      </c>
      <c r="L1278" s="6" t="n">
        <v>45</v>
      </c>
      <c r="M1278" s="6" t="n">
        <v>45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H1278" s="4" t="inlineStr">
        <is>
          <t>tipo: codoniple · material: HG · medida: 1/2"</t>
        </is>
      </c>
    </row>
    <row r="1279">
      <c r="A1279" s="3" t="inlineStr">
        <is>
          <t>MAT-32-096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Codo niple de HG 1/4"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39</v>
      </c>
      <c r="L1279" s="6" t="n">
        <v>39</v>
      </c>
      <c r="M1279" s="6" t="n">
        <v>39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H1279" s="4" t="inlineStr">
        <is>
          <t>tipo: codoniple · material: HG · medida: 1/4"</t>
        </is>
      </c>
    </row>
    <row r="1280">
      <c r="A1280" s="3" t="inlineStr">
        <is>
          <t>MAT-32-097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Codo niple de HG 1"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149</v>
      </c>
      <c r="L1280" s="6" t="n">
        <v>149</v>
      </c>
      <c r="M1280" s="6" t="n">
        <v>149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H1280" s="4" t="inlineStr">
        <is>
          <t>tipo: codoniple · material: HG · medida: 1"</t>
        </is>
      </c>
    </row>
    <row r="1281">
      <c r="A1281" s="3" t="inlineStr">
        <is>
          <t>MAT-32-098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Codo niple de HG 2"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266</v>
      </c>
      <c r="L1281" s="6" t="n">
        <v>266</v>
      </c>
      <c r="M1281" s="6" t="n">
        <v>266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H1281" s="4" t="inlineStr">
        <is>
          <t>tipo: codoniple · material: HG · medida: 2"</t>
        </is>
      </c>
    </row>
    <row r="1282">
      <c r="A1282" s="3" t="inlineStr">
        <is>
          <t>MAT-32-099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Codo niple de HG 3/4"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92</v>
      </c>
      <c r="L1282" s="6" t="n">
        <v>92</v>
      </c>
      <c r="M1282" s="6" t="n">
        <v>92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H1282" s="4" t="inlineStr">
        <is>
          <t>tipo: codoniple · material: HG · medida: 3/4"</t>
        </is>
      </c>
    </row>
    <row r="1283">
      <c r="A1283" s="3" t="inlineStr">
        <is>
          <t>MAT-32-100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Codo niple de niquelado 1/2"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333</v>
      </c>
      <c r="L1283" s="6" t="n">
        <v>333</v>
      </c>
      <c r="M1283" s="6" t="n">
        <v>333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H1283" s="4" t="inlineStr">
        <is>
          <t>tipo: codoniple · material: niquelado · medida: 1/2"</t>
        </is>
      </c>
    </row>
    <row r="1284">
      <c r="A1284" s="3" t="inlineStr">
        <is>
          <t>MAT-32-101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Coupling de HG 1 1/2"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199</v>
      </c>
      <c r="L1284" s="6" t="n">
        <v>199</v>
      </c>
      <c r="M1284" s="6" t="n">
        <v>199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H1284" s="4" t="inlineStr">
        <is>
          <t>tipo: coupling · material: HG · medida: 1 1/2"</t>
        </is>
      </c>
    </row>
    <row r="1285">
      <c r="A1285" s="3" t="inlineStr">
        <is>
          <t>MAT-32-102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Coupling de HG 1 1/4"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141</v>
      </c>
      <c r="L1285" s="6" t="n">
        <v>141</v>
      </c>
      <c r="M1285" s="6" t="n">
        <v>141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H1285" s="4" t="inlineStr">
        <is>
          <t>tipo: coupling · material: HG · medida: 1 1/4"</t>
        </is>
      </c>
    </row>
    <row r="1286">
      <c r="A1286" s="3" t="inlineStr">
        <is>
          <t>MAT-32-103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Coupling de HG 1/2"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25</v>
      </c>
      <c r="L1286" s="6" t="n">
        <v>25</v>
      </c>
      <c r="M1286" s="6" t="n">
        <v>25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H1286" s="4" t="inlineStr">
        <is>
          <t>tipo: coupling · material: HG · medida: 1/2"</t>
        </is>
      </c>
    </row>
    <row r="1287">
      <c r="A1287" s="3" t="inlineStr">
        <is>
          <t>MAT-32-104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Coupling de HG 1"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65</v>
      </c>
      <c r="L1287" s="6" t="n">
        <v>65</v>
      </c>
      <c r="M1287" s="6" t="n">
        <v>65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H1287" s="4" t="inlineStr">
        <is>
          <t>tipo: coupling · material: HG · medida: 1"</t>
        </is>
      </c>
    </row>
    <row r="1288">
      <c r="A1288" s="3" t="inlineStr">
        <is>
          <t>MAT-32-105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Coupling de HG 2"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237</v>
      </c>
      <c r="L1288" s="6" t="n">
        <v>237</v>
      </c>
      <c r="M1288" s="6" t="n">
        <v>237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H1288" s="4" t="inlineStr">
        <is>
          <t>tipo: coupling · material: HG · medida: 2"</t>
        </is>
      </c>
    </row>
    <row r="1289">
      <c r="A1289" s="3" t="inlineStr">
        <is>
          <t>MAT-32-106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Coupling de HG 3/4"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35</v>
      </c>
      <c r="L1289" s="6" t="n">
        <v>35</v>
      </c>
      <c r="M1289" s="6" t="n">
        <v>35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H1289" s="4" t="inlineStr">
        <is>
          <t>tipo: coupling · material: HG · medida: 3/4"</t>
        </is>
      </c>
    </row>
    <row r="1290">
      <c r="A1290" s="3" t="inlineStr">
        <is>
          <t>MAT-32-107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Coupling de HG 3/8"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42</v>
      </c>
      <c r="L1290" s="6" t="n">
        <v>42</v>
      </c>
      <c r="M1290" s="6" t="n">
        <v>42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H1290" s="4" t="inlineStr">
        <is>
          <t>tipo: coupling · material: HG · medida: 3/8"</t>
        </is>
      </c>
    </row>
    <row r="1291">
      <c r="A1291" s="3" t="inlineStr">
        <is>
          <t>MAT-32-108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Coupling de niquelado 1/2"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247</v>
      </c>
      <c r="L1291" s="6" t="n">
        <v>247</v>
      </c>
      <c r="M1291" s="6" t="n">
        <v>247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H1291" s="4" t="inlineStr">
        <is>
          <t>tipo: coupling · material: niquelado · medida: 1/2"</t>
        </is>
      </c>
    </row>
    <row r="1292">
      <c r="A1292" s="3" t="inlineStr">
        <is>
          <t>MAT-32-109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Coupling de PPR 25 mm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40</v>
      </c>
      <c r="L1292" s="6" t="n">
        <v>40</v>
      </c>
      <c r="M1292" s="6" t="n">
        <v>40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H1292" s="4" t="inlineStr">
        <is>
          <t>tipo: coupling · material: PPR · medida: 25 mm</t>
        </is>
      </c>
    </row>
    <row r="1293">
      <c r="A1293" s="3" t="inlineStr">
        <is>
          <t>MAT-32-110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Coupling de PPR 32 mm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35</v>
      </c>
      <c r="L1293" s="6" t="n">
        <v>35</v>
      </c>
      <c r="M1293" s="6" t="n">
        <v>35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H1293" s="4" t="inlineStr">
        <is>
          <t>tipo: coupling · material: PPR · medida: 32 mm</t>
        </is>
      </c>
    </row>
    <row r="1294">
      <c r="A1294" s="3" t="inlineStr">
        <is>
          <t>MAT-32-111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Coupling de PVC presión 1 1/2"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65</v>
      </c>
      <c r="L1294" s="6" t="n">
        <v>65</v>
      </c>
      <c r="M1294" s="6" t="n">
        <v>65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H1294" s="4" t="inlineStr">
        <is>
          <t>tipo: coupling · material: PVC presión · medida: 1 1/2"</t>
        </is>
      </c>
    </row>
    <row r="1295">
      <c r="A1295" s="3" t="inlineStr">
        <is>
          <t>MAT-32-112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Coupling de PVC presión 1/2"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27</v>
      </c>
      <c r="L1295" s="6" t="n">
        <v>27</v>
      </c>
      <c r="M1295" s="6" t="n">
        <v>27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H1295" s="4" t="inlineStr">
        <is>
          <t>tipo: coupling · material: PVC presión · medida: 1/2"</t>
        </is>
      </c>
    </row>
    <row r="1296">
      <c r="A1296" s="3" t="inlineStr">
        <is>
          <t>MAT-32-113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Coupling de PVC presión 1"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41</v>
      </c>
      <c r="L1296" s="6" t="n">
        <v>41</v>
      </c>
      <c r="M1296" s="6" t="n">
        <v>41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H1296" s="4" t="inlineStr">
        <is>
          <t>tipo: coupling · material: PVC presión · medida: 1"</t>
        </is>
      </c>
    </row>
    <row r="1297">
      <c r="A1297" s="3" t="inlineStr">
        <is>
          <t>MAT-32-114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Coupling de PVC presión 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95</v>
      </c>
      <c r="L1297" s="6" t="n">
        <v>95</v>
      </c>
      <c r="M1297" s="6" t="n">
        <v>95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H1297" s="4" t="inlineStr">
        <is>
          <t>tipo: coupling · material: PVC presión · medida: 2"</t>
        </is>
      </c>
    </row>
    <row r="1298">
      <c r="A1298" s="3" t="inlineStr">
        <is>
          <t>MAT-32-115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Coupling de PVC presión 3/4"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26</v>
      </c>
      <c r="L1298" s="6" t="n">
        <v>26</v>
      </c>
      <c r="M1298" s="6" t="n">
        <v>26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H1298" s="4" t="inlineStr">
        <is>
          <t>tipo: coupling · material: PVC presión · medida: 3/4"</t>
        </is>
      </c>
    </row>
    <row r="1299">
      <c r="A1299" s="3" t="inlineStr">
        <is>
          <t>MAT-32-116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Coupling de PVC presión 3"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215</v>
      </c>
      <c r="L1299" s="6" t="n">
        <v>215</v>
      </c>
      <c r="M1299" s="6" t="n">
        <v>215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H1299" s="4" t="inlineStr">
        <is>
          <t>tipo: coupling · material: PVC presión · medida: 3"</t>
        </is>
      </c>
    </row>
    <row r="1300">
      <c r="A1300" s="3" t="inlineStr">
        <is>
          <t>MAT-32-117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Coupling de PVC presión 4"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335</v>
      </c>
      <c r="L1300" s="6" t="n">
        <v>335</v>
      </c>
      <c r="M1300" s="6" t="n">
        <v>335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H1300" s="4" t="inlineStr">
        <is>
          <t>tipo: coupling · material: PVC presión · medida: 4"</t>
        </is>
      </c>
    </row>
    <row r="1301">
      <c r="A1301" s="3" t="inlineStr">
        <is>
          <t>MAT-32-118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Cruz de PVC presión 1"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136</v>
      </c>
      <c r="L1301" s="6" t="n">
        <v>136</v>
      </c>
      <c r="M1301" s="6" t="n">
        <v>136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H1301" s="4" t="inlineStr">
        <is>
          <t>tipo: cruz · material: PVC presión · medida: 1"</t>
        </is>
      </c>
    </row>
    <row r="1302">
      <c r="A1302" s="3" t="inlineStr">
        <is>
          <t>MAT-32-119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Fitting de manguera 1/2" x 1/4"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165</v>
      </c>
      <c r="L1302" s="6" t="n">
        <v>165</v>
      </c>
      <c r="M1302" s="6" t="n">
        <v>165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H1302" s="4" t="inlineStr">
        <is>
          <t>tipo: fitting · material: manguera · medida: 1/2" x 1/4"</t>
        </is>
      </c>
    </row>
    <row r="1303">
      <c r="A1303" s="3" t="inlineStr">
        <is>
          <t>MAT-32-120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Fitting de manguera 1/2" x 3/8"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205</v>
      </c>
      <c r="L1303" s="6" t="n">
        <v>205</v>
      </c>
      <c r="M1303" s="6" t="n">
        <v>205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H1303" s="4" t="inlineStr">
        <is>
          <t>tipo: fitting · material: manguera · medida: 1/2" x 3/8"</t>
        </is>
      </c>
    </row>
    <row r="1304">
      <c r="A1304" s="3" t="inlineStr">
        <is>
          <t>MAT-32-121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Fitting de manguera 1/4" x 3/8"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122</v>
      </c>
      <c r="L1304" s="6" t="n">
        <v>122</v>
      </c>
      <c r="M1304" s="6" t="n">
        <v>122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H1304" s="4" t="inlineStr">
        <is>
          <t>tipo: fitting · material: manguera · medida: 1/4" x 3/8"</t>
        </is>
      </c>
    </row>
    <row r="1305">
      <c r="A1305" s="3" t="inlineStr">
        <is>
          <t>MAT-32-122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Fitting de manguera 3/8" x 1/4"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102</v>
      </c>
      <c r="L1305" s="6" t="n">
        <v>102</v>
      </c>
      <c r="M1305" s="6" t="n">
        <v>102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H1305" s="4" t="inlineStr">
        <is>
          <t>tipo: fitting · material: manguera · medida: 3/8" x 1/4"</t>
        </is>
      </c>
    </row>
    <row r="1306">
      <c r="A1306" s="3" t="inlineStr">
        <is>
          <t>MAT-32-123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Junta de PVC 1 1/2"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308</v>
      </c>
      <c r="L1306" s="6" t="n">
        <v>308</v>
      </c>
      <c r="M1306" s="6" t="n">
        <v>308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H1306" s="4" t="inlineStr">
        <is>
          <t>tipo: junta · material: PVC · medida: 1 1/2"</t>
        </is>
      </c>
    </row>
    <row r="1307">
      <c r="A1307" s="3" t="inlineStr">
        <is>
          <t>MAT-32-124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Junta de PVC 1/2"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86</v>
      </c>
      <c r="L1307" s="6" t="n">
        <v>86</v>
      </c>
      <c r="M1307" s="6" t="n">
        <v>86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H1307" s="4" t="inlineStr">
        <is>
          <t>tipo: junta · material: PVC · medida: 1/2"</t>
        </is>
      </c>
    </row>
    <row r="1308">
      <c r="A1308" s="3" t="inlineStr">
        <is>
          <t>MAT-32-125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Junta de PVC 1"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160</v>
      </c>
      <c r="L1308" s="6" t="n">
        <v>160</v>
      </c>
      <c r="M1308" s="6" t="n">
        <v>160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H1308" s="4" t="inlineStr">
        <is>
          <t>tipo: junta · material: PVC · medida: 1"</t>
        </is>
      </c>
    </row>
    <row r="1309">
      <c r="A1309" s="3" t="inlineStr">
        <is>
          <t>MAT-32-126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Junta de PVC 3/4"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135</v>
      </c>
      <c r="L1309" s="6" t="n">
        <v>135</v>
      </c>
      <c r="M1309" s="6" t="n">
        <v>135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H1309" s="4" t="inlineStr">
        <is>
          <t>tipo: junta · material: PVC · medida: 3/4"</t>
        </is>
      </c>
    </row>
    <row r="1310">
      <c r="A1310" s="3" t="inlineStr">
        <is>
          <t>MAT-32-127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Niple de cobre 1/4" x 1 1/2"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121</v>
      </c>
      <c r="L1310" s="6" t="n">
        <v>121</v>
      </c>
      <c r="M1310" s="6" t="n">
        <v>121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H1310" s="4" t="inlineStr">
        <is>
          <t>tipo: niple · material: cobre · medida: 1/4" x 1 1/2"</t>
        </is>
      </c>
    </row>
    <row r="1311">
      <c r="A1311" s="3" t="inlineStr">
        <is>
          <t>MAT-32-128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Niple de cobre 3/4" x 3"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230</v>
      </c>
      <c r="L1311" s="6" t="n">
        <v>230</v>
      </c>
      <c r="M1311" s="6" t="n">
        <v>230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H1311" s="4" t="inlineStr">
        <is>
          <t>tipo: niple · material: cobre · medida: 3/4" x 3"</t>
        </is>
      </c>
    </row>
    <row r="1312">
      <c r="A1312" s="3" t="inlineStr">
        <is>
          <t>MAT-32-129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Niple de cobre 3/8" x 1 1/2"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193</v>
      </c>
      <c r="L1312" s="6" t="n">
        <v>193</v>
      </c>
      <c r="M1312" s="6" t="n">
        <v>193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H1312" s="4" t="inlineStr">
        <is>
          <t>tipo: niple · material: cobre · medida: 3/8" x 1 1/2"</t>
        </is>
      </c>
    </row>
    <row r="1313">
      <c r="A1313" s="3" t="inlineStr">
        <is>
          <t>MAT-32-130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Niple de cobre 3/8" x 1"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177</v>
      </c>
      <c r="L1313" s="6" t="n">
        <v>177</v>
      </c>
      <c r="M1313" s="6" t="n">
        <v>177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H1313" s="4" t="inlineStr">
        <is>
          <t>tipo: niple · material: cobre · medida: 3/8" x 1"</t>
        </is>
      </c>
    </row>
    <row r="1314">
      <c r="A1314" s="3" t="inlineStr">
        <is>
          <t>MAT-32-131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Niple de cobre 3/8" x 2"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189</v>
      </c>
      <c r="L1314" s="6" t="n">
        <v>189</v>
      </c>
      <c r="M1314" s="6" t="n">
        <v>189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H1314" s="4" t="inlineStr">
        <is>
          <t>tipo: niple · material: cobre · medida: 3/8" x 2"</t>
        </is>
      </c>
    </row>
    <row r="1315">
      <c r="A1315" s="3" t="inlineStr">
        <is>
          <t>MAT-32-132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Niple de HG 1 1/2" x 10"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372</v>
      </c>
      <c r="L1315" s="6" t="n">
        <v>372</v>
      </c>
      <c r="M1315" s="6" t="n">
        <v>372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H1315" s="4" t="inlineStr">
        <is>
          <t>tipo: niple · material: HG · medida: 1 1/2" x 10"</t>
        </is>
      </c>
    </row>
    <row r="1316">
      <c r="A1316" s="3" t="inlineStr">
        <is>
          <t>MAT-32-133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HG 1 1/2" x 3"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187</v>
      </c>
      <c r="L1316" s="6" t="n">
        <v>187</v>
      </c>
      <c r="M1316" s="6" t="n">
        <v>187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H1316" s="4" t="inlineStr">
        <is>
          <t>tipo: niple · material: HG · medida: 1 1/2" x 3"</t>
        </is>
      </c>
    </row>
    <row r="1317">
      <c r="A1317" s="3" t="inlineStr">
        <is>
          <t>MAT-32-134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HG 1 1/2" x 4"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257</v>
      </c>
      <c r="L1317" s="6" t="n">
        <v>257</v>
      </c>
      <c r="M1317" s="6" t="n">
        <v>257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H1317" s="4" t="inlineStr">
        <is>
          <t>tipo: niple · material: HG · medida: 1 1/2" x 4"</t>
        </is>
      </c>
    </row>
    <row r="1318">
      <c r="A1318" s="3" t="inlineStr">
        <is>
          <t>MAT-32-135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HG 1 1/2" x 6"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379</v>
      </c>
      <c r="L1318" s="6" t="n">
        <v>379</v>
      </c>
      <c r="M1318" s="6" t="n">
        <v>379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H1318" s="4" t="inlineStr">
        <is>
          <t>tipo: niple · material: HG · medida: 1 1/2" x 6"</t>
        </is>
      </c>
    </row>
    <row r="1319">
      <c r="A1319" s="3" t="inlineStr">
        <is>
          <t>MAT-32-136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HG 1 1/4" x 2"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170</v>
      </c>
      <c r="L1319" s="6" t="n">
        <v>170</v>
      </c>
      <c r="M1319" s="6" t="n">
        <v>170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H1319" s="4" t="inlineStr">
        <is>
          <t>tipo: niple · material: HG · medida: 1 1/4" x 2"</t>
        </is>
      </c>
    </row>
    <row r="1320">
      <c r="A1320" s="3" t="inlineStr">
        <is>
          <t>MAT-32-137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HG 1 1/4" x 3"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174</v>
      </c>
      <c r="L1320" s="6" t="n">
        <v>174</v>
      </c>
      <c r="M1320" s="6" t="n">
        <v>174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H1320" s="4" t="inlineStr">
        <is>
          <t>tipo: niple · material: HG · medida: 1 1/4" x 3"</t>
        </is>
      </c>
    </row>
    <row r="1321">
      <c r="A1321" s="3" t="inlineStr">
        <is>
          <t>MAT-32-138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 1/4" x 4"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191</v>
      </c>
      <c r="L1321" s="6" t="n">
        <v>191</v>
      </c>
      <c r="M1321" s="6" t="n">
        <v>191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H1321" s="4" t="inlineStr">
        <is>
          <t>tipo: niple · material: HG · medida: 1 1/4" x 4"</t>
        </is>
      </c>
    </row>
    <row r="1322">
      <c r="A1322" s="3" t="inlineStr">
        <is>
          <t>MAT-32-139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 1/4" x 6"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236</v>
      </c>
      <c r="L1322" s="6" t="n">
        <v>236</v>
      </c>
      <c r="M1322" s="6" t="n">
        <v>236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H1322" s="4" t="inlineStr">
        <is>
          <t>tipo: niple · material: HG · medida: 1 1/4" x 6"</t>
        </is>
      </c>
    </row>
    <row r="1323">
      <c r="A1323" s="3" t="inlineStr">
        <is>
          <t>MAT-32-140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1/2" x 1 1/2"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75</v>
      </c>
      <c r="L1323" s="6" t="n">
        <v>75</v>
      </c>
      <c r="M1323" s="6" t="n">
        <v>75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H1323" s="4" t="inlineStr">
        <is>
          <t>tipo: niple · material: HG · medida: 1/2" x 1 1/2"</t>
        </is>
      </c>
    </row>
    <row r="1324">
      <c r="A1324" s="3" t="inlineStr">
        <is>
          <t>MAT-32-141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1/2" x 10"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199</v>
      </c>
      <c r="L1324" s="6" t="n">
        <v>199</v>
      </c>
      <c r="M1324" s="6" t="n">
        <v>199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H1324" s="4" t="inlineStr">
        <is>
          <t>tipo: niple · material: HG · medida: 1/2" x 10"</t>
        </is>
      </c>
    </row>
    <row r="1325">
      <c r="A1325" s="3" t="inlineStr">
        <is>
          <t>MAT-32-142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1/2" x 12"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259</v>
      </c>
      <c r="L1325" s="6" t="n">
        <v>259</v>
      </c>
      <c r="M1325" s="6" t="n">
        <v>259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H1325" s="4" t="inlineStr">
        <is>
          <t>tipo: niple · material: HG · medida: 1/2" x 12"</t>
        </is>
      </c>
    </row>
    <row r="1326">
      <c r="A1326" s="3" t="inlineStr">
        <is>
          <t>MAT-32-143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1/2" x 1"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67</v>
      </c>
      <c r="L1326" s="6" t="n">
        <v>67</v>
      </c>
      <c r="M1326" s="6" t="n">
        <v>67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H1326" s="4" t="inlineStr">
        <is>
          <t>tipo: niple · material: HG · medida: 1/2" x 1"</t>
        </is>
      </c>
    </row>
    <row r="1327">
      <c r="A1327" s="3" t="inlineStr">
        <is>
          <t>MAT-32-144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1/2" x 2 1/2"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65</v>
      </c>
      <c r="L1327" s="6" t="n">
        <v>65</v>
      </c>
      <c r="M1327" s="6" t="n">
        <v>65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H1327" s="4" t="inlineStr">
        <is>
          <t>tipo: niple · material: HG · medida: 1/2" x 2 1/2"</t>
        </is>
      </c>
    </row>
    <row r="1328">
      <c r="A1328" s="3" t="inlineStr">
        <is>
          <t>MAT-32-145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1/2" x 2"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65</v>
      </c>
      <c r="L1328" s="6" t="n">
        <v>65</v>
      </c>
      <c r="M1328" s="6" t="n">
        <v>65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H1328" s="4" t="inlineStr">
        <is>
          <t>tipo: niple · material: HG · medida: 1/2" x 2"</t>
        </is>
      </c>
    </row>
    <row r="1329">
      <c r="A1329" s="3" t="inlineStr">
        <is>
          <t>MAT-32-146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1/2" x 3"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65</v>
      </c>
      <c r="L1329" s="6" t="n">
        <v>65</v>
      </c>
      <c r="M1329" s="6" t="n">
        <v>65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H1329" s="4" t="inlineStr">
        <is>
          <t>tipo: niple · material: HG · medida: 1/2" x 3"</t>
        </is>
      </c>
    </row>
    <row r="1330">
      <c r="A1330" s="3" t="inlineStr">
        <is>
          <t>MAT-32-147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1/2" x 4"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155</v>
      </c>
      <c r="L1330" s="6" t="n">
        <v>155</v>
      </c>
      <c r="M1330" s="6" t="n">
        <v>155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H1330" s="4" t="inlineStr">
        <is>
          <t>tipo: niple · material: HG · medida: 1/2" x 4"</t>
        </is>
      </c>
    </row>
    <row r="1331">
      <c r="A1331" s="3" t="inlineStr">
        <is>
          <t>MAT-32-148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1/2" x 5"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182</v>
      </c>
      <c r="L1331" s="6" t="n">
        <v>182</v>
      </c>
      <c r="M1331" s="6" t="n">
        <v>182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H1331" s="4" t="inlineStr">
        <is>
          <t>tipo: niple · material: HG · medida: 1/2" x 5"</t>
        </is>
      </c>
    </row>
    <row r="1332">
      <c r="A1332" s="3" t="inlineStr">
        <is>
          <t>MAT-32-149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1/2" x 6"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49</v>
      </c>
      <c r="L1332" s="6" t="n">
        <v>49</v>
      </c>
      <c r="M1332" s="6" t="n">
        <v>49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H1332" s="4" t="inlineStr">
        <is>
          <t>tipo: niple · material: HG · medida: 1/2" x 6"</t>
        </is>
      </c>
    </row>
    <row r="1333">
      <c r="A1333" s="3" t="inlineStr">
        <is>
          <t>MAT-32-150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1/2" x 8"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187</v>
      </c>
      <c r="L1333" s="6" t="n">
        <v>187</v>
      </c>
      <c r="M1333" s="6" t="n">
        <v>187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H1333" s="4" t="inlineStr">
        <is>
          <t>tipo: niple · material: HG · medida: 1/2" x 8"</t>
        </is>
      </c>
    </row>
    <row r="1334">
      <c r="A1334" s="3" t="inlineStr">
        <is>
          <t>MAT-32-151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1/4" x 2"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170</v>
      </c>
      <c r="L1334" s="6" t="n">
        <v>170</v>
      </c>
      <c r="M1334" s="6" t="n">
        <v>170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H1334" s="4" t="inlineStr">
        <is>
          <t>tipo: niple · material: HG · medida: 1/4" x 2"</t>
        </is>
      </c>
    </row>
    <row r="1335">
      <c r="A1335" s="3" t="inlineStr">
        <is>
          <t>MAT-32-152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1/4" x 4"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204</v>
      </c>
      <c r="L1335" s="6" t="n">
        <v>204</v>
      </c>
      <c r="M1335" s="6" t="n">
        <v>204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H1335" s="4" t="inlineStr">
        <is>
          <t>tipo: niple · material: HG · medida: 1/4" x 4"</t>
        </is>
      </c>
    </row>
    <row r="1336">
      <c r="A1336" s="3" t="inlineStr">
        <is>
          <t>MAT-32-153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1" x 10"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344</v>
      </c>
      <c r="L1336" s="6" t="n">
        <v>344</v>
      </c>
      <c r="M1336" s="6" t="n">
        <v>344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H1336" s="4" t="inlineStr">
        <is>
          <t>tipo: niple · material: HG · medida: 1" x 10"</t>
        </is>
      </c>
    </row>
    <row r="1337">
      <c r="A1337" s="3" t="inlineStr">
        <is>
          <t>MAT-32-154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1" x 2 1/2"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130</v>
      </c>
      <c r="L1337" s="6" t="n">
        <v>130</v>
      </c>
      <c r="M1337" s="6" t="n">
        <v>130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H1337" s="4" t="inlineStr">
        <is>
          <t>tipo: niple · material: HG · medida: 1" x 2 1/2"</t>
        </is>
      </c>
    </row>
    <row r="1338">
      <c r="A1338" s="3" t="inlineStr">
        <is>
          <t>MAT-32-155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1" x 2"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53</v>
      </c>
      <c r="L1338" s="6" t="n">
        <v>53</v>
      </c>
      <c r="M1338" s="6" t="n">
        <v>53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H1338" s="4" t="inlineStr">
        <is>
          <t>tipo: niple · material: HG · medida: 1" x 2"</t>
        </is>
      </c>
    </row>
    <row r="1339">
      <c r="A1339" s="3" t="inlineStr">
        <is>
          <t>MAT-32-156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1" x 3"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63</v>
      </c>
      <c r="L1339" s="6" t="n">
        <v>63</v>
      </c>
      <c r="M1339" s="6" t="n">
        <v>63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H1339" s="4" t="inlineStr">
        <is>
          <t>tipo: niple · material: HG · medida: 1" x 3"</t>
        </is>
      </c>
    </row>
    <row r="1340">
      <c r="A1340" s="3" t="inlineStr">
        <is>
          <t>MAT-32-157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1" x 4"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65</v>
      </c>
      <c r="L1340" s="6" t="n">
        <v>65</v>
      </c>
      <c r="M1340" s="6" t="n">
        <v>65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H1340" s="4" t="inlineStr">
        <is>
          <t>tipo: niple · material: HG · medida: 1" x 4"</t>
        </is>
      </c>
    </row>
    <row r="1341">
      <c r="A1341" s="3" t="inlineStr">
        <is>
          <t>MAT-32-158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1" x 5"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31</v>
      </c>
      <c r="L1341" s="6" t="n">
        <v>31</v>
      </c>
      <c r="M1341" s="6" t="n">
        <v>31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H1341" s="4" t="inlineStr">
        <is>
          <t>tipo: niple · material: HG · medida: 1" x 5"</t>
        </is>
      </c>
    </row>
    <row r="1342">
      <c r="A1342" s="3" t="inlineStr">
        <is>
          <t>MAT-32-159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1" x 6"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86</v>
      </c>
      <c r="L1342" s="6" t="n">
        <v>86</v>
      </c>
      <c r="M1342" s="6" t="n">
        <v>86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H1342" s="4" t="inlineStr">
        <is>
          <t>tipo: niple · material: HG · medida: 1" x 6"</t>
        </is>
      </c>
    </row>
    <row r="1343">
      <c r="A1343" s="3" t="inlineStr">
        <is>
          <t>MAT-32-160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2" x 3"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338</v>
      </c>
      <c r="L1343" s="6" t="n">
        <v>338</v>
      </c>
      <c r="M1343" s="6" t="n">
        <v>338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H1343" s="4" t="inlineStr">
        <is>
          <t>tipo: niple · material: HG · medida: 2" x 3"</t>
        </is>
      </c>
    </row>
    <row r="1344">
      <c r="A1344" s="3" t="inlineStr">
        <is>
          <t>MAT-32-161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2" x 4"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368</v>
      </c>
      <c r="L1344" s="6" t="n">
        <v>368</v>
      </c>
      <c r="M1344" s="6" t="n">
        <v>368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H1344" s="4" t="inlineStr">
        <is>
          <t>tipo: niple · material: HG · medida: 2" x 4"</t>
        </is>
      </c>
    </row>
    <row r="1345">
      <c r="A1345" s="3" t="inlineStr">
        <is>
          <t>MAT-32-162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2" x 5"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257</v>
      </c>
      <c r="L1345" s="6" t="n">
        <v>257</v>
      </c>
      <c r="M1345" s="6" t="n">
        <v>257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H1345" s="4" t="inlineStr">
        <is>
          <t>tipo: niple · material: HG · medida: 2" x 5"</t>
        </is>
      </c>
    </row>
    <row r="1346">
      <c r="A1346" s="3" t="inlineStr">
        <is>
          <t>MAT-32-163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3/4" x 1 1/2"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77</v>
      </c>
      <c r="L1346" s="6" t="n">
        <v>77</v>
      </c>
      <c r="M1346" s="6" t="n">
        <v>77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H1346" s="4" t="inlineStr">
        <is>
          <t>tipo: niple · material: HG · medida: 3/4" x 1 1/2"</t>
        </is>
      </c>
    </row>
    <row r="1347">
      <c r="A1347" s="3" t="inlineStr">
        <is>
          <t>MAT-32-164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3/4" x 1"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62</v>
      </c>
      <c r="L1347" s="6" t="n">
        <v>62</v>
      </c>
      <c r="M1347" s="6" t="n">
        <v>62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H1347" s="4" t="inlineStr">
        <is>
          <t>tipo: niple · material: HG · medida: 3/4" x 1"</t>
        </is>
      </c>
    </row>
    <row r="1348">
      <c r="A1348" s="3" t="inlineStr">
        <is>
          <t>MAT-32-165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HG 3/4" x 2 1/2"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131</v>
      </c>
      <c r="L1348" s="6" t="n">
        <v>131</v>
      </c>
      <c r="M1348" s="6" t="n">
        <v>131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H1348" s="4" t="inlineStr">
        <is>
          <t>tipo: niple · material: HG · medida: 3/4" x 2 1/2"</t>
        </is>
      </c>
    </row>
    <row r="1349">
      <c r="A1349" s="3" t="inlineStr">
        <is>
          <t>MAT-32-166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HG 3/4" x 2"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120</v>
      </c>
      <c r="L1349" s="6" t="n">
        <v>120</v>
      </c>
      <c r="M1349" s="6" t="n">
        <v>120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H1349" s="4" t="inlineStr">
        <is>
          <t>tipo: niple · material: HG · medida: 3/4" x 2"</t>
        </is>
      </c>
    </row>
    <row r="1350">
      <c r="A1350" s="3" t="inlineStr">
        <is>
          <t>MAT-32-167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HG 3/4" x 3"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149</v>
      </c>
      <c r="L1350" s="6" t="n">
        <v>149</v>
      </c>
      <c r="M1350" s="6" t="n">
        <v>149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H1350" s="4" t="inlineStr">
        <is>
          <t>tipo: niple · material: HG · medida: 3/4" x 3"</t>
        </is>
      </c>
    </row>
    <row r="1351">
      <c r="A1351" s="3" t="inlineStr">
        <is>
          <t>MAT-32-168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HG 3/4" x 4"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160</v>
      </c>
      <c r="L1351" s="6" t="n">
        <v>160</v>
      </c>
      <c r="M1351" s="6" t="n">
        <v>160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H1351" s="4" t="inlineStr">
        <is>
          <t>tipo: niple · material: HG · medida: 3/4" x 4"</t>
        </is>
      </c>
    </row>
    <row r="1352">
      <c r="A1352" s="3" t="inlineStr">
        <is>
          <t>MAT-32-169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HG 3/4" x 5"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194</v>
      </c>
      <c r="L1352" s="6" t="n">
        <v>194</v>
      </c>
      <c r="M1352" s="6" t="n">
        <v>194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H1352" s="4" t="inlineStr">
        <is>
          <t>tipo: niple · material: HG · medida: 3/4" x 5"</t>
        </is>
      </c>
    </row>
    <row r="1353">
      <c r="A1353" s="3" t="inlineStr">
        <is>
          <t>MAT-32-170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Niple de HG 3/4" x 6"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248</v>
      </c>
      <c r="L1353" s="6" t="n">
        <v>248</v>
      </c>
      <c r="M1353" s="6" t="n">
        <v>248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H1353" s="4" t="inlineStr">
        <is>
          <t>tipo: niple · material: HG · medida: 3/4" x 6"</t>
        </is>
      </c>
    </row>
    <row r="1354">
      <c r="A1354" s="3" t="inlineStr">
        <is>
          <t>MAT-32-171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Niple de HG 3/8" x 2 1/2"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155</v>
      </c>
      <c r="L1354" s="6" t="n">
        <v>155</v>
      </c>
      <c r="M1354" s="6" t="n">
        <v>155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H1354" s="4" t="inlineStr">
        <is>
          <t>tipo: niple · material: HG · medida: 3/8" x 2 1/2"</t>
        </is>
      </c>
    </row>
    <row r="1355">
      <c r="A1355" s="3" t="inlineStr">
        <is>
          <t>MAT-32-172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Niple de HG 3/8" x 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160</v>
      </c>
      <c r="L1355" s="6" t="n">
        <v>160</v>
      </c>
      <c r="M1355" s="6" t="n">
        <v>160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H1355" s="4" t="inlineStr">
        <is>
          <t>tipo: niple · material: HG · medida: 3/8" x 2"</t>
        </is>
      </c>
    </row>
    <row r="1356">
      <c r="A1356" s="3" t="inlineStr">
        <is>
          <t>MAT-32-173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Niple de HG 3/8" x 3 1/2"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194</v>
      </c>
      <c r="L1356" s="6" t="n">
        <v>194</v>
      </c>
      <c r="M1356" s="6" t="n">
        <v>194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H1356" s="4" t="inlineStr">
        <is>
          <t>tipo: niple · material: HG · medida: 3/8" x 3 1/2"</t>
        </is>
      </c>
    </row>
    <row r="1357">
      <c r="A1357" s="3" t="inlineStr">
        <is>
          <t>MAT-32-174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Niple de HG 3/8" x 3"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185</v>
      </c>
      <c r="L1357" s="6" t="n">
        <v>185</v>
      </c>
      <c r="M1357" s="6" t="n">
        <v>185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H1357" s="4" t="inlineStr">
        <is>
          <t>tipo: niple · material: HG · medida: 3/8" x 3"</t>
        </is>
      </c>
    </row>
    <row r="1358">
      <c r="A1358" s="3" t="inlineStr">
        <is>
          <t>MAT-32-175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Niple de HG 3/8" x 4 1/2"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194</v>
      </c>
      <c r="L1358" s="6" t="n">
        <v>194</v>
      </c>
      <c r="M1358" s="6" t="n">
        <v>194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H1358" s="4" t="inlineStr">
        <is>
          <t>tipo: niple · material: HG · medida: 3/8" x 4 1/2"</t>
        </is>
      </c>
    </row>
    <row r="1359">
      <c r="A1359" s="3" t="inlineStr">
        <is>
          <t>MAT-32-176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Niple de HG 3/8" x 4"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249</v>
      </c>
      <c r="L1359" s="6" t="n">
        <v>249</v>
      </c>
      <c r="M1359" s="6" t="n">
        <v>249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H1359" s="4" t="inlineStr">
        <is>
          <t>tipo: niple · material: HG · medida: 3/8" x 4"</t>
        </is>
      </c>
    </row>
    <row r="1360">
      <c r="A1360" s="3" t="inlineStr">
        <is>
          <t>MAT-32-177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Niple de HG 3/8" x 5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229</v>
      </c>
      <c r="L1360" s="6" t="n">
        <v>229</v>
      </c>
      <c r="M1360" s="6" t="n">
        <v>229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H1360" s="4" t="inlineStr">
        <is>
          <t>tipo: niple · material: HG · medida: 3/8" x 5 1/2"</t>
        </is>
      </c>
    </row>
    <row r="1361">
      <c r="A1361" s="3" t="inlineStr">
        <is>
          <t>MAT-32-178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Niple de HG 3/8" x 5"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255</v>
      </c>
      <c r="L1361" s="6" t="n">
        <v>255</v>
      </c>
      <c r="M1361" s="6" t="n">
        <v>255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H1361" s="4" t="inlineStr">
        <is>
          <t>tipo: niple · material: HG · medida: 3/8" x 5"</t>
        </is>
      </c>
    </row>
    <row r="1362">
      <c r="A1362" s="3" t="inlineStr">
        <is>
          <t>MAT-32-179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Niple de HG 3/8" x 6"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327</v>
      </c>
      <c r="L1362" s="6" t="n">
        <v>327</v>
      </c>
      <c r="M1362" s="6" t="n">
        <v>327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H1362" s="4" t="inlineStr">
        <is>
          <t>tipo: niple · material: HG · medida: 3/8" x 6"</t>
        </is>
      </c>
    </row>
    <row r="1363">
      <c r="A1363" s="3" t="inlineStr">
        <is>
          <t>MAT-32-180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Niple de niquelado 1/2" x 2 1/2"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192.5</v>
      </c>
      <c r="L1363" s="6" t="n">
        <v>59</v>
      </c>
      <c r="M1363" s="6" t="n">
        <v>326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H1363" s="4" t="inlineStr">
        <is>
          <t>tipo: niple · material: niquelado · medida: 1/2" x 2 1/2"</t>
        </is>
      </c>
    </row>
    <row r="1364">
      <c r="A1364" s="3" t="inlineStr">
        <is>
          <t>MAT-32-181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Niple de niquelado 1/2" x 2"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138</v>
      </c>
      <c r="L1364" s="6" t="n">
        <v>52</v>
      </c>
      <c r="M1364" s="6" t="n">
        <v>224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H1364" s="4" t="inlineStr">
        <is>
          <t>tipo: niple · material: niquelado · medida: 1/2" x 2"</t>
        </is>
      </c>
    </row>
    <row r="1365">
      <c r="A1365" s="3" t="inlineStr">
        <is>
          <t>MAT-32-182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Niple de niquelado 1/2" x 3"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388</v>
      </c>
      <c r="L1365" s="6" t="n">
        <v>388</v>
      </c>
      <c r="M1365" s="6" t="n">
        <v>388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H1365" s="4" t="inlineStr">
        <is>
          <t>tipo: niple · material: niquelado · medida: 1/2" x 3"</t>
        </is>
      </c>
    </row>
    <row r="1366">
      <c r="A1366" s="3" t="inlineStr">
        <is>
          <t>MAT-32-183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Niple de niquelado 3/8" x 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47</v>
      </c>
      <c r="L1366" s="6" t="n">
        <v>47</v>
      </c>
      <c r="M1366" s="6" t="n">
        <v>47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H1366" s="4" t="inlineStr">
        <is>
          <t>tipo: niple · material: niquelado · medida: 3/8" x 2"</t>
        </is>
      </c>
    </row>
    <row r="1367">
      <c r="A1367" s="3" t="inlineStr">
        <is>
          <t>MAT-32-184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Niple de niquelado 3/8" x 3"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59</v>
      </c>
      <c r="L1367" s="6" t="n">
        <v>59</v>
      </c>
      <c r="M1367" s="6" t="n">
        <v>59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H1367" s="4" t="inlineStr">
        <is>
          <t>tipo: niple · material: niquelado · medida: 3/8" x 3"</t>
        </is>
      </c>
    </row>
    <row r="1368">
      <c r="A1368" s="3" t="inlineStr">
        <is>
          <t>MAT-32-185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Reducción bushing de bronce 1/4" x 3/8"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132</v>
      </c>
      <c r="L1368" s="6" t="n">
        <v>132</v>
      </c>
      <c r="M1368" s="6" t="n">
        <v>132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H1368" s="4" t="inlineStr">
        <is>
          <t>tipo: reduccion-bushing · material: bronce · medida: 1/4" x 3/8"</t>
        </is>
      </c>
    </row>
    <row r="1369">
      <c r="A1369" s="3" t="inlineStr">
        <is>
          <t>MAT-32-186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Reducción bushing de bronce 1/8" x 1/4"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101</v>
      </c>
      <c r="L1369" s="6" t="n">
        <v>101</v>
      </c>
      <c r="M1369" s="6" t="n">
        <v>101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H1369" s="4" t="inlineStr">
        <is>
          <t>tipo: reduccion-bushing · material: bronce · medida: 1/8" x 1/4"</t>
        </is>
      </c>
    </row>
    <row r="1370">
      <c r="A1370" s="3" t="inlineStr">
        <is>
          <t>MAT-32-187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Reducción bushing de bronce 1/8" x 3/8"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77</v>
      </c>
      <c r="L1370" s="6" t="n">
        <v>77</v>
      </c>
      <c r="M1370" s="6" t="n">
        <v>77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H1370" s="4" t="inlineStr">
        <is>
          <t>tipo: reduccion-bushing · material: bronce · medida: 1/8" x 3/8"</t>
        </is>
      </c>
    </row>
    <row r="1371">
      <c r="A1371" s="3" t="inlineStr">
        <is>
          <t>MAT-32-188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Reducción bushing de HG 1 1/2" x 1 1/4"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247</v>
      </c>
      <c r="L1371" s="6" t="n">
        <v>247</v>
      </c>
      <c r="M1371" s="6" t="n">
        <v>247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H1371" s="4" t="inlineStr">
        <is>
          <t>tipo: reduccion-bushing · material: HG · medida: 1 1/2" x 1 1/4"</t>
        </is>
      </c>
    </row>
    <row r="1372">
      <c r="A1372" s="3" t="inlineStr">
        <is>
          <t>MAT-32-189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Reducción bushing de HG 1 1/2" x 1/2"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103</v>
      </c>
      <c r="L1372" s="6" t="n">
        <v>103</v>
      </c>
      <c r="M1372" s="6" t="n">
        <v>103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H1372" s="4" t="inlineStr">
        <is>
          <t>tipo: reduccion-bushing · material: HG · medida: 1 1/2" x 1/2"</t>
        </is>
      </c>
    </row>
    <row r="1373">
      <c r="A1373" s="3" t="inlineStr">
        <is>
          <t>MAT-32-190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Reducción bushing de HG 1 1/2" x 1"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214</v>
      </c>
      <c r="L1373" s="6" t="n">
        <v>214</v>
      </c>
      <c r="M1373" s="6" t="n">
        <v>214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H1373" s="4" t="inlineStr">
        <is>
          <t>tipo: reduccion-bushing · material: HG · medida: 1 1/2" x 1"</t>
        </is>
      </c>
    </row>
    <row r="1374">
      <c r="A1374" s="3" t="inlineStr">
        <is>
          <t>MAT-32-191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HG 1 1/2" x 3/4"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87</v>
      </c>
      <c r="L1374" s="6" t="n">
        <v>87</v>
      </c>
      <c r="M1374" s="6" t="n">
        <v>87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</t>
        </is>
      </c>
      <c r="AH1374" s="4" t="inlineStr">
        <is>
          <t>tipo: reduccion-bushing · material: HG · medida: 1 1/2" x 3/4"</t>
        </is>
      </c>
    </row>
    <row r="1375">
      <c r="A1375" s="3" t="inlineStr">
        <is>
          <t>MAT-32-192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HG 1 1/4" x 1/2"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61</v>
      </c>
      <c r="L1375" s="6" t="n">
        <v>61</v>
      </c>
      <c r="M1375" s="6" t="n">
        <v>61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Cima</t>
        </is>
      </c>
      <c r="AH1375" s="4" t="inlineStr">
        <is>
          <t>tipo: reduccion-bushing · material: HG · medida: 1 1/4" x 1/2"</t>
        </is>
      </c>
    </row>
    <row r="1376">
      <c r="A1376" s="3" t="inlineStr">
        <is>
          <t>MAT-32-193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HG 1 1/4" x 1"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198</v>
      </c>
      <c r="L1376" s="6" t="n">
        <v>198</v>
      </c>
      <c r="M1376" s="6" t="n">
        <v>198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Cima</t>
        </is>
      </c>
      <c r="AH1376" s="4" t="inlineStr">
        <is>
          <t>tipo: reduccion-bushing · material: HG · medida: 1 1/4" x 1"</t>
        </is>
      </c>
    </row>
    <row r="1377">
      <c r="A1377" s="3" t="inlineStr">
        <is>
          <t>MAT-32-194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HG 1/2" x 1/4"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80</v>
      </c>
      <c r="L1377" s="6" t="n">
        <v>80</v>
      </c>
      <c r="M1377" s="6" t="n">
        <v>80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H1377" s="4" t="inlineStr">
        <is>
          <t>tipo: reduccion-bushing · material: HG · medida: 1/2" x 1/4"</t>
        </is>
      </c>
    </row>
    <row r="1378">
      <c r="A1378" s="3" t="inlineStr">
        <is>
          <t>MAT-32-195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HG 1/2" x 3/8"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65</v>
      </c>
      <c r="L1378" s="6" t="n">
        <v>65</v>
      </c>
      <c r="M1378" s="6" t="n">
        <v>65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H1378" s="4" t="inlineStr">
        <is>
          <t>tipo: reduccion-bushing · material: HG · medida: 1/2" x 3/8"</t>
        </is>
      </c>
    </row>
    <row r="1379">
      <c r="A1379" s="3" t="inlineStr">
        <is>
          <t>MAT-32-196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HG 1" x 1/2"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92</v>
      </c>
      <c r="L1379" s="6" t="n">
        <v>92</v>
      </c>
      <c r="M1379" s="6" t="n">
        <v>92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H1379" s="4" t="inlineStr">
        <is>
          <t>tipo: reduccion-bushing · material: HG · medida: 1" x 1/2"</t>
        </is>
      </c>
    </row>
    <row r="1380">
      <c r="A1380" s="3" t="inlineStr">
        <is>
          <t>MAT-32-197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HG 1" x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97</v>
      </c>
      <c r="L1380" s="6" t="n">
        <v>97</v>
      </c>
      <c r="M1380" s="6" t="n">
        <v>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H1380" s="4" t="inlineStr">
        <is>
          <t>tipo: reduccion-bushing · material: HG · medida: 1" x 3/4"</t>
        </is>
      </c>
    </row>
    <row r="1381">
      <c r="A1381" s="3" t="inlineStr">
        <is>
          <t>MAT-32-198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HG 2" x 1 1/2"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189</v>
      </c>
      <c r="L1381" s="6" t="n">
        <v>189</v>
      </c>
      <c r="M1381" s="6" t="n">
        <v>189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H1381" s="4" t="inlineStr">
        <is>
          <t>tipo: reduccion-bushing · material: HG · medida: 2" x 1 1/2"</t>
        </is>
      </c>
    </row>
    <row r="1382">
      <c r="A1382" s="3" t="inlineStr">
        <is>
          <t>MAT-32-199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HG 3/4" x 1/2"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75</v>
      </c>
      <c r="L1382" s="6" t="n">
        <v>75</v>
      </c>
      <c r="M1382" s="6" t="n">
        <v>75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H1382" s="4" t="inlineStr">
        <is>
          <t>tipo: reduccion-bushing · material: HG · medida: 3/4" x 1/2"</t>
        </is>
      </c>
    </row>
    <row r="1383">
      <c r="A1383" s="3" t="inlineStr">
        <is>
          <t>MAT-32-200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PVC drenaje 2" x 1/2"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39.23</v>
      </c>
      <c r="L1383" s="6" t="n">
        <v>14.47</v>
      </c>
      <c r="M1383" s="6" t="n">
        <v>64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 · Ferretería MC</t>
        </is>
      </c>
      <c r="AH1383" s="4" t="inlineStr">
        <is>
          <t>tipo: reduccion-bushing · material: PVC drenaje · medida: 2" x 1/2"</t>
        </is>
      </c>
    </row>
    <row r="1384">
      <c r="A1384" s="3" t="inlineStr">
        <is>
          <t>MAT-32-201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PVC drenaje 2" x 1"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16.8</v>
      </c>
      <c r="L1384" s="6" t="n">
        <v>16.8</v>
      </c>
      <c r="M1384" s="6" t="n">
        <v>16.8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MC</t>
        </is>
      </c>
      <c r="AH1384" s="4" t="inlineStr">
        <is>
          <t>tipo: reduccion-bushing · material: PVC drenaje · medida: 2" x 1"</t>
        </is>
      </c>
    </row>
    <row r="1385">
      <c r="A1385" s="3" t="inlineStr">
        <is>
          <t>MAT-32-202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PVC drenaje 2" x 3/4"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16.32</v>
      </c>
      <c r="L1385" s="6" t="n">
        <v>16.32</v>
      </c>
      <c r="M1385" s="6" t="n">
        <v>16.32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MC</t>
        </is>
      </c>
      <c r="AH1385" s="4" t="inlineStr">
        <is>
          <t>tipo: reduccion-bushing · material: PVC drenaje · medida: 2" x 3/4"</t>
        </is>
      </c>
    </row>
    <row r="1386">
      <c r="A1386" s="3" t="inlineStr">
        <is>
          <t>MAT-32-203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PVC drenaje 3" x 2"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39.19</v>
      </c>
      <c r="L1386" s="6" t="n">
        <v>39.19</v>
      </c>
      <c r="M1386" s="6" t="n">
        <v>39.19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MC</t>
        </is>
      </c>
      <c r="AH1386" s="4" t="inlineStr">
        <is>
          <t>tipo: reduccion-bushing · material: PVC drenaje · medida: 3" x 2"</t>
        </is>
      </c>
    </row>
    <row r="1387">
      <c r="A1387" s="3" t="inlineStr">
        <is>
          <t>MAT-32-204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PVC drenaje 4" x 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75.87</v>
      </c>
      <c r="L1387" s="6" t="n">
        <v>75.87</v>
      </c>
      <c r="M1387" s="6" t="n">
        <v>75.87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MC</t>
        </is>
      </c>
      <c r="AH1387" s="4" t="inlineStr">
        <is>
          <t>tipo: reduccion-bushing · material: PVC drenaje · medida: 4" x 2"</t>
        </is>
      </c>
    </row>
    <row r="1388">
      <c r="A1388" s="3" t="inlineStr">
        <is>
          <t>MAT-32-205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PVC drenaje 4" x 3"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75.40000000000001</v>
      </c>
      <c r="L1388" s="6" t="n">
        <v>75.40000000000001</v>
      </c>
      <c r="M1388" s="6" t="n">
        <v>75.40000000000001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MC</t>
        </is>
      </c>
      <c r="AH1388" s="4" t="inlineStr">
        <is>
          <t>tipo: reduccion-bushing · material: PVC drenaje · medida: 4" x 3"</t>
        </is>
      </c>
    </row>
    <row r="1389">
      <c r="A1389" s="3" t="inlineStr">
        <is>
          <t>MAT-32-206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drenaje 6" x 4"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280.01</v>
      </c>
      <c r="L1389" s="6" t="n">
        <v>280.01</v>
      </c>
      <c r="M1389" s="6" t="n">
        <v>280.01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MC</t>
        </is>
      </c>
      <c r="AH1389" s="4" t="inlineStr">
        <is>
          <t>tipo: reduccion-bushing · material: PVC drenaje · medida: 6" x 4"</t>
        </is>
      </c>
    </row>
    <row r="1390">
      <c r="A1390" s="3" t="inlineStr">
        <is>
          <t>MAT-32-207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drenaje 8" x 4"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2509.51</v>
      </c>
      <c r="L1390" s="6" t="n">
        <v>2509.51</v>
      </c>
      <c r="M1390" s="6" t="n">
        <v>2509.51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MC</t>
        </is>
      </c>
      <c r="AH1390" s="4" t="inlineStr">
        <is>
          <t>tipo: reduccion-bushing · material: PVC drenaje · medida: 8" x 4"</t>
        </is>
      </c>
    </row>
    <row r="1391">
      <c r="A1391" s="3" t="inlineStr">
        <is>
          <t>MAT-32-208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drenaje 8" x 6"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1918.68</v>
      </c>
      <c r="L1391" s="6" t="n">
        <v>1918.68</v>
      </c>
      <c r="M1391" s="6" t="n">
        <v>1918.68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MC</t>
        </is>
      </c>
      <c r="AH1391" s="4" t="inlineStr">
        <is>
          <t>tipo: reduccion-bushing · material: PVC drenaje · medida: 8" x 6"</t>
        </is>
      </c>
    </row>
    <row r="1392">
      <c r="A1392" s="3" t="inlineStr">
        <is>
          <t>MAT-32-209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1 1/2" x 1"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87</v>
      </c>
      <c r="L1392" s="6" t="n">
        <v>87</v>
      </c>
      <c r="M1392" s="6" t="n">
        <v>87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Cima</t>
        </is>
      </c>
      <c r="AH1392" s="4" t="inlineStr">
        <is>
          <t>tipo: reduccion-bushing · material: PVC · medida: 1 1/2" x 1"</t>
        </is>
      </c>
    </row>
    <row r="1393">
      <c r="A1393" s="3" t="inlineStr">
        <is>
          <t>MAT-32-210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1 1/2" x 3/4"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85</v>
      </c>
      <c r="L1393" s="6" t="n">
        <v>85</v>
      </c>
      <c r="M1393" s="6" t="n">
        <v>85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Cima</t>
        </is>
      </c>
      <c r="AH1393" s="4" t="inlineStr">
        <is>
          <t>tipo: reduccion-bushing · material: PVC · medida: 1 1/2" x 3/4"</t>
        </is>
      </c>
    </row>
    <row r="1394">
      <c r="A1394" s="3" t="inlineStr">
        <is>
          <t>MAT-32-211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1" x 1/2"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35</v>
      </c>
      <c r="L1394" s="6" t="n">
        <v>35</v>
      </c>
      <c r="M1394" s="6" t="n">
        <v>35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Cima</t>
        </is>
      </c>
      <c r="AH1394" s="4" t="inlineStr">
        <is>
          <t>tipo: reduccion-bushing · material: PVC · medida: 1" x 1/2"</t>
        </is>
      </c>
    </row>
    <row r="1395">
      <c r="A1395" s="3" t="inlineStr">
        <is>
          <t>MAT-32-212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1" x 3/4"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26</v>
      </c>
      <c r="L1395" s="6" t="n">
        <v>26</v>
      </c>
      <c r="M1395" s="6" t="n">
        <v>26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Cima</t>
        </is>
      </c>
      <c r="AH1395" s="4" t="inlineStr">
        <is>
          <t>tipo: reduccion-bushing · material: PVC · medida: 1" x 3/4"</t>
        </is>
      </c>
    </row>
    <row r="1396">
      <c r="A1396" s="3" t="inlineStr">
        <is>
          <t>MAT-32-213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2" x 1 1/2"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65</v>
      </c>
      <c r="L1396" s="6" t="n">
        <v>65</v>
      </c>
      <c r="M1396" s="6" t="n">
        <v>65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Cima</t>
        </is>
      </c>
      <c r="AH1396" s="4" t="inlineStr">
        <is>
          <t>tipo: reduccion-bushing · material: PVC · medida: 2" x 1 1/2"</t>
        </is>
      </c>
    </row>
    <row r="1397">
      <c r="A1397" s="3" t="inlineStr">
        <is>
          <t>MAT-32-214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2" x 1"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64</v>
      </c>
      <c r="L1397" s="6" t="n">
        <v>64</v>
      </c>
      <c r="M1397" s="6" t="n">
        <v>64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Cima</t>
        </is>
      </c>
      <c r="AH1397" s="4" t="inlineStr">
        <is>
          <t>tipo: reduccion-bushing · material: PVC · medida: 2" x 1"</t>
        </is>
      </c>
    </row>
    <row r="1398">
      <c r="A1398" s="3" t="inlineStr">
        <is>
          <t>MAT-32-215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2" x 3/4"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41</v>
      </c>
      <c r="L1398" s="6" t="n">
        <v>41</v>
      </c>
      <c r="M1398" s="6" t="n">
        <v>41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H1398" s="4" t="inlineStr">
        <is>
          <t>tipo: reduccion-bushing · material: PVC · medida: 2" x 3/4"</t>
        </is>
      </c>
    </row>
    <row r="1399">
      <c r="A1399" s="3" t="inlineStr">
        <is>
          <t>MAT-32-216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bushing de PVC 3/4" x 1/2"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20</v>
      </c>
      <c r="L1399" s="6" t="n">
        <v>20</v>
      </c>
      <c r="M1399" s="6" t="n">
        <v>20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H1399" s="4" t="inlineStr">
        <is>
          <t>tipo: reduccion-bushing · material: PVC · medida: 3/4" x 1/2"</t>
        </is>
      </c>
    </row>
    <row r="1400">
      <c r="A1400" s="3" t="inlineStr">
        <is>
          <t>MAT-32-217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bushing de PVC 3" x 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210</v>
      </c>
      <c r="L1400" s="6" t="n">
        <v>210</v>
      </c>
      <c r="M1400" s="6" t="n">
        <v>210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H1400" s="4" t="inlineStr">
        <is>
          <t>tipo: reduccion-bushing · material: PVC · medida: 3" x 2"</t>
        </is>
      </c>
    </row>
    <row r="1401">
      <c r="A1401" s="3" t="inlineStr">
        <is>
          <t>MAT-32-218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bushing de PVC 4" x 2"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175</v>
      </c>
      <c r="L1401" s="6" t="n">
        <v>175</v>
      </c>
      <c r="M1401" s="6" t="n">
        <v>175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H1401" s="4" t="inlineStr">
        <is>
          <t>tipo: reduccion-bushing · material: PVC · medida: 4" x 2"</t>
        </is>
      </c>
    </row>
    <row r="1402">
      <c r="A1402" s="3" t="inlineStr">
        <is>
          <t>MAT-32-219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bushing de PVC 4" x 3"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195</v>
      </c>
      <c r="L1402" s="6" t="n">
        <v>195</v>
      </c>
      <c r="M1402" s="6" t="n">
        <v>195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H1402" s="4" t="inlineStr">
        <is>
          <t>tipo: reduccion-bushing · material: PVC · medida: 4" x 3"</t>
        </is>
      </c>
    </row>
    <row r="1403">
      <c r="A1403" s="3" t="inlineStr">
        <is>
          <t>MAT-32-220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bushing de PVC 6" x 4"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702</v>
      </c>
      <c r="L1403" s="6" t="n">
        <v>702</v>
      </c>
      <c r="M1403" s="6" t="n">
        <v>702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H1403" s="4" t="inlineStr">
        <is>
          <t>tipo: reduccion-bushing · material: PVC · medida: 6" x 4"</t>
        </is>
      </c>
    </row>
    <row r="1404">
      <c r="A1404" s="3" t="inlineStr">
        <is>
          <t>MAT-32-221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bushing de PVC presión 1 1/2" x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26.85</v>
      </c>
      <c r="L1404" s="6" t="n">
        <v>26.85</v>
      </c>
      <c r="M1404" s="6" t="n">
        <v>26.85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MC</t>
        </is>
      </c>
      <c r="AH1404" s="4" t="inlineStr">
        <is>
          <t>tipo: reduccion-bushing · material: PVC presión · medida: 1 1/2" x 1/2"</t>
        </is>
      </c>
    </row>
    <row r="1405">
      <c r="A1405" s="3" t="inlineStr">
        <is>
          <t>MAT-32-222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bushing de PVC presión 1 1/2" x 1"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26.41</v>
      </c>
      <c r="L1405" s="6" t="n">
        <v>26.41</v>
      </c>
      <c r="M1405" s="6" t="n">
        <v>26.41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MC</t>
        </is>
      </c>
      <c r="AH1405" s="4" t="inlineStr">
        <is>
          <t>tipo: reduccion-bushing · material: PVC presión · medida: 1 1/2" x 1"</t>
        </is>
      </c>
    </row>
    <row r="1406">
      <c r="A1406" s="3" t="inlineStr">
        <is>
          <t>MAT-32-223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bushing de PVC presión 1 1/2" x 3/4"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21.36</v>
      </c>
      <c r="L1406" s="6" t="n">
        <v>21.36</v>
      </c>
      <c r="M1406" s="6" t="n">
        <v>21.36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MC</t>
        </is>
      </c>
      <c r="AH1406" s="4" t="inlineStr">
        <is>
          <t>tipo: reduccion-bushing · material: PVC presión · medida: 1 1/2" x 3/4"</t>
        </is>
      </c>
    </row>
    <row r="1407">
      <c r="A1407" s="3" t="inlineStr">
        <is>
          <t>MAT-32-224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bushing de PVC presión 1" x 1/2"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10.56</v>
      </c>
      <c r="L1407" s="6" t="n">
        <v>10.56</v>
      </c>
      <c r="M1407" s="6" t="n">
        <v>10.56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MC</t>
        </is>
      </c>
      <c r="AH1407" s="4" t="inlineStr">
        <is>
          <t>tipo: reduccion-bushing · material: PVC presión · medida: 1" x 1/2"</t>
        </is>
      </c>
    </row>
    <row r="1408">
      <c r="A1408" s="3" t="inlineStr">
        <is>
          <t>MAT-32-225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bushing de PVC presión 1" x 3/4"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8.300000000000001</v>
      </c>
      <c r="L1408" s="6" t="n">
        <v>8.300000000000001</v>
      </c>
      <c r="M1408" s="6" t="n">
        <v>8.300000000000001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MC</t>
        </is>
      </c>
      <c r="AH1408" s="4" t="inlineStr">
        <is>
          <t>tipo: reduccion-bushing · material: PVC presión · medida: 1" x 3/4"</t>
        </is>
      </c>
    </row>
    <row r="1409">
      <c r="A1409" s="3" t="inlineStr">
        <is>
          <t>MAT-32-226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Reducción bushing de PVC presión 2" x 1 1/2"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22.93</v>
      </c>
      <c r="L1409" s="6" t="n">
        <v>22.93</v>
      </c>
      <c r="M1409" s="6" t="n">
        <v>22.93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MC</t>
        </is>
      </c>
      <c r="AH1409" s="4" t="inlineStr">
        <is>
          <t>tipo: reduccion-bushing · material: PVC presión · medida: 2" x 1 1/2"</t>
        </is>
      </c>
    </row>
    <row r="1410">
      <c r="A1410" s="3" t="inlineStr">
        <is>
          <t>MAT-32-227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Reducción bushing de PVC presión 2"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30.85</v>
      </c>
      <c r="L1410" s="6" t="n">
        <v>30.85</v>
      </c>
      <c r="M1410" s="6" t="n">
        <v>30.85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MC</t>
        </is>
      </c>
      <c r="AH1410" s="4" t="inlineStr">
        <is>
          <t>tipo: reduccion-bushing · material: PVC presión · medida: 2" x 1/2"</t>
        </is>
      </c>
    </row>
    <row r="1411">
      <c r="A1411" s="3" t="inlineStr">
        <is>
          <t>MAT-32-228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Reducción bushing de PVC presión 2" x 1"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33.22</v>
      </c>
      <c r="L1411" s="6" t="n">
        <v>33.22</v>
      </c>
      <c r="M1411" s="6" t="n">
        <v>33.22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MC</t>
        </is>
      </c>
      <c r="AH1411" s="4" t="inlineStr">
        <is>
          <t>tipo: reduccion-bushing · material: PVC presión · medida: 2" x 1"</t>
        </is>
      </c>
    </row>
    <row r="1412">
      <c r="A1412" s="3" t="inlineStr">
        <is>
          <t>MAT-32-229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Reducción bushing de PVC presión 2"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40.34</v>
      </c>
      <c r="L1412" s="6" t="n">
        <v>40.34</v>
      </c>
      <c r="M1412" s="6" t="n">
        <v>40.34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MC</t>
        </is>
      </c>
      <c r="AH1412" s="4" t="inlineStr">
        <is>
          <t>tipo: reduccion-bushing · material: PVC presión · medida: 2" x 3/4"</t>
        </is>
      </c>
    </row>
    <row r="1413">
      <c r="A1413" s="3" t="inlineStr">
        <is>
          <t>MAT-32-230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Reducción bushing de PVC presión 3/4" x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4.96</v>
      </c>
      <c r="L1413" s="6" t="n">
        <v>4.96</v>
      </c>
      <c r="M1413" s="6" t="n">
        <v>4.96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MC</t>
        </is>
      </c>
      <c r="AH1413" s="4" t="inlineStr">
        <is>
          <t>tipo: reduccion-bushing · material: PVC presión · medida: 3/4" x 1/2"</t>
        </is>
      </c>
    </row>
    <row r="1414">
      <c r="A1414" s="3" t="inlineStr">
        <is>
          <t>MAT-32-231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Reducción de HG 1 1/2" x 1"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237</v>
      </c>
      <c r="L1414" s="6" t="n">
        <v>237</v>
      </c>
      <c r="M1414" s="6" t="n">
        <v>237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Cima</t>
        </is>
      </c>
      <c r="AH1414" s="4" t="inlineStr">
        <is>
          <t>tipo: reduccion · material: HG · medida: 1 1/2" x 1"</t>
        </is>
      </c>
    </row>
    <row r="1415">
      <c r="A1415" s="3" t="inlineStr">
        <is>
          <t>MAT-32-232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Reducción de HG 1/2" x 3/8"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70</v>
      </c>
      <c r="L1415" s="6" t="n">
        <v>70</v>
      </c>
      <c r="M1415" s="6" t="n">
        <v>70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</t>
        </is>
      </c>
      <c r="AH1415" s="4" t="inlineStr">
        <is>
          <t>tipo: reduccion · material: HG · medida: 1/2" x 3/8"</t>
        </is>
      </c>
    </row>
    <row r="1416">
      <c r="A1416" s="3" t="inlineStr">
        <is>
          <t>MAT-32-233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Reducción de HG 1" x 1/2"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95</v>
      </c>
      <c r="L1416" s="6" t="n">
        <v>95</v>
      </c>
      <c r="M1416" s="6" t="n">
        <v>95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Cima</t>
        </is>
      </c>
      <c r="AH1416" s="4" t="inlineStr">
        <is>
          <t>tipo: reduccion · material: HG · medida: 1" x 1/2"</t>
        </is>
      </c>
    </row>
    <row r="1417">
      <c r="A1417" s="3" t="inlineStr">
        <is>
          <t>MAT-32-234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Reducción de HG 1" x 3/4"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101</v>
      </c>
      <c r="L1417" s="6" t="n">
        <v>101</v>
      </c>
      <c r="M1417" s="6" t="n">
        <v>101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Cima</t>
        </is>
      </c>
      <c r="AH1417" s="4" t="inlineStr">
        <is>
          <t>tipo: reduccion · material: HG · medida: 1" x 3/4"</t>
        </is>
      </c>
    </row>
    <row r="1418">
      <c r="A1418" s="3" t="inlineStr">
        <is>
          <t>MAT-32-235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Reducción de PPR 25 mm x 20 mm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53</v>
      </c>
      <c r="L1418" s="6" t="n">
        <v>53</v>
      </c>
      <c r="M1418" s="6" t="n">
        <v>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</t>
        </is>
      </c>
      <c r="AH1418" s="4" t="inlineStr">
        <is>
          <t>tipo: reduccion · material: PPR · medida: 25 mm x 20 mm</t>
        </is>
      </c>
    </row>
    <row r="1419">
      <c r="A1419" s="3" t="inlineStr">
        <is>
          <t>MAT-32-236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Reducción de PVC 1 1/2" x 1/2"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63</v>
      </c>
      <c r="L1419" s="6" t="n">
        <v>63</v>
      </c>
      <c r="M1419" s="6" t="n">
        <v>63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</t>
        </is>
      </c>
      <c r="AH1419" s="4" t="inlineStr">
        <is>
          <t>tipo: reduccion · material: PVC · medida: 1 1/2" x 1/2"</t>
        </is>
      </c>
    </row>
    <row r="1420">
      <c r="A1420" s="3" t="inlineStr">
        <is>
          <t>MAT-32-237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Reducción de PVC 1 1/2" x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111</v>
      </c>
      <c r="L1420" s="6" t="n">
        <v>111</v>
      </c>
      <c r="M1420" s="6" t="n">
        <v>111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H1420" s="4" t="inlineStr">
        <is>
          <t>tipo: reduccion · material: PVC · medida: 1 1/2" x 1"</t>
        </is>
      </c>
    </row>
    <row r="1421">
      <c r="A1421" s="3" t="inlineStr">
        <is>
          <t>MAT-32-238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Reducción de PVC 1 1/2" x 3/4"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85</v>
      </c>
      <c r="L1421" s="6" t="n">
        <v>85</v>
      </c>
      <c r="M1421" s="6" t="n">
        <v>85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H1421" s="4" t="inlineStr">
        <is>
          <t>tipo: reduccion · material: PVC · medida: 1 1/2" x 3/4"</t>
        </is>
      </c>
    </row>
    <row r="1422">
      <c r="A1422" s="3" t="inlineStr">
        <is>
          <t>MAT-32-239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Reducción de PVC 2" x 1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234</v>
      </c>
      <c r="L1422" s="6" t="n">
        <v>234</v>
      </c>
      <c r="M1422" s="6" t="n">
        <v>234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H1422" s="4" t="inlineStr">
        <is>
          <t>tipo: reduccion · material: PVC · medida: 2" x 1 1/2"</t>
        </is>
      </c>
    </row>
    <row r="1423">
      <c r="A1423" s="3" t="inlineStr">
        <is>
          <t>MAT-32-240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Reducción de PVC 3/4" x 1/2"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46</v>
      </c>
      <c r="L1423" s="6" t="n">
        <v>46</v>
      </c>
      <c r="M1423" s="6" t="n">
        <v>46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H1423" s="4" t="inlineStr">
        <is>
          <t>tipo: reduccion · material: PVC · medida: 3/4" x 1/2"</t>
        </is>
      </c>
    </row>
    <row r="1424">
      <c r="A1424" s="3" t="inlineStr">
        <is>
          <t>MAT-32-241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Tapón hembra de bronce 1/4"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101</v>
      </c>
      <c r="L1424" s="6" t="n">
        <v>101</v>
      </c>
      <c r="M1424" s="6" t="n">
        <v>101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H1424" s="4" t="inlineStr">
        <is>
          <t>tipo: tapon-hembra · material: bronce · medida: 1/4"</t>
        </is>
      </c>
    </row>
    <row r="1425">
      <c r="A1425" s="3" t="inlineStr">
        <is>
          <t>MAT-32-242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Tapón hembra de bronce 3/8"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170</v>
      </c>
      <c r="L1425" s="6" t="n">
        <v>170</v>
      </c>
      <c r="M1425" s="6" t="n">
        <v>170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H1425" s="4" t="inlineStr">
        <is>
          <t>tipo: tapon-hembra · material: bronce · medida: 3/8"</t>
        </is>
      </c>
    </row>
    <row r="1426">
      <c r="A1426" s="3" t="inlineStr">
        <is>
          <t>MAT-32-243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Tapón hembra de HG 1 1/2"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270</v>
      </c>
      <c r="L1426" s="6" t="n">
        <v>270</v>
      </c>
      <c r="M1426" s="6" t="n">
        <v>270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H1426" s="4" t="inlineStr">
        <is>
          <t>tipo: tapon-hembra · material: HG · medida: 1 1/2"</t>
        </is>
      </c>
    </row>
    <row r="1427">
      <c r="A1427" s="3" t="inlineStr">
        <is>
          <t>MAT-32-244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Tapón hembra de HG 1/2"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20</v>
      </c>
      <c r="L1427" s="6" t="n">
        <v>20</v>
      </c>
      <c r="M1427" s="6" t="n">
        <v>20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H1427" s="4" t="inlineStr">
        <is>
          <t>tipo: tapon-hembra · material: HG · medida: 1/2"</t>
        </is>
      </c>
    </row>
    <row r="1428">
      <c r="A1428" s="3" t="inlineStr">
        <is>
          <t>MAT-32-245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Tapón hembra de HG 1/4"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35</v>
      </c>
      <c r="L1428" s="6" t="n">
        <v>35</v>
      </c>
      <c r="M1428" s="6" t="n">
        <v>35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H1428" s="4" t="inlineStr">
        <is>
          <t>tipo: tapon-hembra · material: HG · medida: 1/4"</t>
        </is>
      </c>
    </row>
    <row r="1429">
      <c r="A1429" s="3" t="inlineStr">
        <is>
          <t>MAT-32-246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Tapón hembra de HG 1"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44</v>
      </c>
      <c r="L1429" s="6" t="n">
        <v>44</v>
      </c>
      <c r="M1429" s="6" t="n">
        <v>44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H1429" s="4" t="inlineStr">
        <is>
          <t>tipo: tapon-hembra · material: HG · medida: 1"</t>
        </is>
      </c>
    </row>
    <row r="1430">
      <c r="A1430" s="3" t="inlineStr">
        <is>
          <t>MAT-32-247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hembra de HG 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189</v>
      </c>
      <c r="L1430" s="6" t="n">
        <v>189</v>
      </c>
      <c r="M1430" s="6" t="n">
        <v>189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H1430" s="4" t="inlineStr">
        <is>
          <t>tipo: tapon-hembra · material: HG · medida: 2"</t>
        </is>
      </c>
    </row>
    <row r="1431">
      <c r="A1431" s="3" t="inlineStr">
        <is>
          <t>MAT-32-248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hembra de PPR 20 mm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31</v>
      </c>
      <c r="L1431" s="6" t="n">
        <v>31</v>
      </c>
      <c r="M1431" s="6" t="n">
        <v>31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H1431" s="4" t="inlineStr">
        <is>
          <t>tipo: tapon-hembra · material: PPR · medida: 20 mm</t>
        </is>
      </c>
    </row>
    <row r="1432">
      <c r="A1432" s="3" t="inlineStr">
        <is>
          <t>MAT-32-249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hembra de PVC presión 1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50</v>
      </c>
      <c r="L1432" s="6" t="n">
        <v>50</v>
      </c>
      <c r="M1432" s="6" t="n">
        <v>50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H1432" s="4" t="inlineStr">
        <is>
          <t>tipo: tapon-hembra · material: PVC presión · medida: 1 1/2"</t>
        </is>
      </c>
    </row>
    <row r="1433">
      <c r="A1433" s="3" t="inlineStr">
        <is>
          <t>MAT-32-250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hembra de PVC presión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24.5</v>
      </c>
      <c r="L1433" s="6" t="n">
        <v>18</v>
      </c>
      <c r="M1433" s="6" t="n">
        <v>31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H1433" s="4" t="inlineStr">
        <is>
          <t>tipo: tapon-hembra · material: PVC presión · medida: 1/2"</t>
        </is>
      </c>
    </row>
    <row r="1434">
      <c r="A1434" s="3" t="inlineStr">
        <is>
          <t>MAT-32-251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hembra de PVC presión 1"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41.5</v>
      </c>
      <c r="L1434" s="6" t="n">
        <v>35</v>
      </c>
      <c r="M1434" s="6" t="n">
        <v>48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H1434" s="4" t="inlineStr">
        <is>
          <t>tipo: tapon-hembra · material: PVC presión · medida: 1"</t>
        </is>
      </c>
    </row>
    <row r="1435">
      <c r="A1435" s="3" t="inlineStr">
        <is>
          <t>MAT-32-252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Tapón hembra de PVC presión 3/4"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20</v>
      </c>
      <c r="L1435" s="6" t="n">
        <v>20</v>
      </c>
      <c r="M1435" s="6" t="n">
        <v>20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H1435" s="4" t="inlineStr">
        <is>
          <t>tipo: tapon-hembra · material: PVC presión · medida: 3/4"</t>
        </is>
      </c>
    </row>
    <row r="1436">
      <c r="A1436" s="3" t="inlineStr">
        <is>
          <t>MAT-32-253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Tapón hembra de PVC presión 3"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205</v>
      </c>
      <c r="L1436" s="6" t="n">
        <v>205</v>
      </c>
      <c r="M1436" s="6" t="n">
        <v>205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H1436" s="4" t="inlineStr">
        <is>
          <t>tipo: tapon-hembra · material: PVC presión · medida: 3"</t>
        </is>
      </c>
    </row>
    <row r="1437">
      <c r="A1437" s="3" t="inlineStr">
        <is>
          <t>MAT-32-254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Tapón macho de HG 1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100</v>
      </c>
      <c r="L1437" s="6" t="n">
        <v>100</v>
      </c>
      <c r="M1437" s="6" t="n">
        <v>100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H1437" s="4" t="inlineStr">
        <is>
          <t>tipo: tapon-macho · material: HG · medida: 1 1/2"</t>
        </is>
      </c>
    </row>
    <row r="1438">
      <c r="A1438" s="3" t="inlineStr">
        <is>
          <t>MAT-32-255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Tapón macho de HG 1 1/4"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141</v>
      </c>
      <c r="L1438" s="6" t="n">
        <v>141</v>
      </c>
      <c r="M1438" s="6" t="n">
        <v>141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H1438" s="4" t="inlineStr">
        <is>
          <t>tipo: tapon-macho · material: HG · medida: 1 1/4"</t>
        </is>
      </c>
    </row>
    <row r="1439">
      <c r="A1439" s="3" t="inlineStr">
        <is>
          <t>MAT-32-256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Tapón macho de HG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15</v>
      </c>
      <c r="L1439" s="6" t="n">
        <v>15</v>
      </c>
      <c r="M1439" s="6" t="n">
        <v>15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H1439" s="4" t="inlineStr">
        <is>
          <t>tipo: tapon-macho · material: HG · medida: 1/2"</t>
        </is>
      </c>
    </row>
    <row r="1440">
      <c r="A1440" s="3" t="inlineStr">
        <is>
          <t>MAT-32-257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Tapón macho de HG 1/4"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23</v>
      </c>
      <c r="L1440" s="6" t="n">
        <v>23</v>
      </c>
      <c r="M1440" s="6" t="n">
        <v>23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H1440" s="4" t="inlineStr">
        <is>
          <t>tipo: tapon-macho · material: HG · medida: 1/4"</t>
        </is>
      </c>
    </row>
    <row r="1441">
      <c r="A1441" s="3" t="inlineStr">
        <is>
          <t>MAT-32-258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Tapón macho de HG 1"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101</v>
      </c>
      <c r="L1441" s="6" t="n">
        <v>101</v>
      </c>
      <c r="M1441" s="6" t="n">
        <v>101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H1441" s="4" t="inlineStr">
        <is>
          <t>tipo: tapon-macho · material: HG · medida: 1"</t>
        </is>
      </c>
    </row>
    <row r="1442">
      <c r="A1442" s="3" t="inlineStr">
        <is>
          <t>MAT-32-259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Tapón macho de HG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33</v>
      </c>
      <c r="L1442" s="6" t="n">
        <v>33</v>
      </c>
      <c r="M1442" s="6" t="n">
        <v>33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H1442" s="4" t="inlineStr">
        <is>
          <t>tipo: tapon-macho · material: HG · medida: 3/4"</t>
        </is>
      </c>
    </row>
    <row r="1443">
      <c r="A1443" s="3" t="inlineStr">
        <is>
          <t>MAT-32-260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Tapón macho de HG 3/8"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22</v>
      </c>
      <c r="L1443" s="6" t="n">
        <v>22</v>
      </c>
      <c r="M1443" s="6" t="n">
        <v>22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H1443" s="4" t="inlineStr">
        <is>
          <t>tipo: tapon-macho · material: HG · medida: 3/8"</t>
        </is>
      </c>
    </row>
    <row r="1444">
      <c r="A1444" s="3" t="inlineStr">
        <is>
          <t>MAT-32-261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Tapón macho de HG 3"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206</v>
      </c>
      <c r="L1444" s="6" t="n">
        <v>206</v>
      </c>
      <c r="M1444" s="6" t="n">
        <v>206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H1444" s="4" t="inlineStr">
        <is>
          <t>tipo: tapon-macho · material: HG · medida: 3"</t>
        </is>
      </c>
    </row>
    <row r="1445">
      <c r="A1445" s="3" t="inlineStr">
        <is>
          <t>MAT-32-262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Tapón macho de PVC 1"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62</v>
      </c>
      <c r="L1445" s="6" t="n">
        <v>62</v>
      </c>
      <c r="M1445" s="6" t="n">
        <v>62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H1445" s="4" t="inlineStr">
        <is>
          <t>tipo: tapon-macho · material: PVC · medida: 1"</t>
        </is>
      </c>
    </row>
    <row r="1446">
      <c r="A1446" s="3" t="inlineStr">
        <is>
          <t>MAT-32-263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Tapón de PVC 1 1/2"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101</v>
      </c>
      <c r="L1446" s="6" t="n">
        <v>101</v>
      </c>
      <c r="M1446" s="6" t="n">
        <v>101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H1446" s="4" t="inlineStr">
        <is>
          <t>tipo: tapon · material: PVC · medida: 1 1/2"</t>
        </is>
      </c>
    </row>
    <row r="1447">
      <c r="A1447" s="3" t="inlineStr">
        <is>
          <t>MAT-32-264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Tapón de PVC 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135</v>
      </c>
      <c r="L1447" s="6" t="n">
        <v>135</v>
      </c>
      <c r="M1447" s="6" t="n">
        <v>135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H1447" s="4" t="inlineStr">
        <is>
          <t>tipo: tapon · material: PVC · medida: 2"</t>
        </is>
      </c>
    </row>
    <row r="1448">
      <c r="A1448" s="3" t="inlineStr">
        <is>
          <t>MAT-32-265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Tapón de PVC 3"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263</v>
      </c>
      <c r="L1448" s="6" t="n">
        <v>263</v>
      </c>
      <c r="M1448" s="6" t="n">
        <v>263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H1448" s="4" t="inlineStr">
        <is>
          <t>tipo: tapon · material: PVC · medida: 3"</t>
        </is>
      </c>
    </row>
    <row r="1449">
      <c r="A1449" s="3" t="inlineStr">
        <is>
          <t>MAT-32-266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Tapón de PVC 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372</v>
      </c>
      <c r="L1449" s="6" t="n">
        <v>372</v>
      </c>
      <c r="M1449" s="6" t="n">
        <v>372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H1449" s="4" t="inlineStr">
        <is>
          <t>tipo: tapon · material: PVC · medida: 4"</t>
        </is>
      </c>
    </row>
    <row r="1450">
      <c r="A1450" s="3" t="inlineStr">
        <is>
          <t>MAT-32-267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Tee de bronce 3/8"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186</v>
      </c>
      <c r="L1450" s="6" t="n">
        <v>186</v>
      </c>
      <c r="M1450" s="6" t="n">
        <v>186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H1450" s="4" t="inlineStr">
        <is>
          <t>tipo: tee · material: bronce · medida: 3/8"</t>
        </is>
      </c>
    </row>
    <row r="1451">
      <c r="A1451" s="3" t="inlineStr">
        <is>
          <t>MAT-32-268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Tee de cobre 3/8"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256</v>
      </c>
      <c r="L1451" s="6" t="n">
        <v>256</v>
      </c>
      <c r="M1451" s="6" t="n">
        <v>256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H1451" s="4" t="inlineStr">
        <is>
          <t>tipo: tee · material: cobre · medida: 3/8"</t>
        </is>
      </c>
    </row>
    <row r="1452">
      <c r="A1452" s="3" t="inlineStr">
        <is>
          <t>MAT-32-269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Tee de HG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277</v>
      </c>
      <c r="L1452" s="6" t="n">
        <v>277</v>
      </c>
      <c r="M1452" s="6" t="n">
        <v>277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H1452" s="4" t="inlineStr">
        <is>
          <t>tipo: tee · material: HG · medida: 1 1/2"</t>
        </is>
      </c>
    </row>
    <row r="1453">
      <c r="A1453" s="3" t="inlineStr">
        <is>
          <t>MAT-32-270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Tee de HG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40</v>
      </c>
      <c r="L1453" s="6" t="n">
        <v>40</v>
      </c>
      <c r="M1453" s="6" t="n">
        <v>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H1453" s="4" t="inlineStr">
        <is>
          <t>tipo: tee · material: HG · medida: 1/2"</t>
        </is>
      </c>
    </row>
    <row r="1454">
      <c r="A1454" s="3" t="inlineStr">
        <is>
          <t>MAT-32-271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Tee de HG 1/4"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130</v>
      </c>
      <c r="L1454" s="6" t="n">
        <v>130</v>
      </c>
      <c r="M1454" s="6" t="n">
        <v>130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H1454" s="4" t="inlineStr">
        <is>
          <t>tipo: tee · material: HG · medida: 1/4"</t>
        </is>
      </c>
    </row>
    <row r="1455">
      <c r="A1455" s="3" t="inlineStr">
        <is>
          <t>MAT-32-272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Tee de HG 1"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160</v>
      </c>
      <c r="L1455" s="6" t="n">
        <v>160</v>
      </c>
      <c r="M1455" s="6" t="n">
        <v>160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H1455" s="4" t="inlineStr">
        <is>
          <t>tipo: tee · material: HG · medida: 1"</t>
        </is>
      </c>
    </row>
    <row r="1456">
      <c r="A1456" s="3" t="inlineStr">
        <is>
          <t>MAT-32-273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HG 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383</v>
      </c>
      <c r="L1456" s="6" t="n">
        <v>383</v>
      </c>
      <c r="M1456" s="6" t="n">
        <v>383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H1456" s="4" t="inlineStr">
        <is>
          <t>tipo: tee · material: HG · medida: 2"</t>
        </is>
      </c>
    </row>
    <row r="1457">
      <c r="A1457" s="3" t="inlineStr">
        <is>
          <t>MAT-32-274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HG 3/4"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95</v>
      </c>
      <c r="L1457" s="6" t="n">
        <v>95</v>
      </c>
      <c r="M1457" s="6" t="n">
        <v>95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H1457" s="4" t="inlineStr">
        <is>
          <t>tipo: tee · material: HG · medida: 3/4"</t>
        </is>
      </c>
    </row>
    <row r="1458">
      <c r="A1458" s="3" t="inlineStr">
        <is>
          <t>MAT-32-275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de HG 3/8"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58</v>
      </c>
      <c r="L1458" s="6" t="n">
        <v>58</v>
      </c>
      <c r="M1458" s="6" t="n">
        <v>58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H1458" s="4" t="inlineStr">
        <is>
          <t>tipo: tee · material: HG · medida: 3/8"</t>
        </is>
      </c>
    </row>
    <row r="1459">
      <c r="A1459" s="3" t="inlineStr">
        <is>
          <t>MAT-32-276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de niquelado 1/2"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444</v>
      </c>
      <c r="L1459" s="6" t="n">
        <v>444</v>
      </c>
      <c r="M1459" s="6" t="n">
        <v>444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H1459" s="4" t="inlineStr">
        <is>
          <t>tipo: tee · material: niquelado · medida: 1/2"</t>
        </is>
      </c>
    </row>
    <row r="1460">
      <c r="A1460" s="3" t="inlineStr">
        <is>
          <t>MAT-32-277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Tee de PPR 20 mm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174</v>
      </c>
      <c r="L1460" s="6" t="n">
        <v>55</v>
      </c>
      <c r="M1460" s="6" t="n">
        <v>293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H1460" s="4" t="inlineStr">
        <is>
          <t>tipo: tee · material: PPR · medida: 20 mm</t>
        </is>
      </c>
    </row>
    <row r="1461">
      <c r="A1461" s="3" t="inlineStr">
        <is>
          <t>MAT-32-278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Tee de PPR 25 mm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50</v>
      </c>
      <c r="L1461" s="6" t="n">
        <v>50</v>
      </c>
      <c r="M1461" s="6" t="n">
        <v>50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H1461" s="4" t="inlineStr">
        <is>
          <t>tipo: tee · material: PPR · medida: 25 mm</t>
        </is>
      </c>
    </row>
    <row r="1462">
      <c r="A1462" s="3" t="inlineStr">
        <is>
          <t>MAT-32-279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Tee de PPR 32 mm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75</v>
      </c>
      <c r="L1462" s="6" t="n">
        <v>75</v>
      </c>
      <c r="M1462" s="6" t="n">
        <v>75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H1462" s="4" t="inlineStr">
        <is>
          <t>tipo: tee · material: PPR · medida: 32 mm</t>
        </is>
      </c>
    </row>
    <row r="1463">
      <c r="A1463" s="3" t="inlineStr">
        <is>
          <t>MAT-32-280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Tee de PVC drenaje 1 1/2"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86</v>
      </c>
      <c r="L1463" s="6" t="n">
        <v>86</v>
      </c>
      <c r="M1463" s="6" t="n">
        <v>86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H1463" s="4" t="inlineStr">
        <is>
          <t>tipo: tee · material: PVC drenaje · medida: 1 1/2"</t>
        </is>
      </c>
    </row>
    <row r="1464">
      <c r="A1464" s="3" t="inlineStr">
        <is>
          <t>MAT-32-281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Tee de PVC drenaje 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135</v>
      </c>
      <c r="L1464" s="6" t="n">
        <v>135</v>
      </c>
      <c r="M1464" s="6" t="n">
        <v>135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H1464" s="4" t="inlineStr">
        <is>
          <t>tipo: tee · material: PVC drenaje · medida: 2"</t>
        </is>
      </c>
    </row>
    <row r="1465">
      <c r="A1465" s="3" t="inlineStr">
        <is>
          <t>MAT-32-282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Tee de PVC drenaje 3"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225.5</v>
      </c>
      <c r="L1465" s="6" t="n">
        <v>194</v>
      </c>
      <c r="M1465" s="6" t="n">
        <v>257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H1465" s="4" t="inlineStr">
        <is>
          <t>tipo: tee · material: PVC drenaje · medida: 3"</t>
        </is>
      </c>
    </row>
    <row r="1466">
      <c r="A1466" s="3" t="inlineStr">
        <is>
          <t>MAT-32-283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Tee de PVC drenaje 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344.5</v>
      </c>
      <c r="L1466" s="6" t="n">
        <v>260</v>
      </c>
      <c r="M1466" s="6" t="n">
        <v>429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H1466" s="4" t="inlineStr">
        <is>
          <t>tipo: tee · material: PVC drenaje · medida: 4"</t>
        </is>
      </c>
    </row>
    <row r="1467">
      <c r="A1467" s="3" t="inlineStr">
        <is>
          <t>MAT-32-284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Tee de PVC presión 1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135</v>
      </c>
      <c r="L1467" s="6" t="n">
        <v>135</v>
      </c>
      <c r="M1467" s="6" t="n">
        <v>135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H1467" s="4" t="inlineStr">
        <is>
          <t>tipo: tee · material: PVC presión · medida: 1 1/2"</t>
        </is>
      </c>
    </row>
    <row r="1468">
      <c r="A1468" s="3" t="inlineStr">
        <is>
          <t>MAT-32-285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Tee de PVC presión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28</v>
      </c>
      <c r="L1468" s="6" t="n">
        <v>28</v>
      </c>
      <c r="M1468" s="6" t="n">
        <v>28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H1468" s="4" t="inlineStr">
        <is>
          <t>tipo: tee · material: PVC presión · medida: 1/2"</t>
        </is>
      </c>
    </row>
    <row r="1469">
      <c r="A1469" s="3" t="inlineStr">
        <is>
          <t>MAT-32-286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Tee de PVC presión 1"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55</v>
      </c>
      <c r="L1469" s="6" t="n">
        <v>55</v>
      </c>
      <c r="M1469" s="6" t="n">
        <v>55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H1469" s="4" t="inlineStr">
        <is>
          <t>tipo: tee · material: PVC presión · medida: 1"</t>
        </is>
      </c>
    </row>
    <row r="1470">
      <c r="A1470" s="3" t="inlineStr">
        <is>
          <t>MAT-32-287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Tee de PVC presión 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195</v>
      </c>
      <c r="L1470" s="6" t="n">
        <v>195</v>
      </c>
      <c r="M1470" s="6" t="n">
        <v>195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H1470" s="4" t="inlineStr">
        <is>
          <t>tipo: tee · material: PVC presión · medida: 2"</t>
        </is>
      </c>
    </row>
    <row r="1471">
      <c r="A1471" s="3" t="inlineStr">
        <is>
          <t>MAT-32-288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Tee de PVC presión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35</v>
      </c>
      <c r="L1471" s="6" t="n">
        <v>35</v>
      </c>
      <c r="M1471" s="6" t="n">
        <v>35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H1471" s="4" t="inlineStr">
        <is>
          <t>tipo: tee · material: PVC presión · medida: 3/4"</t>
        </is>
      </c>
    </row>
    <row r="1472">
      <c r="A1472" s="3" t="inlineStr">
        <is>
          <t>MAT-32-289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Tee de PVC presión 3"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453</v>
      </c>
      <c r="L1472" s="6" t="n">
        <v>453</v>
      </c>
      <c r="M1472" s="6" t="n">
        <v>453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H1472" s="4" t="inlineStr">
        <is>
          <t>tipo: tee · material: PVC presión · medida: 3"</t>
        </is>
      </c>
    </row>
    <row r="1473">
      <c r="A1473" s="3" t="inlineStr">
        <is>
          <t>MAT-32-290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Tee reducida de PPR 25 mm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45</v>
      </c>
      <c r="L1473" s="6" t="n">
        <v>45</v>
      </c>
      <c r="M1473" s="6" t="n">
        <v>45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H1473" s="4" t="inlineStr">
        <is>
          <t>tipo: tee-reducida · material: PPR · medida: 25 mm</t>
        </is>
      </c>
    </row>
    <row r="1474">
      <c r="A1474" s="3" t="inlineStr">
        <is>
          <t>MAT-32-291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Tee reducida de PVC 1"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144</v>
      </c>
      <c r="L1474" s="6" t="n">
        <v>144</v>
      </c>
      <c r="M1474" s="6" t="n">
        <v>144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H1474" s="4" t="inlineStr">
        <is>
          <t>tipo: tee-reducida · material: PVC · medida: 1" x 3/4"</t>
        </is>
      </c>
    </row>
    <row r="1475">
      <c r="A1475" s="3" t="inlineStr">
        <is>
          <t>MAT-32-292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Terminal de bronce 1/2"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235</v>
      </c>
      <c r="L1475" s="6" t="n">
        <v>235</v>
      </c>
      <c r="M1475" s="6" t="n">
        <v>235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H1475" s="4" t="inlineStr">
        <is>
          <t>tipo: terminal · material: bronce · medida: 1/2"</t>
        </is>
      </c>
    </row>
    <row r="1476">
      <c r="A1476" s="3" t="inlineStr">
        <is>
          <t>MAT-32-293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Terminal de bronce 3/4"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275</v>
      </c>
      <c r="L1476" s="6" t="n">
        <v>275</v>
      </c>
      <c r="M1476" s="6" t="n">
        <v>275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H1476" s="4" t="inlineStr">
        <is>
          <t>tipo: terminal · material: bronce · medida: 3/4"</t>
        </is>
      </c>
    </row>
    <row r="1477">
      <c r="A1477" s="3" t="inlineStr">
        <is>
          <t>MAT-32-294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Terminal de bronce 5/8"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335</v>
      </c>
      <c r="L1477" s="6" t="n">
        <v>335</v>
      </c>
      <c r="M1477" s="6" t="n">
        <v>335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H1477" s="4" t="inlineStr">
        <is>
          <t>tipo: terminal · material: bronce · medida: 5/8"</t>
        </is>
      </c>
    </row>
    <row r="1478">
      <c r="A1478" s="3" t="inlineStr">
        <is>
          <t>MAT-32-295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Terminal de cobre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319</v>
      </c>
      <c r="L1478" s="6" t="n">
        <v>319</v>
      </c>
      <c r="M1478" s="6" t="n">
        <v>319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H1478" s="4" t="inlineStr">
        <is>
          <t>tipo: terminal · material: cobre · medida: 1"</t>
        </is>
      </c>
    </row>
    <row r="1479">
      <c r="A1479" s="3" t="inlineStr">
        <is>
          <t>MAT-32-296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Terminal de manguera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165.5</v>
      </c>
      <c r="L1479" s="6" t="n">
        <v>131</v>
      </c>
      <c r="M1479" s="6" t="n">
        <v>210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H1479" s="4" t="inlineStr">
        <is>
          <t>tipo: terminal · material: manguera · medida: 1/2"</t>
        </is>
      </c>
    </row>
    <row r="1480">
      <c r="A1480" s="3" t="inlineStr">
        <is>
          <t>MAT-32-297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Terminal de manguera 3/4"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247</v>
      </c>
      <c r="L1480" s="6" t="n">
        <v>247</v>
      </c>
      <c r="M1480" s="6" t="n">
        <v>247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H1480" s="4" t="inlineStr">
        <is>
          <t>tipo: terminal · material: manguera · medida: 3/4"</t>
        </is>
      </c>
    </row>
    <row r="1481">
      <c r="A1481" s="3" t="inlineStr">
        <is>
          <t>MAT-32-298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Terminal de manguera 5/8"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233</v>
      </c>
      <c r="L1481" s="6" t="n">
        <v>233</v>
      </c>
      <c r="M1481" s="6" t="n">
        <v>233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H1481" s="4" t="inlineStr">
        <is>
          <t>tipo: terminal · material: manguera · medida: 5/8"</t>
        </is>
      </c>
    </row>
    <row r="1482">
      <c r="A1482" s="3" t="inlineStr">
        <is>
          <t>MAT-32-299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Terminal de manguera 5"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295</v>
      </c>
      <c r="L1482" s="6" t="n">
        <v>295</v>
      </c>
      <c r="M1482" s="6" t="n">
        <v>295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H1482" s="4" t="inlineStr">
        <is>
          <t>tipo: terminal · material: manguera · medida: 5"</t>
        </is>
      </c>
    </row>
    <row r="1483">
      <c r="A1483" s="3" t="inlineStr">
        <is>
          <t>MAT-32-300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Unión de bronce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165</v>
      </c>
      <c r="L1483" s="6" t="n">
        <v>165</v>
      </c>
      <c r="M1483" s="6" t="n">
        <v>165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H1483" s="4" t="inlineStr">
        <is>
          <t>tipo: union · material: bronce · medida: 1/2"</t>
        </is>
      </c>
    </row>
    <row r="1484">
      <c r="A1484" s="3" t="inlineStr">
        <is>
          <t>MAT-32-301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Unión de bronce 3/8"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147</v>
      </c>
      <c r="L1484" s="6" t="n">
        <v>147</v>
      </c>
      <c r="M1484" s="6" t="n">
        <v>147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H1484" s="4" t="inlineStr">
        <is>
          <t>tipo: union · material: bronce · medida: 3/8"</t>
        </is>
      </c>
    </row>
    <row r="1485">
      <c r="A1485" s="3" t="inlineStr">
        <is>
          <t>MAT-32-302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Unión de plástico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180</v>
      </c>
      <c r="L1485" s="6" t="n">
        <v>180</v>
      </c>
      <c r="M1485" s="6" t="n">
        <v>180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Cima</t>
        </is>
      </c>
      <c r="AH1485" s="4" t="inlineStr">
        <is>
          <t>tipo: union · material: plástico · medida: 1/2"</t>
        </is>
      </c>
    </row>
    <row r="1486">
      <c r="A1486" s="3" t="inlineStr">
        <is>
          <t>MAT-32-303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Unión universal de HG 1 1/2"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525</v>
      </c>
      <c r="L1486" s="6" t="n">
        <v>525</v>
      </c>
      <c r="M1486" s="6" t="n">
        <v>525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H1486" s="4" t="inlineStr">
        <is>
          <t>tipo: union-universal · material: HG · medida: 1 1/2"</t>
        </is>
      </c>
    </row>
    <row r="1487">
      <c r="A1487" s="3" t="inlineStr">
        <is>
          <t>MAT-32-304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Unión universal de HG 1 1/4"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422</v>
      </c>
      <c r="L1487" s="6" t="n">
        <v>422</v>
      </c>
      <c r="M1487" s="6" t="n">
        <v>422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H1487" s="4" t="inlineStr">
        <is>
          <t>tipo: union-universal · material: HG · medida: 1 1/4"</t>
        </is>
      </c>
    </row>
    <row r="1488">
      <c r="A1488" s="3" t="inlineStr">
        <is>
          <t>MAT-32-305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Unión universal de HG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170</v>
      </c>
      <c r="L1488" s="6" t="n">
        <v>170</v>
      </c>
      <c r="M1488" s="6" t="n">
        <v>170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H1488" s="4" t="inlineStr">
        <is>
          <t>tipo: union-universal · material: HG · medida: 1/2"</t>
        </is>
      </c>
    </row>
    <row r="1489">
      <c r="A1489" s="3" t="inlineStr">
        <is>
          <t>MAT-32-306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Unión universal de HG 1/4"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44</v>
      </c>
      <c r="L1489" s="6" t="n">
        <v>44</v>
      </c>
      <c r="M1489" s="6" t="n">
        <v>44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H1489" s="4" t="inlineStr">
        <is>
          <t>tipo: union-universal · material: HG · medida: 1/4"</t>
        </is>
      </c>
    </row>
    <row r="1490">
      <c r="A1490" s="3" t="inlineStr">
        <is>
          <t>MAT-32-307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Unión universal de HG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827</v>
      </c>
      <c r="L1490" s="6" t="n">
        <v>827</v>
      </c>
      <c r="M1490" s="6" t="n">
        <v>827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H1490" s="4" t="inlineStr">
        <is>
          <t>tipo: union-universal · material: HG · medida: 2"</t>
        </is>
      </c>
    </row>
    <row r="1491">
      <c r="A1491" s="3" t="inlineStr">
        <is>
          <t>MAT-32-308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Unión universal de HG 3/4"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162</v>
      </c>
      <c r="L1491" s="6" t="n">
        <v>162</v>
      </c>
      <c r="M1491" s="6" t="n">
        <v>162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Cima</t>
        </is>
      </c>
      <c r="AH1491" s="4" t="inlineStr">
        <is>
          <t>tipo: union-universal · material: HG · medida: 3/4"</t>
        </is>
      </c>
    </row>
    <row r="1492">
      <c r="A1492" s="3" t="inlineStr">
        <is>
          <t>MAT-32-309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Unión universal de HG 3/8"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12</v>
      </c>
      <c r="L1492" s="6" t="n">
        <v>12</v>
      </c>
      <c r="M1492" s="6" t="n">
        <v>12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H1492" s="4" t="inlineStr">
        <is>
          <t>tipo: union-universal · material: HG · medida: 3/8"</t>
        </is>
      </c>
    </row>
    <row r="1493">
      <c r="A1493" s="3" t="inlineStr">
        <is>
          <t>MAT-32-310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Unión universal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166</v>
      </c>
      <c r="L1493" s="6" t="n">
        <v>166</v>
      </c>
      <c r="M1493" s="6" t="n">
        <v>166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H1493" s="4" t="inlineStr">
        <is>
          <t>tipo: union-universal · material: PPR · medida: 25 mm</t>
        </is>
      </c>
    </row>
    <row r="1494">
      <c r="A1494" s="3" t="inlineStr">
        <is>
          <t>MAT-32-311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Unión universal de PVC 1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121.54</v>
      </c>
      <c r="L1494" s="6" t="n">
        <v>121.54</v>
      </c>
      <c r="M1494" s="6" t="n">
        <v>121.54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MC</t>
        </is>
      </c>
      <c r="AH1494" s="4" t="inlineStr">
        <is>
          <t>tipo: union-universal · material: PVC · medida: 1 1/2"</t>
        </is>
      </c>
    </row>
    <row r="1495">
      <c r="A1495" s="3" t="inlineStr">
        <is>
          <t>MAT-32-312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Unión universal de PVC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50.99</v>
      </c>
      <c r="L1495" s="6" t="n">
        <v>26.99</v>
      </c>
      <c r="M1495" s="6" t="n">
        <v>75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 · Ferretería MC</t>
        </is>
      </c>
      <c r="AH1495" s="4" t="inlineStr">
        <is>
          <t>tipo: union-universal · material: PVC · medida: 1/2"</t>
        </is>
      </c>
    </row>
    <row r="1496">
      <c r="A1496" s="3" t="inlineStr">
        <is>
          <t>MAT-32-313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Unión universal de PVC 1"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92.23</v>
      </c>
      <c r="L1496" s="6" t="n">
        <v>49.47</v>
      </c>
      <c r="M1496" s="6" t="n">
        <v>135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 · Ferretería MC</t>
        </is>
      </c>
      <c r="AH1496" s="4" t="inlineStr">
        <is>
          <t>tipo: union-universal · material: PVC · medida: 1"</t>
        </is>
      </c>
    </row>
    <row r="1497">
      <c r="A1497" s="3" t="inlineStr">
        <is>
          <t>MAT-32-314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Unión universal de PVC 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196.83</v>
      </c>
      <c r="L1497" s="6" t="n">
        <v>161.66</v>
      </c>
      <c r="M1497" s="6" t="n">
        <v>232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2026-09-09</t>
        </is>
      </c>
      <c r="Q1497" s="4" t="inlineStr">
        <is>
          <t>Ferretería Cima · Ferretería MC</t>
        </is>
      </c>
      <c r="AH1497" s="4" t="inlineStr">
        <is>
          <t>tipo: union-universal · material: PVC · medida: 2"</t>
        </is>
      </c>
    </row>
    <row r="1498">
      <c r="A1498" s="3" t="inlineStr">
        <is>
          <t>MAT-32-315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Unión universal de PVC 3/4"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64.12</v>
      </c>
      <c r="L1498" s="6" t="n">
        <v>33.24</v>
      </c>
      <c r="M1498" s="6" t="n">
        <v>95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2026-09-09</t>
        </is>
      </c>
      <c r="Q1498" s="4" t="inlineStr">
        <is>
          <t>Ferretería Cima · Ferretería MC</t>
        </is>
      </c>
      <c r="AH1498" s="4" t="inlineStr">
        <is>
          <t>tipo: union-universal · material: PVC · medida: 3/4"</t>
        </is>
      </c>
    </row>
    <row r="1499">
      <c r="A1499" s="3" t="inlineStr">
        <is>
          <t>MAT-32-316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Unión universal de PVC 3"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531</v>
      </c>
      <c r="L1499" s="6" t="n">
        <v>531</v>
      </c>
      <c r="M1499" s="6" t="n">
        <v>531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2026-09-09</t>
        </is>
      </c>
      <c r="Q1499" s="4" t="inlineStr">
        <is>
          <t>Ferretería MC</t>
        </is>
      </c>
      <c r="AH1499" s="4" t="inlineStr">
        <is>
          <t>tipo: union-universal · material: PVC · medida: 3"</t>
        </is>
      </c>
    </row>
    <row r="1500">
      <c r="A1500" s="3" t="inlineStr">
        <is>
          <t>MAT-32-317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Unión universal de PVC SCH-80 1"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98.28</v>
      </c>
      <c r="L1500" s="6" t="n">
        <v>98.28</v>
      </c>
      <c r="M1500" s="6" t="n">
        <v>98.28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MC</t>
        </is>
      </c>
      <c r="AH1500" s="4" t="inlineStr">
        <is>
          <t>tipo: union-universal · material: PVC SCH-80 · medida: 1"</t>
        </is>
      </c>
    </row>
    <row r="1501">
      <c r="A1501" s="3" t="inlineStr">
        <is>
          <t>MAT-32-318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Yee de PVC drenaje 1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47</v>
      </c>
      <c r="L1501" s="6" t="n">
        <v>47</v>
      </c>
      <c r="M1501" s="6" t="n">
        <v>47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H1501" s="4" t="inlineStr">
        <is>
          <t>tipo: yee · material: PVC drenaje · medida: 1 1/2"</t>
        </is>
      </c>
    </row>
    <row r="1502">
      <c r="A1502" s="3" t="inlineStr">
        <is>
          <t>MAT-32-319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Yee de PVC drenaje 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145</v>
      </c>
      <c r="L1502" s="6" t="n">
        <v>145</v>
      </c>
      <c r="M1502" s="6" t="n">
        <v>145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H1502" s="4" t="inlineStr">
        <is>
          <t>tipo: yee · material: PVC drenaje · medida: 2"</t>
        </is>
      </c>
    </row>
    <row r="1503">
      <c r="A1503" s="3" t="inlineStr">
        <is>
          <t>MAT-32-320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Yee de PVC drenaje 3" x 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205</v>
      </c>
      <c r="L1503" s="6" t="n">
        <v>205</v>
      </c>
      <c r="M1503" s="6" t="n">
        <v>205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H1503" s="4" t="inlineStr">
        <is>
          <t>tipo: yee · material: PVC drenaje · medida: 3" x 2"</t>
        </is>
      </c>
    </row>
    <row r="1504">
      <c r="A1504" s="3" t="inlineStr">
        <is>
          <t>MAT-32-321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Yee de PVC drenaje 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425</v>
      </c>
      <c r="L1504" s="6" t="n">
        <v>425</v>
      </c>
      <c r="M1504" s="6" t="n">
        <v>425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H1504" s="4" t="inlineStr">
        <is>
          <t>tipo: yee · material: PVC drenaje · medida: 4"</t>
        </is>
      </c>
    </row>
    <row r="1505">
      <c r="A1505" s="3" t="inlineStr">
        <is>
          <t>MAT-32-322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Yee de PVC drenaje 4" x 2"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265</v>
      </c>
      <c r="L1505" s="6" t="n">
        <v>265</v>
      </c>
      <c r="M1505" s="6" t="n">
        <v>265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H1505" s="4" t="inlineStr">
        <is>
          <t>tipo: yee · material: PVC drenaje · medida: 4" x 2"</t>
        </is>
      </c>
    </row>
    <row r="1506">
      <c r="A1506" s="3" t="inlineStr">
        <is>
          <t>MAT-32-323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Llave de paso angular de latón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375</v>
      </c>
      <c r="L1506" s="6" t="n">
        <v>355</v>
      </c>
      <c r="M1506" s="6" t="n">
        <v>395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Ferremix (Grupo Alterra)</t>
        </is>
      </c>
      <c r="AH1506" s="4" t="inlineStr">
        <is>
          <t>tipo: angular · material: latón · medida: 1/2"</t>
        </is>
      </c>
    </row>
    <row r="1507">
      <c r="A1507" s="3" t="inlineStr">
        <is>
          <t>MAT-32-324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Llave de paso angular de metal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2</v>
      </c>
      <c r="K1507" s="6" t="n">
        <v>271</v>
      </c>
      <c r="L1507" s="6" t="n">
        <v>140</v>
      </c>
      <c r="M1507" s="6" t="n">
        <v>565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Ferremix (Grupo Alterra) · Ferretería Cima</t>
        </is>
      </c>
      <c r="AH1507" s="4" t="inlineStr">
        <is>
          <t>tipo: angular · material: metal · medida: 1/2"</t>
        </is>
      </c>
    </row>
    <row r="1508">
      <c r="A1508" s="3" t="inlineStr">
        <is>
          <t>MAT-32-325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Llave de paso angular de metal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2</v>
      </c>
      <c r="K1508" s="6" t="n">
        <v>336.5</v>
      </c>
      <c r="L1508" s="6" t="n">
        <v>257</v>
      </c>
      <c r="M1508" s="6" t="n">
        <v>453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Ferremix (Grupo Alterra) · Ferretería Cima</t>
        </is>
      </c>
      <c r="AH1508" s="4" t="inlineStr">
        <is>
          <t>tipo: angular · material: metal · medida: 3/8"</t>
        </is>
      </c>
    </row>
    <row r="1509">
      <c r="A1509" s="3" t="inlineStr">
        <is>
          <t>MAT-32-326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Llave de paso compuerta de latón 1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1299</v>
      </c>
      <c r="L1509" s="6" t="n">
        <v>1299</v>
      </c>
      <c r="M1509" s="6" t="n">
        <v>1299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Ferremix (Grupo Alterra)</t>
        </is>
      </c>
      <c r="AH1509" s="4" t="inlineStr">
        <is>
          <t>tipo: compuerta · material: latón · medida: 1 1/2"</t>
        </is>
      </c>
    </row>
    <row r="1510">
      <c r="A1510" s="3" t="inlineStr">
        <is>
          <t>MAT-32-327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Llave de paso compuerta de latón 1 1/4"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1075</v>
      </c>
      <c r="L1510" s="6" t="n">
        <v>1075</v>
      </c>
      <c r="M1510" s="6" t="n">
        <v>1075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Ferremix (Grupo Alterra)</t>
        </is>
      </c>
      <c r="AH1510" s="4" t="inlineStr">
        <is>
          <t>tipo: compuerta · material: latón · medida: 1 1/4"</t>
        </is>
      </c>
    </row>
    <row r="1511">
      <c r="A1511" s="3" t="inlineStr">
        <is>
          <t>MAT-32-328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Llave de paso compuerta de latón 1/2"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355</v>
      </c>
      <c r="L1511" s="6" t="n">
        <v>355</v>
      </c>
      <c r="M1511" s="6" t="n">
        <v>355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Ferremix (Grupo Alterra)</t>
        </is>
      </c>
      <c r="AH1511" s="4" t="inlineStr">
        <is>
          <t>tipo: compuerta · material: latón · medida: 1/2"</t>
        </is>
      </c>
    </row>
    <row r="1512">
      <c r="A1512" s="3" t="inlineStr">
        <is>
          <t>MAT-32-329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compuerta de latón 1"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655</v>
      </c>
      <c r="L1512" s="6" t="n">
        <v>655</v>
      </c>
      <c r="M1512" s="6" t="n">
        <v>655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Ferremix (Grupo Alterra)</t>
        </is>
      </c>
      <c r="AH1512" s="4" t="inlineStr">
        <is>
          <t>tipo: compuerta · material: latón · medida: 1"</t>
        </is>
      </c>
    </row>
    <row r="1513">
      <c r="A1513" s="3" t="inlineStr">
        <is>
          <t>MAT-32-330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compuerta de latón 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1855</v>
      </c>
      <c r="L1513" s="6" t="n">
        <v>1855</v>
      </c>
      <c r="M1513" s="6" t="n">
        <v>1855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Ferremix (Grupo Alterra)</t>
        </is>
      </c>
      <c r="AH1513" s="4" t="inlineStr">
        <is>
          <t>tipo: compuerta · material: latón · medida: 2"</t>
        </is>
      </c>
    </row>
    <row r="1514">
      <c r="A1514" s="3" t="inlineStr">
        <is>
          <t>MAT-32-331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compuerta de latón 3/4"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449</v>
      </c>
      <c r="L1514" s="6" t="n">
        <v>449</v>
      </c>
      <c r="M1514" s="6" t="n">
        <v>449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Ferremix (Grupo Alterra)</t>
        </is>
      </c>
      <c r="AH1514" s="4" t="inlineStr">
        <is>
          <t>tipo: compuerta · material: latón · medida: 3/4"</t>
        </is>
      </c>
    </row>
    <row r="1515">
      <c r="A1515" s="3" t="inlineStr">
        <is>
          <t>MAT-32-332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de bola de CPVC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435</v>
      </c>
      <c r="L1515" s="6" t="n">
        <v>435</v>
      </c>
      <c r="M1515" s="6" t="n">
        <v>435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2026-09-09</t>
        </is>
      </c>
      <c r="Q1515" s="4" t="inlineStr">
        <is>
          <t>Ferretería Cima</t>
        </is>
      </c>
      <c r="AH1515" s="4" t="inlineStr">
        <is>
          <t>tipo: de bola · material: CPVC · medida: 1/2"</t>
        </is>
      </c>
    </row>
    <row r="1516">
      <c r="A1516" s="3" t="inlineStr">
        <is>
          <t>MAT-32-333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de bola de metal 1 1/2"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1961</v>
      </c>
      <c r="L1516" s="6" t="n">
        <v>1961</v>
      </c>
      <c r="M1516" s="6" t="n">
        <v>1961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2026-09-09</t>
        </is>
      </c>
      <c r="Q1516" s="4" t="inlineStr">
        <is>
          <t>Ferretería Cima</t>
        </is>
      </c>
      <c r="AH1516" s="4" t="inlineStr">
        <is>
          <t>tipo: de bola · material: metal · medida: 1 1/2"</t>
        </is>
      </c>
    </row>
    <row r="1517">
      <c r="A1517" s="3" t="inlineStr">
        <is>
          <t>MAT-32-334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de bola de metal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545</v>
      </c>
      <c r="L1517" s="6" t="n">
        <v>259</v>
      </c>
      <c r="M1517" s="6" t="n">
        <v>635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2026-09-09</t>
        </is>
      </c>
      <c r="Q1517" s="4" t="inlineStr">
        <is>
          <t>Ferretería Cima</t>
        </is>
      </c>
      <c r="AH1517" s="4" t="inlineStr">
        <is>
          <t>tipo: de bola · material: metal · medida: 1/2"</t>
        </is>
      </c>
    </row>
    <row r="1518">
      <c r="A1518" s="3" t="inlineStr">
        <is>
          <t>MAT-32-335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de bola de metal 1/4"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343</v>
      </c>
      <c r="L1518" s="6" t="n">
        <v>343</v>
      </c>
      <c r="M1518" s="6" t="n">
        <v>343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2026-09-09</t>
        </is>
      </c>
      <c r="Q1518" s="4" t="inlineStr">
        <is>
          <t>Ferretería Cima</t>
        </is>
      </c>
      <c r="AH1518" s="4" t="inlineStr">
        <is>
          <t>tipo: de bola · material: metal · medida: 1/4"</t>
        </is>
      </c>
    </row>
    <row r="1519">
      <c r="A1519" s="3" t="inlineStr">
        <is>
          <t>MAT-32-336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Llave de paso de bola de metal 1"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831</v>
      </c>
      <c r="L1519" s="6" t="n">
        <v>831</v>
      </c>
      <c r="M1519" s="6" t="n">
        <v>831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2026-09-09</t>
        </is>
      </c>
      <c r="Q1519" s="4" t="inlineStr">
        <is>
          <t>Ferretería Cima</t>
        </is>
      </c>
      <c r="AH1519" s="4" t="inlineStr">
        <is>
          <t>tipo: de bola · material: metal · medida: 1"</t>
        </is>
      </c>
    </row>
    <row r="1520">
      <c r="A1520" s="3" t="inlineStr">
        <is>
          <t>MAT-32-337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Llave de paso de bola de metal 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3227</v>
      </c>
      <c r="L1520" s="6" t="n">
        <v>3227</v>
      </c>
      <c r="M1520" s="6" t="n">
        <v>3227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2026-09-09</t>
        </is>
      </c>
      <c r="Q1520" s="4" t="inlineStr">
        <is>
          <t>Ferretería Cima</t>
        </is>
      </c>
      <c r="AH1520" s="4" t="inlineStr">
        <is>
          <t>tipo: de bola · material: metal · medida: 2"</t>
        </is>
      </c>
    </row>
    <row r="1521">
      <c r="A1521" s="3" t="inlineStr">
        <is>
          <t>MAT-32-338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Llave de paso de bola de metal 3/4"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592.5</v>
      </c>
      <c r="L1521" s="6" t="n">
        <v>555</v>
      </c>
      <c r="M1521" s="6" t="n">
        <v>630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H1521" s="4" t="inlineStr">
        <is>
          <t>tipo: de bola · material: metal · medida: 3/4"</t>
        </is>
      </c>
    </row>
    <row r="1522">
      <c r="A1522" s="3" t="inlineStr">
        <is>
          <t>MAT-32-339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Llave de paso de bola de metal 3/8"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336</v>
      </c>
      <c r="L1522" s="6" t="n">
        <v>327</v>
      </c>
      <c r="M1522" s="6" t="n">
        <v>455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H1522" s="4" t="inlineStr">
        <is>
          <t>tipo: de bola · material: metal · medida: 3/8"</t>
        </is>
      </c>
    </row>
    <row r="1523">
      <c r="A1523" s="3" t="inlineStr">
        <is>
          <t>MAT-32-340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Llave de paso de bola de PVC 1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465</v>
      </c>
      <c r="L1523" s="6" t="n">
        <v>465</v>
      </c>
      <c r="M1523" s="6" t="n">
        <v>465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H1523" s="4" t="inlineStr">
        <is>
          <t>tipo: de bola · material: PVC · medida: 1 1/2"</t>
        </is>
      </c>
    </row>
    <row r="1524">
      <c r="A1524" s="3" t="inlineStr">
        <is>
          <t>MAT-32-341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Llave de paso de bola de PVC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83</v>
      </c>
      <c r="L1524" s="6" t="n">
        <v>41</v>
      </c>
      <c r="M1524" s="6" t="n">
        <v>125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H1524" s="4" t="inlineStr">
        <is>
          <t>tipo: de bola · material: PVC · medida: 1/2"</t>
        </is>
      </c>
    </row>
    <row r="1525">
      <c r="A1525" s="3" t="inlineStr">
        <is>
          <t>MAT-32-342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Llave de paso de bola de PVC 1"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170</v>
      </c>
      <c r="L1525" s="6" t="n">
        <v>170</v>
      </c>
      <c r="M1525" s="6" t="n">
        <v>170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H1525" s="4" t="inlineStr">
        <is>
          <t>tipo: de bola · material: PVC · medida: 1"</t>
        </is>
      </c>
    </row>
    <row r="1526">
      <c r="A1526" s="3" t="inlineStr">
        <is>
          <t>MAT-32-343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Llave de paso de bola de PVC 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616</v>
      </c>
      <c r="L1526" s="6" t="n">
        <v>616</v>
      </c>
      <c r="M1526" s="6" t="n">
        <v>616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H1526" s="4" t="inlineStr">
        <is>
          <t>tipo: de bola · material: PVC · medida: 2"</t>
        </is>
      </c>
    </row>
    <row r="1527">
      <c r="A1527" s="3" t="inlineStr">
        <is>
          <t>MAT-32-344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Llave de paso de bola de PVC 3/4"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116</v>
      </c>
      <c r="L1527" s="6" t="n">
        <v>107</v>
      </c>
      <c r="M1527" s="6" t="n">
        <v>125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H1527" s="4" t="inlineStr">
        <is>
          <t>tipo: de bola · material: PVC · medida: 3/4"</t>
        </is>
      </c>
    </row>
    <row r="1528">
      <c r="A1528" s="3" t="inlineStr">
        <is>
          <t>MAT-32-345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Llave de paso de compuerta de metal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2262</v>
      </c>
      <c r="L1528" s="6" t="n">
        <v>2262</v>
      </c>
      <c r="M1528" s="6" t="n">
        <v>2262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H1528" s="4" t="inlineStr">
        <is>
          <t>tipo: de compuerta · material: metal · medida: 1 1/2"</t>
        </is>
      </c>
    </row>
    <row r="1529">
      <c r="A1529" s="3" t="inlineStr">
        <is>
          <t>MAT-32-346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Llave de paso de compuerta de metal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858</v>
      </c>
      <c r="L1529" s="6" t="n">
        <v>858</v>
      </c>
      <c r="M1529" s="6" t="n">
        <v>858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H1529" s="4" t="inlineStr">
        <is>
          <t>tipo: de compuerta · material: metal · medida: 1/2"</t>
        </is>
      </c>
    </row>
    <row r="1530">
      <c r="A1530" s="3" t="inlineStr">
        <is>
          <t>MAT-32-347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Llave de paso de compuerta de metal 1"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1595</v>
      </c>
      <c r="L1530" s="6" t="n">
        <v>1595</v>
      </c>
      <c r="M1530" s="6" t="n">
        <v>1595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H1530" s="4" t="inlineStr">
        <is>
          <t>tipo: de compuerta · material: metal · medida: 1"</t>
        </is>
      </c>
    </row>
    <row r="1531">
      <c r="A1531" s="3" t="inlineStr">
        <is>
          <t>MAT-32-348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Llave de paso de compuerta de metal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1248</v>
      </c>
      <c r="L1531" s="6" t="n">
        <v>1248</v>
      </c>
      <c r="M1531" s="6" t="n">
        <v>1248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H1531" s="4" t="inlineStr">
        <is>
          <t>tipo: de compuerta · material: metal · medida: 3/4"</t>
        </is>
      </c>
    </row>
    <row r="1532">
      <c r="A1532" s="3" t="inlineStr">
        <is>
          <t>MAT-32-349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Llave de paso de rosca macho de metal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875</v>
      </c>
      <c r="L1532" s="6" t="n">
        <v>338</v>
      </c>
      <c r="M1532" s="6" t="n">
        <v>1071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H1532" s="4" t="inlineStr">
        <is>
          <t>tipo: de rosca macho · material: metal · medida: 1/2"</t>
        </is>
      </c>
    </row>
    <row r="1533">
      <c r="A1533" s="3" t="inlineStr">
        <is>
          <t>MAT-32-350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Llave de paso de rosca macho de metal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816</v>
      </c>
      <c r="L1533" s="6" t="n">
        <v>487</v>
      </c>
      <c r="M1533" s="6" t="n">
        <v>1145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H1533" s="4" t="inlineStr">
        <is>
          <t>tipo: de rosca macho · material: metal · medida: 3/4"</t>
        </is>
      </c>
    </row>
    <row r="1534">
      <c r="A1534" s="3" t="inlineStr">
        <is>
          <t>MAT-32-351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Válvula de retención (cheque) 1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2020</v>
      </c>
      <c r="L1534" s="6" t="n">
        <v>1757</v>
      </c>
      <c r="M1534" s="6" t="n">
        <v>2283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H1534" s="4" t="inlineStr">
        <is>
          <t>medida: 1 1/2"</t>
        </is>
      </c>
    </row>
    <row r="1535">
      <c r="A1535" s="3" t="inlineStr">
        <is>
          <t>MAT-32-352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Válvula de retención (cheque) 1/2"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562.5</v>
      </c>
      <c r="L1535" s="6" t="n">
        <v>535</v>
      </c>
      <c r="M1535" s="6" t="n">
        <v>590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2026-09-09</t>
        </is>
      </c>
      <c r="Q1535" s="4" t="inlineStr">
        <is>
          <t>Ferretería Cima</t>
        </is>
      </c>
      <c r="AH1535" s="4" t="inlineStr">
        <is>
          <t>medida: 1/2"</t>
        </is>
      </c>
    </row>
    <row r="1536">
      <c r="A1536" s="3" t="inlineStr">
        <is>
          <t>MAT-32-353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Válvula de retención (cheque) 1"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1048</v>
      </c>
      <c r="L1536" s="6" t="n">
        <v>1048</v>
      </c>
      <c r="M1536" s="6" t="n">
        <v>1048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H1536" s="4" t="inlineStr">
        <is>
          <t>medida: 1"</t>
        </is>
      </c>
    </row>
    <row r="1537">
      <c r="A1537" s="3" t="inlineStr">
        <is>
          <t>MAT-32-354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Válvula de retención (cheque) 2"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2946</v>
      </c>
      <c r="L1537" s="6" t="n">
        <v>2946</v>
      </c>
      <c r="M1537" s="6" t="n">
        <v>2946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H1537" s="4" t="inlineStr">
        <is>
          <t>medida: 2"</t>
        </is>
      </c>
    </row>
    <row r="1538">
      <c r="A1538" s="3" t="inlineStr">
        <is>
          <t>MAT-32-355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Válvula de retención (cheque) 3/4"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745.5</v>
      </c>
      <c r="L1538" s="6" t="n">
        <v>695</v>
      </c>
      <c r="M1538" s="6" t="n">
        <v>796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H1538" s="4" t="inlineStr">
        <is>
          <t>medida: 3/4"</t>
        </is>
      </c>
    </row>
    <row r="1539">
      <c r="A1539" s="3" t="inlineStr">
        <is>
          <t>MAT-32-356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Válvula de cisterna con flotante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734.5</v>
      </c>
      <c r="L1539" s="6" t="n">
        <v>616</v>
      </c>
      <c r="M1539" s="6" t="n">
        <v>853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H1539" s="4" t="inlineStr">
        <is>
          <t>medida: 1/2"</t>
        </is>
      </c>
    </row>
    <row r="1540">
      <c r="A1540" s="3" t="inlineStr">
        <is>
          <t>MAT-32-357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Válvula de cisterna con flotante 3/4"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943</v>
      </c>
      <c r="L1540" s="6" t="n">
        <v>615</v>
      </c>
      <c r="M1540" s="6" t="n">
        <v>1271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H1540" s="4" t="inlineStr">
        <is>
          <t>medida: 3/4"</t>
        </is>
      </c>
    </row>
    <row r="1541">
      <c r="A1541" s="3" t="inlineStr">
        <is>
          <t>MAT-32-358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Rejilla de piso 10 x 10 cm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310</v>
      </c>
      <c r="L1541" s="6" t="n">
        <v>306</v>
      </c>
      <c r="M1541" s="6" t="n">
        <v>685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2026-09-09</t>
        </is>
      </c>
      <c r="Q1541" s="4" t="inlineStr">
        <is>
          <t>Ferretería Cima</t>
        </is>
      </c>
      <c r="AH1541" s="4" t="inlineStr">
        <is>
          <t>medida: 10 x 10 cm</t>
        </is>
      </c>
    </row>
    <row r="1542">
      <c r="A1542" s="3" t="inlineStr">
        <is>
          <t>MAT-32-359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Rejilla de piso 100 x 100 cm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1173</v>
      </c>
      <c r="L1542" s="6" t="n">
        <v>1173</v>
      </c>
      <c r="M1542" s="6" t="n">
        <v>1173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H1542" s="4" t="inlineStr">
        <is>
          <t>medida: 100 x 100 cm</t>
        </is>
      </c>
    </row>
    <row r="1543">
      <c r="A1543" s="3" t="inlineStr">
        <is>
          <t>MAT-32-360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Rejilla de piso 10"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1196</v>
      </c>
      <c r="L1543" s="6" t="n">
        <v>968</v>
      </c>
      <c r="M1543" s="6" t="n">
        <v>1510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2026-09-09</t>
        </is>
      </c>
      <c r="Q1543" s="4" t="inlineStr">
        <is>
          <t>Ferretería Cima</t>
        </is>
      </c>
      <c r="AH1543" s="4" t="inlineStr">
        <is>
          <t>medida: 10" · material: acero inoxidable</t>
        </is>
      </c>
    </row>
    <row r="1544">
      <c r="A1544" s="3" t="inlineStr">
        <is>
          <t>MAT-32-361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Rejilla de piso 15 x 15 cm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1233.5</v>
      </c>
      <c r="L1544" s="6" t="n">
        <v>413</v>
      </c>
      <c r="M1544" s="6" t="n">
        <v>2054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2026-09-09</t>
        </is>
      </c>
      <c r="Q1544" s="4" t="inlineStr">
        <is>
          <t>Ferretería Cima</t>
        </is>
      </c>
      <c r="AH1544" s="4" t="inlineStr">
        <is>
          <t>medida: 15 x 15 cm · material: acero inoxidable</t>
        </is>
      </c>
    </row>
    <row r="1545">
      <c r="A1545" s="3" t="inlineStr">
        <is>
          <t>MAT-32-362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Rejilla de piso 20 x 20 cm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572</v>
      </c>
      <c r="L1545" s="6" t="n">
        <v>572</v>
      </c>
      <c r="M1545" s="6" t="n">
        <v>572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H1545" s="4" t="inlineStr">
        <is>
          <t>medida: 20 x 20 cm</t>
        </is>
      </c>
    </row>
    <row r="1546">
      <c r="A1546" s="3" t="inlineStr">
        <is>
          <t>MAT-32-363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Rejilla de piso 2"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648</v>
      </c>
      <c r="L1546" s="6" t="n">
        <v>199</v>
      </c>
      <c r="M1546" s="6" t="n">
        <v>858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2026-09-09</t>
        </is>
      </c>
      <c r="Q1546" s="4" t="inlineStr">
        <is>
          <t>Ferretería Cima</t>
        </is>
      </c>
      <c r="AH1546" s="4" t="inlineStr">
        <is>
          <t>medida: 2" · material: aluminio</t>
        </is>
      </c>
    </row>
    <row r="1547">
      <c r="A1547" s="3" t="inlineStr">
        <is>
          <t>MAT-32-364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Rejilla de piso 3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384.5</v>
      </c>
      <c r="L1547" s="6" t="n">
        <v>368</v>
      </c>
      <c r="M1547" s="6" t="n">
        <v>401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H1547" s="4" t="inlineStr">
        <is>
          <t>medida: 3 1/2"</t>
        </is>
      </c>
    </row>
    <row r="1548">
      <c r="A1548" s="3" t="inlineStr">
        <is>
          <t>MAT-32-365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Rejilla de piso 3"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460.5</v>
      </c>
      <c r="L1548" s="6" t="n">
        <v>356</v>
      </c>
      <c r="M1548" s="6" t="n">
        <v>565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2026-09-09</t>
        </is>
      </c>
      <c r="Q1548" s="4" t="inlineStr">
        <is>
          <t>Ferretería Cima</t>
        </is>
      </c>
      <c r="AH1548" s="4" t="inlineStr">
        <is>
          <t>medida: 3" · material: aluminio</t>
        </is>
      </c>
    </row>
    <row r="1549">
      <c r="A1549" s="3" t="inlineStr">
        <is>
          <t>MAT-32-366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Rejilla de piso 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481.5</v>
      </c>
      <c r="L1549" s="6" t="n">
        <v>453</v>
      </c>
      <c r="M1549" s="6" t="n">
        <v>510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2026-09-09</t>
        </is>
      </c>
      <c r="Q1549" s="4" t="inlineStr">
        <is>
          <t>Ferretería Cima</t>
        </is>
      </c>
      <c r="AH1549" s="4" t="inlineStr">
        <is>
          <t>medida: 4" · material: aluminio</t>
        </is>
      </c>
    </row>
    <row r="1550">
      <c r="A1550" s="3" t="inlineStr">
        <is>
          <t>MAT-32-367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Rejilla de piso 6 x 6"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3129</v>
      </c>
      <c r="L1550" s="6" t="n">
        <v>3129</v>
      </c>
      <c r="M1550" s="6" t="n">
        <v>3129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Ferremix (Grupo Alterra)</t>
        </is>
      </c>
      <c r="AH1550" s="4" t="inlineStr">
        <is>
          <t>medida: 6 x 6"</t>
        </is>
      </c>
    </row>
    <row r="1551">
      <c r="A1551" s="3" t="inlineStr">
        <is>
          <t>MAT-32-368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Rejilla de piso 6"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2403</v>
      </c>
      <c r="L1551" s="6" t="n">
        <v>2403</v>
      </c>
      <c r="M1551" s="6" t="n">
        <v>2403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H1551" s="4" t="inlineStr">
        <is>
          <t>medida: 6" · material: aluminio</t>
        </is>
      </c>
    </row>
    <row r="1552">
      <c r="A1552" s="3" t="inlineStr">
        <is>
          <t>MAT-32-369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Rejilla de piso 80 x 80 cm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865</v>
      </c>
      <c r="L1552" s="6" t="n">
        <v>865</v>
      </c>
      <c r="M1552" s="6" t="n">
        <v>865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2026-09-09</t>
        </is>
      </c>
      <c r="Q1552" s="4" t="inlineStr">
        <is>
          <t>Ferretería Cima</t>
        </is>
      </c>
      <c r="AH1552" s="4" t="inlineStr">
        <is>
          <t>medida: 80 x 80 cm</t>
        </is>
      </c>
    </row>
    <row r="1553">
      <c r="A1553" s="3" t="inlineStr">
        <is>
          <t>MAT-32-370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Sifón de metal cromado para desagüe 1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1425</v>
      </c>
      <c r="L1553" s="6" t="n">
        <v>1425</v>
      </c>
      <c r="M1553" s="6" t="n">
        <v>1425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G1553" s="7" t="inlineStr">
        <is>
          <t>desagüe</t>
        </is>
      </c>
      <c r="AH1553" s="4" t="inlineStr">
        <is>
          <t>material: metal cromado · medida: 1 1/4"</t>
        </is>
      </c>
    </row>
    <row r="1554">
      <c r="A1554" s="3" t="inlineStr">
        <is>
          <t>MAT-32-371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Sifón de PVC para desagüe 1 1/2"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501.5</v>
      </c>
      <c r="L1554" s="6" t="n">
        <v>356</v>
      </c>
      <c r="M1554" s="6" t="n">
        <v>647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2026-09-09</t>
        </is>
      </c>
      <c r="Q1554" s="4" t="inlineStr">
        <is>
          <t>Ferretería Cima</t>
        </is>
      </c>
      <c r="AG1554" s="7" t="inlineStr">
        <is>
          <t>desagüe</t>
        </is>
      </c>
      <c r="AH1554" s="4" t="inlineStr">
        <is>
          <t>material: PVC · medida: 1 1/2"</t>
        </is>
      </c>
    </row>
    <row r="1555">
      <c r="A1555" s="3" t="inlineStr">
        <is>
          <t>MAT-32-372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Sifón de PVC para desagüe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225</v>
      </c>
      <c r="L1555" s="6" t="n">
        <v>225</v>
      </c>
      <c r="M1555" s="6" t="n">
        <v>225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2026-09-09</t>
        </is>
      </c>
      <c r="Q1555" s="4" t="inlineStr">
        <is>
          <t>Ferretería Cima</t>
        </is>
      </c>
      <c r="AG1555" s="7" t="inlineStr">
        <is>
          <t>desagüe</t>
        </is>
      </c>
      <c r="AH1555" s="4" t="inlineStr">
        <is>
          <t>material: PVC · medida: 2"</t>
        </is>
      </c>
    </row>
    <row r="1556">
      <c r="A1556" s="3" t="inlineStr">
        <is>
          <t>MAT-32-373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Sifón de PVC para desagüe 35376"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220</v>
      </c>
      <c r="L1556" s="6" t="n">
        <v>220</v>
      </c>
      <c r="M1556" s="6" t="n">
        <v>220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2026-09-09</t>
        </is>
      </c>
      <c r="Q1556" s="4" t="inlineStr">
        <is>
          <t>Ferretería Cima</t>
        </is>
      </c>
      <c r="AG1556" s="7" t="inlineStr">
        <is>
          <t>desagüe</t>
        </is>
      </c>
      <c r="AH1556" s="4" t="inlineStr">
        <is>
          <t>material: PVC · medida: 35376"</t>
        </is>
      </c>
    </row>
    <row r="1557">
      <c r="A1557" s="3" t="inlineStr">
        <is>
          <t>MAT-32-374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Sifón de PVC para fregadero 1 1/2"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475</v>
      </c>
      <c r="L1557" s="6" t="n">
        <v>475</v>
      </c>
      <c r="M1557" s="6" t="n">
        <v>475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G1557" s="7" t="inlineStr">
        <is>
          <t>fregadero</t>
        </is>
      </c>
      <c r="AH1557" s="4" t="inlineStr">
        <is>
          <t>material: PVC · medida: 1 1/2"</t>
        </is>
      </c>
    </row>
    <row r="1558">
      <c r="A1558" s="3" t="inlineStr">
        <is>
          <t>MAT-32-375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Sifón de PVC para fregadero 1 1/4"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585</v>
      </c>
      <c r="L1558" s="6" t="n">
        <v>585</v>
      </c>
      <c r="M1558" s="6" t="n">
        <v>585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G1558" s="7" t="inlineStr">
        <is>
          <t>fregadero</t>
        </is>
      </c>
      <c r="AH1558" s="4" t="inlineStr">
        <is>
          <t>material: PVC · medida: 1 1/4"</t>
        </is>
      </c>
    </row>
    <row r="1559">
      <c r="A1559" s="3" t="inlineStr">
        <is>
          <t>MAT-32-376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Sifón de metal para lavamanos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925</v>
      </c>
      <c r="L1559" s="6" t="n">
        <v>925</v>
      </c>
      <c r="M1559" s="6" t="n">
        <v>925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Ferremix (Grupo Alterra)</t>
        </is>
      </c>
      <c r="AG1559" s="7" t="inlineStr">
        <is>
          <t>lavamanos</t>
        </is>
      </c>
      <c r="AH1559" s="4" t="inlineStr">
        <is>
          <t>material: metal · medida: 1/4"</t>
        </is>
      </c>
    </row>
    <row r="1560">
      <c r="A1560" s="3" t="inlineStr">
        <is>
          <t>MAT-32-377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Sifón de PVC para lavamanos 1 1/4"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345</v>
      </c>
      <c r="L1560" s="6" t="n">
        <v>345</v>
      </c>
      <c r="M1560" s="6" t="n">
        <v>345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Ferremix (Grupo Alterra)</t>
        </is>
      </c>
      <c r="AG1560" s="7" t="inlineStr">
        <is>
          <t>lavamanos</t>
        </is>
      </c>
      <c r="AH1560" s="4" t="inlineStr">
        <is>
          <t>material: PVC · medida: 1 1/4"</t>
        </is>
      </c>
    </row>
    <row r="1561">
      <c r="A1561" s="3" t="inlineStr">
        <is>
          <t>MAT-32-378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Boquilla de desagüe de metal para fregadero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470</v>
      </c>
      <c r="L1561" s="6" t="n">
        <v>470</v>
      </c>
      <c r="M1561" s="6" t="n">
        <v>470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G1561" s="7" t="inlineStr">
        <is>
          <t>fregadero</t>
        </is>
      </c>
      <c r="AH1561" s="4" t="inlineStr">
        <is>
          <t>material: metal</t>
        </is>
      </c>
    </row>
    <row r="1562">
      <c r="A1562" s="3" t="inlineStr">
        <is>
          <t>MAT-32-379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Boquilla de desagüe de plástico para fregadero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563.55</v>
      </c>
      <c r="L1562" s="6" t="n">
        <v>285</v>
      </c>
      <c r="M1562" s="6" t="n">
        <v>842.11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CerArte · Ferretería Cima</t>
        </is>
      </c>
      <c r="AG1562" s="7" t="inlineStr">
        <is>
          <t>fregadero</t>
        </is>
      </c>
      <c r="AH1562" s="4" t="inlineStr">
        <is>
          <t>material: plástico</t>
        </is>
      </c>
    </row>
    <row r="1563">
      <c r="A1563" s="3" t="inlineStr">
        <is>
          <t>MAT-32-380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Boquilla de desagüe de metal para lavadero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429</v>
      </c>
      <c r="L1563" s="6" t="n">
        <v>429</v>
      </c>
      <c r="M1563" s="6" t="n">
        <v>429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G1563" s="7" t="inlineStr">
        <is>
          <t>lavadero</t>
        </is>
      </c>
      <c r="AH1563" s="4" t="inlineStr">
        <is>
          <t>material: metal</t>
        </is>
      </c>
    </row>
    <row r="1564">
      <c r="A1564" s="3" t="inlineStr">
        <is>
          <t>MAT-32-381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Boquilla de desagüe de metal para lavamanos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1145</v>
      </c>
      <c r="L1564" s="6" t="n">
        <v>255</v>
      </c>
      <c r="M1564" s="6" t="n">
        <v>5990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Ferretería Cima · La Ibérica</t>
        </is>
      </c>
      <c r="AG1564" s="7" t="inlineStr">
        <is>
          <t>lavamanos</t>
        </is>
      </c>
      <c r="AH1564" s="4" t="inlineStr">
        <is>
          <t>material: metal</t>
        </is>
      </c>
    </row>
    <row r="1565">
      <c r="A1565" s="3" t="inlineStr">
        <is>
          <t>MAT-32-382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Boquilla de desagüe de plástico para lavamanos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2</v>
      </c>
      <c r="K1565" s="6" t="n">
        <v>926.63</v>
      </c>
      <c r="L1565" s="6" t="n">
        <v>265.5</v>
      </c>
      <c r="M1565" s="6" t="n">
        <v>5590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CerArte · La Ibérica</t>
        </is>
      </c>
      <c r="AG1565" s="7" t="inlineStr">
        <is>
          <t>lavamanos</t>
        </is>
      </c>
      <c r="AH1565" s="4" t="inlineStr">
        <is>
          <t>material: plástico</t>
        </is>
      </c>
    </row>
    <row r="1566">
      <c r="A1566" s="3" t="inlineStr">
        <is>
          <t>MAT-32-383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Manguera para bomba 24"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970</v>
      </c>
      <c r="L1566" s="6" t="n">
        <v>970</v>
      </c>
      <c r="M1566" s="6" t="n">
        <v>970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G1566" s="7" t="inlineStr">
        <is>
          <t>bomba</t>
        </is>
      </c>
      <c r="AH1566" s="4" t="inlineStr">
        <is>
          <t>medida: 24"</t>
        </is>
      </c>
    </row>
    <row r="1567">
      <c r="A1567" s="3" t="inlineStr">
        <is>
          <t>MAT-32-384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Manguera para bomba 36"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475</v>
      </c>
      <c r="L1567" s="6" t="n">
        <v>475</v>
      </c>
      <c r="M1567" s="6" t="n">
        <v>475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2026-09-09</t>
        </is>
      </c>
      <c r="Q1567" s="4" t="inlineStr">
        <is>
          <t>Ferretería Cima</t>
        </is>
      </c>
      <c r="AG1567" s="7" t="inlineStr">
        <is>
          <t>bomba</t>
        </is>
      </c>
      <c r="AH1567" s="4" t="inlineStr">
        <is>
          <t>medida: 36"</t>
        </is>
      </c>
    </row>
    <row r="1568">
      <c r="A1568" s="3" t="inlineStr">
        <is>
          <t>MAT-32-385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Manguera para calentador 24"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895</v>
      </c>
      <c r="L1568" s="6" t="n">
        <v>895</v>
      </c>
      <c r="M1568" s="6" t="n">
        <v>895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G1568" s="7" t="inlineStr">
        <is>
          <t>calentador</t>
        </is>
      </c>
      <c r="AH1568" s="4" t="inlineStr">
        <is>
          <t>medida: 24"</t>
        </is>
      </c>
    </row>
    <row r="1569">
      <c r="A1569" s="3" t="inlineStr">
        <is>
          <t>MAT-32-386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Manguera para calentador 3/4" x 1 pulgadas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620</v>
      </c>
      <c r="L1569" s="6" t="n">
        <v>620</v>
      </c>
      <c r="M1569" s="6" t="n">
        <v>620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2026-09-09</t>
        </is>
      </c>
      <c r="Q1569" s="4" t="inlineStr">
        <is>
          <t>Ferretería Cima</t>
        </is>
      </c>
      <c r="AG1569" s="7" t="inlineStr">
        <is>
          <t>calentador</t>
        </is>
      </c>
      <c r="AH1569" s="4" t="inlineStr">
        <is>
          <t>medida: 3/4" x 1 pulgadas</t>
        </is>
      </c>
    </row>
    <row r="1570">
      <c r="A1570" s="3" t="inlineStr">
        <is>
          <t>MAT-32-387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Manguera para calentador 3/4" x 2 pulgadas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878</v>
      </c>
      <c r="L1570" s="6" t="n">
        <v>685</v>
      </c>
      <c r="M1570" s="6" t="n">
        <v>1071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G1570" s="7" t="inlineStr">
        <is>
          <t>calentador</t>
        </is>
      </c>
      <c r="AH1570" s="4" t="inlineStr">
        <is>
          <t>medida: 3/4" x 2 pulgadas</t>
        </is>
      </c>
    </row>
    <row r="1571">
      <c r="A1571" s="3" t="inlineStr">
        <is>
          <t>MAT-32-388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calentador 60"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1094</v>
      </c>
      <c r="L1571" s="6" t="n">
        <v>1094</v>
      </c>
      <c r="M1571" s="6" t="n">
        <v>1094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G1571" s="7" t="inlineStr">
        <is>
          <t>calentador</t>
        </is>
      </c>
      <c r="AH1571" s="4" t="inlineStr">
        <is>
          <t>medida: 60"</t>
        </is>
      </c>
    </row>
    <row r="1572">
      <c r="A1572" s="3" t="inlineStr">
        <is>
          <t>MAT-32-389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gas 12"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50</v>
      </c>
      <c r="L1572" s="6" t="n">
        <v>50</v>
      </c>
      <c r="M1572" s="6" t="n">
        <v>50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G1572" s="7" t="inlineStr">
        <is>
          <t>gas</t>
        </is>
      </c>
      <c r="AH1572" s="4" t="inlineStr">
        <is>
          <t>medida: 12"</t>
        </is>
      </c>
    </row>
    <row r="1573">
      <c r="A1573" s="3" t="inlineStr">
        <is>
          <t>MAT-32-390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gas 18"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65</v>
      </c>
      <c r="L1573" s="6" t="n">
        <v>65</v>
      </c>
      <c r="M1573" s="6" t="n">
        <v>65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G1573" s="7" t="inlineStr">
        <is>
          <t>gas</t>
        </is>
      </c>
      <c r="AH1573" s="4" t="inlineStr">
        <is>
          <t>medida: 18"</t>
        </is>
      </c>
    </row>
    <row r="1574">
      <c r="A1574" s="3" t="inlineStr">
        <is>
          <t>MAT-32-391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inodoro 16"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250</v>
      </c>
      <c r="L1574" s="6" t="n">
        <v>250</v>
      </c>
      <c r="M1574" s="6" t="n">
        <v>250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G1574" s="7" t="inlineStr">
        <is>
          <t>inodoro</t>
        </is>
      </c>
      <c r="AH1574" s="4" t="inlineStr">
        <is>
          <t>medida: 16"</t>
        </is>
      </c>
    </row>
    <row r="1575">
      <c r="A1575" s="3" t="inlineStr">
        <is>
          <t>MAT-32-392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jardín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1288</v>
      </c>
      <c r="L1575" s="6" t="n">
        <v>535</v>
      </c>
      <c r="M1575" s="6" t="n">
        <v>1940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G1575" s="7" t="inlineStr">
        <is>
          <t>jardín</t>
        </is>
      </c>
      <c r="AH1575" s="4" t="inlineStr">
        <is>
          <t>medida: 1/2"</t>
        </is>
      </c>
    </row>
    <row r="1576">
      <c r="A1576" s="3" t="inlineStr">
        <is>
          <t>MAT-32-393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jardín 1/2" x 100 pies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1475</v>
      </c>
      <c r="L1576" s="6" t="n">
        <v>1475</v>
      </c>
      <c r="M1576" s="6" t="n">
        <v>1475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G1576" s="7" t="inlineStr">
        <is>
          <t>jardín</t>
        </is>
      </c>
      <c r="AH1576" s="4" t="inlineStr">
        <is>
          <t>medida: 1/2" x 100 pies</t>
        </is>
      </c>
    </row>
    <row r="1577">
      <c r="A1577" s="3" t="inlineStr">
        <is>
          <t>MAT-32-394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jardín 1/2" x 25 pies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544</v>
      </c>
      <c r="L1577" s="6" t="n">
        <v>544</v>
      </c>
      <c r="M1577" s="6" t="n">
        <v>544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G1577" s="7" t="inlineStr">
        <is>
          <t>jardín</t>
        </is>
      </c>
      <c r="AH1577" s="4" t="inlineStr">
        <is>
          <t>medida: 1/2" x 25 pies</t>
        </is>
      </c>
    </row>
    <row r="1578">
      <c r="A1578" s="3" t="inlineStr">
        <is>
          <t>MAT-32-395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jardín 1/2" x 50 pies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1042</v>
      </c>
      <c r="L1578" s="6" t="n">
        <v>1042</v>
      </c>
      <c r="M1578" s="6" t="n">
        <v>1042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G1578" s="7" t="inlineStr">
        <is>
          <t>jardín</t>
        </is>
      </c>
      <c r="AH1578" s="4" t="inlineStr">
        <is>
          <t>medida: 1/2" x 50 pies</t>
        </is>
      </c>
    </row>
    <row r="1579">
      <c r="A1579" s="3" t="inlineStr">
        <is>
          <t>MAT-32-396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jardín 5/8"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2397</v>
      </c>
      <c r="L1579" s="6" t="n">
        <v>2054</v>
      </c>
      <c r="M1579" s="6" t="n">
        <v>2741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G1579" s="7" t="inlineStr">
        <is>
          <t>jardín</t>
        </is>
      </c>
      <c r="AH1579" s="4" t="inlineStr">
        <is>
          <t>medida: 5/8"</t>
        </is>
      </c>
    </row>
    <row r="1580">
      <c r="A1580" s="3" t="inlineStr">
        <is>
          <t>MAT-32-397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jardín 5/8" x 75 pies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1365</v>
      </c>
      <c r="L1580" s="6" t="n">
        <v>1365</v>
      </c>
      <c r="M1580" s="6" t="n">
        <v>1365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G1580" s="7" t="inlineStr">
        <is>
          <t>jardín</t>
        </is>
      </c>
      <c r="AH1580" s="4" t="inlineStr">
        <is>
          <t>medida: 5/8" x 75 pies</t>
        </is>
      </c>
    </row>
    <row r="1581">
      <c r="A1581" s="3" t="inlineStr">
        <is>
          <t>MAT-32-398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lavadora 48"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556</v>
      </c>
      <c r="L1581" s="6" t="n">
        <v>556</v>
      </c>
      <c r="M1581" s="6" t="n">
        <v>556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G1581" s="7" t="inlineStr">
        <is>
          <t>lavadora</t>
        </is>
      </c>
      <c r="AH1581" s="4" t="inlineStr">
        <is>
          <t>medida: 48"</t>
        </is>
      </c>
    </row>
    <row r="1582">
      <c r="A1582" s="3" t="inlineStr">
        <is>
          <t>MAT-32-399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lavadora 60"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410</v>
      </c>
      <c r="L1582" s="6" t="n">
        <v>410</v>
      </c>
      <c r="M1582" s="6" t="n">
        <v>410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G1582" s="7" t="inlineStr">
        <is>
          <t>lavadora</t>
        </is>
      </c>
      <c r="AH1582" s="4" t="inlineStr">
        <is>
          <t>medida: 60"</t>
        </is>
      </c>
    </row>
    <row r="1583">
      <c r="A1583" s="3" t="inlineStr">
        <is>
          <t>MAT-32-400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lavadora 72"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375</v>
      </c>
      <c r="L1583" s="6" t="n">
        <v>375</v>
      </c>
      <c r="M1583" s="6" t="n">
        <v>375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G1583" s="7" t="inlineStr">
        <is>
          <t>lavadora</t>
        </is>
      </c>
      <c r="AH1583" s="4" t="inlineStr">
        <is>
          <t>medida: 72"</t>
        </is>
      </c>
    </row>
    <row r="1584">
      <c r="A1584" s="3" t="inlineStr">
        <is>
          <t>MAT-32-401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lavamanos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384</v>
      </c>
      <c r="L1584" s="6" t="n">
        <v>295</v>
      </c>
      <c r="M1584" s="6" t="n">
        <v>451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G1584" s="7" t="inlineStr">
        <is>
          <t>lavamanos</t>
        </is>
      </c>
      <c r="AH1584" s="4" t="inlineStr">
        <is>
          <t>medida: 1/2"</t>
        </is>
      </c>
    </row>
    <row r="1585">
      <c r="A1585" s="3" t="inlineStr">
        <is>
          <t>MAT-32-402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Manguera para lavamanos 16"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265</v>
      </c>
      <c r="L1585" s="6" t="n">
        <v>265</v>
      </c>
      <c r="M1585" s="6" t="n">
        <v>265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G1585" s="7" t="inlineStr">
        <is>
          <t>lavamanos</t>
        </is>
      </c>
      <c r="AH1585" s="4" t="inlineStr">
        <is>
          <t>medida: 16"</t>
        </is>
      </c>
    </row>
    <row r="1586">
      <c r="A1586" s="3" t="inlineStr">
        <is>
          <t>MAT-32-403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Manguera para lavamanos 20"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325</v>
      </c>
      <c r="L1586" s="6" t="n">
        <v>325</v>
      </c>
      <c r="M1586" s="6" t="n">
        <v>325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G1586" s="7" t="inlineStr">
        <is>
          <t>lavamanos</t>
        </is>
      </c>
      <c r="AH1586" s="4" t="inlineStr">
        <is>
          <t>medida: 20"</t>
        </is>
      </c>
    </row>
    <row r="1587">
      <c r="A1587" s="3" t="inlineStr">
        <is>
          <t>MAT-32-404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Manguera para lavamanos 22"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425</v>
      </c>
      <c r="L1587" s="6" t="n">
        <v>365</v>
      </c>
      <c r="M1587" s="6" t="n">
        <v>499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G1587" s="7" t="inlineStr">
        <is>
          <t>lavamanos</t>
        </is>
      </c>
      <c r="AH1587" s="4" t="inlineStr">
        <is>
          <t>medida: 22"</t>
        </is>
      </c>
    </row>
    <row r="1588">
      <c r="A1588" s="3" t="inlineStr">
        <is>
          <t>MAT-32-405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Manguera para lavamanos 24"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279</v>
      </c>
      <c r="L1588" s="6" t="n">
        <v>265</v>
      </c>
      <c r="M1588" s="6" t="n">
        <v>293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G1588" s="7" t="inlineStr">
        <is>
          <t>lavamanos</t>
        </is>
      </c>
      <c r="AH1588" s="4" t="inlineStr">
        <is>
          <t>medida: 24"</t>
        </is>
      </c>
    </row>
    <row r="1589">
      <c r="A1589" s="3" t="inlineStr">
        <is>
          <t>MAT-32-406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Manguera para lavamanos 3/8"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505</v>
      </c>
      <c r="L1589" s="6" t="n">
        <v>505</v>
      </c>
      <c r="M1589" s="6" t="n">
        <v>505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G1589" s="7" t="inlineStr">
        <is>
          <t>lavamanos</t>
        </is>
      </c>
      <c r="AH1589" s="4" t="inlineStr">
        <is>
          <t>medida: 3/8"</t>
        </is>
      </c>
    </row>
    <row r="1590">
      <c r="A1590" s="3" t="inlineStr">
        <is>
          <t>MAT-32-407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Manguera para lavamanos 3/8" x 32 pulgadas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198</v>
      </c>
      <c r="L1590" s="6" t="n">
        <v>198</v>
      </c>
      <c r="M1590" s="6" t="n">
        <v>198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G1590" s="7" t="inlineStr">
        <is>
          <t>lavamanos</t>
        </is>
      </c>
      <c r="AH1590" s="4" t="inlineStr">
        <is>
          <t>medida: 3/8" x 32 pulgadas</t>
        </is>
      </c>
    </row>
    <row r="1591">
      <c r="A1591" s="3" t="inlineStr">
        <is>
          <t>MAT-32-408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Manguera para lavamanos 30"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330</v>
      </c>
      <c r="L1591" s="6" t="n">
        <v>330</v>
      </c>
      <c r="M1591" s="6" t="n">
        <v>330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G1591" s="7" t="inlineStr">
        <is>
          <t>lavamanos</t>
        </is>
      </c>
      <c r="AH1591" s="4" t="inlineStr">
        <is>
          <t>medida: 30"</t>
        </is>
      </c>
    </row>
    <row r="1592">
      <c r="A1592" s="3" t="inlineStr">
        <is>
          <t>MAT-32-409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Manguera para lavamanos 36"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319</v>
      </c>
      <c r="L1592" s="6" t="n">
        <v>319</v>
      </c>
      <c r="M1592" s="6" t="n">
        <v>319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G1592" s="7" t="inlineStr">
        <is>
          <t>lavamanos</t>
        </is>
      </c>
      <c r="AH1592" s="4" t="inlineStr">
        <is>
          <t>medida: 36"</t>
        </is>
      </c>
    </row>
    <row r="1593">
      <c r="A1593" s="3" t="inlineStr">
        <is>
          <t>MAT-32-410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Manguera para mezcladora 3/8" x 20 pulgadas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195</v>
      </c>
      <c r="L1593" s="6" t="n">
        <v>195</v>
      </c>
      <c r="M1593" s="6" t="n">
        <v>195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G1593" s="7" t="inlineStr">
        <is>
          <t>mezcladora</t>
        </is>
      </c>
      <c r="AH1593" s="4" t="inlineStr">
        <is>
          <t>medida: 3/8" x 20 pulgadas</t>
        </is>
      </c>
    </row>
    <row r="1594">
      <c r="A1594" s="3" t="inlineStr">
        <is>
          <t>MAT-32-411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Manguera para mezcladora 32"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297</v>
      </c>
      <c r="L1594" s="6" t="n">
        <v>297</v>
      </c>
      <c r="M1594" s="6" t="n">
        <v>297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G1594" s="7" t="inlineStr">
        <is>
          <t>mezcladora</t>
        </is>
      </c>
      <c r="AH1594" s="4" t="inlineStr">
        <is>
          <t>medida: 32"</t>
        </is>
      </c>
    </row>
    <row r="1595">
      <c r="A1595" s="3" t="inlineStr">
        <is>
          <t>MAT-32-412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Manguera para uso general, transparente 0.31"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25</v>
      </c>
      <c r="L1595" s="6" t="n">
        <v>25</v>
      </c>
      <c r="M1595" s="6" t="n">
        <v>25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G1595" s="7" t="inlineStr">
        <is>
          <t>uso general, transparente</t>
        </is>
      </c>
      <c r="AH1595" s="4" t="inlineStr">
        <is>
          <t>medida: 0.31"</t>
        </is>
      </c>
    </row>
    <row r="1596">
      <c r="A1596" s="3" t="inlineStr">
        <is>
          <t>MAT-32-413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Manguera para uso general, transparente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43.5</v>
      </c>
      <c r="L1596" s="6" t="n">
        <v>40</v>
      </c>
      <c r="M1596" s="6" t="n">
        <v>47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G1596" s="7" t="inlineStr">
        <is>
          <t>uso general, transparente</t>
        </is>
      </c>
      <c r="AH1596" s="4" t="inlineStr">
        <is>
          <t>medida: 1/2"</t>
        </is>
      </c>
    </row>
    <row r="1597">
      <c r="A1597" s="3" t="inlineStr">
        <is>
          <t>MAT-32-414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Manguera para uso general, transparente 1/4"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35</v>
      </c>
      <c r="L1597" s="6" t="n">
        <v>35</v>
      </c>
      <c r="M1597" s="6" t="n">
        <v>35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G1597" s="7" t="inlineStr">
        <is>
          <t>uso general, transparente</t>
        </is>
      </c>
      <c r="AH1597" s="4" t="inlineStr">
        <is>
          <t>medida: 1/4"</t>
        </is>
      </c>
    </row>
    <row r="1598">
      <c r="A1598" s="3" t="inlineStr">
        <is>
          <t>MAT-32-415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Manguera para uso general, transparente 1"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100</v>
      </c>
      <c r="L1598" s="6" t="n">
        <v>100</v>
      </c>
      <c r="M1598" s="6" t="n">
        <v>100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G1598" s="7" t="inlineStr">
        <is>
          <t>uso general, transparente</t>
        </is>
      </c>
      <c r="AH1598" s="4" t="inlineStr">
        <is>
          <t>medida: 1"</t>
        </is>
      </c>
    </row>
    <row r="1599">
      <c r="A1599" s="3" t="inlineStr">
        <is>
          <t>MAT-32-416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Manguera para uso general, transparente 3/4"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36</v>
      </c>
      <c r="L1599" s="6" t="n">
        <v>36</v>
      </c>
      <c r="M1599" s="6" t="n">
        <v>36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G1599" s="7" t="inlineStr">
        <is>
          <t>uso general, transparente</t>
        </is>
      </c>
      <c r="AH1599" s="4" t="inlineStr">
        <is>
          <t>medida: 3/4"</t>
        </is>
      </c>
    </row>
    <row r="1600">
      <c r="A1600" s="3" t="inlineStr">
        <is>
          <t>MAT-32-417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Manguera para uso general, transparente 3/8"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32</v>
      </c>
      <c r="L1600" s="6" t="n">
        <v>32</v>
      </c>
      <c r="M1600" s="6" t="n">
        <v>32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G1600" s="7" t="inlineStr">
        <is>
          <t>uso general, transparente</t>
        </is>
      </c>
      <c r="AH1600" s="4" t="inlineStr">
        <is>
          <t>medida: 3/8"</t>
        </is>
      </c>
    </row>
    <row r="1601">
      <c r="A1601" s="3" t="inlineStr">
        <is>
          <t>MAT-32-418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Cinta de teflón 12520"</t>
        </is>
      </c>
      <c r="E1601" s="4" t="inlineStr"/>
      <c r="F1601" s="3" t="inlineStr">
        <is>
          <t>rollo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45</v>
      </c>
      <c r="L1601" s="6" t="n">
        <v>45</v>
      </c>
      <c r="M1601" s="6" t="n">
        <v>45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H1601" s="4" t="inlineStr">
        <is>
          <t>medida: 12520"</t>
        </is>
      </c>
    </row>
    <row r="1602">
      <c r="A1602" s="3" t="inlineStr">
        <is>
          <t>MAT-32-419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Cinta de teflón 1"</t>
        </is>
      </c>
      <c r="E1602" s="4" t="inlineStr"/>
      <c r="F1602" s="3" t="inlineStr">
        <is>
          <t>rollo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H1602" s="4" t="inlineStr">
        <is>
          <t>medida: 1"</t>
        </is>
      </c>
    </row>
    <row r="1603">
      <c r="A1603" s="3" t="inlineStr">
        <is>
          <t>MAT-32-420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Cinta de teflón 3/4"</t>
        </is>
      </c>
      <c r="E1603" s="4" t="inlineStr"/>
      <c r="F1603" s="3" t="inlineStr">
        <is>
          <t>rollo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117.5</v>
      </c>
      <c r="L1603" s="6" t="n">
        <v>60</v>
      </c>
      <c r="M1603" s="6" t="n">
        <v>175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H1603" s="4" t="inlineStr">
        <is>
          <t>medida: 3/4"</t>
        </is>
      </c>
    </row>
    <row r="1604">
      <c r="A1604" s="3" t="inlineStr">
        <is>
          <t>MAT-32-421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Cinta de plomero 0.19" x 15 pies</t>
        </is>
      </c>
      <c r="E1604" s="4" t="inlineStr"/>
      <c r="F1604" s="3" t="inlineStr">
        <is>
          <t>rollo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304</v>
      </c>
      <c r="L1604" s="6" t="n">
        <v>304</v>
      </c>
      <c r="M1604" s="6" t="n">
        <v>304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H1604" s="4" t="inlineStr">
        <is>
          <t>medida: 0.19" x 15 pies</t>
        </is>
      </c>
    </row>
    <row r="1605">
      <c r="A1605" s="3" t="inlineStr">
        <is>
          <t>MAT-32-422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Cinta de plomero 1/2" x 50 pies</t>
        </is>
      </c>
      <c r="E1605" s="4" t="inlineStr"/>
      <c r="F1605" s="3" t="inlineStr">
        <is>
          <t>rollo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2525</v>
      </c>
      <c r="L1605" s="6" t="n">
        <v>2525</v>
      </c>
      <c r="M1605" s="6" t="n">
        <v>2525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H1605" s="4" t="inlineStr">
        <is>
          <t>medida: 1/2" x 50 pies</t>
        </is>
      </c>
    </row>
    <row r="1606">
      <c r="A1606" s="3" t="inlineStr">
        <is>
          <t>MAT-32-423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Cinta de plomero 1/8" x 25 pies</t>
        </is>
      </c>
      <c r="E1606" s="4" t="inlineStr"/>
      <c r="F1606" s="3" t="inlineStr">
        <is>
          <t>rollo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412</v>
      </c>
      <c r="L1606" s="6" t="n">
        <v>412</v>
      </c>
      <c r="M1606" s="6" t="n">
        <v>412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H1606" s="4" t="inlineStr">
        <is>
          <t>medida: 1/8" x 25 pies</t>
        </is>
      </c>
    </row>
    <row r="1607">
      <c r="A1607" s="3" t="inlineStr">
        <is>
          <t>MAT-32-424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Cemento solvente para PVC, 16 oz</t>
        </is>
      </c>
      <c r="E1607" s="4" t="inlineStr"/>
      <c r="F1607" s="3" t="inlineStr">
        <is>
          <t>envase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979</v>
      </c>
      <c r="L1607" s="6" t="n">
        <v>979</v>
      </c>
      <c r="M1607" s="6" t="n">
        <v>979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H1607" s="4" t="inlineStr">
        <is>
          <t>presentacion: 16 oz</t>
        </is>
      </c>
    </row>
    <row r="1608">
      <c r="A1608" s="3" t="inlineStr">
        <is>
          <t>MAT-32-425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Cemento solvente para PVC, 32 oz</t>
        </is>
      </c>
      <c r="E1608" s="4" t="inlineStr"/>
      <c r="F1608" s="3" t="inlineStr">
        <is>
          <t>envase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1765</v>
      </c>
      <c r="L1608" s="6" t="n">
        <v>1765</v>
      </c>
      <c r="M1608" s="6" t="n">
        <v>1765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H1608" s="4" t="inlineStr">
        <is>
          <t>presentacion: 32 oz</t>
        </is>
      </c>
    </row>
    <row r="1609">
      <c r="A1609" s="3" t="inlineStr">
        <is>
          <t>MAT-32-426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Cemento solvente para PVC, 4 oz</t>
        </is>
      </c>
      <c r="E1609" s="4" t="inlineStr"/>
      <c r="F1609" s="3" t="inlineStr">
        <is>
          <t>envase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391.5</v>
      </c>
      <c r="L1609" s="6" t="n">
        <v>335</v>
      </c>
      <c r="M1609" s="6" t="n">
        <v>522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H1609" s="4" t="inlineStr">
        <is>
          <t>presentacion: 4 oz</t>
        </is>
      </c>
    </row>
    <row r="1610">
      <c r="A1610" s="3" t="inlineStr">
        <is>
          <t>MAT-32-427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Cemento solvente para PVC, 50 ml</t>
        </is>
      </c>
      <c r="E1610" s="4" t="inlineStr"/>
      <c r="F1610" s="3" t="inlineStr">
        <is>
          <t>envase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205</v>
      </c>
      <c r="L1610" s="6" t="n">
        <v>205</v>
      </c>
      <c r="M1610" s="6" t="n">
        <v>205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H1610" s="4" t="inlineStr">
        <is>
          <t>presentacion: 50 ml</t>
        </is>
      </c>
    </row>
    <row r="1611">
      <c r="A1611" s="3" t="inlineStr">
        <is>
          <t>MAT-32-428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Cemento solvente para PVC, 8 oz</t>
        </is>
      </c>
      <c r="E1611" s="4" t="inlineStr"/>
      <c r="F1611" s="3" t="inlineStr">
        <is>
          <t>envase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520</v>
      </c>
      <c r="L1611" s="6" t="n">
        <v>473</v>
      </c>
      <c r="M1611" s="6" t="n">
        <v>567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H1611" s="4" t="inlineStr">
        <is>
          <t>presentacion: 8 oz</t>
        </is>
      </c>
    </row>
  </sheetData>
  <autoFilter ref="A2:AH1611"/>
  <mergeCells count="1">
    <mergeCell ref="A1:A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3" customWidth="1" min="13" max="13"/>
    <col width="13" customWidth="1" min="14" max="14"/>
    <col width="13" customWidth="1" min="15" max="15"/>
    <col width="11" customWidth="1" min="16" max="16"/>
    <col width="24" customWidth="1" min="17" max="17"/>
    <col width="15" customWidth="1" min="18" max="18"/>
    <col width="11" customWidth="1" min="19" max="19"/>
  </cols>
  <sheetData>
    <row r="1" ht="16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Mínimo (RD$)</t>
        </is>
      </c>
      <c r="N2" s="2" t="inlineStr">
        <is>
          <t>Mediana (RD$)</t>
        </is>
      </c>
      <c r="O2" s="2" t="inlineStr">
        <is>
          <t>Máximo (RD$)</t>
        </is>
      </c>
      <c r="P2" s="2" t="inlineStr">
        <is>
          <t>Dispersión</t>
        </is>
      </c>
      <c r="Q2" s="2" t="inlineStr">
        <is>
          <t>Más barato</t>
        </is>
      </c>
      <c r="R2" s="2" t="inlineStr">
        <is>
          <t>Referencia del sitio (RD$)</t>
        </is>
      </c>
      <c r="S2" s="2" t="inlineStr">
        <is>
          <t>Cotizaciones</t>
        </is>
      </c>
    </row>
    <row r="3">
      <c r="A3" s="7" t="inlineStr">
        <is>
          <t>MAT-02-001</t>
        </is>
      </c>
      <c r="B3" s="4" t="inlineStr">
        <is>
          <t>Cemento gris portland, funda 42.5 kg</t>
        </is>
      </c>
      <c r="C3" s="7" t="inlineStr">
        <is>
          <t>funda</t>
        </is>
      </c>
      <c r="D3" s="8" t="n"/>
      <c r="E3" s="8" t="n"/>
      <c r="F3" s="8" t="n">
        <v>600</v>
      </c>
      <c r="G3" s="8" t="n"/>
      <c r="H3" s="8" t="n">
        <v>535</v>
      </c>
      <c r="I3" s="8" t="n">
        <v>655</v>
      </c>
      <c r="J3" s="8" t="n">
        <v>590</v>
      </c>
      <c r="K3" s="8" t="n"/>
      <c r="L3" s="8" t="n"/>
      <c r="M3" s="8">
        <f>IF(COUNT(D3:L3)=0,"",MIN(D3:L3))</f>
        <v/>
      </c>
      <c r="N3" s="8">
        <f>IF(COUNT(D3:L3)=0,"",MEDIAN(D3:L3))</f>
        <v/>
      </c>
      <c r="O3" s="8">
        <f>IF(COUNT(D3:L3)=0,"",MAX(D3:L3))</f>
        <v/>
      </c>
      <c r="P3" s="9">
        <f>IF(OR(M3="",M3=0),"",(O3-M3)/M3)</f>
        <v/>
      </c>
      <c r="Q3" s="7">
        <f>IF(COUNT(D3:L3)=0,"",INDEX($D$1:$L$1,MATCH(MIN(D3:L3),D3:L3,0)))</f>
        <v/>
      </c>
      <c r="R3" s="8" t="n">
        <v>595</v>
      </c>
      <c r="S3" s="10" t="n">
        <v>4</v>
      </c>
    </row>
    <row r="4">
      <c r="A4" s="7" t="inlineStr">
        <is>
          <t>MAT-02-002</t>
        </is>
      </c>
      <c r="B4" s="4" t="inlineStr">
        <is>
          <t>Cemento blanco, funda 25 kg</t>
        </is>
      </c>
      <c r="C4" s="7" t="inlineStr">
        <is>
          <t>funda</t>
        </is>
      </c>
      <c r="D4" s="8" t="n"/>
      <c r="E4" s="8" t="n"/>
      <c r="F4" s="8" t="n"/>
      <c r="G4" s="8" t="n"/>
      <c r="H4" s="8" t="n"/>
      <c r="I4" s="8" t="n">
        <v>755</v>
      </c>
      <c r="J4" s="8" t="n"/>
      <c r="K4" s="8" t="n"/>
      <c r="L4" s="8" t="n"/>
      <c r="M4" s="8">
        <f>IF(COUNT(D4:L4)=0,"",MIN(D4:L4))</f>
        <v/>
      </c>
      <c r="N4" s="8">
        <f>IF(COUNT(D4:L4)=0,"",MEDIAN(D4:L4))</f>
        <v/>
      </c>
      <c r="O4" s="8">
        <f>IF(COUNT(D4:L4)=0,"",MAX(D4:L4))</f>
        <v/>
      </c>
      <c r="P4" s="9">
        <f>IF(OR(M4="",M4=0),"",(O4-M4)/M4)</f>
        <v/>
      </c>
      <c r="Q4" s="7">
        <f>IF(COUNT(D4:L4)=0,"",INDEX($D$1:$L$1,MATCH(MIN(D4:L4),D4:L4,0)))</f>
        <v/>
      </c>
      <c r="R4" s="8" t="n">
        <v>755</v>
      </c>
      <c r="S4" s="10" t="n">
        <v>1</v>
      </c>
    </row>
    <row r="5">
      <c r="A5" s="7" t="inlineStr">
        <is>
          <t>MAT-02-003</t>
        </is>
      </c>
      <c r="B5" s="4" t="inlineStr">
        <is>
          <t>Cemento blanco, funda 40 kg</t>
        </is>
      </c>
      <c r="C5" s="7" t="inlineStr">
        <is>
          <t>funda</t>
        </is>
      </c>
      <c r="D5" s="8" t="n">
        <v>1130.86</v>
      </c>
      <c r="E5" s="8" t="n"/>
      <c r="F5" s="8" t="n">
        <v>1595</v>
      </c>
      <c r="G5" s="8" t="n"/>
      <c r="H5" s="8" t="n"/>
      <c r="I5" s="8" t="n">
        <v>1295</v>
      </c>
      <c r="J5" s="8" t="n">
        <v>1385</v>
      </c>
      <c r="K5" s="8" t="n"/>
      <c r="L5" s="8" t="n"/>
      <c r="M5" s="8">
        <f>IF(COUNT(D5:L5)=0,"",MIN(D5:L5))</f>
        <v/>
      </c>
      <c r="N5" s="8">
        <f>IF(COUNT(D5:L5)=0,"",MEDIAN(D5:L5))</f>
        <v/>
      </c>
      <c r="O5" s="8">
        <f>IF(COUNT(D5:L5)=0,"",MAX(D5:L5))</f>
        <v/>
      </c>
      <c r="P5" s="9">
        <f>IF(OR(M5="",M5=0),"",(O5-M5)/M5)</f>
        <v/>
      </c>
      <c r="Q5" s="7">
        <f>IF(COUNT(D5:L5)=0,"",INDEX($D$1:$L$1,MATCH(MIN(D5:L5),D5:L5,0)))</f>
        <v/>
      </c>
      <c r="R5" s="8" t="n">
        <v>1295</v>
      </c>
      <c r="S5" s="10" t="n">
        <v>4</v>
      </c>
    </row>
    <row r="6">
      <c r="A6" s="7" t="inlineStr">
        <is>
          <t>MAT-02-004</t>
        </is>
      </c>
      <c r="B6" s="4" t="inlineStr">
        <is>
          <t>Cal hidratada, funda 20 kg</t>
        </is>
      </c>
      <c r="C6" s="7" t="inlineStr">
        <is>
          <t>funda</t>
        </is>
      </c>
      <c r="D6" s="8" t="n">
        <v>437.31</v>
      </c>
      <c r="E6" s="8" t="n"/>
      <c r="F6" s="8" t="n"/>
      <c r="G6" s="8" t="n"/>
      <c r="H6" s="8" t="n"/>
      <c r="I6" s="8" t="n">
        <v>570</v>
      </c>
      <c r="J6" s="8" t="n"/>
      <c r="K6" s="8" t="n"/>
      <c r="L6" s="8" t="n"/>
      <c r="M6" s="8">
        <f>IF(COUNT(D6:L6)=0,"",MIN(D6:L6))</f>
        <v/>
      </c>
      <c r="N6" s="8">
        <f>IF(COUNT(D6:L6)=0,"",MEDIAN(D6:L6))</f>
        <v/>
      </c>
      <c r="O6" s="8">
        <f>IF(COUNT(D6:L6)=0,"",MAX(D6:L6))</f>
        <v/>
      </c>
      <c r="P6" s="9">
        <f>IF(OR(M6="",M6=0),"",(O6-M6)/M6)</f>
        <v/>
      </c>
      <c r="Q6" s="7">
        <f>IF(COUNT(D6:L6)=0,"",INDEX($D$1:$L$1,MATCH(MIN(D6:L6),D6:L6,0)))</f>
        <v/>
      </c>
      <c r="R6" s="8" t="n">
        <v>503.66</v>
      </c>
      <c r="S6" s="10" t="n">
        <v>2</v>
      </c>
    </row>
    <row r="7">
      <c r="A7" s="7" t="inlineStr">
        <is>
          <t>MAT-02-005</t>
        </is>
      </c>
      <c r="B7" s="4" t="inlineStr">
        <is>
          <t>Mortero para pegar bloques, funda 42.5 kg</t>
        </is>
      </c>
      <c r="C7" s="7" t="inlineStr">
        <is>
          <t>funda</t>
        </is>
      </c>
      <c r="D7" s="8" t="n"/>
      <c r="E7" s="8" t="n"/>
      <c r="F7" s="8" t="n">
        <v>345</v>
      </c>
      <c r="G7" s="8" t="n"/>
      <c r="H7" s="8" t="n"/>
      <c r="I7" s="8" t="n"/>
      <c r="J7" s="8" t="n"/>
      <c r="K7" s="8" t="n"/>
      <c r="L7" s="8" t="n"/>
      <c r="M7" s="8">
        <f>IF(COUNT(D7:L7)=0,"",MIN(D7:L7))</f>
        <v/>
      </c>
      <c r="N7" s="8">
        <f>IF(COUNT(D7:L7)=0,"",MEDIAN(D7:L7))</f>
        <v/>
      </c>
      <c r="O7" s="8">
        <f>IF(COUNT(D7:L7)=0,"",MAX(D7:L7))</f>
        <v/>
      </c>
      <c r="P7" s="9">
        <f>IF(OR(M7="",M7=0),"",(O7-M7)/M7)</f>
        <v/>
      </c>
      <c r="Q7" s="7">
        <f>IF(COUNT(D7:L7)=0,"",INDEX($D$1:$L$1,MATCH(MIN(D7:L7),D7:L7,0)))</f>
        <v/>
      </c>
      <c r="R7" s="8" t="n">
        <v>345</v>
      </c>
      <c r="S7" s="10" t="n">
        <v>1</v>
      </c>
    </row>
    <row r="8">
      <c r="A8" s="7" t="inlineStr">
        <is>
          <t>MAT-02-007</t>
        </is>
      </c>
      <c r="B8" s="4" t="inlineStr">
        <is>
          <t>Pegamento de cerámica blanco, funda 22.7 kg</t>
        </is>
      </c>
      <c r="C8" s="7" t="inlineStr">
        <is>
          <t>funda</t>
        </is>
      </c>
      <c r="D8" s="8" t="n">
        <v>554.28</v>
      </c>
      <c r="E8" s="8" t="n"/>
      <c r="F8" s="8" t="n"/>
      <c r="G8" s="8" t="n"/>
      <c r="H8" s="8" t="n"/>
      <c r="I8" s="8" t="n">
        <v>1054</v>
      </c>
      <c r="J8" s="8" t="n">
        <v>825</v>
      </c>
      <c r="K8" s="8" t="n"/>
      <c r="L8" s="8" t="n"/>
      <c r="M8" s="8">
        <f>IF(COUNT(D8:L8)=0,"",MIN(D8:L8))</f>
        <v/>
      </c>
      <c r="N8" s="8">
        <f>IF(COUNT(D8:L8)=0,"",MEDIAN(D8:L8))</f>
        <v/>
      </c>
      <c r="O8" s="8">
        <f>IF(COUNT(D8:L8)=0,"",MAX(D8:L8))</f>
        <v/>
      </c>
      <c r="P8" s="9">
        <f>IF(OR(M8="",M8=0),"",(O8-M8)/M8)</f>
        <v/>
      </c>
      <c r="Q8" s="7">
        <f>IF(COUNT(D8:L8)=0,"",INDEX($D$1:$L$1,MATCH(MIN(D8:L8),D8:L8,0)))</f>
        <v/>
      </c>
      <c r="R8" s="8" t="n">
        <v>825</v>
      </c>
      <c r="S8" s="10" t="n">
        <v>3</v>
      </c>
    </row>
    <row r="9">
      <c r="A9" s="7" t="inlineStr">
        <is>
          <t>MAT-02-009</t>
        </is>
      </c>
      <c r="B9" s="4" t="inlineStr">
        <is>
          <t>Mortero predosificado de pañete, funda 42.5 kg</t>
        </is>
      </c>
      <c r="C9" s="7" t="inlineStr">
        <is>
          <t>funda</t>
        </is>
      </c>
      <c r="D9" s="8" t="n">
        <v>346.09</v>
      </c>
      <c r="E9" s="8" t="n"/>
      <c r="F9" s="8" t="n">
        <v>385</v>
      </c>
      <c r="G9" s="8" t="n"/>
      <c r="H9" s="8" t="n"/>
      <c r="I9" s="8" t="n">
        <v>330</v>
      </c>
      <c r="J9" s="8" t="n">
        <v>365</v>
      </c>
      <c r="K9" s="8" t="n"/>
      <c r="L9" s="8" t="n"/>
      <c r="M9" s="8">
        <f>IF(COUNT(D9:L9)=0,"",MIN(D9:L9))</f>
        <v/>
      </c>
      <c r="N9" s="8">
        <f>IF(COUNT(D9:L9)=0,"",MEDIAN(D9:L9))</f>
        <v/>
      </c>
      <c r="O9" s="8">
        <f>IF(COUNT(D9:L9)=0,"",MAX(D9:L9))</f>
        <v/>
      </c>
      <c r="P9" s="9">
        <f>IF(OR(M9="",M9=0),"",(O9-M9)/M9)</f>
        <v/>
      </c>
      <c r="Q9" s="7">
        <f>IF(COUNT(D9:L9)=0,"",INDEX($D$1:$L$1,MATCH(MIN(D9:L9),D9:L9,0)))</f>
        <v/>
      </c>
      <c r="R9" s="8" t="n">
        <v>365</v>
      </c>
      <c r="S9" s="10" t="n">
        <v>4</v>
      </c>
    </row>
    <row r="10">
      <c r="A10" s="7" t="inlineStr">
        <is>
          <t>MAT-02-013</t>
        </is>
      </c>
      <c r="B10" s="4" t="inlineStr">
        <is>
          <t>Derretido (grout) con arena, funda 5 kg</t>
        </is>
      </c>
      <c r="C10" s="7" t="inlineStr">
        <is>
          <t>funda</t>
        </is>
      </c>
      <c r="D10" s="8" t="n">
        <v>323.12</v>
      </c>
      <c r="E10" s="8" t="n"/>
      <c r="F10" s="8" t="n">
        <v>495</v>
      </c>
      <c r="G10" s="8" t="n"/>
      <c r="H10" s="8" t="n"/>
      <c r="I10" s="8" t="n"/>
      <c r="J10" s="8" t="n">
        <v>359.99</v>
      </c>
      <c r="K10" s="8" t="n"/>
      <c r="L10" s="8" t="n"/>
      <c r="M10" s="8">
        <f>IF(COUNT(D10:L10)=0,"",MIN(D10:L10))</f>
        <v/>
      </c>
      <c r="N10" s="8">
        <f>IF(COUNT(D10:L10)=0,"",MEDIAN(D10:L10))</f>
        <v/>
      </c>
      <c r="O10" s="8">
        <f>IF(COUNT(D10:L10)=0,"",MAX(D10:L10))</f>
        <v/>
      </c>
      <c r="P10" s="9">
        <f>IF(OR(M10="",M10=0),"",(O10-M10)/M10)</f>
        <v/>
      </c>
      <c r="Q10" s="7">
        <f>IF(COUNT(D10:L10)=0,"",INDEX($D$1:$L$1,MATCH(MIN(D10:L10),D10:L10,0)))</f>
        <v/>
      </c>
      <c r="R10" s="8" t="n">
        <v>505</v>
      </c>
      <c r="S10" s="10" t="n">
        <v>3</v>
      </c>
    </row>
    <row r="11">
      <c r="A11" s="7" t="inlineStr">
        <is>
          <t>MAT-04-001</t>
        </is>
      </c>
      <c r="B11" s="4" t="inlineStr">
        <is>
          <t>Varilla corrugada 3/8" x 20 pies</t>
        </is>
      </c>
      <c r="C11" s="7" t="inlineStr">
        <is>
          <t>unidad</t>
        </is>
      </c>
      <c r="D11" s="8" t="n"/>
      <c r="E11" s="8" t="n"/>
      <c r="F11" s="8" t="n"/>
      <c r="G11" s="8" t="n"/>
      <c r="H11" s="8" t="n">
        <v>442.77</v>
      </c>
      <c r="I11" s="8" t="n"/>
      <c r="J11" s="8" t="n"/>
      <c r="K11" s="8" t="n">
        <v>211.85</v>
      </c>
      <c r="L11" s="8" t="n"/>
      <c r="M11" s="8">
        <f>IF(COUNT(D11:L11)=0,"",MIN(D11:L11))</f>
        <v/>
      </c>
      <c r="N11" s="8">
        <f>IF(COUNT(D11:L11)=0,"",MEDIAN(D11:L11))</f>
        <v/>
      </c>
      <c r="O11" s="8">
        <f>IF(COUNT(D11:L11)=0,"",MAX(D11:L11))</f>
        <v/>
      </c>
      <c r="P11" s="9">
        <f>IF(OR(M11="",M11=0),"",(O11-M11)/M11)</f>
        <v/>
      </c>
      <c r="Q11" s="7">
        <f>IF(COUNT(D11:L11)=0,"",INDEX($D$1:$L$1,MATCH(MIN(D11:L11),D11:L11,0)))</f>
        <v/>
      </c>
      <c r="R11" s="8" t="n">
        <v>346.38</v>
      </c>
      <c r="S11" s="10" t="n">
        <v>2</v>
      </c>
    </row>
    <row r="12">
      <c r="A12" s="7" t="inlineStr">
        <is>
          <t>MAT-04-002</t>
        </is>
      </c>
      <c r="B12" s="4" t="inlineStr">
        <is>
          <t>Varilla corrugada 1/2" x 20 pies</t>
        </is>
      </c>
      <c r="C12" s="7" t="inlineStr">
        <is>
          <t>unidad</t>
        </is>
      </c>
      <c r="D12" s="8" t="n"/>
      <c r="E12" s="8" t="n"/>
      <c r="F12" s="8" t="n"/>
      <c r="G12" s="8" t="n"/>
      <c r="H12" s="8" t="n"/>
      <c r="I12" s="8" t="n"/>
      <c r="J12" s="8" t="n"/>
      <c r="K12" s="8" t="n">
        <v>377.76</v>
      </c>
      <c r="L12" s="8" t="n"/>
      <c r="M12" s="8">
        <f>IF(COUNT(D12:L12)=0,"",MIN(D12:L12))</f>
        <v/>
      </c>
      <c r="N12" s="8">
        <f>IF(COUNT(D12:L12)=0,"",MEDIAN(D12:L12))</f>
        <v/>
      </c>
      <c r="O12" s="8">
        <f>IF(COUNT(D12:L12)=0,"",MAX(D12:L12))</f>
        <v/>
      </c>
      <c r="P12" s="9">
        <f>IF(OR(M12="",M12=0),"",(O12-M12)/M12)</f>
        <v/>
      </c>
      <c r="Q12" s="7">
        <f>IF(COUNT(D12:L12)=0,"",INDEX($D$1:$L$1,MATCH(MIN(D12:L12),D12:L12,0)))</f>
        <v/>
      </c>
      <c r="R12" s="8" t="n">
        <v>445.76</v>
      </c>
      <c r="S12" s="10" t="n">
        <v>1</v>
      </c>
    </row>
    <row r="13">
      <c r="A13" s="7" t="inlineStr">
        <is>
          <t>MAT-04-004</t>
        </is>
      </c>
      <c r="B13" s="4" t="inlineStr">
        <is>
          <t>Varilla corrugada 3/4" x 20 pies</t>
        </is>
      </c>
      <c r="C13" s="7" t="inlineStr">
        <is>
          <t>unidad</t>
        </is>
      </c>
      <c r="D13" s="8" t="n"/>
      <c r="E13" s="8" t="n"/>
      <c r="F13" s="8" t="n"/>
      <c r="G13" s="8" t="n"/>
      <c r="H13" s="8" t="n"/>
      <c r="I13" s="8" t="n"/>
      <c r="J13" s="8" t="n"/>
      <c r="K13" s="8" t="n">
        <v>858.89</v>
      </c>
      <c r="L13" s="8" t="n"/>
      <c r="M13" s="8">
        <f>IF(COUNT(D13:L13)=0,"",MIN(D13:L13))</f>
        <v/>
      </c>
      <c r="N13" s="8">
        <f>IF(COUNT(D13:L13)=0,"",MEDIAN(D13:L13))</f>
        <v/>
      </c>
      <c r="O13" s="8">
        <f>IF(COUNT(D13:L13)=0,"",MAX(D13:L13))</f>
        <v/>
      </c>
      <c r="P13" s="9">
        <f>IF(OR(M13="",M13=0),"",(O13-M13)/M13)</f>
        <v/>
      </c>
      <c r="Q13" s="7">
        <f>IF(COUNT(D13:L13)=0,"",INDEX($D$1:$L$1,MATCH(MIN(D13:L13),D13:L13,0)))</f>
        <v/>
      </c>
      <c r="R13" s="8" t="n">
        <v>1013.49</v>
      </c>
      <c r="S13" s="10" t="n">
        <v>1</v>
      </c>
    </row>
    <row r="14">
      <c r="A14" s="7" t="inlineStr">
        <is>
          <t>MAT-04-005</t>
        </is>
      </c>
      <c r="B14" s="4" t="inlineStr">
        <is>
          <t>Varilla corrugada 1" x 20 pies</t>
        </is>
      </c>
      <c r="C14" s="7" t="inlineStr">
        <is>
          <t>unidad</t>
        </is>
      </c>
      <c r="D14" s="8" t="n"/>
      <c r="E14" s="8" t="n"/>
      <c r="F14" s="8" t="n"/>
      <c r="G14" s="8" t="n"/>
      <c r="H14" s="8" t="n"/>
      <c r="I14" s="8" t="n"/>
      <c r="J14" s="8" t="n"/>
      <c r="K14" s="8" t="n">
        <v>1513.28</v>
      </c>
      <c r="L14" s="8" t="n"/>
      <c r="M14" s="8">
        <f>IF(COUNT(D14:L14)=0,"",MIN(D14:L14))</f>
        <v/>
      </c>
      <c r="N14" s="8">
        <f>IF(COUNT(D14:L14)=0,"",MEDIAN(D14:L14))</f>
        <v/>
      </c>
      <c r="O14" s="8">
        <f>IF(COUNT(D14:L14)=0,"",MAX(D14:L14))</f>
        <v/>
      </c>
      <c r="P14" s="9">
        <f>IF(OR(M14="",M14=0),"",(O14-M14)/M14)</f>
        <v/>
      </c>
      <c r="Q14" s="7">
        <f>IF(COUNT(D14:L14)=0,"",INDEX($D$1:$L$1,MATCH(MIN(D14:L14),D14:L14,0)))</f>
        <v/>
      </c>
      <c r="R14" s="8" t="n">
        <v>1785.67</v>
      </c>
      <c r="S14" s="10" t="n">
        <v>1</v>
      </c>
    </row>
    <row r="15">
      <c r="A15" s="7" t="inlineStr">
        <is>
          <t>MAT-04-008</t>
        </is>
      </c>
      <c r="B15" s="4" t="inlineStr">
        <is>
          <t>Malla electrosoldada D2.3, retícula 10 x 10, rollo</t>
        </is>
      </c>
      <c r="C15" s="7" t="inlineStr">
        <is>
          <t>rollo</t>
        </is>
      </c>
      <c r="D15" s="8" t="n">
        <v>17130.85</v>
      </c>
      <c r="E15" s="8" t="n"/>
      <c r="F15" s="8" t="n"/>
      <c r="G15" s="8" t="n"/>
      <c r="H15" s="8" t="n"/>
      <c r="I15" s="8" t="n"/>
      <c r="J15" s="8" t="n"/>
      <c r="K15" s="8" t="n">
        <v>16419.49</v>
      </c>
      <c r="L15" s="8" t="n"/>
      <c r="M15" s="8">
        <f>IF(COUNT(D15:L15)=0,"",MIN(D15:L15))</f>
        <v/>
      </c>
      <c r="N15" s="8">
        <f>IF(COUNT(D15:L15)=0,"",MEDIAN(D15:L15))</f>
        <v/>
      </c>
      <c r="O15" s="8">
        <f>IF(COUNT(D15:L15)=0,"",MAX(D15:L15))</f>
        <v/>
      </c>
      <c r="P15" s="9">
        <f>IF(OR(M15="",M15=0),"",(O15-M15)/M15)</f>
        <v/>
      </c>
      <c r="Q15" s="7">
        <f>IF(COUNT(D15:L15)=0,"",INDEX($D$1:$L$1,MATCH(MIN(D15:L15),D15:L15,0)))</f>
        <v/>
      </c>
      <c r="R15" s="8" t="n">
        <v>18252.92</v>
      </c>
      <c r="S15" s="10" t="n">
        <v>2</v>
      </c>
    </row>
    <row r="16">
      <c r="A16" s="7" t="inlineStr">
        <is>
          <t>MAT-04-011</t>
        </is>
      </c>
      <c r="B16" s="4" t="inlineStr">
        <is>
          <t>Malla electrosoldada D2.5, retícula 10 x 10, rollo</t>
        </is>
      </c>
      <c r="C16" s="7" t="inlineStr">
        <is>
          <t>rollo</t>
        </is>
      </c>
      <c r="D16" s="8" t="n"/>
      <c r="E16" s="8" t="n"/>
      <c r="F16" s="8" t="n"/>
      <c r="G16" s="8" t="n"/>
      <c r="H16" s="8" t="n"/>
      <c r="I16" s="8" t="n"/>
      <c r="J16" s="8" t="n"/>
      <c r="K16" s="8" t="n">
        <v>17688</v>
      </c>
      <c r="L16" s="8" t="n"/>
      <c r="M16" s="8">
        <f>IF(COUNT(D16:L16)=0,"",MIN(D16:L16))</f>
        <v/>
      </c>
      <c r="N16" s="8">
        <f>IF(COUNT(D16:L16)=0,"",MEDIAN(D16:L16))</f>
        <v/>
      </c>
      <c r="O16" s="8">
        <f>IF(COUNT(D16:L16)=0,"",MAX(D16:L16))</f>
        <v/>
      </c>
      <c r="P16" s="9">
        <f>IF(OR(M16="",M16=0),"",(O16-M16)/M16)</f>
        <v/>
      </c>
      <c r="Q16" s="7">
        <f>IF(COUNT(D16:L16)=0,"",INDEX($D$1:$L$1,MATCH(MIN(D16:L16),D16:L16,0)))</f>
        <v/>
      </c>
      <c r="R16" s="8" t="n">
        <v>20871.84</v>
      </c>
      <c r="S16" s="10" t="n">
        <v>1</v>
      </c>
    </row>
    <row r="17">
      <c r="A17" s="7" t="inlineStr">
        <is>
          <t>MAT-04-014</t>
        </is>
      </c>
      <c r="B17" s="4" t="inlineStr">
        <is>
          <t>Malla electrosoldada D2.7, retícula 10 x 10, rollo</t>
        </is>
      </c>
      <c r="C17" s="7" t="inlineStr">
        <is>
          <t>rollo</t>
        </is>
      </c>
      <c r="D17" s="8" t="n">
        <v>20629.26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>
        <f>IF(COUNT(D17:L17)=0,"",MIN(D17:L17))</f>
        <v/>
      </c>
      <c r="N17" s="8">
        <f>IF(COUNT(D17:L17)=0,"",MEDIAN(D17:L17))</f>
        <v/>
      </c>
      <c r="O17" s="8">
        <f>IF(COUNT(D17:L17)=0,"",MAX(D17:L17))</f>
        <v/>
      </c>
      <c r="P17" s="9">
        <f>IF(OR(M17="",M17=0),"",(O17-M17)/M17)</f>
        <v/>
      </c>
      <c r="Q17" s="7">
        <f>IF(COUNT(D17:L17)=0,"",INDEX($D$1:$L$1,MATCH(MIN(D17:L17),D17:L17,0)))</f>
        <v/>
      </c>
      <c r="R17" s="8" t="n">
        <v>20629.26</v>
      </c>
      <c r="S17" s="10" t="n">
        <v>1</v>
      </c>
    </row>
    <row r="18">
      <c r="A18" s="7" t="inlineStr">
        <is>
          <t>MAT-04-021</t>
        </is>
      </c>
      <c r="B18" s="4" t="inlineStr">
        <is>
          <t>Alambre galvanizado calibre 18, para varillas</t>
        </is>
      </c>
      <c r="C18" s="7" t="inlineStr">
        <is>
          <t>lb</t>
        </is>
      </c>
      <c r="D18" s="8" t="n">
        <v>62.48</v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>
        <f>IF(COUNT(D18:L18)=0,"",MIN(D18:L18))</f>
        <v/>
      </c>
      <c r="N18" s="8">
        <f>IF(COUNT(D18:L18)=0,"",MEDIAN(D18:L18))</f>
        <v/>
      </c>
      <c r="O18" s="8">
        <f>IF(COUNT(D18:L18)=0,"",MAX(D18:L18))</f>
        <v/>
      </c>
      <c r="P18" s="9">
        <f>IF(OR(M18="",M18=0),"",(O18-M18)/M18)</f>
        <v/>
      </c>
      <c r="Q18" s="7">
        <f>IF(COUNT(D18:L18)=0,"",INDEX($D$1:$L$1,MATCH(MIN(D18:L18),D18:L18,0)))</f>
        <v/>
      </c>
      <c r="R18" s="8" t="n">
        <v>62.48</v>
      </c>
      <c r="S18" s="10" t="n">
        <v>1</v>
      </c>
    </row>
    <row r="19">
      <c r="A19" s="7" t="inlineStr">
        <is>
          <t>MAT-04-022</t>
        </is>
      </c>
      <c r="B19" s="4" t="inlineStr">
        <is>
          <t>Alambre galvanizado calibre 14, para encofrados</t>
        </is>
      </c>
      <c r="C19" s="7" t="inlineStr">
        <is>
          <t>lb</t>
        </is>
      </c>
      <c r="D19" s="8" t="n">
        <v>61.12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>
        <f>IF(COUNT(D19:L19)=0,"",MIN(D19:L19))</f>
        <v/>
      </c>
      <c r="N19" s="8">
        <f>IF(COUNT(D19:L19)=0,"",MEDIAN(D19:L19))</f>
        <v/>
      </c>
      <c r="O19" s="8">
        <f>IF(COUNT(D19:L19)=0,"",MAX(D19:L19))</f>
        <v/>
      </c>
      <c r="P19" s="9">
        <f>IF(OR(M19="",M19=0),"",(O19-M19)/M19)</f>
        <v/>
      </c>
      <c r="Q19" s="7">
        <f>IF(COUNT(D19:L19)=0,"",INDEX($D$1:$L$1,MATCH(MIN(D19:L19),D19:L19,0)))</f>
        <v/>
      </c>
      <c r="R19" s="8" t="n">
        <v>61.12</v>
      </c>
      <c r="S19" s="10" t="n">
        <v>1</v>
      </c>
    </row>
    <row r="20">
      <c r="A20" s="7" t="inlineStr">
        <is>
          <t>MAT-04-023</t>
        </is>
      </c>
      <c r="B20" s="4" t="inlineStr">
        <is>
          <t>Angular 1 1/2" x 1/8" x 20 pies</t>
        </is>
      </c>
      <c r="C20" s="7" t="inlineStr">
        <is>
          <t>unidad</t>
        </is>
      </c>
      <c r="D20" s="8" t="n">
        <v>861</v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>
        <f>IF(COUNT(D20:L20)=0,"",MIN(D20:L20))</f>
        <v/>
      </c>
      <c r="N20" s="8">
        <f>IF(COUNT(D20:L20)=0,"",MEDIAN(D20:L20))</f>
        <v/>
      </c>
      <c r="O20" s="8">
        <f>IF(COUNT(D20:L20)=0,"",MAX(D20:L20))</f>
        <v/>
      </c>
      <c r="P20" s="9">
        <f>IF(OR(M20="",M20=0),"",(O20-M20)/M20)</f>
        <v/>
      </c>
      <c r="Q20" s="7">
        <f>IF(COUNT(D20:L20)=0,"",INDEX($D$1:$L$1,MATCH(MIN(D20:L20),D20:L20,0)))</f>
        <v/>
      </c>
      <c r="R20" s="8" t="n">
        <v>861</v>
      </c>
      <c r="S20" s="10" t="n">
        <v>1</v>
      </c>
    </row>
    <row r="21">
      <c r="A21" s="7" t="inlineStr">
        <is>
          <t>MAT-06-002</t>
        </is>
      </c>
      <c r="B21" s="4" t="inlineStr">
        <is>
          <t>Cuartón de pino 2" x 4" x 12 pies</t>
        </is>
      </c>
      <c r="C21" s="7" t="inlineStr">
        <is>
          <t>unidad</t>
        </is>
      </c>
      <c r="D21" s="8" t="n"/>
      <c r="E21" s="8" t="n"/>
      <c r="F21" s="8" t="n"/>
      <c r="G21" s="8" t="n"/>
      <c r="H21" s="8" t="n"/>
      <c r="I21" s="8" t="n"/>
      <c r="J21" s="8" t="n">
        <v>860</v>
      </c>
      <c r="K21" s="8" t="n"/>
      <c r="L21" s="8" t="n"/>
      <c r="M21" s="8">
        <f>IF(COUNT(D21:L21)=0,"",MIN(D21:L21))</f>
        <v/>
      </c>
      <c r="N21" s="8">
        <f>IF(COUNT(D21:L21)=0,"",MEDIAN(D21:L21))</f>
        <v/>
      </c>
      <c r="O21" s="8">
        <f>IF(COUNT(D21:L21)=0,"",MAX(D21:L21))</f>
        <v/>
      </c>
      <c r="P21" s="9">
        <f>IF(OR(M21="",M21=0),"",(O21-M21)/M21)</f>
        <v/>
      </c>
      <c r="Q21" s="7">
        <f>IF(COUNT(D21:L21)=0,"",INDEX($D$1:$L$1,MATCH(MIN(D21:L21),D21:L21,0)))</f>
        <v/>
      </c>
      <c r="R21" s="8" t="n">
        <v>860</v>
      </c>
      <c r="S21" s="10" t="n">
        <v>1</v>
      </c>
    </row>
    <row r="22">
      <c r="A22" s="7" t="inlineStr">
        <is>
          <t>MAT-06-005</t>
        </is>
      </c>
      <c r="B22" s="4" t="inlineStr">
        <is>
          <t>Plywood corriente 1/2", 4 x 8 pies</t>
        </is>
      </c>
      <c r="C22" s="7" t="inlineStr">
        <is>
          <t>plancha</t>
        </is>
      </c>
      <c r="D22" s="8" t="n"/>
      <c r="E22" s="8" t="n"/>
      <c r="F22" s="8" t="n"/>
      <c r="G22" s="8" t="n"/>
      <c r="H22" s="8" t="n"/>
      <c r="I22" s="8" t="n">
        <v>1425</v>
      </c>
      <c r="J22" s="8" t="n">
        <v>1530</v>
      </c>
      <c r="K22" s="8" t="n"/>
      <c r="L22" s="8" t="n"/>
      <c r="M22" s="8">
        <f>IF(COUNT(D22:L22)=0,"",MIN(D22:L22))</f>
        <v/>
      </c>
      <c r="N22" s="8">
        <f>IF(COUNT(D22:L22)=0,"",MEDIAN(D22:L22))</f>
        <v/>
      </c>
      <c r="O22" s="8">
        <f>IF(COUNT(D22:L22)=0,"",MAX(D22:L22))</f>
        <v/>
      </c>
      <c r="P22" s="9">
        <f>IF(OR(M22="",M22=0),"",(O22-M22)/M22)</f>
        <v/>
      </c>
      <c r="Q22" s="7">
        <f>IF(COUNT(D22:L22)=0,"",INDEX($D$1:$L$1,MATCH(MIN(D22:L22),D22:L22,0)))</f>
        <v/>
      </c>
      <c r="R22" s="8" t="n">
        <v>1520</v>
      </c>
      <c r="S22" s="10" t="n">
        <v>2</v>
      </c>
    </row>
    <row r="23">
      <c r="A23" s="7" t="inlineStr">
        <is>
          <t>MAT-06-006</t>
        </is>
      </c>
      <c r="B23" s="4" t="inlineStr">
        <is>
          <t>Plywood corriente 3/4", 4 x 8 pies</t>
        </is>
      </c>
      <c r="C23" s="7" t="inlineStr">
        <is>
          <t>plancha</t>
        </is>
      </c>
      <c r="D23" s="8" t="n"/>
      <c r="E23" s="8" t="n"/>
      <c r="F23" s="8" t="n"/>
      <c r="G23" s="8" t="n"/>
      <c r="H23" s="8" t="n"/>
      <c r="I23" s="8" t="n">
        <v>1990</v>
      </c>
      <c r="J23" s="8" t="n">
        <v>2200</v>
      </c>
      <c r="K23" s="8" t="n"/>
      <c r="L23" s="8" t="n"/>
      <c r="M23" s="8">
        <f>IF(COUNT(D23:L23)=0,"",MIN(D23:L23))</f>
        <v/>
      </c>
      <c r="N23" s="8">
        <f>IF(COUNT(D23:L23)=0,"",MEDIAN(D23:L23))</f>
        <v/>
      </c>
      <c r="O23" s="8">
        <f>IF(COUNT(D23:L23)=0,"",MAX(D23:L23))</f>
        <v/>
      </c>
      <c r="P23" s="9">
        <f>IF(OR(M23="",M23=0),"",(O23-M23)/M23)</f>
        <v/>
      </c>
      <c r="Q23" s="7">
        <f>IF(COUNT(D23:L23)=0,"",INDEX($D$1:$L$1,MATCH(MIN(D23:L23),D23:L23,0)))</f>
        <v/>
      </c>
      <c r="R23" s="8" t="n">
        <v>1995</v>
      </c>
      <c r="S23" s="10" t="n">
        <v>2</v>
      </c>
    </row>
    <row r="24">
      <c r="A24" s="7" t="inlineStr">
        <is>
          <t>MAT-08-001</t>
        </is>
      </c>
      <c r="B24" s="4" t="inlineStr">
        <is>
          <t>Cerámica de piso, 33 x 33 cm</t>
        </is>
      </c>
      <c r="C24" s="7" t="inlineStr">
        <is>
          <t>m²</t>
        </is>
      </c>
      <c r="D24" s="8" t="n">
        <v>752</v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>
        <f>IF(COUNT(D24:L24)=0,"",MIN(D24:L24))</f>
        <v/>
      </c>
      <c r="N24" s="8">
        <f>IF(COUNT(D24:L24)=0,"",MEDIAN(D24:L24))</f>
        <v/>
      </c>
      <c r="O24" s="8">
        <f>IF(COUNT(D24:L24)=0,"",MAX(D24:L24))</f>
        <v/>
      </c>
      <c r="P24" s="9">
        <f>IF(OR(M24="",M24=0),"",(O24-M24)/M24)</f>
        <v/>
      </c>
      <c r="Q24" s="7">
        <f>IF(COUNT(D24:L24)=0,"",INDEX($D$1:$L$1,MATCH(MIN(D24:L24),D24:L24,0)))</f>
        <v/>
      </c>
      <c r="R24" s="8" t="n">
        <v>764.63</v>
      </c>
      <c r="S24" s="10" t="n">
        <v>1</v>
      </c>
    </row>
    <row r="25">
      <c r="A25" s="7" t="inlineStr">
        <is>
          <t>MAT-08-002</t>
        </is>
      </c>
      <c r="B25" s="4" t="inlineStr">
        <is>
          <t>Cerámica de pared, 40 x 25 cm</t>
        </is>
      </c>
      <c r="C25" s="7" t="inlineStr">
        <is>
          <t>m²</t>
        </is>
      </c>
      <c r="D25" s="8" t="n">
        <v>1134.1</v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>
        <f>IF(COUNT(D25:L25)=0,"",MIN(D25:L25))</f>
        <v/>
      </c>
      <c r="N25" s="8">
        <f>IF(COUNT(D25:L25)=0,"",MEDIAN(D25:L25))</f>
        <v/>
      </c>
      <c r="O25" s="8">
        <f>IF(COUNT(D25:L25)=0,"",MAX(D25:L25))</f>
        <v/>
      </c>
      <c r="P25" s="9">
        <f>IF(OR(M25="",M25=0),"",(O25-M25)/M25)</f>
        <v/>
      </c>
      <c r="Q25" s="7">
        <f>IF(COUNT(D25:L25)=0,"",INDEX($D$1:$L$1,MATCH(MIN(D25:L25),D25:L25,0)))</f>
        <v/>
      </c>
      <c r="R25" s="8" t="n">
        <v>1266.7</v>
      </c>
      <c r="S25" s="10" t="n">
        <v>1</v>
      </c>
    </row>
    <row r="26">
      <c r="A26" s="7" t="inlineStr">
        <is>
          <t>MAT-08-003</t>
        </is>
      </c>
      <c r="B26" s="4" t="inlineStr">
        <is>
          <t>Porcelanato de piso, 60 x 60 cm</t>
        </is>
      </c>
      <c r="C26" s="7" t="inlineStr">
        <is>
          <t>m²</t>
        </is>
      </c>
      <c r="D26" s="8" t="n">
        <v>528.71</v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>
        <f>IF(COUNT(D26:L26)=0,"",MIN(D26:L26))</f>
        <v/>
      </c>
      <c r="N26" s="8">
        <f>IF(COUNT(D26:L26)=0,"",MEDIAN(D26:L26))</f>
        <v/>
      </c>
      <c r="O26" s="8">
        <f>IF(COUNT(D26:L26)=0,"",MAX(D26:L26))</f>
        <v/>
      </c>
      <c r="P26" s="9">
        <f>IF(OR(M26="",M26=0),"",(O26-M26)/M26)</f>
        <v/>
      </c>
      <c r="Q26" s="7">
        <f>IF(COUNT(D26:L26)=0,"",INDEX($D$1:$L$1,MATCH(MIN(D26:L26),D26:L26,0)))</f>
        <v/>
      </c>
      <c r="R26" s="8" t="n">
        <v>1106.42</v>
      </c>
      <c r="S26" s="10" t="n">
        <v>1</v>
      </c>
    </row>
    <row r="27">
      <c r="A27" s="7" t="inlineStr">
        <is>
          <t>MAT-32-001</t>
        </is>
      </c>
      <c r="B27" s="4" t="inlineStr">
        <is>
          <t>Tubo PVC drenaje 4" x 19 pies</t>
        </is>
      </c>
      <c r="C27" s="7" t="inlineStr">
        <is>
          <t>tubo</t>
        </is>
      </c>
      <c r="D27" s="8" t="n">
        <v>1494.58</v>
      </c>
      <c r="E27" s="8" t="n"/>
      <c r="F27" s="8" t="n">
        <v>1695</v>
      </c>
      <c r="G27" s="8" t="n"/>
      <c r="H27" s="8" t="n"/>
      <c r="I27" s="8" t="n"/>
      <c r="J27" s="8" t="n">
        <v>1125</v>
      </c>
      <c r="K27" s="8" t="n"/>
      <c r="L27" s="8" t="n"/>
      <c r="M27" s="8">
        <f>IF(COUNT(D27:L27)=0,"",MIN(D27:L27))</f>
        <v/>
      </c>
      <c r="N27" s="8">
        <f>IF(COUNT(D27:L27)=0,"",MEDIAN(D27:L27))</f>
        <v/>
      </c>
      <c r="O27" s="8">
        <f>IF(COUNT(D27:L27)=0,"",MAX(D27:L27))</f>
        <v/>
      </c>
      <c r="P27" s="9">
        <f>IF(OR(M27="",M27=0),"",(O27-M27)/M27)</f>
        <v/>
      </c>
      <c r="Q27" s="7">
        <f>IF(COUNT(D27:L27)=0,"",INDEX($D$1:$L$1,MATCH(MIN(D27:L27),D27:L27,0)))</f>
        <v/>
      </c>
      <c r="R27" s="8" t="n">
        <v>1494.58</v>
      </c>
      <c r="S27" s="10" t="n">
        <v>3</v>
      </c>
    </row>
    <row r="28">
      <c r="A28" s="7" t="inlineStr">
        <is>
          <t>MAT-32-002</t>
        </is>
      </c>
      <c r="B28" s="4" t="inlineStr">
        <is>
          <t>Tubo PVC drenaje 2" x 19 pies</t>
        </is>
      </c>
      <c r="C28" s="7" t="inlineStr">
        <is>
          <t>tubo</t>
        </is>
      </c>
      <c r="D28" s="8" t="n">
        <v>503.78</v>
      </c>
      <c r="E28" s="8" t="n"/>
      <c r="F28" s="8" t="n">
        <v>595</v>
      </c>
      <c r="G28" s="8" t="n"/>
      <c r="H28" s="8" t="n"/>
      <c r="I28" s="8" t="n"/>
      <c r="J28" s="8" t="n">
        <v>350</v>
      </c>
      <c r="K28" s="8" t="n"/>
      <c r="L28" s="8" t="n"/>
      <c r="M28" s="8">
        <f>IF(COUNT(D28:L28)=0,"",MIN(D28:L28))</f>
        <v/>
      </c>
      <c r="N28" s="8">
        <f>IF(COUNT(D28:L28)=0,"",MEDIAN(D28:L28))</f>
        <v/>
      </c>
      <c r="O28" s="8">
        <f>IF(COUNT(D28:L28)=0,"",MAX(D28:L28))</f>
        <v/>
      </c>
      <c r="P28" s="9">
        <f>IF(OR(M28="",M28=0),"",(O28-M28)/M28)</f>
        <v/>
      </c>
      <c r="Q28" s="7">
        <f>IF(COUNT(D28:L28)=0,"",INDEX($D$1:$L$1,MATCH(MIN(D28:L28),D28:L28,0)))</f>
        <v/>
      </c>
      <c r="R28" s="8" t="n">
        <v>503.78</v>
      </c>
      <c r="S28" s="10" t="n">
        <v>3</v>
      </c>
    </row>
    <row r="29">
      <c r="A29" s="7" t="inlineStr">
        <is>
          <t>MAT-32-003</t>
        </is>
      </c>
      <c r="B29" s="4" t="inlineStr">
        <is>
          <t>Tubo PVC drenaje 6" x 19 pies</t>
        </is>
      </c>
      <c r="C29" s="7" t="inlineStr">
        <is>
          <t>tubo</t>
        </is>
      </c>
      <c r="D29" s="8" t="n"/>
      <c r="E29" s="8" t="n"/>
      <c r="F29" s="8" t="n"/>
      <c r="G29" s="8" t="n"/>
      <c r="H29" s="8" t="n"/>
      <c r="I29" s="8" t="n"/>
      <c r="J29" s="8" t="n">
        <v>2900</v>
      </c>
      <c r="K29" s="8" t="n"/>
      <c r="L29" s="8" t="n"/>
      <c r="M29" s="8">
        <f>IF(COUNT(D29:L29)=0,"",MIN(D29:L29))</f>
        <v/>
      </c>
      <c r="N29" s="8">
        <f>IF(COUNT(D29:L29)=0,"",MEDIAN(D29:L29))</f>
        <v/>
      </c>
      <c r="O29" s="8">
        <f>IF(COUNT(D29:L29)=0,"",MAX(D29:L29))</f>
        <v/>
      </c>
      <c r="P29" s="9">
        <f>IF(OR(M29="",M29=0),"",(O29-M29)/M29)</f>
        <v/>
      </c>
      <c r="Q29" s="7">
        <f>IF(COUNT(D29:L29)=0,"",INDEX($D$1:$L$1,MATCH(MIN(D29:L29),D29:L29,0)))</f>
        <v/>
      </c>
      <c r="R29" s="8" t="n">
        <v>2900</v>
      </c>
      <c r="S29" s="10" t="n">
        <v>1</v>
      </c>
    </row>
    <row r="30">
      <c r="A30" s="7" t="inlineStr">
        <is>
          <t>MAT-32-004</t>
        </is>
      </c>
      <c r="B30" s="4" t="inlineStr">
        <is>
          <t>Tubo PVC presión 1/2" SCH-40 x 19 pies</t>
        </is>
      </c>
      <c r="C30" s="7" t="inlineStr">
        <is>
          <t>tubo</t>
        </is>
      </c>
      <c r="D30" s="8" t="n"/>
      <c r="E30" s="8" t="n"/>
      <c r="F30" s="8" t="n">
        <v>315</v>
      </c>
      <c r="G30" s="8" t="n"/>
      <c r="H30" s="8" t="n"/>
      <c r="I30" s="8" t="n"/>
      <c r="J30" s="8" t="n">
        <v>175.01</v>
      </c>
      <c r="K30" s="8" t="n"/>
      <c r="L30" s="8" t="n"/>
      <c r="M30" s="8">
        <f>IF(COUNT(D30:L30)=0,"",MIN(D30:L30))</f>
        <v/>
      </c>
      <c r="N30" s="8">
        <f>IF(COUNT(D30:L30)=0,"",MEDIAN(D30:L30))</f>
        <v/>
      </c>
      <c r="O30" s="8">
        <f>IF(COUNT(D30:L30)=0,"",MAX(D30:L30))</f>
        <v/>
      </c>
      <c r="P30" s="9">
        <f>IF(OR(M30="",M30=0),"",(O30-M30)/M30)</f>
        <v/>
      </c>
      <c r="Q30" s="7">
        <f>IF(COUNT(D30:L30)=0,"",INDEX($D$1:$L$1,MATCH(MIN(D30:L30),D30:L30,0)))</f>
        <v/>
      </c>
      <c r="R30" s="8" t="n">
        <v>245.01</v>
      </c>
      <c r="S30" s="10" t="n">
        <v>2</v>
      </c>
    </row>
    <row r="31">
      <c r="A31" s="7" t="inlineStr">
        <is>
          <t>MAT-32-006</t>
        </is>
      </c>
      <c r="B31" s="4" t="inlineStr">
        <is>
          <t>Codo PVC 90° de 4"</t>
        </is>
      </c>
      <c r="C31" s="7" t="inlineStr">
        <is>
          <t>unidad</t>
        </is>
      </c>
      <c r="D31" s="8" t="n"/>
      <c r="E31" s="8" t="n"/>
      <c r="F31" s="8" t="n">
        <v>165</v>
      </c>
      <c r="G31" s="8" t="n"/>
      <c r="H31" s="8" t="n"/>
      <c r="I31" s="8" t="n"/>
      <c r="J31" s="8" t="n"/>
      <c r="K31" s="8" t="n"/>
      <c r="L31" s="8" t="n"/>
      <c r="M31" s="8">
        <f>IF(COUNT(D31:L31)=0,"",MIN(D31:L31))</f>
        <v/>
      </c>
      <c r="N31" s="8">
        <f>IF(COUNT(D31:L31)=0,"",MEDIAN(D31:L31))</f>
        <v/>
      </c>
      <c r="O31" s="8">
        <f>IF(COUNT(D31:L31)=0,"",MAX(D31:L31))</f>
        <v/>
      </c>
      <c r="P31" s="9">
        <f>IF(OR(M31="",M31=0),"",(O31-M31)/M31)</f>
        <v/>
      </c>
      <c r="Q31" s="7">
        <f>IF(COUNT(D31:L31)=0,"",INDEX($D$1:$L$1,MATCH(MIN(D31:L31),D31:L31,0)))</f>
        <v/>
      </c>
      <c r="R31" s="8" t="n">
        <v>165</v>
      </c>
      <c r="S31" s="10" t="n">
        <v>1</v>
      </c>
    </row>
    <row r="32">
      <c r="A32" s="7" t="inlineStr">
        <is>
          <t>MAT-09-001</t>
        </is>
      </c>
      <c r="B32" s="4" t="inlineStr">
        <is>
          <t>Inodoro de una pieza, gama económica</t>
        </is>
      </c>
      <c r="C32" s="7" t="inlineStr">
        <is>
          <t>unidad</t>
        </is>
      </c>
      <c r="D32" s="8" t="n">
        <v>6107.2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>
        <f>IF(COUNT(D32:L32)=0,"",MIN(D32:L32))</f>
        <v/>
      </c>
      <c r="N32" s="8">
        <f>IF(COUNT(D32:L32)=0,"",MEDIAN(D32:L32))</f>
        <v/>
      </c>
      <c r="O32" s="8">
        <f>IF(COUNT(D32:L32)=0,"",MAX(D32:L32))</f>
        <v/>
      </c>
      <c r="P32" s="9">
        <f>IF(OR(M32="",M32=0),"",(O32-M32)/M32)</f>
        <v/>
      </c>
      <c r="Q32" s="7">
        <f>IF(COUNT(D32:L32)=0,"",INDEX($D$1:$L$1,MATCH(MIN(D32:L32),D32:L32,0)))</f>
        <v/>
      </c>
      <c r="R32" s="8" t="n">
        <v>6107.2</v>
      </c>
      <c r="S32" s="10" t="n">
        <v>1</v>
      </c>
    </row>
    <row r="33">
      <c r="A33" s="7" t="inlineStr">
        <is>
          <t>MAT-10-001</t>
        </is>
      </c>
      <c r="B33" s="4" t="inlineStr">
        <is>
          <t>Cable THHN #12, rollo 100 pies</t>
        </is>
      </c>
      <c r="C33" s="7" t="inlineStr">
        <is>
          <t>rollo</t>
        </is>
      </c>
      <c r="D33" s="8" t="n"/>
      <c r="E33" s="8" t="n"/>
      <c r="F33" s="8" t="n"/>
      <c r="G33" s="8" t="n"/>
      <c r="H33" s="8" t="n"/>
      <c r="I33" s="8" t="n"/>
      <c r="J33" s="8" t="n"/>
      <c r="K33" s="8" t="n">
        <v>1368</v>
      </c>
      <c r="L33" s="8" t="n"/>
      <c r="M33" s="8">
        <f>IF(COUNT(D33:L33)=0,"",MIN(D33:L33))</f>
        <v/>
      </c>
      <c r="N33" s="8">
        <f>IF(COUNT(D33:L33)=0,"",MEDIAN(D33:L33))</f>
        <v/>
      </c>
      <c r="O33" s="8">
        <f>IF(COUNT(D33:L33)=0,"",MAX(D33:L33))</f>
        <v/>
      </c>
      <c r="P33" s="9">
        <f>IF(OR(M33="",M33=0),"",(O33-M33)/M33)</f>
        <v/>
      </c>
      <c r="Q33" s="7">
        <f>IF(COUNT(D33:L33)=0,"",INDEX($D$1:$L$1,MATCH(MIN(D33:L33),D33:L33,0)))</f>
        <v/>
      </c>
      <c r="R33" s="8" t="n">
        <v>1614.24</v>
      </c>
      <c r="S33" s="10" t="n">
        <v>1</v>
      </c>
    </row>
    <row r="34">
      <c r="A34" s="7" t="inlineStr">
        <is>
          <t>MAT-10-002</t>
        </is>
      </c>
      <c r="B34" s="4" t="inlineStr">
        <is>
          <t>Cable THHN #10, rollo 100 pies</t>
        </is>
      </c>
      <c r="C34" s="7" t="inlineStr">
        <is>
          <t>rollo</t>
        </is>
      </c>
      <c r="D34" s="8" t="n"/>
      <c r="E34" s="8" t="n"/>
      <c r="F34" s="8" t="n"/>
      <c r="G34" s="8" t="n"/>
      <c r="H34" s="8" t="n"/>
      <c r="I34" s="8" t="n"/>
      <c r="J34" s="8" t="n"/>
      <c r="K34" s="8" t="n">
        <v>2170</v>
      </c>
      <c r="L34" s="8" t="n"/>
      <c r="M34" s="8">
        <f>IF(COUNT(D34:L34)=0,"",MIN(D34:L34))</f>
        <v/>
      </c>
      <c r="N34" s="8">
        <f>IF(COUNT(D34:L34)=0,"",MEDIAN(D34:L34))</f>
        <v/>
      </c>
      <c r="O34" s="8">
        <f>IF(COUNT(D34:L34)=0,"",MAX(D34:L34))</f>
        <v/>
      </c>
      <c r="P34" s="9">
        <f>IF(OR(M34="",M34=0),"",(O34-M34)/M34)</f>
        <v/>
      </c>
      <c r="Q34" s="7">
        <f>IF(COUNT(D34:L34)=0,"",INDEX($D$1:$L$1,MATCH(MIN(D34:L34),D34:L34,0)))</f>
        <v/>
      </c>
      <c r="R34" s="8" t="n">
        <v>2560.6</v>
      </c>
      <c r="S34" s="10" t="n">
        <v>1</v>
      </c>
    </row>
    <row r="35">
      <c r="A35" s="7" t="inlineStr">
        <is>
          <t>MAT-10-003</t>
        </is>
      </c>
      <c r="B35" s="4" t="inlineStr">
        <is>
          <t>Cable THHN #8, rollo 100 pies</t>
        </is>
      </c>
      <c r="C35" s="7" t="inlineStr">
        <is>
          <t>rollo</t>
        </is>
      </c>
      <c r="D35" s="8" t="n"/>
      <c r="E35" s="8" t="n"/>
      <c r="F35" s="8" t="n"/>
      <c r="G35" s="8" t="n"/>
      <c r="H35" s="8" t="n"/>
      <c r="I35" s="8" t="n"/>
      <c r="J35" s="8" t="n"/>
      <c r="K35" s="8" t="n">
        <v>3468</v>
      </c>
      <c r="L35" s="8" t="n"/>
      <c r="M35" s="8">
        <f>IF(COUNT(D35:L35)=0,"",MIN(D35:L35))</f>
        <v/>
      </c>
      <c r="N35" s="8">
        <f>IF(COUNT(D35:L35)=0,"",MEDIAN(D35:L35))</f>
        <v/>
      </c>
      <c r="O35" s="8">
        <f>IF(COUNT(D35:L35)=0,"",MAX(D35:L35))</f>
        <v/>
      </c>
      <c r="P35" s="9">
        <f>IF(OR(M35="",M35=0),"",(O35-M35)/M35)</f>
        <v/>
      </c>
      <c r="Q35" s="7">
        <f>IF(COUNT(D35:L35)=0,"",INDEX($D$1:$L$1,MATCH(MIN(D35:L35),D35:L35,0)))</f>
        <v/>
      </c>
      <c r="R35" s="8" t="n">
        <v>4092.24</v>
      </c>
      <c r="S35" s="10" t="n">
        <v>1</v>
      </c>
    </row>
    <row r="36">
      <c r="A36" s="7" t="inlineStr">
        <is>
          <t>MAT-10-004</t>
        </is>
      </c>
      <c r="B36" s="4" t="inlineStr">
        <is>
          <t>Tubo EMT 1/2" x 10 pies</t>
        </is>
      </c>
      <c r="C36" s="7" t="inlineStr">
        <is>
          <t>tubo</t>
        </is>
      </c>
      <c r="D36" s="8" t="n"/>
      <c r="E36" s="8" t="n"/>
      <c r="F36" s="8" t="n"/>
      <c r="G36" s="8" t="n"/>
      <c r="H36" s="8" t="n"/>
      <c r="I36" s="8" t="n"/>
      <c r="J36" s="8" t="n">
        <v>194.99</v>
      </c>
      <c r="K36" s="8" t="n"/>
      <c r="L36" s="8" t="n"/>
      <c r="M36" s="8">
        <f>IF(COUNT(D36:L36)=0,"",MIN(D36:L36))</f>
        <v/>
      </c>
      <c r="N36" s="8">
        <f>IF(COUNT(D36:L36)=0,"",MEDIAN(D36:L36))</f>
        <v/>
      </c>
      <c r="O36" s="8">
        <f>IF(COUNT(D36:L36)=0,"",MAX(D36:L36))</f>
        <v/>
      </c>
      <c r="P36" s="9">
        <f>IF(OR(M36="",M36=0),"",(O36-M36)/M36)</f>
        <v/>
      </c>
      <c r="Q36" s="7">
        <f>IF(COUNT(D36:L36)=0,"",INDEX($D$1:$L$1,MATCH(MIN(D36:L36),D36:L36,0)))</f>
        <v/>
      </c>
      <c r="R36" s="8" t="n">
        <v>194.99</v>
      </c>
      <c r="S36" s="10" t="n">
        <v>1</v>
      </c>
    </row>
    <row r="37">
      <c r="A37" s="7" t="inlineStr">
        <is>
          <t>MAT-10-007</t>
        </is>
      </c>
      <c r="B37" s="4" t="inlineStr">
        <is>
          <t>Tomacorriente doble polarizado</t>
        </is>
      </c>
      <c r="C37" s="7" t="inlineStr">
        <is>
          <t>unidad</t>
        </is>
      </c>
      <c r="D37" s="8" t="n"/>
      <c r="E37" s="8" t="n"/>
      <c r="F37" s="8" t="n"/>
      <c r="G37" s="8" t="n"/>
      <c r="H37" s="8" t="n"/>
      <c r="I37" s="8" t="n"/>
      <c r="J37" s="8" t="n">
        <v>30</v>
      </c>
      <c r="K37" s="8" t="n"/>
      <c r="L37" s="8" t="n"/>
      <c r="M37" s="8">
        <f>IF(COUNT(D37:L37)=0,"",MIN(D37:L37))</f>
        <v/>
      </c>
      <c r="N37" s="8">
        <f>IF(COUNT(D37:L37)=0,"",MEDIAN(D37:L37))</f>
        <v/>
      </c>
      <c r="O37" s="8">
        <f>IF(COUNT(D37:L37)=0,"",MAX(D37:L37))</f>
        <v/>
      </c>
      <c r="P37" s="9">
        <f>IF(OR(M37="",M37=0),"",(O37-M37)/M37)</f>
        <v/>
      </c>
      <c r="Q37" s="7">
        <f>IF(COUNT(D37:L37)=0,"",INDEX($D$1:$L$1,MATCH(MIN(D37:L37),D37:L37,0)))</f>
        <v/>
      </c>
      <c r="R37" s="8" t="n">
        <v>194.99</v>
      </c>
      <c r="S37" s="10" t="n">
        <v>1</v>
      </c>
    </row>
    <row r="38">
      <c r="A38" s="7" t="inlineStr">
        <is>
          <t>MAT-10-008</t>
        </is>
      </c>
      <c r="B38" s="4" t="inlineStr">
        <is>
          <t>Interruptor sencillo</t>
        </is>
      </c>
      <c r="C38" s="7" t="inlineStr">
        <is>
          <t>unidad</t>
        </is>
      </c>
      <c r="D38" s="8" t="n"/>
      <c r="E38" s="8" t="n"/>
      <c r="F38" s="8" t="n"/>
      <c r="G38" s="8" t="n"/>
      <c r="H38" s="8" t="n"/>
      <c r="I38" s="8" t="n"/>
      <c r="J38" s="8" t="n">
        <v>115</v>
      </c>
      <c r="K38" s="8" t="n"/>
      <c r="L38" s="8" t="n"/>
      <c r="M38" s="8">
        <f>IF(COUNT(D38:L38)=0,"",MIN(D38:L38))</f>
        <v/>
      </c>
      <c r="N38" s="8">
        <f>IF(COUNT(D38:L38)=0,"",MEDIAN(D38:L38))</f>
        <v/>
      </c>
      <c r="O38" s="8">
        <f>IF(COUNT(D38:L38)=0,"",MAX(D38:L38))</f>
        <v/>
      </c>
      <c r="P38" s="9">
        <f>IF(OR(M38="",M38=0),"",(O38-M38)/M38)</f>
        <v/>
      </c>
      <c r="Q38" s="7">
        <f>IF(COUNT(D38:L38)=0,"",INDEX($D$1:$L$1,MATCH(MIN(D38:L38),D38:L38,0)))</f>
        <v/>
      </c>
      <c r="R38" s="8" t="n">
        <v>230</v>
      </c>
      <c r="S38" s="10" t="n">
        <v>1</v>
      </c>
    </row>
    <row r="39">
      <c r="A39" s="7" t="inlineStr">
        <is>
          <t>MAT-10-009</t>
        </is>
      </c>
      <c r="B39" s="4" t="inlineStr">
        <is>
          <t>Breaker enchufable 20 A</t>
        </is>
      </c>
      <c r="C39" s="7" t="inlineStr">
        <is>
          <t>unidad</t>
        </is>
      </c>
      <c r="D39" s="8" t="n">
        <v>472.72</v>
      </c>
      <c r="E39" s="8" t="n"/>
      <c r="F39" s="8" t="n"/>
      <c r="G39" s="8" t="n"/>
      <c r="H39" s="8" t="n"/>
      <c r="I39" s="8" t="n"/>
      <c r="J39" s="8" t="n">
        <v>155</v>
      </c>
      <c r="K39" s="8" t="n"/>
      <c r="L39" s="8" t="n"/>
      <c r="M39" s="8">
        <f>IF(COUNT(D39:L39)=0,"",MIN(D39:L39))</f>
        <v/>
      </c>
      <c r="N39" s="8">
        <f>IF(COUNT(D39:L39)=0,"",MEDIAN(D39:L39))</f>
        <v/>
      </c>
      <c r="O39" s="8">
        <f>IF(COUNT(D39:L39)=0,"",MAX(D39:L39))</f>
        <v/>
      </c>
      <c r="P39" s="9">
        <f>IF(OR(M39="",M39=0),"",(O39-M39)/M39)</f>
        <v/>
      </c>
      <c r="Q39" s="7">
        <f>IF(COUNT(D39:L39)=0,"",INDEX($D$1:$L$1,MATCH(MIN(D39:L39),D39:L39,0)))</f>
        <v/>
      </c>
      <c r="R39" s="8" t="n">
        <v>472.72</v>
      </c>
      <c r="S39" s="10" t="n">
        <v>2</v>
      </c>
    </row>
    <row r="40">
      <c r="A40" s="7" t="inlineStr">
        <is>
          <t>MAT-13-001</t>
        </is>
      </c>
      <c r="B40" s="4" t="inlineStr">
        <is>
          <t>Plancha de yeso regular 1/2", 4 x 8 pies</t>
        </is>
      </c>
      <c r="C40" s="7" t="inlineStr">
        <is>
          <t>plancha</t>
        </is>
      </c>
      <c r="D40" s="8" t="n">
        <v>956.17</v>
      </c>
      <c r="E40" s="8" t="n"/>
      <c r="F40" s="8" t="n"/>
      <c r="G40" s="8" t="n"/>
      <c r="H40" s="8" t="n"/>
      <c r="I40" s="8" t="n">
        <v>895</v>
      </c>
      <c r="J40" s="8" t="n"/>
      <c r="K40" s="8" t="n"/>
      <c r="L40" s="8" t="n"/>
      <c r="M40" s="8">
        <f>IF(COUNT(D40:L40)=0,"",MIN(D40:L40))</f>
        <v/>
      </c>
      <c r="N40" s="8">
        <f>IF(COUNT(D40:L40)=0,"",MEDIAN(D40:L40))</f>
        <v/>
      </c>
      <c r="O40" s="8">
        <f>IF(COUNT(D40:L40)=0,"",MAX(D40:L40))</f>
        <v/>
      </c>
      <c r="P40" s="9">
        <f>IF(OR(M40="",M40=0),"",(O40-M40)/M40)</f>
        <v/>
      </c>
      <c r="Q40" s="7">
        <f>IF(COUNT(D40:L40)=0,"",INDEX($D$1:$L$1,MATCH(MIN(D40:L40),D40:L40,0)))</f>
        <v/>
      </c>
      <c r="R40" s="8" t="n">
        <v>925.59</v>
      </c>
      <c r="S40" s="10" t="n">
        <v>2</v>
      </c>
    </row>
    <row r="41">
      <c r="A41" s="7" t="inlineStr">
        <is>
          <t>MAT-13-006</t>
        </is>
      </c>
      <c r="B41" s="4" t="inlineStr">
        <is>
          <t>Plafón acústico 2 x 2 pies</t>
        </is>
      </c>
      <c r="C41" s="7" t="inlineStr">
        <is>
          <t>plancha</t>
        </is>
      </c>
      <c r="D41" s="8" t="n"/>
      <c r="E41" s="8" t="n"/>
      <c r="F41" s="8" t="n"/>
      <c r="G41" s="8" t="n"/>
      <c r="H41" s="8" t="n"/>
      <c r="I41" s="8" t="n">
        <v>595</v>
      </c>
      <c r="J41" s="8" t="n"/>
      <c r="K41" s="8" t="n"/>
      <c r="L41" s="8" t="n"/>
      <c r="M41" s="8">
        <f>IF(COUNT(D41:L41)=0,"",MIN(D41:L41))</f>
        <v/>
      </c>
      <c r="N41" s="8">
        <f>IF(COUNT(D41:L41)=0,"",MEDIAN(D41:L41))</f>
        <v/>
      </c>
      <c r="O41" s="8">
        <f>IF(COUNT(D41:L41)=0,"",MAX(D41:L41))</f>
        <v/>
      </c>
      <c r="P41" s="9">
        <f>IF(OR(M41="",M41=0),"",(O41-M41)/M41)</f>
        <v/>
      </c>
      <c r="Q41" s="7">
        <f>IF(COUNT(D41:L41)=0,"",INDEX($D$1:$L$1,MATCH(MIN(D41:L41),D41:L41,0)))</f>
        <v/>
      </c>
      <c r="R41" s="8" t="n">
        <v>595</v>
      </c>
      <c r="S41" s="10" t="n">
        <v>1</v>
      </c>
    </row>
    <row r="42">
      <c r="A42" s="7" t="inlineStr">
        <is>
          <t>EQU-04-006</t>
        </is>
      </c>
      <c r="B42" s="4" t="inlineStr">
        <is>
          <t>Brocha de 1"</t>
        </is>
      </c>
      <c r="C42" s="7" t="inlineStr">
        <is>
          <t>unidad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>
        <v>85.88</v>
      </c>
      <c r="M42" s="8">
        <f>IF(COUNT(D42:L42)=0,"",MIN(D42:L42))</f>
        <v/>
      </c>
      <c r="N42" s="8">
        <f>IF(COUNT(D42:L42)=0,"",MEDIAN(D42:L42))</f>
        <v/>
      </c>
      <c r="O42" s="8">
        <f>IF(COUNT(D42:L42)=0,"",MAX(D42:L42))</f>
        <v/>
      </c>
      <c r="P42" s="9">
        <f>IF(OR(M42="",M42=0),"",(O42-M42)/M42)</f>
        <v/>
      </c>
      <c r="Q42" s="7">
        <f>IF(COUNT(D42:L42)=0,"",INDEX($D$1:$L$1,MATCH(MIN(D42:L42),D42:L42,0)))</f>
        <v/>
      </c>
      <c r="R42" s="8" t="n">
        <v>85.88</v>
      </c>
      <c r="S42" s="10" t="n">
        <v>1</v>
      </c>
    </row>
    <row r="43">
      <c r="A43" s="7" t="inlineStr">
        <is>
          <t>EQU-04-007</t>
        </is>
      </c>
      <c r="B43" s="4" t="inlineStr">
        <is>
          <t>Brocha de 1 1/2"</t>
        </is>
      </c>
      <c r="C43" s="7" t="inlineStr">
        <is>
          <t>unidad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>
        <v>75.15000000000001</v>
      </c>
      <c r="M43" s="8">
        <f>IF(COUNT(D43:L43)=0,"",MIN(D43:L43))</f>
        <v/>
      </c>
      <c r="N43" s="8">
        <f>IF(COUNT(D43:L43)=0,"",MEDIAN(D43:L43))</f>
        <v/>
      </c>
      <c r="O43" s="8">
        <f>IF(COUNT(D43:L43)=0,"",MAX(D43:L43))</f>
        <v/>
      </c>
      <c r="P43" s="9">
        <f>IF(OR(M43="",M43=0),"",(O43-M43)/M43)</f>
        <v/>
      </c>
      <c r="Q43" s="7">
        <f>IF(COUNT(D43:L43)=0,"",INDEX($D$1:$L$1,MATCH(MIN(D43:L43),D43:L43,0)))</f>
        <v/>
      </c>
      <c r="R43" s="8" t="n">
        <v>75.15000000000001</v>
      </c>
      <c r="S43" s="10" t="n">
        <v>1</v>
      </c>
    </row>
    <row r="44">
      <c r="A44" s="7" t="inlineStr">
        <is>
          <t>EQU-04-008</t>
        </is>
      </c>
      <c r="B44" s="4" t="inlineStr">
        <is>
          <t>Brocha de 1/2"</t>
        </is>
      </c>
      <c r="C44" s="7" t="inlineStr">
        <is>
          <t>unidad</t>
        </is>
      </c>
      <c r="D44" s="8" t="n"/>
      <c r="E44" s="8" t="n"/>
      <c r="F44" s="8" t="n"/>
      <c r="G44" s="8" t="n"/>
      <c r="H44" s="8" t="n">
        <v>45</v>
      </c>
      <c r="I44" s="8" t="n"/>
      <c r="J44" s="8" t="n"/>
      <c r="K44" s="8" t="n"/>
      <c r="L44" s="8" t="n"/>
      <c r="M44" s="8">
        <f>IF(COUNT(D44:L44)=0,"",MIN(D44:L44))</f>
        <v/>
      </c>
      <c r="N44" s="8">
        <f>IF(COUNT(D44:L44)=0,"",MEDIAN(D44:L44))</f>
        <v/>
      </c>
      <c r="O44" s="8">
        <f>IF(COUNT(D44:L44)=0,"",MAX(D44:L44))</f>
        <v/>
      </c>
      <c r="P44" s="9">
        <f>IF(OR(M44="",M44=0),"",(O44-M44)/M44)</f>
        <v/>
      </c>
      <c r="Q44" s="7">
        <f>IF(COUNT(D44:L44)=0,"",INDEX($D$1:$L$1,MATCH(MIN(D44:L44),D44:L44,0)))</f>
        <v/>
      </c>
      <c r="R44" s="8" t="n">
        <v>45</v>
      </c>
      <c r="S44" s="10" t="n">
        <v>1</v>
      </c>
    </row>
    <row r="45">
      <c r="A45" s="7" t="inlineStr">
        <is>
          <t>EQU-04-009</t>
        </is>
      </c>
      <c r="B45" s="4" t="inlineStr">
        <is>
          <t>Brocha de 2"</t>
        </is>
      </c>
      <c r="C45" s="7" t="inlineStr">
        <is>
          <t>unidad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>
        <v>101.99</v>
      </c>
      <c r="M45" s="8">
        <f>IF(COUNT(D45:L45)=0,"",MIN(D45:L45))</f>
        <v/>
      </c>
      <c r="N45" s="8">
        <f>IF(COUNT(D45:L45)=0,"",MEDIAN(D45:L45))</f>
        <v/>
      </c>
      <c r="O45" s="8">
        <f>IF(COUNT(D45:L45)=0,"",MAX(D45:L45))</f>
        <v/>
      </c>
      <c r="P45" s="9">
        <f>IF(OR(M45="",M45=0),"",(O45-M45)/M45)</f>
        <v/>
      </c>
      <c r="Q45" s="7">
        <f>IF(COUNT(D45:L45)=0,"",INDEX($D$1:$L$1,MATCH(MIN(D45:L45),D45:L45,0)))</f>
        <v/>
      </c>
      <c r="R45" s="8" t="n">
        <v>101.99</v>
      </c>
      <c r="S45" s="10" t="n">
        <v>1</v>
      </c>
    </row>
    <row r="46">
      <c r="A46" s="7" t="inlineStr">
        <is>
          <t>EQU-04-010</t>
        </is>
      </c>
      <c r="B46" s="4" t="inlineStr">
        <is>
          <t>Brocha de 2 1/2"</t>
        </is>
      </c>
      <c r="C46" s="7" t="inlineStr">
        <is>
          <t>unidad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>
        <v>123.46</v>
      </c>
      <c r="M46" s="8">
        <f>IF(COUNT(D46:L46)=0,"",MIN(D46:L46))</f>
        <v/>
      </c>
      <c r="N46" s="8">
        <f>IF(COUNT(D46:L46)=0,"",MEDIAN(D46:L46))</f>
        <v/>
      </c>
      <c r="O46" s="8">
        <f>IF(COUNT(D46:L46)=0,"",MAX(D46:L46))</f>
        <v/>
      </c>
      <c r="P46" s="9">
        <f>IF(OR(M46="",M46=0),"",(O46-M46)/M46)</f>
        <v/>
      </c>
      <c r="Q46" s="7">
        <f>IF(COUNT(D46:L46)=0,"",INDEX($D$1:$L$1,MATCH(MIN(D46:L46),D46:L46,0)))</f>
        <v/>
      </c>
      <c r="R46" s="8" t="n">
        <v>123.46</v>
      </c>
      <c r="S46" s="10" t="n">
        <v>1</v>
      </c>
    </row>
    <row r="47">
      <c r="A47" s="7" t="inlineStr">
        <is>
          <t>EQU-04-011</t>
        </is>
      </c>
      <c r="B47" s="4" t="inlineStr">
        <is>
          <t>Brocha de 3"</t>
        </is>
      </c>
      <c r="C47" s="7" t="inlineStr">
        <is>
          <t>unidad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>
        <v>150.31</v>
      </c>
      <c r="M47" s="8">
        <f>IF(COUNT(D47:L47)=0,"",MIN(D47:L47))</f>
        <v/>
      </c>
      <c r="N47" s="8">
        <f>IF(COUNT(D47:L47)=0,"",MEDIAN(D47:L47))</f>
        <v/>
      </c>
      <c r="O47" s="8">
        <f>IF(COUNT(D47:L47)=0,"",MAX(D47:L47))</f>
        <v/>
      </c>
      <c r="P47" s="9">
        <f>IF(OR(M47="",M47=0),"",(O47-M47)/M47)</f>
        <v/>
      </c>
      <c r="Q47" s="7">
        <f>IF(COUNT(D47:L47)=0,"",INDEX($D$1:$L$1,MATCH(MIN(D47:L47),D47:L47,0)))</f>
        <v/>
      </c>
      <c r="R47" s="8" t="n">
        <v>150.31</v>
      </c>
      <c r="S47" s="10" t="n">
        <v>1</v>
      </c>
    </row>
    <row r="48">
      <c r="A48" s="7" t="inlineStr">
        <is>
          <t>EQU-04-012</t>
        </is>
      </c>
      <c r="B48" s="4" t="inlineStr">
        <is>
          <t>Brocha de 4"</t>
        </is>
      </c>
      <c r="C48" s="7" t="inlineStr">
        <is>
          <t>unidad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203.99</v>
      </c>
      <c r="M48" s="8">
        <f>IF(COUNT(D48:L48)=0,"",MIN(D48:L48))</f>
        <v/>
      </c>
      <c r="N48" s="8">
        <f>IF(COUNT(D48:L48)=0,"",MEDIAN(D48:L48))</f>
        <v/>
      </c>
      <c r="O48" s="8">
        <f>IF(COUNT(D48:L48)=0,"",MAX(D48:L48))</f>
        <v/>
      </c>
      <c r="P48" s="9">
        <f>IF(OR(M48="",M48=0),"",(O48-M48)/M48)</f>
        <v/>
      </c>
      <c r="Q48" s="7">
        <f>IF(COUNT(D48:L48)=0,"",INDEX($D$1:$L$1,MATCH(MIN(D48:L48),D48:L48,0)))</f>
        <v/>
      </c>
      <c r="R48" s="8" t="n">
        <v>203.99</v>
      </c>
      <c r="S48" s="10" t="n">
        <v>1</v>
      </c>
    </row>
    <row r="49">
      <c r="A49" s="7" t="inlineStr">
        <is>
          <t>EQU-04-013</t>
        </is>
      </c>
      <c r="B49" s="4" t="inlineStr">
        <is>
          <t>Espátula de 10"</t>
        </is>
      </c>
      <c r="C49" s="7" t="inlineStr">
        <is>
          <t>unidad</t>
        </is>
      </c>
      <c r="D49" s="8" t="n"/>
      <c r="E49" s="8" t="n"/>
      <c r="F49" s="8" t="n"/>
      <c r="G49" s="8" t="n"/>
      <c r="H49" s="8" t="n">
        <v>305</v>
      </c>
      <c r="I49" s="8" t="n"/>
      <c r="J49" s="8" t="n"/>
      <c r="K49" s="8" t="n"/>
      <c r="L49" s="8" t="n"/>
      <c r="M49" s="8">
        <f>IF(COUNT(D49:L49)=0,"",MIN(D49:L49))</f>
        <v/>
      </c>
      <c r="N49" s="8">
        <f>IF(COUNT(D49:L49)=0,"",MEDIAN(D49:L49))</f>
        <v/>
      </c>
      <c r="O49" s="8">
        <f>IF(COUNT(D49:L49)=0,"",MAX(D49:L49))</f>
        <v/>
      </c>
      <c r="P49" s="9">
        <f>IF(OR(M49="",M49=0),"",(O49-M49)/M49)</f>
        <v/>
      </c>
      <c r="Q49" s="7">
        <f>IF(COUNT(D49:L49)=0,"",INDEX($D$1:$L$1,MATCH(MIN(D49:L49),D49:L49,0)))</f>
        <v/>
      </c>
      <c r="R49" s="8" t="n">
        <v>305</v>
      </c>
      <c r="S49" s="10" t="n">
        <v>1</v>
      </c>
    </row>
    <row r="50">
      <c r="A50" s="7" t="inlineStr">
        <is>
          <t>EQU-04-014</t>
        </is>
      </c>
      <c r="B50" s="4" t="inlineStr">
        <is>
          <t>Espátula de 12"</t>
        </is>
      </c>
      <c r="C50" s="7" t="inlineStr">
        <is>
          <t>unidad</t>
        </is>
      </c>
      <c r="D50" s="8" t="n"/>
      <c r="E50" s="8" t="n"/>
      <c r="F50" s="8" t="n"/>
      <c r="G50" s="8" t="n"/>
      <c r="H50" s="8" t="n">
        <v>335</v>
      </c>
      <c r="I50" s="8" t="n"/>
      <c r="J50" s="8" t="n"/>
      <c r="K50" s="8" t="n"/>
      <c r="L50" s="8" t="n"/>
      <c r="M50" s="8">
        <f>IF(COUNT(D50:L50)=0,"",MIN(D50:L50))</f>
        <v/>
      </c>
      <c r="N50" s="8">
        <f>IF(COUNT(D50:L50)=0,"",MEDIAN(D50:L50))</f>
        <v/>
      </c>
      <c r="O50" s="8">
        <f>IF(COUNT(D50:L50)=0,"",MAX(D50:L50))</f>
        <v/>
      </c>
      <c r="P50" s="9">
        <f>IF(OR(M50="",M50=0),"",(O50-M50)/M50)</f>
        <v/>
      </c>
      <c r="Q50" s="7">
        <f>IF(COUNT(D50:L50)=0,"",INDEX($D$1:$L$1,MATCH(MIN(D50:L50),D50:L50,0)))</f>
        <v/>
      </c>
      <c r="R50" s="8" t="n">
        <v>335</v>
      </c>
      <c r="S50" s="10" t="n">
        <v>1</v>
      </c>
    </row>
    <row r="51">
      <c r="A51" s="7" t="inlineStr">
        <is>
          <t>EQU-04-015</t>
        </is>
      </c>
      <c r="B51" s="4" t="inlineStr">
        <is>
          <t>Espátula de 2 1/2"</t>
        </is>
      </c>
      <c r="C51" s="7" t="inlineStr">
        <is>
          <t>unidad</t>
        </is>
      </c>
      <c r="D51" s="8" t="n"/>
      <c r="E51" s="8" t="n"/>
      <c r="F51" s="8" t="n"/>
      <c r="G51" s="8" t="n"/>
      <c r="H51" s="8" t="n">
        <v>220</v>
      </c>
      <c r="I51" s="8" t="n"/>
      <c r="J51" s="8" t="n"/>
      <c r="K51" s="8" t="n"/>
      <c r="L51" s="8" t="n"/>
      <c r="M51" s="8">
        <f>IF(COUNT(D51:L51)=0,"",MIN(D51:L51))</f>
        <v/>
      </c>
      <c r="N51" s="8">
        <f>IF(COUNT(D51:L51)=0,"",MEDIAN(D51:L51))</f>
        <v/>
      </c>
      <c r="O51" s="8">
        <f>IF(COUNT(D51:L51)=0,"",MAX(D51:L51))</f>
        <v/>
      </c>
      <c r="P51" s="9">
        <f>IF(OR(M51="",M51=0),"",(O51-M51)/M51)</f>
        <v/>
      </c>
      <c r="Q51" s="7">
        <f>IF(COUNT(D51:L51)=0,"",INDEX($D$1:$L$1,MATCH(MIN(D51:L51),D51:L51,0)))</f>
        <v/>
      </c>
      <c r="R51" s="8" t="n">
        <v>237.5</v>
      </c>
      <c r="S51" s="10" t="n">
        <v>1</v>
      </c>
    </row>
    <row r="52">
      <c r="A52" s="7" t="inlineStr">
        <is>
          <t>EQU-04-016</t>
        </is>
      </c>
      <c r="B52" s="4" t="inlineStr">
        <is>
          <t>Espátula de 3"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>
        <v>249</v>
      </c>
      <c r="I52" s="8" t="n"/>
      <c r="J52" s="8" t="n"/>
      <c r="K52" s="8" t="n"/>
      <c r="L52" s="8" t="n"/>
      <c r="M52" s="8">
        <f>IF(COUNT(D52:L52)=0,"",MIN(D52:L52))</f>
        <v/>
      </c>
      <c r="N52" s="8">
        <f>IF(COUNT(D52:L52)=0,"",MEDIAN(D52:L52))</f>
        <v/>
      </c>
      <c r="O52" s="8">
        <f>IF(COUNT(D52:L52)=0,"",MAX(D52:L52))</f>
        <v/>
      </c>
      <c r="P52" s="9">
        <f>IF(OR(M52="",M52=0),"",(O52-M52)/M52)</f>
        <v/>
      </c>
      <c r="Q52" s="7">
        <f>IF(COUNT(D52:L52)=0,"",INDEX($D$1:$L$1,MATCH(MIN(D52:L52),D52:L52,0)))</f>
        <v/>
      </c>
      <c r="R52" s="8" t="n">
        <v>249</v>
      </c>
      <c r="S52" s="10" t="n">
        <v>1</v>
      </c>
    </row>
    <row r="53">
      <c r="A53" s="7" t="inlineStr">
        <is>
          <t>EQU-04-017</t>
        </is>
      </c>
      <c r="B53" s="4" t="inlineStr">
        <is>
          <t>Espátula de 4"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/>
      <c r="K53" s="8" t="n"/>
      <c r="L53" s="8" t="n">
        <v>128.83</v>
      </c>
      <c r="M53" s="8">
        <f>IF(COUNT(D53:L53)=0,"",MIN(D53:L53))</f>
        <v/>
      </c>
      <c r="N53" s="8">
        <f>IF(COUNT(D53:L53)=0,"",MEDIAN(D53:L53))</f>
        <v/>
      </c>
      <c r="O53" s="8">
        <f>IF(COUNT(D53:L53)=0,"",MAX(D53:L53))</f>
        <v/>
      </c>
      <c r="P53" s="9">
        <f>IF(OR(M53="",M53=0),"",(O53-M53)/M53)</f>
        <v/>
      </c>
      <c r="Q53" s="7">
        <f>IF(COUNT(D53:L53)=0,"",INDEX($D$1:$L$1,MATCH(MIN(D53:L53),D53:L53,0)))</f>
        <v/>
      </c>
      <c r="R53" s="8" t="n">
        <v>128.83</v>
      </c>
      <c r="S53" s="10" t="n">
        <v>1</v>
      </c>
    </row>
    <row r="54">
      <c r="A54" s="7" t="inlineStr">
        <is>
          <t>EQU-04-018</t>
        </is>
      </c>
      <c r="B54" s="4" t="inlineStr">
        <is>
          <t>Espátula de 6"</t>
        </is>
      </c>
      <c r="C54" s="7" t="inlineStr">
        <is>
          <t>unidad</t>
        </is>
      </c>
      <c r="D54" s="8" t="n"/>
      <c r="E54" s="8" t="n"/>
      <c r="F54" s="8" t="n"/>
      <c r="G54" s="8" t="n"/>
      <c r="H54" s="8" t="n">
        <v>380</v>
      </c>
      <c r="I54" s="8" t="n"/>
      <c r="J54" s="8" t="n"/>
      <c r="K54" s="8" t="n"/>
      <c r="L54" s="8" t="n"/>
      <c r="M54" s="8">
        <f>IF(COUNT(D54:L54)=0,"",MIN(D54:L54))</f>
        <v/>
      </c>
      <c r="N54" s="8">
        <f>IF(COUNT(D54:L54)=0,"",MEDIAN(D54:L54))</f>
        <v/>
      </c>
      <c r="O54" s="8">
        <f>IF(COUNT(D54:L54)=0,"",MAX(D54:L54))</f>
        <v/>
      </c>
      <c r="P54" s="9">
        <f>IF(OR(M54="",M54=0),"",(O54-M54)/M54)</f>
        <v/>
      </c>
      <c r="Q54" s="7">
        <f>IF(COUNT(D54:L54)=0,"",INDEX($D$1:$L$1,MATCH(MIN(D54:L54),D54:L54,0)))</f>
        <v/>
      </c>
      <c r="R54" s="8" t="n">
        <v>380</v>
      </c>
      <c r="S54" s="10" t="n">
        <v>1</v>
      </c>
    </row>
    <row r="55">
      <c r="A55" s="7" t="inlineStr">
        <is>
          <t>EQU-04-019</t>
        </is>
      </c>
      <c r="B55" s="4" t="inlineStr">
        <is>
          <t>Espátula de 8"</t>
        </is>
      </c>
      <c r="C55" s="7" t="inlineStr">
        <is>
          <t>unidad</t>
        </is>
      </c>
      <c r="D55" s="8" t="n"/>
      <c r="E55" s="8" t="n"/>
      <c r="F55" s="8" t="n"/>
      <c r="G55" s="8" t="n"/>
      <c r="H55" s="8" t="n">
        <v>265</v>
      </c>
      <c r="I55" s="8" t="n"/>
      <c r="J55" s="8" t="n"/>
      <c r="K55" s="8" t="n"/>
      <c r="L55" s="8" t="n"/>
      <c r="M55" s="8">
        <f>IF(COUNT(D55:L55)=0,"",MIN(D55:L55))</f>
        <v/>
      </c>
      <c r="N55" s="8">
        <f>IF(COUNT(D55:L55)=0,"",MEDIAN(D55:L55))</f>
        <v/>
      </c>
      <c r="O55" s="8">
        <f>IF(COUNT(D55:L55)=0,"",MAX(D55:L55))</f>
        <v/>
      </c>
      <c r="P55" s="9">
        <f>IF(OR(M55="",M55=0),"",(O55-M55)/M55)</f>
        <v/>
      </c>
      <c r="Q55" s="7">
        <f>IF(COUNT(D55:L55)=0,"",INDEX($D$1:$L$1,MATCH(MIN(D55:L55),D55:L55,0)))</f>
        <v/>
      </c>
      <c r="R55" s="8" t="n">
        <v>265</v>
      </c>
      <c r="S55" s="10" t="n">
        <v>1</v>
      </c>
    </row>
    <row r="56">
      <c r="A56" s="7" t="inlineStr">
        <is>
          <t>EQU-04-020</t>
        </is>
      </c>
      <c r="B56" s="4" t="inlineStr">
        <is>
          <t>Rodillo para pintar de 1 1/4"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>
        <v>249</v>
      </c>
      <c r="I56" s="8" t="n"/>
      <c r="J56" s="8" t="n"/>
      <c r="K56" s="8" t="n"/>
      <c r="L56" s="8" t="n"/>
      <c r="M56" s="8">
        <f>IF(COUNT(D56:L56)=0,"",MIN(D56:L56))</f>
        <v/>
      </c>
      <c r="N56" s="8">
        <f>IF(COUNT(D56:L56)=0,"",MEDIAN(D56:L56))</f>
        <v/>
      </c>
      <c r="O56" s="8">
        <f>IF(COUNT(D56:L56)=0,"",MAX(D56:L56))</f>
        <v/>
      </c>
      <c r="P56" s="9">
        <f>IF(OR(M56="",M56=0),"",(O56-M56)/M56)</f>
        <v/>
      </c>
      <c r="Q56" s="7">
        <f>IF(COUNT(D56:L56)=0,"",INDEX($D$1:$L$1,MATCH(MIN(D56:L56),D56:L56,0)))</f>
        <v/>
      </c>
      <c r="R56" s="8" t="n">
        <v>249</v>
      </c>
      <c r="S56" s="10" t="n">
        <v>1</v>
      </c>
    </row>
    <row r="57">
      <c r="A57" s="7" t="inlineStr">
        <is>
          <t>EQU-04-021</t>
        </is>
      </c>
      <c r="B57" s="4" t="inlineStr">
        <is>
          <t>Rodillo para pintar de 12"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>
        <v>115</v>
      </c>
      <c r="I57" s="8" t="n"/>
      <c r="J57" s="8" t="n"/>
      <c r="K57" s="8" t="n"/>
      <c r="L57" s="8" t="n"/>
      <c r="M57" s="8">
        <f>IF(COUNT(D57:L57)=0,"",MIN(D57:L57))</f>
        <v/>
      </c>
      <c r="N57" s="8">
        <f>IF(COUNT(D57:L57)=0,"",MEDIAN(D57:L57))</f>
        <v/>
      </c>
      <c r="O57" s="8">
        <f>IF(COUNT(D57:L57)=0,"",MAX(D57:L57))</f>
        <v/>
      </c>
      <c r="P57" s="9">
        <f>IF(OR(M57="",M57=0),"",(O57-M57)/M57)</f>
        <v/>
      </c>
      <c r="Q57" s="7">
        <f>IF(COUNT(D57:L57)=0,"",INDEX($D$1:$L$1,MATCH(MIN(D57:L57),D57:L57,0)))</f>
        <v/>
      </c>
      <c r="R57" s="8" t="n">
        <v>115</v>
      </c>
      <c r="S57" s="10" t="n">
        <v>1</v>
      </c>
    </row>
    <row r="58">
      <c r="A58" s="7" t="inlineStr">
        <is>
          <t>EQU-04-022</t>
        </is>
      </c>
      <c r="B58" s="4" t="inlineStr">
        <is>
          <t>Rodillo para pintar de 14"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>
        <v>119</v>
      </c>
      <c r="I58" s="8" t="n"/>
      <c r="J58" s="8" t="n"/>
      <c r="K58" s="8" t="n"/>
      <c r="L58" s="8" t="n"/>
      <c r="M58" s="8">
        <f>IF(COUNT(D58:L58)=0,"",MIN(D58:L58))</f>
        <v/>
      </c>
      <c r="N58" s="8">
        <f>IF(COUNT(D58:L58)=0,"",MEDIAN(D58:L58))</f>
        <v/>
      </c>
      <c r="O58" s="8">
        <f>IF(COUNT(D58:L58)=0,"",MAX(D58:L58))</f>
        <v/>
      </c>
      <c r="P58" s="9">
        <f>IF(OR(M58="",M58=0),"",(O58-M58)/M58)</f>
        <v/>
      </c>
      <c r="Q58" s="7">
        <f>IF(COUNT(D58:L58)=0,"",INDEX($D$1:$L$1,MATCH(MIN(D58:L58),D58:L58,0)))</f>
        <v/>
      </c>
      <c r="R58" s="8" t="n">
        <v>119</v>
      </c>
      <c r="S58" s="10" t="n">
        <v>1</v>
      </c>
    </row>
    <row r="59">
      <c r="A59" s="7" t="inlineStr">
        <is>
          <t>EQU-04-023</t>
        </is>
      </c>
      <c r="B59" s="4" t="inlineStr">
        <is>
          <t>Rodillo para pintar de 3/4"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240</v>
      </c>
      <c r="I59" s="8" t="n"/>
      <c r="J59" s="8" t="n"/>
      <c r="K59" s="8" t="n"/>
      <c r="L59" s="8" t="n"/>
      <c r="M59" s="8">
        <f>IF(COUNT(D59:L59)=0,"",MIN(D59:L59))</f>
        <v/>
      </c>
      <c r="N59" s="8">
        <f>IF(COUNT(D59:L59)=0,"",MEDIAN(D59:L59))</f>
        <v/>
      </c>
      <c r="O59" s="8">
        <f>IF(COUNT(D59:L59)=0,"",MAX(D59:L59))</f>
        <v/>
      </c>
      <c r="P59" s="9">
        <f>IF(OR(M59="",M59=0),"",(O59-M59)/M59)</f>
        <v/>
      </c>
      <c r="Q59" s="7">
        <f>IF(COUNT(D59:L59)=0,"",INDEX($D$1:$L$1,MATCH(MIN(D59:L59),D59:L59,0)))</f>
        <v/>
      </c>
      <c r="R59" s="8" t="n">
        <v>240</v>
      </c>
      <c r="S59" s="10" t="n">
        <v>1</v>
      </c>
    </row>
    <row r="60">
      <c r="A60" s="7" t="inlineStr">
        <is>
          <t>EQU-04-024</t>
        </is>
      </c>
      <c r="B60" s="4" t="inlineStr">
        <is>
          <t>Rodillo para pintar de 4"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>
        <v>30</v>
      </c>
      <c r="I60" s="8" t="n"/>
      <c r="J60" s="8" t="n"/>
      <c r="K60" s="8" t="n"/>
      <c r="L60" s="8" t="n"/>
      <c r="M60" s="8">
        <f>IF(COUNT(D60:L60)=0,"",MIN(D60:L60))</f>
        <v/>
      </c>
      <c r="N60" s="8">
        <f>IF(COUNT(D60:L60)=0,"",MEDIAN(D60:L60))</f>
        <v/>
      </c>
      <c r="O60" s="8">
        <f>IF(COUNT(D60:L60)=0,"",MAX(D60:L60))</f>
        <v/>
      </c>
      <c r="P60" s="9">
        <f>IF(OR(M60="",M60=0),"",(O60-M60)/M60)</f>
        <v/>
      </c>
      <c r="Q60" s="7">
        <f>IF(COUNT(D60:L60)=0,"",INDEX($D$1:$L$1,MATCH(MIN(D60:L60),D60:L60,0)))</f>
        <v/>
      </c>
      <c r="R60" s="8" t="n">
        <v>70</v>
      </c>
      <c r="S60" s="10" t="n">
        <v>1</v>
      </c>
    </row>
    <row r="61">
      <c r="A61" s="7" t="inlineStr">
        <is>
          <t>EQU-04-025</t>
        </is>
      </c>
      <c r="B61" s="4" t="inlineStr">
        <is>
          <t>Rodillo para pintar de 5/16"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>
        <v>395</v>
      </c>
      <c r="I61" s="8" t="n"/>
      <c r="J61" s="8" t="n"/>
      <c r="K61" s="8" t="n"/>
      <c r="L61" s="8" t="n"/>
      <c r="M61" s="8">
        <f>IF(COUNT(D61:L61)=0,"",MIN(D61:L61))</f>
        <v/>
      </c>
      <c r="N61" s="8">
        <f>IF(COUNT(D61:L61)=0,"",MEDIAN(D61:L61))</f>
        <v/>
      </c>
      <c r="O61" s="8">
        <f>IF(COUNT(D61:L61)=0,"",MAX(D61:L61))</f>
        <v/>
      </c>
      <c r="P61" s="9">
        <f>IF(OR(M61="",M61=0),"",(O61-M61)/M61)</f>
        <v/>
      </c>
      <c r="Q61" s="7">
        <f>IF(COUNT(D61:L61)=0,"",INDEX($D$1:$L$1,MATCH(MIN(D61:L61),D61:L61,0)))</f>
        <v/>
      </c>
      <c r="R61" s="8" t="n">
        <v>395</v>
      </c>
      <c r="S61" s="10" t="n">
        <v>1</v>
      </c>
    </row>
    <row r="62">
      <c r="A62" s="7" t="inlineStr">
        <is>
          <t>EQU-04-026</t>
        </is>
      </c>
      <c r="B62" s="4" t="inlineStr">
        <is>
          <t>Rodillo para pintar de 7"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>
        <v>60</v>
      </c>
      <c r="I62" s="8" t="n"/>
      <c r="J62" s="8" t="n"/>
      <c r="K62" s="8" t="n"/>
      <c r="L62" s="8" t="n"/>
      <c r="M62" s="8">
        <f>IF(COUNT(D62:L62)=0,"",MIN(D62:L62))</f>
        <v/>
      </c>
      <c r="N62" s="8">
        <f>IF(COUNT(D62:L62)=0,"",MEDIAN(D62:L62))</f>
        <v/>
      </c>
      <c r="O62" s="8">
        <f>IF(COUNT(D62:L62)=0,"",MAX(D62:L62))</f>
        <v/>
      </c>
      <c r="P62" s="9">
        <f>IF(OR(M62="",M62=0),"",(O62-M62)/M62)</f>
        <v/>
      </c>
      <c r="Q62" s="7">
        <f>IF(COUNT(D62:L62)=0,"",INDEX($D$1:$L$1,MATCH(MIN(D62:L62),D62:L62,0)))</f>
        <v/>
      </c>
      <c r="R62" s="8" t="n">
        <v>102.5</v>
      </c>
      <c r="S62" s="10" t="n">
        <v>1</v>
      </c>
    </row>
    <row r="63">
      <c r="A63" s="7" t="inlineStr">
        <is>
          <t>EQU-04-027</t>
        </is>
      </c>
      <c r="B63" s="4" t="inlineStr">
        <is>
          <t>Rodillo para pintar de 9"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>
        <v>75</v>
      </c>
      <c r="I63" s="8" t="n"/>
      <c r="J63" s="8" t="n"/>
      <c r="K63" s="8" t="n"/>
      <c r="L63" s="8" t="n">
        <v>176.04</v>
      </c>
      <c r="M63" s="8">
        <f>IF(COUNT(D63:L63)=0,"",MIN(D63:L63))</f>
        <v/>
      </c>
      <c r="N63" s="8">
        <f>IF(COUNT(D63:L63)=0,"",MEDIAN(D63:L63))</f>
        <v/>
      </c>
      <c r="O63" s="8">
        <f>IF(COUNT(D63:L63)=0,"",MAX(D63:L63))</f>
        <v/>
      </c>
      <c r="P63" s="9">
        <f>IF(OR(M63="",M63=0),"",(O63-M63)/M63)</f>
        <v/>
      </c>
      <c r="Q63" s="7">
        <f>IF(COUNT(D63:L63)=0,"",INDEX($D$1:$L$1,MATCH(MIN(D63:L63),D63:L63,0)))</f>
        <v/>
      </c>
      <c r="R63" s="8" t="n">
        <v>172</v>
      </c>
      <c r="S63" s="10" t="n">
        <v>2</v>
      </c>
    </row>
    <row r="64">
      <c r="A64" s="7" t="inlineStr">
        <is>
          <t>EQU-04-028</t>
        </is>
      </c>
      <c r="B64" s="4" t="inlineStr">
        <is>
          <t>Cortadora manual de cerámica, corte de 100 cm</t>
        </is>
      </c>
      <c r="C64" s="7" t="inlineStr">
        <is>
          <t>unidad</t>
        </is>
      </c>
      <c r="D64" s="8" t="n">
        <v>35818.07</v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>
        <f>IF(COUNT(D64:L64)=0,"",MIN(D64:L64))</f>
        <v/>
      </c>
      <c r="N64" s="8">
        <f>IF(COUNT(D64:L64)=0,"",MEDIAN(D64:L64))</f>
        <v/>
      </c>
      <c r="O64" s="8">
        <f>IF(COUNT(D64:L64)=0,"",MAX(D64:L64))</f>
        <v/>
      </c>
      <c r="P64" s="9">
        <f>IF(OR(M64="",M64=0),"",(O64-M64)/M64)</f>
        <v/>
      </c>
      <c r="Q64" s="7">
        <f>IF(COUNT(D64:L64)=0,"",INDEX($D$1:$L$1,MATCH(MIN(D64:L64),D64:L64,0)))</f>
        <v/>
      </c>
      <c r="R64" s="8" t="n">
        <v>35818.07</v>
      </c>
      <c r="S64" s="10" t="n">
        <v>1</v>
      </c>
    </row>
    <row r="65">
      <c r="A65" s="7" t="inlineStr">
        <is>
          <t>EQU-04-029</t>
        </is>
      </c>
      <c r="B65" s="4" t="inlineStr">
        <is>
          <t>Cortadora manual de cerámica, corte de 125 cm</t>
        </is>
      </c>
      <c r="C65" s="7" t="inlineStr">
        <is>
          <t>unidad</t>
        </is>
      </c>
      <c r="D65" s="8" t="n">
        <v>32070.28</v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>
        <f>IF(COUNT(D65:L65)=0,"",MIN(D65:L65))</f>
        <v/>
      </c>
      <c r="N65" s="8">
        <f>IF(COUNT(D65:L65)=0,"",MEDIAN(D65:L65))</f>
        <v/>
      </c>
      <c r="O65" s="8">
        <f>IF(COUNT(D65:L65)=0,"",MAX(D65:L65))</f>
        <v/>
      </c>
      <c r="P65" s="9">
        <f>IF(OR(M65="",M65=0),"",(O65-M65)/M65)</f>
        <v/>
      </c>
      <c r="Q65" s="7">
        <f>IF(COUNT(D65:L65)=0,"",INDEX($D$1:$L$1,MATCH(MIN(D65:L65),D65:L65,0)))</f>
        <v/>
      </c>
      <c r="R65" s="8" t="n">
        <v>32070.28</v>
      </c>
      <c r="S65" s="10" t="n">
        <v>1</v>
      </c>
    </row>
    <row r="66">
      <c r="A66" s="7" t="inlineStr">
        <is>
          <t>EQU-04-030</t>
        </is>
      </c>
      <c r="B66" s="4" t="inlineStr">
        <is>
          <t>Cortadora manual de cerámica, corte de 51 cm</t>
        </is>
      </c>
      <c r="C66" s="7" t="inlineStr">
        <is>
          <t>unidad</t>
        </is>
      </c>
      <c r="D66" s="8" t="n">
        <v>2857.38</v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>
        <f>IF(COUNT(D66:L66)=0,"",MIN(D66:L66))</f>
        <v/>
      </c>
      <c r="N66" s="8">
        <f>IF(COUNT(D66:L66)=0,"",MEDIAN(D66:L66))</f>
        <v/>
      </c>
      <c r="O66" s="8">
        <f>IF(COUNT(D66:L66)=0,"",MAX(D66:L66))</f>
        <v/>
      </c>
      <c r="P66" s="9">
        <f>IF(OR(M66="",M66=0),"",(O66-M66)/M66)</f>
        <v/>
      </c>
      <c r="Q66" s="7">
        <f>IF(COUNT(D66:L66)=0,"",INDEX($D$1:$L$1,MATCH(MIN(D66:L66),D66:L66,0)))</f>
        <v/>
      </c>
      <c r="R66" s="8" t="n">
        <v>2857.38</v>
      </c>
      <c r="S66" s="10" t="n">
        <v>1</v>
      </c>
    </row>
    <row r="67">
      <c r="A67" s="7" t="inlineStr">
        <is>
          <t>EQU-04-031</t>
        </is>
      </c>
      <c r="B67" s="4" t="inlineStr">
        <is>
          <t>Cortadora manual de cerámica, corte de 62 cm</t>
        </is>
      </c>
      <c r="C67" s="7" t="inlineStr">
        <is>
          <t>unidad</t>
        </is>
      </c>
      <c r="D67" s="8" t="n">
        <v>6482.72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>
        <f>IF(COUNT(D67:L67)=0,"",MIN(D67:L67))</f>
        <v/>
      </c>
      <c r="N67" s="8">
        <f>IF(COUNT(D67:L67)=0,"",MEDIAN(D67:L67))</f>
        <v/>
      </c>
      <c r="O67" s="8">
        <f>IF(COUNT(D67:L67)=0,"",MAX(D67:L67))</f>
        <v/>
      </c>
      <c r="P67" s="9">
        <f>IF(OR(M67="",M67=0),"",(O67-M67)/M67)</f>
        <v/>
      </c>
      <c r="Q67" s="7">
        <f>IF(COUNT(D67:L67)=0,"",INDEX($D$1:$L$1,MATCH(MIN(D67:L67),D67:L67,0)))</f>
        <v/>
      </c>
      <c r="R67" s="8" t="n">
        <v>6482.72</v>
      </c>
      <c r="S67" s="10" t="n">
        <v>1</v>
      </c>
    </row>
    <row r="68">
      <c r="A68" s="7" t="inlineStr">
        <is>
          <t>EQU-04-032</t>
        </is>
      </c>
      <c r="B68" s="4" t="inlineStr">
        <is>
          <t>Cortadora manual de cerámica, corte de 63 cm</t>
        </is>
      </c>
      <c r="C68" s="7" t="inlineStr">
        <is>
          <t>unidad</t>
        </is>
      </c>
      <c r="D68" s="8" t="n">
        <v>9559.049999999999</v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>
        <f>IF(COUNT(D68:L68)=0,"",MIN(D68:L68))</f>
        <v/>
      </c>
      <c r="N68" s="8">
        <f>IF(COUNT(D68:L68)=0,"",MEDIAN(D68:L68))</f>
        <v/>
      </c>
      <c r="O68" s="8">
        <f>IF(COUNT(D68:L68)=0,"",MAX(D68:L68))</f>
        <v/>
      </c>
      <c r="P68" s="9">
        <f>IF(OR(M68="",M68=0),"",(O68-M68)/M68)</f>
        <v/>
      </c>
      <c r="Q68" s="7">
        <f>IF(COUNT(D68:L68)=0,"",INDEX($D$1:$L$1,MATCH(MIN(D68:L68),D68:L68,0)))</f>
        <v/>
      </c>
      <c r="R68" s="8" t="n">
        <v>9559.049999999999</v>
      </c>
      <c r="S68" s="10" t="n">
        <v>1</v>
      </c>
    </row>
    <row r="69">
      <c r="A69" s="7" t="inlineStr">
        <is>
          <t>EQU-04-033</t>
        </is>
      </c>
      <c r="B69" s="4" t="inlineStr">
        <is>
          <t>Cortadora manual de cerámica, corte de 90 cm</t>
        </is>
      </c>
      <c r="C69" s="7" t="inlineStr">
        <is>
          <t>unidad</t>
        </is>
      </c>
      <c r="D69" s="8" t="n">
        <v>15050.43</v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8">
        <f>IF(COUNT(D69:L69)=0,"",MIN(D69:L69))</f>
        <v/>
      </c>
      <c r="N69" s="8">
        <f>IF(COUNT(D69:L69)=0,"",MEDIAN(D69:L69))</f>
        <v/>
      </c>
      <c r="O69" s="8">
        <f>IF(COUNT(D69:L69)=0,"",MAX(D69:L69))</f>
        <v/>
      </c>
      <c r="P69" s="9">
        <f>IF(OR(M69="",M69=0),"",(O69-M69)/M69)</f>
        <v/>
      </c>
      <c r="Q69" s="7">
        <f>IF(COUNT(D69:L69)=0,"",INDEX($D$1:$L$1,MATCH(MIN(D69:L69),D69:L69,0)))</f>
        <v/>
      </c>
      <c r="R69" s="8" t="n">
        <v>15050.43</v>
      </c>
      <c r="S69" s="10" t="n">
        <v>1</v>
      </c>
    </row>
    <row r="70">
      <c r="A70" s="7" t="inlineStr">
        <is>
          <t>EQU-04-034</t>
        </is>
      </c>
      <c r="B70" s="4" t="inlineStr">
        <is>
          <t>Alicate para nivelación de cerámica</t>
        </is>
      </c>
      <c r="C70" s="7" t="inlineStr">
        <is>
          <t>unidad</t>
        </is>
      </c>
      <c r="D70" s="8" t="n">
        <v>966.22</v>
      </c>
      <c r="E70" s="8" t="n"/>
      <c r="F70" s="8" t="n"/>
      <c r="G70" s="8" t="n">
        <v>663.14</v>
      </c>
      <c r="H70" s="8" t="n"/>
      <c r="I70" s="8" t="n"/>
      <c r="J70" s="8" t="n"/>
      <c r="K70" s="8" t="n"/>
      <c r="L70" s="8" t="n"/>
      <c r="M70" s="8">
        <f>IF(COUNT(D70:L70)=0,"",MIN(D70:L70))</f>
        <v/>
      </c>
      <c r="N70" s="8">
        <f>IF(COUNT(D70:L70)=0,"",MEDIAN(D70:L70))</f>
        <v/>
      </c>
      <c r="O70" s="8">
        <f>IF(COUNT(D70:L70)=0,"",MAX(D70:L70))</f>
        <v/>
      </c>
      <c r="P70" s="9">
        <f>IF(OR(M70="",M70=0),"",(O70-M70)/M70)</f>
        <v/>
      </c>
      <c r="Q70" s="7">
        <f>IF(COUNT(D70:L70)=0,"",INDEX($D$1:$L$1,MATCH(MIN(D70:L70),D70:L70,0)))</f>
        <v/>
      </c>
      <c r="R70" s="8" t="n">
        <v>814.6799999999999</v>
      </c>
      <c r="S70" s="10" t="n">
        <v>2</v>
      </c>
    </row>
    <row r="71">
      <c r="A71" s="7" t="inlineStr">
        <is>
          <t>EQU-04-035</t>
        </is>
      </c>
      <c r="B71" s="4" t="inlineStr">
        <is>
          <t>Aplicador de mortero</t>
        </is>
      </c>
      <c r="C71" s="7" t="inlineStr">
        <is>
          <t>unidad</t>
        </is>
      </c>
      <c r="D71" s="8" t="n">
        <v>1282.31</v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8">
        <f>IF(COUNT(D71:L71)=0,"",MIN(D71:L71))</f>
        <v/>
      </c>
      <c r="N71" s="8">
        <f>IF(COUNT(D71:L71)=0,"",MEDIAN(D71:L71))</f>
        <v/>
      </c>
      <c r="O71" s="8">
        <f>IF(COUNT(D71:L71)=0,"",MAX(D71:L71))</f>
        <v/>
      </c>
      <c r="P71" s="9">
        <f>IF(OR(M71="",M71=0),"",(O71-M71)/M71)</f>
        <v/>
      </c>
      <c r="Q71" s="7">
        <f>IF(COUNT(D71:L71)=0,"",INDEX($D$1:$L$1,MATCH(MIN(D71:L71),D71:L71,0)))</f>
        <v/>
      </c>
      <c r="R71" s="8" t="n">
        <v>2931.73</v>
      </c>
      <c r="S71" s="10" t="n">
        <v>1</v>
      </c>
    </row>
    <row r="72">
      <c r="A72" s="7" t="inlineStr">
        <is>
          <t>EQU-04-036</t>
        </is>
      </c>
      <c r="B72" s="4" t="inlineStr">
        <is>
          <t>Kit de nivelación de cerámica</t>
        </is>
      </c>
      <c r="C72" s="7" t="inlineStr">
        <is>
          <t>unidad</t>
        </is>
      </c>
      <c r="D72" s="8" t="n">
        <v>4694.51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>
        <f>IF(COUNT(D72:L72)=0,"",MIN(D72:L72))</f>
        <v/>
      </c>
      <c r="N72" s="8">
        <f>IF(COUNT(D72:L72)=0,"",MEDIAN(D72:L72))</f>
        <v/>
      </c>
      <c r="O72" s="8">
        <f>IF(COUNT(D72:L72)=0,"",MAX(D72:L72))</f>
        <v/>
      </c>
      <c r="P72" s="9">
        <f>IF(OR(M72="",M72=0),"",(O72-M72)/M72)</f>
        <v/>
      </c>
      <c r="Q72" s="7">
        <f>IF(COUNT(D72:L72)=0,"",INDEX($D$1:$L$1,MATCH(MIN(D72:L72),D72:L72,0)))</f>
        <v/>
      </c>
      <c r="R72" s="8" t="n">
        <v>4694.51</v>
      </c>
      <c r="S72" s="10" t="n">
        <v>1</v>
      </c>
    </row>
    <row r="73">
      <c r="A73" s="7" t="inlineStr">
        <is>
          <t>EQU-04-037</t>
        </is>
      </c>
      <c r="B73" s="4" t="inlineStr">
        <is>
          <t>Llana dentada</t>
        </is>
      </c>
      <c r="C73" s="7" t="inlineStr">
        <is>
          <t>unidad</t>
        </is>
      </c>
      <c r="D73" s="8" t="n">
        <v>226.37</v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8">
        <f>IF(COUNT(D73:L73)=0,"",MIN(D73:L73))</f>
        <v/>
      </c>
      <c r="N73" s="8">
        <f>IF(COUNT(D73:L73)=0,"",MEDIAN(D73:L73))</f>
        <v/>
      </c>
      <c r="O73" s="8">
        <f>IF(COUNT(D73:L73)=0,"",MAX(D73:L73))</f>
        <v/>
      </c>
      <c r="P73" s="9">
        <f>IF(OR(M73="",M73=0),"",(O73-M73)/M73)</f>
        <v/>
      </c>
      <c r="Q73" s="7">
        <f>IF(COUNT(D73:L73)=0,"",INDEX($D$1:$L$1,MATCH(MIN(D73:L73),D73:L73,0)))</f>
        <v/>
      </c>
      <c r="R73" s="8" t="n">
        <v>323.68</v>
      </c>
      <c r="S73" s="10" t="n">
        <v>1</v>
      </c>
    </row>
    <row r="74">
      <c r="A74" s="7" t="inlineStr">
        <is>
          <t>EQU-04-038</t>
        </is>
      </c>
      <c r="B74" s="4" t="inlineStr">
        <is>
          <t>Ventosa para piezas lisas</t>
        </is>
      </c>
      <c r="C74" s="7" t="inlineStr">
        <is>
          <t>unidad</t>
        </is>
      </c>
      <c r="D74" s="8" t="n">
        <v>1279.54</v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>
        <f>IF(COUNT(D74:L74)=0,"",MIN(D74:L74))</f>
        <v/>
      </c>
      <c r="N74" s="8">
        <f>IF(COUNT(D74:L74)=0,"",MEDIAN(D74:L74))</f>
        <v/>
      </c>
      <c r="O74" s="8">
        <f>IF(COUNT(D74:L74)=0,"",MAX(D74:L74))</f>
        <v/>
      </c>
      <c r="P74" s="9">
        <f>IF(OR(M74="",M74=0),"",(O74-M74)/M74)</f>
        <v/>
      </c>
      <c r="Q74" s="7">
        <f>IF(COUNT(D74:L74)=0,"",INDEX($D$1:$L$1,MATCH(MIN(D74:L74),D74:L74,0)))</f>
        <v/>
      </c>
      <c r="R74" s="8" t="n">
        <v>1279.54</v>
      </c>
      <c r="S74" s="10" t="n">
        <v>1</v>
      </c>
    </row>
    <row r="75">
      <c r="A75" s="7" t="inlineStr">
        <is>
          <t>EQU-04-039</t>
        </is>
      </c>
      <c r="B75" s="4" t="inlineStr">
        <is>
          <t>Cuchilla de repuesto para cortadora, 10"</t>
        </is>
      </c>
      <c r="C75" s="7" t="inlineStr">
        <is>
          <t>unidad</t>
        </is>
      </c>
      <c r="D75" s="8" t="n">
        <v>5321.25</v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8">
        <f>IF(COUNT(D75:L75)=0,"",MIN(D75:L75))</f>
        <v/>
      </c>
      <c r="N75" s="8">
        <f>IF(COUNT(D75:L75)=0,"",MEDIAN(D75:L75))</f>
        <v/>
      </c>
      <c r="O75" s="8">
        <f>IF(COUNT(D75:L75)=0,"",MAX(D75:L75))</f>
        <v/>
      </c>
      <c r="P75" s="9">
        <f>IF(OR(M75="",M75=0),"",(O75-M75)/M75)</f>
        <v/>
      </c>
      <c r="Q75" s="7">
        <f>IF(COUNT(D75:L75)=0,"",INDEX($D$1:$L$1,MATCH(MIN(D75:L75),D75:L75,0)))</f>
        <v/>
      </c>
      <c r="R75" s="8" t="n">
        <v>5321.25</v>
      </c>
      <c r="S75" s="10" t="n">
        <v>1</v>
      </c>
    </row>
    <row r="76">
      <c r="A76" s="7" t="inlineStr">
        <is>
          <t>EQU-04-040</t>
        </is>
      </c>
      <c r="B76" s="4" t="inlineStr">
        <is>
          <t>Cuchilla de repuesto para cortadora, 18 mm</t>
        </is>
      </c>
      <c r="C76" s="7" t="inlineStr">
        <is>
          <t>unidad</t>
        </is>
      </c>
      <c r="D76" s="8" t="n">
        <v>1110.46</v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>
        <f>IF(COUNT(D76:L76)=0,"",MIN(D76:L76))</f>
        <v/>
      </c>
      <c r="N76" s="8">
        <f>IF(COUNT(D76:L76)=0,"",MEDIAN(D76:L76))</f>
        <v/>
      </c>
      <c r="O76" s="8">
        <f>IF(COUNT(D76:L76)=0,"",MAX(D76:L76))</f>
        <v/>
      </c>
      <c r="P76" s="9">
        <f>IF(OR(M76="",M76=0),"",(O76-M76)/M76)</f>
        <v/>
      </c>
      <c r="Q76" s="7">
        <f>IF(COUNT(D76:L76)=0,"",INDEX($D$1:$L$1,MATCH(MIN(D76:L76),D76:L76,0)))</f>
        <v/>
      </c>
      <c r="R76" s="8" t="n">
        <v>1644.46</v>
      </c>
      <c r="S76" s="10" t="n">
        <v>1</v>
      </c>
    </row>
    <row r="77">
      <c r="A77" s="7" t="inlineStr">
        <is>
          <t>EQU-04-041</t>
        </is>
      </c>
      <c r="B77" s="4" t="inlineStr">
        <is>
          <t>Cuchilla de repuesto para cortadora, 7 mm</t>
        </is>
      </c>
      <c r="C77" s="7" t="inlineStr">
        <is>
          <t>unidad</t>
        </is>
      </c>
      <c r="D77" s="8" t="n">
        <v>358.67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>
        <f>IF(COUNT(D77:L77)=0,"",MIN(D77:L77))</f>
        <v/>
      </c>
      <c r="N77" s="8">
        <f>IF(COUNT(D77:L77)=0,"",MEDIAN(D77:L77))</f>
        <v/>
      </c>
      <c r="O77" s="8">
        <f>IF(COUNT(D77:L77)=0,"",MAX(D77:L77))</f>
        <v/>
      </c>
      <c r="P77" s="9">
        <f>IF(OR(M77="",M77=0),"",(O77-M77)/M77)</f>
        <v/>
      </c>
      <c r="Q77" s="7">
        <f>IF(COUNT(D77:L77)=0,"",INDEX($D$1:$L$1,MATCH(MIN(D77:L77),D77:L77,0)))</f>
        <v/>
      </c>
      <c r="R77" s="8" t="n">
        <v>358.67</v>
      </c>
      <c r="S77" s="10" t="n">
        <v>1</v>
      </c>
    </row>
    <row r="78">
      <c r="A78" s="7" t="inlineStr">
        <is>
          <t>EQU-04-042</t>
        </is>
      </c>
      <c r="B78" s="4" t="inlineStr">
        <is>
          <t>Cuchilla de repuesto para cortadora, 80 mm</t>
        </is>
      </c>
      <c r="C78" s="7" t="inlineStr">
        <is>
          <t>unidad</t>
        </is>
      </c>
      <c r="D78" s="8" t="n">
        <v>234.67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>
        <f>IF(COUNT(D78:L78)=0,"",MIN(D78:L78))</f>
        <v/>
      </c>
      <c r="N78" s="8">
        <f>IF(COUNT(D78:L78)=0,"",MEDIAN(D78:L78))</f>
        <v/>
      </c>
      <c r="O78" s="8">
        <f>IF(COUNT(D78:L78)=0,"",MAX(D78:L78))</f>
        <v/>
      </c>
      <c r="P78" s="9">
        <f>IF(OR(M78="",M78=0),"",(O78-M78)/M78)</f>
        <v/>
      </c>
      <c r="Q78" s="7">
        <f>IF(COUNT(D78:L78)=0,"",INDEX($D$1:$L$1,MATCH(MIN(D78:L78),D78:L78,0)))</f>
        <v/>
      </c>
      <c r="R78" s="8" t="n">
        <v>234.67</v>
      </c>
      <c r="S78" s="10" t="n">
        <v>1</v>
      </c>
    </row>
    <row r="79">
      <c r="A79" s="7" t="inlineStr">
        <is>
          <t>EQU-04-043</t>
        </is>
      </c>
      <c r="B79" s="4" t="inlineStr">
        <is>
          <t>Herramienta de terminación de cableado</t>
        </is>
      </c>
      <c r="C79" s="7" t="inlineStr">
        <is>
          <t>unidad</t>
        </is>
      </c>
      <c r="D79" s="8" t="n">
        <v>448.43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>
        <f>IF(COUNT(D79:L79)=0,"",MIN(D79:L79))</f>
        <v/>
      </c>
      <c r="N79" s="8">
        <f>IF(COUNT(D79:L79)=0,"",MEDIAN(D79:L79))</f>
        <v/>
      </c>
      <c r="O79" s="8">
        <f>IF(COUNT(D79:L79)=0,"",MAX(D79:L79))</f>
        <v/>
      </c>
      <c r="P79" s="9">
        <f>IF(OR(M79="",M79=0),"",(O79-M79)/M79)</f>
        <v/>
      </c>
      <c r="Q79" s="7">
        <f>IF(COUNT(D79:L79)=0,"",INDEX($D$1:$L$1,MATCH(MIN(D79:L79),D79:L79,0)))</f>
        <v/>
      </c>
      <c r="R79" s="8" t="n">
        <v>480.68</v>
      </c>
      <c r="S79" s="10" t="n">
        <v>1</v>
      </c>
    </row>
    <row r="80">
      <c r="A80" s="7" t="inlineStr">
        <is>
          <t>MAT-01-020</t>
        </is>
      </c>
      <c r="B80" s="4" t="inlineStr">
        <is>
          <t>Grava 3/4" en funda de 50 libras</t>
        </is>
      </c>
      <c r="C80" s="7" t="inlineStr">
        <is>
          <t>funda</t>
        </is>
      </c>
      <c r="D80" s="8" t="n">
        <v>151.87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>
        <f>IF(COUNT(D80:L80)=0,"",MIN(D80:L80))</f>
        <v/>
      </c>
      <c r="N80" s="8">
        <f>IF(COUNT(D80:L80)=0,"",MEDIAN(D80:L80))</f>
        <v/>
      </c>
      <c r="O80" s="8">
        <f>IF(COUNT(D80:L80)=0,"",MAX(D80:L80))</f>
        <v/>
      </c>
      <c r="P80" s="9">
        <f>IF(OR(M80="",M80=0),"",(O80-M80)/M80)</f>
        <v/>
      </c>
      <c r="Q80" s="7">
        <f>IF(COUNT(D80:L80)=0,"",INDEX($D$1:$L$1,MATCH(MIN(D80:L80),D80:L80,0)))</f>
        <v/>
      </c>
      <c r="R80" s="8" t="n">
        <v>151.87</v>
      </c>
      <c r="S80" s="10" t="n">
        <v>1</v>
      </c>
    </row>
    <row r="81">
      <c r="A81" s="7" t="inlineStr">
        <is>
          <t>MAT-01-021</t>
        </is>
      </c>
      <c r="B81" s="4" t="inlineStr">
        <is>
          <t>Grava blanca en funda de 50 libras</t>
        </is>
      </c>
      <c r="C81" s="7" t="inlineStr">
        <is>
          <t>funda</t>
        </is>
      </c>
      <c r="D81" s="8" t="n">
        <v>448.34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>
        <f>IF(COUNT(D81:L81)=0,"",MIN(D81:L81))</f>
        <v/>
      </c>
      <c r="N81" s="8">
        <f>IF(COUNT(D81:L81)=0,"",MEDIAN(D81:L81))</f>
        <v/>
      </c>
      <c r="O81" s="8">
        <f>IF(COUNT(D81:L81)=0,"",MAX(D81:L81))</f>
        <v/>
      </c>
      <c r="P81" s="9">
        <f>IF(OR(M81="",M81=0),"",(O81-M81)/M81)</f>
        <v/>
      </c>
      <c r="Q81" s="7">
        <f>IF(COUNT(D81:L81)=0,"",INDEX($D$1:$L$1,MATCH(MIN(D81:L81),D81:L81,0)))</f>
        <v/>
      </c>
      <c r="R81" s="8" t="n">
        <v>448.34</v>
      </c>
      <c r="S81" s="10" t="n">
        <v>1</v>
      </c>
    </row>
    <row r="82">
      <c r="A82" s="7" t="inlineStr">
        <is>
          <t>MAT-01-022</t>
        </is>
      </c>
      <c r="B82" s="4" t="inlineStr">
        <is>
          <t>Arena 3/16" en funda de 55 libras</t>
        </is>
      </c>
      <c r="C82" s="7" t="inlineStr">
        <is>
          <t>funda</t>
        </is>
      </c>
      <c r="D82" s="8" t="n">
        <v>151.87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>
        <f>IF(COUNT(D82:L82)=0,"",MIN(D82:L82))</f>
        <v/>
      </c>
      <c r="N82" s="8">
        <f>IF(COUNT(D82:L82)=0,"",MEDIAN(D82:L82))</f>
        <v/>
      </c>
      <c r="O82" s="8">
        <f>IF(COUNT(D82:L82)=0,"",MAX(D82:L82))</f>
        <v/>
      </c>
      <c r="P82" s="9">
        <f>IF(OR(M82="",M82=0),"",(O82-M82)/M82)</f>
        <v/>
      </c>
      <c r="Q82" s="7">
        <f>IF(COUNT(D82:L82)=0,"",INDEX($D$1:$L$1,MATCH(MIN(D82:L82),D82:L82,0)))</f>
        <v/>
      </c>
      <c r="R82" s="8" t="n">
        <v>151.87</v>
      </c>
      <c r="S82" s="10" t="n">
        <v>1</v>
      </c>
    </row>
    <row r="83">
      <c r="A83" s="7" t="inlineStr">
        <is>
          <t>MAT-02-017</t>
        </is>
      </c>
      <c r="B83" s="4" t="inlineStr">
        <is>
          <t>Adhesivo cementicio C1 blanco, funda 25 kg</t>
        </is>
      </c>
      <c r="C83" s="7" t="inlineStr">
        <is>
          <t>funda</t>
        </is>
      </c>
      <c r="D83" s="8" t="n"/>
      <c r="E83" s="8" t="n"/>
      <c r="F83" s="8" t="n"/>
      <c r="G83" s="8" t="n">
        <v>1160</v>
      </c>
      <c r="H83" s="8" t="n"/>
      <c r="I83" s="8" t="n"/>
      <c r="J83" s="8" t="n"/>
      <c r="K83" s="8" t="n"/>
      <c r="L83" s="8" t="n"/>
      <c r="M83" s="8">
        <f>IF(COUNT(D83:L83)=0,"",MIN(D83:L83))</f>
        <v/>
      </c>
      <c r="N83" s="8">
        <f>IF(COUNT(D83:L83)=0,"",MEDIAN(D83:L83))</f>
        <v/>
      </c>
      <c r="O83" s="8">
        <f>IF(COUNT(D83:L83)=0,"",MAX(D83:L83))</f>
        <v/>
      </c>
      <c r="P83" s="9">
        <f>IF(OR(M83="",M83=0),"",(O83-M83)/M83)</f>
        <v/>
      </c>
      <c r="Q83" s="7">
        <f>IF(COUNT(D83:L83)=0,"",INDEX($D$1:$L$1,MATCH(MIN(D83:L83),D83:L83,0)))</f>
        <v/>
      </c>
      <c r="R83" s="8" t="n">
        <v>1160</v>
      </c>
      <c r="S83" s="10" t="n">
        <v>1</v>
      </c>
    </row>
    <row r="84">
      <c r="A84" s="7" t="inlineStr">
        <is>
          <t>MAT-02-018</t>
        </is>
      </c>
      <c r="B84" s="4" t="inlineStr">
        <is>
          <t>Adhesivo cementicio C1 gris, funda 22.7 kg</t>
        </is>
      </c>
      <c r="C84" s="7" t="inlineStr">
        <is>
          <t>funda</t>
        </is>
      </c>
      <c r="D84" s="8" t="n">
        <v>310.94</v>
      </c>
      <c r="E84" s="8" t="n"/>
      <c r="F84" s="8" t="n">
        <v>310</v>
      </c>
      <c r="G84" s="8" t="n"/>
      <c r="H84" s="8" t="n"/>
      <c r="I84" s="8" t="n"/>
      <c r="J84" s="8" t="n">
        <v>290</v>
      </c>
      <c r="K84" s="8" t="n"/>
      <c r="L84" s="8" t="n"/>
      <c r="M84" s="8">
        <f>IF(COUNT(D84:L84)=0,"",MIN(D84:L84))</f>
        <v/>
      </c>
      <c r="N84" s="8">
        <f>IF(COUNT(D84:L84)=0,"",MEDIAN(D84:L84))</f>
        <v/>
      </c>
      <c r="O84" s="8">
        <f>IF(COUNT(D84:L84)=0,"",MAX(D84:L84))</f>
        <v/>
      </c>
      <c r="P84" s="9">
        <f>IF(OR(M84="",M84=0),"",(O84-M84)/M84)</f>
        <v/>
      </c>
      <c r="Q84" s="7">
        <f>IF(COUNT(D84:L84)=0,"",INDEX($D$1:$L$1,MATCH(MIN(D84:L84),D84:L84,0)))</f>
        <v/>
      </c>
      <c r="R84" s="8" t="n">
        <v>322.97</v>
      </c>
      <c r="S84" s="10" t="n">
        <v>3</v>
      </c>
    </row>
    <row r="85">
      <c r="A85" s="7" t="inlineStr">
        <is>
          <t>MAT-02-019</t>
        </is>
      </c>
      <c r="B85" s="4" t="inlineStr">
        <is>
          <t>Adhesivo cementicio C1 gris, funda 25 kg</t>
        </is>
      </c>
      <c r="C85" s="7" t="inlineStr">
        <is>
          <t>funda</t>
        </is>
      </c>
      <c r="D85" s="8" t="n"/>
      <c r="E85" s="8" t="n"/>
      <c r="F85" s="8" t="n"/>
      <c r="G85" s="8" t="n">
        <v>885</v>
      </c>
      <c r="H85" s="8" t="n"/>
      <c r="I85" s="8" t="n"/>
      <c r="J85" s="8" t="n"/>
      <c r="K85" s="8" t="n"/>
      <c r="L85" s="8" t="n"/>
      <c r="M85" s="8">
        <f>IF(COUNT(D85:L85)=0,"",MIN(D85:L85))</f>
        <v/>
      </c>
      <c r="N85" s="8">
        <f>IF(COUNT(D85:L85)=0,"",MEDIAN(D85:L85))</f>
        <v/>
      </c>
      <c r="O85" s="8">
        <f>IF(COUNT(D85:L85)=0,"",MAX(D85:L85))</f>
        <v/>
      </c>
      <c r="P85" s="9">
        <f>IF(OR(M85="",M85=0),"",(O85-M85)/M85)</f>
        <v/>
      </c>
      <c r="Q85" s="7">
        <f>IF(COUNT(D85:L85)=0,"",INDEX($D$1:$L$1,MATCH(MIN(D85:L85),D85:L85,0)))</f>
        <v/>
      </c>
      <c r="R85" s="8" t="n">
        <v>885</v>
      </c>
      <c r="S85" s="10" t="n">
        <v>1</v>
      </c>
    </row>
    <row r="86">
      <c r="A86" s="7" t="inlineStr">
        <is>
          <t>MAT-02-020</t>
        </is>
      </c>
      <c r="B86" s="4" t="inlineStr">
        <is>
          <t>Adhesivo cementicio C2 blanco, funda 20 kg</t>
        </is>
      </c>
      <c r="C86" s="7" t="inlineStr">
        <is>
          <t>funda</t>
        </is>
      </c>
      <c r="D86" s="8" t="n">
        <v>1403.29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>
        <f>IF(COUNT(D86:L86)=0,"",MIN(D86:L86))</f>
        <v/>
      </c>
      <c r="N86" s="8">
        <f>IF(COUNT(D86:L86)=0,"",MEDIAN(D86:L86))</f>
        <v/>
      </c>
      <c r="O86" s="8">
        <f>IF(COUNT(D86:L86)=0,"",MAX(D86:L86))</f>
        <v/>
      </c>
      <c r="P86" s="9">
        <f>IF(OR(M86="",M86=0),"",(O86-M86)/M86)</f>
        <v/>
      </c>
      <c r="Q86" s="7">
        <f>IF(COUNT(D86:L86)=0,"",INDEX($D$1:$L$1,MATCH(MIN(D86:L86),D86:L86,0)))</f>
        <v/>
      </c>
      <c r="R86" s="8" t="n">
        <v>1403.29</v>
      </c>
      <c r="S86" s="10" t="n">
        <v>1</v>
      </c>
    </row>
    <row r="87">
      <c r="A87" s="7" t="inlineStr">
        <is>
          <t>MAT-02-021</t>
        </is>
      </c>
      <c r="B87" s="4" t="inlineStr">
        <is>
          <t>Adhesivo cementicio C2 blanco, funda 20.9 kg</t>
        </is>
      </c>
      <c r="C87" s="7" t="inlineStr">
        <is>
          <t>funda</t>
        </is>
      </c>
      <c r="D87" s="8" t="n"/>
      <c r="E87" s="8" t="n"/>
      <c r="F87" s="8" t="n"/>
      <c r="G87" s="8" t="n">
        <v>4784.99</v>
      </c>
      <c r="H87" s="8" t="n"/>
      <c r="I87" s="8" t="n"/>
      <c r="J87" s="8" t="n"/>
      <c r="K87" s="8" t="n"/>
      <c r="L87" s="8" t="n"/>
      <c r="M87" s="8">
        <f>IF(COUNT(D87:L87)=0,"",MIN(D87:L87))</f>
        <v/>
      </c>
      <c r="N87" s="8">
        <f>IF(COUNT(D87:L87)=0,"",MEDIAN(D87:L87))</f>
        <v/>
      </c>
      <c r="O87" s="8">
        <f>IF(COUNT(D87:L87)=0,"",MAX(D87:L87))</f>
        <v/>
      </c>
      <c r="P87" s="9">
        <f>IF(OR(M87="",M87=0),"",(O87-M87)/M87)</f>
        <v/>
      </c>
      <c r="Q87" s="7">
        <f>IF(COUNT(D87:L87)=0,"",INDEX($D$1:$L$1,MATCH(MIN(D87:L87),D87:L87,0)))</f>
        <v/>
      </c>
      <c r="R87" s="8" t="n">
        <v>4784.99</v>
      </c>
      <c r="S87" s="10" t="n">
        <v>1</v>
      </c>
    </row>
    <row r="88">
      <c r="A88" s="7" t="inlineStr">
        <is>
          <t>MAT-02-022</t>
        </is>
      </c>
      <c r="B88" s="4" t="inlineStr">
        <is>
          <t>Adhesivo cementicio C2 blanco, funda 22.7 kg</t>
        </is>
      </c>
      <c r="C88" s="7" t="inlineStr">
        <is>
          <t>funda</t>
        </is>
      </c>
      <c r="D88" s="8" t="n"/>
      <c r="E88" s="8" t="n"/>
      <c r="F88" s="8" t="n"/>
      <c r="G88" s="8" t="n">
        <v>2265</v>
      </c>
      <c r="H88" s="8" t="n"/>
      <c r="I88" s="8" t="n"/>
      <c r="J88" s="8" t="n"/>
      <c r="K88" s="8" t="n"/>
      <c r="L88" s="8" t="n"/>
      <c r="M88" s="8">
        <f>IF(COUNT(D88:L88)=0,"",MIN(D88:L88))</f>
        <v/>
      </c>
      <c r="N88" s="8">
        <f>IF(COUNT(D88:L88)=0,"",MEDIAN(D88:L88))</f>
        <v/>
      </c>
      <c r="O88" s="8">
        <f>IF(COUNT(D88:L88)=0,"",MAX(D88:L88))</f>
        <v/>
      </c>
      <c r="P88" s="9">
        <f>IF(OR(M88="",M88=0),"",(O88-M88)/M88)</f>
        <v/>
      </c>
      <c r="Q88" s="7">
        <f>IF(COUNT(D88:L88)=0,"",INDEX($D$1:$L$1,MATCH(MIN(D88:L88),D88:L88,0)))</f>
        <v/>
      </c>
      <c r="R88" s="8" t="n">
        <v>2490</v>
      </c>
      <c r="S88" s="10" t="n">
        <v>1</v>
      </c>
    </row>
    <row r="89">
      <c r="A89" s="7" t="inlineStr">
        <is>
          <t>MAT-02-023</t>
        </is>
      </c>
      <c r="B89" s="4" t="inlineStr">
        <is>
          <t>Adhesivo cementicio C2 blanco, funda 25 kg</t>
        </is>
      </c>
      <c r="C89" s="7" t="inlineStr">
        <is>
          <t>funda</t>
        </is>
      </c>
      <c r="D89" s="8" t="n"/>
      <c r="E89" s="8" t="n"/>
      <c r="F89" s="8" t="n"/>
      <c r="G89" s="8" t="n">
        <v>1320</v>
      </c>
      <c r="H89" s="8" t="n"/>
      <c r="I89" s="8" t="n"/>
      <c r="J89" s="8" t="n"/>
      <c r="K89" s="8" t="n"/>
      <c r="L89" s="8" t="n"/>
      <c r="M89" s="8">
        <f>IF(COUNT(D89:L89)=0,"",MIN(D89:L89))</f>
        <v/>
      </c>
      <c r="N89" s="8">
        <f>IF(COUNT(D89:L89)=0,"",MEDIAN(D89:L89))</f>
        <v/>
      </c>
      <c r="O89" s="8">
        <f>IF(COUNT(D89:L89)=0,"",MAX(D89:L89))</f>
        <v/>
      </c>
      <c r="P89" s="9">
        <f>IF(OR(M89="",M89=0),"",(O89-M89)/M89)</f>
        <v/>
      </c>
      <c r="Q89" s="7">
        <f>IF(COUNT(D89:L89)=0,"",INDEX($D$1:$L$1,MATCH(MIN(D89:L89),D89:L89,0)))</f>
        <v/>
      </c>
      <c r="R89" s="8" t="n">
        <v>1497.5</v>
      </c>
      <c r="S89" s="10" t="n">
        <v>1</v>
      </c>
    </row>
    <row r="90">
      <c r="A90" s="7" t="inlineStr">
        <is>
          <t>MAT-02-024</t>
        </is>
      </c>
      <c r="B90" s="4" t="inlineStr">
        <is>
          <t>Adhesivo cementicio C2 gris, funda 22.7 kg</t>
        </is>
      </c>
      <c r="C90" s="7" t="inlineStr">
        <is>
          <t>funda</t>
        </is>
      </c>
      <c r="D90" s="8" t="n">
        <v>662.4400000000001</v>
      </c>
      <c r="E90" s="8" t="n"/>
      <c r="F90" s="8" t="n"/>
      <c r="G90" s="8" t="n">
        <v>1829</v>
      </c>
      <c r="H90" s="8" t="n"/>
      <c r="I90" s="8" t="n"/>
      <c r="J90" s="8" t="n"/>
      <c r="K90" s="8" t="n"/>
      <c r="L90" s="8" t="n"/>
      <c r="M90" s="8">
        <f>IF(COUNT(D90:L90)=0,"",MIN(D90:L90))</f>
        <v/>
      </c>
      <c r="N90" s="8">
        <f>IF(COUNT(D90:L90)=0,"",MEDIAN(D90:L90))</f>
        <v/>
      </c>
      <c r="O90" s="8">
        <f>IF(COUNT(D90:L90)=0,"",MAX(D90:L90))</f>
        <v/>
      </c>
      <c r="P90" s="9">
        <f>IF(OR(M90="",M90=0),"",(O90-M90)/M90)</f>
        <v/>
      </c>
      <c r="Q90" s="7">
        <f>IF(COUNT(D90:L90)=0,"",INDEX($D$1:$L$1,MATCH(MIN(D90:L90),D90:L90,0)))</f>
        <v/>
      </c>
      <c r="R90" s="8" t="n">
        <v>1245.72</v>
      </c>
      <c r="S90" s="10" t="n">
        <v>2</v>
      </c>
    </row>
    <row r="91">
      <c r="A91" s="7" t="inlineStr">
        <is>
          <t>MAT-02-025</t>
        </is>
      </c>
      <c r="B91" s="4" t="inlineStr">
        <is>
          <t>Adhesivo en pasta para cerámica, cuarto de galón</t>
        </is>
      </c>
      <c r="C91" s="7" t="inlineStr">
        <is>
          <t>unidad</t>
        </is>
      </c>
      <c r="D91" s="8" t="n">
        <v>502.13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>
        <f>IF(COUNT(D91:L91)=0,"",MIN(D91:L91))</f>
        <v/>
      </c>
      <c r="N91" s="8">
        <f>IF(COUNT(D91:L91)=0,"",MEDIAN(D91:L91))</f>
        <v/>
      </c>
      <c r="O91" s="8">
        <f>IF(COUNT(D91:L91)=0,"",MAX(D91:L91))</f>
        <v/>
      </c>
      <c r="P91" s="9">
        <f>IF(OR(M91="",M91=0),"",(O91-M91)/M91)</f>
        <v/>
      </c>
      <c r="Q91" s="7">
        <f>IF(COUNT(D91:L91)=0,"",INDEX($D$1:$L$1,MATCH(MIN(D91:L91),D91:L91,0)))</f>
        <v/>
      </c>
      <c r="R91" s="8" t="n">
        <v>581.85</v>
      </c>
      <c r="S91" s="10" t="n">
        <v>1</v>
      </c>
    </row>
    <row r="92">
      <c r="A92" s="7" t="inlineStr">
        <is>
          <t>MAT-02-026</t>
        </is>
      </c>
      <c r="B92" s="4" t="inlineStr">
        <is>
          <t>Adhesivo en pasta para cerámica, galón</t>
        </is>
      </c>
      <c r="C92" s="7" t="inlineStr">
        <is>
          <t>unidad</t>
        </is>
      </c>
      <c r="D92" s="8" t="n">
        <v>1914.51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>
        <f>IF(COUNT(D92:L92)=0,"",MIN(D92:L92))</f>
        <v/>
      </c>
      <c r="N92" s="8">
        <f>IF(COUNT(D92:L92)=0,"",MEDIAN(D92:L92))</f>
        <v/>
      </c>
      <c r="O92" s="8">
        <f>IF(COUNT(D92:L92)=0,"",MAX(D92:L92))</f>
        <v/>
      </c>
      <c r="P92" s="9">
        <f>IF(OR(M92="",M92=0),"",(O92-M92)/M92)</f>
        <v/>
      </c>
      <c r="Q92" s="7">
        <f>IF(COUNT(D92:L92)=0,"",INDEX($D$1:$L$1,MATCH(MIN(D92:L92),D92:L92,0)))</f>
        <v/>
      </c>
      <c r="R92" s="8" t="n">
        <v>1926.69</v>
      </c>
      <c r="S92" s="10" t="n">
        <v>1</v>
      </c>
    </row>
    <row r="93">
      <c r="A93" s="7" t="inlineStr">
        <is>
          <t>MAT-02-027</t>
        </is>
      </c>
      <c r="B93" s="4" t="inlineStr">
        <is>
          <t>Derretido para cerámica, funda 11.3 kg</t>
        </is>
      </c>
      <c r="C93" s="7" t="inlineStr">
        <is>
          <t>funda</t>
        </is>
      </c>
      <c r="D93" s="8" t="n"/>
      <c r="E93" s="8" t="n"/>
      <c r="F93" s="8" t="n"/>
      <c r="G93" s="8" t="n">
        <v>1475</v>
      </c>
      <c r="H93" s="8" t="n"/>
      <c r="I93" s="8" t="n"/>
      <c r="J93" s="8" t="n"/>
      <c r="K93" s="8" t="n"/>
      <c r="L93" s="8" t="n"/>
      <c r="M93" s="8">
        <f>IF(COUNT(D93:L93)=0,"",MIN(D93:L93))</f>
        <v/>
      </c>
      <c r="N93" s="8">
        <f>IF(COUNT(D93:L93)=0,"",MEDIAN(D93:L93))</f>
        <v/>
      </c>
      <c r="O93" s="8">
        <f>IF(COUNT(D93:L93)=0,"",MAX(D93:L93))</f>
        <v/>
      </c>
      <c r="P93" s="9">
        <f>IF(OR(M93="",M93=0),"",(O93-M93)/M93)</f>
        <v/>
      </c>
      <c r="Q93" s="7">
        <f>IF(COUNT(D93:L93)=0,"",INDEX($D$1:$L$1,MATCH(MIN(D93:L93),D93:L93,0)))</f>
        <v/>
      </c>
      <c r="R93" s="8" t="n">
        <v>3100</v>
      </c>
      <c r="S93" s="10" t="n">
        <v>1</v>
      </c>
    </row>
    <row r="94">
      <c r="A94" s="7" t="inlineStr">
        <is>
          <t>MAT-02-028</t>
        </is>
      </c>
      <c r="B94" s="4" t="inlineStr">
        <is>
          <t>Derretido para cerámica, funda 22.7 kg</t>
        </is>
      </c>
      <c r="C94" s="7" t="inlineStr">
        <is>
          <t>funda</t>
        </is>
      </c>
      <c r="D94" s="8" t="n"/>
      <c r="E94" s="8" t="n"/>
      <c r="F94" s="8" t="n"/>
      <c r="G94" s="8" t="n">
        <v>1280.01</v>
      </c>
      <c r="H94" s="8" t="n"/>
      <c r="I94" s="8" t="n"/>
      <c r="J94" s="8" t="n"/>
      <c r="K94" s="8" t="n"/>
      <c r="L94" s="8" t="n"/>
      <c r="M94" s="8">
        <f>IF(COUNT(D94:L94)=0,"",MIN(D94:L94))</f>
        <v/>
      </c>
      <c r="N94" s="8">
        <f>IF(COUNT(D94:L94)=0,"",MEDIAN(D94:L94))</f>
        <v/>
      </c>
      <c r="O94" s="8">
        <f>IF(COUNT(D94:L94)=0,"",MAX(D94:L94))</f>
        <v/>
      </c>
      <c r="P94" s="9">
        <f>IF(OR(M94="",M94=0),"",(O94-M94)/M94)</f>
        <v/>
      </c>
      <c r="Q94" s="7">
        <f>IF(COUNT(D94:L94)=0,"",INDEX($D$1:$L$1,MATCH(MIN(D94:L94),D94:L94,0)))</f>
        <v/>
      </c>
      <c r="R94" s="8" t="n">
        <v>1365.01</v>
      </c>
      <c r="S94" s="10" t="n">
        <v>1</v>
      </c>
    </row>
    <row r="95">
      <c r="A95" s="7" t="inlineStr">
        <is>
          <t>MAT-02-029</t>
        </is>
      </c>
      <c r="B95" s="4" t="inlineStr">
        <is>
          <t>Derretido para cerámica, funda 4.5 kg</t>
        </is>
      </c>
      <c r="C95" s="7" t="inlineStr">
        <is>
          <t>funda</t>
        </is>
      </c>
      <c r="D95" s="8" t="n"/>
      <c r="E95" s="8" t="n"/>
      <c r="F95" s="8" t="n"/>
      <c r="G95" s="8" t="n">
        <v>1200</v>
      </c>
      <c r="H95" s="8" t="n"/>
      <c r="I95" s="8" t="n"/>
      <c r="J95" s="8" t="n"/>
      <c r="K95" s="8" t="n"/>
      <c r="L95" s="8" t="n"/>
      <c r="M95" s="8">
        <f>IF(COUNT(D95:L95)=0,"",MIN(D95:L95))</f>
        <v/>
      </c>
      <c r="N95" s="8">
        <f>IF(COUNT(D95:L95)=0,"",MEDIAN(D95:L95))</f>
        <v/>
      </c>
      <c r="O95" s="8">
        <f>IF(COUNT(D95:L95)=0,"",MAX(D95:L95))</f>
        <v/>
      </c>
      <c r="P95" s="9">
        <f>IF(OR(M95="",M95=0),"",(O95-M95)/M95)</f>
        <v/>
      </c>
      <c r="Q95" s="7">
        <f>IF(COUNT(D95:L95)=0,"",INDEX($D$1:$L$1,MATCH(MIN(D95:L95),D95:L95,0)))</f>
        <v/>
      </c>
      <c r="R95" s="8" t="n">
        <v>1435</v>
      </c>
      <c r="S95" s="10" t="n">
        <v>1</v>
      </c>
    </row>
    <row r="96">
      <c r="A96" s="7" t="inlineStr">
        <is>
          <t>MAT-02-030</t>
        </is>
      </c>
      <c r="B96" s="4" t="inlineStr">
        <is>
          <t>Estuco blanco, funda 14 kg</t>
        </is>
      </c>
      <c r="C96" s="7" t="inlineStr">
        <is>
          <t>funda</t>
        </is>
      </c>
      <c r="D96" s="8" t="n">
        <v>550.23</v>
      </c>
      <c r="E96" s="8" t="n"/>
      <c r="F96" s="8" t="n"/>
      <c r="G96" s="8" t="n"/>
      <c r="H96" s="8" t="n">
        <v>630</v>
      </c>
      <c r="I96" s="8" t="n"/>
      <c r="J96" s="8" t="n"/>
      <c r="K96" s="8" t="n"/>
      <c r="L96" s="8" t="n"/>
      <c r="M96" s="8">
        <f>IF(COUNT(D96:L96)=0,"",MIN(D96:L96))</f>
        <v/>
      </c>
      <c r="N96" s="8">
        <f>IF(COUNT(D96:L96)=0,"",MEDIAN(D96:L96))</f>
        <v/>
      </c>
      <c r="O96" s="8">
        <f>IF(COUNT(D96:L96)=0,"",MAX(D96:L96))</f>
        <v/>
      </c>
      <c r="P96" s="9">
        <f>IF(OR(M96="",M96=0),"",(O96-M96)/M96)</f>
        <v/>
      </c>
      <c r="Q96" s="7">
        <f>IF(COUNT(D96:L96)=0,"",INDEX($D$1:$L$1,MATCH(MIN(D96:L96),D96:L96,0)))</f>
        <v/>
      </c>
      <c r="R96" s="8" t="n">
        <v>590.12</v>
      </c>
      <c r="S96" s="10" t="n">
        <v>2</v>
      </c>
    </row>
    <row r="97">
      <c r="A97" s="7" t="inlineStr">
        <is>
          <t>MAT-02-031</t>
        </is>
      </c>
      <c r="B97" s="4" t="inlineStr">
        <is>
          <t>Estuco blanco, funda 15.9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/>
      <c r="I97" s="8" t="n"/>
      <c r="J97" s="8" t="n">
        <v>745</v>
      </c>
      <c r="K97" s="8" t="n"/>
      <c r="L97" s="8" t="n"/>
      <c r="M97" s="8">
        <f>IF(COUNT(D97:L97)=0,"",MIN(D97:L97))</f>
        <v/>
      </c>
      <c r="N97" s="8">
        <f>IF(COUNT(D97:L97)=0,"",MEDIAN(D97:L97))</f>
        <v/>
      </c>
      <c r="O97" s="8">
        <f>IF(COUNT(D97:L97)=0,"",MAX(D97:L97))</f>
        <v/>
      </c>
      <c r="P97" s="9">
        <f>IF(OR(M97="",M97=0),"",(O97-M97)/M97)</f>
        <v/>
      </c>
      <c r="Q97" s="7">
        <f>IF(COUNT(D97:L97)=0,"",INDEX($D$1:$L$1,MATCH(MIN(D97:L97),D97:L97,0)))</f>
        <v/>
      </c>
      <c r="R97" s="8" t="n">
        <v>745</v>
      </c>
      <c r="S97" s="10" t="n">
        <v>1</v>
      </c>
    </row>
    <row r="98">
      <c r="A98" s="7" t="inlineStr">
        <is>
          <t>MAT-02-032</t>
        </is>
      </c>
      <c r="B98" s="4" t="inlineStr">
        <is>
          <t>Estuco gris, funda 14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435</v>
      </c>
      <c r="I98" s="8" t="n"/>
      <c r="J98" s="8" t="n"/>
      <c r="K98" s="8" t="n"/>
      <c r="L98" s="8" t="n"/>
      <c r="M98" s="8">
        <f>IF(COUNT(D98:L98)=0,"",MIN(D98:L98))</f>
        <v/>
      </c>
      <c r="N98" s="8">
        <f>IF(COUNT(D98:L98)=0,"",MEDIAN(D98:L98))</f>
        <v/>
      </c>
      <c r="O98" s="8">
        <f>IF(COUNT(D98:L98)=0,"",MAX(D98:L98))</f>
        <v/>
      </c>
      <c r="P98" s="9">
        <f>IF(OR(M98="",M98=0),"",(O98-M98)/M98)</f>
        <v/>
      </c>
      <c r="Q98" s="7">
        <f>IF(COUNT(D98:L98)=0,"",INDEX($D$1:$L$1,MATCH(MIN(D98:L98),D98:L98,0)))</f>
        <v/>
      </c>
      <c r="R98" s="8" t="n">
        <v>435</v>
      </c>
      <c r="S98" s="10" t="n">
        <v>1</v>
      </c>
    </row>
    <row r="99">
      <c r="A99" s="7" t="inlineStr">
        <is>
          <t>MAT-02-033</t>
        </is>
      </c>
      <c r="B99" s="4" t="inlineStr">
        <is>
          <t>Yeso en funda de 22.7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1720</v>
      </c>
      <c r="I99" s="8" t="n"/>
      <c r="J99" s="8" t="n"/>
      <c r="K99" s="8" t="n"/>
      <c r="L99" s="8" t="n"/>
      <c r="M99" s="8">
        <f>IF(COUNT(D99:L99)=0,"",MIN(D99:L99))</f>
        <v/>
      </c>
      <c r="N99" s="8">
        <f>IF(COUNT(D99:L99)=0,"",MEDIAN(D99:L99))</f>
        <v/>
      </c>
      <c r="O99" s="8">
        <f>IF(COUNT(D99:L99)=0,"",MAX(D99:L99))</f>
        <v/>
      </c>
      <c r="P99" s="9">
        <f>IF(OR(M99="",M99=0),"",(O99-M99)/M99)</f>
        <v/>
      </c>
      <c r="Q99" s="7">
        <f>IF(COUNT(D99:L99)=0,"",INDEX($D$1:$L$1,MATCH(MIN(D99:L99),D99:L99,0)))</f>
        <v/>
      </c>
      <c r="R99" s="8" t="n">
        <v>1720</v>
      </c>
      <c r="S99" s="10" t="n">
        <v>1</v>
      </c>
    </row>
    <row r="100">
      <c r="A100" s="7" t="inlineStr">
        <is>
          <t>MAT-02-034</t>
        </is>
      </c>
      <c r="B100" s="4" t="inlineStr">
        <is>
          <t>Yeso en funda de 27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/>
      <c r="I100" s="8" t="n"/>
      <c r="J100" s="8" t="n">
        <v>330</v>
      </c>
      <c r="K100" s="8" t="n"/>
      <c r="L100" s="8" t="n"/>
      <c r="M100" s="8">
        <f>IF(COUNT(D100:L100)=0,"",MIN(D100:L100))</f>
        <v/>
      </c>
      <c r="N100" s="8">
        <f>IF(COUNT(D100:L100)=0,"",MEDIAN(D100:L100))</f>
        <v/>
      </c>
      <c r="O100" s="8">
        <f>IF(COUNT(D100:L100)=0,"",MAX(D100:L100))</f>
        <v/>
      </c>
      <c r="P100" s="9">
        <f>IF(OR(M100="",M100=0),"",(O100-M100)/M100)</f>
        <v/>
      </c>
      <c r="Q100" s="7">
        <f>IF(COUNT(D100:L100)=0,"",INDEX($D$1:$L$1,MATCH(MIN(D100:L100),D100:L100,0)))</f>
        <v/>
      </c>
      <c r="R100" s="8" t="n">
        <v>330</v>
      </c>
      <c r="S100" s="10" t="n">
        <v>1</v>
      </c>
    </row>
    <row r="101">
      <c r="A101" s="7" t="inlineStr">
        <is>
          <t>MAT-02-035</t>
        </is>
      </c>
      <c r="B101" s="4" t="inlineStr">
        <is>
          <t>Hormigón seco premezclado 180 kg/cm², funda 66 lb</t>
        </is>
      </c>
      <c r="C101" s="7" t="inlineStr">
        <is>
          <t>funda</t>
        </is>
      </c>
      <c r="D101" s="8" t="n">
        <v>245.85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>
        <f>IF(COUNT(D101:L101)=0,"",MIN(D101:L101))</f>
        <v/>
      </c>
      <c r="N101" s="8">
        <f>IF(COUNT(D101:L101)=0,"",MEDIAN(D101:L101))</f>
        <v/>
      </c>
      <c r="O101" s="8">
        <f>IF(COUNT(D101:L101)=0,"",MAX(D101:L101))</f>
        <v/>
      </c>
      <c r="P101" s="9">
        <f>IF(OR(M101="",M101=0),"",(O101-M101)/M101)</f>
        <v/>
      </c>
      <c r="Q101" s="7">
        <f>IF(COUNT(D101:L101)=0,"",INDEX($D$1:$L$1,MATCH(MIN(D101:L101),D101:L101,0)))</f>
        <v/>
      </c>
      <c r="R101" s="8" t="n">
        <v>245.85</v>
      </c>
      <c r="S101" s="10" t="n">
        <v>1</v>
      </c>
    </row>
    <row r="102">
      <c r="A102" s="7" t="inlineStr">
        <is>
          <t>MAT-02-036</t>
        </is>
      </c>
      <c r="B102" s="4" t="inlineStr">
        <is>
          <t>Hormigón seco premezclado 210 kg/cm², funda 66 lb</t>
        </is>
      </c>
      <c r="C102" s="7" t="inlineStr">
        <is>
          <t>funda</t>
        </is>
      </c>
      <c r="D102" s="8" t="n">
        <v>253.1</v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>
        <f>IF(COUNT(D102:L102)=0,"",MIN(D102:L102))</f>
        <v/>
      </c>
      <c r="N102" s="8">
        <f>IF(COUNT(D102:L102)=0,"",MEDIAN(D102:L102))</f>
        <v/>
      </c>
      <c r="O102" s="8">
        <f>IF(COUNT(D102:L102)=0,"",MAX(D102:L102))</f>
        <v/>
      </c>
      <c r="P102" s="9">
        <f>IF(OR(M102="",M102=0),"",(O102-M102)/M102)</f>
        <v/>
      </c>
      <c r="Q102" s="7">
        <f>IF(COUNT(D102:L102)=0,"",INDEX($D$1:$L$1,MATCH(MIN(D102:L102),D102:L102,0)))</f>
        <v/>
      </c>
      <c r="R102" s="8" t="n">
        <v>253.1</v>
      </c>
      <c r="S102" s="10" t="n">
        <v>1</v>
      </c>
    </row>
    <row r="103">
      <c r="A103" s="7" t="inlineStr">
        <is>
          <t>MAT-02-037</t>
        </is>
      </c>
      <c r="B103" s="4" t="inlineStr">
        <is>
          <t>Aditivo para hormigón, 1 galón</t>
        </is>
      </c>
      <c r="C103" s="7" t="inlineStr">
        <is>
          <t>unidad</t>
        </is>
      </c>
      <c r="D103" s="8" t="n"/>
      <c r="E103" s="8" t="n"/>
      <c r="F103" s="8" t="n"/>
      <c r="G103" s="8" t="n"/>
      <c r="H103" s="8" t="n"/>
      <c r="I103" s="8" t="n">
        <v>1460</v>
      </c>
      <c r="J103" s="8" t="n"/>
      <c r="K103" s="8" t="n"/>
      <c r="L103" s="8" t="n"/>
      <c r="M103" s="8">
        <f>IF(COUNT(D103:L103)=0,"",MIN(D103:L103))</f>
        <v/>
      </c>
      <c r="N103" s="8">
        <f>IF(COUNT(D103:L103)=0,"",MEDIAN(D103:L103))</f>
        <v/>
      </c>
      <c r="O103" s="8">
        <f>IF(COUNT(D103:L103)=0,"",MAX(D103:L103))</f>
        <v/>
      </c>
      <c r="P103" s="9">
        <f>IF(OR(M103="",M103=0),"",(O103-M103)/M103)</f>
        <v/>
      </c>
      <c r="Q103" s="7">
        <f>IF(COUNT(D103:L103)=0,"",INDEX($D$1:$L$1,MATCH(MIN(D103:L103),D103:L103,0)))</f>
        <v/>
      </c>
      <c r="R103" s="8" t="n">
        <v>1460</v>
      </c>
      <c r="S103" s="10" t="n">
        <v>1</v>
      </c>
    </row>
    <row r="104">
      <c r="A104" s="7" t="inlineStr">
        <is>
          <t>MAT-02-038</t>
        </is>
      </c>
      <c r="B104" s="4" t="inlineStr">
        <is>
          <t>Aditivo para hormigón, 5 galón</t>
        </is>
      </c>
      <c r="C104" s="7" t="inlineStr">
        <is>
          <t>unidad</t>
        </is>
      </c>
      <c r="D104" s="8" t="n"/>
      <c r="E104" s="8" t="n"/>
      <c r="F104" s="8" t="n"/>
      <c r="G104" s="8" t="n"/>
      <c r="H104" s="8" t="n"/>
      <c r="I104" s="8" t="n">
        <v>6055</v>
      </c>
      <c r="J104" s="8" t="n"/>
      <c r="K104" s="8" t="n"/>
      <c r="L104" s="8" t="n"/>
      <c r="M104" s="8">
        <f>IF(COUNT(D104:L104)=0,"",MIN(D104:L104))</f>
        <v/>
      </c>
      <c r="N104" s="8">
        <f>IF(COUNT(D104:L104)=0,"",MEDIAN(D104:L104))</f>
        <v/>
      </c>
      <c r="O104" s="8">
        <f>IF(COUNT(D104:L104)=0,"",MAX(D104:L104))</f>
        <v/>
      </c>
      <c r="P104" s="9">
        <f>IF(OR(M104="",M104=0),"",(O104-M104)/M104)</f>
        <v/>
      </c>
      <c r="Q104" s="7">
        <f>IF(COUNT(D104:L104)=0,"",INDEX($D$1:$L$1,MATCH(MIN(D104:L104),D104:L104,0)))</f>
        <v/>
      </c>
      <c r="R104" s="8" t="n">
        <v>6055</v>
      </c>
      <c r="S104" s="10" t="n">
        <v>1</v>
      </c>
    </row>
    <row r="105">
      <c r="A105" s="7" t="inlineStr">
        <is>
          <t>MAT-02-039</t>
        </is>
      </c>
      <c r="B105" s="4" t="inlineStr">
        <is>
          <t>Aditivo para hormigón fibra de refuerzo, 0.6 kg</t>
        </is>
      </c>
      <c r="C105" s="7" t="inlineStr">
        <is>
          <t>unidad</t>
        </is>
      </c>
      <c r="D105" s="8" t="n"/>
      <c r="E105" s="8" t="n"/>
      <c r="F105" s="8" t="n"/>
      <c r="G105" s="8" t="n"/>
      <c r="H105" s="8" t="n"/>
      <c r="I105" s="8" t="n">
        <v>454.75</v>
      </c>
      <c r="J105" s="8" t="n"/>
      <c r="K105" s="8" t="n"/>
      <c r="L105" s="8" t="n"/>
      <c r="M105" s="8">
        <f>IF(COUNT(D105:L105)=0,"",MIN(D105:L105))</f>
        <v/>
      </c>
      <c r="N105" s="8">
        <f>IF(COUNT(D105:L105)=0,"",MEDIAN(D105:L105))</f>
        <v/>
      </c>
      <c r="O105" s="8">
        <f>IF(COUNT(D105:L105)=0,"",MAX(D105:L105))</f>
        <v/>
      </c>
      <c r="P105" s="9">
        <f>IF(OR(M105="",M105=0),"",(O105-M105)/M105)</f>
        <v/>
      </c>
      <c r="Q105" s="7">
        <f>IF(COUNT(D105:L105)=0,"",INDEX($D$1:$L$1,MATCH(MIN(D105:L105),D105:L105,0)))</f>
        <v/>
      </c>
      <c r="R105" s="8" t="n">
        <v>454.75</v>
      </c>
      <c r="S105" s="10" t="n">
        <v>1</v>
      </c>
    </row>
    <row r="106">
      <c r="A106" s="7" t="inlineStr">
        <is>
          <t>MAT-02-040</t>
        </is>
      </c>
      <c r="B106" s="4" t="inlineStr">
        <is>
          <t>Aditivo para hormigón impermeabilizante, 1/2 galón</t>
        </is>
      </c>
      <c r="C106" s="7" t="inlineStr">
        <is>
          <t>unidad</t>
        </is>
      </c>
      <c r="D106" s="8" t="n"/>
      <c r="E106" s="8" t="n"/>
      <c r="F106" s="8" t="n"/>
      <c r="G106" s="8" t="n"/>
      <c r="H106" s="8" t="n"/>
      <c r="I106" s="8" t="n">
        <v>465</v>
      </c>
      <c r="J106" s="8" t="n"/>
      <c r="K106" s="8" t="n"/>
      <c r="L106" s="8" t="n"/>
      <c r="M106" s="8">
        <f>IF(COUNT(D106:L106)=0,"",MIN(D106:L106))</f>
        <v/>
      </c>
      <c r="N106" s="8">
        <f>IF(COUNT(D106:L106)=0,"",MEDIAN(D106:L106))</f>
        <v/>
      </c>
      <c r="O106" s="8">
        <f>IF(COUNT(D106:L106)=0,"",MAX(D106:L106))</f>
        <v/>
      </c>
      <c r="P106" s="9">
        <f>IF(OR(M106="",M106=0),"",(O106-M106)/M106)</f>
        <v/>
      </c>
      <c r="Q106" s="7">
        <f>IF(COUNT(D106:L106)=0,"",INDEX($D$1:$L$1,MATCH(MIN(D106:L106),D106:L106,0)))</f>
        <v/>
      </c>
      <c r="R106" s="8" t="n">
        <v>535</v>
      </c>
      <c r="S106" s="10" t="n">
        <v>1</v>
      </c>
    </row>
    <row r="107">
      <c r="A107" s="7" t="inlineStr">
        <is>
          <t>MAT-02-041</t>
        </is>
      </c>
      <c r="B107" s="4" t="inlineStr">
        <is>
          <t>Aditivo para hormigón impermeabilizante, 1/4 galón</t>
        </is>
      </c>
      <c r="C107" s="7" t="inlineStr">
        <is>
          <t>unidad</t>
        </is>
      </c>
      <c r="D107" s="8" t="n"/>
      <c r="E107" s="8" t="n"/>
      <c r="F107" s="8" t="n"/>
      <c r="G107" s="8" t="n"/>
      <c r="H107" s="8" t="n"/>
      <c r="I107" s="8" t="n">
        <v>395</v>
      </c>
      <c r="J107" s="8" t="n"/>
      <c r="K107" s="8" t="n"/>
      <c r="L107" s="8" t="n"/>
      <c r="M107" s="8">
        <f>IF(COUNT(D107:L107)=0,"",MIN(D107:L107))</f>
        <v/>
      </c>
      <c r="N107" s="8">
        <f>IF(COUNT(D107:L107)=0,"",MEDIAN(D107:L107))</f>
        <v/>
      </c>
      <c r="O107" s="8">
        <f>IF(COUNT(D107:L107)=0,"",MAX(D107:L107))</f>
        <v/>
      </c>
      <c r="P107" s="9">
        <f>IF(OR(M107="",M107=0),"",(O107-M107)/M107)</f>
        <v/>
      </c>
      <c r="Q107" s="7">
        <f>IF(COUNT(D107:L107)=0,"",INDEX($D$1:$L$1,MATCH(MIN(D107:L107),D107:L107,0)))</f>
        <v/>
      </c>
      <c r="R107" s="8" t="n">
        <v>395</v>
      </c>
      <c r="S107" s="10" t="n">
        <v>1</v>
      </c>
    </row>
    <row r="108">
      <c r="A108" s="7" t="inlineStr">
        <is>
          <t>MAT-02-042</t>
        </is>
      </c>
      <c r="B108" s="4" t="inlineStr">
        <is>
          <t>Aditivo para hormigón impermeabilizante, 1 galón</t>
        </is>
      </c>
      <c r="C108" s="7" t="inlineStr">
        <is>
          <t>unidad</t>
        </is>
      </c>
      <c r="D108" s="8" t="n"/>
      <c r="E108" s="8" t="n"/>
      <c r="F108" s="8" t="n"/>
      <c r="G108" s="8" t="n"/>
      <c r="H108" s="8" t="n"/>
      <c r="I108" s="8" t="n">
        <v>959</v>
      </c>
      <c r="J108" s="8" t="n"/>
      <c r="K108" s="8" t="n"/>
      <c r="L108" s="8" t="n"/>
      <c r="M108" s="8">
        <f>IF(COUNT(D108:L108)=0,"",MIN(D108:L108))</f>
        <v/>
      </c>
      <c r="N108" s="8">
        <f>IF(COUNT(D108:L108)=0,"",MEDIAN(D108:L108))</f>
        <v/>
      </c>
      <c r="O108" s="8">
        <f>IF(COUNT(D108:L108)=0,"",MAX(D108:L108))</f>
        <v/>
      </c>
      <c r="P108" s="9">
        <f>IF(OR(M108="",M108=0),"",(O108-M108)/M108)</f>
        <v/>
      </c>
      <c r="Q108" s="7">
        <f>IF(COUNT(D108:L108)=0,"",INDEX($D$1:$L$1,MATCH(MIN(D108:L108),D108:L108,0)))</f>
        <v/>
      </c>
      <c r="R108" s="8" t="n">
        <v>1072.5</v>
      </c>
      <c r="S108" s="10" t="n">
        <v>1</v>
      </c>
    </row>
    <row r="109">
      <c r="A109" s="7" t="inlineStr">
        <is>
          <t>MAT-02-043</t>
        </is>
      </c>
      <c r="B109" s="4" t="inlineStr">
        <is>
          <t>Aditivo para hormigón impermeabilizante, 32 oz</t>
        </is>
      </c>
      <c r="C109" s="7" t="inlineStr">
        <is>
          <t>unidad</t>
        </is>
      </c>
      <c r="D109" s="8" t="n"/>
      <c r="E109" s="8" t="n"/>
      <c r="F109" s="8" t="n"/>
      <c r="G109" s="8" t="n"/>
      <c r="H109" s="8" t="n"/>
      <c r="I109" s="8" t="n">
        <v>265</v>
      </c>
      <c r="J109" s="8" t="n"/>
      <c r="K109" s="8" t="n"/>
      <c r="L109" s="8" t="n"/>
      <c r="M109" s="8">
        <f>IF(COUNT(D109:L109)=0,"",MIN(D109:L109))</f>
        <v/>
      </c>
      <c r="N109" s="8">
        <f>IF(COUNT(D109:L109)=0,"",MEDIAN(D109:L109))</f>
        <v/>
      </c>
      <c r="O109" s="8">
        <f>IF(COUNT(D109:L109)=0,"",MAX(D109:L109))</f>
        <v/>
      </c>
      <c r="P109" s="9">
        <f>IF(OR(M109="",M109=0),"",(O109-M109)/M109)</f>
        <v/>
      </c>
      <c r="Q109" s="7">
        <f>IF(COUNT(D109:L109)=0,"",INDEX($D$1:$L$1,MATCH(MIN(D109:L109),D109:L109,0)))</f>
        <v/>
      </c>
      <c r="R109" s="8" t="n">
        <v>285</v>
      </c>
      <c r="S109" s="10" t="n">
        <v>1</v>
      </c>
    </row>
    <row r="110">
      <c r="A110" s="7" t="inlineStr">
        <is>
          <t>MAT-02-044</t>
        </is>
      </c>
      <c r="B110" s="4" t="inlineStr">
        <is>
          <t>Aditivo para hormigón impermeabilizante, 5 galón</t>
        </is>
      </c>
      <c r="C110" s="7" t="inlineStr">
        <is>
          <t>unidad</t>
        </is>
      </c>
      <c r="D110" s="8" t="n"/>
      <c r="E110" s="8" t="n"/>
      <c r="F110" s="8" t="n"/>
      <c r="G110" s="8" t="n"/>
      <c r="H110" s="8" t="n"/>
      <c r="I110" s="8" t="n">
        <v>6300</v>
      </c>
      <c r="J110" s="8" t="n"/>
      <c r="K110" s="8" t="n"/>
      <c r="L110" s="8" t="n"/>
      <c r="M110" s="8">
        <f>IF(COUNT(D110:L110)=0,"",MIN(D110:L110))</f>
        <v/>
      </c>
      <c r="N110" s="8">
        <f>IF(COUNT(D110:L110)=0,"",MEDIAN(D110:L110))</f>
        <v/>
      </c>
      <c r="O110" s="8">
        <f>IF(COUNT(D110:L110)=0,"",MAX(D110:L110))</f>
        <v/>
      </c>
      <c r="P110" s="9">
        <f>IF(OR(M110="",M110=0),"",(O110-M110)/M110)</f>
        <v/>
      </c>
      <c r="Q110" s="7">
        <f>IF(COUNT(D110:L110)=0,"",INDEX($D$1:$L$1,MATCH(MIN(D110:L110),D110:L110,0)))</f>
        <v/>
      </c>
      <c r="R110" s="8" t="n">
        <v>8617.5</v>
      </c>
      <c r="S110" s="10" t="n">
        <v>1</v>
      </c>
    </row>
    <row r="111">
      <c r="A111" s="7" t="inlineStr">
        <is>
          <t>MAT-02-045</t>
        </is>
      </c>
      <c r="B111" s="4" t="inlineStr">
        <is>
          <t>Aditivo para hormigón primer epóxico, 1 kg</t>
        </is>
      </c>
      <c r="C111" s="7" t="inlineStr">
        <is>
          <t>unidad</t>
        </is>
      </c>
      <c r="D111" s="8" t="n"/>
      <c r="E111" s="8" t="n"/>
      <c r="F111" s="8" t="n"/>
      <c r="G111" s="8" t="n"/>
      <c r="H111" s="8" t="n"/>
      <c r="I111" s="8" t="n">
        <v>1610.75</v>
      </c>
      <c r="J111" s="8" t="n"/>
      <c r="K111" s="8" t="n"/>
      <c r="L111" s="8" t="n"/>
      <c r="M111" s="8">
        <f>IF(COUNT(D111:L111)=0,"",MIN(D111:L111))</f>
        <v/>
      </c>
      <c r="N111" s="8">
        <f>IF(COUNT(D111:L111)=0,"",MEDIAN(D111:L111))</f>
        <v/>
      </c>
      <c r="O111" s="8">
        <f>IF(COUNT(D111:L111)=0,"",MAX(D111:L111))</f>
        <v/>
      </c>
      <c r="P111" s="9">
        <f>IF(OR(M111="",M111=0),"",(O111-M111)/M111)</f>
        <v/>
      </c>
      <c r="Q111" s="7">
        <f>IF(COUNT(D111:L111)=0,"",INDEX($D$1:$L$1,MATCH(MIN(D111:L111),D111:L111,0)))</f>
        <v/>
      </c>
      <c r="R111" s="8" t="n">
        <v>1610.75</v>
      </c>
      <c r="S111" s="10" t="n">
        <v>1</v>
      </c>
    </row>
    <row r="112">
      <c r="A112" s="7" t="inlineStr">
        <is>
          <t>MAT-02-046</t>
        </is>
      </c>
      <c r="B112" s="4" t="inlineStr">
        <is>
          <t>Aditivo para hormigón texturizado, 1 galón</t>
        </is>
      </c>
      <c r="C112" s="7" t="inlineStr">
        <is>
          <t>unidad</t>
        </is>
      </c>
      <c r="D112" s="8" t="n"/>
      <c r="E112" s="8" t="n"/>
      <c r="F112" s="8" t="n"/>
      <c r="G112" s="8" t="n"/>
      <c r="H112" s="8" t="n"/>
      <c r="I112" s="8" t="n">
        <v>2005</v>
      </c>
      <c r="J112" s="8" t="n"/>
      <c r="K112" s="8" t="n"/>
      <c r="L112" s="8" t="n"/>
      <c r="M112" s="8">
        <f>IF(COUNT(D112:L112)=0,"",MIN(D112:L112))</f>
        <v/>
      </c>
      <c r="N112" s="8">
        <f>IF(COUNT(D112:L112)=0,"",MEDIAN(D112:L112))</f>
        <v/>
      </c>
      <c r="O112" s="8">
        <f>IF(COUNT(D112:L112)=0,"",MAX(D112:L112))</f>
        <v/>
      </c>
      <c r="P112" s="9">
        <f>IF(OR(M112="",M112=0),"",(O112-M112)/M112)</f>
        <v/>
      </c>
      <c r="Q112" s="7">
        <f>IF(COUNT(D112:L112)=0,"",INDEX($D$1:$L$1,MATCH(MIN(D112:L112),D112:L112,0)))</f>
        <v/>
      </c>
      <c r="R112" s="8" t="n">
        <v>2005</v>
      </c>
      <c r="S112" s="10" t="n">
        <v>1</v>
      </c>
    </row>
    <row r="113">
      <c r="A113" s="7" t="inlineStr">
        <is>
          <t>MAT-02-047</t>
        </is>
      </c>
      <c r="B113" s="4" t="inlineStr">
        <is>
          <t>Cemento autonivelante, 40 lb</t>
        </is>
      </c>
      <c r="C113" s="7" t="inlineStr">
        <is>
          <t>unidad</t>
        </is>
      </c>
      <c r="D113" s="8" t="n"/>
      <c r="E113" s="8" t="n"/>
      <c r="F113" s="8" t="n"/>
      <c r="G113" s="8" t="n"/>
      <c r="H113" s="8" t="n"/>
      <c r="I113" s="8" t="n">
        <v>3952.5</v>
      </c>
      <c r="J113" s="8" t="n"/>
      <c r="K113" s="8" t="n"/>
      <c r="L113" s="8" t="n"/>
      <c r="M113" s="8">
        <f>IF(COUNT(D113:L113)=0,"",MIN(D113:L113))</f>
        <v/>
      </c>
      <c r="N113" s="8">
        <f>IF(COUNT(D113:L113)=0,"",MEDIAN(D113:L113))</f>
        <v/>
      </c>
      <c r="O113" s="8">
        <f>IF(COUNT(D113:L113)=0,"",MAX(D113:L113))</f>
        <v/>
      </c>
      <c r="P113" s="9">
        <f>IF(OR(M113="",M113=0),"",(O113-M113)/M113)</f>
        <v/>
      </c>
      <c r="Q113" s="7">
        <f>IF(COUNT(D113:L113)=0,"",INDEX($D$1:$L$1,MATCH(MIN(D113:L113),D113:L113,0)))</f>
        <v/>
      </c>
      <c r="R113" s="8" t="n">
        <v>3952.5</v>
      </c>
      <c r="S113" s="10" t="n">
        <v>1</v>
      </c>
    </row>
    <row r="114">
      <c r="A114" s="7" t="inlineStr">
        <is>
          <t>MAT-02-048</t>
        </is>
      </c>
      <c r="B114" s="4" t="inlineStr">
        <is>
          <t>Cemento blanco, 10 lb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/>
      <c r="I114" s="8" t="n">
        <v>533.8</v>
      </c>
      <c r="J114" s="8" t="n"/>
      <c r="K114" s="8" t="n"/>
      <c r="L114" s="8" t="n"/>
      <c r="M114" s="8">
        <f>IF(COUNT(D114:L114)=0,"",MIN(D114:L114))</f>
        <v/>
      </c>
      <c r="N114" s="8">
        <f>IF(COUNT(D114:L114)=0,"",MEDIAN(D114:L114))</f>
        <v/>
      </c>
      <c r="O114" s="8">
        <f>IF(COUNT(D114:L114)=0,"",MAX(D114:L114))</f>
        <v/>
      </c>
      <c r="P114" s="9">
        <f>IF(OR(M114="",M114=0),"",(O114-M114)/M114)</f>
        <v/>
      </c>
      <c r="Q114" s="7">
        <f>IF(COUNT(D114:L114)=0,"",INDEX($D$1:$L$1,MATCH(MIN(D114:L114),D114:L114,0)))</f>
        <v/>
      </c>
      <c r="R114" s="8" t="n">
        <v>533.8</v>
      </c>
      <c r="S114" s="10" t="n">
        <v>1</v>
      </c>
    </row>
    <row r="115">
      <c r="A115" s="7" t="inlineStr">
        <is>
          <t>MAT-02-049</t>
        </is>
      </c>
      <c r="B115" s="4" t="inlineStr">
        <is>
          <t>Cemento gris, 10 lb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>
        <v>377.4</v>
      </c>
      <c r="J115" s="8" t="n"/>
      <c r="K115" s="8" t="n"/>
      <c r="L115" s="8" t="n"/>
      <c r="M115" s="8">
        <f>IF(COUNT(D115:L115)=0,"",MIN(D115:L115))</f>
        <v/>
      </c>
      <c r="N115" s="8">
        <f>IF(COUNT(D115:L115)=0,"",MEDIAN(D115:L115))</f>
        <v/>
      </c>
      <c r="O115" s="8">
        <f>IF(COUNT(D115:L115)=0,"",MAX(D115:L115))</f>
        <v/>
      </c>
      <c r="P115" s="9">
        <f>IF(OR(M115="",M115=0),"",(O115-M115)/M115)</f>
        <v/>
      </c>
      <c r="Q115" s="7">
        <f>IF(COUNT(D115:L115)=0,"",INDEX($D$1:$L$1,MATCH(MIN(D115:L115),D115:L115,0)))</f>
        <v/>
      </c>
      <c r="R115" s="8" t="n">
        <v>377.4</v>
      </c>
      <c r="S115" s="10" t="n">
        <v>1</v>
      </c>
    </row>
    <row r="116">
      <c r="A116" s="7" t="inlineStr">
        <is>
          <t>MAT-02-050</t>
        </is>
      </c>
      <c r="B116" s="4" t="inlineStr">
        <is>
          <t>Cemento hidráulico,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>
        <v>949.45</v>
      </c>
      <c r="J116" s="8" t="n"/>
      <c r="K116" s="8" t="n"/>
      <c r="L116" s="8" t="n"/>
      <c r="M116" s="8">
        <f>IF(COUNT(D116:L116)=0,"",MIN(D116:L116))</f>
        <v/>
      </c>
      <c r="N116" s="8">
        <f>IF(COUNT(D116:L116)=0,"",MEDIAN(D116:L116))</f>
        <v/>
      </c>
      <c r="O116" s="8">
        <f>IF(COUNT(D116:L116)=0,"",MAX(D116:L116))</f>
        <v/>
      </c>
      <c r="P116" s="9">
        <f>IF(OR(M116="",M116=0),"",(O116-M116)/M116)</f>
        <v/>
      </c>
      <c r="Q116" s="7">
        <f>IF(COUNT(D116:L116)=0,"",INDEX($D$1:$L$1,MATCH(MIN(D116:L116),D116:L116,0)))</f>
        <v/>
      </c>
      <c r="R116" s="8" t="n">
        <v>949.45</v>
      </c>
      <c r="S116" s="10" t="n">
        <v>1</v>
      </c>
    </row>
    <row r="117">
      <c r="A117" s="7" t="inlineStr">
        <is>
          <t>MAT-02-051</t>
        </is>
      </c>
      <c r="B117" s="4" t="inlineStr">
        <is>
          <t>Cemento hidráulico, 40 lb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>
        <v>2817.75</v>
      </c>
      <c r="J117" s="8" t="n"/>
      <c r="K117" s="8" t="n"/>
      <c r="L117" s="8" t="n"/>
      <c r="M117" s="8">
        <f>IF(COUNT(D117:L117)=0,"",MIN(D117:L117))</f>
        <v/>
      </c>
      <c r="N117" s="8">
        <f>IF(COUNT(D117:L117)=0,"",MEDIAN(D117:L117))</f>
        <v/>
      </c>
      <c r="O117" s="8">
        <f>IF(COUNT(D117:L117)=0,"",MAX(D117:L117))</f>
        <v/>
      </c>
      <c r="P117" s="9">
        <f>IF(OR(M117="",M117=0),"",(O117-M117)/M117)</f>
        <v/>
      </c>
      <c r="Q117" s="7">
        <f>IF(COUNT(D117:L117)=0,"",INDEX($D$1:$L$1,MATCH(MIN(D117:L117),D117:L117,0)))</f>
        <v/>
      </c>
      <c r="R117" s="8" t="n">
        <v>2817.75</v>
      </c>
      <c r="S117" s="10" t="n">
        <v>1</v>
      </c>
    </row>
    <row r="118">
      <c r="A118" s="7" t="inlineStr">
        <is>
          <t>MAT-02-052</t>
        </is>
      </c>
      <c r="B118" s="4" t="inlineStr">
        <is>
          <t>Derretido para cerámica, 10 lb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712</v>
      </c>
      <c r="J118" s="8" t="n"/>
      <c r="K118" s="8" t="n"/>
      <c r="L118" s="8" t="n"/>
      <c r="M118" s="8">
        <f>IF(COUNT(D118:L118)=0,"",MIN(D118:L118))</f>
        <v/>
      </c>
      <c r="N118" s="8">
        <f>IF(COUNT(D118:L118)=0,"",MEDIAN(D118:L118))</f>
        <v/>
      </c>
      <c r="O118" s="8">
        <f>IF(COUNT(D118:L118)=0,"",MAX(D118:L118))</f>
        <v/>
      </c>
      <c r="P118" s="9">
        <f>IF(OR(M118="",M118=0),"",(O118-M118)/M118)</f>
        <v/>
      </c>
      <c r="Q118" s="7">
        <f>IF(COUNT(D118:L118)=0,"",INDEX($D$1:$L$1,MATCH(MIN(D118:L118),D118:L118,0)))</f>
        <v/>
      </c>
      <c r="R118" s="8" t="n">
        <v>712</v>
      </c>
      <c r="S118" s="10" t="n">
        <v>1</v>
      </c>
    </row>
    <row r="119">
      <c r="A119" s="7" t="inlineStr">
        <is>
          <t>MAT-02-053</t>
        </is>
      </c>
      <c r="B119" s="4" t="inlineStr">
        <is>
          <t>Derretido para cerámica blanco, 10 lb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328</v>
      </c>
      <c r="J119" s="8" t="n"/>
      <c r="K119" s="8" t="n"/>
      <c r="L119" s="8" t="n"/>
      <c r="M119" s="8">
        <f>IF(COUNT(D119:L119)=0,"",MIN(D119:L119))</f>
        <v/>
      </c>
      <c r="N119" s="8">
        <f>IF(COUNT(D119:L119)=0,"",MEDIAN(D119:L119))</f>
        <v/>
      </c>
      <c r="O119" s="8">
        <f>IF(COUNT(D119:L119)=0,"",MAX(D119:L119))</f>
        <v/>
      </c>
      <c r="P119" s="9">
        <f>IF(OR(M119="",M119=0),"",(O119-M119)/M119)</f>
        <v/>
      </c>
      <c r="Q119" s="7">
        <f>IF(COUNT(D119:L119)=0,"",INDEX($D$1:$L$1,MATCH(MIN(D119:L119),D119:L119,0)))</f>
        <v/>
      </c>
      <c r="R119" s="8" t="n">
        <v>328</v>
      </c>
      <c r="S119" s="10" t="n">
        <v>1</v>
      </c>
    </row>
    <row r="120">
      <c r="A120" s="7" t="inlineStr">
        <is>
          <t>MAT-02-054</t>
        </is>
      </c>
      <c r="B120" s="4" t="inlineStr">
        <is>
          <t>Derretido para cerámica, 10 lb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543.15</v>
      </c>
      <c r="J120" s="8" t="n"/>
      <c r="K120" s="8" t="n"/>
      <c r="L120" s="8" t="n"/>
      <c r="M120" s="8">
        <f>IF(COUNT(D120:L120)=0,"",MIN(D120:L120))</f>
        <v/>
      </c>
      <c r="N120" s="8">
        <f>IF(COUNT(D120:L120)=0,"",MEDIAN(D120:L120))</f>
        <v/>
      </c>
      <c r="O120" s="8">
        <f>IF(COUNT(D120:L120)=0,"",MAX(D120:L120))</f>
        <v/>
      </c>
      <c r="P120" s="9">
        <f>IF(OR(M120="",M120=0),"",(O120-M120)/M120)</f>
        <v/>
      </c>
      <c r="Q120" s="7">
        <f>IF(COUNT(D120:L120)=0,"",INDEX($D$1:$L$1,MATCH(MIN(D120:L120),D120:L120,0)))</f>
        <v/>
      </c>
      <c r="R120" s="8" t="n">
        <v>668.95</v>
      </c>
      <c r="S120" s="10" t="n">
        <v>1</v>
      </c>
    </row>
    <row r="121">
      <c r="A121" s="7" t="inlineStr">
        <is>
          <t>MAT-02-055</t>
        </is>
      </c>
      <c r="B121" s="4" t="inlineStr">
        <is>
          <t>Derretido para cerámica, 50 lb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1365.1</v>
      </c>
      <c r="J121" s="8" t="n"/>
      <c r="K121" s="8" t="n"/>
      <c r="L121" s="8" t="n"/>
      <c r="M121" s="8">
        <f>IF(COUNT(D121:L121)=0,"",MIN(D121:L121))</f>
        <v/>
      </c>
      <c r="N121" s="8">
        <f>IF(COUNT(D121:L121)=0,"",MEDIAN(D121:L121))</f>
        <v/>
      </c>
      <c r="O121" s="8">
        <f>IF(COUNT(D121:L121)=0,"",MAX(D121:L121))</f>
        <v/>
      </c>
      <c r="P121" s="9">
        <f>IF(OR(M121="",M121=0),"",(O121-M121)/M121)</f>
        <v/>
      </c>
      <c r="Q121" s="7">
        <f>IF(COUNT(D121:L121)=0,"",INDEX($D$1:$L$1,MATCH(MIN(D121:L121),D121:L121,0)))</f>
        <v/>
      </c>
      <c r="R121" s="8" t="n">
        <v>1365.1</v>
      </c>
      <c r="S121" s="10" t="n">
        <v>1</v>
      </c>
    </row>
    <row r="122">
      <c r="A122" s="7" t="inlineStr">
        <is>
          <t>MAT-02-056</t>
        </is>
      </c>
      <c r="B122" s="4" t="inlineStr">
        <is>
          <t>Mortero de anclaje, 22 kg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1270.75</v>
      </c>
      <c r="J122" s="8" t="n"/>
      <c r="K122" s="8" t="n"/>
      <c r="L122" s="8" t="n"/>
      <c r="M122" s="8">
        <f>IF(COUNT(D122:L122)=0,"",MIN(D122:L122))</f>
        <v/>
      </c>
      <c r="N122" s="8">
        <f>IF(COUNT(D122:L122)=0,"",MEDIAN(D122:L122))</f>
        <v/>
      </c>
      <c r="O122" s="8">
        <f>IF(COUNT(D122:L122)=0,"",MAX(D122:L122))</f>
        <v/>
      </c>
      <c r="P122" s="9">
        <f>IF(OR(M122="",M122=0),"",(O122-M122)/M122)</f>
        <v/>
      </c>
      <c r="Q122" s="7">
        <f>IF(COUNT(D122:L122)=0,"",INDEX($D$1:$L$1,MATCH(MIN(D122:L122),D122:L122,0)))</f>
        <v/>
      </c>
      <c r="R122" s="8" t="n">
        <v>1270.75</v>
      </c>
      <c r="S122" s="10" t="n">
        <v>1</v>
      </c>
    </row>
    <row r="123">
      <c r="A123" s="7" t="inlineStr">
        <is>
          <t>MAT-02-057</t>
        </is>
      </c>
      <c r="B123" s="4" t="inlineStr">
        <is>
          <t>Mortero de pañete, 10 lb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135</v>
      </c>
      <c r="J123" s="8" t="n"/>
      <c r="K123" s="8" t="n"/>
      <c r="L123" s="8" t="n"/>
      <c r="M123" s="8">
        <f>IF(COUNT(D123:L123)=0,"",MIN(D123:L123))</f>
        <v/>
      </c>
      <c r="N123" s="8">
        <f>IF(COUNT(D123:L123)=0,"",MEDIAN(D123:L123))</f>
        <v/>
      </c>
      <c r="O123" s="8">
        <f>IF(COUNT(D123:L123)=0,"",MAX(D123:L123))</f>
        <v/>
      </c>
      <c r="P123" s="9">
        <f>IF(OR(M123="",M123=0),"",(O123-M123)/M123)</f>
        <v/>
      </c>
      <c r="Q123" s="7">
        <f>IF(COUNT(D123:L123)=0,"",INDEX($D$1:$L$1,MATCH(MIN(D123:L123),D123:L123,0)))</f>
        <v/>
      </c>
      <c r="R123" s="8" t="n">
        <v>135</v>
      </c>
      <c r="S123" s="10" t="n">
        <v>1</v>
      </c>
    </row>
    <row r="124">
      <c r="A124" s="7" t="inlineStr">
        <is>
          <t>MAT-02-058</t>
        </is>
      </c>
      <c r="B124" s="4" t="inlineStr">
        <is>
          <t>Mortero gris, 50 lb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1308</v>
      </c>
      <c r="J124" s="8" t="n"/>
      <c r="K124" s="8" t="n"/>
      <c r="L124" s="8" t="n"/>
      <c r="M124" s="8">
        <f>IF(COUNT(D124:L124)=0,"",MIN(D124:L124))</f>
        <v/>
      </c>
      <c r="N124" s="8">
        <f>IF(COUNT(D124:L124)=0,"",MEDIAN(D124:L124))</f>
        <v/>
      </c>
      <c r="O124" s="8">
        <f>IF(COUNT(D124:L124)=0,"",MAX(D124:L124))</f>
        <v/>
      </c>
      <c r="P124" s="9">
        <f>IF(OR(M124="",M124=0),"",(O124-M124)/M124)</f>
        <v/>
      </c>
      <c r="Q124" s="7">
        <f>IF(COUNT(D124:L124)=0,"",INDEX($D$1:$L$1,MATCH(MIN(D124:L124),D124:L124,0)))</f>
        <v/>
      </c>
      <c r="R124" s="8" t="n">
        <v>1308</v>
      </c>
      <c r="S124" s="10" t="n">
        <v>1</v>
      </c>
    </row>
    <row r="125">
      <c r="A125" s="7" t="inlineStr">
        <is>
          <t>MAT-02-059</t>
        </is>
      </c>
      <c r="B125" s="4" t="inlineStr">
        <is>
          <t>Mortero impermeabilizante, 25 kg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2715.75</v>
      </c>
      <c r="J125" s="8" t="n"/>
      <c r="K125" s="8" t="n"/>
      <c r="L125" s="8" t="n"/>
      <c r="M125" s="8">
        <f>IF(COUNT(D125:L125)=0,"",MIN(D125:L125))</f>
        <v/>
      </c>
      <c r="N125" s="8">
        <f>IF(COUNT(D125:L125)=0,"",MEDIAN(D125:L125))</f>
        <v/>
      </c>
      <c r="O125" s="8">
        <f>IF(COUNT(D125:L125)=0,"",MAX(D125:L125))</f>
        <v/>
      </c>
      <c r="P125" s="9">
        <f>IF(OR(M125="",M125=0),"",(O125-M125)/M125)</f>
        <v/>
      </c>
      <c r="Q125" s="7">
        <f>IF(COUNT(D125:L125)=0,"",INDEX($D$1:$L$1,MATCH(MIN(D125:L125),D125:L125,0)))</f>
        <v/>
      </c>
      <c r="R125" s="8" t="n">
        <v>2715.75</v>
      </c>
      <c r="S125" s="10" t="n">
        <v>1</v>
      </c>
    </row>
    <row r="126">
      <c r="A126" s="7" t="inlineStr">
        <is>
          <t>MAT-02-060</t>
        </is>
      </c>
      <c r="B126" s="4" t="inlineStr">
        <is>
          <t>Mortero para cerámica, 50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2396</v>
      </c>
      <c r="J126" s="8" t="n"/>
      <c r="K126" s="8" t="n"/>
      <c r="L126" s="8" t="n"/>
      <c r="M126" s="8">
        <f>IF(COUNT(D126:L126)=0,"",MIN(D126:L126))</f>
        <v/>
      </c>
      <c r="N126" s="8">
        <f>IF(COUNT(D126:L126)=0,"",MEDIAN(D126:L126))</f>
        <v/>
      </c>
      <c r="O126" s="8">
        <f>IF(COUNT(D126:L126)=0,"",MAX(D126:L126))</f>
        <v/>
      </c>
      <c r="P126" s="9">
        <f>IF(OR(M126="",M126=0),"",(O126-M126)/M126)</f>
        <v/>
      </c>
      <c r="Q126" s="7">
        <f>IF(COUNT(D126:L126)=0,"",INDEX($D$1:$L$1,MATCH(MIN(D126:L126),D126:L126,0)))</f>
        <v/>
      </c>
      <c r="R126" s="8" t="n">
        <v>2396</v>
      </c>
      <c r="S126" s="10" t="n">
        <v>1</v>
      </c>
    </row>
    <row r="127">
      <c r="A127" s="7" t="inlineStr">
        <is>
          <t>MAT-02-061</t>
        </is>
      </c>
      <c r="B127" s="4" t="inlineStr">
        <is>
          <t>Pegamento de cerámica para cerámica, 1/4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625</v>
      </c>
      <c r="J127" s="8" t="n"/>
      <c r="K127" s="8" t="n"/>
      <c r="L127" s="8" t="n"/>
      <c r="M127" s="8">
        <f>IF(COUNT(D127:L127)=0,"",MIN(D127:L127))</f>
        <v/>
      </c>
      <c r="N127" s="8">
        <f>IF(COUNT(D127:L127)=0,"",MEDIAN(D127:L127))</f>
        <v/>
      </c>
      <c r="O127" s="8">
        <f>IF(COUNT(D127:L127)=0,"",MAX(D127:L127))</f>
        <v/>
      </c>
      <c r="P127" s="9">
        <f>IF(OR(M127="",M127=0),"",(O127-M127)/M127)</f>
        <v/>
      </c>
      <c r="Q127" s="7">
        <f>IF(COUNT(D127:L127)=0,"",INDEX($D$1:$L$1,MATCH(MIN(D127:L127),D127:L127,0)))</f>
        <v/>
      </c>
      <c r="R127" s="8" t="n">
        <v>625</v>
      </c>
      <c r="S127" s="10" t="n">
        <v>1</v>
      </c>
    </row>
    <row r="128">
      <c r="A128" s="7" t="inlineStr">
        <is>
          <t>MAT-02-062</t>
        </is>
      </c>
      <c r="B128" s="4" t="inlineStr">
        <is>
          <t>Pegamento de cerámica para cerámica,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1845</v>
      </c>
      <c r="J128" s="8" t="n"/>
      <c r="K128" s="8" t="n"/>
      <c r="L128" s="8" t="n"/>
      <c r="M128" s="8">
        <f>IF(COUNT(D128:L128)=0,"",MIN(D128:L128))</f>
        <v/>
      </c>
      <c r="N128" s="8">
        <f>IF(COUNT(D128:L128)=0,"",MEDIAN(D128:L128))</f>
        <v/>
      </c>
      <c r="O128" s="8">
        <f>IF(COUNT(D128:L128)=0,"",MAX(D128:L128))</f>
        <v/>
      </c>
      <c r="P128" s="9">
        <f>IF(OR(M128="",M128=0),"",(O128-M128)/M128)</f>
        <v/>
      </c>
      <c r="Q128" s="7">
        <f>IF(COUNT(D128:L128)=0,"",INDEX($D$1:$L$1,MATCH(MIN(D128:L128),D128:L128,0)))</f>
        <v/>
      </c>
      <c r="R128" s="8" t="n">
        <v>1845</v>
      </c>
      <c r="S128" s="10" t="n">
        <v>1</v>
      </c>
    </row>
    <row r="129">
      <c r="A129" s="7" t="inlineStr">
        <is>
          <t>MAT-02-063</t>
        </is>
      </c>
      <c r="B129" s="4" t="inlineStr">
        <is>
          <t>Pegamento de cerámica para cerámica, 10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>
        <v>437.75</v>
      </c>
      <c r="J129" s="8" t="n"/>
      <c r="K129" s="8" t="n"/>
      <c r="L129" s="8" t="n"/>
      <c r="M129" s="8">
        <f>IF(COUNT(D129:L129)=0,"",MIN(D129:L129))</f>
        <v/>
      </c>
      <c r="N129" s="8">
        <f>IF(COUNT(D129:L129)=0,"",MEDIAN(D129:L129))</f>
        <v/>
      </c>
      <c r="O129" s="8">
        <f>IF(COUNT(D129:L129)=0,"",MAX(D129:L129))</f>
        <v/>
      </c>
      <c r="P129" s="9">
        <f>IF(OR(M129="",M129=0),"",(O129-M129)/M129)</f>
        <v/>
      </c>
      <c r="Q129" s="7">
        <f>IF(COUNT(D129:L129)=0,"",INDEX($D$1:$L$1,MATCH(MIN(D129:L129),D129:L129,0)))</f>
        <v/>
      </c>
      <c r="R129" s="8" t="n">
        <v>569.5</v>
      </c>
      <c r="S129" s="10" t="n">
        <v>1</v>
      </c>
    </row>
    <row r="130">
      <c r="A130" s="7" t="inlineStr">
        <is>
          <t>MAT-02-064</t>
        </is>
      </c>
      <c r="B130" s="4" t="inlineStr">
        <is>
          <t>Pegamento de cerámica para cerámica, 50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325</v>
      </c>
      <c r="J130" s="8" t="n"/>
      <c r="K130" s="8" t="n"/>
      <c r="L130" s="8" t="n"/>
      <c r="M130" s="8">
        <f>IF(COUNT(D130:L130)=0,"",MIN(D130:L130))</f>
        <v/>
      </c>
      <c r="N130" s="8">
        <f>IF(COUNT(D130:L130)=0,"",MEDIAN(D130:L130))</f>
        <v/>
      </c>
      <c r="O130" s="8">
        <f>IF(COUNT(D130:L130)=0,"",MAX(D130:L130))</f>
        <v/>
      </c>
      <c r="P130" s="9">
        <f>IF(OR(M130="",M130=0),"",(O130-M130)/M130)</f>
        <v/>
      </c>
      <c r="Q130" s="7">
        <f>IF(COUNT(D130:L130)=0,"",INDEX($D$1:$L$1,MATCH(MIN(D130:L130),D130:L130,0)))</f>
        <v/>
      </c>
      <c r="R130" s="8" t="n">
        <v>330.5</v>
      </c>
      <c r="S130" s="10" t="n">
        <v>1</v>
      </c>
    </row>
    <row r="131">
      <c r="A131" s="7" t="inlineStr">
        <is>
          <t>MAT-02-065</t>
        </is>
      </c>
      <c r="B131" s="4" t="inlineStr">
        <is>
          <t>Yeso en polvo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167</v>
      </c>
      <c r="J131" s="8" t="n"/>
      <c r="K131" s="8" t="n"/>
      <c r="L131" s="8" t="n"/>
      <c r="M131" s="8">
        <f>IF(COUNT(D131:L131)=0,"",MIN(D131:L131))</f>
        <v/>
      </c>
      <c r="N131" s="8">
        <f>IF(COUNT(D131:L131)=0,"",MEDIAN(D131:L131))</f>
        <v/>
      </c>
      <c r="O131" s="8">
        <f>IF(COUNT(D131:L131)=0,"",MAX(D131:L131))</f>
        <v/>
      </c>
      <c r="P131" s="9">
        <f>IF(OR(M131="",M131=0),"",(O131-M131)/M131)</f>
        <v/>
      </c>
      <c r="Q131" s="7">
        <f>IF(COUNT(D131:L131)=0,"",INDEX($D$1:$L$1,MATCH(MIN(D131:L131),D131:L131,0)))</f>
        <v/>
      </c>
      <c r="R131" s="8" t="n">
        <v>167</v>
      </c>
      <c r="S131" s="10" t="n">
        <v>1</v>
      </c>
    </row>
    <row r="132">
      <c r="A132" s="7" t="inlineStr">
        <is>
          <t>MAT-02-066</t>
        </is>
      </c>
      <c r="B132" s="4" t="inlineStr">
        <is>
          <t>Yeso en polvo blanco, 2 lb</t>
        </is>
      </c>
      <c r="C132" s="7" t="inlineStr">
        <is>
          <t>unidad</t>
        </is>
      </c>
      <c r="D132" s="8" t="n"/>
      <c r="E132" s="8" t="n"/>
      <c r="F132" s="8" t="n">
        <v>45</v>
      </c>
      <c r="G132" s="8" t="n"/>
      <c r="H132" s="8" t="n"/>
      <c r="I132" s="8" t="n">
        <v>28</v>
      </c>
      <c r="J132" s="8" t="n">
        <v>30</v>
      </c>
      <c r="K132" s="8" t="n"/>
      <c r="L132" s="8" t="n"/>
      <c r="M132" s="8">
        <f>IF(COUNT(D132:L132)=0,"",MIN(D132:L132))</f>
        <v/>
      </c>
      <c r="N132" s="8">
        <f>IF(COUNT(D132:L132)=0,"",MEDIAN(D132:L132))</f>
        <v/>
      </c>
      <c r="O132" s="8">
        <f>IF(COUNT(D132:L132)=0,"",MAX(D132:L132))</f>
        <v/>
      </c>
      <c r="P132" s="9">
        <f>IF(OR(M132="",M132=0),"",(O132-M132)/M132)</f>
        <v/>
      </c>
      <c r="Q132" s="7">
        <f>IF(COUNT(D132:L132)=0,"",INDEX($D$1:$L$1,MATCH(MIN(D132:L132),D132:L132,0)))</f>
        <v/>
      </c>
      <c r="R132" s="8" t="n">
        <v>30</v>
      </c>
      <c r="S132" s="10" t="n">
        <v>3</v>
      </c>
    </row>
    <row r="133">
      <c r="A133" s="7" t="inlineStr">
        <is>
          <t>MAT-02-067</t>
        </is>
      </c>
      <c r="B133" s="4" t="inlineStr">
        <is>
          <t>Cemento gris, funda de 5 libras</t>
        </is>
      </c>
      <c r="C133" s="7" t="inlineStr">
        <is>
          <t>funda</t>
        </is>
      </c>
      <c r="D133" s="8" t="n">
        <v>34.36</v>
      </c>
      <c r="E133" s="8" t="n"/>
      <c r="F133" s="8" t="n">
        <v>75</v>
      </c>
      <c r="G133" s="8" t="n"/>
      <c r="H133" s="8" t="n"/>
      <c r="I133" s="8" t="n"/>
      <c r="J133" s="8" t="n"/>
      <c r="K133" s="8" t="n"/>
      <c r="L133" s="8" t="n"/>
      <c r="M133" s="8">
        <f>IF(COUNT(D133:L133)=0,"",MIN(D133:L133))</f>
        <v/>
      </c>
      <c r="N133" s="8">
        <f>IF(COUNT(D133:L133)=0,"",MEDIAN(D133:L133))</f>
        <v/>
      </c>
      <c r="O133" s="8">
        <f>IF(COUNT(D133:L133)=0,"",MAX(D133:L133))</f>
        <v/>
      </c>
      <c r="P133" s="9">
        <f>IF(OR(M133="",M133=0),"",(O133-M133)/M133)</f>
        <v/>
      </c>
      <c r="Q133" s="7">
        <f>IF(COUNT(D133:L133)=0,"",INDEX($D$1:$L$1,MATCH(MIN(D133:L133),D133:L133,0)))</f>
        <v/>
      </c>
      <c r="R133" s="8" t="n">
        <v>54.68</v>
      </c>
      <c r="S133" s="10" t="n">
        <v>2</v>
      </c>
    </row>
    <row r="134">
      <c r="A134" s="7" t="inlineStr">
        <is>
          <t>MAT-02-068</t>
        </is>
      </c>
      <c r="B134" s="4" t="inlineStr">
        <is>
          <t>Cemento gris, funda de 10 libras</t>
        </is>
      </c>
      <c r="C134" s="7" t="inlineStr">
        <is>
          <t>funda</t>
        </is>
      </c>
      <c r="D134" s="8" t="n">
        <v>65.95999999999999</v>
      </c>
      <c r="E134" s="8" t="n"/>
      <c r="F134" s="8" t="n"/>
      <c r="G134" s="8" t="n"/>
      <c r="H134" s="8" t="n"/>
      <c r="I134" s="8" t="n">
        <v>173</v>
      </c>
      <c r="J134" s="8" t="n"/>
      <c r="K134" s="8" t="n"/>
      <c r="L134" s="8" t="n"/>
      <c r="M134" s="8">
        <f>IF(COUNT(D134:L134)=0,"",MIN(D134:L134))</f>
        <v/>
      </c>
      <c r="N134" s="8">
        <f>IF(COUNT(D134:L134)=0,"",MEDIAN(D134:L134))</f>
        <v/>
      </c>
      <c r="O134" s="8">
        <f>IF(COUNT(D134:L134)=0,"",MAX(D134:L134))</f>
        <v/>
      </c>
      <c r="P134" s="9">
        <f>IF(OR(M134="",M134=0),"",(O134-M134)/M134)</f>
        <v/>
      </c>
      <c r="Q134" s="7">
        <f>IF(COUNT(D134:L134)=0,"",INDEX($D$1:$L$1,MATCH(MIN(D134:L134),D134:L134,0)))</f>
        <v/>
      </c>
      <c r="R134" s="8" t="n">
        <v>119.48</v>
      </c>
      <c r="S134" s="10" t="n">
        <v>2</v>
      </c>
    </row>
    <row r="135">
      <c r="A135" s="7" t="inlineStr">
        <is>
          <t>MAT-02-069</t>
        </is>
      </c>
      <c r="B135" s="4" t="inlineStr">
        <is>
          <t>Cemento blanco, funda de 2 libras</t>
        </is>
      </c>
      <c r="C135" s="7" t="inlineStr">
        <is>
          <t>funda</t>
        </is>
      </c>
      <c r="D135" s="8" t="n">
        <v>49.97</v>
      </c>
      <c r="E135" s="8" t="n"/>
      <c r="F135" s="8" t="n">
        <v>75</v>
      </c>
      <c r="G135" s="8" t="n"/>
      <c r="H135" s="8" t="n"/>
      <c r="I135" s="8" t="n">
        <v>57</v>
      </c>
      <c r="J135" s="8" t="n">
        <v>54.01</v>
      </c>
      <c r="K135" s="8" t="n"/>
      <c r="L135" s="8" t="n"/>
      <c r="M135" s="8">
        <f>IF(COUNT(D135:L135)=0,"",MIN(D135:L135))</f>
        <v/>
      </c>
      <c r="N135" s="8">
        <f>IF(COUNT(D135:L135)=0,"",MEDIAN(D135:L135))</f>
        <v/>
      </c>
      <c r="O135" s="8">
        <f>IF(COUNT(D135:L135)=0,"",MAX(D135:L135))</f>
        <v/>
      </c>
      <c r="P135" s="9">
        <f>IF(OR(M135="",M135=0),"",(O135-M135)/M135)</f>
        <v/>
      </c>
      <c r="Q135" s="7">
        <f>IF(COUNT(D135:L135)=0,"",INDEX($D$1:$L$1,MATCH(MIN(D135:L135),D135:L135,0)))</f>
        <v/>
      </c>
      <c r="R135" s="8" t="n">
        <v>57</v>
      </c>
      <c r="S135" s="10" t="n">
        <v>4</v>
      </c>
    </row>
    <row r="136">
      <c r="A136" s="7" t="inlineStr">
        <is>
          <t>MAT-02-070</t>
        </is>
      </c>
      <c r="B136" s="4" t="inlineStr">
        <is>
          <t>Cemento blanco, funda de 5 libras</t>
        </is>
      </c>
      <c r="C136" s="7" t="inlineStr">
        <is>
          <t>funda</t>
        </is>
      </c>
      <c r="D136" s="8" t="n">
        <v>109.93</v>
      </c>
      <c r="E136" s="8" t="n"/>
      <c r="F136" s="8" t="n">
        <v>175</v>
      </c>
      <c r="G136" s="8" t="n"/>
      <c r="H136" s="8" t="n"/>
      <c r="I136" s="8" t="n">
        <v>132</v>
      </c>
      <c r="J136" s="8" t="n">
        <v>145</v>
      </c>
      <c r="K136" s="8" t="n"/>
      <c r="L136" s="8" t="n"/>
      <c r="M136" s="8">
        <f>IF(COUNT(D136:L136)=0,"",MIN(D136:L136))</f>
        <v/>
      </c>
      <c r="N136" s="8">
        <f>IF(COUNT(D136:L136)=0,"",MEDIAN(D136:L136))</f>
        <v/>
      </c>
      <c r="O136" s="8">
        <f>IF(COUNT(D136:L136)=0,"",MAX(D136:L136))</f>
        <v/>
      </c>
      <c r="P136" s="9">
        <f>IF(OR(M136="",M136=0),"",(O136-M136)/M136)</f>
        <v/>
      </c>
      <c r="Q136" s="7">
        <f>IF(COUNT(D136:L136)=0,"",INDEX($D$1:$L$1,MATCH(MIN(D136:L136),D136:L136,0)))</f>
        <v/>
      </c>
      <c r="R136" s="8" t="n">
        <v>138.5</v>
      </c>
      <c r="S136" s="10" t="n">
        <v>4</v>
      </c>
    </row>
    <row r="137">
      <c r="A137" s="7" t="inlineStr">
        <is>
          <t>MAT-02-071</t>
        </is>
      </c>
      <c r="B137" s="4" t="inlineStr">
        <is>
          <t>Cemento blanco, funda de 10 libras</t>
        </is>
      </c>
      <c r="C137" s="7" t="inlineStr">
        <is>
          <t>funda</t>
        </is>
      </c>
      <c r="D137" s="8" t="n">
        <v>159.1</v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>
        <f>IF(COUNT(D137:L137)=0,"",MIN(D137:L137))</f>
        <v/>
      </c>
      <c r="N137" s="8">
        <f>IF(COUNT(D137:L137)=0,"",MEDIAN(D137:L137))</f>
        <v/>
      </c>
      <c r="O137" s="8">
        <f>IF(COUNT(D137:L137)=0,"",MAX(D137:L137))</f>
        <v/>
      </c>
      <c r="P137" s="9">
        <f>IF(OR(M137="",M137=0),"",(O137-M137)/M137)</f>
        <v/>
      </c>
      <c r="Q137" s="7">
        <f>IF(COUNT(D137:L137)=0,"",INDEX($D$1:$L$1,MATCH(MIN(D137:L137),D137:L137,0)))</f>
        <v/>
      </c>
      <c r="R137" s="8" t="n">
        <v>159.1</v>
      </c>
      <c r="S137" s="10" t="n">
        <v>1</v>
      </c>
    </row>
    <row r="138">
      <c r="A138" s="7" t="inlineStr">
        <is>
          <t>MAT-02-072</t>
        </is>
      </c>
      <c r="B138" s="4" t="inlineStr">
        <is>
          <t>Yeso en polvo, por libra</t>
        </is>
      </c>
      <c r="C138" s="7" t="inlineStr">
        <is>
          <t>lb</t>
        </is>
      </c>
      <c r="D138" s="8" t="n">
        <v>4.8</v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>
        <f>IF(COUNT(D138:L138)=0,"",MIN(D138:L138))</f>
        <v/>
      </c>
      <c r="N138" s="8">
        <f>IF(COUNT(D138:L138)=0,"",MEDIAN(D138:L138))</f>
        <v/>
      </c>
      <c r="O138" s="8">
        <f>IF(COUNT(D138:L138)=0,"",MAX(D138:L138))</f>
        <v/>
      </c>
      <c r="P138" s="9">
        <f>IF(OR(M138="",M138=0),"",(O138-M138)/M138)</f>
        <v/>
      </c>
      <c r="Q138" s="7">
        <f>IF(COUNT(D138:L138)=0,"",INDEX($D$1:$L$1,MATCH(MIN(D138:L138),D138:L138,0)))</f>
        <v/>
      </c>
      <c r="R138" s="8" t="n">
        <v>4.8</v>
      </c>
      <c r="S138" s="10" t="n">
        <v>1</v>
      </c>
    </row>
    <row r="139">
      <c r="A139" s="7" t="inlineStr">
        <is>
          <t>MAT-02-073</t>
        </is>
      </c>
      <c r="B139" s="4" t="inlineStr">
        <is>
          <t>Yeso en polvo, funda de 5 libras</t>
        </is>
      </c>
      <c r="C139" s="7" t="inlineStr">
        <is>
          <t>funda</t>
        </is>
      </c>
      <c r="D139" s="8" t="n">
        <v>37.93</v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>
        <f>IF(COUNT(D139:L139)=0,"",MIN(D139:L139))</f>
        <v/>
      </c>
      <c r="N139" s="8">
        <f>IF(COUNT(D139:L139)=0,"",MEDIAN(D139:L139))</f>
        <v/>
      </c>
      <c r="O139" s="8">
        <f>IF(COUNT(D139:L139)=0,"",MAX(D139:L139))</f>
        <v/>
      </c>
      <c r="P139" s="9">
        <f>IF(OR(M139="",M139=0),"",(O139-M139)/M139)</f>
        <v/>
      </c>
      <c r="Q139" s="7">
        <f>IF(COUNT(D139:L139)=0,"",INDEX($D$1:$L$1,MATCH(MIN(D139:L139),D139:L139,0)))</f>
        <v/>
      </c>
      <c r="R139" s="8" t="n">
        <v>37.93</v>
      </c>
      <c r="S139" s="10" t="n">
        <v>1</v>
      </c>
    </row>
    <row r="140">
      <c r="A140" s="7" t="inlineStr">
        <is>
          <t>MAT-02-074</t>
        </is>
      </c>
      <c r="B140" s="4" t="inlineStr">
        <is>
          <t>Yeso en polvo Paloma, funda de 65 libras</t>
        </is>
      </c>
      <c r="C140" s="7" t="inlineStr">
        <is>
          <t>funda</t>
        </is>
      </c>
      <c r="D140" s="8" t="n">
        <v>373.64</v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>
        <f>IF(COUNT(D140:L140)=0,"",MIN(D140:L140))</f>
        <v/>
      </c>
      <c r="N140" s="8">
        <f>IF(COUNT(D140:L140)=0,"",MEDIAN(D140:L140))</f>
        <v/>
      </c>
      <c r="O140" s="8">
        <f>IF(COUNT(D140:L140)=0,"",MAX(D140:L140))</f>
        <v/>
      </c>
      <c r="P140" s="9">
        <f>IF(OR(M140="",M140=0),"",(O140-M140)/M140)</f>
        <v/>
      </c>
      <c r="Q140" s="7">
        <f>IF(COUNT(D140:L140)=0,"",INDEX($D$1:$L$1,MATCH(MIN(D140:L140),D140:L140,0)))</f>
        <v/>
      </c>
      <c r="R140" s="8" t="n">
        <v>373.64</v>
      </c>
      <c r="S140" s="10" t="n">
        <v>1</v>
      </c>
    </row>
    <row r="141">
      <c r="A141" s="7" t="inlineStr">
        <is>
          <t>MAT-02-075</t>
        </is>
      </c>
      <c r="B141" s="4" t="inlineStr">
        <is>
          <t>Fibra de acero para hormigón, funda de 5.3 kg</t>
        </is>
      </c>
      <c r="C141" s="7" t="inlineStr">
        <is>
          <t>funda</t>
        </is>
      </c>
      <c r="D141" s="8" t="n">
        <v>1295.68</v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>
        <f>IF(COUNT(D141:L141)=0,"",MIN(D141:L141))</f>
        <v/>
      </c>
      <c r="N141" s="8">
        <f>IF(COUNT(D141:L141)=0,"",MEDIAN(D141:L141))</f>
        <v/>
      </c>
      <c r="O141" s="8">
        <f>IF(COUNT(D141:L141)=0,"",MAX(D141:L141))</f>
        <v/>
      </c>
      <c r="P141" s="9">
        <f>IF(OR(M141="",M141=0),"",(O141-M141)/M141)</f>
        <v/>
      </c>
      <c r="Q141" s="7">
        <f>IF(COUNT(D141:L141)=0,"",INDEX($D$1:$L$1,MATCH(MIN(D141:L141),D141:L141,0)))</f>
        <v/>
      </c>
      <c r="R141" s="8" t="n">
        <v>1295.68</v>
      </c>
      <c r="S141" s="10" t="n">
        <v>1</v>
      </c>
    </row>
    <row r="142">
      <c r="A142" s="7" t="inlineStr">
        <is>
          <t>MAT-02-076</t>
        </is>
      </c>
      <c r="B142" s="4" t="inlineStr">
        <is>
          <t>Macrofibra sintética para hormigón, funda de 1.5 kg</t>
        </is>
      </c>
      <c r="C142" s="7" t="inlineStr">
        <is>
          <t>funda</t>
        </is>
      </c>
      <c r="D142" s="8" t="n">
        <v>807.79</v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>
        <f>IF(COUNT(D142:L142)=0,"",MIN(D142:L142))</f>
        <v/>
      </c>
      <c r="N142" s="8">
        <f>IF(COUNT(D142:L142)=0,"",MEDIAN(D142:L142))</f>
        <v/>
      </c>
      <c r="O142" s="8">
        <f>IF(COUNT(D142:L142)=0,"",MAX(D142:L142))</f>
        <v/>
      </c>
      <c r="P142" s="9">
        <f>IF(OR(M142="",M142=0),"",(O142-M142)/M142)</f>
        <v/>
      </c>
      <c r="Q142" s="7">
        <f>IF(COUNT(D142:L142)=0,"",INDEX($D$1:$L$1,MATCH(MIN(D142:L142),D142:L142,0)))</f>
        <v/>
      </c>
      <c r="R142" s="8" t="n">
        <v>807.79</v>
      </c>
      <c r="S142" s="10" t="n">
        <v>1</v>
      </c>
    </row>
    <row r="143">
      <c r="A143" s="7" t="inlineStr">
        <is>
          <t>MAT-04-027</t>
        </is>
      </c>
      <c r="B143" s="4" t="inlineStr">
        <is>
          <t>Alambre liso galvanizado calibre 10</t>
        </is>
      </c>
      <c r="C143" s="7" t="inlineStr">
        <is>
          <t>lb</t>
        </is>
      </c>
      <c r="D143" s="8" t="n">
        <v>61.12</v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>
        <f>IF(COUNT(D143:L143)=0,"",MIN(D143:L143))</f>
        <v/>
      </c>
      <c r="N143" s="8">
        <f>IF(COUNT(D143:L143)=0,"",MEDIAN(D143:L143))</f>
        <v/>
      </c>
      <c r="O143" s="8">
        <f>IF(COUNT(D143:L143)=0,"",MAX(D143:L143))</f>
        <v/>
      </c>
      <c r="P143" s="9">
        <f>IF(OR(M143="",M143=0),"",(O143-M143)/M143)</f>
        <v/>
      </c>
      <c r="Q143" s="7">
        <f>IF(COUNT(D143:L143)=0,"",INDEX($D$1:$L$1,MATCH(MIN(D143:L143),D143:L143,0)))</f>
        <v/>
      </c>
      <c r="R143" s="8" t="n">
        <v>61.12</v>
      </c>
      <c r="S143" s="10" t="n">
        <v>1</v>
      </c>
    </row>
    <row r="144">
      <c r="A144" s="7" t="inlineStr">
        <is>
          <t>MAT-04-028</t>
        </is>
      </c>
      <c r="B144" s="4" t="inlineStr">
        <is>
          <t>Alambre liso galvanizado calibre 12</t>
        </is>
      </c>
      <c r="C144" s="7" t="inlineStr">
        <is>
          <t>lb</t>
        </is>
      </c>
      <c r="D144" s="8" t="n">
        <v>61.12</v>
      </c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>
        <f>IF(COUNT(D144:L144)=0,"",MIN(D144:L144))</f>
        <v/>
      </c>
      <c r="N144" s="8">
        <f>IF(COUNT(D144:L144)=0,"",MEDIAN(D144:L144))</f>
        <v/>
      </c>
      <c r="O144" s="8">
        <f>IF(COUNT(D144:L144)=0,"",MAX(D144:L144))</f>
        <v/>
      </c>
      <c r="P144" s="9">
        <f>IF(OR(M144="",M144=0),"",(O144-M144)/M144)</f>
        <v/>
      </c>
      <c r="Q144" s="7">
        <f>IF(COUNT(D144:L144)=0,"",INDEX($D$1:$L$1,MATCH(MIN(D144:L144),D144:L144,0)))</f>
        <v/>
      </c>
      <c r="R144" s="8" t="n">
        <v>61.12</v>
      </c>
      <c r="S144" s="10" t="n">
        <v>1</v>
      </c>
    </row>
    <row r="145">
      <c r="A145" s="7" t="inlineStr">
        <is>
          <t>MAT-04-029</t>
        </is>
      </c>
      <c r="B145" s="4" t="inlineStr">
        <is>
          <t>Alambre liso galvanizado calibre 16</t>
        </is>
      </c>
      <c r="C145" s="7" t="inlineStr">
        <is>
          <t>lb</t>
        </is>
      </c>
      <c r="D145" s="8" t="n">
        <v>56.59</v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>
        <f>IF(COUNT(D145:L145)=0,"",MIN(D145:L145))</f>
        <v/>
      </c>
      <c r="N145" s="8">
        <f>IF(COUNT(D145:L145)=0,"",MEDIAN(D145:L145))</f>
        <v/>
      </c>
      <c r="O145" s="8">
        <f>IF(COUNT(D145:L145)=0,"",MAX(D145:L145))</f>
        <v/>
      </c>
      <c r="P145" s="9">
        <f>IF(OR(M145="",M145=0),"",(O145-M145)/M145)</f>
        <v/>
      </c>
      <c r="Q145" s="7">
        <f>IF(COUNT(D145:L145)=0,"",INDEX($D$1:$L$1,MATCH(MIN(D145:L145),D145:L145,0)))</f>
        <v/>
      </c>
      <c r="R145" s="8" t="n">
        <v>56.59</v>
      </c>
      <c r="S145" s="10" t="n">
        <v>1</v>
      </c>
    </row>
    <row r="146">
      <c r="A146" s="7" t="inlineStr">
        <is>
          <t>MAT-04-030</t>
        </is>
      </c>
      <c r="B146" s="4" t="inlineStr">
        <is>
          <t>Separador plástico para varilla 3/8"</t>
        </is>
      </c>
      <c r="C146" s="7" t="inlineStr">
        <is>
          <t>unidad</t>
        </is>
      </c>
      <c r="D146" s="8" t="n">
        <v>30.48</v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>
        <f>IF(COUNT(D146:L146)=0,"",MIN(D146:L146))</f>
        <v/>
      </c>
      <c r="N146" s="8">
        <f>IF(COUNT(D146:L146)=0,"",MEDIAN(D146:L146))</f>
        <v/>
      </c>
      <c r="O146" s="8">
        <f>IF(COUNT(D146:L146)=0,"",MAX(D146:L146))</f>
        <v/>
      </c>
      <c r="P146" s="9">
        <f>IF(OR(M146="",M146=0),"",(O146-M146)/M146)</f>
        <v/>
      </c>
      <c r="Q146" s="7">
        <f>IF(COUNT(D146:L146)=0,"",INDEX($D$1:$L$1,MATCH(MIN(D146:L146),D146:L146,0)))</f>
        <v/>
      </c>
      <c r="R146" s="8" t="n">
        <v>30.48</v>
      </c>
      <c r="S146" s="10" t="n">
        <v>1</v>
      </c>
    </row>
    <row r="147">
      <c r="A147" s="7" t="inlineStr">
        <is>
          <t>MAT-04-031</t>
        </is>
      </c>
      <c r="B147" s="4" t="inlineStr">
        <is>
          <t>Separador plástico para varilla 1/2"</t>
        </is>
      </c>
      <c r="C147" s="7" t="inlineStr">
        <is>
          <t>unidad</t>
        </is>
      </c>
      <c r="D147" s="8" t="n">
        <v>45.71</v>
      </c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>
        <f>IF(COUNT(D147:L147)=0,"",MIN(D147:L147))</f>
        <v/>
      </c>
      <c r="N147" s="8">
        <f>IF(COUNT(D147:L147)=0,"",MEDIAN(D147:L147))</f>
        <v/>
      </c>
      <c r="O147" s="8">
        <f>IF(COUNT(D147:L147)=0,"",MAX(D147:L147))</f>
        <v/>
      </c>
      <c r="P147" s="9">
        <f>IF(OR(M147="",M147=0),"",(O147-M147)/M147)</f>
        <v/>
      </c>
      <c r="Q147" s="7">
        <f>IF(COUNT(D147:L147)=0,"",INDEX($D$1:$L$1,MATCH(MIN(D147:L147),D147:L147,0)))</f>
        <v/>
      </c>
      <c r="R147" s="8" t="n">
        <v>45.71</v>
      </c>
      <c r="S147" s="10" t="n">
        <v>1</v>
      </c>
    </row>
    <row r="148">
      <c r="A148" s="7" t="inlineStr">
        <is>
          <t>MAT-04-032</t>
        </is>
      </c>
      <c r="B148" s="4" t="inlineStr">
        <is>
          <t>Separador plástico para varilla 5/8"</t>
        </is>
      </c>
      <c r="C148" s="7" t="inlineStr">
        <is>
          <t>unidad</t>
        </is>
      </c>
      <c r="D148" s="8" t="n">
        <v>54.43</v>
      </c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>
        <f>IF(COUNT(D148:L148)=0,"",MIN(D148:L148))</f>
        <v/>
      </c>
      <c r="N148" s="8">
        <f>IF(COUNT(D148:L148)=0,"",MEDIAN(D148:L148))</f>
        <v/>
      </c>
      <c r="O148" s="8">
        <f>IF(COUNT(D148:L148)=0,"",MAX(D148:L148))</f>
        <v/>
      </c>
      <c r="P148" s="9">
        <f>IF(OR(M148="",M148=0),"",(O148-M148)/M148)</f>
        <v/>
      </c>
      <c r="Q148" s="7">
        <f>IF(COUNT(D148:L148)=0,"",INDEX($D$1:$L$1,MATCH(MIN(D148:L148),D148:L148,0)))</f>
        <v/>
      </c>
      <c r="R148" s="8" t="n">
        <v>54.43</v>
      </c>
      <c r="S148" s="10" t="n">
        <v>1</v>
      </c>
    </row>
    <row r="149">
      <c r="A149" s="7" t="inlineStr">
        <is>
          <t>MAT-04-033</t>
        </is>
      </c>
      <c r="B149" s="4" t="inlineStr">
        <is>
          <t>Separador plástico para varilla 3/4"</t>
        </is>
      </c>
      <c r="C149" s="7" t="inlineStr">
        <is>
          <t>unidad</t>
        </is>
      </c>
      <c r="D149" s="8" t="n">
        <v>63.13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>
        <f>IF(COUNT(D149:L149)=0,"",MIN(D149:L149))</f>
        <v/>
      </c>
      <c r="N149" s="8">
        <f>IF(COUNT(D149:L149)=0,"",MEDIAN(D149:L149))</f>
        <v/>
      </c>
      <c r="O149" s="8">
        <f>IF(COUNT(D149:L149)=0,"",MAX(D149:L149))</f>
        <v/>
      </c>
      <c r="P149" s="9">
        <f>IF(OR(M149="",M149=0),"",(O149-M149)/M149)</f>
        <v/>
      </c>
      <c r="Q149" s="7">
        <f>IF(COUNT(D149:L149)=0,"",INDEX($D$1:$L$1,MATCH(MIN(D149:L149),D149:L149,0)))</f>
        <v/>
      </c>
      <c r="R149" s="8" t="n">
        <v>63.13</v>
      </c>
      <c r="S149" s="10" t="n">
        <v>1</v>
      </c>
    </row>
    <row r="150">
      <c r="A150" s="7" t="inlineStr">
        <is>
          <t>MAT-04-034</t>
        </is>
      </c>
      <c r="B150" s="4" t="inlineStr">
        <is>
          <t>Separador plástico para varilla 1"</t>
        </is>
      </c>
      <c r="C150" s="7" t="inlineStr">
        <is>
          <t>unidad</t>
        </is>
      </c>
      <c r="D150" s="8" t="n">
        <v>70.75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>
        <f>IF(COUNT(D150:L150)=0,"",MIN(D150:L150))</f>
        <v/>
      </c>
      <c r="N150" s="8">
        <f>IF(COUNT(D150:L150)=0,"",MEDIAN(D150:L150))</f>
        <v/>
      </c>
      <c r="O150" s="8">
        <f>IF(COUNT(D150:L150)=0,"",MAX(D150:L150))</f>
        <v/>
      </c>
      <c r="P150" s="9">
        <f>IF(OR(M150="",M150=0),"",(O150-M150)/M150)</f>
        <v/>
      </c>
      <c r="Q150" s="7">
        <f>IF(COUNT(D150:L150)=0,"",INDEX($D$1:$L$1,MATCH(MIN(D150:L150),D150:L150,0)))</f>
        <v/>
      </c>
      <c r="R150" s="8" t="n">
        <v>70.75</v>
      </c>
      <c r="S150" s="10" t="n">
        <v>1</v>
      </c>
    </row>
    <row r="151">
      <c r="A151" s="7" t="inlineStr">
        <is>
          <t>MAT-04-035</t>
        </is>
      </c>
      <c r="B151" s="4" t="inlineStr">
        <is>
          <t>Separador plástico para varilla 1 1/4"</t>
        </is>
      </c>
      <c r="C151" s="7" t="inlineStr">
        <is>
          <t>unidad</t>
        </is>
      </c>
      <c r="D151" s="8" t="n">
        <v>78.36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>
        <f>IF(COUNT(D151:L151)=0,"",MIN(D151:L151))</f>
        <v/>
      </c>
      <c r="N151" s="8">
        <f>IF(COUNT(D151:L151)=0,"",MEDIAN(D151:L151))</f>
        <v/>
      </c>
      <c r="O151" s="8">
        <f>IF(COUNT(D151:L151)=0,"",MAX(D151:L151))</f>
        <v/>
      </c>
      <c r="P151" s="9">
        <f>IF(OR(M151="",M151=0),"",(O151-M151)/M151)</f>
        <v/>
      </c>
      <c r="Q151" s="7">
        <f>IF(COUNT(D151:L151)=0,"",INDEX($D$1:$L$1,MATCH(MIN(D151:L151),D151:L151,0)))</f>
        <v/>
      </c>
      <c r="R151" s="8" t="n">
        <v>78.36</v>
      </c>
      <c r="S151" s="10" t="n">
        <v>1</v>
      </c>
    </row>
    <row r="152">
      <c r="A152" s="7" t="inlineStr">
        <is>
          <t>MAT-04-036</t>
        </is>
      </c>
      <c r="B152" s="4" t="inlineStr">
        <is>
          <t>Coupler mecánico para varilla 3/4"</t>
        </is>
      </c>
      <c r="C152" s="7" t="inlineStr">
        <is>
          <t>unidad</t>
        </is>
      </c>
      <c r="D152" s="8" t="n">
        <v>228.57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>
        <f>IF(COUNT(D152:L152)=0,"",MIN(D152:L152))</f>
        <v/>
      </c>
      <c r="N152" s="8">
        <f>IF(COUNT(D152:L152)=0,"",MEDIAN(D152:L152))</f>
        <v/>
      </c>
      <c r="O152" s="8">
        <f>IF(COUNT(D152:L152)=0,"",MAX(D152:L152))</f>
        <v/>
      </c>
      <c r="P152" s="9">
        <f>IF(OR(M152="",M152=0),"",(O152-M152)/M152)</f>
        <v/>
      </c>
      <c r="Q152" s="7">
        <f>IF(COUNT(D152:L152)=0,"",INDEX($D$1:$L$1,MATCH(MIN(D152:L152),D152:L152,0)))</f>
        <v/>
      </c>
      <c r="R152" s="8" t="n">
        <v>228.57</v>
      </c>
      <c r="S152" s="10" t="n">
        <v>1</v>
      </c>
    </row>
    <row r="153">
      <c r="A153" s="7" t="inlineStr">
        <is>
          <t>MAT-04-037</t>
        </is>
      </c>
      <c r="B153" s="4" t="inlineStr">
        <is>
          <t>Coupler mecánico para varilla 1"</t>
        </is>
      </c>
      <c r="C153" s="7" t="inlineStr">
        <is>
          <t>unidad</t>
        </is>
      </c>
      <c r="D153" s="8" t="n">
        <v>434.26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>
        <f>IF(COUNT(D153:L153)=0,"",MIN(D153:L153))</f>
        <v/>
      </c>
      <c r="N153" s="8">
        <f>IF(COUNT(D153:L153)=0,"",MEDIAN(D153:L153))</f>
        <v/>
      </c>
      <c r="O153" s="8">
        <f>IF(COUNT(D153:L153)=0,"",MAX(D153:L153))</f>
        <v/>
      </c>
      <c r="P153" s="9">
        <f>IF(OR(M153="",M153=0),"",(O153-M153)/M153)</f>
        <v/>
      </c>
      <c r="Q153" s="7">
        <f>IF(COUNT(D153:L153)=0,"",INDEX($D$1:$L$1,MATCH(MIN(D153:L153),D153:L153,0)))</f>
        <v/>
      </c>
      <c r="R153" s="8" t="n">
        <v>434.26</v>
      </c>
      <c r="S153" s="10" t="n">
        <v>1</v>
      </c>
    </row>
    <row r="154">
      <c r="A154" s="7" t="inlineStr">
        <is>
          <t>MAT-04-038</t>
        </is>
      </c>
      <c r="B154" s="4" t="inlineStr">
        <is>
          <t>Coupler mecánico para varilla 1 1/8"</t>
        </is>
      </c>
      <c r="C154" s="7" t="inlineStr">
        <is>
          <t>unidad</t>
        </is>
      </c>
      <c r="D154" s="8" t="n">
        <v>697.6799999999999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>
        <f>IF(COUNT(D154:L154)=0,"",MIN(D154:L154))</f>
        <v/>
      </c>
      <c r="N154" s="8">
        <f>IF(COUNT(D154:L154)=0,"",MEDIAN(D154:L154))</f>
        <v/>
      </c>
      <c r="O154" s="8">
        <f>IF(COUNT(D154:L154)=0,"",MAX(D154:L154))</f>
        <v/>
      </c>
      <c r="P154" s="9">
        <f>IF(OR(M154="",M154=0),"",(O154-M154)/M154)</f>
        <v/>
      </c>
      <c r="Q154" s="7">
        <f>IF(COUNT(D154:L154)=0,"",INDEX($D$1:$L$1,MATCH(MIN(D154:L154),D154:L154,0)))</f>
        <v/>
      </c>
      <c r="R154" s="8" t="n">
        <v>697.6799999999999</v>
      </c>
      <c r="S154" s="10" t="n">
        <v>1</v>
      </c>
    </row>
    <row r="155">
      <c r="A155" s="7" t="inlineStr">
        <is>
          <t>MAT-04-039</t>
        </is>
      </c>
      <c r="B155" s="4" t="inlineStr">
        <is>
          <t>Coupler mecánico para varilla 1 1/4"</t>
        </is>
      </c>
      <c r="C155" s="7" t="inlineStr">
        <is>
          <t>unidad</t>
        </is>
      </c>
      <c r="D155" s="8" t="n">
        <v>854.4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>
        <f>IF(COUNT(D155:L155)=0,"",MIN(D155:L155))</f>
        <v/>
      </c>
      <c r="N155" s="8">
        <f>IF(COUNT(D155:L155)=0,"",MEDIAN(D155:L155))</f>
        <v/>
      </c>
      <c r="O155" s="8">
        <f>IF(COUNT(D155:L155)=0,"",MAX(D155:L155))</f>
        <v/>
      </c>
      <c r="P155" s="9">
        <f>IF(OR(M155="",M155=0),"",(O155-M155)/M155)</f>
        <v/>
      </c>
      <c r="Q155" s="7">
        <f>IF(COUNT(D155:L155)=0,"",INDEX($D$1:$L$1,MATCH(MIN(D155:L155),D155:L155,0)))</f>
        <v/>
      </c>
      <c r="R155" s="8" t="n">
        <v>854.4</v>
      </c>
      <c r="S155" s="10" t="n">
        <v>1</v>
      </c>
    </row>
    <row r="156">
      <c r="A156" s="7" t="inlineStr">
        <is>
          <t>MAT-04-040</t>
        </is>
      </c>
      <c r="B156" s="4" t="inlineStr">
        <is>
          <t>Coupler mecánico para varilla 1 3/8"</t>
        </is>
      </c>
      <c r="C156" s="7" t="inlineStr">
        <is>
          <t>unidad</t>
        </is>
      </c>
      <c r="D156" s="8" t="n">
        <v>1066.64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>
        <f>IF(COUNT(D156:L156)=0,"",MIN(D156:L156))</f>
        <v/>
      </c>
      <c r="N156" s="8">
        <f>IF(COUNT(D156:L156)=0,"",MEDIAN(D156:L156))</f>
        <v/>
      </c>
      <c r="O156" s="8">
        <f>IF(COUNT(D156:L156)=0,"",MAX(D156:L156))</f>
        <v/>
      </c>
      <c r="P156" s="9">
        <f>IF(OR(M156="",M156=0),"",(O156-M156)/M156)</f>
        <v/>
      </c>
      <c r="Q156" s="7">
        <f>IF(COUNT(D156:L156)=0,"",INDEX($D$1:$L$1,MATCH(MIN(D156:L156),D156:L156,0)))</f>
        <v/>
      </c>
      <c r="R156" s="8" t="n">
        <v>1066.64</v>
      </c>
      <c r="S156" s="10" t="n">
        <v>1</v>
      </c>
    </row>
    <row r="157">
      <c r="A157" s="7" t="inlineStr">
        <is>
          <t>MAT-04-041</t>
        </is>
      </c>
      <c r="B157" s="4" t="inlineStr">
        <is>
          <t>Alambre galvanizado picado, caja de 50 lb</t>
        </is>
      </c>
      <c r="C157" s="7" t="inlineStr">
        <is>
          <t>caja</t>
        </is>
      </c>
      <c r="D157" s="8" t="n">
        <v>2488.96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>
        <f>IF(COUNT(D157:L157)=0,"",MIN(D157:L157))</f>
        <v/>
      </c>
      <c r="N157" s="8">
        <f>IF(COUNT(D157:L157)=0,"",MEDIAN(D157:L157))</f>
        <v/>
      </c>
      <c r="O157" s="8">
        <f>IF(COUNT(D157:L157)=0,"",MAX(D157:L157))</f>
        <v/>
      </c>
      <c r="P157" s="9">
        <f>IF(OR(M157="",M157=0),"",(O157-M157)/M157)</f>
        <v/>
      </c>
      <c r="Q157" s="7">
        <f>IF(COUNT(D157:L157)=0,"",INDEX($D$1:$L$1,MATCH(MIN(D157:L157),D157:L157,0)))</f>
        <v/>
      </c>
      <c r="R157" s="8" t="n">
        <v>2488.96</v>
      </c>
      <c r="S157" s="10" t="n">
        <v>1</v>
      </c>
    </row>
    <row r="158">
      <c r="A158" s="7" t="inlineStr">
        <is>
          <t>MAT-04-042</t>
        </is>
      </c>
      <c r="B158" s="4" t="inlineStr">
        <is>
          <t>Alambre liso galvanizado picado calibre 16, paquete de 10 lb</t>
        </is>
      </c>
      <c r="C158" s="7" t="inlineStr">
        <is>
          <t>paquete</t>
        </is>
      </c>
      <c r="D158" s="8" t="n">
        <v>619.63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>
        <f>IF(COUNT(D158:L158)=0,"",MIN(D158:L158))</f>
        <v/>
      </c>
      <c r="N158" s="8">
        <f>IF(COUNT(D158:L158)=0,"",MEDIAN(D158:L158))</f>
        <v/>
      </c>
      <c r="O158" s="8">
        <f>IF(COUNT(D158:L158)=0,"",MAX(D158:L158))</f>
        <v/>
      </c>
      <c r="P158" s="9">
        <f>IF(OR(M158="",M158=0),"",(O158-M158)/M158)</f>
        <v/>
      </c>
      <c r="Q158" s="7">
        <f>IF(COUNT(D158:L158)=0,"",INDEX($D$1:$L$1,MATCH(MIN(D158:L158),D158:L158,0)))</f>
        <v/>
      </c>
      <c r="R158" s="8" t="n">
        <v>619.63</v>
      </c>
      <c r="S158" s="10" t="n">
        <v>1</v>
      </c>
    </row>
    <row r="159">
      <c r="A159" s="7" t="inlineStr">
        <is>
          <t>MAT-06-018</t>
        </is>
      </c>
      <c r="B159" s="4" t="inlineStr">
        <is>
          <t>Madera de pino americano cepillada, 1" x 10" x 16 pies</t>
        </is>
      </c>
      <c r="C159" s="7" t="inlineStr">
        <is>
          <t>unidad</t>
        </is>
      </c>
      <c r="D159" s="8" t="n"/>
      <c r="E159" s="8" t="n"/>
      <c r="F159" s="8" t="n"/>
      <c r="G159" s="8" t="n"/>
      <c r="H159" s="8" t="n"/>
      <c r="I159" s="8" t="n"/>
      <c r="J159" s="8" t="n">
        <v>1425</v>
      </c>
      <c r="K159" s="8" t="n"/>
      <c r="L159" s="8" t="n"/>
      <c r="M159" s="8">
        <f>IF(COUNT(D159:L159)=0,"",MIN(D159:L159))</f>
        <v/>
      </c>
      <c r="N159" s="8">
        <f>IF(COUNT(D159:L159)=0,"",MEDIAN(D159:L159))</f>
        <v/>
      </c>
      <c r="O159" s="8">
        <f>IF(COUNT(D159:L159)=0,"",MAX(D159:L159))</f>
        <v/>
      </c>
      <c r="P159" s="9">
        <f>IF(OR(M159="",M159=0),"",(O159-M159)/M159)</f>
        <v/>
      </c>
      <c r="Q159" s="7">
        <f>IF(COUNT(D159:L159)=0,"",INDEX($D$1:$L$1,MATCH(MIN(D159:L159),D159:L159,0)))</f>
        <v/>
      </c>
      <c r="R159" s="8" t="n">
        <v>1425</v>
      </c>
      <c r="S159" s="10" t="n">
        <v>1</v>
      </c>
    </row>
    <row r="160">
      <c r="A160" s="7" t="inlineStr">
        <is>
          <t>MAT-06-019</t>
        </is>
      </c>
      <c r="B160" s="4" t="inlineStr">
        <is>
          <t>Madera de pino americano cepillada, 1" x 4" x 10 pies</t>
        </is>
      </c>
      <c r="C160" s="7" t="inlineStr">
        <is>
          <t>unidad</t>
        </is>
      </c>
      <c r="D160" s="8" t="n"/>
      <c r="E160" s="8" t="n"/>
      <c r="F160" s="8" t="n"/>
      <c r="G160" s="8" t="n"/>
      <c r="H160" s="8" t="n"/>
      <c r="I160" s="8" t="n"/>
      <c r="J160" s="8" t="n">
        <v>310.01</v>
      </c>
      <c r="K160" s="8" t="n"/>
      <c r="L160" s="8" t="n"/>
      <c r="M160" s="8">
        <f>IF(COUNT(D160:L160)=0,"",MIN(D160:L160))</f>
        <v/>
      </c>
      <c r="N160" s="8">
        <f>IF(COUNT(D160:L160)=0,"",MEDIAN(D160:L160))</f>
        <v/>
      </c>
      <c r="O160" s="8">
        <f>IF(COUNT(D160:L160)=0,"",MAX(D160:L160))</f>
        <v/>
      </c>
      <c r="P160" s="9">
        <f>IF(OR(M160="",M160=0),"",(O160-M160)/M160)</f>
        <v/>
      </c>
      <c r="Q160" s="7">
        <f>IF(COUNT(D160:L160)=0,"",INDEX($D$1:$L$1,MATCH(MIN(D160:L160),D160:L160,0)))</f>
        <v/>
      </c>
      <c r="R160" s="8" t="n">
        <v>310.01</v>
      </c>
      <c r="S160" s="10" t="n">
        <v>1</v>
      </c>
    </row>
    <row r="161">
      <c r="A161" s="7" t="inlineStr">
        <is>
          <t>MAT-06-020</t>
        </is>
      </c>
      <c r="B161" s="4" t="inlineStr">
        <is>
          <t>Madera de pino americano cepillada, 2" x 4" x 12 pies</t>
        </is>
      </c>
      <c r="C161" s="7" t="inlineStr">
        <is>
          <t>unidad</t>
        </is>
      </c>
      <c r="D161" s="8" t="n"/>
      <c r="E161" s="8" t="n"/>
      <c r="F161" s="8" t="n"/>
      <c r="G161" s="8" t="n"/>
      <c r="H161" s="8" t="n"/>
      <c r="I161" s="8" t="n"/>
      <c r="J161" s="8" t="n">
        <v>635.01</v>
      </c>
      <c r="K161" s="8" t="n"/>
      <c r="L161" s="8" t="n"/>
      <c r="M161" s="8">
        <f>IF(COUNT(D161:L161)=0,"",MIN(D161:L161))</f>
        <v/>
      </c>
      <c r="N161" s="8">
        <f>IF(COUNT(D161:L161)=0,"",MEDIAN(D161:L161))</f>
        <v/>
      </c>
      <c r="O161" s="8">
        <f>IF(COUNT(D161:L161)=0,"",MAX(D161:L161))</f>
        <v/>
      </c>
      <c r="P161" s="9">
        <f>IF(OR(M161="",M161=0),"",(O161-M161)/M161)</f>
        <v/>
      </c>
      <c r="Q161" s="7">
        <f>IF(COUNT(D161:L161)=0,"",INDEX($D$1:$L$1,MATCH(MIN(D161:L161),D161:L161,0)))</f>
        <v/>
      </c>
      <c r="R161" s="8" t="n">
        <v>635.01</v>
      </c>
      <c r="S161" s="10" t="n">
        <v>1</v>
      </c>
    </row>
    <row r="162">
      <c r="A162" s="7" t="inlineStr">
        <is>
          <t>MAT-06-021</t>
        </is>
      </c>
      <c r="B162" s="4" t="inlineStr">
        <is>
          <t>Madera de pino americano bruta, 2" x 4" x 16 pies</t>
        </is>
      </c>
      <c r="C162" s="7" t="inlineStr">
        <is>
          <t>unidad</t>
        </is>
      </c>
      <c r="D162" s="8" t="n"/>
      <c r="E162" s="8" t="n"/>
      <c r="F162" s="8" t="n"/>
      <c r="G162" s="8" t="n"/>
      <c r="H162" s="8" t="n"/>
      <c r="I162" s="8" t="n"/>
      <c r="J162" s="8" t="n">
        <v>1010</v>
      </c>
      <c r="K162" s="8" t="n"/>
      <c r="L162" s="8" t="n"/>
      <c r="M162" s="8">
        <f>IF(COUNT(D162:L162)=0,"",MIN(D162:L162))</f>
        <v/>
      </c>
      <c r="N162" s="8">
        <f>IF(COUNT(D162:L162)=0,"",MEDIAN(D162:L162))</f>
        <v/>
      </c>
      <c r="O162" s="8">
        <f>IF(COUNT(D162:L162)=0,"",MAX(D162:L162))</f>
        <v/>
      </c>
      <c r="P162" s="9">
        <f>IF(OR(M162="",M162=0),"",(O162-M162)/M162)</f>
        <v/>
      </c>
      <c r="Q162" s="7">
        <f>IF(COUNT(D162:L162)=0,"",INDEX($D$1:$L$1,MATCH(MIN(D162:L162),D162:L162,0)))</f>
        <v/>
      </c>
      <c r="R162" s="8" t="n">
        <v>1010</v>
      </c>
      <c r="S162" s="10" t="n">
        <v>1</v>
      </c>
    </row>
    <row r="163">
      <c r="A163" s="7" t="inlineStr">
        <is>
          <t>MAT-06-022</t>
        </is>
      </c>
      <c r="B163" s="4" t="inlineStr">
        <is>
          <t>Plywood de formaleta 3/4", 4 x 8 pies</t>
        </is>
      </c>
      <c r="C163" s="7" t="inlineStr">
        <is>
          <t>plancha</t>
        </is>
      </c>
      <c r="D163" s="8" t="n"/>
      <c r="E163" s="8" t="n"/>
      <c r="F163" s="8" t="n"/>
      <c r="G163" s="8" t="n"/>
      <c r="H163" s="8" t="n"/>
      <c r="I163" s="8" t="n"/>
      <c r="J163" s="8" t="n">
        <v>2470</v>
      </c>
      <c r="K163" s="8" t="n"/>
      <c r="L163" s="8" t="n"/>
      <c r="M163" s="8">
        <f>IF(COUNT(D163:L163)=0,"",MIN(D163:L163))</f>
        <v/>
      </c>
      <c r="N163" s="8">
        <f>IF(COUNT(D163:L163)=0,"",MEDIAN(D163:L163))</f>
        <v/>
      </c>
      <c r="O163" s="8">
        <f>IF(COUNT(D163:L163)=0,"",MAX(D163:L163))</f>
        <v/>
      </c>
      <c r="P163" s="9">
        <f>IF(OR(M163="",M163=0),"",(O163-M163)/M163)</f>
        <v/>
      </c>
      <c r="Q163" s="7">
        <f>IF(COUNT(D163:L163)=0,"",INDEX($D$1:$L$1,MATCH(MIN(D163:L163),D163:L163,0)))</f>
        <v/>
      </c>
      <c r="R163" s="8" t="n">
        <v>2470</v>
      </c>
      <c r="S163" s="10" t="n">
        <v>1</v>
      </c>
    </row>
    <row r="164">
      <c r="A164" s="7" t="inlineStr">
        <is>
          <t>MAT-06-023</t>
        </is>
      </c>
      <c r="B164" s="4" t="inlineStr">
        <is>
          <t>Plywood de okume 1/4", 4 x 8 pies</t>
        </is>
      </c>
      <c r="C164" s="7" t="inlineStr">
        <is>
          <t>plancha</t>
        </is>
      </c>
      <c r="D164" s="8" t="n"/>
      <c r="E164" s="8" t="n"/>
      <c r="F164" s="8" t="n"/>
      <c r="G164" s="8" t="n"/>
      <c r="H164" s="8" t="n"/>
      <c r="I164" s="8" t="n"/>
      <c r="J164" s="8" t="n">
        <v>849.6</v>
      </c>
      <c r="K164" s="8" t="n"/>
      <c r="L164" s="8" t="n"/>
      <c r="M164" s="8">
        <f>IF(COUNT(D164:L164)=0,"",MIN(D164:L164))</f>
        <v/>
      </c>
      <c r="N164" s="8">
        <f>IF(COUNT(D164:L164)=0,"",MEDIAN(D164:L164))</f>
        <v/>
      </c>
      <c r="O164" s="8">
        <f>IF(COUNT(D164:L164)=0,"",MAX(D164:L164))</f>
        <v/>
      </c>
      <c r="P164" s="9">
        <f>IF(OR(M164="",M164=0),"",(O164-M164)/M164)</f>
        <v/>
      </c>
      <c r="Q164" s="7">
        <f>IF(COUNT(D164:L164)=0,"",INDEX($D$1:$L$1,MATCH(MIN(D164:L164),D164:L164,0)))</f>
        <v/>
      </c>
      <c r="R164" s="8" t="n">
        <v>849.6</v>
      </c>
      <c r="S164" s="10" t="n">
        <v>1</v>
      </c>
    </row>
    <row r="165">
      <c r="A165" s="7" t="inlineStr">
        <is>
          <t>MAT-06-024</t>
        </is>
      </c>
      <c r="B165" s="4" t="inlineStr">
        <is>
          <t>Plywood MDF hidrófugo 1/2", 4 x 8 pies</t>
        </is>
      </c>
      <c r="C165" s="7" t="inlineStr">
        <is>
          <t>plancha</t>
        </is>
      </c>
      <c r="D165" s="8" t="n"/>
      <c r="E165" s="8" t="n"/>
      <c r="F165" s="8" t="n"/>
      <c r="G165" s="8" t="n"/>
      <c r="H165" s="8" t="n"/>
      <c r="I165" s="8" t="n"/>
      <c r="J165" s="8" t="n">
        <v>1735</v>
      </c>
      <c r="K165" s="8" t="n"/>
      <c r="L165" s="8" t="n"/>
      <c r="M165" s="8">
        <f>IF(COUNT(D165:L165)=0,"",MIN(D165:L165))</f>
        <v/>
      </c>
      <c r="N165" s="8">
        <f>IF(COUNT(D165:L165)=0,"",MEDIAN(D165:L165))</f>
        <v/>
      </c>
      <c r="O165" s="8">
        <f>IF(COUNT(D165:L165)=0,"",MAX(D165:L165))</f>
        <v/>
      </c>
      <c r="P165" s="9">
        <f>IF(OR(M165="",M165=0),"",(O165-M165)/M165)</f>
        <v/>
      </c>
      <c r="Q165" s="7">
        <f>IF(COUNT(D165:L165)=0,"",INDEX($D$1:$L$1,MATCH(MIN(D165:L165),D165:L165,0)))</f>
        <v/>
      </c>
      <c r="R165" s="8" t="n">
        <v>1735</v>
      </c>
      <c r="S165" s="10" t="n">
        <v>1</v>
      </c>
    </row>
    <row r="166">
      <c r="A166" s="7" t="inlineStr">
        <is>
          <t>MAT-06-025</t>
        </is>
      </c>
      <c r="B166" s="4" t="inlineStr">
        <is>
          <t>Plywood, 4'X8'X/4" calibre 1/4"</t>
        </is>
      </c>
      <c r="C166" s="7" t="inlineStr">
        <is>
          <t>unidad</t>
        </is>
      </c>
      <c r="D166" s="8" t="n"/>
      <c r="E166" s="8" t="n"/>
      <c r="F166" s="8" t="n"/>
      <c r="G166" s="8" t="n"/>
      <c r="H166" s="8" t="n"/>
      <c r="I166" s="8" t="n">
        <v>825</v>
      </c>
      <c r="J166" s="8" t="n"/>
      <c r="K166" s="8" t="n"/>
      <c r="L166" s="8" t="n"/>
      <c r="M166" s="8">
        <f>IF(COUNT(D166:L166)=0,"",MIN(D166:L166))</f>
        <v/>
      </c>
      <c r="N166" s="8">
        <f>IF(COUNT(D166:L166)=0,"",MEDIAN(D166:L166))</f>
        <v/>
      </c>
      <c r="O166" s="8">
        <f>IF(COUNT(D166:L166)=0,"",MAX(D166:L166))</f>
        <v/>
      </c>
      <c r="P166" s="9">
        <f>IF(OR(M166="",M166=0),"",(O166-M166)/M166)</f>
        <v/>
      </c>
      <c r="Q166" s="7">
        <f>IF(COUNT(D166:L166)=0,"",INDEX($D$1:$L$1,MATCH(MIN(D166:L166),D166:L166,0)))</f>
        <v/>
      </c>
      <c r="R166" s="8" t="n">
        <v>825</v>
      </c>
      <c r="S166" s="10" t="n">
        <v>1</v>
      </c>
    </row>
    <row r="167">
      <c r="A167" s="7" t="inlineStr">
        <is>
          <t>MAT-06-026</t>
        </is>
      </c>
      <c r="B167" s="4" t="inlineStr">
        <is>
          <t>Plywood, 4'X8'X1/4"</t>
        </is>
      </c>
      <c r="C167" s="7" t="inlineStr">
        <is>
          <t>unidad</t>
        </is>
      </c>
      <c r="D167" s="8" t="n"/>
      <c r="E167" s="8" t="n"/>
      <c r="F167" s="8" t="n"/>
      <c r="G167" s="8" t="n"/>
      <c r="H167" s="8" t="n"/>
      <c r="I167" s="8" t="n">
        <v>780</v>
      </c>
      <c r="J167" s="8" t="n"/>
      <c r="K167" s="8" t="n"/>
      <c r="L167" s="8" t="n"/>
      <c r="M167" s="8">
        <f>IF(COUNT(D167:L167)=0,"",MIN(D167:L167))</f>
        <v/>
      </c>
      <c r="N167" s="8">
        <f>IF(COUNT(D167:L167)=0,"",MEDIAN(D167:L167))</f>
        <v/>
      </c>
      <c r="O167" s="8">
        <f>IF(COUNT(D167:L167)=0,"",MAX(D167:L167))</f>
        <v/>
      </c>
      <c r="P167" s="9">
        <f>IF(OR(M167="",M167=0),"",(O167-M167)/M167)</f>
        <v/>
      </c>
      <c r="Q167" s="7">
        <f>IF(COUNT(D167:L167)=0,"",INDEX($D$1:$L$1,MATCH(MIN(D167:L167),D167:L167,0)))</f>
        <v/>
      </c>
      <c r="R167" s="8" t="n">
        <v>780</v>
      </c>
      <c r="S167" s="10" t="n">
        <v>1</v>
      </c>
    </row>
    <row r="168">
      <c r="A168" s="7" t="inlineStr">
        <is>
          <t>MAT-06-027</t>
        </is>
      </c>
      <c r="B168" s="4" t="inlineStr">
        <is>
          <t>Plywood, 4'X8'X1/8"</t>
        </is>
      </c>
      <c r="C168" s="7" t="inlineStr">
        <is>
          <t>unidad</t>
        </is>
      </c>
      <c r="D168" s="8" t="n"/>
      <c r="E168" s="8" t="n"/>
      <c r="F168" s="8" t="n"/>
      <c r="G168" s="8" t="n"/>
      <c r="H168" s="8" t="n"/>
      <c r="I168" s="8" t="n">
        <v>475</v>
      </c>
      <c r="J168" s="8" t="n"/>
      <c r="K168" s="8" t="n"/>
      <c r="L168" s="8" t="n"/>
      <c r="M168" s="8">
        <f>IF(COUNT(D168:L168)=0,"",MIN(D168:L168))</f>
        <v/>
      </c>
      <c r="N168" s="8">
        <f>IF(COUNT(D168:L168)=0,"",MEDIAN(D168:L168))</f>
        <v/>
      </c>
      <c r="O168" s="8">
        <f>IF(COUNT(D168:L168)=0,"",MAX(D168:L168))</f>
        <v/>
      </c>
      <c r="P168" s="9">
        <f>IF(OR(M168="",M168=0),"",(O168-M168)/M168)</f>
        <v/>
      </c>
      <c r="Q168" s="7">
        <f>IF(COUNT(D168:L168)=0,"",INDEX($D$1:$L$1,MATCH(MIN(D168:L168),D168:L168,0)))</f>
        <v/>
      </c>
      <c r="R168" s="8" t="n">
        <v>475</v>
      </c>
      <c r="S168" s="10" t="n">
        <v>1</v>
      </c>
    </row>
    <row r="169">
      <c r="A169" s="7" t="inlineStr">
        <is>
          <t>MAT-06-028</t>
        </is>
      </c>
      <c r="B169" s="4" t="inlineStr">
        <is>
          <t>Plywood, 4'X8'X3/8"</t>
        </is>
      </c>
      <c r="C169" s="7" t="inlineStr">
        <is>
          <t>unidad</t>
        </is>
      </c>
      <c r="D169" s="8" t="n"/>
      <c r="E169" s="8" t="n"/>
      <c r="F169" s="8" t="n"/>
      <c r="G169" s="8" t="n"/>
      <c r="H169" s="8" t="n"/>
      <c r="I169" s="8" t="n">
        <v>1115</v>
      </c>
      <c r="J169" s="8" t="n"/>
      <c r="K169" s="8" t="n"/>
      <c r="L169" s="8" t="n"/>
      <c r="M169" s="8">
        <f>IF(COUNT(D169:L169)=0,"",MIN(D169:L169))</f>
        <v/>
      </c>
      <c r="N169" s="8">
        <f>IF(COUNT(D169:L169)=0,"",MEDIAN(D169:L169))</f>
        <v/>
      </c>
      <c r="O169" s="8">
        <f>IF(COUNT(D169:L169)=0,"",MAX(D169:L169))</f>
        <v/>
      </c>
      <c r="P169" s="9">
        <f>IF(OR(M169="",M169=0),"",(O169-M169)/M169)</f>
        <v/>
      </c>
      <c r="Q169" s="7">
        <f>IF(COUNT(D169:L169)=0,"",INDEX($D$1:$L$1,MATCH(MIN(D169:L169),D169:L169,0)))</f>
        <v/>
      </c>
      <c r="R169" s="8" t="n">
        <v>1180</v>
      </c>
      <c r="S169" s="10" t="n">
        <v>1</v>
      </c>
    </row>
    <row r="170">
      <c r="A170" s="7" t="inlineStr">
        <is>
          <t>MAT-06-029</t>
        </is>
      </c>
      <c r="B170" s="4" t="inlineStr">
        <is>
          <t>Plywood, 4X8'</t>
        </is>
      </c>
      <c r="C170" s="7" t="inlineStr">
        <is>
          <t>unidad</t>
        </is>
      </c>
      <c r="D170" s="8" t="n"/>
      <c r="E170" s="8" t="n"/>
      <c r="F170" s="8" t="n"/>
      <c r="G170" s="8" t="n"/>
      <c r="H170" s="8" t="n"/>
      <c r="I170" s="8" t="n">
        <v>1995</v>
      </c>
      <c r="J170" s="8" t="n"/>
      <c r="K170" s="8" t="n"/>
      <c r="L170" s="8" t="n"/>
      <c r="M170" s="8">
        <f>IF(COUNT(D170:L170)=0,"",MIN(D170:L170))</f>
        <v/>
      </c>
      <c r="N170" s="8">
        <f>IF(COUNT(D170:L170)=0,"",MEDIAN(D170:L170))</f>
        <v/>
      </c>
      <c r="O170" s="8">
        <f>IF(COUNT(D170:L170)=0,"",MAX(D170:L170))</f>
        <v/>
      </c>
      <c r="P170" s="9">
        <f>IF(OR(M170="",M170=0),"",(O170-M170)/M170)</f>
        <v/>
      </c>
      <c r="Q170" s="7">
        <f>IF(COUNT(D170:L170)=0,"",INDEX($D$1:$L$1,MATCH(MIN(D170:L170),D170:L170,0)))</f>
        <v/>
      </c>
      <c r="R170" s="8" t="n">
        <v>1995</v>
      </c>
      <c r="S170" s="10" t="n">
        <v>1</v>
      </c>
    </row>
    <row r="171">
      <c r="A171" s="7" t="inlineStr">
        <is>
          <t>MAT-07-011</t>
        </is>
      </c>
      <c r="B171" s="4" t="inlineStr">
        <is>
          <t>Zinc acanalado calibre 29, 3 x 6 pies</t>
        </is>
      </c>
      <c r="C171" s="7" t="inlineStr">
        <is>
          <t>plancha</t>
        </is>
      </c>
      <c r="D171" s="8" t="n">
        <v>270.21</v>
      </c>
      <c r="E171" s="8" t="n"/>
      <c r="F171" s="8" t="n"/>
      <c r="G171" s="8" t="n"/>
      <c r="H171" s="8" t="n"/>
      <c r="I171" s="8" t="n">
        <v>338</v>
      </c>
      <c r="J171" s="8" t="n"/>
      <c r="K171" s="8" t="n"/>
      <c r="L171" s="8" t="n"/>
      <c r="M171" s="8">
        <f>IF(COUNT(D171:L171)=0,"",MIN(D171:L171))</f>
        <v/>
      </c>
      <c r="N171" s="8">
        <f>IF(COUNT(D171:L171)=0,"",MEDIAN(D171:L171))</f>
        <v/>
      </c>
      <c r="O171" s="8">
        <f>IF(COUNT(D171:L171)=0,"",MAX(D171:L171))</f>
        <v/>
      </c>
      <c r="P171" s="9">
        <f>IF(OR(M171="",M171=0),"",(O171-M171)/M171)</f>
        <v/>
      </c>
      <c r="Q171" s="7">
        <f>IF(COUNT(D171:L171)=0,"",INDEX($D$1:$L$1,MATCH(MIN(D171:L171),D171:L171,0)))</f>
        <v/>
      </c>
      <c r="R171" s="8" t="n">
        <v>296.18</v>
      </c>
      <c r="S171" s="10" t="n">
        <v>2</v>
      </c>
    </row>
    <row r="172">
      <c r="A172" s="7" t="inlineStr">
        <is>
          <t>MAT-07-012</t>
        </is>
      </c>
      <c r="B172" s="4" t="inlineStr">
        <is>
          <t>Zinc acanalado calibre 29, 3 x 12 pies</t>
        </is>
      </c>
      <c r="C172" s="7" t="inlineStr">
        <is>
          <t>plancha</t>
        </is>
      </c>
      <c r="D172" s="8" t="n">
        <v>592.36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>
        <f>IF(COUNT(D172:L172)=0,"",MIN(D172:L172))</f>
        <v/>
      </c>
      <c r="N172" s="8">
        <f>IF(COUNT(D172:L172)=0,"",MEDIAN(D172:L172))</f>
        <v/>
      </c>
      <c r="O172" s="8">
        <f>IF(COUNT(D172:L172)=0,"",MAX(D172:L172))</f>
        <v/>
      </c>
      <c r="P172" s="9">
        <f>IF(OR(M172="",M172=0),"",(O172-M172)/M172)</f>
        <v/>
      </c>
      <c r="Q172" s="7">
        <f>IF(COUNT(D172:L172)=0,"",INDEX($D$1:$L$1,MATCH(MIN(D172:L172),D172:L172,0)))</f>
        <v/>
      </c>
      <c r="R172" s="8" t="n">
        <v>592.36</v>
      </c>
      <c r="S172" s="10" t="n">
        <v>1</v>
      </c>
    </row>
    <row r="173">
      <c r="A173" s="7" t="inlineStr">
        <is>
          <t>MAT-07-013</t>
        </is>
      </c>
      <c r="B173" s="4" t="inlineStr">
        <is>
          <t>Zinc acanalado calibre 34, 3 x 6 pies</t>
        </is>
      </c>
      <c r="C173" s="7" t="inlineStr">
        <is>
          <t>plancha</t>
        </is>
      </c>
      <c r="D173" s="8" t="n">
        <v>208.33</v>
      </c>
      <c r="E173" s="8" t="n"/>
      <c r="F173" s="8" t="n"/>
      <c r="G173" s="8" t="n"/>
      <c r="H173" s="8" t="n"/>
      <c r="I173" s="8" t="n">
        <v>245</v>
      </c>
      <c r="J173" s="8" t="n">
        <v>275.01</v>
      </c>
      <c r="K173" s="8" t="n"/>
      <c r="L173" s="8" t="n"/>
      <c r="M173" s="8">
        <f>IF(COUNT(D173:L173)=0,"",MIN(D173:L173))</f>
        <v/>
      </c>
      <c r="N173" s="8">
        <f>IF(COUNT(D173:L173)=0,"",MEDIAN(D173:L173))</f>
        <v/>
      </c>
      <c r="O173" s="8">
        <f>IF(COUNT(D173:L173)=0,"",MAX(D173:L173))</f>
        <v/>
      </c>
      <c r="P173" s="9">
        <f>IF(OR(M173="",M173=0),"",(O173-M173)/M173)</f>
        <v/>
      </c>
      <c r="Q173" s="7">
        <f>IF(COUNT(D173:L173)=0,"",INDEX($D$1:$L$1,MATCH(MIN(D173:L173),D173:L173,0)))</f>
        <v/>
      </c>
      <c r="R173" s="8" t="n">
        <v>245</v>
      </c>
      <c r="S173" s="10" t="n">
        <v>3</v>
      </c>
    </row>
    <row r="174">
      <c r="A174" s="7" t="inlineStr">
        <is>
          <t>MAT-07-014</t>
        </is>
      </c>
      <c r="B174" s="4" t="inlineStr">
        <is>
          <t>Zinc acanalado calibre 34, 3 x 12 pies</t>
        </is>
      </c>
      <c r="C174" s="7" t="inlineStr">
        <is>
          <t>plancha</t>
        </is>
      </c>
      <c r="D174" s="8" t="n">
        <v>414.3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>
        <f>IF(COUNT(D174:L174)=0,"",MIN(D174:L174))</f>
        <v/>
      </c>
      <c r="N174" s="8">
        <f>IF(COUNT(D174:L174)=0,"",MEDIAN(D174:L174))</f>
        <v/>
      </c>
      <c r="O174" s="8">
        <f>IF(COUNT(D174:L174)=0,"",MAX(D174:L174))</f>
        <v/>
      </c>
      <c r="P174" s="9">
        <f>IF(OR(M174="",M174=0),"",(O174-M174)/M174)</f>
        <v/>
      </c>
      <c r="Q174" s="7">
        <f>IF(COUNT(D174:L174)=0,"",INDEX($D$1:$L$1,MATCH(MIN(D174:L174),D174:L174,0)))</f>
        <v/>
      </c>
      <c r="R174" s="8" t="n">
        <v>414.3</v>
      </c>
      <c r="S174" s="10" t="n">
        <v>1</v>
      </c>
    </row>
    <row r="175">
      <c r="A175" s="7" t="inlineStr">
        <is>
          <t>MAT-07-015</t>
        </is>
      </c>
      <c r="B175" s="4" t="inlineStr">
        <is>
          <t>Teja de acero gravillado, 2 piezas por m²</t>
        </is>
      </c>
      <c r="C175" s="7" t="inlineStr">
        <is>
          <t>m²</t>
        </is>
      </c>
      <c r="D175" s="8" t="n">
        <v>1026.24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>
        <f>IF(COUNT(D175:L175)=0,"",MIN(D175:L175))</f>
        <v/>
      </c>
      <c r="N175" s="8">
        <f>IF(COUNT(D175:L175)=0,"",MEDIAN(D175:L175))</f>
        <v/>
      </c>
      <c r="O175" s="8">
        <f>IF(COUNT(D175:L175)=0,"",MAX(D175:L175))</f>
        <v/>
      </c>
      <c r="P175" s="9">
        <f>IF(OR(M175="",M175=0),"",(O175-M175)/M175)</f>
        <v/>
      </c>
      <c r="Q175" s="7">
        <f>IF(COUNT(D175:L175)=0,"",INDEX($D$1:$L$1,MATCH(MIN(D175:L175),D175:L175,0)))</f>
        <v/>
      </c>
      <c r="R175" s="8" t="n">
        <v>1461.38</v>
      </c>
      <c r="S175" s="10" t="n">
        <v>1</v>
      </c>
    </row>
    <row r="176">
      <c r="A176" s="7" t="inlineStr">
        <is>
          <t>MAT-07-016</t>
        </is>
      </c>
      <c r="B176" s="4" t="inlineStr">
        <is>
          <t>Teja de cerámica, 10.5 piezas por m²</t>
        </is>
      </c>
      <c r="C176" s="7" t="inlineStr">
        <is>
          <t>m²</t>
        </is>
      </c>
      <c r="D176" s="8" t="n">
        <v>1677.27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>
        <f>IF(COUNT(D176:L176)=0,"",MIN(D176:L176))</f>
        <v/>
      </c>
      <c r="N176" s="8">
        <f>IF(COUNT(D176:L176)=0,"",MEDIAN(D176:L176))</f>
        <v/>
      </c>
      <c r="O176" s="8">
        <f>IF(COUNT(D176:L176)=0,"",MAX(D176:L176))</f>
        <v/>
      </c>
      <c r="P176" s="9">
        <f>IF(OR(M176="",M176=0),"",(O176-M176)/M176)</f>
        <v/>
      </c>
      <c r="Q176" s="7">
        <f>IF(COUNT(D176:L176)=0,"",INDEX($D$1:$L$1,MATCH(MIN(D176:L176),D176:L176,0)))</f>
        <v/>
      </c>
      <c r="R176" s="8" t="n">
        <v>1677.27</v>
      </c>
      <c r="S176" s="10" t="n">
        <v>1</v>
      </c>
    </row>
    <row r="177">
      <c r="A177" s="7" t="inlineStr">
        <is>
          <t>MAT-07-017</t>
        </is>
      </c>
      <c r="B177" s="4" t="inlineStr">
        <is>
          <t>Teja de cerámica, 11.5 piezas por m²</t>
        </is>
      </c>
      <c r="C177" s="7" t="inlineStr">
        <is>
          <t>m²</t>
        </is>
      </c>
      <c r="D177" s="8" t="n">
        <v>2043.67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>
        <f>IF(COUNT(D177:L177)=0,"",MIN(D177:L177))</f>
        <v/>
      </c>
      <c r="N177" s="8">
        <f>IF(COUNT(D177:L177)=0,"",MEDIAN(D177:L177))</f>
        <v/>
      </c>
      <c r="O177" s="8">
        <f>IF(COUNT(D177:L177)=0,"",MAX(D177:L177))</f>
        <v/>
      </c>
      <c r="P177" s="9">
        <f>IF(OR(M177="",M177=0),"",(O177-M177)/M177)</f>
        <v/>
      </c>
      <c r="Q177" s="7">
        <f>IF(COUNT(D177:L177)=0,"",INDEX($D$1:$L$1,MATCH(MIN(D177:L177),D177:L177,0)))</f>
        <v/>
      </c>
      <c r="R177" s="8" t="n">
        <v>2064.49</v>
      </c>
      <c r="S177" s="10" t="n">
        <v>1</v>
      </c>
    </row>
    <row r="178">
      <c r="A178" s="7" t="inlineStr">
        <is>
          <t>MAT-07-018</t>
        </is>
      </c>
      <c r="B178" s="4" t="inlineStr">
        <is>
          <t>Caballete para teja de acero gravillado</t>
        </is>
      </c>
      <c r="C178" s="7" t="inlineStr">
        <is>
          <t>unidad</t>
        </is>
      </c>
      <c r="D178" s="8" t="n">
        <v>202.34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>
        <f>IF(COUNT(D178:L178)=0,"",MIN(D178:L178))</f>
        <v/>
      </c>
      <c r="N178" s="8">
        <f>IF(COUNT(D178:L178)=0,"",MEDIAN(D178:L178))</f>
        <v/>
      </c>
      <c r="O178" s="8">
        <f>IF(COUNT(D178:L178)=0,"",MAX(D178:L178))</f>
        <v/>
      </c>
      <c r="P178" s="9">
        <f>IF(OR(M178="",M178=0),"",(O178-M178)/M178)</f>
        <v/>
      </c>
      <c r="Q178" s="7">
        <f>IF(COUNT(D178:L178)=0,"",INDEX($D$1:$L$1,MATCH(MIN(D178:L178),D178:L178,0)))</f>
        <v/>
      </c>
      <c r="R178" s="8" t="n">
        <v>353.39</v>
      </c>
      <c r="S178" s="10" t="n">
        <v>1</v>
      </c>
    </row>
    <row r="179">
      <c r="A179" s="7" t="inlineStr">
        <is>
          <t>MAT-07-019</t>
        </is>
      </c>
      <c r="B179" s="4" t="inlineStr">
        <is>
          <t>Final de caballete para teja de acero gravillado</t>
        </is>
      </c>
      <c r="C179" s="7" t="inlineStr">
        <is>
          <t>unidad</t>
        </is>
      </c>
      <c r="D179" s="8" t="n">
        <v>131.47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>
        <f>IF(COUNT(D179:L179)=0,"",MIN(D179:L179))</f>
        <v/>
      </c>
      <c r="N179" s="8">
        <f>IF(COUNT(D179:L179)=0,"",MEDIAN(D179:L179))</f>
        <v/>
      </c>
      <c r="O179" s="8">
        <f>IF(COUNT(D179:L179)=0,"",MAX(D179:L179))</f>
        <v/>
      </c>
      <c r="P179" s="9">
        <f>IF(OR(M179="",M179=0),"",(O179-M179)/M179)</f>
        <v/>
      </c>
      <c r="Q179" s="7">
        <f>IF(COUNT(D179:L179)=0,"",INDEX($D$1:$L$1,MATCH(MIN(D179:L179),D179:L179,0)))</f>
        <v/>
      </c>
      <c r="R179" s="8" t="n">
        <v>136.66</v>
      </c>
      <c r="S179" s="10" t="n">
        <v>1</v>
      </c>
    </row>
    <row r="180">
      <c r="A180" s="7" t="inlineStr">
        <is>
          <t>MAT-07-020</t>
        </is>
      </c>
      <c r="B180" s="4" t="inlineStr">
        <is>
          <t>Final de caballete para teja de cerámica</t>
        </is>
      </c>
      <c r="C180" s="7" t="inlineStr">
        <is>
          <t>unidad</t>
        </is>
      </c>
      <c r="D180" s="8" t="n">
        <v>2198.43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>
        <f>IF(COUNT(D180:L180)=0,"",MIN(D180:L180))</f>
        <v/>
      </c>
      <c r="N180" s="8">
        <f>IF(COUNT(D180:L180)=0,"",MEDIAN(D180:L180))</f>
        <v/>
      </c>
      <c r="O180" s="8">
        <f>IF(COUNT(D180:L180)=0,"",MAX(D180:L180))</f>
        <v/>
      </c>
      <c r="P180" s="9">
        <f>IF(OR(M180="",M180=0),"",(O180-M180)/M180)</f>
        <v/>
      </c>
      <c r="Q180" s="7">
        <f>IF(COUNT(D180:L180)=0,"",INDEX($D$1:$L$1,MATCH(MIN(D180:L180),D180:L180,0)))</f>
        <v/>
      </c>
      <c r="R180" s="8" t="n">
        <v>2198.43</v>
      </c>
      <c r="S180" s="10" t="n">
        <v>1</v>
      </c>
    </row>
    <row r="181">
      <c r="A181" s="7" t="inlineStr">
        <is>
          <t>MAT-07-021</t>
        </is>
      </c>
      <c r="B181" s="4" t="inlineStr">
        <is>
          <t>Zinc liso calibre 29, 3 x 6 pies</t>
        </is>
      </c>
      <c r="C181" s="7" t="inlineStr">
        <is>
          <t>plancha</t>
        </is>
      </c>
      <c r="D181" s="8" t="n">
        <v>270.35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>
        <f>IF(COUNT(D181:L181)=0,"",MIN(D181:L181))</f>
        <v/>
      </c>
      <c r="N181" s="8">
        <f>IF(COUNT(D181:L181)=0,"",MEDIAN(D181:L181))</f>
        <v/>
      </c>
      <c r="O181" s="8">
        <f>IF(COUNT(D181:L181)=0,"",MAX(D181:L181))</f>
        <v/>
      </c>
      <c r="P181" s="9">
        <f>IF(OR(M181="",M181=0),"",(O181-M181)/M181)</f>
        <v/>
      </c>
      <c r="Q181" s="7">
        <f>IF(COUNT(D181:L181)=0,"",INDEX($D$1:$L$1,MATCH(MIN(D181:L181),D181:L181,0)))</f>
        <v/>
      </c>
      <c r="R181" s="8" t="n">
        <v>283.27</v>
      </c>
      <c r="S181" s="10" t="n">
        <v>1</v>
      </c>
    </row>
    <row r="182">
      <c r="A182" s="7" t="inlineStr">
        <is>
          <t>MAT-07-022</t>
        </is>
      </c>
      <c r="B182" s="4" t="inlineStr">
        <is>
          <t>Zinc liso calibre 34, 3 x 6 pies</t>
        </is>
      </c>
      <c r="C182" s="7" t="inlineStr">
        <is>
          <t>plancha</t>
        </is>
      </c>
      <c r="D182" s="8" t="n">
        <v>208.33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>
        <f>IF(COUNT(D182:L182)=0,"",MIN(D182:L182))</f>
        <v/>
      </c>
      <c r="N182" s="8">
        <f>IF(COUNT(D182:L182)=0,"",MEDIAN(D182:L182))</f>
        <v/>
      </c>
      <c r="O182" s="8">
        <f>IF(COUNT(D182:L182)=0,"",MAX(D182:L182))</f>
        <v/>
      </c>
      <c r="P182" s="9">
        <f>IF(OR(M182="",M182=0),"",(O182-M182)/M182)</f>
        <v/>
      </c>
      <c r="Q182" s="7">
        <f>IF(COUNT(D182:L182)=0,"",INDEX($D$1:$L$1,MATCH(MIN(D182:L182),D182:L182,0)))</f>
        <v/>
      </c>
      <c r="R182" s="8" t="n">
        <v>208.95</v>
      </c>
      <c r="S182" s="10" t="n">
        <v>1</v>
      </c>
    </row>
    <row r="183">
      <c r="A183" s="7" t="inlineStr">
        <is>
          <t>MAT-07-023</t>
        </is>
      </c>
      <c r="B183" s="4" t="inlineStr">
        <is>
          <t>Zinc translúcido 3 x 6 pies</t>
        </is>
      </c>
      <c r="C183" s="7" t="inlineStr">
        <is>
          <t>plancha</t>
        </is>
      </c>
      <c r="D183" s="8" t="n">
        <v>1127.34</v>
      </c>
      <c r="E183" s="8" t="n"/>
      <c r="F183" s="8" t="n"/>
      <c r="G183" s="8" t="n"/>
      <c r="H183" s="8" t="n"/>
      <c r="I183" s="8" t="n">
        <v>1195</v>
      </c>
      <c r="J183" s="8" t="n">
        <v>1050.01</v>
      </c>
      <c r="K183" s="8" t="n"/>
      <c r="L183" s="8" t="n"/>
      <c r="M183" s="8">
        <f>IF(COUNT(D183:L183)=0,"",MIN(D183:L183))</f>
        <v/>
      </c>
      <c r="N183" s="8">
        <f>IF(COUNT(D183:L183)=0,"",MEDIAN(D183:L183))</f>
        <v/>
      </c>
      <c r="O183" s="8">
        <f>IF(COUNT(D183:L183)=0,"",MAX(D183:L183))</f>
        <v/>
      </c>
      <c r="P183" s="9">
        <f>IF(OR(M183="",M183=0),"",(O183-M183)/M183)</f>
        <v/>
      </c>
      <c r="Q183" s="7">
        <f>IF(COUNT(D183:L183)=0,"",INDEX($D$1:$L$1,MATCH(MIN(D183:L183),D183:L183,0)))</f>
        <v/>
      </c>
      <c r="R183" s="8" t="n">
        <v>1161.17</v>
      </c>
      <c r="S183" s="10" t="n">
        <v>3</v>
      </c>
    </row>
    <row r="184">
      <c r="A184" s="7" t="inlineStr">
        <is>
          <t>MAT-07-024</t>
        </is>
      </c>
      <c r="B184" s="4" t="inlineStr">
        <is>
          <t>Caballete para aluzinc 21"</t>
        </is>
      </c>
      <c r="C184" s="7" t="inlineStr">
        <is>
          <t>unidad</t>
        </is>
      </c>
      <c r="D184" s="8" t="n">
        <v>660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>
        <f>IF(COUNT(D184:L184)=0,"",MIN(D184:L184))</f>
        <v/>
      </c>
      <c r="N184" s="8">
        <f>IF(COUNT(D184:L184)=0,"",MEDIAN(D184:L184))</f>
        <v/>
      </c>
      <c r="O184" s="8">
        <f>IF(COUNT(D184:L184)=0,"",MAX(D184:L184))</f>
        <v/>
      </c>
      <c r="P184" s="9">
        <f>IF(OR(M184="",M184=0),"",(O184-M184)/M184)</f>
        <v/>
      </c>
      <c r="Q184" s="7">
        <f>IF(COUNT(D184:L184)=0,"",INDEX($D$1:$L$1,MATCH(MIN(D184:L184),D184:L184,0)))</f>
        <v/>
      </c>
      <c r="R184" s="8" t="n">
        <v>660</v>
      </c>
      <c r="S184" s="10" t="n">
        <v>1</v>
      </c>
    </row>
    <row r="185">
      <c r="A185" s="7" t="inlineStr">
        <is>
          <t>MAT-07-025</t>
        </is>
      </c>
      <c r="B185" s="4" t="inlineStr">
        <is>
          <t>Caballete de fibra para techo fibra de refuerzo, 0.76x0.6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1535</v>
      </c>
      <c r="J185" s="8" t="n"/>
      <c r="K185" s="8" t="n"/>
      <c r="L185" s="8" t="n"/>
      <c r="M185" s="8">
        <f>IF(COUNT(D185:L185)=0,"",MIN(D185:L185))</f>
        <v/>
      </c>
      <c r="N185" s="8">
        <f>IF(COUNT(D185:L185)=0,"",MEDIAN(D185:L185))</f>
        <v/>
      </c>
      <c r="O185" s="8">
        <f>IF(COUNT(D185:L185)=0,"",MAX(D185:L185))</f>
        <v/>
      </c>
      <c r="P185" s="9">
        <f>IF(OR(M185="",M185=0),"",(O185-M185)/M185)</f>
        <v/>
      </c>
      <c r="Q185" s="7">
        <f>IF(COUNT(D185:L185)=0,"",INDEX($D$1:$L$1,MATCH(MIN(D185:L185),D185:L185,0)))</f>
        <v/>
      </c>
      <c r="R185" s="8" t="n">
        <v>1535</v>
      </c>
      <c r="S185" s="10" t="n">
        <v>1</v>
      </c>
    </row>
    <row r="186">
      <c r="A186" s="7" t="inlineStr">
        <is>
          <t>MAT-07-026</t>
        </is>
      </c>
      <c r="B186" s="4" t="inlineStr">
        <is>
          <t>Plancha tipo teja de fibra fibra de refuerzo, 0.76X1.15</t>
        </is>
      </c>
      <c r="C186" s="7" t="inlineStr">
        <is>
          <t>unidad</t>
        </is>
      </c>
      <c r="D186" s="8" t="n"/>
      <c r="E186" s="8" t="n"/>
      <c r="F186" s="8" t="n"/>
      <c r="G186" s="8" t="n"/>
      <c r="H186" s="8" t="n"/>
      <c r="I186" s="8" t="n">
        <v>1450</v>
      </c>
      <c r="J186" s="8" t="n"/>
      <c r="K186" s="8" t="n"/>
      <c r="L186" s="8" t="n"/>
      <c r="M186" s="8">
        <f>IF(COUNT(D186:L186)=0,"",MIN(D186:L186))</f>
        <v/>
      </c>
      <c r="N186" s="8">
        <f>IF(COUNT(D186:L186)=0,"",MEDIAN(D186:L186))</f>
        <v/>
      </c>
      <c r="O186" s="8">
        <f>IF(COUNT(D186:L186)=0,"",MAX(D186:L186))</f>
        <v/>
      </c>
      <c r="P186" s="9">
        <f>IF(OR(M186="",M186=0),"",(O186-M186)/M186)</f>
        <v/>
      </c>
      <c r="Q186" s="7">
        <f>IF(COUNT(D186:L186)=0,"",INDEX($D$1:$L$1,MATCH(MIN(D186:L186),D186:L186,0)))</f>
        <v/>
      </c>
      <c r="R186" s="8" t="n">
        <v>1450</v>
      </c>
      <c r="S186" s="10" t="n">
        <v>1</v>
      </c>
    </row>
    <row r="187">
      <c r="A187" s="7" t="inlineStr">
        <is>
          <t>MAT-07-027</t>
        </is>
      </c>
      <c r="B187" s="4" t="inlineStr">
        <is>
          <t>Caballete de zinc calibre 29, 6 pies</t>
        </is>
      </c>
      <c r="C187" s="7" t="inlineStr">
        <is>
          <t>unidad</t>
        </is>
      </c>
      <c r="D187" s="8" t="n">
        <v>141.1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>
        <f>IF(COUNT(D187:L187)=0,"",MIN(D187:L187))</f>
        <v/>
      </c>
      <c r="N187" s="8">
        <f>IF(COUNT(D187:L187)=0,"",MEDIAN(D187:L187))</f>
        <v/>
      </c>
      <c r="O187" s="8">
        <f>IF(COUNT(D187:L187)=0,"",MAX(D187:L187))</f>
        <v/>
      </c>
      <c r="P187" s="9">
        <f>IF(OR(M187="",M187=0),"",(O187-M187)/M187)</f>
        <v/>
      </c>
      <c r="Q187" s="7">
        <f>IF(COUNT(D187:L187)=0,"",INDEX($D$1:$L$1,MATCH(MIN(D187:L187),D187:L187,0)))</f>
        <v/>
      </c>
      <c r="R187" s="8" t="n">
        <v>141.1</v>
      </c>
      <c r="S187" s="10" t="n">
        <v>1</v>
      </c>
    </row>
    <row r="188">
      <c r="A188" s="7" t="inlineStr">
        <is>
          <t>MAT-07-028</t>
        </is>
      </c>
      <c r="B188" s="4" t="inlineStr">
        <is>
          <t>Caballete de zinc calibre 34, 6 pies</t>
        </is>
      </c>
      <c r="C188" s="7" t="inlineStr">
        <is>
          <t>unidad</t>
        </is>
      </c>
      <c r="D188" s="8" t="n">
        <v>104.29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>
        <f>IF(COUNT(D188:L188)=0,"",MIN(D188:L188))</f>
        <v/>
      </c>
      <c r="N188" s="8">
        <f>IF(COUNT(D188:L188)=0,"",MEDIAN(D188:L188))</f>
        <v/>
      </c>
      <c r="O188" s="8">
        <f>IF(COUNT(D188:L188)=0,"",MAX(D188:L188))</f>
        <v/>
      </c>
      <c r="P188" s="9">
        <f>IF(OR(M188="",M188=0),"",(O188-M188)/M188)</f>
        <v/>
      </c>
      <c r="Q188" s="7">
        <f>IF(COUNT(D188:L188)=0,"",INDEX($D$1:$L$1,MATCH(MIN(D188:L188),D188:L188,0)))</f>
        <v/>
      </c>
      <c r="R188" s="8" t="n">
        <v>104.29</v>
      </c>
      <c r="S188" s="10" t="n">
        <v>1</v>
      </c>
    </row>
    <row r="189">
      <c r="A189" s="7" t="inlineStr">
        <is>
          <t>MAT-07-029</t>
        </is>
      </c>
      <c r="B189" s="4" t="inlineStr">
        <is>
          <t>Caño para aluzinc 6" x 7" x 10 pies</t>
        </is>
      </c>
      <c r="C189" s="7" t="inlineStr">
        <is>
          <t>unidad</t>
        </is>
      </c>
      <c r="D189" s="8" t="n">
        <v>659.86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>
        <f>IF(COUNT(D189:L189)=0,"",MIN(D189:L189))</f>
        <v/>
      </c>
      <c r="N189" s="8">
        <f>IF(COUNT(D189:L189)=0,"",MEDIAN(D189:L189))</f>
        <v/>
      </c>
      <c r="O189" s="8">
        <f>IF(COUNT(D189:L189)=0,"",MAX(D189:L189))</f>
        <v/>
      </c>
      <c r="P189" s="9">
        <f>IF(OR(M189="",M189=0),"",(O189-M189)/M189)</f>
        <v/>
      </c>
      <c r="Q189" s="7">
        <f>IF(COUNT(D189:L189)=0,"",INDEX($D$1:$L$1,MATCH(MIN(D189:L189),D189:L189,0)))</f>
        <v/>
      </c>
      <c r="R189" s="8" t="n">
        <v>659.86</v>
      </c>
      <c r="S189" s="10" t="n">
        <v>1</v>
      </c>
    </row>
    <row r="190">
      <c r="A190" s="7" t="inlineStr">
        <is>
          <t>MAT-08-014</t>
        </is>
      </c>
      <c r="B190" s="4" t="inlineStr">
        <is>
          <t>Cerámica de pared, 100 x 30 cm</t>
        </is>
      </c>
      <c r="C190" s="7" t="inlineStr">
        <is>
          <t>m²</t>
        </is>
      </c>
      <c r="D190" s="8" t="n">
        <v>1303.85</v>
      </c>
      <c r="E190" s="8" t="n">
        <v>1094.5</v>
      </c>
      <c r="F190" s="8" t="n"/>
      <c r="G190" s="8" t="n"/>
      <c r="H190" s="8" t="n"/>
      <c r="I190" s="8" t="n"/>
      <c r="J190" s="8" t="n"/>
      <c r="K190" s="8" t="n"/>
      <c r="L190" s="8" t="n"/>
      <c r="M190" s="8">
        <f>IF(COUNT(D190:L190)=0,"",MIN(D190:L190))</f>
        <v/>
      </c>
      <c r="N190" s="8">
        <f>IF(COUNT(D190:L190)=0,"",MEDIAN(D190:L190))</f>
        <v/>
      </c>
      <c r="O190" s="8">
        <f>IF(COUNT(D190:L190)=0,"",MAX(D190:L190))</f>
        <v/>
      </c>
      <c r="P190" s="9">
        <f>IF(OR(M190="",M190=0),"",(O190-M190)/M190)</f>
        <v/>
      </c>
      <c r="Q190" s="7">
        <f>IF(COUNT(D190:L190)=0,"",INDEX($D$1:$L$1,MATCH(MIN(D190:L190),D190:L190,0)))</f>
        <v/>
      </c>
      <c r="R190" s="8" t="n">
        <v>2112.23</v>
      </c>
      <c r="S190" s="10" t="n">
        <v>2</v>
      </c>
    </row>
    <row r="191">
      <c r="A191" s="7" t="inlineStr">
        <is>
          <t>MAT-08-015</t>
        </is>
      </c>
      <c r="B191" s="4" t="inlineStr">
        <is>
          <t>Cerámica de pared, 100 x 33 cm</t>
        </is>
      </c>
      <c r="C191" s="7" t="inlineStr">
        <is>
          <t>m²</t>
        </is>
      </c>
      <c r="D191" s="8" t="n">
        <v>1239.18</v>
      </c>
      <c r="E191" s="8" t="n"/>
      <c r="F191" s="8" t="n"/>
      <c r="G191" s="8" t="n">
        <v>1725.01</v>
      </c>
      <c r="H191" s="8" t="n"/>
      <c r="I191" s="8" t="n"/>
      <c r="J191" s="8" t="n"/>
      <c r="K191" s="8" t="n"/>
      <c r="L191" s="8" t="n"/>
      <c r="M191" s="8">
        <f>IF(COUNT(D191:L191)=0,"",MIN(D191:L191))</f>
        <v/>
      </c>
      <c r="N191" s="8">
        <f>IF(COUNT(D191:L191)=0,"",MEDIAN(D191:L191))</f>
        <v/>
      </c>
      <c r="O191" s="8">
        <f>IF(COUNT(D191:L191)=0,"",MAX(D191:L191))</f>
        <v/>
      </c>
      <c r="P191" s="9">
        <f>IF(OR(M191="",M191=0),"",(O191-M191)/M191)</f>
        <v/>
      </c>
      <c r="Q191" s="7">
        <f>IF(COUNT(D191:L191)=0,"",INDEX($D$1:$L$1,MATCH(MIN(D191:L191),D191:L191,0)))</f>
        <v/>
      </c>
      <c r="R191" s="8" t="n">
        <v>1725.01</v>
      </c>
      <c r="S191" s="10" t="n">
        <v>2</v>
      </c>
    </row>
    <row r="192">
      <c r="A192" s="7" t="inlineStr">
        <is>
          <t>MAT-08-016</t>
        </is>
      </c>
      <c r="B192" s="4" t="inlineStr">
        <is>
          <t>Cerámica de pared, 113 x 55 cm</t>
        </is>
      </c>
      <c r="C192" s="7" t="inlineStr">
        <is>
          <t>m²</t>
        </is>
      </c>
      <c r="D192" s="8" t="n">
        <v>1045.19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>
        <f>IF(COUNT(D192:L192)=0,"",MIN(D192:L192))</f>
        <v/>
      </c>
      <c r="N192" s="8">
        <f>IF(COUNT(D192:L192)=0,"",MEDIAN(D192:L192))</f>
        <v/>
      </c>
      <c r="O192" s="8">
        <f>IF(COUNT(D192:L192)=0,"",MAX(D192:L192))</f>
        <v/>
      </c>
      <c r="P192" s="9">
        <f>IF(OR(M192="",M192=0),"",(O192-M192)/M192)</f>
        <v/>
      </c>
      <c r="Q192" s="7">
        <f>IF(COUNT(D192:L192)=0,"",INDEX($D$1:$L$1,MATCH(MIN(D192:L192),D192:L192,0)))</f>
        <v/>
      </c>
      <c r="R192" s="8" t="n">
        <v>1045.19</v>
      </c>
      <c r="S192" s="10" t="n">
        <v>1</v>
      </c>
    </row>
    <row r="193">
      <c r="A193" s="7" t="inlineStr">
        <is>
          <t>MAT-08-017</t>
        </is>
      </c>
      <c r="B193" s="4" t="inlineStr">
        <is>
          <t>Cerámica de pared, 120 x 120 cm</t>
        </is>
      </c>
      <c r="C193" s="7" t="inlineStr">
        <is>
          <t>m²</t>
        </is>
      </c>
      <c r="D193" s="8" t="n">
        <v>2945.45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>
        <f>IF(COUNT(D193:L193)=0,"",MIN(D193:L193))</f>
        <v/>
      </c>
      <c r="N193" s="8">
        <f>IF(COUNT(D193:L193)=0,"",MEDIAN(D193:L193))</f>
        <v/>
      </c>
      <c r="O193" s="8">
        <f>IF(COUNT(D193:L193)=0,"",MAX(D193:L193))</f>
        <v/>
      </c>
      <c r="P193" s="9">
        <f>IF(OR(M193="",M193=0),"",(O193-M193)/M193)</f>
        <v/>
      </c>
      <c r="Q193" s="7">
        <f>IF(COUNT(D193:L193)=0,"",INDEX($D$1:$L$1,MATCH(MIN(D193:L193),D193:L193,0)))</f>
        <v/>
      </c>
      <c r="R193" s="8" t="n">
        <v>2945.45</v>
      </c>
      <c r="S193" s="10" t="n">
        <v>1</v>
      </c>
    </row>
    <row r="194">
      <c r="A194" s="7" t="inlineStr">
        <is>
          <t>MAT-08-018</t>
        </is>
      </c>
      <c r="B194" s="4" t="inlineStr">
        <is>
          <t>Cerámica de pared, 120 x 20 cm</t>
        </is>
      </c>
      <c r="C194" s="7" t="inlineStr">
        <is>
          <t>m²</t>
        </is>
      </c>
      <c r="D194" s="8" t="n">
        <v>1439.19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>
        <f>IF(COUNT(D194:L194)=0,"",MIN(D194:L194))</f>
        <v/>
      </c>
      <c r="N194" s="8">
        <f>IF(COUNT(D194:L194)=0,"",MEDIAN(D194:L194))</f>
        <v/>
      </c>
      <c r="O194" s="8">
        <f>IF(COUNT(D194:L194)=0,"",MAX(D194:L194))</f>
        <v/>
      </c>
      <c r="P194" s="9">
        <f>IF(OR(M194="",M194=0),"",(O194-M194)/M194)</f>
        <v/>
      </c>
      <c r="Q194" s="7">
        <f>IF(COUNT(D194:L194)=0,"",INDEX($D$1:$L$1,MATCH(MIN(D194:L194),D194:L194,0)))</f>
        <v/>
      </c>
      <c r="R194" s="8" t="n">
        <v>1459.08</v>
      </c>
      <c r="S194" s="10" t="n">
        <v>1</v>
      </c>
    </row>
    <row r="195">
      <c r="A195" s="7" t="inlineStr">
        <is>
          <t>MAT-08-019</t>
        </is>
      </c>
      <c r="B195" s="4" t="inlineStr">
        <is>
          <t>Cerámica de pared, 120 x 40 cm</t>
        </is>
      </c>
      <c r="C195" s="7" t="inlineStr">
        <is>
          <t>m²</t>
        </is>
      </c>
      <c r="D195" s="8" t="n">
        <v>1563.47</v>
      </c>
      <c r="E195" s="8" t="n">
        <v>635.59</v>
      </c>
      <c r="F195" s="8" t="n"/>
      <c r="G195" s="8" t="n"/>
      <c r="H195" s="8" t="n"/>
      <c r="I195" s="8" t="n"/>
      <c r="J195" s="8" t="n"/>
      <c r="K195" s="8" t="n"/>
      <c r="L195" s="8" t="n"/>
      <c r="M195" s="8">
        <f>IF(COUNT(D195:L195)=0,"",MIN(D195:L195))</f>
        <v/>
      </c>
      <c r="N195" s="8">
        <f>IF(COUNT(D195:L195)=0,"",MEDIAN(D195:L195))</f>
        <v/>
      </c>
      <c r="O195" s="8">
        <f>IF(COUNT(D195:L195)=0,"",MAX(D195:L195))</f>
        <v/>
      </c>
      <c r="P195" s="9">
        <f>IF(OR(M195="",M195=0),"",(O195-M195)/M195)</f>
        <v/>
      </c>
      <c r="Q195" s="7">
        <f>IF(COUNT(D195:L195)=0,"",INDEX($D$1:$L$1,MATCH(MIN(D195:L195),D195:L195,0)))</f>
        <v/>
      </c>
      <c r="R195" s="8" t="n">
        <v>2202.65</v>
      </c>
      <c r="S195" s="10" t="n">
        <v>2</v>
      </c>
    </row>
    <row r="196">
      <c r="A196" s="7" t="inlineStr">
        <is>
          <t>MAT-08-020</t>
        </is>
      </c>
      <c r="B196" s="4" t="inlineStr">
        <is>
          <t>Cerámica de pared, 120 x 45 cm</t>
        </is>
      </c>
      <c r="C196" s="7" t="inlineStr">
        <is>
          <t>m²</t>
        </is>
      </c>
      <c r="D196" s="8" t="n"/>
      <c r="E196" s="8" t="n">
        <v>2224.67</v>
      </c>
      <c r="F196" s="8" t="n"/>
      <c r="G196" s="8" t="n"/>
      <c r="H196" s="8" t="n"/>
      <c r="I196" s="8" t="n"/>
      <c r="J196" s="8" t="n"/>
      <c r="K196" s="8" t="n"/>
      <c r="L196" s="8" t="n"/>
      <c r="M196" s="8">
        <f>IF(COUNT(D196:L196)=0,"",MIN(D196:L196))</f>
        <v/>
      </c>
      <c r="N196" s="8">
        <f>IF(COUNT(D196:L196)=0,"",MEDIAN(D196:L196))</f>
        <v/>
      </c>
      <c r="O196" s="8">
        <f>IF(COUNT(D196:L196)=0,"",MAX(D196:L196))</f>
        <v/>
      </c>
      <c r="P196" s="9">
        <f>IF(OR(M196="",M196=0),"",(O196-M196)/M196)</f>
        <v/>
      </c>
      <c r="Q196" s="7">
        <f>IF(COUNT(D196:L196)=0,"",INDEX($D$1:$L$1,MATCH(MIN(D196:L196),D196:L196,0)))</f>
        <v/>
      </c>
      <c r="R196" s="8" t="n">
        <v>3077.3</v>
      </c>
      <c r="S196" s="10" t="n">
        <v>1</v>
      </c>
    </row>
    <row r="197">
      <c r="A197" s="7" t="inlineStr">
        <is>
          <t>MAT-08-021</t>
        </is>
      </c>
      <c r="B197" s="4" t="inlineStr">
        <is>
          <t>Cerámica de pared, 120 x 60 cm</t>
        </is>
      </c>
      <c r="C197" s="7" t="inlineStr">
        <is>
          <t>m²</t>
        </is>
      </c>
      <c r="D197" s="8" t="n">
        <v>2119.72</v>
      </c>
      <c r="E197" s="8" t="n">
        <v>1821.11</v>
      </c>
      <c r="F197" s="8" t="n"/>
      <c r="G197" s="8" t="n"/>
      <c r="H197" s="8" t="n"/>
      <c r="I197" s="8" t="n"/>
      <c r="J197" s="8" t="n"/>
      <c r="K197" s="8" t="n"/>
      <c r="L197" s="8" t="n"/>
      <c r="M197" s="8">
        <f>IF(COUNT(D197:L197)=0,"",MIN(D197:L197))</f>
        <v/>
      </c>
      <c r="N197" s="8">
        <f>IF(COUNT(D197:L197)=0,"",MEDIAN(D197:L197))</f>
        <v/>
      </c>
      <c r="O197" s="8">
        <f>IF(COUNT(D197:L197)=0,"",MAX(D197:L197))</f>
        <v/>
      </c>
      <c r="P197" s="9">
        <f>IF(OR(M197="",M197=0),"",(O197-M197)/M197)</f>
        <v/>
      </c>
      <c r="Q197" s="7">
        <f>IF(COUNT(D197:L197)=0,"",INDEX($D$1:$L$1,MATCH(MIN(D197:L197),D197:L197,0)))</f>
        <v/>
      </c>
      <c r="R197" s="8" t="n">
        <v>2520.03</v>
      </c>
      <c r="S197" s="10" t="n">
        <v>2</v>
      </c>
    </row>
    <row r="198">
      <c r="A198" s="7" t="inlineStr">
        <is>
          <t>MAT-08-022</t>
        </is>
      </c>
      <c r="B198" s="4" t="inlineStr">
        <is>
          <t>Cerámica de pared, 15 x 15 cm</t>
        </is>
      </c>
      <c r="C198" s="7" t="inlineStr">
        <is>
          <t>m²</t>
        </is>
      </c>
      <c r="D198" s="8" t="n">
        <v>2854.38</v>
      </c>
      <c r="E198" s="8" t="n">
        <v>2122.94</v>
      </c>
      <c r="F198" s="8" t="n"/>
      <c r="G198" s="8" t="n"/>
      <c r="H198" s="8" t="n"/>
      <c r="I198" s="8" t="n"/>
      <c r="J198" s="8" t="n"/>
      <c r="K198" s="8" t="n"/>
      <c r="L198" s="8" t="n"/>
      <c r="M198" s="8">
        <f>IF(COUNT(D198:L198)=0,"",MIN(D198:L198))</f>
        <v/>
      </c>
      <c r="N198" s="8">
        <f>IF(COUNT(D198:L198)=0,"",MEDIAN(D198:L198))</f>
        <v/>
      </c>
      <c r="O198" s="8">
        <f>IF(COUNT(D198:L198)=0,"",MAX(D198:L198))</f>
        <v/>
      </c>
      <c r="P198" s="9">
        <f>IF(OR(M198="",M198=0),"",(O198-M198)/M198)</f>
        <v/>
      </c>
      <c r="Q198" s="7">
        <f>IF(COUNT(D198:L198)=0,"",INDEX($D$1:$L$1,MATCH(MIN(D198:L198),D198:L198,0)))</f>
        <v/>
      </c>
      <c r="R198" s="8" t="n">
        <v>2854.38</v>
      </c>
      <c r="S198" s="10" t="n">
        <v>2</v>
      </c>
    </row>
    <row r="199">
      <c r="A199" s="7" t="inlineStr">
        <is>
          <t>MAT-08-023</t>
        </is>
      </c>
      <c r="B199" s="4" t="inlineStr">
        <is>
          <t>Cerámica de pared, 15 x 7.5 cm</t>
        </is>
      </c>
      <c r="C199" s="7" t="inlineStr">
        <is>
          <t>m²</t>
        </is>
      </c>
      <c r="D199" s="8" t="n">
        <v>2209.68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>
        <f>IF(COUNT(D199:L199)=0,"",MIN(D199:L199))</f>
        <v/>
      </c>
      <c r="N199" s="8">
        <f>IF(COUNT(D199:L199)=0,"",MEDIAN(D199:L199))</f>
        <v/>
      </c>
      <c r="O199" s="8">
        <f>IF(COUNT(D199:L199)=0,"",MAX(D199:L199))</f>
        <v/>
      </c>
      <c r="P199" s="9">
        <f>IF(OR(M199="",M199=0),"",(O199-M199)/M199)</f>
        <v/>
      </c>
      <c r="Q199" s="7">
        <f>IF(COUNT(D199:L199)=0,"",INDEX($D$1:$L$1,MATCH(MIN(D199:L199),D199:L199,0)))</f>
        <v/>
      </c>
      <c r="R199" s="8" t="n">
        <v>2355.76</v>
      </c>
      <c r="S199" s="10" t="n">
        <v>1</v>
      </c>
    </row>
    <row r="200">
      <c r="A200" s="7" t="inlineStr">
        <is>
          <t>MAT-08-024</t>
        </is>
      </c>
      <c r="B200" s="4" t="inlineStr">
        <is>
          <t>Cerámica de pared, 20 x 10 cm</t>
        </is>
      </c>
      <c r="C200" s="7" t="inlineStr">
        <is>
          <t>m²</t>
        </is>
      </c>
      <c r="D200" s="8" t="n"/>
      <c r="E200" s="8" t="n">
        <v>1224.36</v>
      </c>
      <c r="F200" s="8" t="n"/>
      <c r="G200" s="8" t="n"/>
      <c r="H200" s="8" t="n"/>
      <c r="I200" s="8" t="n"/>
      <c r="J200" s="8" t="n"/>
      <c r="K200" s="8" t="n"/>
      <c r="L200" s="8" t="n"/>
      <c r="M200" s="8">
        <f>IF(COUNT(D200:L200)=0,"",MIN(D200:L200))</f>
        <v/>
      </c>
      <c r="N200" s="8">
        <f>IF(COUNT(D200:L200)=0,"",MEDIAN(D200:L200))</f>
        <v/>
      </c>
      <c r="O200" s="8">
        <f>IF(COUNT(D200:L200)=0,"",MAX(D200:L200))</f>
        <v/>
      </c>
      <c r="P200" s="9">
        <f>IF(OR(M200="",M200=0),"",(O200-M200)/M200)</f>
        <v/>
      </c>
      <c r="Q200" s="7">
        <f>IF(COUNT(D200:L200)=0,"",INDEX($D$1:$L$1,MATCH(MIN(D200:L200),D200:L200,0)))</f>
        <v/>
      </c>
      <c r="R200" s="8" t="n">
        <v>1444.74</v>
      </c>
      <c r="S200" s="10" t="n">
        <v>1</v>
      </c>
    </row>
    <row r="201">
      <c r="A201" s="7" t="inlineStr">
        <is>
          <t>MAT-08-025</t>
        </is>
      </c>
      <c r="B201" s="4" t="inlineStr">
        <is>
          <t>Cerámica de pared, 20 x 17.5 cm</t>
        </is>
      </c>
      <c r="C201" s="7" t="inlineStr">
        <is>
          <t>m²</t>
        </is>
      </c>
      <c r="D201" s="8" t="n">
        <v>767.39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>
        <f>IF(COUNT(D201:L201)=0,"",MIN(D201:L201))</f>
        <v/>
      </c>
      <c r="N201" s="8">
        <f>IF(COUNT(D201:L201)=0,"",MEDIAN(D201:L201))</f>
        <v/>
      </c>
      <c r="O201" s="8">
        <f>IF(COUNT(D201:L201)=0,"",MAX(D201:L201))</f>
        <v/>
      </c>
      <c r="P201" s="9">
        <f>IF(OR(M201="",M201=0),"",(O201-M201)/M201)</f>
        <v/>
      </c>
      <c r="Q201" s="7">
        <f>IF(COUNT(D201:L201)=0,"",INDEX($D$1:$L$1,MATCH(MIN(D201:L201),D201:L201,0)))</f>
        <v/>
      </c>
      <c r="R201" s="8" t="n">
        <v>770.11</v>
      </c>
      <c r="S201" s="10" t="n">
        <v>1</v>
      </c>
    </row>
    <row r="202">
      <c r="A202" s="7" t="inlineStr">
        <is>
          <t>MAT-08-026</t>
        </is>
      </c>
      <c r="B202" s="4" t="inlineStr">
        <is>
          <t>Cerámica de pared, 20 x 20 cm</t>
        </is>
      </c>
      <c r="C202" s="7" t="inlineStr">
        <is>
          <t>m²</t>
        </is>
      </c>
      <c r="D202" s="8" t="n"/>
      <c r="E202" s="8" t="n">
        <v>995</v>
      </c>
      <c r="F202" s="8" t="n"/>
      <c r="G202" s="8" t="n">
        <v>924.83</v>
      </c>
      <c r="H202" s="8" t="n"/>
      <c r="I202" s="8" t="n"/>
      <c r="J202" s="8" t="n"/>
      <c r="K202" s="8" t="n"/>
      <c r="L202" s="8" t="n"/>
      <c r="M202" s="8">
        <f>IF(COUNT(D202:L202)=0,"",MIN(D202:L202))</f>
        <v/>
      </c>
      <c r="N202" s="8">
        <f>IF(COUNT(D202:L202)=0,"",MEDIAN(D202:L202))</f>
        <v/>
      </c>
      <c r="O202" s="8">
        <f>IF(COUNT(D202:L202)=0,"",MAX(D202:L202))</f>
        <v/>
      </c>
      <c r="P202" s="9">
        <f>IF(OR(M202="",M202=0),"",(O202-M202)/M202)</f>
        <v/>
      </c>
      <c r="Q202" s="7">
        <f>IF(COUNT(D202:L202)=0,"",INDEX($D$1:$L$1,MATCH(MIN(D202:L202),D202:L202,0)))</f>
        <v/>
      </c>
      <c r="R202" s="8" t="n">
        <v>1081.92</v>
      </c>
      <c r="S202" s="10" t="n">
        <v>2</v>
      </c>
    </row>
    <row r="203">
      <c r="A203" s="7" t="inlineStr">
        <is>
          <t>MAT-08-027</t>
        </is>
      </c>
      <c r="B203" s="4" t="inlineStr">
        <is>
          <t>Cerámica de pared, 22.3 x 22.3 cm</t>
        </is>
      </c>
      <c r="C203" s="7" t="inlineStr">
        <is>
          <t>m²</t>
        </is>
      </c>
      <c r="D203" s="8" t="n">
        <v>1177.9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>
        <f>IF(COUNT(D203:L203)=0,"",MIN(D203:L203))</f>
        <v/>
      </c>
      <c r="N203" s="8">
        <f>IF(COUNT(D203:L203)=0,"",MEDIAN(D203:L203))</f>
        <v/>
      </c>
      <c r="O203" s="8">
        <f>IF(COUNT(D203:L203)=0,"",MAX(D203:L203))</f>
        <v/>
      </c>
      <c r="P203" s="9">
        <f>IF(OR(M203="",M203=0),"",(O203-M203)/M203)</f>
        <v/>
      </c>
      <c r="Q203" s="7">
        <f>IF(COUNT(D203:L203)=0,"",INDEX($D$1:$L$1,MATCH(MIN(D203:L203),D203:L203,0)))</f>
        <v/>
      </c>
      <c r="R203" s="8" t="n">
        <v>1177.9</v>
      </c>
      <c r="S203" s="10" t="n">
        <v>1</v>
      </c>
    </row>
    <row r="204">
      <c r="A204" s="7" t="inlineStr">
        <is>
          <t>MAT-08-028</t>
        </is>
      </c>
      <c r="B204" s="4" t="inlineStr">
        <is>
          <t>Cerámica de pared, 30 x 10 cm</t>
        </is>
      </c>
      <c r="C204" s="7" t="inlineStr">
        <is>
          <t>m²</t>
        </is>
      </c>
      <c r="D204" s="8" t="n">
        <v>874.58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>
        <f>IF(COUNT(D204:L204)=0,"",MIN(D204:L204))</f>
        <v/>
      </c>
      <c r="N204" s="8">
        <f>IF(COUNT(D204:L204)=0,"",MEDIAN(D204:L204))</f>
        <v/>
      </c>
      <c r="O204" s="8">
        <f>IF(COUNT(D204:L204)=0,"",MAX(D204:L204))</f>
        <v/>
      </c>
      <c r="P204" s="9">
        <f>IF(OR(M204="",M204=0),"",(O204-M204)/M204)</f>
        <v/>
      </c>
      <c r="Q204" s="7">
        <f>IF(COUNT(D204:L204)=0,"",INDEX($D$1:$L$1,MATCH(MIN(D204:L204),D204:L204,0)))</f>
        <v/>
      </c>
      <c r="R204" s="8" t="n">
        <v>1204.05</v>
      </c>
      <c r="S204" s="10" t="n">
        <v>1</v>
      </c>
    </row>
    <row r="205">
      <c r="A205" s="7" t="inlineStr">
        <is>
          <t>MAT-08-029</t>
        </is>
      </c>
      <c r="B205" s="4" t="inlineStr">
        <is>
          <t>Cerámica de pared, 30 x 20 cm</t>
        </is>
      </c>
      <c r="C205" s="7" t="inlineStr">
        <is>
          <t>m²</t>
        </is>
      </c>
      <c r="D205" s="8" t="n"/>
      <c r="E205" s="8" t="n">
        <v>1873.67</v>
      </c>
      <c r="F205" s="8" t="n"/>
      <c r="G205" s="8" t="n"/>
      <c r="H205" s="8" t="n"/>
      <c r="I205" s="8" t="n"/>
      <c r="J205" s="8" t="n"/>
      <c r="K205" s="8" t="n"/>
      <c r="L205" s="8" t="n"/>
      <c r="M205" s="8">
        <f>IF(COUNT(D205:L205)=0,"",MIN(D205:L205))</f>
        <v/>
      </c>
      <c r="N205" s="8">
        <f>IF(COUNT(D205:L205)=0,"",MEDIAN(D205:L205))</f>
        <v/>
      </c>
      <c r="O205" s="8">
        <f>IF(COUNT(D205:L205)=0,"",MAX(D205:L205))</f>
        <v/>
      </c>
      <c r="P205" s="9">
        <f>IF(OR(M205="",M205=0),"",(O205-M205)/M205)</f>
        <v/>
      </c>
      <c r="Q205" s="7">
        <f>IF(COUNT(D205:L205)=0,"",INDEX($D$1:$L$1,MATCH(MIN(D205:L205),D205:L205,0)))</f>
        <v/>
      </c>
      <c r="R205" s="8" t="n">
        <v>2210.93</v>
      </c>
      <c r="S205" s="10" t="n">
        <v>1</v>
      </c>
    </row>
    <row r="206">
      <c r="A206" s="7" t="inlineStr">
        <is>
          <t>MAT-08-030</t>
        </is>
      </c>
      <c r="B206" s="4" t="inlineStr">
        <is>
          <t>Cerámica de pared, 30 x 7.5 cm</t>
        </is>
      </c>
      <c r="C206" s="7" t="inlineStr">
        <is>
          <t>m²</t>
        </is>
      </c>
      <c r="D206" s="8" t="n">
        <v>806.14</v>
      </c>
      <c r="E206" s="8" t="n">
        <v>968.37</v>
      </c>
      <c r="F206" s="8" t="n"/>
      <c r="G206" s="8" t="n"/>
      <c r="H206" s="8" t="n"/>
      <c r="I206" s="8" t="n"/>
      <c r="J206" s="8" t="n"/>
      <c r="K206" s="8" t="n"/>
      <c r="L206" s="8" t="n"/>
      <c r="M206" s="8">
        <f>IF(COUNT(D206:L206)=0,"",MIN(D206:L206))</f>
        <v/>
      </c>
      <c r="N206" s="8">
        <f>IF(COUNT(D206:L206)=0,"",MEDIAN(D206:L206))</f>
        <v/>
      </c>
      <c r="O206" s="8">
        <f>IF(COUNT(D206:L206)=0,"",MAX(D206:L206))</f>
        <v/>
      </c>
      <c r="P206" s="9">
        <f>IF(OR(M206="",M206=0),"",(O206-M206)/M206)</f>
        <v/>
      </c>
      <c r="Q206" s="7">
        <f>IF(COUNT(D206:L206)=0,"",INDEX($D$1:$L$1,MATCH(MIN(D206:L206),D206:L206,0)))</f>
        <v/>
      </c>
      <c r="R206" s="8" t="n">
        <v>1860.21</v>
      </c>
      <c r="S206" s="10" t="n">
        <v>2</v>
      </c>
    </row>
    <row r="207">
      <c r="A207" s="7" t="inlineStr">
        <is>
          <t>MAT-08-031</t>
        </is>
      </c>
      <c r="B207" s="4" t="inlineStr">
        <is>
          <t>Cerámica de pared, 40 x 25 cm</t>
        </is>
      </c>
      <c r="C207" s="7" t="inlineStr">
        <is>
          <t>m²</t>
        </is>
      </c>
      <c r="D207" s="8" t="n"/>
      <c r="E207" s="8" t="n"/>
      <c r="F207" s="8" t="n"/>
      <c r="G207" s="8" t="n">
        <v>1100</v>
      </c>
      <c r="H207" s="8" t="n"/>
      <c r="I207" s="8" t="n"/>
      <c r="J207" s="8" t="n"/>
      <c r="K207" s="8" t="n"/>
      <c r="L207" s="8" t="n"/>
      <c r="M207" s="8">
        <f>IF(COUNT(D207:L207)=0,"",MIN(D207:L207))</f>
        <v/>
      </c>
      <c r="N207" s="8">
        <f>IF(COUNT(D207:L207)=0,"",MEDIAN(D207:L207))</f>
        <v/>
      </c>
      <c r="O207" s="8">
        <f>IF(COUNT(D207:L207)=0,"",MAX(D207:L207))</f>
        <v/>
      </c>
      <c r="P207" s="9">
        <f>IF(OR(M207="",M207=0),"",(O207-M207)/M207)</f>
        <v/>
      </c>
      <c r="Q207" s="7">
        <f>IF(COUNT(D207:L207)=0,"",INDEX($D$1:$L$1,MATCH(MIN(D207:L207),D207:L207,0)))</f>
        <v/>
      </c>
      <c r="R207" s="8" t="n">
        <v>1364.21</v>
      </c>
      <c r="S207" s="10" t="n">
        <v>1</v>
      </c>
    </row>
    <row r="208">
      <c r="A208" s="7" t="inlineStr">
        <is>
          <t>MAT-08-032</t>
        </is>
      </c>
      <c r="B208" s="4" t="inlineStr">
        <is>
          <t>Cerámica de pared, 45 x 45 cm</t>
        </is>
      </c>
      <c r="C208" s="7" t="inlineStr">
        <is>
          <t>m²</t>
        </is>
      </c>
      <c r="D208" s="8" t="n">
        <v>709.33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>
        <f>IF(COUNT(D208:L208)=0,"",MIN(D208:L208))</f>
        <v/>
      </c>
      <c r="N208" s="8">
        <f>IF(COUNT(D208:L208)=0,"",MEDIAN(D208:L208))</f>
        <v/>
      </c>
      <c r="O208" s="8">
        <f>IF(COUNT(D208:L208)=0,"",MAX(D208:L208))</f>
        <v/>
      </c>
      <c r="P208" s="9">
        <f>IF(OR(M208="",M208=0),"",(O208-M208)/M208)</f>
        <v/>
      </c>
      <c r="Q208" s="7">
        <f>IF(COUNT(D208:L208)=0,"",INDEX($D$1:$L$1,MATCH(MIN(D208:L208),D208:L208,0)))</f>
        <v/>
      </c>
      <c r="R208" s="8" t="n">
        <v>832.97</v>
      </c>
      <c r="S208" s="10" t="n">
        <v>1</v>
      </c>
    </row>
    <row r="209">
      <c r="A209" s="7" t="inlineStr">
        <is>
          <t>MAT-08-033</t>
        </is>
      </c>
      <c r="B209" s="4" t="inlineStr">
        <is>
          <t>Cerámica de pared, 50 x 17 cm</t>
        </is>
      </c>
      <c r="C209" s="7" t="inlineStr">
        <is>
          <t>m²</t>
        </is>
      </c>
      <c r="D209" s="8" t="n">
        <v>1238.82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>
        <f>IF(COUNT(D209:L209)=0,"",MIN(D209:L209))</f>
        <v/>
      </c>
      <c r="N209" s="8">
        <f>IF(COUNT(D209:L209)=0,"",MEDIAN(D209:L209))</f>
        <v/>
      </c>
      <c r="O209" s="8">
        <f>IF(COUNT(D209:L209)=0,"",MAX(D209:L209))</f>
        <v/>
      </c>
      <c r="P209" s="9">
        <f>IF(OR(M209="",M209=0),"",(O209-M209)/M209)</f>
        <v/>
      </c>
      <c r="Q209" s="7">
        <f>IF(COUNT(D209:L209)=0,"",INDEX($D$1:$L$1,MATCH(MIN(D209:L209),D209:L209,0)))</f>
        <v/>
      </c>
      <c r="R209" s="8" t="n">
        <v>1238.82</v>
      </c>
      <c r="S209" s="10" t="n">
        <v>1</v>
      </c>
    </row>
    <row r="210">
      <c r="A210" s="7" t="inlineStr">
        <is>
          <t>MAT-08-034</t>
        </is>
      </c>
      <c r="B210" s="4" t="inlineStr">
        <is>
          <t>Cerámica de pared, 50 x 20 cm</t>
        </is>
      </c>
      <c r="C210" s="7" t="inlineStr">
        <is>
          <t>m²</t>
        </is>
      </c>
      <c r="D210" s="8" t="n"/>
      <c r="E210" s="8" t="n">
        <v>2332.73</v>
      </c>
      <c r="F210" s="8" t="n"/>
      <c r="G210" s="8" t="n"/>
      <c r="H210" s="8" t="n"/>
      <c r="I210" s="8" t="n"/>
      <c r="J210" s="8" t="n"/>
      <c r="K210" s="8" t="n"/>
      <c r="L210" s="8" t="n"/>
      <c r="M210" s="8">
        <f>IF(COUNT(D210:L210)=0,"",MIN(D210:L210))</f>
        <v/>
      </c>
      <c r="N210" s="8">
        <f>IF(COUNT(D210:L210)=0,"",MEDIAN(D210:L210))</f>
        <v/>
      </c>
      <c r="O210" s="8">
        <f>IF(COUNT(D210:L210)=0,"",MAX(D210:L210))</f>
        <v/>
      </c>
      <c r="P210" s="9">
        <f>IF(OR(M210="",M210=0),"",(O210-M210)/M210)</f>
        <v/>
      </c>
      <c r="Q210" s="7">
        <f>IF(COUNT(D210:L210)=0,"",INDEX($D$1:$L$1,MATCH(MIN(D210:L210),D210:L210,0)))</f>
        <v/>
      </c>
      <c r="R210" s="8" t="n">
        <v>2752.62</v>
      </c>
      <c r="S210" s="10" t="n">
        <v>1</v>
      </c>
    </row>
    <row r="211">
      <c r="A211" s="7" t="inlineStr">
        <is>
          <t>MAT-08-035</t>
        </is>
      </c>
      <c r="B211" s="4" t="inlineStr">
        <is>
          <t>Cerámica de pared, 50 x 25 cm</t>
        </is>
      </c>
      <c r="C211" s="7" t="inlineStr">
        <is>
          <t>m²</t>
        </is>
      </c>
      <c r="D211" s="8" t="n"/>
      <c r="E211" s="8" t="n">
        <v>459.05</v>
      </c>
      <c r="F211" s="8" t="n"/>
      <c r="G211" s="8" t="n"/>
      <c r="H211" s="8" t="n"/>
      <c r="I211" s="8" t="n"/>
      <c r="J211" s="8" t="n"/>
      <c r="K211" s="8" t="n"/>
      <c r="L211" s="8" t="n"/>
      <c r="M211" s="8">
        <f>IF(COUNT(D211:L211)=0,"",MIN(D211:L211))</f>
        <v/>
      </c>
      <c r="N211" s="8">
        <f>IF(COUNT(D211:L211)=0,"",MEDIAN(D211:L211))</f>
        <v/>
      </c>
      <c r="O211" s="8">
        <f>IF(COUNT(D211:L211)=0,"",MAX(D211:L211))</f>
        <v/>
      </c>
      <c r="P211" s="9">
        <f>IF(OR(M211="",M211=0),"",(O211-M211)/M211)</f>
        <v/>
      </c>
      <c r="Q211" s="7">
        <f>IF(COUNT(D211:L211)=0,"",INDEX($D$1:$L$1,MATCH(MIN(D211:L211),D211:L211,0)))</f>
        <v/>
      </c>
      <c r="R211" s="8" t="n">
        <v>541.6799999999999</v>
      </c>
      <c r="S211" s="10" t="n">
        <v>1</v>
      </c>
    </row>
    <row r="212">
      <c r="A212" s="7" t="inlineStr">
        <is>
          <t>MAT-08-036</t>
        </is>
      </c>
      <c r="B212" s="4" t="inlineStr">
        <is>
          <t>Cerámica de pared, 50 x 33 cm</t>
        </is>
      </c>
      <c r="C212" s="7" t="inlineStr">
        <is>
          <t>m²</t>
        </is>
      </c>
      <c r="D212" s="8" t="n">
        <v>1173.88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>
        <f>IF(COUNT(D212:L212)=0,"",MIN(D212:L212))</f>
        <v/>
      </c>
      <c r="N212" s="8">
        <f>IF(COUNT(D212:L212)=0,"",MEDIAN(D212:L212))</f>
        <v/>
      </c>
      <c r="O212" s="8">
        <f>IF(COUNT(D212:L212)=0,"",MAX(D212:L212))</f>
        <v/>
      </c>
      <c r="P212" s="9">
        <f>IF(OR(M212="",M212=0),"",(O212-M212)/M212)</f>
        <v/>
      </c>
      <c r="Q212" s="7">
        <f>IF(COUNT(D212:L212)=0,"",INDEX($D$1:$L$1,MATCH(MIN(D212:L212),D212:L212,0)))</f>
        <v/>
      </c>
      <c r="R212" s="8" t="n">
        <v>1201.87</v>
      </c>
      <c r="S212" s="10" t="n">
        <v>1</v>
      </c>
    </row>
    <row r="213">
      <c r="A213" s="7" t="inlineStr">
        <is>
          <t>MAT-08-037</t>
        </is>
      </c>
      <c r="B213" s="4" t="inlineStr">
        <is>
          <t>Cerámica de pared, 50 x 35 cm</t>
        </is>
      </c>
      <c r="C213" s="7" t="inlineStr">
        <is>
          <t>m²</t>
        </is>
      </c>
      <c r="D213" s="8" t="n"/>
      <c r="E213" s="8" t="n">
        <v>1029.69</v>
      </c>
      <c r="F213" s="8" t="n"/>
      <c r="G213" s="8" t="n"/>
      <c r="H213" s="8" t="n"/>
      <c r="I213" s="8" t="n"/>
      <c r="J213" s="8" t="n"/>
      <c r="K213" s="8" t="n"/>
      <c r="L213" s="8" t="n"/>
      <c r="M213" s="8">
        <f>IF(COUNT(D213:L213)=0,"",MIN(D213:L213))</f>
        <v/>
      </c>
      <c r="N213" s="8">
        <f>IF(COUNT(D213:L213)=0,"",MEDIAN(D213:L213))</f>
        <v/>
      </c>
      <c r="O213" s="8">
        <f>IF(COUNT(D213:L213)=0,"",MAX(D213:L213))</f>
        <v/>
      </c>
      <c r="P213" s="9">
        <f>IF(OR(M213="",M213=0),"",(O213-M213)/M213)</f>
        <v/>
      </c>
      <c r="Q213" s="7">
        <f>IF(COUNT(D213:L213)=0,"",INDEX($D$1:$L$1,MATCH(MIN(D213:L213),D213:L213,0)))</f>
        <v/>
      </c>
      <c r="R213" s="8" t="n">
        <v>1215.03</v>
      </c>
      <c r="S213" s="10" t="n">
        <v>1</v>
      </c>
    </row>
    <row r="214">
      <c r="A214" s="7" t="inlineStr">
        <is>
          <t>MAT-08-038</t>
        </is>
      </c>
      <c r="B214" s="4" t="inlineStr">
        <is>
          <t>Cerámica de pared, 55 x 33 cm</t>
        </is>
      </c>
      <c r="C214" s="7" t="inlineStr">
        <is>
          <t>m²</t>
        </is>
      </c>
      <c r="D214" s="8" t="n">
        <v>684.1799999999999</v>
      </c>
      <c r="E214" s="8" t="n"/>
      <c r="F214" s="8" t="n"/>
      <c r="G214" s="8" t="n">
        <v>1189.99</v>
      </c>
      <c r="H214" s="8" t="n"/>
      <c r="I214" s="8" t="n"/>
      <c r="J214" s="8" t="n"/>
      <c r="K214" s="8" t="n"/>
      <c r="L214" s="8" t="n"/>
      <c r="M214" s="8">
        <f>IF(COUNT(D214:L214)=0,"",MIN(D214:L214))</f>
        <v/>
      </c>
      <c r="N214" s="8">
        <f>IF(COUNT(D214:L214)=0,"",MEDIAN(D214:L214))</f>
        <v/>
      </c>
      <c r="O214" s="8">
        <f>IF(COUNT(D214:L214)=0,"",MAX(D214:L214))</f>
        <v/>
      </c>
      <c r="P214" s="9">
        <f>IF(OR(M214="",M214=0),"",(O214-M214)/M214)</f>
        <v/>
      </c>
      <c r="Q214" s="7">
        <f>IF(COUNT(D214:L214)=0,"",INDEX($D$1:$L$1,MATCH(MIN(D214:L214),D214:L214,0)))</f>
        <v/>
      </c>
      <c r="R214" s="8" t="n">
        <v>831.88</v>
      </c>
      <c r="S214" s="10" t="n">
        <v>2</v>
      </c>
    </row>
    <row r="215">
      <c r="A215" s="7" t="inlineStr">
        <is>
          <t>MAT-08-039</t>
        </is>
      </c>
      <c r="B215" s="4" t="inlineStr">
        <is>
          <t>Cerámica de pared, 58 x 19 cm</t>
        </is>
      </c>
      <c r="C215" s="7" t="inlineStr">
        <is>
          <t>m²</t>
        </is>
      </c>
      <c r="D215" s="8" t="n">
        <v>760.26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>
        <f>IF(COUNT(D215:L215)=0,"",MIN(D215:L215))</f>
        <v/>
      </c>
      <c r="N215" s="8">
        <f>IF(COUNT(D215:L215)=0,"",MEDIAN(D215:L215))</f>
        <v/>
      </c>
      <c r="O215" s="8">
        <f>IF(COUNT(D215:L215)=0,"",MAX(D215:L215))</f>
        <v/>
      </c>
      <c r="P215" s="9">
        <f>IF(OR(M215="",M215=0),"",(O215-M215)/M215)</f>
        <v/>
      </c>
      <c r="Q215" s="7">
        <f>IF(COUNT(D215:L215)=0,"",INDEX($D$1:$L$1,MATCH(MIN(D215:L215),D215:L215,0)))</f>
        <v/>
      </c>
      <c r="R215" s="8" t="n">
        <v>785.33</v>
      </c>
      <c r="S215" s="10" t="n">
        <v>1</v>
      </c>
    </row>
    <row r="216">
      <c r="A216" s="7" t="inlineStr">
        <is>
          <t>MAT-08-040</t>
        </is>
      </c>
      <c r="B216" s="4" t="inlineStr">
        <is>
          <t>Cerámica de pared, 58 x 30 cm</t>
        </is>
      </c>
      <c r="C216" s="7" t="inlineStr">
        <is>
          <t>m²</t>
        </is>
      </c>
      <c r="D216" s="8" t="n">
        <v>1684.92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>
        <f>IF(COUNT(D216:L216)=0,"",MIN(D216:L216))</f>
        <v/>
      </c>
      <c r="N216" s="8">
        <f>IF(COUNT(D216:L216)=0,"",MEDIAN(D216:L216))</f>
        <v/>
      </c>
      <c r="O216" s="8">
        <f>IF(COUNT(D216:L216)=0,"",MAX(D216:L216))</f>
        <v/>
      </c>
      <c r="P216" s="9">
        <f>IF(OR(M216="",M216=0),"",(O216-M216)/M216)</f>
        <v/>
      </c>
      <c r="Q216" s="7">
        <f>IF(COUNT(D216:L216)=0,"",INDEX($D$1:$L$1,MATCH(MIN(D216:L216),D216:L216,0)))</f>
        <v/>
      </c>
      <c r="R216" s="8" t="n">
        <v>1684.92</v>
      </c>
      <c r="S216" s="10" t="n">
        <v>1</v>
      </c>
    </row>
    <row r="217">
      <c r="A217" s="7" t="inlineStr">
        <is>
          <t>MAT-08-041</t>
        </is>
      </c>
      <c r="B217" s="4" t="inlineStr">
        <is>
          <t>Cerámica de pared, 58 x 33 cm</t>
        </is>
      </c>
      <c r="C217" s="7" t="inlineStr">
        <is>
          <t>m²</t>
        </is>
      </c>
      <c r="D217" s="8" t="n">
        <v>333.42</v>
      </c>
      <c r="E217" s="8" t="n"/>
      <c r="F217" s="8" t="n"/>
      <c r="G217" s="8" t="n"/>
      <c r="H217" s="8" t="n">
        <v>460</v>
      </c>
      <c r="I217" s="8" t="n"/>
      <c r="J217" s="8" t="n"/>
      <c r="K217" s="8" t="n"/>
      <c r="L217" s="8" t="n"/>
      <c r="M217" s="8">
        <f>IF(COUNT(D217:L217)=0,"",MIN(D217:L217))</f>
        <v/>
      </c>
      <c r="N217" s="8">
        <f>IF(COUNT(D217:L217)=0,"",MEDIAN(D217:L217))</f>
        <v/>
      </c>
      <c r="O217" s="8">
        <f>IF(COUNT(D217:L217)=0,"",MAX(D217:L217))</f>
        <v/>
      </c>
      <c r="P217" s="9">
        <f>IF(OR(M217="",M217=0),"",(O217-M217)/M217)</f>
        <v/>
      </c>
      <c r="Q217" s="7">
        <f>IF(COUNT(D217:L217)=0,"",INDEX($D$1:$L$1,MATCH(MIN(D217:L217),D217:L217,0)))</f>
        <v/>
      </c>
      <c r="R217" s="8" t="n">
        <v>390.97</v>
      </c>
      <c r="S217" s="10" t="n">
        <v>2</v>
      </c>
    </row>
    <row r="218">
      <c r="A218" s="7" t="inlineStr">
        <is>
          <t>MAT-08-042</t>
        </is>
      </c>
      <c r="B218" s="4" t="inlineStr">
        <is>
          <t>Cerámica de pared, 60 x 20 cm</t>
        </is>
      </c>
      <c r="C218" s="7" t="inlineStr">
        <is>
          <t>m²</t>
        </is>
      </c>
      <c r="D218" s="8" t="n">
        <v>1162.7</v>
      </c>
      <c r="E218" s="8" t="n"/>
      <c r="F218" s="8" t="n"/>
      <c r="G218" s="8" t="n">
        <v>1640.18</v>
      </c>
      <c r="H218" s="8" t="n"/>
      <c r="I218" s="8" t="n"/>
      <c r="J218" s="8" t="n"/>
      <c r="K218" s="8" t="n"/>
      <c r="L218" s="8" t="n"/>
      <c r="M218" s="8">
        <f>IF(COUNT(D218:L218)=0,"",MIN(D218:L218))</f>
        <v/>
      </c>
      <c r="N218" s="8">
        <f>IF(COUNT(D218:L218)=0,"",MEDIAN(D218:L218))</f>
        <v/>
      </c>
      <c r="O218" s="8">
        <f>IF(COUNT(D218:L218)=0,"",MAX(D218:L218))</f>
        <v/>
      </c>
      <c r="P218" s="9">
        <f>IF(OR(M218="",M218=0),"",(O218-M218)/M218)</f>
        <v/>
      </c>
      <c r="Q218" s="7">
        <f>IF(COUNT(D218:L218)=0,"",INDEX($D$1:$L$1,MATCH(MIN(D218:L218),D218:L218,0)))</f>
        <v/>
      </c>
      <c r="R218" s="8" t="n">
        <v>1264.08</v>
      </c>
      <c r="S218" s="10" t="n">
        <v>2</v>
      </c>
    </row>
    <row r="219">
      <c r="A219" s="7" t="inlineStr">
        <is>
          <t>MAT-08-043</t>
        </is>
      </c>
      <c r="B219" s="4" t="inlineStr">
        <is>
          <t>Cerámica de pared, 60 x 30 cm</t>
        </is>
      </c>
      <c r="C219" s="7" t="inlineStr">
        <is>
          <t>m²</t>
        </is>
      </c>
      <c r="D219" s="8" t="n">
        <v>461.4</v>
      </c>
      <c r="E219" s="8" t="n">
        <v>355.01</v>
      </c>
      <c r="F219" s="8" t="n"/>
      <c r="G219" s="8" t="n">
        <v>989.96</v>
      </c>
      <c r="H219" s="8" t="n"/>
      <c r="I219" s="8" t="n"/>
      <c r="J219" s="8" t="n"/>
      <c r="K219" s="8" t="n"/>
      <c r="L219" s="8" t="n"/>
      <c r="M219" s="8">
        <f>IF(COUNT(D219:L219)=0,"",MIN(D219:L219))</f>
        <v/>
      </c>
      <c r="N219" s="8">
        <f>IF(COUNT(D219:L219)=0,"",MEDIAN(D219:L219))</f>
        <v/>
      </c>
      <c r="O219" s="8">
        <f>IF(COUNT(D219:L219)=0,"",MAX(D219:L219))</f>
        <v/>
      </c>
      <c r="P219" s="9">
        <f>IF(OR(M219="",M219=0),"",(O219-M219)/M219)</f>
        <v/>
      </c>
      <c r="Q219" s="7">
        <f>IF(COUNT(D219:L219)=0,"",INDEX($D$1:$L$1,MATCH(MIN(D219:L219),D219:L219,0)))</f>
        <v/>
      </c>
      <c r="R219" s="8" t="n">
        <v>917.65</v>
      </c>
      <c r="S219" s="10" t="n">
        <v>3</v>
      </c>
    </row>
    <row r="220">
      <c r="A220" s="7" t="inlineStr">
        <is>
          <t>MAT-08-044</t>
        </is>
      </c>
      <c r="B220" s="4" t="inlineStr">
        <is>
          <t>Cerámica de pared, 60 x 33 cm</t>
        </is>
      </c>
      <c r="C220" s="7" t="inlineStr">
        <is>
          <t>m²</t>
        </is>
      </c>
      <c r="D220" s="8" t="n">
        <v>1027.23</v>
      </c>
      <c r="E220" s="8" t="n"/>
      <c r="F220" s="8" t="n"/>
      <c r="G220" s="8" t="n">
        <v>724.97</v>
      </c>
      <c r="H220" s="8" t="n"/>
      <c r="I220" s="8" t="n"/>
      <c r="J220" s="8" t="n"/>
      <c r="K220" s="8" t="n"/>
      <c r="L220" s="8" t="n"/>
      <c r="M220" s="8">
        <f>IF(COUNT(D220:L220)=0,"",MIN(D220:L220))</f>
        <v/>
      </c>
      <c r="N220" s="8">
        <f>IF(COUNT(D220:L220)=0,"",MEDIAN(D220:L220))</f>
        <v/>
      </c>
      <c r="O220" s="8">
        <f>IF(COUNT(D220:L220)=0,"",MAX(D220:L220))</f>
        <v/>
      </c>
      <c r="P220" s="9">
        <f>IF(OR(M220="",M220=0),"",(O220-M220)/M220)</f>
        <v/>
      </c>
      <c r="Q220" s="7">
        <f>IF(COUNT(D220:L220)=0,"",INDEX($D$1:$L$1,MATCH(MIN(D220:L220),D220:L220,0)))</f>
        <v/>
      </c>
      <c r="R220" s="8" t="n">
        <v>876.1</v>
      </c>
      <c r="S220" s="10" t="n">
        <v>2</v>
      </c>
    </row>
    <row r="221">
      <c r="A221" s="7" t="inlineStr">
        <is>
          <t>MAT-08-045</t>
        </is>
      </c>
      <c r="B221" s="4" t="inlineStr">
        <is>
          <t>Cerámica de pared, 60 x 60 cm</t>
        </is>
      </c>
      <c r="C221" s="7" t="inlineStr">
        <is>
          <t>m²</t>
        </is>
      </c>
      <c r="D221" s="8" t="n">
        <v>1195.21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>
        <f>IF(COUNT(D221:L221)=0,"",MIN(D221:L221))</f>
        <v/>
      </c>
      <c r="N221" s="8">
        <f>IF(COUNT(D221:L221)=0,"",MEDIAN(D221:L221))</f>
        <v/>
      </c>
      <c r="O221" s="8">
        <f>IF(COUNT(D221:L221)=0,"",MAX(D221:L221))</f>
        <v/>
      </c>
      <c r="P221" s="9">
        <f>IF(OR(M221="",M221=0),"",(O221-M221)/M221)</f>
        <v/>
      </c>
      <c r="Q221" s="7">
        <f>IF(COUNT(D221:L221)=0,"",INDEX($D$1:$L$1,MATCH(MIN(D221:L221),D221:L221,0)))</f>
        <v/>
      </c>
      <c r="R221" s="8" t="n">
        <v>1195.21</v>
      </c>
      <c r="S221" s="10" t="n">
        <v>1</v>
      </c>
    </row>
    <row r="222">
      <c r="A222" s="7" t="inlineStr">
        <is>
          <t>MAT-08-046</t>
        </is>
      </c>
      <c r="B222" s="4" t="inlineStr">
        <is>
          <t>Cerámica de pared, 70 x 25 cm</t>
        </is>
      </c>
      <c r="C222" s="7" t="inlineStr">
        <is>
          <t>m²</t>
        </is>
      </c>
      <c r="D222" s="8" t="n">
        <v>199.95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>
        <f>IF(COUNT(D222:L222)=0,"",MIN(D222:L222))</f>
        <v/>
      </c>
      <c r="N222" s="8">
        <f>IF(COUNT(D222:L222)=0,"",MEDIAN(D222:L222))</f>
        <v/>
      </c>
      <c r="O222" s="8">
        <f>IF(COUNT(D222:L222)=0,"",MAX(D222:L222))</f>
        <v/>
      </c>
      <c r="P222" s="9">
        <f>IF(OR(M222="",M222=0),"",(O222-M222)/M222)</f>
        <v/>
      </c>
      <c r="Q222" s="7">
        <f>IF(COUNT(D222:L222)=0,"",INDEX($D$1:$L$1,MATCH(MIN(D222:L222),D222:L222,0)))</f>
        <v/>
      </c>
      <c r="R222" s="8" t="n">
        <v>199.95</v>
      </c>
      <c r="S222" s="10" t="n">
        <v>1</v>
      </c>
    </row>
    <row r="223">
      <c r="A223" s="7" t="inlineStr">
        <is>
          <t>MAT-08-047</t>
        </is>
      </c>
      <c r="B223" s="4" t="inlineStr">
        <is>
          <t>Cerámica de pared, 75 x 25 cm</t>
        </is>
      </c>
      <c r="C223" s="7" t="inlineStr">
        <is>
          <t>m²</t>
        </is>
      </c>
      <c r="D223" s="8" t="n">
        <v>883.8200000000001</v>
      </c>
      <c r="E223" s="8" t="n">
        <v>1391.47</v>
      </c>
      <c r="F223" s="8" t="n"/>
      <c r="G223" s="8" t="n"/>
      <c r="H223" s="8" t="n"/>
      <c r="I223" s="8" t="n"/>
      <c r="J223" s="8" t="n"/>
      <c r="K223" s="8" t="n"/>
      <c r="L223" s="8" t="n"/>
      <c r="M223" s="8">
        <f>IF(COUNT(D223:L223)=0,"",MIN(D223:L223))</f>
        <v/>
      </c>
      <c r="N223" s="8">
        <f>IF(COUNT(D223:L223)=0,"",MEDIAN(D223:L223))</f>
        <v/>
      </c>
      <c r="O223" s="8">
        <f>IF(COUNT(D223:L223)=0,"",MAX(D223:L223))</f>
        <v/>
      </c>
      <c r="P223" s="9">
        <f>IF(OR(M223="",M223=0),"",(O223-M223)/M223)</f>
        <v/>
      </c>
      <c r="Q223" s="7">
        <f>IF(COUNT(D223:L223)=0,"",INDEX($D$1:$L$1,MATCH(MIN(D223:L223),D223:L223,0)))</f>
        <v/>
      </c>
      <c r="R223" s="8" t="n">
        <v>1277.6</v>
      </c>
      <c r="S223" s="10" t="n">
        <v>2</v>
      </c>
    </row>
    <row r="224">
      <c r="A224" s="7" t="inlineStr">
        <is>
          <t>MAT-08-048</t>
        </is>
      </c>
      <c r="B224" s="4" t="inlineStr">
        <is>
          <t>Cerámica de pared, 75 x 30 cm</t>
        </is>
      </c>
      <c r="C224" s="7" t="inlineStr">
        <is>
          <t>m²</t>
        </is>
      </c>
      <c r="D224" s="8" t="n"/>
      <c r="E224" s="8" t="n"/>
      <c r="F224" s="8" t="n"/>
      <c r="G224" s="8" t="n">
        <v>1789.97</v>
      </c>
      <c r="H224" s="8" t="n"/>
      <c r="I224" s="8" t="n"/>
      <c r="J224" s="8" t="n"/>
      <c r="K224" s="8" t="n"/>
      <c r="L224" s="8" t="n"/>
      <c r="M224" s="8">
        <f>IF(COUNT(D224:L224)=0,"",MIN(D224:L224))</f>
        <v/>
      </c>
      <c r="N224" s="8">
        <f>IF(COUNT(D224:L224)=0,"",MEDIAN(D224:L224))</f>
        <v/>
      </c>
      <c r="O224" s="8">
        <f>IF(COUNT(D224:L224)=0,"",MAX(D224:L224))</f>
        <v/>
      </c>
      <c r="P224" s="9">
        <f>IF(OR(M224="",M224=0),"",(O224-M224)/M224)</f>
        <v/>
      </c>
      <c r="Q224" s="7">
        <f>IF(COUNT(D224:L224)=0,"",INDEX($D$1:$L$1,MATCH(MIN(D224:L224),D224:L224,0)))</f>
        <v/>
      </c>
      <c r="R224" s="8" t="n">
        <v>1789.97</v>
      </c>
      <c r="S224" s="10" t="n">
        <v>1</v>
      </c>
    </row>
    <row r="225">
      <c r="A225" s="7" t="inlineStr">
        <is>
          <t>MAT-08-049</t>
        </is>
      </c>
      <c r="B225" s="4" t="inlineStr">
        <is>
          <t>Cerámica de pared, 75 x 35 cm</t>
        </is>
      </c>
      <c r="C225" s="7" t="inlineStr">
        <is>
          <t>m²</t>
        </is>
      </c>
      <c r="D225" s="8" t="n"/>
      <c r="E225" s="8" t="n">
        <v>1573.05</v>
      </c>
      <c r="F225" s="8" t="n"/>
      <c r="G225" s="8" t="n"/>
      <c r="H225" s="8" t="n"/>
      <c r="I225" s="8" t="n"/>
      <c r="J225" s="8" t="n"/>
      <c r="K225" s="8" t="n"/>
      <c r="L225" s="8" t="n"/>
      <c r="M225" s="8">
        <f>IF(COUNT(D225:L225)=0,"",MIN(D225:L225))</f>
        <v/>
      </c>
      <c r="N225" s="8">
        <f>IF(COUNT(D225:L225)=0,"",MEDIAN(D225:L225))</f>
        <v/>
      </c>
      <c r="O225" s="8">
        <f>IF(COUNT(D225:L225)=0,"",MAX(D225:L225))</f>
        <v/>
      </c>
      <c r="P225" s="9">
        <f>IF(OR(M225="",M225=0),"",(O225-M225)/M225)</f>
        <v/>
      </c>
      <c r="Q225" s="7">
        <f>IF(COUNT(D225:L225)=0,"",INDEX($D$1:$L$1,MATCH(MIN(D225:L225),D225:L225,0)))</f>
        <v/>
      </c>
      <c r="R225" s="8" t="n">
        <v>2071.81</v>
      </c>
      <c r="S225" s="10" t="n">
        <v>1</v>
      </c>
    </row>
    <row r="226">
      <c r="A226" s="7" t="inlineStr">
        <is>
          <t>MAT-08-050</t>
        </is>
      </c>
      <c r="B226" s="4" t="inlineStr">
        <is>
          <t>Cerámica de pared, 75 x 38 cm</t>
        </is>
      </c>
      <c r="C226" s="7" t="inlineStr">
        <is>
          <t>m²</t>
        </is>
      </c>
      <c r="D226" s="8" t="n">
        <v>527.28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>
        <f>IF(COUNT(D226:L226)=0,"",MIN(D226:L226))</f>
        <v/>
      </c>
      <c r="N226" s="8">
        <f>IF(COUNT(D226:L226)=0,"",MEDIAN(D226:L226))</f>
        <v/>
      </c>
      <c r="O226" s="8">
        <f>IF(COUNT(D226:L226)=0,"",MAX(D226:L226))</f>
        <v/>
      </c>
      <c r="P226" s="9">
        <f>IF(OR(M226="",M226=0),"",(O226-M226)/M226)</f>
        <v/>
      </c>
      <c r="Q226" s="7">
        <f>IF(COUNT(D226:L226)=0,"",INDEX($D$1:$L$1,MATCH(MIN(D226:L226),D226:L226,0)))</f>
        <v/>
      </c>
      <c r="R226" s="8" t="n">
        <v>644.1900000000001</v>
      </c>
      <c r="S226" s="10" t="n">
        <v>1</v>
      </c>
    </row>
    <row r="227">
      <c r="A227" s="7" t="inlineStr">
        <is>
          <t>MAT-08-051</t>
        </is>
      </c>
      <c r="B227" s="4" t="inlineStr">
        <is>
          <t>Cerámica de pared, 80 x 36 cm</t>
        </is>
      </c>
      <c r="C227" s="7" t="inlineStr">
        <is>
          <t>m²</t>
        </is>
      </c>
      <c r="D227" s="8" t="n">
        <v>1343.86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>
        <f>IF(COUNT(D227:L227)=0,"",MIN(D227:L227))</f>
        <v/>
      </c>
      <c r="N227" s="8">
        <f>IF(COUNT(D227:L227)=0,"",MEDIAN(D227:L227))</f>
        <v/>
      </c>
      <c r="O227" s="8">
        <f>IF(COUNT(D227:L227)=0,"",MAX(D227:L227))</f>
        <v/>
      </c>
      <c r="P227" s="9">
        <f>IF(OR(M227="",M227=0),"",(O227-M227)/M227)</f>
        <v/>
      </c>
      <c r="Q227" s="7">
        <f>IF(COUNT(D227:L227)=0,"",INDEX($D$1:$L$1,MATCH(MIN(D227:L227),D227:L227,0)))</f>
        <v/>
      </c>
      <c r="R227" s="8" t="n">
        <v>1511.88</v>
      </c>
      <c r="S227" s="10" t="n">
        <v>1</v>
      </c>
    </row>
    <row r="228">
      <c r="A228" s="7" t="inlineStr">
        <is>
          <t>MAT-08-052</t>
        </is>
      </c>
      <c r="B228" s="4" t="inlineStr">
        <is>
          <t>Cerámica de pared, 90 x 30 cm</t>
        </is>
      </c>
      <c r="C228" s="7" t="inlineStr">
        <is>
          <t>m²</t>
        </is>
      </c>
      <c r="D228" s="8" t="n">
        <v>401.35</v>
      </c>
      <c r="E228" s="8" t="n">
        <v>987.8</v>
      </c>
      <c r="F228" s="8" t="n"/>
      <c r="G228" s="8" t="n">
        <v>1849.96</v>
      </c>
      <c r="H228" s="8" t="n"/>
      <c r="I228" s="8" t="n"/>
      <c r="J228" s="8" t="n"/>
      <c r="K228" s="8" t="n"/>
      <c r="L228" s="8" t="n"/>
      <c r="M228" s="8">
        <f>IF(COUNT(D228:L228)=0,"",MIN(D228:L228))</f>
        <v/>
      </c>
      <c r="N228" s="8">
        <f>IF(COUNT(D228:L228)=0,"",MEDIAN(D228:L228))</f>
        <v/>
      </c>
      <c r="O228" s="8">
        <f>IF(COUNT(D228:L228)=0,"",MAX(D228:L228))</f>
        <v/>
      </c>
      <c r="P228" s="9">
        <f>IF(OR(M228="",M228=0),"",(O228-M228)/M228)</f>
        <v/>
      </c>
      <c r="Q228" s="7">
        <f>IF(COUNT(D228:L228)=0,"",INDEX($D$1:$L$1,MATCH(MIN(D228:L228),D228:L228,0)))</f>
        <v/>
      </c>
      <c r="R228" s="8" t="n">
        <v>1811.98</v>
      </c>
      <c r="S228" s="10" t="n">
        <v>3</v>
      </c>
    </row>
    <row r="229">
      <c r="A229" s="7" t="inlineStr">
        <is>
          <t>MAT-08-053</t>
        </is>
      </c>
      <c r="B229" s="4" t="inlineStr">
        <is>
          <t>Cerámica de pared, 90 x 33 cm</t>
        </is>
      </c>
      <c r="C229" s="7" t="inlineStr">
        <is>
          <t>m²</t>
        </is>
      </c>
      <c r="D229" s="8" t="n"/>
      <c r="E229" s="8" t="n"/>
      <c r="F229" s="8" t="n"/>
      <c r="G229" s="8" t="n">
        <v>1690.02</v>
      </c>
      <c r="H229" s="8" t="n"/>
      <c r="I229" s="8" t="n"/>
      <c r="J229" s="8" t="n"/>
      <c r="K229" s="8" t="n"/>
      <c r="L229" s="8" t="n"/>
      <c r="M229" s="8">
        <f>IF(COUNT(D229:L229)=0,"",MIN(D229:L229))</f>
        <v/>
      </c>
      <c r="N229" s="8">
        <f>IF(COUNT(D229:L229)=0,"",MEDIAN(D229:L229))</f>
        <v/>
      </c>
      <c r="O229" s="8">
        <f>IF(COUNT(D229:L229)=0,"",MAX(D229:L229))</f>
        <v/>
      </c>
      <c r="P229" s="9">
        <f>IF(OR(M229="",M229=0),"",(O229-M229)/M229)</f>
        <v/>
      </c>
      <c r="Q229" s="7">
        <f>IF(COUNT(D229:L229)=0,"",INDEX($D$1:$L$1,MATCH(MIN(D229:L229),D229:L229,0)))</f>
        <v/>
      </c>
      <c r="R229" s="8" t="n">
        <v>1770.01</v>
      </c>
      <c r="S229" s="10" t="n">
        <v>1</v>
      </c>
    </row>
    <row r="230">
      <c r="A230" s="7" t="inlineStr">
        <is>
          <t>MAT-08-054</t>
        </is>
      </c>
      <c r="B230" s="4" t="inlineStr">
        <is>
          <t>Cerámica de pared, 90 x 45 cm</t>
        </is>
      </c>
      <c r="C230" s="7" t="inlineStr">
        <is>
          <t>m²</t>
        </is>
      </c>
      <c r="D230" s="8" t="n">
        <v>2506.89</v>
      </c>
      <c r="E230" s="8" t="n">
        <v>1552.61</v>
      </c>
      <c r="F230" s="8" t="n"/>
      <c r="G230" s="8" t="n"/>
      <c r="H230" s="8" t="n"/>
      <c r="I230" s="8" t="n"/>
      <c r="J230" s="8" t="n"/>
      <c r="K230" s="8" t="n"/>
      <c r="L230" s="8" t="n"/>
      <c r="M230" s="8">
        <f>IF(COUNT(D230:L230)=0,"",MIN(D230:L230))</f>
        <v/>
      </c>
      <c r="N230" s="8">
        <f>IF(COUNT(D230:L230)=0,"",MEDIAN(D230:L230))</f>
        <v/>
      </c>
      <c r="O230" s="8">
        <f>IF(COUNT(D230:L230)=0,"",MAX(D230:L230))</f>
        <v/>
      </c>
      <c r="P230" s="9">
        <f>IF(OR(M230="",M230=0),"",(O230-M230)/M230)</f>
        <v/>
      </c>
      <c r="Q230" s="7">
        <f>IF(COUNT(D230:L230)=0,"",INDEX($D$1:$L$1,MATCH(MIN(D230:L230),D230:L230,0)))</f>
        <v/>
      </c>
      <c r="R230" s="8" t="n">
        <v>2169.48</v>
      </c>
      <c r="S230" s="10" t="n">
        <v>2</v>
      </c>
    </row>
    <row r="231">
      <c r="A231" s="7" t="inlineStr">
        <is>
          <t>MAT-08-055</t>
        </is>
      </c>
      <c r="B231" s="4" t="inlineStr">
        <is>
          <t>Cerámica de piso, 100 x 33 cm</t>
        </is>
      </c>
      <c r="C231" s="7" t="inlineStr">
        <is>
          <t>m²</t>
        </is>
      </c>
      <c r="D231" s="8" t="n">
        <v>1333.56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>
        <f>IF(COUNT(D231:L231)=0,"",MIN(D231:L231))</f>
        <v/>
      </c>
      <c r="N231" s="8">
        <f>IF(COUNT(D231:L231)=0,"",MEDIAN(D231:L231))</f>
        <v/>
      </c>
      <c r="O231" s="8">
        <f>IF(COUNT(D231:L231)=0,"",MAX(D231:L231))</f>
        <v/>
      </c>
      <c r="P231" s="9">
        <f>IF(OR(M231="",M231=0),"",(O231-M231)/M231)</f>
        <v/>
      </c>
      <c r="Q231" s="7">
        <f>IF(COUNT(D231:L231)=0,"",INDEX($D$1:$L$1,MATCH(MIN(D231:L231),D231:L231,0)))</f>
        <v/>
      </c>
      <c r="R231" s="8" t="n">
        <v>1419.42</v>
      </c>
      <c r="S231" s="10" t="n">
        <v>1</v>
      </c>
    </row>
    <row r="232">
      <c r="A232" s="7" t="inlineStr">
        <is>
          <t>MAT-08-056</t>
        </is>
      </c>
      <c r="B232" s="4" t="inlineStr">
        <is>
          <t>Cerámica de piso, 100 x 45 cm</t>
        </is>
      </c>
      <c r="C232" s="7" t="inlineStr">
        <is>
          <t>m²</t>
        </is>
      </c>
      <c r="D232" s="8" t="n"/>
      <c r="E232" s="8" t="n">
        <v>1145.76</v>
      </c>
      <c r="F232" s="8" t="n"/>
      <c r="G232" s="8" t="n"/>
      <c r="H232" s="8" t="n"/>
      <c r="I232" s="8" t="n"/>
      <c r="J232" s="8" t="n"/>
      <c r="K232" s="8" t="n"/>
      <c r="L232" s="8" t="n"/>
      <c r="M232" s="8">
        <f>IF(COUNT(D232:L232)=0,"",MIN(D232:L232))</f>
        <v/>
      </c>
      <c r="N232" s="8">
        <f>IF(COUNT(D232:L232)=0,"",MEDIAN(D232:L232))</f>
        <v/>
      </c>
      <c r="O232" s="8">
        <f>IF(COUNT(D232:L232)=0,"",MAX(D232:L232))</f>
        <v/>
      </c>
      <c r="P232" s="9">
        <f>IF(OR(M232="",M232=0),"",(O232-M232)/M232)</f>
        <v/>
      </c>
      <c r="Q232" s="7">
        <f>IF(COUNT(D232:L232)=0,"",INDEX($D$1:$L$1,MATCH(MIN(D232:L232),D232:L232,0)))</f>
        <v/>
      </c>
      <c r="R232" s="8" t="n">
        <v>1352</v>
      </c>
      <c r="S232" s="10" t="n">
        <v>1</v>
      </c>
    </row>
    <row r="233">
      <c r="A233" s="7" t="inlineStr">
        <is>
          <t>MAT-08-057</t>
        </is>
      </c>
      <c r="B233" s="4" t="inlineStr">
        <is>
          <t>Cerámica de piso, 110 x 55 cm</t>
        </is>
      </c>
      <c r="C233" s="7" t="inlineStr">
        <is>
          <t>m²</t>
        </is>
      </c>
      <c r="D233" s="8" t="n"/>
      <c r="E233" s="8" t="n">
        <v>664.4400000000001</v>
      </c>
      <c r="F233" s="8" t="n"/>
      <c r="G233" s="8" t="n"/>
      <c r="H233" s="8" t="n"/>
      <c r="I233" s="8" t="n"/>
      <c r="J233" s="8" t="n"/>
      <c r="K233" s="8" t="n"/>
      <c r="L233" s="8" t="n"/>
      <c r="M233" s="8">
        <f>IF(COUNT(D233:L233)=0,"",MIN(D233:L233))</f>
        <v/>
      </c>
      <c r="N233" s="8">
        <f>IF(COUNT(D233:L233)=0,"",MEDIAN(D233:L233))</f>
        <v/>
      </c>
      <c r="O233" s="8">
        <f>IF(COUNT(D233:L233)=0,"",MAX(D233:L233))</f>
        <v/>
      </c>
      <c r="P233" s="9">
        <f>IF(OR(M233="",M233=0),"",(O233-M233)/M233)</f>
        <v/>
      </c>
      <c r="Q233" s="7">
        <f>IF(COUNT(D233:L233)=0,"",INDEX($D$1:$L$1,MATCH(MIN(D233:L233),D233:L233,0)))</f>
        <v/>
      </c>
      <c r="R233" s="8" t="n">
        <v>784.04</v>
      </c>
      <c r="S233" s="10" t="n">
        <v>1</v>
      </c>
    </row>
    <row r="234">
      <c r="A234" s="7" t="inlineStr">
        <is>
          <t>MAT-08-058</t>
        </is>
      </c>
      <c r="B234" s="4" t="inlineStr">
        <is>
          <t>Cerámica de piso, 113 x 55 cm</t>
        </is>
      </c>
      <c r="C234" s="7" t="inlineStr">
        <is>
          <t>m²</t>
        </is>
      </c>
      <c r="D234" s="8" t="n">
        <v>489.48</v>
      </c>
      <c r="E234" s="8" t="n"/>
      <c r="F234" s="8" t="n"/>
      <c r="G234" s="8" t="n"/>
      <c r="H234" s="8" t="n">
        <v>750</v>
      </c>
      <c r="I234" s="8" t="n"/>
      <c r="J234" s="8" t="n"/>
      <c r="K234" s="8" t="n"/>
      <c r="L234" s="8" t="n"/>
      <c r="M234" s="8">
        <f>IF(COUNT(D234:L234)=0,"",MIN(D234:L234))</f>
        <v/>
      </c>
      <c r="N234" s="8">
        <f>IF(COUNT(D234:L234)=0,"",MEDIAN(D234:L234))</f>
        <v/>
      </c>
      <c r="O234" s="8">
        <f>IF(COUNT(D234:L234)=0,"",MAX(D234:L234))</f>
        <v/>
      </c>
      <c r="P234" s="9">
        <f>IF(OR(M234="",M234=0),"",(O234-M234)/M234)</f>
        <v/>
      </c>
      <c r="Q234" s="7">
        <f>IF(COUNT(D234:L234)=0,"",INDEX($D$1:$L$1,MATCH(MIN(D234:L234),D234:L234,0)))</f>
        <v/>
      </c>
      <c r="R234" s="8" t="n">
        <v>778.27</v>
      </c>
      <c r="S234" s="10" t="n">
        <v>2</v>
      </c>
    </row>
    <row r="235">
      <c r="A235" s="7" t="inlineStr">
        <is>
          <t>MAT-08-059</t>
        </is>
      </c>
      <c r="B235" s="4" t="inlineStr">
        <is>
          <t>Cerámica de piso, 114 x 18 cm</t>
        </is>
      </c>
      <c r="C235" s="7" t="inlineStr">
        <is>
          <t>m²</t>
        </is>
      </c>
      <c r="D235" s="8" t="n">
        <v>669.27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>
        <f>IF(COUNT(D235:L235)=0,"",MIN(D235:L235))</f>
        <v/>
      </c>
      <c r="N235" s="8">
        <f>IF(COUNT(D235:L235)=0,"",MEDIAN(D235:L235))</f>
        <v/>
      </c>
      <c r="O235" s="8">
        <f>IF(COUNT(D235:L235)=0,"",MAX(D235:L235))</f>
        <v/>
      </c>
      <c r="P235" s="9">
        <f>IF(OR(M235="",M235=0),"",(O235-M235)/M235)</f>
        <v/>
      </c>
      <c r="Q235" s="7">
        <f>IF(COUNT(D235:L235)=0,"",INDEX($D$1:$L$1,MATCH(MIN(D235:L235),D235:L235,0)))</f>
        <v/>
      </c>
      <c r="R235" s="8" t="n">
        <v>737.36</v>
      </c>
      <c r="S235" s="10" t="n">
        <v>1</v>
      </c>
    </row>
    <row r="236">
      <c r="A236" s="7" t="inlineStr">
        <is>
          <t>MAT-08-060</t>
        </is>
      </c>
      <c r="B236" s="4" t="inlineStr">
        <is>
          <t>Cerámica de piso, 120 x 15 cm</t>
        </is>
      </c>
      <c r="C236" s="7" t="inlineStr">
        <is>
          <t>m²</t>
        </is>
      </c>
      <c r="D236" s="8" t="n">
        <v>2578.7</v>
      </c>
      <c r="E236" s="8" t="n"/>
      <c r="F236" s="8" t="n"/>
      <c r="G236" s="8" t="n">
        <v>1690</v>
      </c>
      <c r="H236" s="8" t="n"/>
      <c r="I236" s="8" t="n"/>
      <c r="J236" s="8" t="n"/>
      <c r="K236" s="8" t="n"/>
      <c r="L236" s="8" t="n"/>
      <c r="M236" s="8">
        <f>IF(COUNT(D236:L236)=0,"",MIN(D236:L236))</f>
        <v/>
      </c>
      <c r="N236" s="8">
        <f>IF(COUNT(D236:L236)=0,"",MEDIAN(D236:L236))</f>
        <v/>
      </c>
      <c r="O236" s="8">
        <f>IF(COUNT(D236:L236)=0,"",MAX(D236:L236))</f>
        <v/>
      </c>
      <c r="P236" s="9">
        <f>IF(OR(M236="",M236=0),"",(O236-M236)/M236)</f>
        <v/>
      </c>
      <c r="Q236" s="7">
        <f>IF(COUNT(D236:L236)=0,"",INDEX($D$1:$L$1,MATCH(MIN(D236:L236),D236:L236,0)))</f>
        <v/>
      </c>
      <c r="R236" s="8" t="n">
        <v>3705.42</v>
      </c>
      <c r="S236" s="10" t="n">
        <v>2</v>
      </c>
    </row>
    <row r="237">
      <c r="A237" s="7" t="inlineStr">
        <is>
          <t>MAT-08-061</t>
        </is>
      </c>
      <c r="B237" s="4" t="inlineStr">
        <is>
          <t>Cerámica de piso, 120 x 20 cm</t>
        </is>
      </c>
      <c r="C237" s="7" t="inlineStr">
        <is>
          <t>m²</t>
        </is>
      </c>
      <c r="D237" s="8" t="n">
        <v>1732.1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>
        <f>IF(COUNT(D237:L237)=0,"",MIN(D237:L237))</f>
        <v/>
      </c>
      <c r="N237" s="8">
        <f>IF(COUNT(D237:L237)=0,"",MEDIAN(D237:L237))</f>
        <v/>
      </c>
      <c r="O237" s="8">
        <f>IF(COUNT(D237:L237)=0,"",MAX(D237:L237))</f>
        <v/>
      </c>
      <c r="P237" s="9">
        <f>IF(OR(M237="",M237=0),"",(O237-M237)/M237)</f>
        <v/>
      </c>
      <c r="Q237" s="7">
        <f>IF(COUNT(D237:L237)=0,"",INDEX($D$1:$L$1,MATCH(MIN(D237:L237),D237:L237,0)))</f>
        <v/>
      </c>
      <c r="R237" s="8" t="n">
        <v>2136.75</v>
      </c>
      <c r="S237" s="10" t="n">
        <v>1</v>
      </c>
    </row>
    <row r="238">
      <c r="A238" s="7" t="inlineStr">
        <is>
          <t>MAT-08-062</t>
        </is>
      </c>
      <c r="B238" s="4" t="inlineStr">
        <is>
          <t>Cerámica de piso, 120 x 23 cm</t>
        </is>
      </c>
      <c r="C238" s="7" t="inlineStr">
        <is>
          <t>m²</t>
        </is>
      </c>
      <c r="D238" s="8" t="n">
        <v>1253.57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>
        <f>IF(COUNT(D238:L238)=0,"",MIN(D238:L238))</f>
        <v/>
      </c>
      <c r="N238" s="8">
        <f>IF(COUNT(D238:L238)=0,"",MEDIAN(D238:L238))</f>
        <v/>
      </c>
      <c r="O238" s="8">
        <f>IF(COUNT(D238:L238)=0,"",MAX(D238:L238))</f>
        <v/>
      </c>
      <c r="P238" s="9">
        <f>IF(OR(M238="",M238=0),"",(O238-M238)/M238)</f>
        <v/>
      </c>
      <c r="Q238" s="7">
        <f>IF(COUNT(D238:L238)=0,"",INDEX($D$1:$L$1,MATCH(MIN(D238:L238),D238:L238,0)))</f>
        <v/>
      </c>
      <c r="R238" s="8" t="n">
        <v>1293.72</v>
      </c>
      <c r="S238" s="10" t="n">
        <v>1</v>
      </c>
    </row>
    <row r="239">
      <c r="A239" s="7" t="inlineStr">
        <is>
          <t>MAT-08-063</t>
        </is>
      </c>
      <c r="B239" s="4" t="inlineStr">
        <is>
          <t>Cerámica de piso, 120 x 40 cm</t>
        </is>
      </c>
      <c r="C239" s="7" t="inlineStr">
        <is>
          <t>m²</t>
        </is>
      </c>
      <c r="D239" s="8" t="n">
        <v>1624.23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>
        <f>IF(COUNT(D239:L239)=0,"",MIN(D239:L239))</f>
        <v/>
      </c>
      <c r="N239" s="8">
        <f>IF(COUNT(D239:L239)=0,"",MEDIAN(D239:L239))</f>
        <v/>
      </c>
      <c r="O239" s="8">
        <f>IF(COUNT(D239:L239)=0,"",MAX(D239:L239))</f>
        <v/>
      </c>
      <c r="P239" s="9">
        <f>IF(OR(M239="",M239=0),"",(O239-M239)/M239)</f>
        <v/>
      </c>
      <c r="Q239" s="7">
        <f>IF(COUNT(D239:L239)=0,"",INDEX($D$1:$L$1,MATCH(MIN(D239:L239),D239:L239,0)))</f>
        <v/>
      </c>
      <c r="R239" s="8" t="n">
        <v>2054.75</v>
      </c>
      <c r="S239" s="10" t="n">
        <v>1</v>
      </c>
    </row>
    <row r="240">
      <c r="A240" s="7" t="inlineStr">
        <is>
          <t>MAT-08-064</t>
        </is>
      </c>
      <c r="B240" s="4" t="inlineStr">
        <is>
          <t>Cerámica de piso, 120 x 60 cm</t>
        </is>
      </c>
      <c r="C240" s="7" t="inlineStr">
        <is>
          <t>m²</t>
        </is>
      </c>
      <c r="D240" s="8" t="n">
        <v>819.97</v>
      </c>
      <c r="E240" s="8" t="n">
        <v>1082.08</v>
      </c>
      <c r="F240" s="8" t="n"/>
      <c r="G240" s="8" t="n"/>
      <c r="H240" s="8" t="n"/>
      <c r="I240" s="8" t="n"/>
      <c r="J240" s="8" t="n"/>
      <c r="K240" s="8" t="n"/>
      <c r="L240" s="8" t="n"/>
      <c r="M240" s="8">
        <f>IF(COUNT(D240:L240)=0,"",MIN(D240:L240))</f>
        <v/>
      </c>
      <c r="N240" s="8">
        <f>IF(COUNT(D240:L240)=0,"",MEDIAN(D240:L240))</f>
        <v/>
      </c>
      <c r="O240" s="8">
        <f>IF(COUNT(D240:L240)=0,"",MAX(D240:L240))</f>
        <v/>
      </c>
      <c r="P240" s="9">
        <f>IF(OR(M240="",M240=0),"",(O240-M240)/M240)</f>
        <v/>
      </c>
      <c r="Q240" s="7">
        <f>IF(COUNT(D240:L240)=0,"",INDEX($D$1:$L$1,MATCH(MIN(D240:L240),D240:L240,0)))</f>
        <v/>
      </c>
      <c r="R240" s="8" t="n">
        <v>1722.03</v>
      </c>
      <c r="S240" s="10" t="n">
        <v>2</v>
      </c>
    </row>
    <row r="241">
      <c r="A241" s="7" t="inlineStr">
        <is>
          <t>MAT-08-065</t>
        </is>
      </c>
      <c r="B241" s="4" t="inlineStr">
        <is>
          <t>Cerámica de piso, 15 x 15 cm</t>
        </is>
      </c>
      <c r="C241" s="7" t="inlineStr">
        <is>
          <t>m²</t>
        </is>
      </c>
      <c r="D241" s="8" t="n">
        <v>741.84</v>
      </c>
      <c r="E241" s="8" t="n"/>
      <c r="F241" s="8" t="n"/>
      <c r="G241" s="8" t="n">
        <v>1889.91</v>
      </c>
      <c r="H241" s="8" t="n"/>
      <c r="I241" s="8" t="n"/>
      <c r="J241" s="8" t="n"/>
      <c r="K241" s="8" t="n"/>
      <c r="L241" s="8" t="n"/>
      <c r="M241" s="8">
        <f>IF(COUNT(D241:L241)=0,"",MIN(D241:L241))</f>
        <v/>
      </c>
      <c r="N241" s="8">
        <f>IF(COUNT(D241:L241)=0,"",MEDIAN(D241:L241))</f>
        <v/>
      </c>
      <c r="O241" s="8">
        <f>IF(COUNT(D241:L241)=0,"",MAX(D241:L241))</f>
        <v/>
      </c>
      <c r="P241" s="9">
        <f>IF(OR(M241="",M241=0),"",(O241-M241)/M241)</f>
        <v/>
      </c>
      <c r="Q241" s="7">
        <f>IF(COUNT(D241:L241)=0,"",INDEX($D$1:$L$1,MATCH(MIN(D241:L241),D241:L241,0)))</f>
        <v/>
      </c>
      <c r="R241" s="8" t="n">
        <v>1315.88</v>
      </c>
      <c r="S241" s="10" t="n">
        <v>2</v>
      </c>
    </row>
    <row r="242">
      <c r="A242" s="7" t="inlineStr">
        <is>
          <t>MAT-08-066</t>
        </is>
      </c>
      <c r="B242" s="4" t="inlineStr">
        <is>
          <t>Cerámica de piso, 150 x 75 cm</t>
        </is>
      </c>
      <c r="C242" s="7" t="inlineStr">
        <is>
          <t>m²</t>
        </is>
      </c>
      <c r="D242" s="8" t="n"/>
      <c r="E242" s="8" t="n">
        <v>2539.67</v>
      </c>
      <c r="F242" s="8" t="n"/>
      <c r="G242" s="8" t="n"/>
      <c r="H242" s="8" t="n"/>
      <c r="I242" s="8" t="n"/>
      <c r="J242" s="8" t="n"/>
      <c r="K242" s="8" t="n"/>
      <c r="L242" s="8" t="n"/>
      <c r="M242" s="8">
        <f>IF(COUNT(D242:L242)=0,"",MIN(D242:L242))</f>
        <v/>
      </c>
      <c r="N242" s="8">
        <f>IF(COUNT(D242:L242)=0,"",MEDIAN(D242:L242))</f>
        <v/>
      </c>
      <c r="O242" s="8">
        <f>IF(COUNT(D242:L242)=0,"",MAX(D242:L242))</f>
        <v/>
      </c>
      <c r="P242" s="9">
        <f>IF(OR(M242="",M242=0),"",(O242-M242)/M242)</f>
        <v/>
      </c>
      <c r="Q242" s="7">
        <f>IF(COUNT(D242:L242)=0,"",INDEX($D$1:$L$1,MATCH(MIN(D242:L242),D242:L242,0)))</f>
        <v/>
      </c>
      <c r="R242" s="8" t="n">
        <v>3031.01</v>
      </c>
      <c r="S242" s="10" t="n">
        <v>1</v>
      </c>
    </row>
    <row r="243">
      <c r="A243" s="7" t="inlineStr">
        <is>
          <t>MAT-08-067</t>
        </is>
      </c>
      <c r="B243" s="4" t="inlineStr">
        <is>
          <t>Cerámica de piso, 20 x 20 cm</t>
        </is>
      </c>
      <c r="C243" s="7" t="inlineStr">
        <is>
          <t>m²</t>
        </is>
      </c>
      <c r="D243" s="8" t="n">
        <v>324.25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>
        <f>IF(COUNT(D243:L243)=0,"",MIN(D243:L243))</f>
        <v/>
      </c>
      <c r="N243" s="8">
        <f>IF(COUNT(D243:L243)=0,"",MEDIAN(D243:L243))</f>
        <v/>
      </c>
      <c r="O243" s="8">
        <f>IF(COUNT(D243:L243)=0,"",MAX(D243:L243))</f>
        <v/>
      </c>
      <c r="P243" s="9">
        <f>IF(OR(M243="",M243=0),"",(O243-M243)/M243)</f>
        <v/>
      </c>
      <c r="Q243" s="7">
        <f>IF(COUNT(D243:L243)=0,"",INDEX($D$1:$L$1,MATCH(MIN(D243:L243),D243:L243,0)))</f>
        <v/>
      </c>
      <c r="R243" s="8" t="n">
        <v>324.25</v>
      </c>
      <c r="S243" s="10" t="n">
        <v>1</v>
      </c>
    </row>
    <row r="244">
      <c r="A244" s="7" t="inlineStr">
        <is>
          <t>MAT-08-068</t>
        </is>
      </c>
      <c r="B244" s="4" t="inlineStr">
        <is>
          <t>Cerámica de piso, 22.3 x 22.3 cm</t>
        </is>
      </c>
      <c r="C244" s="7" t="inlineStr">
        <is>
          <t>m²</t>
        </is>
      </c>
      <c r="D244" s="8" t="n">
        <v>2595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>
        <f>IF(COUNT(D244:L244)=0,"",MIN(D244:L244))</f>
        <v/>
      </c>
      <c r="N244" s="8">
        <f>IF(COUNT(D244:L244)=0,"",MEDIAN(D244:L244))</f>
        <v/>
      </c>
      <c r="O244" s="8">
        <f>IF(COUNT(D244:L244)=0,"",MAX(D244:L244))</f>
        <v/>
      </c>
      <c r="P244" s="9">
        <f>IF(OR(M244="",M244=0),"",(O244-M244)/M244)</f>
        <v/>
      </c>
      <c r="Q244" s="7">
        <f>IF(COUNT(D244:L244)=0,"",INDEX($D$1:$L$1,MATCH(MIN(D244:L244),D244:L244,0)))</f>
        <v/>
      </c>
      <c r="R244" s="8" t="n">
        <v>2595</v>
      </c>
      <c r="S244" s="10" t="n">
        <v>1</v>
      </c>
    </row>
    <row r="245">
      <c r="A245" s="7" t="inlineStr">
        <is>
          <t>MAT-08-069</t>
        </is>
      </c>
      <c r="B245" s="4" t="inlineStr">
        <is>
          <t>Cerámica de piso, 30 x 7.5 cm</t>
        </is>
      </c>
      <c r="C245" s="7" t="inlineStr">
        <is>
          <t>m²</t>
        </is>
      </c>
      <c r="D245" s="8" t="n"/>
      <c r="E245" s="8" t="n"/>
      <c r="F245" s="8" t="n"/>
      <c r="G245" s="8" t="n">
        <v>2989.56</v>
      </c>
      <c r="H245" s="8" t="n"/>
      <c r="I245" s="8" t="n"/>
      <c r="J245" s="8" t="n"/>
      <c r="K245" s="8" t="n"/>
      <c r="L245" s="8" t="n"/>
      <c r="M245" s="8">
        <f>IF(COUNT(D245:L245)=0,"",MIN(D245:L245))</f>
        <v/>
      </c>
      <c r="N245" s="8">
        <f>IF(COUNT(D245:L245)=0,"",MEDIAN(D245:L245))</f>
        <v/>
      </c>
      <c r="O245" s="8">
        <f>IF(COUNT(D245:L245)=0,"",MAX(D245:L245))</f>
        <v/>
      </c>
      <c r="P245" s="9">
        <f>IF(OR(M245="",M245=0),"",(O245-M245)/M245)</f>
        <v/>
      </c>
      <c r="Q245" s="7">
        <f>IF(COUNT(D245:L245)=0,"",INDEX($D$1:$L$1,MATCH(MIN(D245:L245),D245:L245,0)))</f>
        <v/>
      </c>
      <c r="R245" s="8" t="n">
        <v>2989.56</v>
      </c>
      <c r="S245" s="10" t="n">
        <v>1</v>
      </c>
    </row>
    <row r="246">
      <c r="A246" s="7" t="inlineStr">
        <is>
          <t>MAT-08-070</t>
        </is>
      </c>
      <c r="B246" s="4" t="inlineStr">
        <is>
          <t>Cerámica de piso, 33 x 33 cm</t>
        </is>
      </c>
      <c r="C246" s="7" t="inlineStr">
        <is>
          <t>m²</t>
        </is>
      </c>
      <c r="D246" s="8" t="n"/>
      <c r="E246" s="8" t="n"/>
      <c r="F246" s="8" t="n"/>
      <c r="G246" s="8" t="n">
        <v>850</v>
      </c>
      <c r="H246" s="8" t="n"/>
      <c r="I246" s="8" t="n"/>
      <c r="J246" s="8" t="n"/>
      <c r="K246" s="8" t="n"/>
      <c r="L246" s="8" t="n"/>
      <c r="M246" s="8">
        <f>IF(COUNT(D246:L246)=0,"",MIN(D246:L246))</f>
        <v/>
      </c>
      <c r="N246" s="8">
        <f>IF(COUNT(D246:L246)=0,"",MEDIAN(D246:L246))</f>
        <v/>
      </c>
      <c r="O246" s="8">
        <f>IF(COUNT(D246:L246)=0,"",MAX(D246:L246))</f>
        <v/>
      </c>
      <c r="P246" s="9">
        <f>IF(OR(M246="",M246=0),"",(O246-M246)/M246)</f>
        <v/>
      </c>
      <c r="Q246" s="7">
        <f>IF(COUNT(D246:L246)=0,"",INDEX($D$1:$L$1,MATCH(MIN(D246:L246),D246:L246,0)))</f>
        <v/>
      </c>
      <c r="R246" s="8" t="n">
        <v>899.08</v>
      </c>
      <c r="S246" s="10" t="n">
        <v>1</v>
      </c>
    </row>
    <row r="247">
      <c r="A247" s="7" t="inlineStr">
        <is>
          <t>MAT-08-071</t>
        </is>
      </c>
      <c r="B247" s="4" t="inlineStr">
        <is>
          <t>Cerámica de piso, 45 x 45 cm</t>
        </is>
      </c>
      <c r="C247" s="7" t="inlineStr">
        <is>
          <t>m²</t>
        </is>
      </c>
      <c r="D247" s="8" t="n">
        <v>371.25</v>
      </c>
      <c r="E247" s="8" t="n">
        <v>674.91</v>
      </c>
      <c r="F247" s="8" t="n"/>
      <c r="G247" s="8" t="n">
        <v>960.01</v>
      </c>
      <c r="H247" s="8" t="n"/>
      <c r="I247" s="8" t="n"/>
      <c r="J247" s="8" t="n"/>
      <c r="K247" s="8" t="n"/>
      <c r="L247" s="8" t="n"/>
      <c r="M247" s="8">
        <f>IF(COUNT(D247:L247)=0,"",MIN(D247:L247))</f>
        <v/>
      </c>
      <c r="N247" s="8">
        <f>IF(COUNT(D247:L247)=0,"",MEDIAN(D247:L247))</f>
        <v/>
      </c>
      <c r="O247" s="8">
        <f>IF(COUNT(D247:L247)=0,"",MAX(D247:L247))</f>
        <v/>
      </c>
      <c r="P247" s="9">
        <f>IF(OR(M247="",M247=0),"",(O247-M247)/M247)</f>
        <v/>
      </c>
      <c r="Q247" s="7">
        <f>IF(COUNT(D247:L247)=0,"",INDEX($D$1:$L$1,MATCH(MIN(D247:L247),D247:L247,0)))</f>
        <v/>
      </c>
      <c r="R247" s="8" t="n">
        <v>733.09</v>
      </c>
      <c r="S247" s="10" t="n">
        <v>3</v>
      </c>
    </row>
    <row r="248">
      <c r="A248" s="7" t="inlineStr">
        <is>
          <t>MAT-08-072</t>
        </is>
      </c>
      <c r="B248" s="4" t="inlineStr">
        <is>
          <t>Cerámica de piso,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>
        <f>IF(COUNT(D248:L248)=0,"",MIN(D248:L248))</f>
        <v/>
      </c>
      <c r="N248" s="8">
        <f>IF(COUNT(D248:L248)=0,"",MEDIAN(D248:L248))</f>
        <v/>
      </c>
      <c r="O248" s="8">
        <f>IF(COUNT(D248:L248)=0,"",MAX(D248:L248))</f>
        <v/>
      </c>
      <c r="P248" s="9">
        <f>IF(OR(M248="",M248=0),"",(O248-M248)/M248)</f>
        <v/>
      </c>
      <c r="Q248" s="7">
        <f>IF(COUNT(D248:L248)=0,"",INDEX($D$1:$L$1,MATCH(MIN(D248:L248),D248:L248,0)))</f>
        <v/>
      </c>
      <c r="R248" s="8" t="n">
        <v>1223.85</v>
      </c>
      <c r="S248" s="10" t="n">
        <v>1</v>
      </c>
    </row>
    <row r="249">
      <c r="A249" s="7" t="inlineStr">
        <is>
          <t>MAT-08-073</t>
        </is>
      </c>
      <c r="B249" s="4" t="inlineStr">
        <is>
          <t>Cerámica de piso, 50 x 50 cm</t>
        </is>
      </c>
      <c r="C249" s="7" t="inlineStr">
        <is>
          <t>m²</t>
        </is>
      </c>
      <c r="D249" s="8" t="n">
        <v>344.43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>
        <f>IF(COUNT(D249:L249)=0,"",MIN(D249:L249))</f>
        <v/>
      </c>
      <c r="N249" s="8">
        <f>IF(COUNT(D249:L249)=0,"",MEDIAN(D249:L249))</f>
        <v/>
      </c>
      <c r="O249" s="8">
        <f>IF(COUNT(D249:L249)=0,"",MAX(D249:L249))</f>
        <v/>
      </c>
      <c r="P249" s="9">
        <f>IF(OR(M249="",M249=0),"",(O249-M249)/M249)</f>
        <v/>
      </c>
      <c r="Q249" s="7">
        <f>IF(COUNT(D249:L249)=0,"",INDEX($D$1:$L$1,MATCH(MIN(D249:L249),D249:L249,0)))</f>
        <v/>
      </c>
      <c r="R249" s="8" t="n">
        <v>395.61</v>
      </c>
      <c r="S249" s="10" t="n">
        <v>1</v>
      </c>
    </row>
    <row r="250">
      <c r="A250" s="7" t="inlineStr">
        <is>
          <t>MAT-08-074</t>
        </is>
      </c>
      <c r="B250" s="4" t="inlineStr">
        <is>
          <t>Cerámica de piso, 55 x 33 cm</t>
        </is>
      </c>
      <c r="C250" s="7" t="inlineStr">
        <is>
          <t>m²</t>
        </is>
      </c>
      <c r="D250" s="8" t="n">
        <v>596.66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>
        <f>IF(COUNT(D250:L250)=0,"",MIN(D250:L250))</f>
        <v/>
      </c>
      <c r="N250" s="8">
        <f>IF(COUNT(D250:L250)=0,"",MEDIAN(D250:L250))</f>
        <v/>
      </c>
      <c r="O250" s="8">
        <f>IF(COUNT(D250:L250)=0,"",MAX(D250:L250))</f>
        <v/>
      </c>
      <c r="P250" s="9">
        <f>IF(OR(M250="",M250=0),"",(O250-M250)/M250)</f>
        <v/>
      </c>
      <c r="Q250" s="7">
        <f>IF(COUNT(D250:L250)=0,"",INDEX($D$1:$L$1,MATCH(MIN(D250:L250),D250:L250,0)))</f>
        <v/>
      </c>
      <c r="R250" s="8" t="n">
        <v>849.8</v>
      </c>
      <c r="S250" s="10" t="n">
        <v>1</v>
      </c>
    </row>
    <row r="251">
      <c r="A251" s="7" t="inlineStr">
        <is>
          <t>MAT-08-075</t>
        </is>
      </c>
      <c r="B251" s="4" t="inlineStr">
        <is>
          <t>Cerámica de piso, 58 x 33 cm</t>
        </is>
      </c>
      <c r="C251" s="7" t="inlineStr">
        <is>
          <t>m²</t>
        </is>
      </c>
      <c r="D251" s="8" t="n">
        <v>380.26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>
        <f>IF(COUNT(D251:L251)=0,"",MIN(D251:L251))</f>
        <v/>
      </c>
      <c r="N251" s="8">
        <f>IF(COUNT(D251:L251)=0,"",MEDIAN(D251:L251))</f>
        <v/>
      </c>
      <c r="O251" s="8">
        <f>IF(COUNT(D251:L251)=0,"",MAX(D251:L251))</f>
        <v/>
      </c>
      <c r="P251" s="9">
        <f>IF(OR(M251="",M251=0),"",(O251-M251)/M251)</f>
        <v/>
      </c>
      <c r="Q251" s="7">
        <f>IF(COUNT(D251:L251)=0,"",INDEX($D$1:$L$1,MATCH(MIN(D251:L251),D251:L251,0)))</f>
        <v/>
      </c>
      <c r="R251" s="8" t="n">
        <v>509.7</v>
      </c>
      <c r="S251" s="10" t="n">
        <v>1</v>
      </c>
    </row>
    <row r="252">
      <c r="A252" s="7" t="inlineStr">
        <is>
          <t>MAT-08-076</t>
        </is>
      </c>
      <c r="B252" s="4" t="inlineStr">
        <is>
          <t>Cerámica de piso, 58 x 58 cm</t>
        </is>
      </c>
      <c r="C252" s="7" t="inlineStr">
        <is>
          <t>m²</t>
        </is>
      </c>
      <c r="D252" s="8" t="n">
        <v>342.39</v>
      </c>
      <c r="E252" s="8" t="n"/>
      <c r="F252" s="8" t="n"/>
      <c r="G252" s="8" t="n"/>
      <c r="H252" s="8" t="n">
        <v>389</v>
      </c>
      <c r="I252" s="8" t="n"/>
      <c r="J252" s="8" t="n"/>
      <c r="K252" s="8" t="n"/>
      <c r="L252" s="8" t="n"/>
      <c r="M252" s="8">
        <f>IF(COUNT(D252:L252)=0,"",MIN(D252:L252))</f>
        <v/>
      </c>
      <c r="N252" s="8">
        <f>IF(COUNT(D252:L252)=0,"",MEDIAN(D252:L252))</f>
        <v/>
      </c>
      <c r="O252" s="8">
        <f>IF(COUNT(D252:L252)=0,"",MAX(D252:L252))</f>
        <v/>
      </c>
      <c r="P252" s="9">
        <f>IF(OR(M252="",M252=0),"",(O252-M252)/M252)</f>
        <v/>
      </c>
      <c r="Q252" s="7">
        <f>IF(COUNT(D252:L252)=0,"",INDEX($D$1:$L$1,MATCH(MIN(D252:L252),D252:L252,0)))</f>
        <v/>
      </c>
      <c r="R252" s="8" t="n">
        <v>375.46</v>
      </c>
      <c r="S252" s="10" t="n">
        <v>2</v>
      </c>
    </row>
    <row r="253">
      <c r="A253" s="7" t="inlineStr">
        <is>
          <t>MAT-08-077</t>
        </is>
      </c>
      <c r="B253" s="4" t="inlineStr">
        <is>
          <t>Cerámica de piso, 60 x 20 cm</t>
        </is>
      </c>
      <c r="C253" s="7" t="inlineStr">
        <is>
          <t>m²</t>
        </is>
      </c>
      <c r="D253" s="8" t="n">
        <v>445.65</v>
      </c>
      <c r="E253" s="8" t="n">
        <v>619.3200000000001</v>
      </c>
      <c r="F253" s="8" t="n"/>
      <c r="G253" s="8" t="n"/>
      <c r="H253" s="8" t="n"/>
      <c r="I253" s="8" t="n"/>
      <c r="J253" s="8" t="n"/>
      <c r="K253" s="8" t="n"/>
      <c r="L253" s="8" t="n"/>
      <c r="M253" s="8">
        <f>IF(COUNT(D253:L253)=0,"",MIN(D253:L253))</f>
        <v/>
      </c>
      <c r="N253" s="8">
        <f>IF(COUNT(D253:L253)=0,"",MEDIAN(D253:L253))</f>
        <v/>
      </c>
      <c r="O253" s="8">
        <f>IF(COUNT(D253:L253)=0,"",MAX(D253:L253))</f>
        <v/>
      </c>
      <c r="P253" s="9">
        <f>IF(OR(M253="",M253=0),"",(O253-M253)/M253)</f>
        <v/>
      </c>
      <c r="Q253" s="7">
        <f>IF(COUNT(D253:L253)=0,"",INDEX($D$1:$L$1,MATCH(MIN(D253:L253),D253:L253,0)))</f>
        <v/>
      </c>
      <c r="R253" s="8" t="n">
        <v>865.65</v>
      </c>
      <c r="S253" s="10" t="n">
        <v>2</v>
      </c>
    </row>
    <row r="254">
      <c r="A254" s="7" t="inlineStr">
        <is>
          <t>MAT-08-078</t>
        </is>
      </c>
      <c r="B254" s="4" t="inlineStr">
        <is>
          <t>Cerámica de piso, 60 x 30 cm</t>
        </is>
      </c>
      <c r="C254" s="7" t="inlineStr">
        <is>
          <t>m²</t>
        </is>
      </c>
      <c r="D254" s="8" t="n">
        <v>846.53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>
        <f>IF(COUNT(D254:L254)=0,"",MIN(D254:L254))</f>
        <v/>
      </c>
      <c r="N254" s="8">
        <f>IF(COUNT(D254:L254)=0,"",MEDIAN(D254:L254))</f>
        <v/>
      </c>
      <c r="O254" s="8">
        <f>IF(COUNT(D254:L254)=0,"",MAX(D254:L254))</f>
        <v/>
      </c>
      <c r="P254" s="9">
        <f>IF(OR(M254="",M254=0),"",(O254-M254)/M254)</f>
        <v/>
      </c>
      <c r="Q254" s="7">
        <f>IF(COUNT(D254:L254)=0,"",INDEX($D$1:$L$1,MATCH(MIN(D254:L254),D254:L254,0)))</f>
        <v/>
      </c>
      <c r="R254" s="8" t="n">
        <v>1343.36</v>
      </c>
      <c r="S254" s="10" t="n">
        <v>1</v>
      </c>
    </row>
    <row r="255">
      <c r="A255" s="7" t="inlineStr">
        <is>
          <t>MAT-08-079</t>
        </is>
      </c>
      <c r="B255" s="4" t="inlineStr">
        <is>
          <t>Cerámica de piso, 60 x 33 cm</t>
        </is>
      </c>
      <c r="C255" s="7" t="inlineStr">
        <is>
          <t>m²</t>
        </is>
      </c>
      <c r="D255" s="8" t="n">
        <v>902.6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>
        <f>IF(COUNT(D255:L255)=0,"",MIN(D255:L255))</f>
        <v/>
      </c>
      <c r="N255" s="8">
        <f>IF(COUNT(D255:L255)=0,"",MEDIAN(D255:L255))</f>
        <v/>
      </c>
      <c r="O255" s="8">
        <f>IF(COUNT(D255:L255)=0,"",MAX(D255:L255))</f>
        <v/>
      </c>
      <c r="P255" s="9">
        <f>IF(OR(M255="",M255=0),"",(O255-M255)/M255)</f>
        <v/>
      </c>
      <c r="Q255" s="7">
        <f>IF(COUNT(D255:L255)=0,"",INDEX($D$1:$L$1,MATCH(MIN(D255:L255),D255:L255,0)))</f>
        <v/>
      </c>
      <c r="R255" s="8" t="n">
        <v>902.6</v>
      </c>
      <c r="S255" s="10" t="n">
        <v>1</v>
      </c>
    </row>
    <row r="256">
      <c r="A256" s="7" t="inlineStr">
        <is>
          <t>MAT-08-080</t>
        </is>
      </c>
      <c r="B256" s="4" t="inlineStr">
        <is>
          <t>Cerámica de piso, 60 x 60 cm</t>
        </is>
      </c>
      <c r="C256" s="7" t="inlineStr">
        <is>
          <t>m²</t>
        </is>
      </c>
      <c r="D256" s="8" t="n">
        <v>744.77</v>
      </c>
      <c r="E256" s="8" t="n">
        <v>582.8099999999999</v>
      </c>
      <c r="F256" s="8" t="n"/>
      <c r="G256" s="8" t="n"/>
      <c r="H256" s="8" t="n"/>
      <c r="I256" s="8" t="n"/>
      <c r="J256" s="8" t="n"/>
      <c r="K256" s="8" t="n"/>
      <c r="L256" s="8" t="n"/>
      <c r="M256" s="8">
        <f>IF(COUNT(D256:L256)=0,"",MIN(D256:L256))</f>
        <v/>
      </c>
      <c r="N256" s="8">
        <f>IF(COUNT(D256:L256)=0,"",MEDIAN(D256:L256))</f>
        <v/>
      </c>
      <c r="O256" s="8">
        <f>IF(COUNT(D256:L256)=0,"",MAX(D256:L256))</f>
        <v/>
      </c>
      <c r="P256" s="9">
        <f>IF(OR(M256="",M256=0),"",(O256-M256)/M256)</f>
        <v/>
      </c>
      <c r="Q256" s="7">
        <f>IF(COUNT(D256:L256)=0,"",INDEX($D$1:$L$1,MATCH(MIN(D256:L256),D256:L256,0)))</f>
        <v/>
      </c>
      <c r="R256" s="8" t="n">
        <v>1230.38</v>
      </c>
      <c r="S256" s="10" t="n">
        <v>2</v>
      </c>
    </row>
    <row r="257">
      <c r="A257" s="7" t="inlineStr">
        <is>
          <t>MAT-08-081</t>
        </is>
      </c>
      <c r="B257" s="4" t="inlineStr">
        <is>
          <t>Cerámica de piso, 60 x 7.1 cm</t>
        </is>
      </c>
      <c r="C257" s="7" t="inlineStr">
        <is>
          <t>m²</t>
        </is>
      </c>
      <c r="D257" s="8" t="n">
        <v>2092.5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>
        <f>IF(COUNT(D257:L257)=0,"",MIN(D257:L257))</f>
        <v/>
      </c>
      <c r="N257" s="8">
        <f>IF(COUNT(D257:L257)=0,"",MEDIAN(D257:L257))</f>
        <v/>
      </c>
      <c r="O257" s="8">
        <f>IF(COUNT(D257:L257)=0,"",MAX(D257:L257))</f>
        <v/>
      </c>
      <c r="P257" s="9">
        <f>IF(OR(M257="",M257=0),"",(O257-M257)/M257)</f>
        <v/>
      </c>
      <c r="Q257" s="7">
        <f>IF(COUNT(D257:L257)=0,"",INDEX($D$1:$L$1,MATCH(MIN(D257:L257),D257:L257,0)))</f>
        <v/>
      </c>
      <c r="R257" s="8" t="n">
        <v>2092.5</v>
      </c>
      <c r="S257" s="10" t="n">
        <v>1</v>
      </c>
    </row>
    <row r="258">
      <c r="A258" s="7" t="inlineStr">
        <is>
          <t>MAT-08-082</t>
        </is>
      </c>
      <c r="B258" s="4" t="inlineStr">
        <is>
          <t>Cerámica de piso, 70 x 25 cm</t>
        </is>
      </c>
      <c r="C258" s="7" t="inlineStr">
        <is>
          <t>m²</t>
        </is>
      </c>
      <c r="D258" s="8" t="n">
        <v>509.73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>
        <f>IF(COUNT(D258:L258)=0,"",MIN(D258:L258))</f>
        <v/>
      </c>
      <c r="N258" s="8">
        <f>IF(COUNT(D258:L258)=0,"",MEDIAN(D258:L258))</f>
        <v/>
      </c>
      <c r="O258" s="8">
        <f>IF(COUNT(D258:L258)=0,"",MAX(D258:L258))</f>
        <v/>
      </c>
      <c r="P258" s="9">
        <f>IF(OR(M258="",M258=0),"",(O258-M258)/M258)</f>
        <v/>
      </c>
      <c r="Q258" s="7">
        <f>IF(COUNT(D258:L258)=0,"",INDEX($D$1:$L$1,MATCH(MIN(D258:L258),D258:L258,0)))</f>
        <v/>
      </c>
      <c r="R258" s="8" t="n">
        <v>509.73</v>
      </c>
      <c r="S258" s="10" t="n">
        <v>1</v>
      </c>
    </row>
    <row r="259">
      <c r="A259" s="7" t="inlineStr">
        <is>
          <t>MAT-08-083</t>
        </is>
      </c>
      <c r="B259" s="4" t="inlineStr">
        <is>
          <t>Cerámica de piso, 75 x 25 cm</t>
        </is>
      </c>
      <c r="C259" s="7" t="inlineStr">
        <is>
          <t>m²</t>
        </is>
      </c>
      <c r="D259" s="8" t="n">
        <v>1055.55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>
        <f>IF(COUNT(D259:L259)=0,"",MIN(D259:L259))</f>
        <v/>
      </c>
      <c r="N259" s="8">
        <f>IF(COUNT(D259:L259)=0,"",MEDIAN(D259:L259))</f>
        <v/>
      </c>
      <c r="O259" s="8">
        <f>IF(COUNT(D259:L259)=0,"",MAX(D259:L259))</f>
        <v/>
      </c>
      <c r="P259" s="9">
        <f>IF(OR(M259="",M259=0),"",(O259-M259)/M259)</f>
        <v/>
      </c>
      <c r="Q259" s="7">
        <f>IF(COUNT(D259:L259)=0,"",INDEX($D$1:$L$1,MATCH(MIN(D259:L259),D259:L259,0)))</f>
        <v/>
      </c>
      <c r="R259" s="8" t="n">
        <v>1318.41</v>
      </c>
      <c r="S259" s="10" t="n">
        <v>1</v>
      </c>
    </row>
    <row r="260">
      <c r="A260" s="7" t="inlineStr">
        <is>
          <t>MAT-08-084</t>
        </is>
      </c>
      <c r="B260" s="4" t="inlineStr">
        <is>
          <t>Cerámica de piso, 75 x 75 cm</t>
        </is>
      </c>
      <c r="C260" s="7" t="inlineStr">
        <is>
          <t>m²</t>
        </is>
      </c>
      <c r="D260" s="8" t="n"/>
      <c r="E260" s="8" t="n">
        <v>673.04</v>
      </c>
      <c r="F260" s="8" t="n"/>
      <c r="G260" s="8" t="n"/>
      <c r="H260" s="8" t="n"/>
      <c r="I260" s="8" t="n"/>
      <c r="J260" s="8" t="n"/>
      <c r="K260" s="8" t="n"/>
      <c r="L260" s="8" t="n"/>
      <c r="M260" s="8">
        <f>IF(COUNT(D260:L260)=0,"",MIN(D260:L260))</f>
        <v/>
      </c>
      <c r="N260" s="8">
        <f>IF(COUNT(D260:L260)=0,"",MEDIAN(D260:L260))</f>
        <v/>
      </c>
      <c r="O260" s="8">
        <f>IF(COUNT(D260:L260)=0,"",MAX(D260:L260))</f>
        <v/>
      </c>
      <c r="P260" s="9">
        <f>IF(OR(M260="",M260=0),"",(O260-M260)/M260)</f>
        <v/>
      </c>
      <c r="Q260" s="7">
        <f>IF(COUNT(D260:L260)=0,"",INDEX($D$1:$L$1,MATCH(MIN(D260:L260),D260:L260,0)))</f>
        <v/>
      </c>
      <c r="R260" s="8" t="n">
        <v>1011.3</v>
      </c>
      <c r="S260" s="10" t="n">
        <v>1</v>
      </c>
    </row>
    <row r="261">
      <c r="A261" s="7" t="inlineStr">
        <is>
          <t>MAT-08-085</t>
        </is>
      </c>
      <c r="B261" s="4" t="inlineStr">
        <is>
          <t>Cerámica de piso, 80 x 80 cm</t>
        </is>
      </c>
      <c r="C261" s="7" t="inlineStr">
        <is>
          <t>m²</t>
        </is>
      </c>
      <c r="D261" s="8" t="n">
        <v>951.1</v>
      </c>
      <c r="E261" s="8" t="n">
        <v>716.48</v>
      </c>
      <c r="F261" s="8" t="n"/>
      <c r="G261" s="8" t="n"/>
      <c r="H261" s="8" t="n"/>
      <c r="I261" s="8" t="n"/>
      <c r="J261" s="8" t="n"/>
      <c r="K261" s="8" t="n"/>
      <c r="L261" s="8" t="n"/>
      <c r="M261" s="8">
        <f>IF(COUNT(D261:L261)=0,"",MIN(D261:L261))</f>
        <v/>
      </c>
      <c r="N261" s="8">
        <f>IF(COUNT(D261:L261)=0,"",MEDIAN(D261:L261))</f>
        <v/>
      </c>
      <c r="O261" s="8">
        <f>IF(COUNT(D261:L261)=0,"",MAX(D261:L261))</f>
        <v/>
      </c>
      <c r="P261" s="9">
        <f>IF(OR(M261="",M261=0),"",(O261-M261)/M261)</f>
        <v/>
      </c>
      <c r="Q261" s="7">
        <f>IF(COUNT(D261:L261)=0,"",INDEX($D$1:$L$1,MATCH(MIN(D261:L261),D261:L261,0)))</f>
        <v/>
      </c>
      <c r="R261" s="8" t="n">
        <v>1228.07</v>
      </c>
      <c r="S261" s="10" t="n">
        <v>2</v>
      </c>
    </row>
    <row r="262">
      <c r="A262" s="7" t="inlineStr">
        <is>
          <t>MAT-08-086</t>
        </is>
      </c>
      <c r="B262" s="4" t="inlineStr">
        <is>
          <t>Cerámica de piso, 90 x 15 cm</t>
        </is>
      </c>
      <c r="C262" s="7" t="inlineStr">
        <is>
          <t>m²</t>
        </is>
      </c>
      <c r="D262" s="8" t="n">
        <v>1042.92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>
        <f>IF(COUNT(D262:L262)=0,"",MIN(D262:L262))</f>
        <v/>
      </c>
      <c r="N262" s="8">
        <f>IF(COUNT(D262:L262)=0,"",MEDIAN(D262:L262))</f>
        <v/>
      </c>
      <c r="O262" s="8">
        <f>IF(COUNT(D262:L262)=0,"",MAX(D262:L262))</f>
        <v/>
      </c>
      <c r="P262" s="9">
        <f>IF(OR(M262="",M262=0),"",(O262-M262)/M262)</f>
        <v/>
      </c>
      <c r="Q262" s="7">
        <f>IF(COUNT(D262:L262)=0,"",INDEX($D$1:$L$1,MATCH(MIN(D262:L262),D262:L262,0)))</f>
        <v/>
      </c>
      <c r="R262" s="8" t="n">
        <v>1042.92</v>
      </c>
      <c r="S262" s="10" t="n">
        <v>1</v>
      </c>
    </row>
    <row r="263">
      <c r="A263" s="7" t="inlineStr">
        <is>
          <t>MAT-08-087</t>
        </is>
      </c>
      <c r="B263" s="4" t="inlineStr">
        <is>
          <t>Cerámica de piso, 90 x 30 cm</t>
        </is>
      </c>
      <c r="C263" s="7" t="inlineStr">
        <is>
          <t>m²</t>
        </is>
      </c>
      <c r="D263" s="8" t="n">
        <v>954.53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>
        <f>IF(COUNT(D263:L263)=0,"",MIN(D263:L263))</f>
        <v/>
      </c>
      <c r="N263" s="8">
        <f>IF(COUNT(D263:L263)=0,"",MEDIAN(D263:L263))</f>
        <v/>
      </c>
      <c r="O263" s="8">
        <f>IF(COUNT(D263:L263)=0,"",MAX(D263:L263))</f>
        <v/>
      </c>
      <c r="P263" s="9">
        <f>IF(OR(M263="",M263=0),"",(O263-M263)/M263)</f>
        <v/>
      </c>
      <c r="Q263" s="7">
        <f>IF(COUNT(D263:L263)=0,"",INDEX($D$1:$L$1,MATCH(MIN(D263:L263),D263:L263,0)))</f>
        <v/>
      </c>
      <c r="R263" s="8" t="n">
        <v>1646.97</v>
      </c>
      <c r="S263" s="10" t="n">
        <v>1</v>
      </c>
    </row>
    <row r="264">
      <c r="A264" s="7" t="inlineStr">
        <is>
          <t>MAT-08-088</t>
        </is>
      </c>
      <c r="B264" s="4" t="inlineStr">
        <is>
          <t>Cerámica de piso y pared, 100 x 30 cm</t>
        </is>
      </c>
      <c r="C264" s="7" t="inlineStr">
        <is>
          <t>m²</t>
        </is>
      </c>
      <c r="D264" s="8" t="n">
        <v>1700.29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>
        <f>IF(COUNT(D264:L264)=0,"",MIN(D264:L264))</f>
        <v/>
      </c>
      <c r="N264" s="8">
        <f>IF(COUNT(D264:L264)=0,"",MEDIAN(D264:L264))</f>
        <v/>
      </c>
      <c r="O264" s="8">
        <f>IF(COUNT(D264:L264)=0,"",MAX(D264:L264))</f>
        <v/>
      </c>
      <c r="P264" s="9">
        <f>IF(OR(M264="",M264=0),"",(O264-M264)/M264)</f>
        <v/>
      </c>
      <c r="Q264" s="7">
        <f>IF(COUNT(D264:L264)=0,"",INDEX($D$1:$L$1,MATCH(MIN(D264:L264),D264:L264,0)))</f>
        <v/>
      </c>
      <c r="R264" s="8" t="n">
        <v>2014.5</v>
      </c>
      <c r="S264" s="10" t="n">
        <v>1</v>
      </c>
    </row>
    <row r="265">
      <c r="A265" s="7" t="inlineStr">
        <is>
          <t>MAT-08-089</t>
        </is>
      </c>
      <c r="B265" s="4" t="inlineStr">
        <is>
          <t>Cerámica de piso y pared, 113 x 55 cm</t>
        </is>
      </c>
      <c r="C265" s="7" t="inlineStr">
        <is>
          <t>m²</t>
        </is>
      </c>
      <c r="D265" s="8" t="n">
        <v>493.24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>
        <f>IF(COUNT(D265:L265)=0,"",MIN(D265:L265))</f>
        <v/>
      </c>
      <c r="N265" s="8">
        <f>IF(COUNT(D265:L265)=0,"",MEDIAN(D265:L265))</f>
        <v/>
      </c>
      <c r="O265" s="8">
        <f>IF(COUNT(D265:L265)=0,"",MAX(D265:L265))</f>
        <v/>
      </c>
      <c r="P265" s="9">
        <f>IF(OR(M265="",M265=0),"",(O265-M265)/M265)</f>
        <v/>
      </c>
      <c r="Q265" s="7">
        <f>IF(COUNT(D265:L265)=0,"",INDEX($D$1:$L$1,MATCH(MIN(D265:L265),D265:L265,0)))</f>
        <v/>
      </c>
      <c r="R265" s="8" t="n">
        <v>872.1900000000001</v>
      </c>
      <c r="S265" s="10" t="n">
        <v>1</v>
      </c>
    </row>
    <row r="266">
      <c r="A266" s="7" t="inlineStr">
        <is>
          <t>MAT-08-090</t>
        </is>
      </c>
      <c r="B266" s="4" t="inlineStr">
        <is>
          <t>Cerámica de piso y pared, 120 x 20 cm</t>
        </is>
      </c>
      <c r="C266" s="7" t="inlineStr">
        <is>
          <t>m²</t>
        </is>
      </c>
      <c r="D266" s="8" t="n">
        <v>1294.63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>
        <f>IF(COUNT(D266:L266)=0,"",MIN(D266:L266))</f>
        <v/>
      </c>
      <c r="N266" s="8">
        <f>IF(COUNT(D266:L266)=0,"",MEDIAN(D266:L266))</f>
        <v/>
      </c>
      <c r="O266" s="8">
        <f>IF(COUNT(D266:L266)=0,"",MAX(D266:L266))</f>
        <v/>
      </c>
      <c r="P266" s="9">
        <f>IF(OR(M266="",M266=0),"",(O266-M266)/M266)</f>
        <v/>
      </c>
      <c r="Q266" s="7">
        <f>IF(COUNT(D266:L266)=0,"",INDEX($D$1:$L$1,MATCH(MIN(D266:L266),D266:L266,0)))</f>
        <v/>
      </c>
      <c r="R266" s="8" t="n">
        <v>1922.79</v>
      </c>
      <c r="S266" s="10" t="n">
        <v>1</v>
      </c>
    </row>
    <row r="267">
      <c r="A267" s="7" t="inlineStr">
        <is>
          <t>MAT-08-091</t>
        </is>
      </c>
      <c r="B267" s="4" t="inlineStr">
        <is>
          <t>Cerámica de piso y pared, 120 x 23.3 cm</t>
        </is>
      </c>
      <c r="C267" s="7" t="inlineStr">
        <is>
          <t>m²</t>
        </is>
      </c>
      <c r="D267" s="8" t="n">
        <v>1394.83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>
        <f>IF(COUNT(D267:L267)=0,"",MIN(D267:L267))</f>
        <v/>
      </c>
      <c r="N267" s="8">
        <f>IF(COUNT(D267:L267)=0,"",MEDIAN(D267:L267))</f>
        <v/>
      </c>
      <c r="O267" s="8">
        <f>IF(COUNT(D267:L267)=0,"",MAX(D267:L267))</f>
        <v/>
      </c>
      <c r="P267" s="9">
        <f>IF(OR(M267="",M267=0),"",(O267-M267)/M267)</f>
        <v/>
      </c>
      <c r="Q267" s="7">
        <f>IF(COUNT(D267:L267)=0,"",INDEX($D$1:$L$1,MATCH(MIN(D267:L267),D267:L267,0)))</f>
        <v/>
      </c>
      <c r="R267" s="8" t="n">
        <v>1394.83</v>
      </c>
      <c r="S267" s="10" t="n">
        <v>1</v>
      </c>
    </row>
    <row r="268">
      <c r="A268" s="7" t="inlineStr">
        <is>
          <t>MAT-08-092</t>
        </is>
      </c>
      <c r="B268" s="4" t="inlineStr">
        <is>
          <t>Cerámica de piso y pared, 120 x 30 cm</t>
        </is>
      </c>
      <c r="C268" s="7" t="inlineStr">
        <is>
          <t>m²</t>
        </is>
      </c>
      <c r="D268" s="8" t="n">
        <v>1905.01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>
        <f>IF(COUNT(D268:L268)=0,"",MIN(D268:L268))</f>
        <v/>
      </c>
      <c r="N268" s="8">
        <f>IF(COUNT(D268:L268)=0,"",MEDIAN(D268:L268))</f>
        <v/>
      </c>
      <c r="O268" s="8">
        <f>IF(COUNT(D268:L268)=0,"",MAX(D268:L268))</f>
        <v/>
      </c>
      <c r="P268" s="9">
        <f>IF(OR(M268="",M268=0),"",(O268-M268)/M268)</f>
        <v/>
      </c>
      <c r="Q268" s="7">
        <f>IF(COUNT(D268:L268)=0,"",INDEX($D$1:$L$1,MATCH(MIN(D268:L268),D268:L268,0)))</f>
        <v/>
      </c>
      <c r="R268" s="8" t="n">
        <v>1973.41</v>
      </c>
      <c r="S268" s="10" t="n">
        <v>1</v>
      </c>
    </row>
    <row r="269">
      <c r="A269" s="7" t="inlineStr">
        <is>
          <t>MAT-08-093</t>
        </is>
      </c>
      <c r="B269" s="4" t="inlineStr">
        <is>
          <t>Cerámica de piso y pared, 120 x 40 cm</t>
        </is>
      </c>
      <c r="C269" s="7" t="inlineStr">
        <is>
          <t>m²</t>
        </is>
      </c>
      <c r="D269" s="8" t="n">
        <v>1397.03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>
        <f>IF(COUNT(D269:L269)=0,"",MIN(D269:L269))</f>
        <v/>
      </c>
      <c r="N269" s="8">
        <f>IF(COUNT(D269:L269)=0,"",MEDIAN(D269:L269))</f>
        <v/>
      </c>
      <c r="O269" s="8">
        <f>IF(COUNT(D269:L269)=0,"",MAX(D269:L269))</f>
        <v/>
      </c>
      <c r="P269" s="9">
        <f>IF(OR(M269="",M269=0),"",(O269-M269)/M269)</f>
        <v/>
      </c>
      <c r="Q269" s="7">
        <f>IF(COUNT(D269:L269)=0,"",INDEX($D$1:$L$1,MATCH(MIN(D269:L269),D269:L269,0)))</f>
        <v/>
      </c>
      <c r="R269" s="8" t="n">
        <v>2113.36</v>
      </c>
      <c r="S269" s="10" t="n">
        <v>1</v>
      </c>
    </row>
    <row r="270">
      <c r="A270" s="7" t="inlineStr">
        <is>
          <t>MAT-08-094</t>
        </is>
      </c>
      <c r="B270" s="4" t="inlineStr">
        <is>
          <t>Cerámica de piso y pared, 120 x 60 cm</t>
        </is>
      </c>
      <c r="C270" s="7" t="inlineStr">
        <is>
          <t>m²</t>
        </is>
      </c>
      <c r="D270" s="8" t="n">
        <v>1481.03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>
        <f>IF(COUNT(D270:L270)=0,"",MIN(D270:L270))</f>
        <v/>
      </c>
      <c r="N270" s="8">
        <f>IF(COUNT(D270:L270)=0,"",MEDIAN(D270:L270))</f>
        <v/>
      </c>
      <c r="O270" s="8">
        <f>IF(COUNT(D270:L270)=0,"",MAX(D270:L270))</f>
        <v/>
      </c>
      <c r="P270" s="9">
        <f>IF(OR(M270="",M270=0),"",(O270-M270)/M270)</f>
        <v/>
      </c>
      <c r="Q270" s="7">
        <f>IF(COUNT(D270:L270)=0,"",INDEX($D$1:$L$1,MATCH(MIN(D270:L270),D270:L270,0)))</f>
        <v/>
      </c>
      <c r="R270" s="8" t="n">
        <v>1964.18</v>
      </c>
      <c r="S270" s="10" t="n">
        <v>1</v>
      </c>
    </row>
    <row r="271">
      <c r="A271" s="7" t="inlineStr">
        <is>
          <t>MAT-08-095</t>
        </is>
      </c>
      <c r="B271" s="4" t="inlineStr">
        <is>
          <t>Cerámica de piso y pared, 15 x 15 cm</t>
        </is>
      </c>
      <c r="C271" s="7" t="inlineStr">
        <is>
          <t>m²</t>
        </is>
      </c>
      <c r="D271" s="8" t="n">
        <v>516.5599999999999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>
        <f>IF(COUNT(D271:L271)=0,"",MIN(D271:L271))</f>
        <v/>
      </c>
      <c r="N271" s="8">
        <f>IF(COUNT(D271:L271)=0,"",MEDIAN(D271:L271))</f>
        <v/>
      </c>
      <c r="O271" s="8">
        <f>IF(COUNT(D271:L271)=0,"",MAX(D271:L271))</f>
        <v/>
      </c>
      <c r="P271" s="9">
        <f>IF(OR(M271="",M271=0),"",(O271-M271)/M271)</f>
        <v/>
      </c>
      <c r="Q271" s="7">
        <f>IF(COUNT(D271:L271)=0,"",INDEX($D$1:$L$1,MATCH(MIN(D271:L271),D271:L271,0)))</f>
        <v/>
      </c>
      <c r="R271" s="8" t="n">
        <v>1640.37</v>
      </c>
      <c r="S271" s="10" t="n">
        <v>1</v>
      </c>
    </row>
    <row r="272">
      <c r="A272" s="7" t="inlineStr">
        <is>
          <t>MAT-08-096</t>
        </is>
      </c>
      <c r="B272" s="4" t="inlineStr">
        <is>
          <t>Cerámica de piso y pared, 18.5 x 18.5 cm</t>
        </is>
      </c>
      <c r="C272" s="7" t="inlineStr">
        <is>
          <t>m²</t>
        </is>
      </c>
      <c r="D272" s="8" t="n">
        <v>3184.41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>
        <f>IF(COUNT(D272:L272)=0,"",MIN(D272:L272))</f>
        <v/>
      </c>
      <c r="N272" s="8">
        <f>IF(COUNT(D272:L272)=0,"",MEDIAN(D272:L272))</f>
        <v/>
      </c>
      <c r="O272" s="8">
        <f>IF(COUNT(D272:L272)=0,"",MAX(D272:L272))</f>
        <v/>
      </c>
      <c r="P272" s="9">
        <f>IF(OR(M272="",M272=0),"",(O272-M272)/M272)</f>
        <v/>
      </c>
      <c r="Q272" s="7">
        <f>IF(COUNT(D272:L272)=0,"",INDEX($D$1:$L$1,MATCH(MIN(D272:L272),D272:L272,0)))</f>
        <v/>
      </c>
      <c r="R272" s="8" t="n">
        <v>3184.41</v>
      </c>
      <c r="S272" s="10" t="n">
        <v>1</v>
      </c>
    </row>
    <row r="273">
      <c r="A273" s="7" t="inlineStr">
        <is>
          <t>MAT-08-097</t>
        </is>
      </c>
      <c r="B273" s="4" t="inlineStr">
        <is>
          <t>Cerámica de piso y pared, 180 x 90 cm</t>
        </is>
      </c>
      <c r="C273" s="7" t="inlineStr">
        <is>
          <t>m²</t>
        </is>
      </c>
      <c r="D273" s="8" t="n">
        <v>3073.71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>
        <f>IF(COUNT(D273:L273)=0,"",MIN(D273:L273))</f>
        <v/>
      </c>
      <c r="N273" s="8">
        <f>IF(COUNT(D273:L273)=0,"",MEDIAN(D273:L273))</f>
        <v/>
      </c>
      <c r="O273" s="8">
        <f>IF(COUNT(D273:L273)=0,"",MAX(D273:L273))</f>
        <v/>
      </c>
      <c r="P273" s="9">
        <f>IF(OR(M273="",M273=0),"",(O273-M273)/M273)</f>
        <v/>
      </c>
      <c r="Q273" s="7">
        <f>IF(COUNT(D273:L273)=0,"",INDEX($D$1:$L$1,MATCH(MIN(D273:L273),D273:L273,0)))</f>
        <v/>
      </c>
      <c r="R273" s="8" t="n">
        <v>3073.71</v>
      </c>
      <c r="S273" s="10" t="n">
        <v>1</v>
      </c>
    </row>
    <row r="274">
      <c r="A274" s="7" t="inlineStr">
        <is>
          <t>MAT-08-098</t>
        </is>
      </c>
      <c r="B274" s="4" t="inlineStr">
        <is>
          <t>Cerámica de piso y pared, 20 x 20 cm</t>
        </is>
      </c>
      <c r="C274" s="7" t="inlineStr">
        <is>
          <t>m²</t>
        </is>
      </c>
      <c r="D274" s="8" t="n">
        <v>915.75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>
        <f>IF(COUNT(D274:L274)=0,"",MIN(D274:L274))</f>
        <v/>
      </c>
      <c r="N274" s="8">
        <f>IF(COUNT(D274:L274)=0,"",MEDIAN(D274:L274))</f>
        <v/>
      </c>
      <c r="O274" s="8">
        <f>IF(COUNT(D274:L274)=0,"",MAX(D274:L274))</f>
        <v/>
      </c>
      <c r="P274" s="9">
        <f>IF(OR(M274="",M274=0),"",(O274-M274)/M274)</f>
        <v/>
      </c>
      <c r="Q274" s="7">
        <f>IF(COUNT(D274:L274)=0,"",INDEX($D$1:$L$1,MATCH(MIN(D274:L274),D274:L274,0)))</f>
        <v/>
      </c>
      <c r="R274" s="8" t="n">
        <v>915.75</v>
      </c>
      <c r="S274" s="10" t="n">
        <v>1</v>
      </c>
    </row>
    <row r="275">
      <c r="A275" s="7" t="inlineStr">
        <is>
          <t>MAT-08-099</t>
        </is>
      </c>
      <c r="B275" s="4" t="inlineStr">
        <is>
          <t>Cerámica de piso y pared, 20 x 6.5 cm</t>
        </is>
      </c>
      <c r="C275" s="7" t="inlineStr">
        <is>
          <t>m²</t>
        </is>
      </c>
      <c r="D275" s="8" t="n">
        <v>2599.62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>
        <f>IF(COUNT(D275:L275)=0,"",MIN(D275:L275))</f>
        <v/>
      </c>
      <c r="N275" s="8">
        <f>IF(COUNT(D275:L275)=0,"",MEDIAN(D275:L275))</f>
        <v/>
      </c>
      <c r="O275" s="8">
        <f>IF(COUNT(D275:L275)=0,"",MAX(D275:L275))</f>
        <v/>
      </c>
      <c r="P275" s="9">
        <f>IF(OR(M275="",M275=0),"",(O275-M275)/M275)</f>
        <v/>
      </c>
      <c r="Q275" s="7">
        <f>IF(COUNT(D275:L275)=0,"",INDEX($D$1:$L$1,MATCH(MIN(D275:L275),D275:L275,0)))</f>
        <v/>
      </c>
      <c r="R275" s="8" t="n">
        <v>2621.99</v>
      </c>
      <c r="S275" s="10" t="n">
        <v>1</v>
      </c>
    </row>
    <row r="276">
      <c r="A276" s="7" t="inlineStr">
        <is>
          <t>MAT-08-100</t>
        </is>
      </c>
      <c r="B276" s="4" t="inlineStr">
        <is>
          <t>Cerámica de piso y pared, 22.3 x 22.3 cm</t>
        </is>
      </c>
      <c r="C276" s="7" t="inlineStr">
        <is>
          <t>m²</t>
        </is>
      </c>
      <c r="D276" s="8" t="n">
        <v>2550.6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>
        <f>IF(COUNT(D276:L276)=0,"",MIN(D276:L276))</f>
        <v/>
      </c>
      <c r="N276" s="8">
        <f>IF(COUNT(D276:L276)=0,"",MEDIAN(D276:L276))</f>
        <v/>
      </c>
      <c r="O276" s="8">
        <f>IF(COUNT(D276:L276)=0,"",MAX(D276:L276))</f>
        <v/>
      </c>
      <c r="P276" s="9">
        <f>IF(OR(M276="",M276=0),"",(O276-M276)/M276)</f>
        <v/>
      </c>
      <c r="Q276" s="7">
        <f>IF(COUNT(D276:L276)=0,"",INDEX($D$1:$L$1,MATCH(MIN(D276:L276),D276:L276,0)))</f>
        <v/>
      </c>
      <c r="R276" s="8" t="n">
        <v>2550.6</v>
      </c>
      <c r="S276" s="10" t="n">
        <v>1</v>
      </c>
    </row>
    <row r="277">
      <c r="A277" s="7" t="inlineStr">
        <is>
          <t>MAT-08-101</t>
        </is>
      </c>
      <c r="B277" s="4" t="inlineStr">
        <is>
          <t>Cerámica de piso y pared, 22.8 x 20 cm</t>
        </is>
      </c>
      <c r="C277" s="7" t="inlineStr">
        <is>
          <t>m²</t>
        </is>
      </c>
      <c r="D277" s="8" t="n">
        <v>1614.78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>
        <f>IF(COUNT(D277:L277)=0,"",MIN(D277:L277))</f>
        <v/>
      </c>
      <c r="N277" s="8">
        <f>IF(COUNT(D277:L277)=0,"",MEDIAN(D277:L277))</f>
        <v/>
      </c>
      <c r="O277" s="8">
        <f>IF(COUNT(D277:L277)=0,"",MAX(D277:L277))</f>
        <v/>
      </c>
      <c r="P277" s="9">
        <f>IF(OR(M277="",M277=0),"",(O277-M277)/M277)</f>
        <v/>
      </c>
      <c r="Q277" s="7">
        <f>IF(COUNT(D277:L277)=0,"",INDEX($D$1:$L$1,MATCH(MIN(D277:L277),D277:L277,0)))</f>
        <v/>
      </c>
      <c r="R277" s="8" t="n">
        <v>2071.61</v>
      </c>
      <c r="S277" s="10" t="n">
        <v>1</v>
      </c>
    </row>
    <row r="278">
      <c r="A278" s="7" t="inlineStr">
        <is>
          <t>MAT-08-102</t>
        </is>
      </c>
      <c r="B278" s="4" t="inlineStr">
        <is>
          <t>Cerámica de piso y pared, 25 x 25 cm</t>
        </is>
      </c>
      <c r="C278" s="7" t="inlineStr">
        <is>
          <t>m²</t>
        </is>
      </c>
      <c r="D278" s="8" t="n">
        <v>1470.37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>
        <f>IF(COUNT(D278:L278)=0,"",MIN(D278:L278))</f>
        <v/>
      </c>
      <c r="N278" s="8">
        <f>IF(COUNT(D278:L278)=0,"",MEDIAN(D278:L278))</f>
        <v/>
      </c>
      <c r="O278" s="8">
        <f>IF(COUNT(D278:L278)=0,"",MAX(D278:L278))</f>
        <v/>
      </c>
      <c r="P278" s="9">
        <f>IF(OR(M278="",M278=0),"",(O278-M278)/M278)</f>
        <v/>
      </c>
      <c r="Q278" s="7">
        <f>IF(COUNT(D278:L278)=0,"",INDEX($D$1:$L$1,MATCH(MIN(D278:L278),D278:L278,0)))</f>
        <v/>
      </c>
      <c r="R278" s="8" t="n">
        <v>1641.67</v>
      </c>
      <c r="S278" s="10" t="n">
        <v>1</v>
      </c>
    </row>
    <row r="279">
      <c r="A279" s="7" t="inlineStr">
        <is>
          <t>MAT-08-103</t>
        </is>
      </c>
      <c r="B279" s="4" t="inlineStr">
        <is>
          <t>Cerámica de piso y pared, 26.8 x 23.2 cm</t>
        </is>
      </c>
      <c r="C279" s="7" t="inlineStr">
        <is>
          <t>m²</t>
        </is>
      </c>
      <c r="D279" s="8" t="n">
        <v>2504.68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>
        <f>IF(COUNT(D279:L279)=0,"",MIN(D279:L279))</f>
        <v/>
      </c>
      <c r="N279" s="8">
        <f>IF(COUNT(D279:L279)=0,"",MEDIAN(D279:L279))</f>
        <v/>
      </c>
      <c r="O279" s="8">
        <f>IF(COUNT(D279:L279)=0,"",MAX(D279:L279))</f>
        <v/>
      </c>
      <c r="P279" s="9">
        <f>IF(OR(M279="",M279=0),"",(O279-M279)/M279)</f>
        <v/>
      </c>
      <c r="Q279" s="7">
        <f>IF(COUNT(D279:L279)=0,"",INDEX($D$1:$L$1,MATCH(MIN(D279:L279),D279:L279,0)))</f>
        <v/>
      </c>
      <c r="R279" s="8" t="n">
        <v>2504.68</v>
      </c>
      <c r="S279" s="10" t="n">
        <v>1</v>
      </c>
    </row>
    <row r="280">
      <c r="A280" s="7" t="inlineStr">
        <is>
          <t>MAT-08-104</t>
        </is>
      </c>
      <c r="B280" s="4" t="inlineStr">
        <is>
          <t>Cerámica de piso y pared, 30 x 25 cm</t>
        </is>
      </c>
      <c r="C280" s="7" t="inlineStr">
        <is>
          <t>m²</t>
        </is>
      </c>
      <c r="D280" s="8" t="n">
        <v>1914.66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>
        <f>IF(COUNT(D280:L280)=0,"",MIN(D280:L280))</f>
        <v/>
      </c>
      <c r="N280" s="8">
        <f>IF(COUNT(D280:L280)=0,"",MEDIAN(D280:L280))</f>
        <v/>
      </c>
      <c r="O280" s="8">
        <f>IF(COUNT(D280:L280)=0,"",MAX(D280:L280))</f>
        <v/>
      </c>
      <c r="P280" s="9">
        <f>IF(OR(M280="",M280=0),"",(O280-M280)/M280)</f>
        <v/>
      </c>
      <c r="Q280" s="7">
        <f>IF(COUNT(D280:L280)=0,"",INDEX($D$1:$L$1,MATCH(MIN(D280:L280),D280:L280,0)))</f>
        <v/>
      </c>
      <c r="R280" s="8" t="n">
        <v>1914.66</v>
      </c>
      <c r="S280" s="10" t="n">
        <v>1</v>
      </c>
    </row>
    <row r="281">
      <c r="A281" s="7" t="inlineStr">
        <is>
          <t>MAT-08-105</t>
        </is>
      </c>
      <c r="B281" s="4" t="inlineStr">
        <is>
          <t>Cerámica de piso y pared, 40 x 25 cm</t>
        </is>
      </c>
      <c r="C281" s="7" t="inlineStr">
        <is>
          <t>m²</t>
        </is>
      </c>
      <c r="D281" s="8" t="n">
        <v>779.2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>
        <f>IF(COUNT(D281:L281)=0,"",MIN(D281:L281))</f>
        <v/>
      </c>
      <c r="N281" s="8">
        <f>IF(COUNT(D281:L281)=0,"",MEDIAN(D281:L281))</f>
        <v/>
      </c>
      <c r="O281" s="8">
        <f>IF(COUNT(D281:L281)=0,"",MAX(D281:L281))</f>
        <v/>
      </c>
      <c r="P281" s="9">
        <f>IF(OR(M281="",M281=0),"",(O281-M281)/M281)</f>
        <v/>
      </c>
      <c r="Q281" s="7">
        <f>IF(COUNT(D281:L281)=0,"",INDEX($D$1:$L$1,MATCH(MIN(D281:L281),D281:L281,0)))</f>
        <v/>
      </c>
      <c r="R281" s="8" t="n">
        <v>779.2</v>
      </c>
      <c r="S281" s="10" t="n">
        <v>1</v>
      </c>
    </row>
    <row r="282">
      <c r="A282" s="7" t="inlineStr">
        <is>
          <t>MAT-08-106</t>
        </is>
      </c>
      <c r="B282" s="4" t="inlineStr">
        <is>
          <t>Cerámica de piso y pared, 45 x 45 cm</t>
        </is>
      </c>
      <c r="C282" s="7" t="inlineStr">
        <is>
          <t>m²</t>
        </is>
      </c>
      <c r="D282" s="8" t="n">
        <v>666.6799999999999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>
        <f>IF(COUNT(D282:L282)=0,"",MIN(D282:L282))</f>
        <v/>
      </c>
      <c r="N282" s="8">
        <f>IF(COUNT(D282:L282)=0,"",MEDIAN(D282:L282))</f>
        <v/>
      </c>
      <c r="O282" s="8">
        <f>IF(COUNT(D282:L282)=0,"",MAX(D282:L282))</f>
        <v/>
      </c>
      <c r="P282" s="9">
        <f>IF(OR(M282="",M282=0),"",(O282-M282)/M282)</f>
        <v/>
      </c>
      <c r="Q282" s="7">
        <f>IF(COUNT(D282:L282)=0,"",INDEX($D$1:$L$1,MATCH(MIN(D282:L282),D282:L282,0)))</f>
        <v/>
      </c>
      <c r="R282" s="8" t="n">
        <v>927.46</v>
      </c>
      <c r="S282" s="10" t="n">
        <v>1</v>
      </c>
    </row>
    <row r="283">
      <c r="A283" s="7" t="inlineStr">
        <is>
          <t>MAT-08-107</t>
        </is>
      </c>
      <c r="B283" s="4" t="inlineStr">
        <is>
          <t>Cerámica de piso y pared, 55 x 33 cm</t>
        </is>
      </c>
      <c r="C283" s="7" t="inlineStr">
        <is>
          <t>m²</t>
        </is>
      </c>
      <c r="D283" s="8" t="n">
        <v>811.99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>
        <f>IF(COUNT(D283:L283)=0,"",MIN(D283:L283))</f>
        <v/>
      </c>
      <c r="N283" s="8">
        <f>IF(COUNT(D283:L283)=0,"",MEDIAN(D283:L283))</f>
        <v/>
      </c>
      <c r="O283" s="8">
        <f>IF(COUNT(D283:L283)=0,"",MAX(D283:L283))</f>
        <v/>
      </c>
      <c r="P283" s="9">
        <f>IF(OR(M283="",M283=0),"",(O283-M283)/M283)</f>
        <v/>
      </c>
      <c r="Q283" s="7">
        <f>IF(COUNT(D283:L283)=0,"",INDEX($D$1:$L$1,MATCH(MIN(D283:L283),D283:L283,0)))</f>
        <v/>
      </c>
      <c r="R283" s="8" t="n">
        <v>837.58</v>
      </c>
      <c r="S283" s="10" t="n">
        <v>1</v>
      </c>
    </row>
    <row r="284">
      <c r="A284" s="7" t="inlineStr">
        <is>
          <t>MAT-08-108</t>
        </is>
      </c>
      <c r="B284" s="4" t="inlineStr">
        <is>
          <t>Cerámica de piso y pared, 58 x 19 cm</t>
        </is>
      </c>
      <c r="C284" s="7" t="inlineStr">
        <is>
          <t>m²</t>
        </is>
      </c>
      <c r="D284" s="8" t="n">
        <v>851.73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>
        <f>IF(COUNT(D284:L284)=0,"",MIN(D284:L284))</f>
        <v/>
      </c>
      <c r="N284" s="8">
        <f>IF(COUNT(D284:L284)=0,"",MEDIAN(D284:L284))</f>
        <v/>
      </c>
      <c r="O284" s="8">
        <f>IF(COUNT(D284:L284)=0,"",MAX(D284:L284))</f>
        <v/>
      </c>
      <c r="P284" s="9">
        <f>IF(OR(M284="",M284=0),"",(O284-M284)/M284)</f>
        <v/>
      </c>
      <c r="Q284" s="7">
        <f>IF(COUNT(D284:L284)=0,"",INDEX($D$1:$L$1,MATCH(MIN(D284:L284),D284:L284,0)))</f>
        <v/>
      </c>
      <c r="R284" s="8" t="n">
        <v>884.59</v>
      </c>
      <c r="S284" s="10" t="n">
        <v>1</v>
      </c>
    </row>
    <row r="285">
      <c r="A285" s="7" t="inlineStr">
        <is>
          <t>MAT-08-109</t>
        </is>
      </c>
      <c r="B285" s="4" t="inlineStr">
        <is>
          <t>Cerámica de piso y pared, 58 x 58 cm</t>
        </is>
      </c>
      <c r="C285" s="7" t="inlineStr">
        <is>
          <t>m²</t>
        </is>
      </c>
      <c r="D285" s="8" t="n">
        <v>1267.19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>
        <f>IF(COUNT(D285:L285)=0,"",MIN(D285:L285))</f>
        <v/>
      </c>
      <c r="N285" s="8">
        <f>IF(COUNT(D285:L285)=0,"",MEDIAN(D285:L285))</f>
        <v/>
      </c>
      <c r="O285" s="8">
        <f>IF(COUNT(D285:L285)=0,"",MAX(D285:L285))</f>
        <v/>
      </c>
      <c r="P285" s="9">
        <f>IF(OR(M285="",M285=0),"",(O285-M285)/M285)</f>
        <v/>
      </c>
      <c r="Q285" s="7">
        <f>IF(COUNT(D285:L285)=0,"",INDEX($D$1:$L$1,MATCH(MIN(D285:L285),D285:L285,0)))</f>
        <v/>
      </c>
      <c r="R285" s="8" t="n">
        <v>1407.51</v>
      </c>
      <c r="S285" s="10" t="n">
        <v>1</v>
      </c>
    </row>
    <row r="286">
      <c r="A286" s="7" t="inlineStr">
        <is>
          <t>MAT-08-110</t>
        </is>
      </c>
      <c r="B286" s="4" t="inlineStr">
        <is>
          <t>Cerámica de piso y pared, 60 x 20 cm</t>
        </is>
      </c>
      <c r="C286" s="7" t="inlineStr">
        <is>
          <t>m²</t>
        </is>
      </c>
      <c r="D286" s="8" t="n">
        <v>482.11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>
        <f>IF(COUNT(D286:L286)=0,"",MIN(D286:L286))</f>
        <v/>
      </c>
      <c r="N286" s="8">
        <f>IF(COUNT(D286:L286)=0,"",MEDIAN(D286:L286))</f>
        <v/>
      </c>
      <c r="O286" s="8">
        <f>IF(COUNT(D286:L286)=0,"",MAX(D286:L286))</f>
        <v/>
      </c>
      <c r="P286" s="9">
        <f>IF(OR(M286="",M286=0),"",(O286-M286)/M286)</f>
        <v/>
      </c>
      <c r="Q286" s="7">
        <f>IF(COUNT(D286:L286)=0,"",INDEX($D$1:$L$1,MATCH(MIN(D286:L286),D286:L286,0)))</f>
        <v/>
      </c>
      <c r="R286" s="8" t="n">
        <v>767.4400000000001</v>
      </c>
      <c r="S286" s="10" t="n">
        <v>1</v>
      </c>
    </row>
    <row r="287">
      <c r="A287" s="7" t="inlineStr">
        <is>
          <t>MAT-08-111</t>
        </is>
      </c>
      <c r="B287" s="4" t="inlineStr">
        <is>
          <t>Cerámica de piso y pared, 60 x 30 cm</t>
        </is>
      </c>
      <c r="C287" s="7" t="inlineStr">
        <is>
          <t>m²</t>
        </is>
      </c>
      <c r="D287" s="8" t="n">
        <v>1048.67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>
        <f>IF(COUNT(D287:L287)=0,"",MIN(D287:L287))</f>
        <v/>
      </c>
      <c r="N287" s="8">
        <f>IF(COUNT(D287:L287)=0,"",MEDIAN(D287:L287))</f>
        <v/>
      </c>
      <c r="O287" s="8">
        <f>IF(COUNT(D287:L287)=0,"",MAX(D287:L287))</f>
        <v/>
      </c>
      <c r="P287" s="9">
        <f>IF(OR(M287="",M287=0),"",(O287-M287)/M287)</f>
        <v/>
      </c>
      <c r="Q287" s="7">
        <f>IF(COUNT(D287:L287)=0,"",INDEX($D$1:$L$1,MATCH(MIN(D287:L287),D287:L287,0)))</f>
        <v/>
      </c>
      <c r="R287" s="8" t="n">
        <v>1474.52</v>
      </c>
      <c r="S287" s="10" t="n">
        <v>1</v>
      </c>
    </row>
    <row r="288">
      <c r="A288" s="7" t="inlineStr">
        <is>
          <t>MAT-08-112</t>
        </is>
      </c>
      <c r="B288" s="4" t="inlineStr">
        <is>
          <t>Cerámica de piso y pared, 60 x 60 cm</t>
        </is>
      </c>
      <c r="C288" s="7" t="inlineStr">
        <is>
          <t>m²</t>
        </is>
      </c>
      <c r="D288" s="8" t="n">
        <v>461.4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>
        <f>IF(COUNT(D288:L288)=0,"",MIN(D288:L288))</f>
        <v/>
      </c>
      <c r="N288" s="8">
        <f>IF(COUNT(D288:L288)=0,"",MEDIAN(D288:L288))</f>
        <v/>
      </c>
      <c r="O288" s="8">
        <f>IF(COUNT(D288:L288)=0,"",MAX(D288:L288))</f>
        <v/>
      </c>
      <c r="P288" s="9">
        <f>IF(OR(M288="",M288=0),"",(O288-M288)/M288)</f>
        <v/>
      </c>
      <c r="Q288" s="7">
        <f>IF(COUNT(D288:L288)=0,"",INDEX($D$1:$L$1,MATCH(MIN(D288:L288),D288:L288,0)))</f>
        <v/>
      </c>
      <c r="R288" s="8" t="n">
        <v>1251.4</v>
      </c>
      <c r="S288" s="10" t="n">
        <v>1</v>
      </c>
    </row>
    <row r="289">
      <c r="A289" s="7" t="inlineStr">
        <is>
          <t>MAT-08-113</t>
        </is>
      </c>
      <c r="B289" s="4" t="inlineStr">
        <is>
          <t>Cerámica de piso y pared, 75 x 25 cm</t>
        </is>
      </c>
      <c r="C289" s="7" t="inlineStr">
        <is>
          <t>m²</t>
        </is>
      </c>
      <c r="D289" s="8" t="n">
        <v>915.6799999999999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>
        <f>IF(COUNT(D289:L289)=0,"",MIN(D289:L289))</f>
        <v/>
      </c>
      <c r="N289" s="8">
        <f>IF(COUNT(D289:L289)=0,"",MEDIAN(D289:L289))</f>
        <v/>
      </c>
      <c r="O289" s="8">
        <f>IF(COUNT(D289:L289)=0,"",MAX(D289:L289))</f>
        <v/>
      </c>
      <c r="P289" s="9">
        <f>IF(OR(M289="",M289=0),"",(O289-M289)/M289)</f>
        <v/>
      </c>
      <c r="Q289" s="7">
        <f>IF(COUNT(D289:L289)=0,"",INDEX($D$1:$L$1,MATCH(MIN(D289:L289),D289:L289,0)))</f>
        <v/>
      </c>
      <c r="R289" s="8" t="n">
        <v>1257.26</v>
      </c>
      <c r="S289" s="10" t="n">
        <v>1</v>
      </c>
    </row>
    <row r="290">
      <c r="A290" s="7" t="inlineStr">
        <is>
          <t>MAT-08-114</t>
        </is>
      </c>
      <c r="B290" s="4" t="inlineStr">
        <is>
          <t>Cerámica de piso y pared, 80 x 80 cm</t>
        </is>
      </c>
      <c r="C290" s="7" t="inlineStr">
        <is>
          <t>m²</t>
        </is>
      </c>
      <c r="D290" s="8" t="n">
        <v>908.36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>
        <f>IF(COUNT(D290:L290)=0,"",MIN(D290:L290))</f>
        <v/>
      </c>
      <c r="N290" s="8">
        <f>IF(COUNT(D290:L290)=0,"",MEDIAN(D290:L290))</f>
        <v/>
      </c>
      <c r="O290" s="8">
        <f>IF(COUNT(D290:L290)=0,"",MAX(D290:L290))</f>
        <v/>
      </c>
      <c r="P290" s="9">
        <f>IF(OR(M290="",M290=0),"",(O290-M290)/M290)</f>
        <v/>
      </c>
      <c r="Q290" s="7">
        <f>IF(COUNT(D290:L290)=0,"",INDEX($D$1:$L$1,MATCH(MIN(D290:L290),D290:L290,0)))</f>
        <v/>
      </c>
      <c r="R290" s="8" t="n">
        <v>929.73</v>
      </c>
      <c r="S290" s="10" t="n">
        <v>1</v>
      </c>
    </row>
    <row r="291">
      <c r="A291" s="7" t="inlineStr">
        <is>
          <t>MAT-08-115</t>
        </is>
      </c>
      <c r="B291" s="4" t="inlineStr">
        <is>
          <t>Cerámica de piso y pared, 90 x 15 cm</t>
        </is>
      </c>
      <c r="C291" s="7" t="inlineStr">
        <is>
          <t>m²</t>
        </is>
      </c>
      <c r="D291" s="8" t="n">
        <v>1417.32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>
        <f>IF(COUNT(D291:L291)=0,"",MIN(D291:L291))</f>
        <v/>
      </c>
      <c r="N291" s="8">
        <f>IF(COUNT(D291:L291)=0,"",MEDIAN(D291:L291))</f>
        <v/>
      </c>
      <c r="O291" s="8">
        <f>IF(COUNT(D291:L291)=0,"",MAX(D291:L291))</f>
        <v/>
      </c>
      <c r="P291" s="9">
        <f>IF(OR(M291="",M291=0),"",(O291-M291)/M291)</f>
        <v/>
      </c>
      <c r="Q291" s="7">
        <f>IF(COUNT(D291:L291)=0,"",INDEX($D$1:$L$1,MATCH(MIN(D291:L291),D291:L291,0)))</f>
        <v/>
      </c>
      <c r="R291" s="8" t="n">
        <v>1496.73</v>
      </c>
      <c r="S291" s="10" t="n">
        <v>1</v>
      </c>
    </row>
    <row r="292">
      <c r="A292" s="7" t="inlineStr">
        <is>
          <t>MAT-08-116</t>
        </is>
      </c>
      <c r="B292" s="4" t="inlineStr">
        <is>
          <t>Cerámica de piso y pared, 90 x 30 cm</t>
        </is>
      </c>
      <c r="C292" s="7" t="inlineStr">
        <is>
          <t>m²</t>
        </is>
      </c>
      <c r="D292" s="8" t="n">
        <v>1180.22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>
        <f>IF(COUNT(D292:L292)=0,"",MIN(D292:L292))</f>
        <v/>
      </c>
      <c r="N292" s="8">
        <f>IF(COUNT(D292:L292)=0,"",MEDIAN(D292:L292))</f>
        <v/>
      </c>
      <c r="O292" s="8">
        <f>IF(COUNT(D292:L292)=0,"",MAX(D292:L292))</f>
        <v/>
      </c>
      <c r="P292" s="9">
        <f>IF(OR(M292="",M292=0),"",(O292-M292)/M292)</f>
        <v/>
      </c>
      <c r="Q292" s="7">
        <f>IF(COUNT(D292:L292)=0,"",INDEX($D$1:$L$1,MATCH(MIN(D292:L292),D292:L292,0)))</f>
        <v/>
      </c>
      <c r="R292" s="8" t="n">
        <v>2137.59</v>
      </c>
      <c r="S292" s="10" t="n">
        <v>1</v>
      </c>
    </row>
    <row r="293">
      <c r="A293" s="7" t="inlineStr">
        <is>
          <t>MAT-08-117</t>
        </is>
      </c>
      <c r="B293" s="4" t="inlineStr">
        <is>
          <t>Cerámica de piso y pared, 90 x 45 cm</t>
        </is>
      </c>
      <c r="C293" s="7" t="inlineStr">
        <is>
          <t>m²</t>
        </is>
      </c>
      <c r="D293" s="8" t="n">
        <v>1367.94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>
        <f>IF(COUNT(D293:L293)=0,"",MIN(D293:L293))</f>
        <v/>
      </c>
      <c r="N293" s="8">
        <f>IF(COUNT(D293:L293)=0,"",MEDIAN(D293:L293))</f>
        <v/>
      </c>
      <c r="O293" s="8">
        <f>IF(COUNT(D293:L293)=0,"",MAX(D293:L293))</f>
        <v/>
      </c>
      <c r="P293" s="9">
        <f>IF(OR(M293="",M293=0),"",(O293-M293)/M293)</f>
        <v/>
      </c>
      <c r="Q293" s="7">
        <f>IF(COUNT(D293:L293)=0,"",INDEX($D$1:$L$1,MATCH(MIN(D293:L293),D293:L293,0)))</f>
        <v/>
      </c>
      <c r="R293" s="8" t="n">
        <v>1964.77</v>
      </c>
      <c r="S293" s="10" t="n">
        <v>1</v>
      </c>
    </row>
    <row r="294">
      <c r="A294" s="7" t="inlineStr">
        <is>
          <t>MAT-08-118</t>
        </is>
      </c>
      <c r="B294" s="4" t="inlineStr">
        <is>
          <t>Porcelanato de pared, 100 x 30 cm</t>
        </is>
      </c>
      <c r="C294" s="7" t="inlineStr">
        <is>
          <t>m²</t>
        </is>
      </c>
      <c r="D294" s="8" t="n">
        <v>1961.18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>
        <f>IF(COUNT(D294:L294)=0,"",MIN(D294:L294))</f>
        <v/>
      </c>
      <c r="N294" s="8">
        <f>IF(COUNT(D294:L294)=0,"",MEDIAN(D294:L294))</f>
        <v/>
      </c>
      <c r="O294" s="8">
        <f>IF(COUNT(D294:L294)=0,"",MAX(D294:L294))</f>
        <v/>
      </c>
      <c r="P294" s="9">
        <f>IF(OR(M294="",M294=0),"",(O294-M294)/M294)</f>
        <v/>
      </c>
      <c r="Q294" s="7">
        <f>IF(COUNT(D294:L294)=0,"",INDEX($D$1:$L$1,MATCH(MIN(D294:L294),D294:L294,0)))</f>
        <v/>
      </c>
      <c r="R294" s="8" t="n">
        <v>2062.5</v>
      </c>
      <c r="S294" s="10" t="n">
        <v>1</v>
      </c>
    </row>
    <row r="295">
      <c r="A295" s="7" t="inlineStr">
        <is>
          <t>MAT-08-119</t>
        </is>
      </c>
      <c r="B295" s="4" t="inlineStr">
        <is>
          <t>Porcelanato de pared, 120 x 120 cm</t>
        </is>
      </c>
      <c r="C295" s="7" t="inlineStr">
        <is>
          <t>m²</t>
        </is>
      </c>
      <c r="D295" s="8" t="n"/>
      <c r="E295" s="8" t="n">
        <v>2686.15</v>
      </c>
      <c r="F295" s="8" t="n"/>
      <c r="G295" s="8" t="n"/>
      <c r="H295" s="8" t="n"/>
      <c r="I295" s="8" t="n"/>
      <c r="J295" s="8" t="n"/>
      <c r="K295" s="8" t="n"/>
      <c r="L295" s="8" t="n"/>
      <c r="M295" s="8">
        <f>IF(COUNT(D295:L295)=0,"",MIN(D295:L295))</f>
        <v/>
      </c>
      <c r="N295" s="8">
        <f>IF(COUNT(D295:L295)=0,"",MEDIAN(D295:L295))</f>
        <v/>
      </c>
      <c r="O295" s="8">
        <f>IF(COUNT(D295:L295)=0,"",MAX(D295:L295))</f>
        <v/>
      </c>
      <c r="P295" s="9">
        <f>IF(OR(M295="",M295=0),"",(O295-M295)/M295)</f>
        <v/>
      </c>
      <c r="Q295" s="7">
        <f>IF(COUNT(D295:L295)=0,"",INDEX($D$1:$L$1,MATCH(MIN(D295:L295),D295:L295,0)))</f>
        <v/>
      </c>
      <c r="R295" s="8" t="n">
        <v>3169.66</v>
      </c>
      <c r="S295" s="10" t="n">
        <v>1</v>
      </c>
    </row>
    <row r="296">
      <c r="A296" s="7" t="inlineStr">
        <is>
          <t>MAT-08-120</t>
        </is>
      </c>
      <c r="B296" s="4" t="inlineStr">
        <is>
          <t>Porcelanato de pared, 120 x 40 cm</t>
        </is>
      </c>
      <c r="C296" s="7" t="inlineStr">
        <is>
          <t>m²</t>
        </is>
      </c>
      <c r="D296" s="8" t="n">
        <v>1241.03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>
        <f>IF(COUNT(D296:L296)=0,"",MIN(D296:L296))</f>
        <v/>
      </c>
      <c r="N296" s="8">
        <f>IF(COUNT(D296:L296)=0,"",MEDIAN(D296:L296))</f>
        <v/>
      </c>
      <c r="O296" s="8">
        <f>IF(COUNT(D296:L296)=0,"",MAX(D296:L296))</f>
        <v/>
      </c>
      <c r="P296" s="9">
        <f>IF(OR(M296="",M296=0),"",(O296-M296)/M296)</f>
        <v/>
      </c>
      <c r="Q296" s="7">
        <f>IF(COUNT(D296:L296)=0,"",INDEX($D$1:$L$1,MATCH(MIN(D296:L296),D296:L296,0)))</f>
        <v/>
      </c>
      <c r="R296" s="8" t="n">
        <v>1540.39</v>
      </c>
      <c r="S296" s="10" t="n">
        <v>1</v>
      </c>
    </row>
    <row r="297">
      <c r="A297" s="7" t="inlineStr">
        <is>
          <t>MAT-08-121</t>
        </is>
      </c>
      <c r="B297" s="4" t="inlineStr">
        <is>
          <t>Porcelanato de pared, 120 x 45 cm</t>
        </is>
      </c>
      <c r="C297" s="7" t="inlineStr">
        <is>
          <t>m²</t>
        </is>
      </c>
      <c r="D297" s="8" t="n"/>
      <c r="E297" s="8" t="n">
        <v>1645.33</v>
      </c>
      <c r="F297" s="8" t="n"/>
      <c r="G297" s="8" t="n"/>
      <c r="H297" s="8" t="n"/>
      <c r="I297" s="8" t="n"/>
      <c r="J297" s="8" t="n"/>
      <c r="K297" s="8" t="n"/>
      <c r="L297" s="8" t="n"/>
      <c r="M297" s="8">
        <f>IF(COUNT(D297:L297)=0,"",MIN(D297:L297))</f>
        <v/>
      </c>
      <c r="N297" s="8">
        <f>IF(COUNT(D297:L297)=0,"",MEDIAN(D297:L297))</f>
        <v/>
      </c>
      <c r="O297" s="8">
        <f>IF(COUNT(D297:L297)=0,"",MAX(D297:L297))</f>
        <v/>
      </c>
      <c r="P297" s="9">
        <f>IF(OR(M297="",M297=0),"",(O297-M297)/M297)</f>
        <v/>
      </c>
      <c r="Q297" s="7">
        <f>IF(COUNT(D297:L297)=0,"",INDEX($D$1:$L$1,MATCH(MIN(D297:L297),D297:L297,0)))</f>
        <v/>
      </c>
      <c r="R297" s="8" t="n">
        <v>1981.9</v>
      </c>
      <c r="S297" s="10" t="n">
        <v>1</v>
      </c>
    </row>
    <row r="298">
      <c r="A298" s="7" t="inlineStr">
        <is>
          <t>MAT-08-122</t>
        </is>
      </c>
      <c r="B298" s="4" t="inlineStr">
        <is>
          <t>Porcelanato de pared, 120 x 60 cm</t>
        </is>
      </c>
      <c r="C298" s="7" t="inlineStr">
        <is>
          <t>m²</t>
        </is>
      </c>
      <c r="D298" s="8" t="n">
        <v>1708.56</v>
      </c>
      <c r="E298" s="8" t="n">
        <v>996.8</v>
      </c>
      <c r="F298" s="8" t="n"/>
      <c r="G298" s="8" t="n">
        <v>2589.99</v>
      </c>
      <c r="H298" s="8" t="n"/>
      <c r="I298" s="8" t="n"/>
      <c r="J298" s="8" t="n"/>
      <c r="K298" s="8" t="n"/>
      <c r="L298" s="8" t="n"/>
      <c r="M298" s="8">
        <f>IF(COUNT(D298:L298)=0,"",MIN(D298:L298))</f>
        <v/>
      </c>
      <c r="N298" s="8">
        <f>IF(COUNT(D298:L298)=0,"",MEDIAN(D298:L298))</f>
        <v/>
      </c>
      <c r="O298" s="8">
        <f>IF(COUNT(D298:L298)=0,"",MAX(D298:L298))</f>
        <v/>
      </c>
      <c r="P298" s="9">
        <f>IF(OR(M298="",M298=0),"",(O298-M298)/M298)</f>
        <v/>
      </c>
      <c r="Q298" s="7">
        <f>IF(COUNT(D298:L298)=0,"",INDEX($D$1:$L$1,MATCH(MIN(D298:L298),D298:L298,0)))</f>
        <v/>
      </c>
      <c r="R298" s="8" t="n">
        <v>2117.55</v>
      </c>
      <c r="S298" s="10" t="n">
        <v>3</v>
      </c>
    </row>
    <row r="299">
      <c r="A299" s="7" t="inlineStr">
        <is>
          <t>MAT-08-123</t>
        </is>
      </c>
      <c r="B299" s="4" t="inlineStr">
        <is>
          <t>Porcelanato de pared, 15 x 15 cm</t>
        </is>
      </c>
      <c r="C299" s="7" t="inlineStr">
        <is>
          <t>m²</t>
        </is>
      </c>
      <c r="D299" s="8" t="n">
        <v>516.5599999999999</v>
      </c>
      <c r="E299" s="8" t="n">
        <v>1237.02</v>
      </c>
      <c r="F299" s="8" t="n"/>
      <c r="G299" s="8" t="n">
        <v>3349.82</v>
      </c>
      <c r="H299" s="8" t="n"/>
      <c r="I299" s="8" t="n"/>
      <c r="J299" s="8" t="n"/>
      <c r="K299" s="8" t="n"/>
      <c r="L299" s="8" t="n"/>
      <c r="M299" s="8">
        <f>IF(COUNT(D299:L299)=0,"",MIN(D299:L299))</f>
        <v/>
      </c>
      <c r="N299" s="8">
        <f>IF(COUNT(D299:L299)=0,"",MEDIAN(D299:L299))</f>
        <v/>
      </c>
      <c r="O299" s="8">
        <f>IF(COUNT(D299:L299)=0,"",MAX(D299:L299))</f>
        <v/>
      </c>
      <c r="P299" s="9">
        <f>IF(OR(M299="",M299=0),"",(O299-M299)/M299)</f>
        <v/>
      </c>
      <c r="Q299" s="7">
        <f>IF(COUNT(D299:L299)=0,"",INDEX($D$1:$L$1,MATCH(MIN(D299:L299),D299:L299,0)))</f>
        <v/>
      </c>
      <c r="R299" s="8" t="n">
        <v>2187.06</v>
      </c>
      <c r="S299" s="10" t="n">
        <v>3</v>
      </c>
    </row>
    <row r="300">
      <c r="A300" s="7" t="inlineStr">
        <is>
          <t>MAT-08-124</t>
        </is>
      </c>
      <c r="B300" s="4" t="inlineStr">
        <is>
          <t>Porcelanato de pared, 20 x 20 cm</t>
        </is>
      </c>
      <c r="C300" s="7" t="inlineStr">
        <is>
          <t>m²</t>
        </is>
      </c>
      <c r="D300" s="8" t="n"/>
      <c r="E300" s="8" t="n">
        <v>1437.07</v>
      </c>
      <c r="F300" s="8" t="n"/>
      <c r="G300" s="8" t="n"/>
      <c r="H300" s="8" t="n"/>
      <c r="I300" s="8" t="n"/>
      <c r="J300" s="8" t="n"/>
      <c r="K300" s="8" t="n"/>
      <c r="L300" s="8" t="n"/>
      <c r="M300" s="8">
        <f>IF(COUNT(D300:L300)=0,"",MIN(D300:L300))</f>
        <v/>
      </c>
      <c r="N300" s="8">
        <f>IF(COUNT(D300:L300)=0,"",MEDIAN(D300:L300))</f>
        <v/>
      </c>
      <c r="O300" s="8">
        <f>IF(COUNT(D300:L300)=0,"",MAX(D300:L300))</f>
        <v/>
      </c>
      <c r="P300" s="9">
        <f>IF(OR(M300="",M300=0),"",(O300-M300)/M300)</f>
        <v/>
      </c>
      <c r="Q300" s="7">
        <f>IF(COUNT(D300:L300)=0,"",INDEX($D$1:$L$1,MATCH(MIN(D300:L300),D300:L300,0)))</f>
        <v/>
      </c>
      <c r="R300" s="8" t="n">
        <v>2678.99</v>
      </c>
      <c r="S300" s="10" t="n">
        <v>1</v>
      </c>
    </row>
    <row r="301">
      <c r="A301" s="7" t="inlineStr">
        <is>
          <t>MAT-08-125</t>
        </is>
      </c>
      <c r="B301" s="4" t="inlineStr">
        <is>
          <t>Porcelanato de pared, 25 x 14 cm</t>
        </is>
      </c>
      <c r="C301" s="7" t="inlineStr">
        <is>
          <t>m²</t>
        </is>
      </c>
      <c r="D301" s="8" t="n"/>
      <c r="E301" s="8" t="n"/>
      <c r="F301" s="8" t="n"/>
      <c r="G301" s="8" t="n">
        <v>3926.57</v>
      </c>
      <c r="H301" s="8" t="n"/>
      <c r="I301" s="8" t="n"/>
      <c r="J301" s="8" t="n"/>
      <c r="K301" s="8" t="n"/>
      <c r="L301" s="8" t="n"/>
      <c r="M301" s="8">
        <f>IF(COUNT(D301:L301)=0,"",MIN(D301:L301))</f>
        <v/>
      </c>
      <c r="N301" s="8">
        <f>IF(COUNT(D301:L301)=0,"",MEDIAN(D301:L301))</f>
        <v/>
      </c>
      <c r="O301" s="8">
        <f>IF(COUNT(D301:L301)=0,"",MAX(D301:L301))</f>
        <v/>
      </c>
      <c r="P301" s="9">
        <f>IF(OR(M301="",M301=0),"",(O301-M301)/M301)</f>
        <v/>
      </c>
      <c r="Q301" s="7">
        <f>IF(COUNT(D301:L301)=0,"",INDEX($D$1:$L$1,MATCH(MIN(D301:L301),D301:L301,0)))</f>
        <v/>
      </c>
      <c r="R301" s="8" t="n">
        <v>3926.57</v>
      </c>
      <c r="S301" s="10" t="n">
        <v>1</v>
      </c>
    </row>
    <row r="302">
      <c r="A302" s="7" t="inlineStr">
        <is>
          <t>MAT-08-126</t>
        </is>
      </c>
      <c r="B302" s="4" t="inlineStr">
        <is>
          <t>Porcelanato de pared, 25 x 22 cm</t>
        </is>
      </c>
      <c r="C302" s="7" t="inlineStr">
        <is>
          <t>m²</t>
        </is>
      </c>
      <c r="D302" s="8" t="n"/>
      <c r="E302" s="8" t="n"/>
      <c r="F302" s="8" t="n"/>
      <c r="G302" s="8" t="n">
        <v>2990.03</v>
      </c>
      <c r="H302" s="8" t="n"/>
      <c r="I302" s="8" t="n"/>
      <c r="J302" s="8" t="n"/>
      <c r="K302" s="8" t="n"/>
      <c r="L302" s="8" t="n"/>
      <c r="M302" s="8">
        <f>IF(COUNT(D302:L302)=0,"",MIN(D302:L302))</f>
        <v/>
      </c>
      <c r="N302" s="8">
        <f>IF(COUNT(D302:L302)=0,"",MEDIAN(D302:L302))</f>
        <v/>
      </c>
      <c r="O302" s="8">
        <f>IF(COUNT(D302:L302)=0,"",MAX(D302:L302))</f>
        <v/>
      </c>
      <c r="P302" s="9">
        <f>IF(OR(M302="",M302=0),"",(O302-M302)/M302)</f>
        <v/>
      </c>
      <c r="Q302" s="7">
        <f>IF(COUNT(D302:L302)=0,"",INDEX($D$1:$L$1,MATCH(MIN(D302:L302),D302:L302,0)))</f>
        <v/>
      </c>
      <c r="R302" s="8" t="n">
        <v>2990.03</v>
      </c>
      <c r="S302" s="10" t="n">
        <v>1</v>
      </c>
    </row>
    <row r="303">
      <c r="A303" s="7" t="inlineStr">
        <is>
          <t>MAT-08-127</t>
        </is>
      </c>
      <c r="B303" s="4" t="inlineStr">
        <is>
          <t>Porcelanato de pared, 25 x 23 cm</t>
        </is>
      </c>
      <c r="C303" s="7" t="inlineStr">
        <is>
          <t>m²</t>
        </is>
      </c>
      <c r="D303" s="8" t="n"/>
      <c r="E303" s="8" t="n">
        <v>3637.09</v>
      </c>
      <c r="F303" s="8" t="n"/>
      <c r="G303" s="8" t="n"/>
      <c r="H303" s="8" t="n"/>
      <c r="I303" s="8" t="n"/>
      <c r="J303" s="8" t="n"/>
      <c r="K303" s="8" t="n"/>
      <c r="L303" s="8" t="n"/>
      <c r="M303" s="8">
        <f>IF(COUNT(D303:L303)=0,"",MIN(D303:L303))</f>
        <v/>
      </c>
      <c r="N303" s="8">
        <f>IF(COUNT(D303:L303)=0,"",MEDIAN(D303:L303))</f>
        <v/>
      </c>
      <c r="O303" s="8">
        <f>IF(COUNT(D303:L303)=0,"",MAX(D303:L303))</f>
        <v/>
      </c>
      <c r="P303" s="9">
        <f>IF(OR(M303="",M303=0),"",(O303-M303)/M303)</f>
        <v/>
      </c>
      <c r="Q303" s="7">
        <f>IF(COUNT(D303:L303)=0,"",INDEX($D$1:$L$1,MATCH(MIN(D303:L303),D303:L303,0)))</f>
        <v/>
      </c>
      <c r="R303" s="8" t="n">
        <v>4291.77</v>
      </c>
      <c r="S303" s="10" t="n">
        <v>1</v>
      </c>
    </row>
    <row r="304">
      <c r="A304" s="7" t="inlineStr">
        <is>
          <t>MAT-08-128</t>
        </is>
      </c>
      <c r="B304" s="4" t="inlineStr">
        <is>
          <t>Porcelanato de pared, 30 x 30 cm</t>
        </is>
      </c>
      <c r="C304" s="7" t="inlineStr">
        <is>
          <t>m²</t>
        </is>
      </c>
      <c r="D304" s="8" t="n"/>
      <c r="E304" s="8" t="n">
        <v>1838.44</v>
      </c>
      <c r="F304" s="8" t="n"/>
      <c r="G304" s="8" t="n"/>
      <c r="H304" s="8" t="n"/>
      <c r="I304" s="8" t="n"/>
      <c r="J304" s="8" t="n"/>
      <c r="K304" s="8" t="n"/>
      <c r="L304" s="8" t="n"/>
      <c r="M304" s="8">
        <f>IF(COUNT(D304:L304)=0,"",MIN(D304:L304))</f>
        <v/>
      </c>
      <c r="N304" s="8">
        <f>IF(COUNT(D304:L304)=0,"",MEDIAN(D304:L304))</f>
        <v/>
      </c>
      <c r="O304" s="8">
        <f>IF(COUNT(D304:L304)=0,"",MAX(D304:L304))</f>
        <v/>
      </c>
      <c r="P304" s="9">
        <f>IF(OR(M304="",M304=0),"",(O304-M304)/M304)</f>
        <v/>
      </c>
      <c r="Q304" s="7">
        <f>IF(COUNT(D304:L304)=0,"",INDEX($D$1:$L$1,MATCH(MIN(D304:L304),D304:L304,0)))</f>
        <v/>
      </c>
      <c r="R304" s="8" t="n">
        <v>2169.36</v>
      </c>
      <c r="S304" s="10" t="n">
        <v>1</v>
      </c>
    </row>
    <row r="305">
      <c r="A305" s="7" t="inlineStr">
        <is>
          <t>MAT-08-129</t>
        </is>
      </c>
      <c r="B305" s="4" t="inlineStr">
        <is>
          <t>Porcelanato de pared, 300 x 150 cm</t>
        </is>
      </c>
      <c r="C305" s="7" t="inlineStr">
        <is>
          <t>m²</t>
        </is>
      </c>
      <c r="D305" s="8" t="n"/>
      <c r="E305" s="8" t="n">
        <v>6935.94</v>
      </c>
      <c r="F305" s="8" t="n"/>
      <c r="G305" s="8" t="n"/>
      <c r="H305" s="8" t="n"/>
      <c r="I305" s="8" t="n"/>
      <c r="J305" s="8" t="n"/>
      <c r="K305" s="8" t="n"/>
      <c r="L305" s="8" t="n"/>
      <c r="M305" s="8">
        <f>IF(COUNT(D305:L305)=0,"",MIN(D305:L305))</f>
        <v/>
      </c>
      <c r="N305" s="8">
        <f>IF(COUNT(D305:L305)=0,"",MEDIAN(D305:L305))</f>
        <v/>
      </c>
      <c r="O305" s="8">
        <f>IF(COUNT(D305:L305)=0,"",MAX(D305:L305))</f>
        <v/>
      </c>
      <c r="P305" s="9">
        <f>IF(OR(M305="",M305=0),"",(O305-M305)/M305)</f>
        <v/>
      </c>
      <c r="Q305" s="7">
        <f>IF(COUNT(D305:L305)=0,"",INDEX($D$1:$L$1,MATCH(MIN(D305:L305),D305:L305,0)))</f>
        <v/>
      </c>
      <c r="R305" s="8" t="n">
        <v>8184.41</v>
      </c>
      <c r="S305" s="10" t="n">
        <v>1</v>
      </c>
    </row>
    <row r="306">
      <c r="A306" s="7" t="inlineStr">
        <is>
          <t>MAT-08-130</t>
        </is>
      </c>
      <c r="B306" s="4" t="inlineStr">
        <is>
          <t>Porcelanato de pared, 50 x 17 cm</t>
        </is>
      </c>
      <c r="C306" s="7" t="inlineStr">
        <is>
          <t>m²</t>
        </is>
      </c>
      <c r="D306" s="8" t="n">
        <v>1550.47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>
        <f>IF(COUNT(D306:L306)=0,"",MIN(D306:L306))</f>
        <v/>
      </c>
      <c r="N306" s="8">
        <f>IF(COUNT(D306:L306)=0,"",MEDIAN(D306:L306))</f>
        <v/>
      </c>
      <c r="O306" s="8">
        <f>IF(COUNT(D306:L306)=0,"",MAX(D306:L306))</f>
        <v/>
      </c>
      <c r="P306" s="9">
        <f>IF(OR(M306="",M306=0),"",(O306-M306)/M306)</f>
        <v/>
      </c>
      <c r="Q306" s="7">
        <f>IF(COUNT(D306:L306)=0,"",INDEX($D$1:$L$1,MATCH(MIN(D306:L306),D306:L306,0)))</f>
        <v/>
      </c>
      <c r="R306" s="8" t="n">
        <v>1873.88</v>
      </c>
      <c r="S306" s="10" t="n">
        <v>1</v>
      </c>
    </row>
    <row r="307">
      <c r="A307" s="7" t="inlineStr">
        <is>
          <t>MAT-08-131</t>
        </is>
      </c>
      <c r="B307" s="4" t="inlineStr">
        <is>
          <t>Porcelanato de pared, 55 x 33 cm</t>
        </is>
      </c>
      <c r="C307" s="7" t="inlineStr">
        <is>
          <t>m²</t>
        </is>
      </c>
      <c r="D307" s="8" t="n">
        <v>671.4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>
        <f>IF(COUNT(D307:L307)=0,"",MIN(D307:L307))</f>
        <v/>
      </c>
      <c r="N307" s="8">
        <f>IF(COUNT(D307:L307)=0,"",MEDIAN(D307:L307))</f>
        <v/>
      </c>
      <c r="O307" s="8">
        <f>IF(COUNT(D307:L307)=0,"",MAX(D307:L307))</f>
        <v/>
      </c>
      <c r="P307" s="9">
        <f>IF(OR(M307="",M307=0),"",(O307-M307)/M307)</f>
        <v/>
      </c>
      <c r="Q307" s="7">
        <f>IF(COUNT(D307:L307)=0,"",INDEX($D$1:$L$1,MATCH(MIN(D307:L307),D307:L307,0)))</f>
        <v/>
      </c>
      <c r="R307" s="8" t="n">
        <v>839.97</v>
      </c>
      <c r="S307" s="10" t="n">
        <v>1</v>
      </c>
    </row>
    <row r="308">
      <c r="A308" s="7" t="inlineStr">
        <is>
          <t>MAT-08-132</t>
        </is>
      </c>
      <c r="B308" s="4" t="inlineStr">
        <is>
          <t>Porcelanato de pared, 60 x 30 cm</t>
        </is>
      </c>
      <c r="C308" s="7" t="inlineStr">
        <is>
          <t>m²</t>
        </is>
      </c>
      <c r="D308" s="8" t="n">
        <v>1034.85</v>
      </c>
      <c r="E308" s="8" t="n">
        <v>1309.22</v>
      </c>
      <c r="F308" s="8" t="n"/>
      <c r="G308" s="8" t="n"/>
      <c r="H308" s="8" t="n"/>
      <c r="I308" s="8" t="n"/>
      <c r="J308" s="8" t="n"/>
      <c r="K308" s="8" t="n"/>
      <c r="L308" s="8" t="n"/>
      <c r="M308" s="8">
        <f>IF(COUNT(D308:L308)=0,"",MIN(D308:L308))</f>
        <v/>
      </c>
      <c r="N308" s="8">
        <f>IF(COUNT(D308:L308)=0,"",MEDIAN(D308:L308))</f>
        <v/>
      </c>
      <c r="O308" s="8">
        <f>IF(COUNT(D308:L308)=0,"",MAX(D308:L308))</f>
        <v/>
      </c>
      <c r="P308" s="9">
        <f>IF(OR(M308="",M308=0),"",(O308-M308)/M308)</f>
        <v/>
      </c>
      <c r="Q308" s="7">
        <f>IF(COUNT(D308:L308)=0,"",INDEX($D$1:$L$1,MATCH(MIN(D308:L308),D308:L308,0)))</f>
        <v/>
      </c>
      <c r="R308" s="8" t="n">
        <v>1544.88</v>
      </c>
      <c r="S308" s="10" t="n">
        <v>2</v>
      </c>
    </row>
    <row r="309">
      <c r="A309" s="7" t="inlineStr">
        <is>
          <t>MAT-08-133</t>
        </is>
      </c>
      <c r="B309" s="4" t="inlineStr">
        <is>
          <t>Porcelanato de pared, 60 x 60 cm</t>
        </is>
      </c>
      <c r="C309" s="7" t="inlineStr">
        <is>
          <t>m²</t>
        </is>
      </c>
      <c r="D309" s="8" t="n"/>
      <c r="E309" s="8" t="n">
        <v>1464.31</v>
      </c>
      <c r="F309" s="8" t="n"/>
      <c r="G309" s="8" t="n"/>
      <c r="H309" s="8" t="n"/>
      <c r="I309" s="8" t="n"/>
      <c r="J309" s="8" t="n"/>
      <c r="K309" s="8" t="n"/>
      <c r="L309" s="8" t="n"/>
      <c r="M309" s="8">
        <f>IF(COUNT(D309:L309)=0,"",MIN(D309:L309))</f>
        <v/>
      </c>
      <c r="N309" s="8">
        <f>IF(COUNT(D309:L309)=0,"",MEDIAN(D309:L309))</f>
        <v/>
      </c>
      <c r="O309" s="8">
        <f>IF(COUNT(D309:L309)=0,"",MAX(D309:L309))</f>
        <v/>
      </c>
      <c r="P309" s="9">
        <f>IF(OR(M309="",M309=0),"",(O309-M309)/M309)</f>
        <v/>
      </c>
      <c r="Q309" s="7">
        <f>IF(COUNT(D309:L309)=0,"",INDEX($D$1:$L$1,MATCH(MIN(D309:L309),D309:L309,0)))</f>
        <v/>
      </c>
      <c r="R309" s="8" t="n">
        <v>1727.89</v>
      </c>
      <c r="S309" s="10" t="n">
        <v>1</v>
      </c>
    </row>
    <row r="310">
      <c r="A310" s="7" t="inlineStr">
        <is>
          <t>MAT-08-134</t>
        </is>
      </c>
      <c r="B310" s="4" t="inlineStr">
        <is>
          <t>Porcelanato de pared, 75 x 25 cm</t>
        </is>
      </c>
      <c r="C310" s="7" t="inlineStr">
        <is>
          <t>m²</t>
        </is>
      </c>
      <c r="D310" s="8" t="n">
        <v>796.67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>
        <f>IF(COUNT(D310:L310)=0,"",MIN(D310:L310))</f>
        <v/>
      </c>
      <c r="N310" s="8">
        <f>IF(COUNT(D310:L310)=0,"",MEDIAN(D310:L310))</f>
        <v/>
      </c>
      <c r="O310" s="8">
        <f>IF(COUNT(D310:L310)=0,"",MAX(D310:L310))</f>
        <v/>
      </c>
      <c r="P310" s="9">
        <f>IF(OR(M310="",M310=0),"",(O310-M310)/M310)</f>
        <v/>
      </c>
      <c r="Q310" s="7">
        <f>IF(COUNT(D310:L310)=0,"",INDEX($D$1:$L$1,MATCH(MIN(D310:L310),D310:L310,0)))</f>
        <v/>
      </c>
      <c r="R310" s="8" t="n">
        <v>1170.52</v>
      </c>
      <c r="S310" s="10" t="n">
        <v>1</v>
      </c>
    </row>
    <row r="311">
      <c r="A311" s="7" t="inlineStr">
        <is>
          <t>MAT-08-135</t>
        </is>
      </c>
      <c r="B311" s="4" t="inlineStr">
        <is>
          <t>Porcelanato de pared, 80 x 80 cm</t>
        </is>
      </c>
      <c r="C311" s="7" t="inlineStr">
        <is>
          <t>m²</t>
        </is>
      </c>
      <c r="D311" s="8" t="n"/>
      <c r="E311" s="8" t="n"/>
      <c r="F311" s="8" t="n"/>
      <c r="G311" s="8" t="n">
        <v>2789.99</v>
      </c>
      <c r="H311" s="8" t="n"/>
      <c r="I311" s="8" t="n"/>
      <c r="J311" s="8" t="n"/>
      <c r="K311" s="8" t="n"/>
      <c r="L311" s="8" t="n"/>
      <c r="M311" s="8">
        <f>IF(COUNT(D311:L311)=0,"",MIN(D311:L311))</f>
        <v/>
      </c>
      <c r="N311" s="8">
        <f>IF(COUNT(D311:L311)=0,"",MEDIAN(D311:L311))</f>
        <v/>
      </c>
      <c r="O311" s="8">
        <f>IF(COUNT(D311:L311)=0,"",MAX(D311:L311))</f>
        <v/>
      </c>
      <c r="P311" s="9">
        <f>IF(OR(M311="",M311=0),"",(O311-M311)/M311)</f>
        <v/>
      </c>
      <c r="Q311" s="7">
        <f>IF(COUNT(D311:L311)=0,"",INDEX($D$1:$L$1,MATCH(MIN(D311:L311),D311:L311,0)))</f>
        <v/>
      </c>
      <c r="R311" s="8" t="n">
        <v>2789.99</v>
      </c>
      <c r="S311" s="10" t="n">
        <v>1</v>
      </c>
    </row>
    <row r="312">
      <c r="A312" s="7" t="inlineStr">
        <is>
          <t>MAT-08-136</t>
        </is>
      </c>
      <c r="B312" s="4" t="inlineStr">
        <is>
          <t>Porcelanato de pared, 90 x 30 cm</t>
        </is>
      </c>
      <c r="C312" s="7" t="inlineStr">
        <is>
          <t>m²</t>
        </is>
      </c>
      <c r="D312" s="8" t="n">
        <v>1531.25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>
        <f>IF(COUNT(D312:L312)=0,"",MIN(D312:L312))</f>
        <v/>
      </c>
      <c r="N312" s="8">
        <f>IF(COUNT(D312:L312)=0,"",MEDIAN(D312:L312))</f>
        <v/>
      </c>
      <c r="O312" s="8">
        <f>IF(COUNT(D312:L312)=0,"",MAX(D312:L312))</f>
        <v/>
      </c>
      <c r="P312" s="9">
        <f>IF(OR(M312="",M312=0),"",(O312-M312)/M312)</f>
        <v/>
      </c>
      <c r="Q312" s="7">
        <f>IF(COUNT(D312:L312)=0,"",INDEX($D$1:$L$1,MATCH(MIN(D312:L312),D312:L312,0)))</f>
        <v/>
      </c>
      <c r="R312" s="8" t="n">
        <v>1531.25</v>
      </c>
      <c r="S312" s="10" t="n">
        <v>1</v>
      </c>
    </row>
    <row r="313">
      <c r="A313" s="7" t="inlineStr">
        <is>
          <t>MAT-08-137</t>
        </is>
      </c>
      <c r="B313" s="4" t="inlineStr">
        <is>
          <t>Porcelanato de pared, 90 x 45 cm</t>
        </is>
      </c>
      <c r="C313" s="7" t="inlineStr">
        <is>
          <t>m²</t>
        </is>
      </c>
      <c r="D313" s="8" t="n"/>
      <c r="E313" s="8" t="n">
        <v>682.2</v>
      </c>
      <c r="F313" s="8" t="n"/>
      <c r="G313" s="8" t="n"/>
      <c r="H313" s="8" t="n"/>
      <c r="I313" s="8" t="n"/>
      <c r="J313" s="8" t="n"/>
      <c r="K313" s="8" t="n"/>
      <c r="L313" s="8" t="n"/>
      <c r="M313" s="8">
        <f>IF(COUNT(D313:L313)=0,"",MIN(D313:L313))</f>
        <v/>
      </c>
      <c r="N313" s="8">
        <f>IF(COUNT(D313:L313)=0,"",MEDIAN(D313:L313))</f>
        <v/>
      </c>
      <c r="O313" s="8">
        <f>IF(COUNT(D313:L313)=0,"",MAX(D313:L313))</f>
        <v/>
      </c>
      <c r="P313" s="9">
        <f>IF(OR(M313="",M313=0),"",(O313-M313)/M313)</f>
        <v/>
      </c>
      <c r="Q313" s="7">
        <f>IF(COUNT(D313:L313)=0,"",INDEX($D$1:$L$1,MATCH(MIN(D313:L313),D313:L313,0)))</f>
        <v/>
      </c>
      <c r="R313" s="8" t="n">
        <v>805</v>
      </c>
      <c r="S313" s="10" t="n">
        <v>1</v>
      </c>
    </row>
    <row r="314">
      <c r="A314" s="7" t="inlineStr">
        <is>
          <t>MAT-08-138</t>
        </is>
      </c>
      <c r="B314" s="4" t="inlineStr">
        <is>
          <t>Porcelanato de piso, 100 x 100 cm</t>
        </is>
      </c>
      <c r="C314" s="7" t="inlineStr">
        <is>
          <t>m²</t>
        </is>
      </c>
      <c r="D314" s="8" t="n"/>
      <c r="E314" s="8" t="n">
        <v>1566.66</v>
      </c>
      <c r="F314" s="8" t="n"/>
      <c r="G314" s="8" t="n"/>
      <c r="H314" s="8" t="n"/>
      <c r="I314" s="8" t="n"/>
      <c r="J314" s="8" t="n"/>
      <c r="K314" s="8" t="n"/>
      <c r="L314" s="8" t="n"/>
      <c r="M314" s="8">
        <f>IF(COUNT(D314:L314)=0,"",MIN(D314:L314))</f>
        <v/>
      </c>
      <c r="N314" s="8">
        <f>IF(COUNT(D314:L314)=0,"",MEDIAN(D314:L314))</f>
        <v/>
      </c>
      <c r="O314" s="8">
        <f>IF(COUNT(D314:L314)=0,"",MAX(D314:L314))</f>
        <v/>
      </c>
      <c r="P314" s="9">
        <f>IF(OR(M314="",M314=0),"",(O314-M314)/M314)</f>
        <v/>
      </c>
      <c r="Q314" s="7">
        <f>IF(COUNT(D314:L314)=0,"",INDEX($D$1:$L$1,MATCH(MIN(D314:L314),D314:L314,0)))</f>
        <v/>
      </c>
      <c r="R314" s="8" t="n">
        <v>1925.23</v>
      </c>
      <c r="S314" s="10" t="n">
        <v>1</v>
      </c>
    </row>
    <row r="315">
      <c r="A315" s="7" t="inlineStr">
        <is>
          <t>MAT-08-139</t>
        </is>
      </c>
      <c r="B315" s="4" t="inlineStr">
        <is>
          <t>Porcelanato de piso, 100 x 25 cm</t>
        </is>
      </c>
      <c r="C315" s="7" t="inlineStr">
        <is>
          <t>m²</t>
        </is>
      </c>
      <c r="D315" s="8" t="n">
        <v>1243.64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>
        <f>IF(COUNT(D315:L315)=0,"",MIN(D315:L315))</f>
        <v/>
      </c>
      <c r="N315" s="8">
        <f>IF(COUNT(D315:L315)=0,"",MEDIAN(D315:L315))</f>
        <v/>
      </c>
      <c r="O315" s="8">
        <f>IF(COUNT(D315:L315)=0,"",MAX(D315:L315))</f>
        <v/>
      </c>
      <c r="P315" s="9">
        <f>IF(OR(M315="",M315=0),"",(O315-M315)/M315)</f>
        <v/>
      </c>
      <c r="Q315" s="7">
        <f>IF(COUNT(D315:L315)=0,"",INDEX($D$1:$L$1,MATCH(MIN(D315:L315),D315:L315,0)))</f>
        <v/>
      </c>
      <c r="R315" s="8" t="n">
        <v>1269.08</v>
      </c>
      <c r="S315" s="10" t="n">
        <v>1</v>
      </c>
    </row>
    <row r="316">
      <c r="A316" s="7" t="inlineStr">
        <is>
          <t>MAT-08-140</t>
        </is>
      </c>
      <c r="B316" s="4" t="inlineStr">
        <is>
          <t>Porcelanato de piso, 113 x 55 cm</t>
        </is>
      </c>
      <c r="C316" s="7" t="inlineStr">
        <is>
          <t>m²</t>
        </is>
      </c>
      <c r="D316" s="8" t="n">
        <v>955.09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>
        <f>IF(COUNT(D316:L316)=0,"",MIN(D316:L316))</f>
        <v/>
      </c>
      <c r="N316" s="8">
        <f>IF(COUNT(D316:L316)=0,"",MEDIAN(D316:L316))</f>
        <v/>
      </c>
      <c r="O316" s="8">
        <f>IF(COUNT(D316:L316)=0,"",MAX(D316:L316))</f>
        <v/>
      </c>
      <c r="P316" s="9">
        <f>IF(OR(M316="",M316=0),"",(O316-M316)/M316)</f>
        <v/>
      </c>
      <c r="Q316" s="7">
        <f>IF(COUNT(D316:L316)=0,"",INDEX($D$1:$L$1,MATCH(MIN(D316:L316),D316:L316,0)))</f>
        <v/>
      </c>
      <c r="R316" s="8" t="n">
        <v>955.09</v>
      </c>
      <c r="S316" s="10" t="n">
        <v>1</v>
      </c>
    </row>
    <row r="317">
      <c r="A317" s="7" t="inlineStr">
        <is>
          <t>MAT-08-141</t>
        </is>
      </c>
      <c r="B317" s="4" t="inlineStr">
        <is>
          <t>Porcelanato de piso, 120 x 120 cm</t>
        </is>
      </c>
      <c r="C317" s="7" t="inlineStr">
        <is>
          <t>m²</t>
        </is>
      </c>
      <c r="D317" s="8" t="n"/>
      <c r="E317" s="8" t="n">
        <v>2505.65</v>
      </c>
      <c r="F317" s="8" t="n"/>
      <c r="G317" s="8" t="n"/>
      <c r="H317" s="8" t="n"/>
      <c r="I317" s="8" t="n"/>
      <c r="J317" s="8" t="n"/>
      <c r="K317" s="8" t="n"/>
      <c r="L317" s="8" t="n"/>
      <c r="M317" s="8">
        <f>IF(COUNT(D317:L317)=0,"",MIN(D317:L317))</f>
        <v/>
      </c>
      <c r="N317" s="8">
        <f>IF(COUNT(D317:L317)=0,"",MEDIAN(D317:L317))</f>
        <v/>
      </c>
      <c r="O317" s="8">
        <f>IF(COUNT(D317:L317)=0,"",MAX(D317:L317))</f>
        <v/>
      </c>
      <c r="P317" s="9">
        <f>IF(OR(M317="",M317=0),"",(O317-M317)/M317)</f>
        <v/>
      </c>
      <c r="Q317" s="7">
        <f>IF(COUNT(D317:L317)=0,"",INDEX($D$1:$L$1,MATCH(MIN(D317:L317),D317:L317,0)))</f>
        <v/>
      </c>
      <c r="R317" s="8" t="n">
        <v>2956.72</v>
      </c>
      <c r="S317" s="10" t="n">
        <v>1</v>
      </c>
    </row>
    <row r="318">
      <c r="A318" s="7" t="inlineStr">
        <is>
          <t>MAT-08-142</t>
        </is>
      </c>
      <c r="B318" s="4" t="inlineStr">
        <is>
          <t>Porcelanato de piso, 120 x 15 cm</t>
        </is>
      </c>
      <c r="C318" s="7" t="inlineStr">
        <is>
          <t>m²</t>
        </is>
      </c>
      <c r="D318" s="8" t="n">
        <v>2570.59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>
        <f>IF(COUNT(D318:L318)=0,"",MIN(D318:L318))</f>
        <v/>
      </c>
      <c r="N318" s="8">
        <f>IF(COUNT(D318:L318)=0,"",MEDIAN(D318:L318))</f>
        <v/>
      </c>
      <c r="O318" s="8">
        <f>IF(COUNT(D318:L318)=0,"",MAX(D318:L318))</f>
        <v/>
      </c>
      <c r="P318" s="9">
        <f>IF(OR(M318="",M318=0),"",(O318-M318)/M318)</f>
        <v/>
      </c>
      <c r="Q318" s="7">
        <f>IF(COUNT(D318:L318)=0,"",INDEX($D$1:$L$1,MATCH(MIN(D318:L318),D318:L318,0)))</f>
        <v/>
      </c>
      <c r="R318" s="8" t="n">
        <v>3297.03</v>
      </c>
      <c r="S318" s="10" t="n">
        <v>1</v>
      </c>
    </row>
    <row r="319">
      <c r="A319" s="7" t="inlineStr">
        <is>
          <t>MAT-08-143</t>
        </is>
      </c>
      <c r="B319" s="4" t="inlineStr">
        <is>
          <t>Porcelanato de piso, 120 x 20 cm</t>
        </is>
      </c>
      <c r="C319" s="7" t="inlineStr">
        <is>
          <t>m²</t>
        </is>
      </c>
      <c r="D319" s="8" t="n">
        <v>939.3099999999999</v>
      </c>
      <c r="E319" s="8" t="n">
        <v>2010.03</v>
      </c>
      <c r="F319" s="8" t="n"/>
      <c r="G319" s="8" t="n"/>
      <c r="H319" s="8" t="n"/>
      <c r="I319" s="8" t="n"/>
      <c r="J319" s="8" t="n"/>
      <c r="K319" s="8" t="n"/>
      <c r="L319" s="8" t="n"/>
      <c r="M319" s="8">
        <f>IF(COUNT(D319:L319)=0,"",MIN(D319:L319))</f>
        <v/>
      </c>
      <c r="N319" s="8">
        <f>IF(COUNT(D319:L319)=0,"",MEDIAN(D319:L319))</f>
        <v/>
      </c>
      <c r="O319" s="8">
        <f>IF(COUNT(D319:L319)=0,"",MAX(D319:L319))</f>
        <v/>
      </c>
      <c r="P319" s="9">
        <f>IF(OR(M319="",M319=0),"",(O319-M319)/M319)</f>
        <v/>
      </c>
      <c r="Q319" s="7">
        <f>IF(COUNT(D319:L319)=0,"",INDEX($D$1:$L$1,MATCH(MIN(D319:L319),D319:L319,0)))</f>
        <v/>
      </c>
      <c r="R319" s="8" t="n">
        <v>1943.33</v>
      </c>
      <c r="S319" s="10" t="n">
        <v>2</v>
      </c>
    </row>
    <row r="320">
      <c r="A320" s="7" t="inlineStr">
        <is>
          <t>MAT-08-144</t>
        </is>
      </c>
      <c r="B320" s="4" t="inlineStr">
        <is>
          <t>Porcelanato de piso, 120 x 23.3 cm</t>
        </is>
      </c>
      <c r="C320" s="7" t="inlineStr">
        <is>
          <t>m²</t>
        </is>
      </c>
      <c r="D320" s="8" t="n"/>
      <c r="E320" s="8" t="n"/>
      <c r="F320" s="8" t="n"/>
      <c r="G320" s="8" t="n">
        <v>1949.98</v>
      </c>
      <c r="H320" s="8" t="n"/>
      <c r="I320" s="8" t="n"/>
      <c r="J320" s="8" t="n"/>
      <c r="K320" s="8" t="n"/>
      <c r="L320" s="8" t="n"/>
      <c r="M320" s="8">
        <f>IF(COUNT(D320:L320)=0,"",MIN(D320:L320))</f>
        <v/>
      </c>
      <c r="N320" s="8">
        <f>IF(COUNT(D320:L320)=0,"",MEDIAN(D320:L320))</f>
        <v/>
      </c>
      <c r="O320" s="8">
        <f>IF(COUNT(D320:L320)=0,"",MAX(D320:L320))</f>
        <v/>
      </c>
      <c r="P320" s="9">
        <f>IF(OR(M320="",M320=0),"",(O320-M320)/M320)</f>
        <v/>
      </c>
      <c r="Q320" s="7">
        <f>IF(COUNT(D320:L320)=0,"",INDEX($D$1:$L$1,MATCH(MIN(D320:L320),D320:L320,0)))</f>
        <v/>
      </c>
      <c r="R320" s="8" t="n">
        <v>1949.98</v>
      </c>
      <c r="S320" s="10" t="n">
        <v>1</v>
      </c>
    </row>
    <row r="321">
      <c r="A321" s="7" t="inlineStr">
        <is>
          <t>MAT-08-145</t>
        </is>
      </c>
      <c r="B321" s="4" t="inlineStr">
        <is>
          <t>Porcelanato de piso, 120 x 23 cm</t>
        </is>
      </c>
      <c r="C321" s="7" t="inlineStr">
        <is>
          <t>m²</t>
        </is>
      </c>
      <c r="D321" s="8" t="n">
        <v>1122.74</v>
      </c>
      <c r="E321" s="8" t="n"/>
      <c r="F321" s="8" t="n"/>
      <c r="G321" s="8" t="n">
        <v>1798</v>
      </c>
      <c r="H321" s="8" t="n"/>
      <c r="I321" s="8" t="n"/>
      <c r="J321" s="8" t="n"/>
      <c r="K321" s="8" t="n"/>
      <c r="L321" s="8" t="n"/>
      <c r="M321" s="8">
        <f>IF(COUNT(D321:L321)=0,"",MIN(D321:L321))</f>
        <v/>
      </c>
      <c r="N321" s="8">
        <f>IF(COUNT(D321:L321)=0,"",MEDIAN(D321:L321))</f>
        <v/>
      </c>
      <c r="O321" s="8">
        <f>IF(COUNT(D321:L321)=0,"",MAX(D321:L321))</f>
        <v/>
      </c>
      <c r="P321" s="9">
        <f>IF(OR(M321="",M321=0),"",(O321-M321)/M321)</f>
        <v/>
      </c>
      <c r="Q321" s="7">
        <f>IF(COUNT(D321:L321)=0,"",INDEX($D$1:$L$1,MATCH(MIN(D321:L321),D321:L321,0)))</f>
        <v/>
      </c>
      <c r="R321" s="8" t="n">
        <v>1798</v>
      </c>
      <c r="S321" s="10" t="n">
        <v>2</v>
      </c>
    </row>
    <row r="322">
      <c r="A322" s="7" t="inlineStr">
        <is>
          <t>MAT-08-146</t>
        </is>
      </c>
      <c r="B322" s="4" t="inlineStr">
        <is>
          <t>Porcelanato de piso, 120 x 40 cm</t>
        </is>
      </c>
      <c r="C322" s="7" t="inlineStr">
        <is>
          <t>m²</t>
        </is>
      </c>
      <c r="D322" s="8" t="n">
        <v>1516.36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>
        <f>IF(COUNT(D322:L322)=0,"",MIN(D322:L322))</f>
        <v/>
      </c>
      <c r="N322" s="8">
        <f>IF(COUNT(D322:L322)=0,"",MEDIAN(D322:L322))</f>
        <v/>
      </c>
      <c r="O322" s="8">
        <f>IF(COUNT(D322:L322)=0,"",MAX(D322:L322))</f>
        <v/>
      </c>
      <c r="P322" s="9">
        <f>IF(OR(M322="",M322=0),"",(O322-M322)/M322)</f>
        <v/>
      </c>
      <c r="Q322" s="7">
        <f>IF(COUNT(D322:L322)=0,"",INDEX($D$1:$L$1,MATCH(MIN(D322:L322),D322:L322,0)))</f>
        <v/>
      </c>
      <c r="R322" s="8" t="n">
        <v>1753.98</v>
      </c>
      <c r="S322" s="10" t="n">
        <v>1</v>
      </c>
    </row>
    <row r="323">
      <c r="A323" s="7" t="inlineStr">
        <is>
          <t>MAT-08-147</t>
        </is>
      </c>
      <c r="B323" s="4" t="inlineStr">
        <is>
          <t>Porcelanato de piso, 120 x 60 cm</t>
        </is>
      </c>
      <c r="C323" s="7" t="inlineStr">
        <is>
          <t>m²</t>
        </is>
      </c>
      <c r="D323" s="8" t="n">
        <v>819.97</v>
      </c>
      <c r="E323" s="8" t="n">
        <v>909.23</v>
      </c>
      <c r="F323" s="8" t="n"/>
      <c r="G323" s="8" t="n">
        <v>1190</v>
      </c>
      <c r="H323" s="8" t="n"/>
      <c r="I323" s="8" t="n"/>
      <c r="J323" s="8" t="n"/>
      <c r="K323" s="8" t="n"/>
      <c r="L323" s="8" t="n"/>
      <c r="M323" s="8">
        <f>IF(COUNT(D323:L323)=0,"",MIN(D323:L323))</f>
        <v/>
      </c>
      <c r="N323" s="8">
        <f>IF(COUNT(D323:L323)=0,"",MEDIAN(D323:L323))</f>
        <v/>
      </c>
      <c r="O323" s="8">
        <f>IF(COUNT(D323:L323)=0,"",MAX(D323:L323))</f>
        <v/>
      </c>
      <c r="P323" s="9">
        <f>IF(OR(M323="",M323=0),"",(O323-M323)/M323)</f>
        <v/>
      </c>
      <c r="Q323" s="7">
        <f>IF(COUNT(D323:L323)=0,"",INDEX($D$1:$L$1,MATCH(MIN(D323:L323),D323:L323,0)))</f>
        <v/>
      </c>
      <c r="R323" s="8" t="n">
        <v>2249.99</v>
      </c>
      <c r="S323" s="10" t="n">
        <v>3</v>
      </c>
    </row>
    <row r="324">
      <c r="A324" s="7" t="inlineStr">
        <is>
          <t>MAT-08-148</t>
        </is>
      </c>
      <c r="B324" s="4" t="inlineStr">
        <is>
          <t>Porcelanato de piso, 160 x 80 cm</t>
        </is>
      </c>
      <c r="C324" s="7" t="inlineStr">
        <is>
          <t>m²</t>
        </is>
      </c>
      <c r="D324" s="8" t="n"/>
      <c r="E324" s="8" t="n">
        <v>2029.55</v>
      </c>
      <c r="F324" s="8" t="n"/>
      <c r="G324" s="8" t="n"/>
      <c r="H324" s="8" t="n"/>
      <c r="I324" s="8" t="n"/>
      <c r="J324" s="8" t="n"/>
      <c r="K324" s="8" t="n"/>
      <c r="L324" s="8" t="n"/>
      <c r="M324" s="8">
        <f>IF(COUNT(D324:L324)=0,"",MIN(D324:L324))</f>
        <v/>
      </c>
      <c r="N324" s="8">
        <f>IF(COUNT(D324:L324)=0,"",MEDIAN(D324:L324))</f>
        <v/>
      </c>
      <c r="O324" s="8">
        <f>IF(COUNT(D324:L324)=0,"",MAX(D324:L324))</f>
        <v/>
      </c>
      <c r="P324" s="9">
        <f>IF(OR(M324="",M324=0),"",(O324-M324)/M324)</f>
        <v/>
      </c>
      <c r="Q324" s="7">
        <f>IF(COUNT(D324:L324)=0,"",INDEX($D$1:$L$1,MATCH(MIN(D324:L324),D324:L324,0)))</f>
        <v/>
      </c>
      <c r="R324" s="8" t="n">
        <v>2394.87</v>
      </c>
      <c r="S324" s="10" t="n">
        <v>1</v>
      </c>
    </row>
    <row r="325">
      <c r="A325" s="7" t="inlineStr">
        <is>
          <t>MAT-08-149</t>
        </is>
      </c>
      <c r="B325" s="4" t="inlineStr">
        <is>
          <t>Porcelanato de piso, 20 x 20 cm</t>
        </is>
      </c>
      <c r="C325" s="7" t="inlineStr">
        <is>
          <t>m²</t>
        </is>
      </c>
      <c r="D325" s="8" t="n"/>
      <c r="E325" s="8" t="n">
        <v>2854.33</v>
      </c>
      <c r="F325" s="8" t="n"/>
      <c r="G325" s="8" t="n"/>
      <c r="H325" s="8" t="n"/>
      <c r="I325" s="8" t="n"/>
      <c r="J325" s="8" t="n"/>
      <c r="K325" s="8" t="n"/>
      <c r="L325" s="8" t="n"/>
      <c r="M325" s="8">
        <f>IF(COUNT(D325:L325)=0,"",MIN(D325:L325))</f>
        <v/>
      </c>
      <c r="N325" s="8">
        <f>IF(COUNT(D325:L325)=0,"",MEDIAN(D325:L325))</f>
        <v/>
      </c>
      <c r="O325" s="8">
        <f>IF(COUNT(D325:L325)=0,"",MAX(D325:L325))</f>
        <v/>
      </c>
      <c r="P325" s="9">
        <f>IF(OR(M325="",M325=0),"",(O325-M325)/M325)</f>
        <v/>
      </c>
      <c r="Q325" s="7">
        <f>IF(COUNT(D325:L325)=0,"",INDEX($D$1:$L$1,MATCH(MIN(D325:L325),D325:L325,0)))</f>
        <v/>
      </c>
      <c r="R325" s="8" t="n">
        <v>3368.11</v>
      </c>
      <c r="S325" s="10" t="n">
        <v>1</v>
      </c>
    </row>
    <row r="326">
      <c r="A326" s="7" t="inlineStr">
        <is>
          <t>MAT-08-150</t>
        </is>
      </c>
      <c r="B326" s="4" t="inlineStr">
        <is>
          <t>Porcelanato de piso, 33 x 33 cm</t>
        </is>
      </c>
      <c r="C326" s="7" t="inlineStr">
        <is>
          <t>m²</t>
        </is>
      </c>
      <c r="D326" s="8" t="n"/>
      <c r="E326" s="8" t="n"/>
      <c r="F326" s="8" t="n"/>
      <c r="G326" s="8" t="n">
        <v>3834.91</v>
      </c>
      <c r="H326" s="8" t="n"/>
      <c r="I326" s="8" t="n"/>
      <c r="J326" s="8" t="n"/>
      <c r="K326" s="8" t="n"/>
      <c r="L326" s="8" t="n"/>
      <c r="M326" s="8">
        <f>IF(COUNT(D326:L326)=0,"",MIN(D326:L326))</f>
        <v/>
      </c>
      <c r="N326" s="8">
        <f>IF(COUNT(D326:L326)=0,"",MEDIAN(D326:L326))</f>
        <v/>
      </c>
      <c r="O326" s="8">
        <f>IF(COUNT(D326:L326)=0,"",MAX(D326:L326))</f>
        <v/>
      </c>
      <c r="P326" s="9">
        <f>IF(OR(M326="",M326=0),"",(O326-M326)/M326)</f>
        <v/>
      </c>
      <c r="Q326" s="7">
        <f>IF(COUNT(D326:L326)=0,"",INDEX($D$1:$L$1,MATCH(MIN(D326:L326),D326:L326,0)))</f>
        <v/>
      </c>
      <c r="R326" s="8" t="n">
        <v>3834.91</v>
      </c>
      <c r="S326" s="10" t="n">
        <v>1</v>
      </c>
    </row>
    <row r="327">
      <c r="A327" s="7" t="inlineStr">
        <is>
          <t>MAT-08-151</t>
        </is>
      </c>
      <c r="B327" s="4" t="inlineStr">
        <is>
          <t>Porcelanato de piso, 45 x 45 cm</t>
        </is>
      </c>
      <c r="C327" s="7" t="inlineStr">
        <is>
          <t>m²</t>
        </is>
      </c>
      <c r="D327" s="8" t="n">
        <v>581.79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>
        <f>IF(COUNT(D327:L327)=0,"",MIN(D327:L327))</f>
        <v/>
      </c>
      <c r="N327" s="8">
        <f>IF(COUNT(D327:L327)=0,"",MEDIAN(D327:L327))</f>
        <v/>
      </c>
      <c r="O327" s="8">
        <f>IF(COUNT(D327:L327)=0,"",MAX(D327:L327))</f>
        <v/>
      </c>
      <c r="P327" s="9">
        <f>IF(OR(M327="",M327=0),"",(O327-M327)/M327)</f>
        <v/>
      </c>
      <c r="Q327" s="7">
        <f>IF(COUNT(D327:L327)=0,"",INDEX($D$1:$L$1,MATCH(MIN(D327:L327),D327:L327,0)))</f>
        <v/>
      </c>
      <c r="R327" s="8" t="n">
        <v>733.0700000000001</v>
      </c>
      <c r="S327" s="10" t="n">
        <v>1</v>
      </c>
    </row>
    <row r="328">
      <c r="A328" s="7" t="inlineStr">
        <is>
          <t>MAT-08-152</t>
        </is>
      </c>
      <c r="B328" s="4" t="inlineStr">
        <is>
          <t>Porcelanato de piso, 50 x 50 cm</t>
        </is>
      </c>
      <c r="C328" s="7" t="inlineStr">
        <is>
          <t>m²</t>
        </is>
      </c>
      <c r="D328" s="8" t="n">
        <v>1035.48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>
        <f>IF(COUNT(D328:L328)=0,"",MIN(D328:L328))</f>
        <v/>
      </c>
      <c r="N328" s="8">
        <f>IF(COUNT(D328:L328)=0,"",MEDIAN(D328:L328))</f>
        <v/>
      </c>
      <c r="O328" s="8">
        <f>IF(COUNT(D328:L328)=0,"",MAX(D328:L328))</f>
        <v/>
      </c>
      <c r="P328" s="9">
        <f>IF(OR(M328="",M328=0),"",(O328-M328)/M328)</f>
        <v/>
      </c>
      <c r="Q328" s="7">
        <f>IF(COUNT(D328:L328)=0,"",INDEX($D$1:$L$1,MATCH(MIN(D328:L328),D328:L328,0)))</f>
        <v/>
      </c>
      <c r="R328" s="8" t="n">
        <v>1035.48</v>
      </c>
      <c r="S328" s="10" t="n">
        <v>1</v>
      </c>
    </row>
    <row r="329">
      <c r="A329" s="7" t="inlineStr">
        <is>
          <t>MAT-08-153</t>
        </is>
      </c>
      <c r="B329" s="4" t="inlineStr">
        <is>
          <t>Porcelanato de piso, 58 x 19 cm</t>
        </is>
      </c>
      <c r="C329" s="7" t="inlineStr">
        <is>
          <t>m²</t>
        </is>
      </c>
      <c r="D329" s="8" t="n">
        <v>772.01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>
        <f>IF(COUNT(D329:L329)=0,"",MIN(D329:L329))</f>
        <v/>
      </c>
      <c r="N329" s="8">
        <f>IF(COUNT(D329:L329)=0,"",MEDIAN(D329:L329))</f>
        <v/>
      </c>
      <c r="O329" s="8">
        <f>IF(COUNT(D329:L329)=0,"",MAX(D329:L329))</f>
        <v/>
      </c>
      <c r="P329" s="9">
        <f>IF(OR(M329="",M329=0),"",(O329-M329)/M329)</f>
        <v/>
      </c>
      <c r="Q329" s="7">
        <f>IF(COUNT(D329:L329)=0,"",INDEX($D$1:$L$1,MATCH(MIN(D329:L329),D329:L329,0)))</f>
        <v/>
      </c>
      <c r="R329" s="8" t="n">
        <v>777.65</v>
      </c>
      <c r="S329" s="10" t="n">
        <v>1</v>
      </c>
    </row>
    <row r="330">
      <c r="A330" s="7" t="inlineStr">
        <is>
          <t>MAT-08-154</t>
        </is>
      </c>
      <c r="B330" s="4" t="inlineStr">
        <is>
          <t>Porcelanato de piso, 58 x 58 cm</t>
        </is>
      </c>
      <c r="C330" s="7" t="inlineStr">
        <is>
          <t>m²</t>
        </is>
      </c>
      <c r="D330" s="8" t="n">
        <v>998.99</v>
      </c>
      <c r="E330" s="8" t="n"/>
      <c r="F330" s="8" t="n"/>
      <c r="G330" s="8" t="n">
        <v>1689.98</v>
      </c>
      <c r="H330" s="8" t="n"/>
      <c r="I330" s="8" t="n"/>
      <c r="J330" s="8" t="n"/>
      <c r="K330" s="8" t="n"/>
      <c r="L330" s="8" t="n"/>
      <c r="M330" s="8">
        <f>IF(COUNT(D330:L330)=0,"",MIN(D330:L330))</f>
        <v/>
      </c>
      <c r="N330" s="8">
        <f>IF(COUNT(D330:L330)=0,"",MEDIAN(D330:L330))</f>
        <v/>
      </c>
      <c r="O330" s="8">
        <f>IF(COUNT(D330:L330)=0,"",MAX(D330:L330))</f>
        <v/>
      </c>
      <c r="P330" s="9">
        <f>IF(OR(M330="",M330=0),"",(O330-M330)/M330)</f>
        <v/>
      </c>
      <c r="Q330" s="7">
        <f>IF(COUNT(D330:L330)=0,"",INDEX($D$1:$L$1,MATCH(MIN(D330:L330),D330:L330,0)))</f>
        <v/>
      </c>
      <c r="R330" s="8" t="n">
        <v>1344.49</v>
      </c>
      <c r="S330" s="10" t="n">
        <v>2</v>
      </c>
    </row>
    <row r="331">
      <c r="A331" s="7" t="inlineStr">
        <is>
          <t>MAT-08-155</t>
        </is>
      </c>
      <c r="B331" s="4" t="inlineStr">
        <is>
          <t>Porcelanato de piso, 60 x 30 cm</t>
        </is>
      </c>
      <c r="C331" s="7" t="inlineStr">
        <is>
          <t>m²</t>
        </is>
      </c>
      <c r="D331" s="8" t="n">
        <v>988.04</v>
      </c>
      <c r="E331" s="8" t="n">
        <v>1789.91</v>
      </c>
      <c r="F331" s="8" t="n"/>
      <c r="G331" s="8" t="n">
        <v>1350.02</v>
      </c>
      <c r="H331" s="8" t="n"/>
      <c r="I331" s="8" t="n"/>
      <c r="J331" s="8" t="n"/>
      <c r="K331" s="8" t="n"/>
      <c r="L331" s="8" t="n"/>
      <c r="M331" s="8">
        <f>IF(COUNT(D331:L331)=0,"",MIN(D331:L331))</f>
        <v/>
      </c>
      <c r="N331" s="8">
        <f>IF(COUNT(D331:L331)=0,"",MEDIAN(D331:L331))</f>
        <v/>
      </c>
      <c r="O331" s="8">
        <f>IF(COUNT(D331:L331)=0,"",MAX(D331:L331))</f>
        <v/>
      </c>
      <c r="P331" s="9">
        <f>IF(OR(M331="",M331=0),"",(O331-M331)/M331)</f>
        <v/>
      </c>
      <c r="Q331" s="7">
        <f>IF(COUNT(D331:L331)=0,"",INDEX($D$1:$L$1,MATCH(MIN(D331:L331),D331:L331,0)))</f>
        <v/>
      </c>
      <c r="R331" s="8" t="n">
        <v>1349.62</v>
      </c>
      <c r="S331" s="10" t="n">
        <v>3</v>
      </c>
    </row>
    <row r="332">
      <c r="A332" s="7" t="inlineStr">
        <is>
          <t>MAT-08-156</t>
        </is>
      </c>
      <c r="B332" s="4" t="inlineStr">
        <is>
          <t>Porcelanato de piso, 60 x 60 cm</t>
        </is>
      </c>
      <c r="C332" s="7" t="inlineStr">
        <is>
          <t>m²</t>
        </is>
      </c>
      <c r="D332" s="8" t="n"/>
      <c r="E332" s="8" t="n">
        <v>570.53</v>
      </c>
      <c r="F332" s="8" t="n"/>
      <c r="G332" s="8" t="n">
        <v>1190</v>
      </c>
      <c r="H332" s="8" t="n"/>
      <c r="I332" s="8" t="n"/>
      <c r="J332" s="8" t="n"/>
      <c r="K332" s="8" t="n"/>
      <c r="L332" s="8" t="n"/>
      <c r="M332" s="8">
        <f>IF(COUNT(D332:L332)=0,"",MIN(D332:L332))</f>
        <v/>
      </c>
      <c r="N332" s="8">
        <f>IF(COUNT(D332:L332)=0,"",MEDIAN(D332:L332))</f>
        <v/>
      </c>
      <c r="O332" s="8">
        <f>IF(COUNT(D332:L332)=0,"",MAX(D332:L332))</f>
        <v/>
      </c>
      <c r="P332" s="9">
        <f>IF(OR(M332="",M332=0),"",(O332-M332)/M332)</f>
        <v/>
      </c>
      <c r="Q332" s="7">
        <f>IF(COUNT(D332:L332)=0,"",INDEX($D$1:$L$1,MATCH(MIN(D332:L332),D332:L332,0)))</f>
        <v/>
      </c>
      <c r="R332" s="8" t="n">
        <v>1160.99</v>
      </c>
      <c r="S332" s="10" t="n">
        <v>2</v>
      </c>
    </row>
    <row r="333">
      <c r="A333" s="7" t="inlineStr">
        <is>
          <t>MAT-08-157</t>
        </is>
      </c>
      <c r="B333" s="4" t="inlineStr">
        <is>
          <t>Porcelanato de piso, 75 x 75 cm</t>
        </is>
      </c>
      <c r="C333" s="7" t="inlineStr">
        <is>
          <t>m²</t>
        </is>
      </c>
      <c r="D333" s="8" t="n"/>
      <c r="E333" s="8" t="n">
        <v>690.22</v>
      </c>
      <c r="F333" s="8" t="n"/>
      <c r="G333" s="8" t="n"/>
      <c r="H333" s="8" t="n"/>
      <c r="I333" s="8" t="n"/>
      <c r="J333" s="8" t="n"/>
      <c r="K333" s="8" t="n"/>
      <c r="L333" s="8" t="n"/>
      <c r="M333" s="8">
        <f>IF(COUNT(D333:L333)=0,"",MIN(D333:L333))</f>
        <v/>
      </c>
      <c r="N333" s="8">
        <f>IF(COUNT(D333:L333)=0,"",MEDIAN(D333:L333))</f>
        <v/>
      </c>
      <c r="O333" s="8">
        <f>IF(COUNT(D333:L333)=0,"",MAX(D333:L333))</f>
        <v/>
      </c>
      <c r="P333" s="9">
        <f>IF(OR(M333="",M333=0),"",(O333-M333)/M333)</f>
        <v/>
      </c>
      <c r="Q333" s="7">
        <f>IF(COUNT(D333:L333)=0,"",INDEX($D$1:$L$1,MATCH(MIN(D333:L333),D333:L333,0)))</f>
        <v/>
      </c>
      <c r="R333" s="8" t="n">
        <v>962.74</v>
      </c>
      <c r="S333" s="10" t="n">
        <v>1</v>
      </c>
    </row>
    <row r="334">
      <c r="A334" s="7" t="inlineStr">
        <is>
          <t>MAT-08-158</t>
        </is>
      </c>
      <c r="B334" s="4" t="inlineStr">
        <is>
          <t>Porcelanato de piso, 80 x 80 cm</t>
        </is>
      </c>
      <c r="C334" s="7" t="inlineStr">
        <is>
          <t>m²</t>
        </is>
      </c>
      <c r="D334" s="8" t="n"/>
      <c r="E334" s="8" t="n">
        <v>877.6900000000001</v>
      </c>
      <c r="F334" s="8" t="n"/>
      <c r="G334" s="8" t="n"/>
      <c r="H334" s="8" t="n"/>
      <c r="I334" s="8" t="n"/>
      <c r="J334" s="8" t="n"/>
      <c r="K334" s="8" t="n"/>
      <c r="L334" s="8" t="n"/>
      <c r="M334" s="8">
        <f>IF(COUNT(D334:L334)=0,"",MIN(D334:L334))</f>
        <v/>
      </c>
      <c r="N334" s="8">
        <f>IF(COUNT(D334:L334)=0,"",MEDIAN(D334:L334))</f>
        <v/>
      </c>
      <c r="O334" s="8">
        <f>IF(COUNT(D334:L334)=0,"",MAX(D334:L334))</f>
        <v/>
      </c>
      <c r="P334" s="9">
        <f>IF(OR(M334="",M334=0),"",(O334-M334)/M334)</f>
        <v/>
      </c>
      <c r="Q334" s="7">
        <f>IF(COUNT(D334:L334)=0,"",INDEX($D$1:$L$1,MATCH(MIN(D334:L334),D334:L334,0)))</f>
        <v/>
      </c>
      <c r="R334" s="8" t="n">
        <v>1035.67</v>
      </c>
      <c r="S334" s="10" t="n">
        <v>1</v>
      </c>
    </row>
    <row r="335">
      <c r="A335" s="7" t="inlineStr">
        <is>
          <t>MAT-08-159</t>
        </is>
      </c>
      <c r="B335" s="4" t="inlineStr">
        <is>
          <t>Porcelanato de piso, 85 x 22 cm</t>
        </is>
      </c>
      <c r="C335" s="7" t="inlineStr">
        <is>
          <t>m²</t>
        </is>
      </c>
      <c r="D335" s="8" t="n">
        <v>2473.17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>
        <f>IF(COUNT(D335:L335)=0,"",MIN(D335:L335))</f>
        <v/>
      </c>
      <c r="N335" s="8">
        <f>IF(COUNT(D335:L335)=0,"",MEDIAN(D335:L335))</f>
        <v/>
      </c>
      <c r="O335" s="8">
        <f>IF(COUNT(D335:L335)=0,"",MAX(D335:L335))</f>
        <v/>
      </c>
      <c r="P335" s="9">
        <f>IF(OR(M335="",M335=0),"",(O335-M335)/M335)</f>
        <v/>
      </c>
      <c r="Q335" s="7">
        <f>IF(COUNT(D335:L335)=0,"",INDEX($D$1:$L$1,MATCH(MIN(D335:L335),D335:L335,0)))</f>
        <v/>
      </c>
      <c r="R335" s="8" t="n">
        <v>2473.17</v>
      </c>
      <c r="S335" s="10" t="n">
        <v>1</v>
      </c>
    </row>
    <row r="336">
      <c r="A336" s="7" t="inlineStr">
        <is>
          <t>MAT-08-160</t>
        </is>
      </c>
      <c r="B336" s="4" t="inlineStr">
        <is>
          <t>Porcelanato de piso, 90 x 15 cm</t>
        </is>
      </c>
      <c r="C336" s="7" t="inlineStr">
        <is>
          <t>m²</t>
        </is>
      </c>
      <c r="D336" s="8" t="n">
        <v>1156.35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>
        <f>IF(COUNT(D336:L336)=0,"",MIN(D336:L336))</f>
        <v/>
      </c>
      <c r="N336" s="8">
        <f>IF(COUNT(D336:L336)=0,"",MEDIAN(D336:L336))</f>
        <v/>
      </c>
      <c r="O336" s="8">
        <f>IF(COUNT(D336:L336)=0,"",MAX(D336:L336))</f>
        <v/>
      </c>
      <c r="P336" s="9">
        <f>IF(OR(M336="",M336=0),"",(O336-M336)/M336)</f>
        <v/>
      </c>
      <c r="Q336" s="7">
        <f>IF(COUNT(D336:L336)=0,"",INDEX($D$1:$L$1,MATCH(MIN(D336:L336),D336:L336,0)))</f>
        <v/>
      </c>
      <c r="R336" s="8" t="n">
        <v>1187.6</v>
      </c>
      <c r="S336" s="10" t="n">
        <v>1</v>
      </c>
    </row>
    <row r="337">
      <c r="A337" s="7" t="inlineStr">
        <is>
          <t>MAT-08-161</t>
        </is>
      </c>
      <c r="B337" s="4" t="inlineStr">
        <is>
          <t>Porcelanato de piso, 90 x 22.5 cm</t>
        </is>
      </c>
      <c r="C337" s="7" t="inlineStr">
        <is>
          <t>m²</t>
        </is>
      </c>
      <c r="D337" s="8" t="n"/>
      <c r="E337" s="8" t="n"/>
      <c r="F337" s="8" t="n"/>
      <c r="G337" s="8" t="n">
        <v>1589.97</v>
      </c>
      <c r="H337" s="8" t="n"/>
      <c r="I337" s="8" t="n"/>
      <c r="J337" s="8" t="n"/>
      <c r="K337" s="8" t="n"/>
      <c r="L337" s="8" t="n"/>
      <c r="M337" s="8">
        <f>IF(COUNT(D337:L337)=0,"",MIN(D337:L337))</f>
        <v/>
      </c>
      <c r="N337" s="8">
        <f>IF(COUNT(D337:L337)=0,"",MEDIAN(D337:L337))</f>
        <v/>
      </c>
      <c r="O337" s="8">
        <f>IF(COUNT(D337:L337)=0,"",MAX(D337:L337))</f>
        <v/>
      </c>
      <c r="P337" s="9">
        <f>IF(OR(M337="",M337=0),"",(O337-M337)/M337)</f>
        <v/>
      </c>
      <c r="Q337" s="7">
        <f>IF(COUNT(D337:L337)=0,"",INDEX($D$1:$L$1,MATCH(MIN(D337:L337),D337:L337,0)))</f>
        <v/>
      </c>
      <c r="R337" s="8" t="n">
        <v>1619.97</v>
      </c>
      <c r="S337" s="10" t="n">
        <v>1</v>
      </c>
    </row>
    <row r="338">
      <c r="A338" s="7" t="inlineStr">
        <is>
          <t>MAT-08-162</t>
        </is>
      </c>
      <c r="B338" s="4" t="inlineStr">
        <is>
          <t>Porcelanato de piso, 90 x 45 cm</t>
        </is>
      </c>
      <c r="C338" s="7" t="inlineStr">
        <is>
          <t>m²</t>
        </is>
      </c>
      <c r="D338" s="8" t="n">
        <v>818.71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>
        <f>IF(COUNT(D338:L338)=0,"",MIN(D338:L338))</f>
        <v/>
      </c>
      <c r="N338" s="8">
        <f>IF(COUNT(D338:L338)=0,"",MEDIAN(D338:L338))</f>
        <v/>
      </c>
      <c r="O338" s="8">
        <f>IF(COUNT(D338:L338)=0,"",MAX(D338:L338))</f>
        <v/>
      </c>
      <c r="P338" s="9">
        <f>IF(OR(M338="",M338=0),"",(O338-M338)/M338)</f>
        <v/>
      </c>
      <c r="Q338" s="7">
        <f>IF(COUNT(D338:L338)=0,"",INDEX($D$1:$L$1,MATCH(MIN(D338:L338),D338:L338,0)))</f>
        <v/>
      </c>
      <c r="R338" s="8" t="n">
        <v>1636.87</v>
      </c>
      <c r="S338" s="10" t="n">
        <v>1</v>
      </c>
    </row>
    <row r="339">
      <c r="A339" s="7" t="inlineStr">
        <is>
          <t>MAT-08-163</t>
        </is>
      </c>
      <c r="B339" s="4" t="inlineStr">
        <is>
          <t>Porcelanato de piso, 90 x 90 cm</t>
        </is>
      </c>
      <c r="C339" s="7" t="inlineStr">
        <is>
          <t>m²</t>
        </is>
      </c>
      <c r="D339" s="8" t="n"/>
      <c r="E339" s="8" t="n">
        <v>1329.83</v>
      </c>
      <c r="F339" s="8" t="n"/>
      <c r="G339" s="8" t="n">
        <v>2950</v>
      </c>
      <c r="H339" s="8" t="n"/>
      <c r="I339" s="8" t="n"/>
      <c r="J339" s="8" t="n"/>
      <c r="K339" s="8" t="n"/>
      <c r="L339" s="8" t="n"/>
      <c r="M339" s="8">
        <f>IF(COUNT(D339:L339)=0,"",MIN(D339:L339))</f>
        <v/>
      </c>
      <c r="N339" s="8">
        <f>IF(COUNT(D339:L339)=0,"",MEDIAN(D339:L339))</f>
        <v/>
      </c>
      <c r="O339" s="8">
        <f>IF(COUNT(D339:L339)=0,"",MAX(D339:L339))</f>
        <v/>
      </c>
      <c r="P339" s="9">
        <f>IF(OR(M339="",M339=0),"",(O339-M339)/M339)</f>
        <v/>
      </c>
      <c r="Q339" s="7">
        <f>IF(COUNT(D339:L339)=0,"",INDEX($D$1:$L$1,MATCH(MIN(D339:L339),D339:L339,0)))</f>
        <v/>
      </c>
      <c r="R339" s="8" t="n">
        <v>1935.46</v>
      </c>
      <c r="S339" s="10" t="n">
        <v>2</v>
      </c>
    </row>
    <row r="340">
      <c r="A340" s="7" t="inlineStr">
        <is>
          <t>MAT-08-164</t>
        </is>
      </c>
      <c r="B340" s="4" t="inlineStr">
        <is>
          <t>Porcelanato de piso y pared, 100 x 30 cm</t>
        </is>
      </c>
      <c r="C340" s="7" t="inlineStr">
        <is>
          <t>m²</t>
        </is>
      </c>
      <c r="D340" s="8" t="n">
        <v>1782.68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>
        <f>IF(COUNT(D340:L340)=0,"",MIN(D340:L340))</f>
        <v/>
      </c>
      <c r="N340" s="8">
        <f>IF(COUNT(D340:L340)=0,"",MEDIAN(D340:L340))</f>
        <v/>
      </c>
      <c r="O340" s="8">
        <f>IF(COUNT(D340:L340)=0,"",MAX(D340:L340))</f>
        <v/>
      </c>
      <c r="P340" s="9">
        <f>IF(OR(M340="",M340=0),"",(O340-M340)/M340)</f>
        <v/>
      </c>
      <c r="Q340" s="7">
        <f>IF(COUNT(D340:L340)=0,"",INDEX($D$1:$L$1,MATCH(MIN(D340:L340),D340:L340,0)))</f>
        <v/>
      </c>
      <c r="R340" s="8" t="n">
        <v>2196.18</v>
      </c>
      <c r="S340" s="10" t="n">
        <v>1</v>
      </c>
    </row>
    <row r="341">
      <c r="A341" s="7" t="inlineStr">
        <is>
          <t>MAT-08-165</t>
        </is>
      </c>
      <c r="B341" s="4" t="inlineStr">
        <is>
          <t>Porcelanato de piso y pared, 100 x 33 cm</t>
        </is>
      </c>
      <c r="C341" s="7" t="inlineStr">
        <is>
          <t>m²</t>
        </is>
      </c>
      <c r="D341" s="8" t="n">
        <v>1466.73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>
        <f>IF(COUNT(D341:L341)=0,"",MIN(D341:L341))</f>
        <v/>
      </c>
      <c r="N341" s="8">
        <f>IF(COUNT(D341:L341)=0,"",MEDIAN(D341:L341))</f>
        <v/>
      </c>
      <c r="O341" s="8">
        <f>IF(COUNT(D341:L341)=0,"",MAX(D341:L341))</f>
        <v/>
      </c>
      <c r="P341" s="9">
        <f>IF(OR(M341="",M341=0),"",(O341-M341)/M341)</f>
        <v/>
      </c>
      <c r="Q341" s="7">
        <f>IF(COUNT(D341:L341)=0,"",INDEX($D$1:$L$1,MATCH(MIN(D341:L341),D341:L341,0)))</f>
        <v/>
      </c>
      <c r="R341" s="8" t="n">
        <v>1493.28</v>
      </c>
      <c r="S341" s="10" t="n">
        <v>1</v>
      </c>
    </row>
    <row r="342">
      <c r="A342" s="7" t="inlineStr">
        <is>
          <t>MAT-08-166</t>
        </is>
      </c>
      <c r="B342" s="4" t="inlineStr">
        <is>
          <t>Porcelanato de piso y pared, 100 x 50 cm</t>
        </is>
      </c>
      <c r="C342" s="7" t="inlineStr">
        <is>
          <t>m²</t>
        </is>
      </c>
      <c r="D342" s="8" t="n">
        <v>1801.82</v>
      </c>
      <c r="E342" s="8" t="n">
        <v>1296.43</v>
      </c>
      <c r="F342" s="8" t="n"/>
      <c r="G342" s="8" t="n"/>
      <c r="H342" s="8" t="n"/>
      <c r="I342" s="8" t="n"/>
      <c r="J342" s="8" t="n"/>
      <c r="K342" s="8" t="n"/>
      <c r="L342" s="8" t="n"/>
      <c r="M342" s="8">
        <f>IF(COUNT(D342:L342)=0,"",MIN(D342:L342))</f>
        <v/>
      </c>
      <c r="N342" s="8">
        <f>IF(COUNT(D342:L342)=0,"",MEDIAN(D342:L342))</f>
        <v/>
      </c>
      <c r="O342" s="8">
        <f>IF(COUNT(D342:L342)=0,"",MAX(D342:L342))</f>
        <v/>
      </c>
      <c r="P342" s="9">
        <f>IF(OR(M342="",M342=0),"",(O342-M342)/M342)</f>
        <v/>
      </c>
      <c r="Q342" s="7">
        <f>IF(COUNT(D342:L342)=0,"",INDEX($D$1:$L$1,MATCH(MIN(D342:L342),D342:L342,0)))</f>
        <v/>
      </c>
      <c r="R342" s="8" t="n">
        <v>1801.82</v>
      </c>
      <c r="S342" s="10" t="n">
        <v>2</v>
      </c>
    </row>
    <row r="343">
      <c r="A343" s="7" t="inlineStr">
        <is>
          <t>MAT-08-167</t>
        </is>
      </c>
      <c r="B343" s="4" t="inlineStr">
        <is>
          <t>Porcelanato de piso y pared, 120 x 11 cm</t>
        </is>
      </c>
      <c r="C343" s="7" t="inlineStr">
        <is>
          <t>m²</t>
        </is>
      </c>
      <c r="D343" s="8" t="n"/>
      <c r="E343" s="8" t="n">
        <v>1900</v>
      </c>
      <c r="F343" s="8" t="n"/>
      <c r="G343" s="8" t="n"/>
      <c r="H343" s="8" t="n"/>
      <c r="I343" s="8" t="n"/>
      <c r="J343" s="8" t="n"/>
      <c r="K343" s="8" t="n"/>
      <c r="L343" s="8" t="n"/>
      <c r="M343" s="8">
        <f>IF(COUNT(D343:L343)=0,"",MIN(D343:L343))</f>
        <v/>
      </c>
      <c r="N343" s="8">
        <f>IF(COUNT(D343:L343)=0,"",MEDIAN(D343:L343))</f>
        <v/>
      </c>
      <c r="O343" s="8">
        <f>IF(COUNT(D343:L343)=0,"",MAX(D343:L343))</f>
        <v/>
      </c>
      <c r="P343" s="9">
        <f>IF(OR(M343="",M343=0),"",(O343-M343)/M343)</f>
        <v/>
      </c>
      <c r="Q343" s="7">
        <f>IF(COUNT(D343:L343)=0,"",INDEX($D$1:$L$1,MATCH(MIN(D343:L343),D343:L343,0)))</f>
        <v/>
      </c>
      <c r="R343" s="8" t="n">
        <v>2242</v>
      </c>
      <c r="S343" s="10" t="n">
        <v>1</v>
      </c>
    </row>
    <row r="344">
      <c r="A344" s="7" t="inlineStr">
        <is>
          <t>MAT-08-168</t>
        </is>
      </c>
      <c r="B344" s="4" t="inlineStr">
        <is>
          <t>Porcelanato de piso y pared, 120 x 120 cm</t>
        </is>
      </c>
      <c r="C344" s="7" t="inlineStr">
        <is>
          <t>m²</t>
        </is>
      </c>
      <c r="D344" s="8" t="n">
        <v>2945.45</v>
      </c>
      <c r="E344" s="8" t="n">
        <v>2151.08</v>
      </c>
      <c r="F344" s="8" t="n"/>
      <c r="G344" s="8" t="n"/>
      <c r="H344" s="8" t="n"/>
      <c r="I344" s="8" t="n"/>
      <c r="J344" s="8" t="n"/>
      <c r="K344" s="8" t="n"/>
      <c r="L344" s="8" t="n"/>
      <c r="M344" s="8">
        <f>IF(COUNT(D344:L344)=0,"",MIN(D344:L344))</f>
        <v/>
      </c>
      <c r="N344" s="8">
        <f>IF(COUNT(D344:L344)=0,"",MEDIAN(D344:L344))</f>
        <v/>
      </c>
      <c r="O344" s="8">
        <f>IF(COUNT(D344:L344)=0,"",MAX(D344:L344))</f>
        <v/>
      </c>
      <c r="P344" s="9">
        <f>IF(OR(M344="",M344=0),"",(O344-M344)/M344)</f>
        <v/>
      </c>
      <c r="Q344" s="7">
        <f>IF(COUNT(D344:L344)=0,"",INDEX($D$1:$L$1,MATCH(MIN(D344:L344),D344:L344,0)))</f>
        <v/>
      </c>
      <c r="R344" s="8" t="n">
        <v>2885.43</v>
      </c>
      <c r="S344" s="10" t="n">
        <v>2</v>
      </c>
    </row>
    <row r="345">
      <c r="A345" s="7" t="inlineStr">
        <is>
          <t>MAT-08-169</t>
        </is>
      </c>
      <c r="B345" s="4" t="inlineStr">
        <is>
          <t>Porcelanato de piso y pared, 120 x 20 cm</t>
        </is>
      </c>
      <c r="C345" s="7" t="inlineStr">
        <is>
          <t>m²</t>
        </is>
      </c>
      <c r="D345" s="8" t="n">
        <v>1658</v>
      </c>
      <c r="E345" s="8" t="n">
        <v>1084.19</v>
      </c>
      <c r="F345" s="8" t="n"/>
      <c r="G345" s="8" t="n"/>
      <c r="H345" s="8" t="n"/>
      <c r="I345" s="8" t="n"/>
      <c r="J345" s="8" t="n"/>
      <c r="K345" s="8" t="n"/>
      <c r="L345" s="8" t="n"/>
      <c r="M345" s="8">
        <f>IF(COUNT(D345:L345)=0,"",MIN(D345:L345))</f>
        <v/>
      </c>
      <c r="N345" s="8">
        <f>IF(COUNT(D345:L345)=0,"",MEDIAN(D345:L345))</f>
        <v/>
      </c>
      <c r="O345" s="8">
        <f>IF(COUNT(D345:L345)=0,"",MAX(D345:L345))</f>
        <v/>
      </c>
      <c r="P345" s="9">
        <f>IF(OR(M345="",M345=0),"",(O345-M345)/M345)</f>
        <v/>
      </c>
      <c r="Q345" s="7">
        <f>IF(COUNT(D345:L345)=0,"",INDEX($D$1:$L$1,MATCH(MIN(D345:L345),D345:L345,0)))</f>
        <v/>
      </c>
      <c r="R345" s="8" t="n">
        <v>2095.03</v>
      </c>
      <c r="S345" s="10" t="n">
        <v>2</v>
      </c>
    </row>
    <row r="346">
      <c r="A346" s="7" t="inlineStr">
        <is>
          <t>MAT-08-170</t>
        </is>
      </c>
      <c r="B346" s="4" t="inlineStr">
        <is>
          <t>Porcelanato de piso y pared, 120 x 40 cm</t>
        </is>
      </c>
      <c r="C346" s="7" t="inlineStr">
        <is>
          <t>m²</t>
        </is>
      </c>
      <c r="D346" s="8" t="n">
        <v>3697.64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>
        <f>IF(COUNT(D346:L346)=0,"",MIN(D346:L346))</f>
        <v/>
      </c>
      <c r="N346" s="8">
        <f>IF(COUNT(D346:L346)=0,"",MEDIAN(D346:L346))</f>
        <v/>
      </c>
      <c r="O346" s="8">
        <f>IF(COUNT(D346:L346)=0,"",MAX(D346:L346))</f>
        <v/>
      </c>
      <c r="P346" s="9">
        <f>IF(OR(M346="",M346=0),"",(O346-M346)/M346)</f>
        <v/>
      </c>
      <c r="Q346" s="7">
        <f>IF(COUNT(D346:L346)=0,"",INDEX($D$1:$L$1,MATCH(MIN(D346:L346),D346:L346,0)))</f>
        <v/>
      </c>
      <c r="R346" s="8" t="n">
        <v>3697.64</v>
      </c>
      <c r="S346" s="10" t="n">
        <v>1</v>
      </c>
    </row>
    <row r="347">
      <c r="A347" s="7" t="inlineStr">
        <is>
          <t>MAT-08-171</t>
        </is>
      </c>
      <c r="B347" s="4" t="inlineStr">
        <is>
          <t>Porcelanato de piso y pared, 120 x 60 cm</t>
        </is>
      </c>
      <c r="C347" s="7" t="inlineStr">
        <is>
          <t>m²</t>
        </is>
      </c>
      <c r="D347" s="8" t="n">
        <v>819.97</v>
      </c>
      <c r="E347" s="8" t="n">
        <v>909.23</v>
      </c>
      <c r="F347" s="8" t="n"/>
      <c r="G347" s="8" t="n"/>
      <c r="H347" s="8" t="n"/>
      <c r="I347" s="8" t="n"/>
      <c r="J347" s="8" t="n"/>
      <c r="K347" s="8" t="n"/>
      <c r="L347" s="8" t="n"/>
      <c r="M347" s="8">
        <f>IF(COUNT(D347:L347)=0,"",MIN(D347:L347))</f>
        <v/>
      </c>
      <c r="N347" s="8">
        <f>IF(COUNT(D347:L347)=0,"",MEDIAN(D347:L347))</f>
        <v/>
      </c>
      <c r="O347" s="8">
        <f>IF(COUNT(D347:L347)=0,"",MAX(D347:L347))</f>
        <v/>
      </c>
      <c r="P347" s="9">
        <f>IF(OR(M347="",M347=0),"",(O347-M347)/M347)</f>
        <v/>
      </c>
      <c r="Q347" s="7">
        <f>IF(COUNT(D347:L347)=0,"",INDEX($D$1:$L$1,MATCH(MIN(D347:L347),D347:L347,0)))</f>
        <v/>
      </c>
      <c r="R347" s="8" t="n">
        <v>2101.39</v>
      </c>
      <c r="S347" s="10" t="n">
        <v>2</v>
      </c>
    </row>
    <row r="348">
      <c r="A348" s="7" t="inlineStr">
        <is>
          <t>MAT-08-172</t>
        </is>
      </c>
      <c r="B348" s="4" t="inlineStr">
        <is>
          <t>Porcelanato de piso y pared, 15 x 15 cm</t>
        </is>
      </c>
      <c r="C348" s="7" t="inlineStr">
        <is>
          <t>m²</t>
        </is>
      </c>
      <c r="D348" s="8" t="n"/>
      <c r="E348" s="8" t="n">
        <v>2228.77</v>
      </c>
      <c r="F348" s="8" t="n"/>
      <c r="G348" s="8" t="n"/>
      <c r="H348" s="8" t="n"/>
      <c r="I348" s="8" t="n"/>
      <c r="J348" s="8" t="n"/>
      <c r="K348" s="8" t="n"/>
      <c r="L348" s="8" t="n"/>
      <c r="M348" s="8">
        <f>IF(COUNT(D348:L348)=0,"",MIN(D348:L348))</f>
        <v/>
      </c>
      <c r="N348" s="8">
        <f>IF(COUNT(D348:L348)=0,"",MEDIAN(D348:L348))</f>
        <v/>
      </c>
      <c r="O348" s="8">
        <f>IF(COUNT(D348:L348)=0,"",MAX(D348:L348))</f>
        <v/>
      </c>
      <c r="P348" s="9">
        <f>IF(OR(M348="",M348=0),"",(O348-M348)/M348)</f>
        <v/>
      </c>
      <c r="Q348" s="7">
        <f>IF(COUNT(D348:L348)=0,"",INDEX($D$1:$L$1,MATCH(MIN(D348:L348),D348:L348,0)))</f>
        <v/>
      </c>
      <c r="R348" s="8" t="n">
        <v>2629.95</v>
      </c>
      <c r="S348" s="10" t="n">
        <v>1</v>
      </c>
    </row>
    <row r="349">
      <c r="A349" s="7" t="inlineStr">
        <is>
          <t>MAT-08-173</t>
        </is>
      </c>
      <c r="B349" s="4" t="inlineStr">
        <is>
          <t>Porcelanato de piso y pared, 160 x 80 cm</t>
        </is>
      </c>
      <c r="C349" s="7" t="inlineStr">
        <is>
          <t>m²</t>
        </is>
      </c>
      <c r="D349" s="8" t="n"/>
      <c r="E349" s="8" t="n">
        <v>2039.29</v>
      </c>
      <c r="F349" s="8" t="n"/>
      <c r="G349" s="8" t="n"/>
      <c r="H349" s="8" t="n"/>
      <c r="I349" s="8" t="n"/>
      <c r="J349" s="8" t="n"/>
      <c r="K349" s="8" t="n"/>
      <c r="L349" s="8" t="n"/>
      <c r="M349" s="8">
        <f>IF(COUNT(D349:L349)=0,"",MIN(D349:L349))</f>
        <v/>
      </c>
      <c r="N349" s="8">
        <f>IF(COUNT(D349:L349)=0,"",MEDIAN(D349:L349))</f>
        <v/>
      </c>
      <c r="O349" s="8">
        <f>IF(COUNT(D349:L349)=0,"",MAX(D349:L349))</f>
        <v/>
      </c>
      <c r="P349" s="9">
        <f>IF(OR(M349="",M349=0),"",(O349-M349)/M349)</f>
        <v/>
      </c>
      <c r="Q349" s="7">
        <f>IF(COUNT(D349:L349)=0,"",INDEX($D$1:$L$1,MATCH(MIN(D349:L349),D349:L349,0)))</f>
        <v/>
      </c>
      <c r="R349" s="8" t="n">
        <v>2406.36</v>
      </c>
      <c r="S349" s="10" t="n">
        <v>1</v>
      </c>
    </row>
    <row r="350">
      <c r="A350" s="7" t="inlineStr">
        <is>
          <t>MAT-08-174</t>
        </is>
      </c>
      <c r="B350" s="4" t="inlineStr">
        <is>
          <t>Porcelanato de piso y pared, 180 x 80 cm</t>
        </is>
      </c>
      <c r="C350" s="7" t="inlineStr">
        <is>
          <t>m²</t>
        </is>
      </c>
      <c r="D350" s="8" t="n"/>
      <c r="E350" s="8" t="n">
        <v>4724.25</v>
      </c>
      <c r="F350" s="8" t="n"/>
      <c r="G350" s="8" t="n"/>
      <c r="H350" s="8" t="n"/>
      <c r="I350" s="8" t="n"/>
      <c r="J350" s="8" t="n"/>
      <c r="K350" s="8" t="n"/>
      <c r="L350" s="8" t="n"/>
      <c r="M350" s="8">
        <f>IF(COUNT(D350:L350)=0,"",MIN(D350:L350))</f>
        <v/>
      </c>
      <c r="N350" s="8">
        <f>IF(COUNT(D350:L350)=0,"",MEDIAN(D350:L350))</f>
        <v/>
      </c>
      <c r="O350" s="8">
        <f>IF(COUNT(D350:L350)=0,"",MAX(D350:L350))</f>
        <v/>
      </c>
      <c r="P350" s="9">
        <f>IF(OR(M350="",M350=0),"",(O350-M350)/M350)</f>
        <v/>
      </c>
      <c r="Q350" s="7">
        <f>IF(COUNT(D350:L350)=0,"",INDEX($D$1:$L$1,MATCH(MIN(D350:L350),D350:L350,0)))</f>
        <v/>
      </c>
      <c r="R350" s="8" t="n">
        <v>5709.64</v>
      </c>
      <c r="S350" s="10" t="n">
        <v>1</v>
      </c>
    </row>
    <row r="351">
      <c r="A351" s="7" t="inlineStr">
        <is>
          <t>MAT-08-175</t>
        </is>
      </c>
      <c r="B351" s="4" t="inlineStr">
        <is>
          <t>Porcelanato de piso y pared, 180 x 90 cm</t>
        </is>
      </c>
      <c r="C351" s="7" t="inlineStr">
        <is>
          <t>m²</t>
        </is>
      </c>
      <c r="D351" s="8" t="n">
        <v>3376.66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>
        <f>IF(COUNT(D351:L351)=0,"",MIN(D351:L351))</f>
        <v/>
      </c>
      <c r="N351" s="8">
        <f>IF(COUNT(D351:L351)=0,"",MEDIAN(D351:L351))</f>
        <v/>
      </c>
      <c r="O351" s="8">
        <f>IF(COUNT(D351:L351)=0,"",MAX(D351:L351))</f>
        <v/>
      </c>
      <c r="P351" s="9">
        <f>IF(OR(M351="",M351=0),"",(O351-M351)/M351)</f>
        <v/>
      </c>
      <c r="Q351" s="7">
        <f>IF(COUNT(D351:L351)=0,"",INDEX($D$1:$L$1,MATCH(MIN(D351:L351),D351:L351,0)))</f>
        <v/>
      </c>
      <c r="R351" s="8" t="n">
        <v>3376.66</v>
      </c>
      <c r="S351" s="10" t="n">
        <v>1</v>
      </c>
    </row>
    <row r="352">
      <c r="A352" s="7" t="inlineStr">
        <is>
          <t>MAT-08-176</t>
        </is>
      </c>
      <c r="B352" s="4" t="inlineStr">
        <is>
          <t>Porcelanato de piso y pared, 23 x 20 cm</t>
        </is>
      </c>
      <c r="C352" s="7" t="inlineStr">
        <is>
          <t>m²</t>
        </is>
      </c>
      <c r="D352" s="8" t="n"/>
      <c r="E352" s="8" t="n">
        <v>2075.61</v>
      </c>
      <c r="F352" s="8" t="n"/>
      <c r="G352" s="8" t="n"/>
      <c r="H352" s="8" t="n"/>
      <c r="I352" s="8" t="n"/>
      <c r="J352" s="8" t="n"/>
      <c r="K352" s="8" t="n"/>
      <c r="L352" s="8" t="n"/>
      <c r="M352" s="8">
        <f>IF(COUNT(D352:L352)=0,"",MIN(D352:L352))</f>
        <v/>
      </c>
      <c r="N352" s="8">
        <f>IF(COUNT(D352:L352)=0,"",MEDIAN(D352:L352))</f>
        <v/>
      </c>
      <c r="O352" s="8">
        <f>IF(COUNT(D352:L352)=0,"",MAX(D352:L352))</f>
        <v/>
      </c>
      <c r="P352" s="9">
        <f>IF(OR(M352="",M352=0),"",(O352-M352)/M352)</f>
        <v/>
      </c>
      <c r="Q352" s="7">
        <f>IF(COUNT(D352:L352)=0,"",INDEX($D$1:$L$1,MATCH(MIN(D352:L352),D352:L352,0)))</f>
        <v/>
      </c>
      <c r="R352" s="8" t="n">
        <v>2449.22</v>
      </c>
      <c r="S352" s="10" t="n">
        <v>1</v>
      </c>
    </row>
    <row r="353">
      <c r="A353" s="7" t="inlineStr">
        <is>
          <t>MAT-08-177</t>
        </is>
      </c>
      <c r="B353" s="4" t="inlineStr">
        <is>
          <t>Porcelanato de piso y pared, 240 x 120 cm</t>
        </is>
      </c>
      <c r="C353" s="7" t="inlineStr">
        <is>
          <t>m²</t>
        </is>
      </c>
      <c r="D353" s="8" t="n"/>
      <c r="E353" s="8" t="n">
        <v>5783.22</v>
      </c>
      <c r="F353" s="8" t="n"/>
      <c r="G353" s="8" t="n"/>
      <c r="H353" s="8" t="n"/>
      <c r="I353" s="8" t="n"/>
      <c r="J353" s="8" t="n"/>
      <c r="K353" s="8" t="n"/>
      <c r="L353" s="8" t="n"/>
      <c r="M353" s="8">
        <f>IF(COUNT(D353:L353)=0,"",MIN(D353:L353))</f>
        <v/>
      </c>
      <c r="N353" s="8">
        <f>IF(COUNT(D353:L353)=0,"",MEDIAN(D353:L353))</f>
        <v/>
      </c>
      <c r="O353" s="8">
        <f>IF(COUNT(D353:L353)=0,"",MAX(D353:L353))</f>
        <v/>
      </c>
      <c r="P353" s="9">
        <f>IF(OR(M353="",M353=0),"",(O353-M353)/M353)</f>
        <v/>
      </c>
      <c r="Q353" s="7">
        <f>IF(COUNT(D353:L353)=0,"",INDEX($D$1:$L$1,MATCH(MIN(D353:L353),D353:L353,0)))</f>
        <v/>
      </c>
      <c r="R353" s="8" t="n">
        <v>7223.87</v>
      </c>
      <c r="S353" s="10" t="n">
        <v>1</v>
      </c>
    </row>
    <row r="354">
      <c r="A354" s="7" t="inlineStr">
        <is>
          <t>MAT-08-178</t>
        </is>
      </c>
      <c r="B354" s="4" t="inlineStr">
        <is>
          <t>Porcelanato de piso y pared, 270 x 120 cm</t>
        </is>
      </c>
      <c r="C354" s="7" t="inlineStr">
        <is>
          <t>m²</t>
        </is>
      </c>
      <c r="D354" s="8" t="n"/>
      <c r="E354" s="8" t="n">
        <v>4879.76</v>
      </c>
      <c r="F354" s="8" t="n"/>
      <c r="G354" s="8" t="n"/>
      <c r="H354" s="8" t="n"/>
      <c r="I354" s="8" t="n"/>
      <c r="J354" s="8" t="n"/>
      <c r="K354" s="8" t="n"/>
      <c r="L354" s="8" t="n"/>
      <c r="M354" s="8">
        <f>IF(COUNT(D354:L354)=0,"",MIN(D354:L354))</f>
        <v/>
      </c>
      <c r="N354" s="8">
        <f>IF(COUNT(D354:L354)=0,"",MEDIAN(D354:L354))</f>
        <v/>
      </c>
      <c r="O354" s="8">
        <f>IF(COUNT(D354:L354)=0,"",MAX(D354:L354))</f>
        <v/>
      </c>
      <c r="P354" s="9">
        <f>IF(OR(M354="",M354=0),"",(O354-M354)/M354)</f>
        <v/>
      </c>
      <c r="Q354" s="7">
        <f>IF(COUNT(D354:L354)=0,"",INDEX($D$1:$L$1,MATCH(MIN(D354:L354),D354:L354,0)))</f>
        <v/>
      </c>
      <c r="R354" s="8" t="n">
        <v>5758.12</v>
      </c>
      <c r="S354" s="10" t="n">
        <v>1</v>
      </c>
    </row>
    <row r="355">
      <c r="A355" s="7" t="inlineStr">
        <is>
          <t>MAT-08-179</t>
        </is>
      </c>
      <c r="B355" s="4" t="inlineStr">
        <is>
          <t>Porcelanato de piso y pared, 280 x 120 cm</t>
        </is>
      </c>
      <c r="C355" s="7" t="inlineStr">
        <is>
          <t>m²</t>
        </is>
      </c>
      <c r="D355" s="8" t="n"/>
      <c r="E355" s="8" t="n">
        <v>5799.85</v>
      </c>
      <c r="F355" s="8" t="n"/>
      <c r="G355" s="8" t="n"/>
      <c r="H355" s="8" t="n"/>
      <c r="I355" s="8" t="n"/>
      <c r="J355" s="8" t="n"/>
      <c r="K355" s="8" t="n"/>
      <c r="L355" s="8" t="n"/>
      <c r="M355" s="8">
        <f>IF(COUNT(D355:L355)=0,"",MIN(D355:L355))</f>
        <v/>
      </c>
      <c r="N355" s="8">
        <f>IF(COUNT(D355:L355)=0,"",MEDIAN(D355:L355))</f>
        <v/>
      </c>
      <c r="O355" s="8">
        <f>IF(COUNT(D355:L355)=0,"",MAX(D355:L355))</f>
        <v/>
      </c>
      <c r="P355" s="9">
        <f>IF(OR(M355="",M355=0),"",(O355-M355)/M355)</f>
        <v/>
      </c>
      <c r="Q355" s="7">
        <f>IF(COUNT(D355:L355)=0,"",INDEX($D$1:$L$1,MATCH(MIN(D355:L355),D355:L355,0)))</f>
        <v/>
      </c>
      <c r="R355" s="8" t="n">
        <v>7323.3</v>
      </c>
      <c r="S355" s="10" t="n">
        <v>1</v>
      </c>
    </row>
    <row r="356">
      <c r="A356" s="7" t="inlineStr">
        <is>
          <t>MAT-08-180</t>
        </is>
      </c>
      <c r="B356" s="4" t="inlineStr">
        <is>
          <t>Porcelanato de piso y pared, 30 x 10 cm</t>
        </is>
      </c>
      <c r="C356" s="7" t="inlineStr">
        <is>
          <t>m²</t>
        </is>
      </c>
      <c r="D356" s="8" t="n"/>
      <c r="E356" s="8" t="n">
        <v>2402.66</v>
      </c>
      <c r="F356" s="8" t="n"/>
      <c r="G356" s="8" t="n"/>
      <c r="H356" s="8" t="n"/>
      <c r="I356" s="8" t="n"/>
      <c r="J356" s="8" t="n"/>
      <c r="K356" s="8" t="n"/>
      <c r="L356" s="8" t="n"/>
      <c r="M356" s="8">
        <f>IF(COUNT(D356:L356)=0,"",MIN(D356:L356))</f>
        <v/>
      </c>
      <c r="N356" s="8">
        <f>IF(COUNT(D356:L356)=0,"",MEDIAN(D356:L356))</f>
        <v/>
      </c>
      <c r="O356" s="8">
        <f>IF(COUNT(D356:L356)=0,"",MAX(D356:L356))</f>
        <v/>
      </c>
      <c r="P356" s="9">
        <f>IF(OR(M356="",M356=0),"",(O356-M356)/M356)</f>
        <v/>
      </c>
      <c r="Q356" s="7">
        <f>IF(COUNT(D356:L356)=0,"",INDEX($D$1:$L$1,MATCH(MIN(D356:L356),D356:L356,0)))</f>
        <v/>
      </c>
      <c r="R356" s="8" t="n">
        <v>3161.29</v>
      </c>
      <c r="S356" s="10" t="n">
        <v>1</v>
      </c>
    </row>
    <row r="357">
      <c r="A357" s="7" t="inlineStr">
        <is>
          <t>MAT-08-181</t>
        </is>
      </c>
      <c r="B357" s="4" t="inlineStr">
        <is>
          <t>Porcelanato de piso y pared, 30 x 30 cm</t>
        </is>
      </c>
      <c r="C357" s="7" t="inlineStr">
        <is>
          <t>m²</t>
        </is>
      </c>
      <c r="D357" s="8" t="n">
        <v>812.1</v>
      </c>
      <c r="E357" s="8" t="n">
        <v>2244.92</v>
      </c>
      <c r="F357" s="8" t="n"/>
      <c r="G357" s="8" t="n"/>
      <c r="H357" s="8" t="n"/>
      <c r="I357" s="8" t="n"/>
      <c r="J357" s="8" t="n"/>
      <c r="K357" s="8" t="n"/>
      <c r="L357" s="8" t="n"/>
      <c r="M357" s="8">
        <f>IF(COUNT(D357:L357)=0,"",MIN(D357:L357))</f>
        <v/>
      </c>
      <c r="N357" s="8">
        <f>IF(COUNT(D357:L357)=0,"",MEDIAN(D357:L357))</f>
        <v/>
      </c>
      <c r="O357" s="8">
        <f>IF(COUNT(D357:L357)=0,"",MAX(D357:L357))</f>
        <v/>
      </c>
      <c r="P357" s="9">
        <f>IF(OR(M357="",M357=0),"",(O357-M357)/M357)</f>
        <v/>
      </c>
      <c r="Q357" s="7">
        <f>IF(COUNT(D357:L357)=0,"",INDEX($D$1:$L$1,MATCH(MIN(D357:L357),D357:L357,0)))</f>
        <v/>
      </c>
      <c r="R357" s="8" t="n">
        <v>2649.03</v>
      </c>
      <c r="S357" s="10" t="n">
        <v>2</v>
      </c>
    </row>
    <row r="358">
      <c r="A358" s="7" t="inlineStr">
        <is>
          <t>MAT-08-182</t>
        </is>
      </c>
      <c r="B358" s="4" t="inlineStr">
        <is>
          <t>Porcelanato de piso y pared, 300 x 100 cm</t>
        </is>
      </c>
      <c r="C358" s="7" t="inlineStr">
        <is>
          <t>m²</t>
        </is>
      </c>
      <c r="D358" s="8" t="n"/>
      <c r="E358" s="8" t="n">
        <v>6154.42</v>
      </c>
      <c r="F358" s="8" t="n"/>
      <c r="G358" s="8" t="n"/>
      <c r="H358" s="8" t="n"/>
      <c r="I358" s="8" t="n"/>
      <c r="J358" s="8" t="n"/>
      <c r="K358" s="8" t="n"/>
      <c r="L358" s="8" t="n"/>
      <c r="M358" s="8">
        <f>IF(COUNT(D358:L358)=0,"",MIN(D358:L358))</f>
        <v/>
      </c>
      <c r="N358" s="8">
        <f>IF(COUNT(D358:L358)=0,"",MEDIAN(D358:L358))</f>
        <v/>
      </c>
      <c r="O358" s="8">
        <f>IF(COUNT(D358:L358)=0,"",MAX(D358:L358))</f>
        <v/>
      </c>
      <c r="P358" s="9">
        <f>IF(OR(M358="",M358=0),"",(O358-M358)/M358)</f>
        <v/>
      </c>
      <c r="Q358" s="7">
        <f>IF(COUNT(D358:L358)=0,"",INDEX($D$1:$L$1,MATCH(MIN(D358:L358),D358:L358,0)))</f>
        <v/>
      </c>
      <c r="R358" s="8" t="n">
        <v>7262.22</v>
      </c>
      <c r="S358" s="10" t="n">
        <v>1</v>
      </c>
    </row>
    <row r="359">
      <c r="A359" s="7" t="inlineStr">
        <is>
          <t>MAT-08-183</t>
        </is>
      </c>
      <c r="B359" s="4" t="inlineStr">
        <is>
          <t>Porcelanato de piso y pared, 300 x 150 cm</t>
        </is>
      </c>
      <c r="C359" s="7" t="inlineStr">
        <is>
          <t>m²</t>
        </is>
      </c>
      <c r="D359" s="8" t="n"/>
      <c r="E359" s="8" t="n">
        <v>6081.64</v>
      </c>
      <c r="F359" s="8" t="n"/>
      <c r="G359" s="8" t="n"/>
      <c r="H359" s="8" t="n"/>
      <c r="I359" s="8" t="n"/>
      <c r="J359" s="8" t="n"/>
      <c r="K359" s="8" t="n"/>
      <c r="L359" s="8" t="n"/>
      <c r="M359" s="8">
        <f>IF(COUNT(D359:L359)=0,"",MIN(D359:L359))</f>
        <v/>
      </c>
      <c r="N359" s="8">
        <f>IF(COUNT(D359:L359)=0,"",MEDIAN(D359:L359))</f>
        <v/>
      </c>
      <c r="O359" s="8">
        <f>IF(COUNT(D359:L359)=0,"",MAX(D359:L359))</f>
        <v/>
      </c>
      <c r="P359" s="9">
        <f>IF(OR(M359="",M359=0),"",(O359-M359)/M359)</f>
        <v/>
      </c>
      <c r="Q359" s="7">
        <f>IF(COUNT(D359:L359)=0,"",INDEX($D$1:$L$1,MATCH(MIN(D359:L359),D359:L359,0)))</f>
        <v/>
      </c>
      <c r="R359" s="8" t="n">
        <v>9310.93</v>
      </c>
      <c r="S359" s="10" t="n">
        <v>1</v>
      </c>
    </row>
    <row r="360">
      <c r="A360" s="7" t="inlineStr">
        <is>
          <t>MAT-08-184</t>
        </is>
      </c>
      <c r="B360" s="4" t="inlineStr">
        <is>
          <t>Porcelanato de piso y pared, 324 x 160 cm</t>
        </is>
      </c>
      <c r="C360" s="7" t="inlineStr">
        <is>
          <t>m²</t>
        </is>
      </c>
      <c r="D360" s="8" t="n"/>
      <c r="E360" s="8" t="n">
        <v>3496.15</v>
      </c>
      <c r="F360" s="8" t="n"/>
      <c r="G360" s="8" t="n"/>
      <c r="H360" s="8" t="n"/>
      <c r="I360" s="8" t="n"/>
      <c r="J360" s="8" t="n"/>
      <c r="K360" s="8" t="n"/>
      <c r="L360" s="8" t="n"/>
      <c r="M360" s="8">
        <f>IF(COUNT(D360:L360)=0,"",MIN(D360:L360))</f>
        <v/>
      </c>
      <c r="N360" s="8">
        <f>IF(COUNT(D360:L360)=0,"",MEDIAN(D360:L360))</f>
        <v/>
      </c>
      <c r="O360" s="8">
        <f>IF(COUNT(D360:L360)=0,"",MAX(D360:L360))</f>
        <v/>
      </c>
      <c r="P360" s="9">
        <f>IF(OR(M360="",M360=0),"",(O360-M360)/M360)</f>
        <v/>
      </c>
      <c r="Q360" s="7">
        <f>IF(COUNT(D360:L360)=0,"",INDEX($D$1:$L$1,MATCH(MIN(D360:L360),D360:L360,0)))</f>
        <v/>
      </c>
      <c r="R360" s="8" t="n">
        <v>14792.36</v>
      </c>
      <c r="S360" s="10" t="n">
        <v>1</v>
      </c>
    </row>
    <row r="361">
      <c r="A361" s="7" t="inlineStr">
        <is>
          <t>MAT-08-185</t>
        </is>
      </c>
      <c r="B361" s="4" t="inlineStr">
        <is>
          <t>Porcelanato de piso y pared, 45 x 45 cm</t>
        </is>
      </c>
      <c r="C361" s="7" t="inlineStr">
        <is>
          <t>m²</t>
        </is>
      </c>
      <c r="D361" s="8" t="n">
        <v>710.61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>
        <f>IF(COUNT(D361:L361)=0,"",MIN(D361:L361))</f>
        <v/>
      </c>
      <c r="N361" s="8">
        <f>IF(COUNT(D361:L361)=0,"",MEDIAN(D361:L361))</f>
        <v/>
      </c>
      <c r="O361" s="8">
        <f>IF(COUNT(D361:L361)=0,"",MAX(D361:L361))</f>
        <v/>
      </c>
      <c r="P361" s="9">
        <f>IF(OR(M361="",M361=0),"",(O361-M361)/M361)</f>
        <v/>
      </c>
      <c r="Q361" s="7">
        <f>IF(COUNT(D361:L361)=0,"",INDEX($D$1:$L$1,MATCH(MIN(D361:L361),D361:L361,0)))</f>
        <v/>
      </c>
      <c r="R361" s="8" t="n">
        <v>764.38</v>
      </c>
      <c r="S361" s="10" t="n">
        <v>1</v>
      </c>
    </row>
    <row r="362">
      <c r="A362" s="7" t="inlineStr">
        <is>
          <t>MAT-08-186</t>
        </is>
      </c>
      <c r="B362" s="4" t="inlineStr">
        <is>
          <t>Porcelanato de piso y pared, 55 x 33 cm</t>
        </is>
      </c>
      <c r="C362" s="7" t="inlineStr">
        <is>
          <t>m²</t>
        </is>
      </c>
      <c r="D362" s="8" t="n">
        <v>839.97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>
        <f>IF(COUNT(D362:L362)=0,"",MIN(D362:L362))</f>
        <v/>
      </c>
      <c r="N362" s="8">
        <f>IF(COUNT(D362:L362)=0,"",MEDIAN(D362:L362))</f>
        <v/>
      </c>
      <c r="O362" s="8">
        <f>IF(COUNT(D362:L362)=0,"",MAX(D362:L362))</f>
        <v/>
      </c>
      <c r="P362" s="9">
        <f>IF(OR(M362="",M362=0),"",(O362-M362)/M362)</f>
        <v/>
      </c>
      <c r="Q362" s="7">
        <f>IF(COUNT(D362:L362)=0,"",INDEX($D$1:$L$1,MATCH(MIN(D362:L362),D362:L362,0)))</f>
        <v/>
      </c>
      <c r="R362" s="8" t="n">
        <v>839.97</v>
      </c>
      <c r="S362" s="10" t="n">
        <v>1</v>
      </c>
    </row>
    <row r="363">
      <c r="A363" s="7" t="inlineStr">
        <is>
          <t>MAT-08-187</t>
        </is>
      </c>
      <c r="B363" s="4" t="inlineStr">
        <is>
          <t>Porcelanato de piso y pared, 58 x 58 cm</t>
        </is>
      </c>
      <c r="C363" s="7" t="inlineStr">
        <is>
          <t>m²</t>
        </is>
      </c>
      <c r="D363" s="8" t="n">
        <v>2571.44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>
        <f>IF(COUNT(D363:L363)=0,"",MIN(D363:L363))</f>
        <v/>
      </c>
      <c r="N363" s="8">
        <f>IF(COUNT(D363:L363)=0,"",MEDIAN(D363:L363))</f>
        <v/>
      </c>
      <c r="O363" s="8">
        <f>IF(COUNT(D363:L363)=0,"",MAX(D363:L363))</f>
        <v/>
      </c>
      <c r="P363" s="9">
        <f>IF(OR(M363="",M363=0),"",(O363-M363)/M363)</f>
        <v/>
      </c>
      <c r="Q363" s="7">
        <f>IF(COUNT(D363:L363)=0,"",INDEX($D$1:$L$1,MATCH(MIN(D363:L363),D363:L363,0)))</f>
        <v/>
      </c>
      <c r="R363" s="8" t="n">
        <v>2571.44</v>
      </c>
      <c r="S363" s="10" t="n">
        <v>1</v>
      </c>
    </row>
    <row r="364">
      <c r="A364" s="7" t="inlineStr">
        <is>
          <t>MAT-08-188</t>
        </is>
      </c>
      <c r="B364" s="4" t="inlineStr">
        <is>
          <t>Porcelanato de piso y pared, 60 x 20 cm</t>
        </is>
      </c>
      <c r="C364" s="7" t="inlineStr">
        <is>
          <t>m²</t>
        </is>
      </c>
      <c r="D364" s="8" t="n">
        <v>482.11</v>
      </c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>
        <f>IF(COUNT(D364:L364)=0,"",MIN(D364:L364))</f>
        <v/>
      </c>
      <c r="N364" s="8">
        <f>IF(COUNT(D364:L364)=0,"",MEDIAN(D364:L364))</f>
        <v/>
      </c>
      <c r="O364" s="8">
        <f>IF(COUNT(D364:L364)=0,"",MAX(D364:L364))</f>
        <v/>
      </c>
      <c r="P364" s="9">
        <f>IF(OR(M364="",M364=0),"",(O364-M364)/M364)</f>
        <v/>
      </c>
      <c r="Q364" s="7">
        <f>IF(COUNT(D364:L364)=0,"",INDEX($D$1:$L$1,MATCH(MIN(D364:L364),D364:L364,0)))</f>
        <v/>
      </c>
      <c r="R364" s="8" t="n">
        <v>482.11</v>
      </c>
      <c r="S364" s="10" t="n">
        <v>1</v>
      </c>
    </row>
    <row r="365">
      <c r="A365" s="7" t="inlineStr">
        <is>
          <t>MAT-08-189</t>
        </is>
      </c>
      <c r="B365" s="4" t="inlineStr">
        <is>
          <t>Porcelanato de piso y pared, 60 x 30 cm</t>
        </is>
      </c>
      <c r="C365" s="7" t="inlineStr">
        <is>
          <t>m²</t>
        </is>
      </c>
      <c r="D365" s="8" t="n">
        <v>1049.58</v>
      </c>
      <c r="E365" s="8" t="n">
        <v>660</v>
      </c>
      <c r="F365" s="8" t="n"/>
      <c r="G365" s="8" t="n"/>
      <c r="H365" s="8" t="n"/>
      <c r="I365" s="8" t="n"/>
      <c r="J365" s="8" t="n"/>
      <c r="K365" s="8" t="n"/>
      <c r="L365" s="8" t="n"/>
      <c r="M365" s="8">
        <f>IF(COUNT(D365:L365)=0,"",MIN(D365:L365))</f>
        <v/>
      </c>
      <c r="N365" s="8">
        <f>IF(COUNT(D365:L365)=0,"",MEDIAN(D365:L365))</f>
        <v/>
      </c>
      <c r="O365" s="8">
        <f>IF(COUNT(D365:L365)=0,"",MAX(D365:L365))</f>
        <v/>
      </c>
      <c r="P365" s="9">
        <f>IF(OR(M365="",M365=0),"",(O365-M365)/M365)</f>
        <v/>
      </c>
      <c r="Q365" s="7">
        <f>IF(COUNT(D365:L365)=0,"",INDEX($D$1:$L$1,MATCH(MIN(D365:L365),D365:L365,0)))</f>
        <v/>
      </c>
      <c r="R365" s="8" t="n">
        <v>1371.18</v>
      </c>
      <c r="S365" s="10" t="n">
        <v>2</v>
      </c>
    </row>
    <row r="366">
      <c r="A366" s="7" t="inlineStr">
        <is>
          <t>MAT-08-190</t>
        </is>
      </c>
      <c r="B366" s="4" t="inlineStr">
        <is>
          <t>Porcelanato de piso y pared, 60 x 60 cm</t>
        </is>
      </c>
      <c r="C366" s="7" t="inlineStr">
        <is>
          <t>m²</t>
        </is>
      </c>
      <c r="D366" s="8" t="n">
        <v>518.13</v>
      </c>
      <c r="E366" s="8" t="n">
        <v>1003.78</v>
      </c>
      <c r="F366" s="8" t="n"/>
      <c r="G366" s="8" t="n"/>
      <c r="H366" s="8" t="n"/>
      <c r="I366" s="8" t="n"/>
      <c r="J366" s="8" t="n"/>
      <c r="K366" s="8" t="n"/>
      <c r="L366" s="8" t="n"/>
      <c r="M366" s="8">
        <f>IF(COUNT(D366:L366)=0,"",MIN(D366:L366))</f>
        <v/>
      </c>
      <c r="N366" s="8">
        <f>IF(COUNT(D366:L366)=0,"",MEDIAN(D366:L366))</f>
        <v/>
      </c>
      <c r="O366" s="8">
        <f>IF(COUNT(D366:L366)=0,"",MAX(D366:L366))</f>
        <v/>
      </c>
      <c r="P366" s="9">
        <f>IF(OR(M366="",M366=0),"",(O366-M366)/M366)</f>
        <v/>
      </c>
      <c r="Q366" s="7">
        <f>IF(COUNT(D366:L366)=0,"",INDEX($D$1:$L$1,MATCH(MIN(D366:L366),D366:L366,0)))</f>
        <v/>
      </c>
      <c r="R366" s="8" t="n">
        <v>1350.1</v>
      </c>
      <c r="S366" s="10" t="n">
        <v>2</v>
      </c>
    </row>
    <row r="367">
      <c r="A367" s="7" t="inlineStr">
        <is>
          <t>MAT-08-191</t>
        </is>
      </c>
      <c r="B367" s="4" t="inlineStr">
        <is>
          <t>Porcelanato de piso y pared, 75 x 25 cm</t>
        </is>
      </c>
      <c r="C367" s="7" t="inlineStr">
        <is>
          <t>m²</t>
        </is>
      </c>
      <c r="D367" s="8" t="n">
        <v>1146.06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>
        <f>IF(COUNT(D367:L367)=0,"",MIN(D367:L367))</f>
        <v/>
      </c>
      <c r="N367" s="8">
        <f>IF(COUNT(D367:L367)=0,"",MEDIAN(D367:L367))</f>
        <v/>
      </c>
      <c r="O367" s="8">
        <f>IF(COUNT(D367:L367)=0,"",MAX(D367:L367))</f>
        <v/>
      </c>
      <c r="P367" s="9">
        <f>IF(OR(M367="",M367=0),"",(O367-M367)/M367)</f>
        <v/>
      </c>
      <c r="Q367" s="7">
        <f>IF(COUNT(D367:L367)=0,"",INDEX($D$1:$L$1,MATCH(MIN(D367:L367),D367:L367,0)))</f>
        <v/>
      </c>
      <c r="R367" s="8" t="n">
        <v>1403.05</v>
      </c>
      <c r="S367" s="10" t="n">
        <v>1</v>
      </c>
    </row>
    <row r="368">
      <c r="A368" s="7" t="inlineStr">
        <is>
          <t>MAT-08-192</t>
        </is>
      </c>
      <c r="B368" s="4" t="inlineStr">
        <is>
          <t>Porcelanato de piso y pared, 75 x 75 cm</t>
        </is>
      </c>
      <c r="C368" s="7" t="inlineStr">
        <is>
          <t>m²</t>
        </is>
      </c>
      <c r="D368" s="8" t="n"/>
      <c r="E368" s="8" t="n">
        <v>1186.47</v>
      </c>
      <c r="F368" s="8" t="n"/>
      <c r="G368" s="8" t="n"/>
      <c r="H368" s="8" t="n"/>
      <c r="I368" s="8" t="n"/>
      <c r="J368" s="8" t="n"/>
      <c r="K368" s="8" t="n"/>
      <c r="L368" s="8" t="n"/>
      <c r="M368" s="8">
        <f>IF(COUNT(D368:L368)=0,"",MIN(D368:L368))</f>
        <v/>
      </c>
      <c r="N368" s="8">
        <f>IF(COUNT(D368:L368)=0,"",MEDIAN(D368:L368))</f>
        <v/>
      </c>
      <c r="O368" s="8">
        <f>IF(COUNT(D368:L368)=0,"",MAX(D368:L368))</f>
        <v/>
      </c>
      <c r="P368" s="9">
        <f>IF(OR(M368="",M368=0),"",(O368-M368)/M368)</f>
        <v/>
      </c>
      <c r="Q368" s="7">
        <f>IF(COUNT(D368:L368)=0,"",INDEX($D$1:$L$1,MATCH(MIN(D368:L368),D368:L368,0)))</f>
        <v/>
      </c>
      <c r="R368" s="8" t="n">
        <v>1400.04</v>
      </c>
      <c r="S368" s="10" t="n">
        <v>1</v>
      </c>
    </row>
    <row r="369">
      <c r="A369" s="7" t="inlineStr">
        <is>
          <t>MAT-08-193</t>
        </is>
      </c>
      <c r="B369" s="4" t="inlineStr">
        <is>
          <t>Porcelanato de piso y pared, 80 x 80 cm</t>
        </is>
      </c>
      <c r="C369" s="7" t="inlineStr">
        <is>
          <t>m²</t>
        </is>
      </c>
      <c r="D369" s="8" t="n"/>
      <c r="E369" s="8" t="n">
        <v>1122.23</v>
      </c>
      <c r="F369" s="8" t="n"/>
      <c r="G369" s="8" t="n"/>
      <c r="H369" s="8" t="n"/>
      <c r="I369" s="8" t="n"/>
      <c r="J369" s="8" t="n"/>
      <c r="K369" s="8" t="n"/>
      <c r="L369" s="8" t="n"/>
      <c r="M369" s="8">
        <f>IF(COUNT(D369:L369)=0,"",MIN(D369:L369))</f>
        <v/>
      </c>
      <c r="N369" s="8">
        <f>IF(COUNT(D369:L369)=0,"",MEDIAN(D369:L369))</f>
        <v/>
      </c>
      <c r="O369" s="8">
        <f>IF(COUNT(D369:L369)=0,"",MAX(D369:L369))</f>
        <v/>
      </c>
      <c r="P369" s="9">
        <f>IF(OR(M369="",M369=0),"",(O369-M369)/M369)</f>
        <v/>
      </c>
      <c r="Q369" s="7">
        <f>IF(COUNT(D369:L369)=0,"",INDEX($D$1:$L$1,MATCH(MIN(D369:L369),D369:L369,0)))</f>
        <v/>
      </c>
      <c r="R369" s="8" t="n">
        <v>1662.02</v>
      </c>
      <c r="S369" s="10" t="n">
        <v>1</v>
      </c>
    </row>
    <row r="370">
      <c r="A370" s="7" t="inlineStr">
        <is>
          <t>MAT-08-194</t>
        </is>
      </c>
      <c r="B370" s="4" t="inlineStr">
        <is>
          <t>Porcelanato de piso y pared, 90 x 15 cm</t>
        </is>
      </c>
      <c r="C370" s="7" t="inlineStr">
        <is>
          <t>m²</t>
        </is>
      </c>
      <c r="D370" s="8" t="n">
        <v>1835.57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>
        <f>IF(COUNT(D370:L370)=0,"",MIN(D370:L370))</f>
        <v/>
      </c>
      <c r="N370" s="8">
        <f>IF(COUNT(D370:L370)=0,"",MEDIAN(D370:L370))</f>
        <v/>
      </c>
      <c r="O370" s="8">
        <f>IF(COUNT(D370:L370)=0,"",MAX(D370:L370))</f>
        <v/>
      </c>
      <c r="P370" s="9">
        <f>IF(OR(M370="",M370=0),"",(O370-M370)/M370)</f>
        <v/>
      </c>
      <c r="Q370" s="7">
        <f>IF(COUNT(D370:L370)=0,"",INDEX($D$1:$L$1,MATCH(MIN(D370:L370),D370:L370,0)))</f>
        <v/>
      </c>
      <c r="R370" s="8" t="n">
        <v>1835.57</v>
      </c>
      <c r="S370" s="10" t="n">
        <v>1</v>
      </c>
    </row>
    <row r="371">
      <c r="A371" s="7" t="inlineStr">
        <is>
          <t>MAT-08-195</t>
        </is>
      </c>
      <c r="B371" s="4" t="inlineStr">
        <is>
          <t>Porcelanato de piso y pared, 90 x 20 cm</t>
        </is>
      </c>
      <c r="C371" s="7" t="inlineStr">
        <is>
          <t>m²</t>
        </is>
      </c>
      <c r="D371" s="8" t="n"/>
      <c r="E371" s="8" t="n">
        <v>1398.19</v>
      </c>
      <c r="F371" s="8" t="n"/>
      <c r="G371" s="8" t="n"/>
      <c r="H371" s="8" t="n"/>
      <c r="I371" s="8" t="n"/>
      <c r="J371" s="8" t="n"/>
      <c r="K371" s="8" t="n"/>
      <c r="L371" s="8" t="n"/>
      <c r="M371" s="8">
        <f>IF(COUNT(D371:L371)=0,"",MIN(D371:L371))</f>
        <v/>
      </c>
      <c r="N371" s="8">
        <f>IF(COUNT(D371:L371)=0,"",MEDIAN(D371:L371))</f>
        <v/>
      </c>
      <c r="O371" s="8">
        <f>IF(COUNT(D371:L371)=0,"",MAX(D371:L371))</f>
        <v/>
      </c>
      <c r="P371" s="9">
        <f>IF(OR(M371="",M371=0),"",(O371-M371)/M371)</f>
        <v/>
      </c>
      <c r="Q371" s="7">
        <f>IF(COUNT(D371:L371)=0,"",INDEX($D$1:$L$1,MATCH(MIN(D371:L371),D371:L371,0)))</f>
        <v/>
      </c>
      <c r="R371" s="8" t="n">
        <v>1649.86</v>
      </c>
      <c r="S371" s="10" t="n">
        <v>1</v>
      </c>
    </row>
    <row r="372">
      <c r="A372" s="7" t="inlineStr">
        <is>
          <t>MAT-08-196</t>
        </is>
      </c>
      <c r="B372" s="4" t="inlineStr">
        <is>
          <t>Porcelanato de piso y pared, 90 x 30 cm</t>
        </is>
      </c>
      <c r="C372" s="7" t="inlineStr">
        <is>
          <t>m²</t>
        </is>
      </c>
      <c r="D372" s="8" t="n">
        <v>2210.12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>
        <f>IF(COUNT(D372:L372)=0,"",MIN(D372:L372))</f>
        <v/>
      </c>
      <c r="N372" s="8">
        <f>IF(COUNT(D372:L372)=0,"",MEDIAN(D372:L372))</f>
        <v/>
      </c>
      <c r="O372" s="8">
        <f>IF(COUNT(D372:L372)=0,"",MAX(D372:L372))</f>
        <v/>
      </c>
      <c r="P372" s="9">
        <f>IF(OR(M372="",M372=0),"",(O372-M372)/M372)</f>
        <v/>
      </c>
      <c r="Q372" s="7">
        <f>IF(COUNT(D372:L372)=0,"",INDEX($D$1:$L$1,MATCH(MIN(D372:L372),D372:L372,0)))</f>
        <v/>
      </c>
      <c r="R372" s="8" t="n">
        <v>2210.12</v>
      </c>
      <c r="S372" s="10" t="n">
        <v>1</v>
      </c>
    </row>
    <row r="373">
      <c r="A373" s="7" t="inlineStr">
        <is>
          <t>MAT-08-197</t>
        </is>
      </c>
      <c r="B373" s="4" t="inlineStr">
        <is>
          <t>Porcelanato de piso y pared, 90 x 45 cm</t>
        </is>
      </c>
      <c r="C373" s="7" t="inlineStr">
        <is>
          <t>m²</t>
        </is>
      </c>
      <c r="D373" s="8" t="n">
        <v>1630.87</v>
      </c>
      <c r="E373" s="8" t="n">
        <v>5147.23</v>
      </c>
      <c r="F373" s="8" t="n"/>
      <c r="G373" s="8" t="n"/>
      <c r="H373" s="8" t="n"/>
      <c r="I373" s="8" t="n"/>
      <c r="J373" s="8" t="n"/>
      <c r="K373" s="8" t="n"/>
      <c r="L373" s="8" t="n"/>
      <c r="M373" s="8">
        <f>IF(COUNT(D373:L373)=0,"",MIN(D373:L373))</f>
        <v/>
      </c>
      <c r="N373" s="8">
        <f>IF(COUNT(D373:L373)=0,"",MEDIAN(D373:L373))</f>
        <v/>
      </c>
      <c r="O373" s="8">
        <f>IF(COUNT(D373:L373)=0,"",MAX(D373:L373))</f>
        <v/>
      </c>
      <c r="P373" s="9">
        <f>IF(OR(M373="",M373=0),"",(O373-M373)/M373)</f>
        <v/>
      </c>
      <c r="Q373" s="7">
        <f>IF(COUNT(D373:L373)=0,"",INDEX($D$1:$L$1,MATCH(MIN(D373:L373),D373:L373,0)))</f>
        <v/>
      </c>
      <c r="R373" s="8" t="n">
        <v>2022.08</v>
      </c>
      <c r="S373" s="10" t="n">
        <v>2</v>
      </c>
    </row>
    <row r="374">
      <c r="A374" s="7" t="inlineStr">
        <is>
          <t>MAT-08-198</t>
        </is>
      </c>
      <c r="B374" s="4" t="inlineStr">
        <is>
          <t>Porcelanato de piso y pared, 90 x 90 cm</t>
        </is>
      </c>
      <c r="C374" s="7" t="inlineStr">
        <is>
          <t>m²</t>
        </is>
      </c>
      <c r="D374" s="8" t="n"/>
      <c r="E374" s="8" t="n">
        <v>1836.68</v>
      </c>
      <c r="F374" s="8" t="n"/>
      <c r="G374" s="8" t="n"/>
      <c r="H374" s="8" t="n"/>
      <c r="I374" s="8" t="n"/>
      <c r="J374" s="8" t="n"/>
      <c r="K374" s="8" t="n"/>
      <c r="L374" s="8" t="n"/>
      <c r="M374" s="8">
        <f>IF(COUNT(D374:L374)=0,"",MIN(D374:L374))</f>
        <v/>
      </c>
      <c r="N374" s="8">
        <f>IF(COUNT(D374:L374)=0,"",MEDIAN(D374:L374))</f>
        <v/>
      </c>
      <c r="O374" s="8">
        <f>IF(COUNT(D374:L374)=0,"",MAX(D374:L374))</f>
        <v/>
      </c>
      <c r="P374" s="9">
        <f>IF(OR(M374="",M374=0),"",(O374-M374)/M374)</f>
        <v/>
      </c>
      <c r="Q374" s="7">
        <f>IF(COUNT(D374:L374)=0,"",INDEX($D$1:$L$1,MATCH(MIN(D374:L374),D374:L374,0)))</f>
        <v/>
      </c>
      <c r="R374" s="8" t="n">
        <v>2167.28</v>
      </c>
      <c r="S374" s="10" t="n">
        <v>1</v>
      </c>
    </row>
    <row r="375">
      <c r="A375" s="7" t="inlineStr">
        <is>
          <t>MAT-08-199</t>
        </is>
      </c>
      <c r="B375" s="4" t="inlineStr">
        <is>
          <t>Mosaico cerámico en malla, 2.5 x 2.5 cm</t>
        </is>
      </c>
      <c r="C375" s="7" t="inlineStr">
        <is>
          <t>m²</t>
        </is>
      </c>
      <c r="D375" s="8" t="n"/>
      <c r="E375" s="8" t="n"/>
      <c r="F375" s="8" t="n"/>
      <c r="G375" s="8" t="n">
        <v>495</v>
      </c>
      <c r="H375" s="8" t="n"/>
      <c r="I375" s="8" t="n"/>
      <c r="J375" s="8" t="n"/>
      <c r="K375" s="8" t="n"/>
      <c r="L375" s="8" t="n"/>
      <c r="M375" s="8">
        <f>IF(COUNT(D375:L375)=0,"",MIN(D375:L375))</f>
        <v/>
      </c>
      <c r="N375" s="8">
        <f>IF(COUNT(D375:L375)=0,"",MEDIAN(D375:L375))</f>
        <v/>
      </c>
      <c r="O375" s="8">
        <f>IF(COUNT(D375:L375)=0,"",MAX(D375:L375))</f>
        <v/>
      </c>
      <c r="P375" s="9">
        <f>IF(OR(M375="",M375=0),"",(O375-M375)/M375)</f>
        <v/>
      </c>
      <c r="Q375" s="7">
        <f>IF(COUNT(D375:L375)=0,"",INDEX($D$1:$L$1,MATCH(MIN(D375:L375),D375:L375,0)))</f>
        <v/>
      </c>
      <c r="R375" s="8" t="n">
        <v>495</v>
      </c>
      <c r="S375" s="10" t="n">
        <v>1</v>
      </c>
    </row>
    <row r="376">
      <c r="A376" s="7" t="inlineStr">
        <is>
          <t>MAT-08-200</t>
        </is>
      </c>
      <c r="B376" s="4" t="inlineStr">
        <is>
          <t>Mosaico cerámico en malla, 20 x 20 cm</t>
        </is>
      </c>
      <c r="C376" s="7" t="inlineStr">
        <is>
          <t>m²</t>
        </is>
      </c>
      <c r="D376" s="8" t="n"/>
      <c r="E376" s="8" t="n"/>
      <c r="F376" s="8" t="n"/>
      <c r="G376" s="8" t="n">
        <v>1099.76</v>
      </c>
      <c r="H376" s="8" t="n"/>
      <c r="I376" s="8" t="n"/>
      <c r="J376" s="8" t="n"/>
      <c r="K376" s="8" t="n"/>
      <c r="L376" s="8" t="n"/>
      <c r="M376" s="8">
        <f>IF(COUNT(D376:L376)=0,"",MIN(D376:L376))</f>
        <v/>
      </c>
      <c r="N376" s="8">
        <f>IF(COUNT(D376:L376)=0,"",MEDIAN(D376:L376))</f>
        <v/>
      </c>
      <c r="O376" s="8">
        <f>IF(COUNT(D376:L376)=0,"",MAX(D376:L376))</f>
        <v/>
      </c>
      <c r="P376" s="9">
        <f>IF(OR(M376="",M376=0),"",(O376-M376)/M376)</f>
        <v/>
      </c>
      <c r="Q376" s="7">
        <f>IF(COUNT(D376:L376)=0,"",INDEX($D$1:$L$1,MATCH(MIN(D376:L376),D376:L376,0)))</f>
        <v/>
      </c>
      <c r="R376" s="8" t="n">
        <v>1099.76</v>
      </c>
      <c r="S376" s="10" t="n">
        <v>1</v>
      </c>
    </row>
    <row r="377">
      <c r="A377" s="7" t="inlineStr">
        <is>
          <t>MAT-08-201</t>
        </is>
      </c>
      <c r="B377" s="4" t="inlineStr">
        <is>
          <t>Mosaico cerámico en malla, 30 x 25 cm</t>
        </is>
      </c>
      <c r="C377" s="7" t="inlineStr">
        <is>
          <t>m²</t>
        </is>
      </c>
      <c r="D377" s="8" t="n"/>
      <c r="E377" s="8" t="n">
        <v>947.36</v>
      </c>
      <c r="F377" s="8" t="n"/>
      <c r="G377" s="8" t="n"/>
      <c r="H377" s="8" t="n"/>
      <c r="I377" s="8" t="n"/>
      <c r="J377" s="8" t="n"/>
      <c r="K377" s="8" t="n"/>
      <c r="L377" s="8" t="n"/>
      <c r="M377" s="8">
        <f>IF(COUNT(D377:L377)=0,"",MIN(D377:L377))</f>
        <v/>
      </c>
      <c r="N377" s="8">
        <f>IF(COUNT(D377:L377)=0,"",MEDIAN(D377:L377))</f>
        <v/>
      </c>
      <c r="O377" s="8">
        <f>IF(COUNT(D377:L377)=0,"",MAX(D377:L377))</f>
        <v/>
      </c>
      <c r="P377" s="9">
        <f>IF(OR(M377="",M377=0),"",(O377-M377)/M377)</f>
        <v/>
      </c>
      <c r="Q377" s="7">
        <f>IF(COUNT(D377:L377)=0,"",INDEX($D$1:$L$1,MATCH(MIN(D377:L377),D377:L377,0)))</f>
        <v/>
      </c>
      <c r="R377" s="8" t="n">
        <v>1881.01</v>
      </c>
      <c r="S377" s="10" t="n">
        <v>1</v>
      </c>
    </row>
    <row r="378">
      <c r="A378" s="7" t="inlineStr">
        <is>
          <t>MAT-08-202</t>
        </is>
      </c>
      <c r="B378" s="4" t="inlineStr">
        <is>
          <t>Mosaico cerámico en malla, 30 x 30 cm</t>
        </is>
      </c>
      <c r="C378" s="7" t="inlineStr">
        <is>
          <t>m²</t>
        </is>
      </c>
      <c r="D378" s="8" t="n">
        <v>1844.8</v>
      </c>
      <c r="E378" s="8" t="n">
        <v>1414.01</v>
      </c>
      <c r="F378" s="8" t="n"/>
      <c r="G378" s="8" t="n">
        <v>156.94</v>
      </c>
      <c r="H378" s="8" t="n"/>
      <c r="I378" s="8" t="n"/>
      <c r="J378" s="8" t="n"/>
      <c r="K378" s="8" t="n"/>
      <c r="L378" s="8" t="n"/>
      <c r="M378" s="8">
        <f>IF(COUNT(D378:L378)=0,"",MIN(D378:L378))</f>
        <v/>
      </c>
      <c r="N378" s="8">
        <f>IF(COUNT(D378:L378)=0,"",MEDIAN(D378:L378))</f>
        <v/>
      </c>
      <c r="O378" s="8">
        <f>IF(COUNT(D378:L378)=0,"",MAX(D378:L378))</f>
        <v/>
      </c>
      <c r="P378" s="9">
        <f>IF(OR(M378="",M378=0),"",(O378-M378)/M378)</f>
        <v/>
      </c>
      <c r="Q378" s="7">
        <f>IF(COUNT(D378:L378)=0,"",INDEX($D$1:$L$1,MATCH(MIN(D378:L378),D378:L378,0)))</f>
        <v/>
      </c>
      <c r="R378" s="8" t="n">
        <v>2863.5</v>
      </c>
      <c r="S378" s="10" t="n">
        <v>3</v>
      </c>
    </row>
    <row r="379">
      <c r="A379" s="7" t="inlineStr">
        <is>
          <t>MAT-08-203</t>
        </is>
      </c>
      <c r="B379" s="4" t="inlineStr">
        <is>
          <t>Mosaico cerámico en malla, 33 x 30 cm</t>
        </is>
      </c>
      <c r="C379" s="7" t="inlineStr">
        <is>
          <t>m²</t>
        </is>
      </c>
      <c r="D379" s="8" t="n">
        <v>4369.31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>
        <f>IF(COUNT(D379:L379)=0,"",MIN(D379:L379))</f>
        <v/>
      </c>
      <c r="N379" s="8">
        <f>IF(COUNT(D379:L379)=0,"",MEDIAN(D379:L379))</f>
        <v/>
      </c>
      <c r="O379" s="8">
        <f>IF(COUNT(D379:L379)=0,"",MAX(D379:L379))</f>
        <v/>
      </c>
      <c r="P379" s="9">
        <f>IF(OR(M379="",M379=0),"",(O379-M379)/M379)</f>
        <v/>
      </c>
      <c r="Q379" s="7">
        <f>IF(COUNT(D379:L379)=0,"",INDEX($D$1:$L$1,MATCH(MIN(D379:L379),D379:L379,0)))</f>
        <v/>
      </c>
      <c r="R379" s="8" t="n">
        <v>5065.06</v>
      </c>
      <c r="S379" s="10" t="n">
        <v>1</v>
      </c>
    </row>
    <row r="380">
      <c r="A380" s="7" t="inlineStr">
        <is>
          <t>MAT-08-204</t>
        </is>
      </c>
      <c r="B380" s="4" t="inlineStr">
        <is>
          <t>Mosaico cerámico en malla, 33 x 33 cm</t>
        </is>
      </c>
      <c r="C380" s="7" t="inlineStr">
        <is>
          <t>m²</t>
        </is>
      </c>
      <c r="D380" s="8" t="n">
        <v>1318.5</v>
      </c>
      <c r="E380" s="8" t="n"/>
      <c r="F380" s="8" t="n"/>
      <c r="G380" s="8" t="n">
        <v>325</v>
      </c>
      <c r="H380" s="8" t="n"/>
      <c r="I380" s="8" t="n"/>
      <c r="J380" s="8" t="n"/>
      <c r="K380" s="8" t="n"/>
      <c r="L380" s="8" t="n"/>
      <c r="M380" s="8">
        <f>IF(COUNT(D380:L380)=0,"",MIN(D380:L380))</f>
        <v/>
      </c>
      <c r="N380" s="8">
        <f>IF(COUNT(D380:L380)=0,"",MEDIAN(D380:L380))</f>
        <v/>
      </c>
      <c r="O380" s="8">
        <f>IF(COUNT(D380:L380)=0,"",MAX(D380:L380))</f>
        <v/>
      </c>
      <c r="P380" s="9">
        <f>IF(OR(M380="",M380=0),"",(O380-M380)/M380)</f>
        <v/>
      </c>
      <c r="Q380" s="7">
        <f>IF(COUNT(D380:L380)=0,"",INDEX($D$1:$L$1,MATCH(MIN(D380:L380),D380:L380,0)))</f>
        <v/>
      </c>
      <c r="R380" s="8" t="n">
        <v>1558.53</v>
      </c>
      <c r="S380" s="10" t="n">
        <v>2</v>
      </c>
    </row>
    <row r="381">
      <c r="A381" s="7" t="inlineStr">
        <is>
          <t>MAT-08-205</t>
        </is>
      </c>
      <c r="B381" s="4" t="inlineStr">
        <is>
          <t>Mosaico cerámico en malla, 40 x 10 cm</t>
        </is>
      </c>
      <c r="C381" s="7" t="inlineStr">
        <is>
          <t>m²</t>
        </is>
      </c>
      <c r="D381" s="8" t="n"/>
      <c r="E381" s="8" t="n">
        <v>2176.74</v>
      </c>
      <c r="F381" s="8" t="n"/>
      <c r="G381" s="8" t="n"/>
      <c r="H381" s="8" t="n"/>
      <c r="I381" s="8" t="n"/>
      <c r="J381" s="8" t="n"/>
      <c r="K381" s="8" t="n"/>
      <c r="L381" s="8" t="n"/>
      <c r="M381" s="8">
        <f>IF(COUNT(D381:L381)=0,"",MIN(D381:L381))</f>
        <v/>
      </c>
      <c r="N381" s="8">
        <f>IF(COUNT(D381:L381)=0,"",MEDIAN(D381:L381))</f>
        <v/>
      </c>
      <c r="O381" s="8">
        <f>IF(COUNT(D381:L381)=0,"",MAX(D381:L381))</f>
        <v/>
      </c>
      <c r="P381" s="9">
        <f>IF(OR(M381="",M381=0),"",(O381-M381)/M381)</f>
        <v/>
      </c>
      <c r="Q381" s="7">
        <f>IF(COUNT(D381:L381)=0,"",INDEX($D$1:$L$1,MATCH(MIN(D381:L381),D381:L381,0)))</f>
        <v/>
      </c>
      <c r="R381" s="8" t="n">
        <v>2768.79</v>
      </c>
      <c r="S381" s="10" t="n">
        <v>1</v>
      </c>
    </row>
    <row r="382">
      <c r="A382" s="7" t="inlineStr">
        <is>
          <t>MAT-08-206</t>
        </is>
      </c>
      <c r="B382" s="4" t="inlineStr">
        <is>
          <t>Mosaico cerámico en malla, 45 x 30 cm</t>
        </is>
      </c>
      <c r="C382" s="7" t="inlineStr">
        <is>
          <t>m²</t>
        </is>
      </c>
      <c r="D382" s="8" t="n"/>
      <c r="E382" s="8" t="n"/>
      <c r="F382" s="8" t="n"/>
      <c r="G382" s="8" t="n">
        <v>650</v>
      </c>
      <c r="H382" s="8" t="n"/>
      <c r="I382" s="8" t="n"/>
      <c r="J382" s="8" t="n"/>
      <c r="K382" s="8" t="n"/>
      <c r="L382" s="8" t="n"/>
      <c r="M382" s="8">
        <f>IF(COUNT(D382:L382)=0,"",MIN(D382:L382))</f>
        <v/>
      </c>
      <c r="N382" s="8">
        <f>IF(COUNT(D382:L382)=0,"",MEDIAN(D382:L382))</f>
        <v/>
      </c>
      <c r="O382" s="8">
        <f>IF(COUNT(D382:L382)=0,"",MAX(D382:L382))</f>
        <v/>
      </c>
      <c r="P382" s="9">
        <f>IF(OR(M382="",M382=0),"",(O382-M382)/M382)</f>
        <v/>
      </c>
      <c r="Q382" s="7">
        <f>IF(COUNT(D382:L382)=0,"",INDEX($D$1:$L$1,MATCH(MIN(D382:L382),D382:L382,0)))</f>
        <v/>
      </c>
      <c r="R382" s="8" t="n">
        <v>650</v>
      </c>
      <c r="S382" s="10" t="n">
        <v>1</v>
      </c>
    </row>
    <row r="383">
      <c r="A383" s="7" t="inlineStr">
        <is>
          <t>MAT-08-207</t>
        </is>
      </c>
      <c r="B383" s="4" t="inlineStr">
        <is>
          <t>Mosaico cerámico en malla, 45 x 45 cm</t>
        </is>
      </c>
      <c r="C383" s="7" t="inlineStr">
        <is>
          <t>m²</t>
        </is>
      </c>
      <c r="D383" s="8" t="n">
        <v>789.64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>
        <f>IF(COUNT(D383:L383)=0,"",MIN(D383:L383))</f>
        <v/>
      </c>
      <c r="N383" s="8">
        <f>IF(COUNT(D383:L383)=0,"",MEDIAN(D383:L383))</f>
        <v/>
      </c>
      <c r="O383" s="8">
        <f>IF(COUNT(D383:L383)=0,"",MAX(D383:L383))</f>
        <v/>
      </c>
      <c r="P383" s="9">
        <f>IF(OR(M383="",M383=0),"",(O383-M383)/M383)</f>
        <v/>
      </c>
      <c r="Q383" s="7">
        <f>IF(COUNT(D383:L383)=0,"",INDEX($D$1:$L$1,MATCH(MIN(D383:L383),D383:L383,0)))</f>
        <v/>
      </c>
      <c r="R383" s="8" t="n">
        <v>789.64</v>
      </c>
      <c r="S383" s="10" t="n">
        <v>1</v>
      </c>
    </row>
    <row r="384">
      <c r="A384" s="7" t="inlineStr">
        <is>
          <t>MAT-08-208</t>
        </is>
      </c>
      <c r="B384" s="4" t="inlineStr">
        <is>
          <t>Mosaico cerámico en malla, 5 x 5 cm</t>
        </is>
      </c>
      <c r="C384" s="7" t="inlineStr">
        <is>
          <t>m²</t>
        </is>
      </c>
      <c r="D384" s="8" t="n"/>
      <c r="E384" s="8" t="n"/>
      <c r="F384" s="8" t="n"/>
      <c r="G384" s="8" t="n">
        <v>590</v>
      </c>
      <c r="H384" s="8" t="n"/>
      <c r="I384" s="8" t="n"/>
      <c r="J384" s="8" t="n"/>
      <c r="K384" s="8" t="n"/>
      <c r="L384" s="8" t="n"/>
      <c r="M384" s="8">
        <f>IF(COUNT(D384:L384)=0,"",MIN(D384:L384))</f>
        <v/>
      </c>
      <c r="N384" s="8">
        <f>IF(COUNT(D384:L384)=0,"",MEDIAN(D384:L384))</f>
        <v/>
      </c>
      <c r="O384" s="8">
        <f>IF(COUNT(D384:L384)=0,"",MAX(D384:L384))</f>
        <v/>
      </c>
      <c r="P384" s="9">
        <f>IF(OR(M384="",M384=0),"",(O384-M384)/M384)</f>
        <v/>
      </c>
      <c r="Q384" s="7">
        <f>IF(COUNT(D384:L384)=0,"",INDEX($D$1:$L$1,MATCH(MIN(D384:L384),D384:L384,0)))</f>
        <v/>
      </c>
      <c r="R384" s="8" t="n">
        <v>690</v>
      </c>
      <c r="S384" s="10" t="n">
        <v>1</v>
      </c>
    </row>
    <row r="385">
      <c r="A385" s="7" t="inlineStr">
        <is>
          <t>MAT-08-209</t>
        </is>
      </c>
      <c r="B385" s="4" t="inlineStr">
        <is>
          <t>Mosaico cerámico en malla, 60 x 15 cm</t>
        </is>
      </c>
      <c r="C385" s="7" t="inlineStr">
        <is>
          <t>m²</t>
        </is>
      </c>
      <c r="D385" s="8" t="n"/>
      <c r="E385" s="8" t="n"/>
      <c r="F385" s="8" t="n"/>
      <c r="G385" s="8" t="n">
        <v>2290.15</v>
      </c>
      <c r="H385" s="8" t="n"/>
      <c r="I385" s="8" t="n"/>
      <c r="J385" s="8" t="n"/>
      <c r="K385" s="8" t="n"/>
      <c r="L385" s="8" t="n"/>
      <c r="M385" s="8">
        <f>IF(COUNT(D385:L385)=0,"",MIN(D385:L385))</f>
        <v/>
      </c>
      <c r="N385" s="8">
        <f>IF(COUNT(D385:L385)=0,"",MEDIAN(D385:L385))</f>
        <v/>
      </c>
      <c r="O385" s="8">
        <f>IF(COUNT(D385:L385)=0,"",MAX(D385:L385))</f>
        <v/>
      </c>
      <c r="P385" s="9">
        <f>IF(OR(M385="",M385=0),"",(O385-M385)/M385)</f>
        <v/>
      </c>
      <c r="Q385" s="7">
        <f>IF(COUNT(D385:L385)=0,"",INDEX($D$1:$L$1,MATCH(MIN(D385:L385),D385:L385,0)))</f>
        <v/>
      </c>
      <c r="R385" s="8" t="n">
        <v>3110.82</v>
      </c>
      <c r="S385" s="10" t="n">
        <v>1</v>
      </c>
    </row>
    <row r="386">
      <c r="A386" s="7" t="inlineStr">
        <is>
          <t>MAT-08-210</t>
        </is>
      </c>
      <c r="B386" s="4" t="inlineStr">
        <is>
          <t>Mosaico cerámico en malla, 60 x 20 cm</t>
        </is>
      </c>
      <c r="C386" s="7" t="inlineStr">
        <is>
          <t>m²</t>
        </is>
      </c>
      <c r="D386" s="8" t="n">
        <v>743.62</v>
      </c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>
        <f>IF(COUNT(D386:L386)=0,"",MIN(D386:L386))</f>
        <v/>
      </c>
      <c r="N386" s="8">
        <f>IF(COUNT(D386:L386)=0,"",MEDIAN(D386:L386))</f>
        <v/>
      </c>
      <c r="O386" s="8">
        <f>IF(COUNT(D386:L386)=0,"",MAX(D386:L386))</f>
        <v/>
      </c>
      <c r="P386" s="9">
        <f>IF(OR(M386="",M386=0),"",(O386-M386)/M386)</f>
        <v/>
      </c>
      <c r="Q386" s="7">
        <f>IF(COUNT(D386:L386)=0,"",INDEX($D$1:$L$1,MATCH(MIN(D386:L386),D386:L386,0)))</f>
        <v/>
      </c>
      <c r="R386" s="8" t="n">
        <v>743.62</v>
      </c>
      <c r="S386" s="10" t="n">
        <v>1</v>
      </c>
    </row>
    <row r="387">
      <c r="A387" s="7" t="inlineStr">
        <is>
          <t>MAT-08-211</t>
        </is>
      </c>
      <c r="B387" s="4" t="inlineStr">
        <is>
          <t>Mosaico cerámico en malla, 7.5 x 7.5 cm</t>
        </is>
      </c>
      <c r="C387" s="7" t="inlineStr">
        <is>
          <t>m²</t>
        </is>
      </c>
      <c r="D387" s="8" t="n"/>
      <c r="E387" s="8" t="n">
        <v>1454.78</v>
      </c>
      <c r="F387" s="8" t="n"/>
      <c r="G387" s="8" t="n"/>
      <c r="H387" s="8" t="n"/>
      <c r="I387" s="8" t="n"/>
      <c r="J387" s="8" t="n"/>
      <c r="K387" s="8" t="n"/>
      <c r="L387" s="8" t="n"/>
      <c r="M387" s="8">
        <f>IF(COUNT(D387:L387)=0,"",MIN(D387:L387))</f>
        <v/>
      </c>
      <c r="N387" s="8">
        <f>IF(COUNT(D387:L387)=0,"",MEDIAN(D387:L387))</f>
        <v/>
      </c>
      <c r="O387" s="8">
        <f>IF(COUNT(D387:L387)=0,"",MAX(D387:L387))</f>
        <v/>
      </c>
      <c r="P387" s="9">
        <f>IF(OR(M387="",M387=0),"",(O387-M387)/M387)</f>
        <v/>
      </c>
      <c r="Q387" s="7">
        <f>IF(COUNT(D387:L387)=0,"",INDEX($D$1:$L$1,MATCH(MIN(D387:L387),D387:L387,0)))</f>
        <v/>
      </c>
      <c r="R387" s="8" t="n">
        <v>1771.16</v>
      </c>
      <c r="S387" s="10" t="n">
        <v>1</v>
      </c>
    </row>
    <row r="388">
      <c r="A388" s="7" t="inlineStr">
        <is>
          <t>MAT-08-212</t>
        </is>
      </c>
      <c r="B388" s="4" t="inlineStr">
        <is>
          <t>Peldaño cerámico recto, 120 x 30 cm</t>
        </is>
      </c>
      <c r="C388" s="7" t="inlineStr">
        <is>
          <t>unidad</t>
        </is>
      </c>
      <c r="D388" s="8" t="n">
        <v>1719.56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>
        <f>IF(COUNT(D388:L388)=0,"",MIN(D388:L388))</f>
        <v/>
      </c>
      <c r="N388" s="8">
        <f>IF(COUNT(D388:L388)=0,"",MEDIAN(D388:L388))</f>
        <v/>
      </c>
      <c r="O388" s="8">
        <f>IF(COUNT(D388:L388)=0,"",MAX(D388:L388))</f>
        <v/>
      </c>
      <c r="P388" s="9">
        <f>IF(OR(M388="",M388=0),"",(O388-M388)/M388)</f>
        <v/>
      </c>
      <c r="Q388" s="7">
        <f>IF(COUNT(D388:L388)=0,"",INDEX($D$1:$L$1,MATCH(MIN(D388:L388),D388:L388,0)))</f>
        <v/>
      </c>
      <c r="R388" s="8" t="n">
        <v>1986.69</v>
      </c>
      <c r="S388" s="10" t="n">
        <v>1</v>
      </c>
    </row>
    <row r="389">
      <c r="A389" s="7" t="inlineStr">
        <is>
          <t>MAT-08-213</t>
        </is>
      </c>
      <c r="B389" s="4" t="inlineStr">
        <is>
          <t>Peldaño cerámico recto, 120 x 33 cm</t>
        </is>
      </c>
      <c r="C389" s="7" t="inlineStr">
        <is>
          <t>unidad</t>
        </is>
      </c>
      <c r="D389" s="8" t="n">
        <v>3607.11</v>
      </c>
      <c r="E389" s="8" t="n"/>
      <c r="F389" s="8" t="n"/>
      <c r="G389" s="8" t="n">
        <v>8990</v>
      </c>
      <c r="H389" s="8" t="n"/>
      <c r="I389" s="8" t="n"/>
      <c r="J389" s="8" t="n"/>
      <c r="K389" s="8" t="n"/>
      <c r="L389" s="8" t="n"/>
      <c r="M389" s="8">
        <f>IF(COUNT(D389:L389)=0,"",MIN(D389:L389))</f>
        <v/>
      </c>
      <c r="N389" s="8">
        <f>IF(COUNT(D389:L389)=0,"",MEDIAN(D389:L389))</f>
        <v/>
      </c>
      <c r="O389" s="8">
        <f>IF(COUNT(D389:L389)=0,"",MAX(D389:L389))</f>
        <v/>
      </c>
      <c r="P389" s="9">
        <f>IF(OR(M389="",M389=0),"",(O389-M389)/M389)</f>
        <v/>
      </c>
      <c r="Q389" s="7">
        <f>IF(COUNT(D389:L389)=0,"",INDEX($D$1:$L$1,MATCH(MIN(D389:L389),D389:L389,0)))</f>
        <v/>
      </c>
      <c r="R389" s="8" t="n">
        <v>5245.32</v>
      </c>
      <c r="S389" s="10" t="n">
        <v>2</v>
      </c>
    </row>
    <row r="390">
      <c r="A390" s="7" t="inlineStr">
        <is>
          <t>MAT-08-214</t>
        </is>
      </c>
      <c r="B390" s="4" t="inlineStr">
        <is>
          <t>Set de huella y contrahuella, 1 cm</t>
        </is>
      </c>
      <c r="C390" s="7" t="inlineStr">
        <is>
          <t>juego</t>
        </is>
      </c>
      <c r="D390" s="8" t="n">
        <v>1266.29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>
        <f>IF(COUNT(D390:L390)=0,"",MIN(D390:L390))</f>
        <v/>
      </c>
      <c r="N390" s="8">
        <f>IF(COUNT(D390:L390)=0,"",MEDIAN(D390:L390))</f>
        <v/>
      </c>
      <c r="O390" s="8">
        <f>IF(COUNT(D390:L390)=0,"",MAX(D390:L390))</f>
        <v/>
      </c>
      <c r="P390" s="9">
        <f>IF(OR(M390="",M390=0),"",(O390-M390)/M390)</f>
        <v/>
      </c>
      <c r="Q390" s="7">
        <f>IF(COUNT(D390:L390)=0,"",INDEX($D$1:$L$1,MATCH(MIN(D390:L390),D390:L390,0)))</f>
        <v/>
      </c>
      <c r="R390" s="8" t="n">
        <v>1427.79</v>
      </c>
      <c r="S390" s="10" t="n">
        <v>1</v>
      </c>
    </row>
    <row r="391">
      <c r="A391" s="7" t="inlineStr">
        <is>
          <t>MAT-08-215</t>
        </is>
      </c>
      <c r="B391" s="4" t="inlineStr">
        <is>
          <t>Set de huella y contrahuella, 120 cm</t>
        </is>
      </c>
      <c r="C391" s="7" t="inlineStr">
        <is>
          <t>juego</t>
        </is>
      </c>
      <c r="D391" s="8" t="n">
        <v>1170.21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>
        <f>IF(COUNT(D391:L391)=0,"",MIN(D391:L391))</f>
        <v/>
      </c>
      <c r="N391" s="8">
        <f>IF(COUNT(D391:L391)=0,"",MEDIAN(D391:L391))</f>
        <v/>
      </c>
      <c r="O391" s="8">
        <f>IF(COUNT(D391:L391)=0,"",MAX(D391:L391))</f>
        <v/>
      </c>
      <c r="P391" s="9">
        <f>IF(OR(M391="",M391=0),"",(O391-M391)/M391)</f>
        <v/>
      </c>
      <c r="Q391" s="7">
        <f>IF(COUNT(D391:L391)=0,"",INDEX($D$1:$L$1,MATCH(MIN(D391:L391),D391:L391,0)))</f>
        <v/>
      </c>
      <c r="R391" s="8" t="n">
        <v>1218.66</v>
      </c>
      <c r="S391" s="10" t="n">
        <v>1</v>
      </c>
    </row>
    <row r="392">
      <c r="A392" s="7" t="inlineStr">
        <is>
          <t>MAT-08-216</t>
        </is>
      </c>
      <c r="B392" s="4" t="inlineStr">
        <is>
          <t>Borde para peldaño, 70 cm</t>
        </is>
      </c>
      <c r="C392" s="7" t="inlineStr">
        <is>
          <t>unidad</t>
        </is>
      </c>
      <c r="D392" s="8" t="n">
        <v>425.5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>
        <f>IF(COUNT(D392:L392)=0,"",MIN(D392:L392))</f>
        <v/>
      </c>
      <c r="N392" s="8">
        <f>IF(COUNT(D392:L392)=0,"",MEDIAN(D392:L392))</f>
        <v/>
      </c>
      <c r="O392" s="8">
        <f>IF(COUNT(D392:L392)=0,"",MAX(D392:L392))</f>
        <v/>
      </c>
      <c r="P392" s="9">
        <f>IF(OR(M392="",M392=0),"",(O392-M392)/M392)</f>
        <v/>
      </c>
      <c r="Q392" s="7">
        <f>IF(COUNT(D392:L392)=0,"",INDEX($D$1:$L$1,MATCH(MIN(D392:L392),D392:L392,0)))</f>
        <v/>
      </c>
      <c r="R392" s="8" t="n">
        <v>434.66</v>
      </c>
      <c r="S392" s="10" t="n">
        <v>1</v>
      </c>
    </row>
    <row r="393">
      <c r="A393" s="7" t="inlineStr">
        <is>
          <t>MAT-08-217</t>
        </is>
      </c>
      <c r="B393" s="4" t="inlineStr">
        <is>
          <t>Rodapié de cerámica</t>
        </is>
      </c>
      <c r="C393" s="7" t="inlineStr">
        <is>
          <t>ml</t>
        </is>
      </c>
      <c r="D393" s="8" t="n"/>
      <c r="E393" s="8" t="n"/>
      <c r="F393" s="8" t="n"/>
      <c r="G393" s="8" t="n">
        <v>189.99</v>
      </c>
      <c r="H393" s="8" t="n"/>
      <c r="I393" s="8" t="n"/>
      <c r="J393" s="8" t="n"/>
      <c r="K393" s="8" t="n"/>
      <c r="L393" s="8" t="n"/>
      <c r="M393" s="8">
        <f>IF(COUNT(D393:L393)=0,"",MIN(D393:L393))</f>
        <v/>
      </c>
      <c r="N393" s="8">
        <f>IF(COUNT(D393:L393)=0,"",MEDIAN(D393:L393))</f>
        <v/>
      </c>
      <c r="O393" s="8">
        <f>IF(COUNT(D393:L393)=0,"",MAX(D393:L393))</f>
        <v/>
      </c>
      <c r="P393" s="9">
        <f>IF(OR(M393="",M393=0),"",(O393-M393)/M393)</f>
        <v/>
      </c>
      <c r="Q393" s="7">
        <f>IF(COUNT(D393:L393)=0,"",INDEX($D$1:$L$1,MATCH(MIN(D393:L393),D393:L393,0)))</f>
        <v/>
      </c>
      <c r="R393" s="8" t="n">
        <v>189.99</v>
      </c>
      <c r="S393" s="10" t="n">
        <v>1</v>
      </c>
    </row>
    <row r="394">
      <c r="A394" s="7" t="inlineStr">
        <is>
          <t>MAT-08-218</t>
        </is>
      </c>
      <c r="B394" s="4" t="inlineStr">
        <is>
          <t>Rodapié de mármol</t>
        </is>
      </c>
      <c r="C394" s="7" t="inlineStr">
        <is>
          <t>ml</t>
        </is>
      </c>
      <c r="D394" s="8" t="n">
        <v>1395.33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>
        <f>IF(COUNT(D394:L394)=0,"",MIN(D394:L394))</f>
        <v/>
      </c>
      <c r="N394" s="8">
        <f>IF(COUNT(D394:L394)=0,"",MEDIAN(D394:L394))</f>
        <v/>
      </c>
      <c r="O394" s="8">
        <f>IF(COUNT(D394:L394)=0,"",MAX(D394:L394))</f>
        <v/>
      </c>
      <c r="P394" s="9">
        <f>IF(OR(M394="",M394=0),"",(O394-M394)/M394)</f>
        <v/>
      </c>
      <c r="Q394" s="7">
        <f>IF(COUNT(D394:L394)=0,"",INDEX($D$1:$L$1,MATCH(MIN(D394:L394),D394:L394,0)))</f>
        <v/>
      </c>
      <c r="R394" s="8" t="n">
        <v>1395.33</v>
      </c>
      <c r="S394" s="10" t="n">
        <v>1</v>
      </c>
    </row>
    <row r="395">
      <c r="A395" s="7" t="inlineStr">
        <is>
          <t>MAT-08-219</t>
        </is>
      </c>
      <c r="B395" s="4" t="inlineStr">
        <is>
          <t>Rodapié de vinil</t>
        </is>
      </c>
      <c r="C395" s="7" t="inlineStr">
        <is>
          <t>ml</t>
        </is>
      </c>
      <c r="D395" s="8" t="n"/>
      <c r="E395" s="8" t="n">
        <v>375.32</v>
      </c>
      <c r="F395" s="8" t="n"/>
      <c r="G395" s="8" t="n"/>
      <c r="H395" s="8" t="n"/>
      <c r="I395" s="8" t="n"/>
      <c r="J395" s="8" t="n"/>
      <c r="K395" s="8" t="n"/>
      <c r="L395" s="8" t="n"/>
      <c r="M395" s="8">
        <f>IF(COUNT(D395:L395)=0,"",MIN(D395:L395))</f>
        <v/>
      </c>
      <c r="N395" s="8">
        <f>IF(COUNT(D395:L395)=0,"",MEDIAN(D395:L395))</f>
        <v/>
      </c>
      <c r="O395" s="8">
        <f>IF(COUNT(D395:L395)=0,"",MAX(D395:L395))</f>
        <v/>
      </c>
      <c r="P395" s="9">
        <f>IF(OR(M395="",M395=0),"",(O395-M395)/M395)</f>
        <v/>
      </c>
      <c r="Q395" s="7">
        <f>IF(COUNT(D395:L395)=0,"",INDEX($D$1:$L$1,MATCH(MIN(D395:L395),D395:L395,0)))</f>
        <v/>
      </c>
      <c r="R395" s="8" t="n">
        <v>465.01</v>
      </c>
      <c r="S395" s="10" t="n">
        <v>1</v>
      </c>
    </row>
    <row r="396">
      <c r="A396" s="7" t="inlineStr">
        <is>
          <t>MAT-08-220</t>
        </is>
      </c>
      <c r="B396" s="4" t="inlineStr">
        <is>
          <t>Perfil de canto de acero inoxidable, 10 mm</t>
        </is>
      </c>
      <c r="C396" s="7" t="inlineStr">
        <is>
          <t>unidad</t>
        </is>
      </c>
      <c r="D396" s="8" t="n"/>
      <c r="E396" s="8" t="n">
        <v>2112.54</v>
      </c>
      <c r="F396" s="8" t="n"/>
      <c r="G396" s="8" t="n"/>
      <c r="H396" s="8" t="n"/>
      <c r="I396" s="8" t="n"/>
      <c r="J396" s="8" t="n"/>
      <c r="K396" s="8" t="n"/>
      <c r="L396" s="8" t="n"/>
      <c r="M396" s="8">
        <f>IF(COUNT(D396:L396)=0,"",MIN(D396:L396))</f>
        <v/>
      </c>
      <c r="N396" s="8">
        <f>IF(COUNT(D396:L396)=0,"",MEDIAN(D396:L396))</f>
        <v/>
      </c>
      <c r="O396" s="8">
        <f>IF(COUNT(D396:L396)=0,"",MAX(D396:L396))</f>
        <v/>
      </c>
      <c r="P396" s="9">
        <f>IF(OR(M396="",M396=0),"",(O396-M396)/M396)</f>
        <v/>
      </c>
      <c r="Q396" s="7">
        <f>IF(COUNT(D396:L396)=0,"",INDEX($D$1:$L$1,MATCH(MIN(D396:L396),D396:L396,0)))</f>
        <v/>
      </c>
      <c r="R396" s="8" t="n">
        <v>2878.24</v>
      </c>
      <c r="S396" s="10" t="n">
        <v>1</v>
      </c>
    </row>
    <row r="397">
      <c r="A397" s="7" t="inlineStr">
        <is>
          <t>MAT-08-221</t>
        </is>
      </c>
      <c r="B397" s="4" t="inlineStr">
        <is>
          <t>Perfil de canto de acero inoxidable, 12 mm</t>
        </is>
      </c>
      <c r="C397" s="7" t="inlineStr">
        <is>
          <t>unidad</t>
        </is>
      </c>
      <c r="D397" s="8" t="n">
        <v>832.63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>
        <f>IF(COUNT(D397:L397)=0,"",MIN(D397:L397))</f>
        <v/>
      </c>
      <c r="N397" s="8">
        <f>IF(COUNT(D397:L397)=0,"",MEDIAN(D397:L397))</f>
        <v/>
      </c>
      <c r="O397" s="8">
        <f>IF(COUNT(D397:L397)=0,"",MAX(D397:L397))</f>
        <v/>
      </c>
      <c r="P397" s="9">
        <f>IF(OR(M397="",M397=0),"",(O397-M397)/M397)</f>
        <v/>
      </c>
      <c r="Q397" s="7">
        <f>IF(COUNT(D397:L397)=0,"",INDEX($D$1:$L$1,MATCH(MIN(D397:L397),D397:L397,0)))</f>
        <v/>
      </c>
      <c r="R397" s="8" t="n">
        <v>844.55</v>
      </c>
      <c r="S397" s="10" t="n">
        <v>1</v>
      </c>
    </row>
    <row r="398">
      <c r="A398" s="7" t="inlineStr">
        <is>
          <t>MAT-08-222</t>
        </is>
      </c>
      <c r="B398" s="4" t="inlineStr">
        <is>
          <t>Perfil de canto de acero inoxidable, 12.5 mm</t>
        </is>
      </c>
      <c r="C398" s="7" t="inlineStr">
        <is>
          <t>unidad</t>
        </is>
      </c>
      <c r="D398" s="8" t="n"/>
      <c r="E398" s="8" t="n">
        <v>2897.42</v>
      </c>
      <c r="F398" s="8" t="n"/>
      <c r="G398" s="8" t="n"/>
      <c r="H398" s="8" t="n"/>
      <c r="I398" s="8" t="n"/>
      <c r="J398" s="8" t="n"/>
      <c r="K398" s="8" t="n"/>
      <c r="L398" s="8" t="n"/>
      <c r="M398" s="8">
        <f>IF(COUNT(D398:L398)=0,"",MIN(D398:L398))</f>
        <v/>
      </c>
      <c r="N398" s="8">
        <f>IF(COUNT(D398:L398)=0,"",MEDIAN(D398:L398))</f>
        <v/>
      </c>
      <c r="O398" s="8">
        <f>IF(COUNT(D398:L398)=0,"",MAX(D398:L398))</f>
        <v/>
      </c>
      <c r="P398" s="9">
        <f>IF(OR(M398="",M398=0),"",(O398-M398)/M398)</f>
        <v/>
      </c>
      <c r="Q398" s="7">
        <f>IF(COUNT(D398:L398)=0,"",INDEX($D$1:$L$1,MATCH(MIN(D398:L398),D398:L398,0)))</f>
        <v/>
      </c>
      <c r="R398" s="8" t="n">
        <v>3418.96</v>
      </c>
      <c r="S398" s="10" t="n">
        <v>1</v>
      </c>
    </row>
    <row r="399">
      <c r="A399" s="7" t="inlineStr">
        <is>
          <t>MAT-08-223</t>
        </is>
      </c>
      <c r="B399" s="4" t="inlineStr">
        <is>
          <t>Perfil de canto de aluminio, 10 mm</t>
        </is>
      </c>
      <c r="C399" s="7" t="inlineStr">
        <is>
          <t>unidad</t>
        </is>
      </c>
      <c r="D399" s="8" t="n">
        <v>573.59</v>
      </c>
      <c r="E399" s="8" t="n">
        <v>942.34</v>
      </c>
      <c r="F399" s="8" t="n"/>
      <c r="G399" s="8" t="n">
        <v>890</v>
      </c>
      <c r="H399" s="8" t="n"/>
      <c r="I399" s="8" t="n"/>
      <c r="J399" s="8" t="n"/>
      <c r="K399" s="8" t="n"/>
      <c r="L399" s="8" t="n"/>
      <c r="M399" s="8">
        <f>IF(COUNT(D399:L399)=0,"",MIN(D399:L399))</f>
        <v/>
      </c>
      <c r="N399" s="8">
        <f>IF(COUNT(D399:L399)=0,"",MEDIAN(D399:L399))</f>
        <v/>
      </c>
      <c r="O399" s="8">
        <f>IF(COUNT(D399:L399)=0,"",MAX(D399:L399))</f>
        <v/>
      </c>
      <c r="P399" s="9">
        <f>IF(OR(M399="",M399=0),"",(O399-M399)/M399)</f>
        <v/>
      </c>
      <c r="Q399" s="7">
        <f>IF(COUNT(D399:L399)=0,"",INDEX($D$1:$L$1,MATCH(MIN(D399:L399),D399:L399,0)))</f>
        <v/>
      </c>
      <c r="R399" s="8" t="n">
        <v>1462.23</v>
      </c>
      <c r="S399" s="10" t="n">
        <v>3</v>
      </c>
    </row>
    <row r="400">
      <c r="A400" s="7" t="inlineStr">
        <is>
          <t>MAT-08-224</t>
        </is>
      </c>
      <c r="B400" s="4" t="inlineStr">
        <is>
          <t>Perfil de canto de aluminio, 12 mm</t>
        </is>
      </c>
      <c r="C400" s="7" t="inlineStr">
        <is>
          <t>unidad</t>
        </is>
      </c>
      <c r="D400" s="8" t="n">
        <v>521.95</v>
      </c>
      <c r="E400" s="8" t="n"/>
      <c r="F400" s="8" t="n"/>
      <c r="G400" s="8" t="n">
        <v>649.99</v>
      </c>
      <c r="H400" s="8" t="n"/>
      <c r="I400" s="8" t="n"/>
      <c r="J400" s="8" t="n"/>
      <c r="K400" s="8" t="n"/>
      <c r="L400" s="8" t="n"/>
      <c r="M400" s="8">
        <f>IF(COUNT(D400:L400)=0,"",MIN(D400:L400))</f>
        <v/>
      </c>
      <c r="N400" s="8">
        <f>IF(COUNT(D400:L400)=0,"",MEDIAN(D400:L400))</f>
        <v/>
      </c>
      <c r="O400" s="8">
        <f>IF(COUNT(D400:L400)=0,"",MAX(D400:L400))</f>
        <v/>
      </c>
      <c r="P400" s="9">
        <f>IF(OR(M400="",M400=0),"",(O400-M400)/M400)</f>
        <v/>
      </c>
      <c r="Q400" s="7">
        <f>IF(COUNT(D400:L400)=0,"",INDEX($D$1:$L$1,MATCH(MIN(D400:L400),D400:L400,0)))</f>
        <v/>
      </c>
      <c r="R400" s="8" t="n">
        <v>2125</v>
      </c>
      <c r="S400" s="10" t="n">
        <v>2</v>
      </c>
    </row>
    <row r="401">
      <c r="A401" s="7" t="inlineStr">
        <is>
          <t>MAT-08-225</t>
        </is>
      </c>
      <c r="B401" s="4" t="inlineStr">
        <is>
          <t>Perfil de canto de aluminio, 12.5 mm</t>
        </is>
      </c>
      <c r="C401" s="7" t="inlineStr">
        <is>
          <t>unidad</t>
        </is>
      </c>
      <c r="D401" s="8" t="n"/>
      <c r="E401" s="8" t="n"/>
      <c r="F401" s="8" t="n"/>
      <c r="G401" s="8" t="n">
        <v>2100</v>
      </c>
      <c r="H401" s="8" t="n"/>
      <c r="I401" s="8" t="n"/>
      <c r="J401" s="8" t="n"/>
      <c r="K401" s="8" t="n"/>
      <c r="L401" s="8" t="n"/>
      <c r="M401" s="8">
        <f>IF(COUNT(D401:L401)=0,"",MIN(D401:L401))</f>
        <v/>
      </c>
      <c r="N401" s="8">
        <f>IF(COUNT(D401:L401)=0,"",MEDIAN(D401:L401))</f>
        <v/>
      </c>
      <c r="O401" s="8">
        <f>IF(COUNT(D401:L401)=0,"",MAX(D401:L401))</f>
        <v/>
      </c>
      <c r="P401" s="9">
        <f>IF(OR(M401="",M401=0),"",(O401-M401)/M401)</f>
        <v/>
      </c>
      <c r="Q401" s="7">
        <f>IF(COUNT(D401:L401)=0,"",INDEX($D$1:$L$1,MATCH(MIN(D401:L401),D401:L401,0)))</f>
        <v/>
      </c>
      <c r="R401" s="8" t="n">
        <v>2241.28</v>
      </c>
      <c r="S401" s="10" t="n">
        <v>1</v>
      </c>
    </row>
    <row r="402">
      <c r="A402" s="7" t="inlineStr">
        <is>
          <t>MAT-08-226</t>
        </is>
      </c>
      <c r="B402" s="4" t="inlineStr">
        <is>
          <t>Perfil de canto de aluminio, 13 mm</t>
        </is>
      </c>
      <c r="C402" s="7" t="inlineStr">
        <is>
          <t>unidad</t>
        </is>
      </c>
      <c r="D402" s="8" t="n"/>
      <c r="E402" s="8" t="n"/>
      <c r="F402" s="8" t="n"/>
      <c r="G402" s="8" t="n">
        <v>1699.99</v>
      </c>
      <c r="H402" s="8" t="n"/>
      <c r="I402" s="8" t="n"/>
      <c r="J402" s="8" t="n"/>
      <c r="K402" s="8" t="n"/>
      <c r="L402" s="8" t="n"/>
      <c r="M402" s="8">
        <f>IF(COUNT(D402:L402)=0,"",MIN(D402:L402))</f>
        <v/>
      </c>
      <c r="N402" s="8">
        <f>IF(COUNT(D402:L402)=0,"",MEDIAN(D402:L402))</f>
        <v/>
      </c>
      <c r="O402" s="8">
        <f>IF(COUNT(D402:L402)=0,"",MAX(D402:L402))</f>
        <v/>
      </c>
      <c r="P402" s="9">
        <f>IF(OR(M402="",M402=0),"",(O402-M402)/M402)</f>
        <v/>
      </c>
      <c r="Q402" s="7">
        <f>IF(COUNT(D402:L402)=0,"",INDEX($D$1:$L$1,MATCH(MIN(D402:L402),D402:L402,0)))</f>
        <v/>
      </c>
      <c r="R402" s="8" t="n">
        <v>1699.99</v>
      </c>
      <c r="S402" s="10" t="n">
        <v>1</v>
      </c>
    </row>
    <row r="403">
      <c r="A403" s="7" t="inlineStr">
        <is>
          <t>MAT-08-227</t>
        </is>
      </c>
      <c r="B403" s="4" t="inlineStr">
        <is>
          <t>Perfil de canto de aluminio, 2.7 mm</t>
        </is>
      </c>
      <c r="C403" s="7" t="inlineStr">
        <is>
          <t>unidad</t>
        </is>
      </c>
      <c r="D403" s="8" t="n"/>
      <c r="E403" s="8" t="n"/>
      <c r="F403" s="8" t="n"/>
      <c r="G403" s="8" t="n">
        <v>2500</v>
      </c>
      <c r="H403" s="8" t="n"/>
      <c r="I403" s="8" t="n"/>
      <c r="J403" s="8" t="n"/>
      <c r="K403" s="8" t="n"/>
      <c r="L403" s="8" t="n"/>
      <c r="M403" s="8">
        <f>IF(COUNT(D403:L403)=0,"",MIN(D403:L403))</f>
        <v/>
      </c>
      <c r="N403" s="8">
        <f>IF(COUNT(D403:L403)=0,"",MEDIAN(D403:L403))</f>
        <v/>
      </c>
      <c r="O403" s="8">
        <f>IF(COUNT(D403:L403)=0,"",MAX(D403:L403))</f>
        <v/>
      </c>
      <c r="P403" s="9">
        <f>IF(OR(M403="",M403=0),"",(O403-M403)/M403)</f>
        <v/>
      </c>
      <c r="Q403" s="7">
        <f>IF(COUNT(D403:L403)=0,"",INDEX($D$1:$L$1,MATCH(MIN(D403:L403),D403:L403,0)))</f>
        <v/>
      </c>
      <c r="R403" s="8" t="n">
        <v>2500</v>
      </c>
      <c r="S403" s="10" t="n">
        <v>1</v>
      </c>
    </row>
    <row r="404">
      <c r="A404" s="7" t="inlineStr">
        <is>
          <t>MAT-08-228</t>
        </is>
      </c>
      <c r="B404" s="4" t="inlineStr">
        <is>
          <t>Perfil de canto de aluminio, 20 mm</t>
        </is>
      </c>
      <c r="C404" s="7" t="inlineStr">
        <is>
          <t>unidad</t>
        </is>
      </c>
      <c r="D404" s="8" t="n">
        <v>775.1900000000001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>
        <f>IF(COUNT(D404:L404)=0,"",MIN(D404:L404))</f>
        <v/>
      </c>
      <c r="N404" s="8">
        <f>IF(COUNT(D404:L404)=0,"",MEDIAN(D404:L404))</f>
        <v/>
      </c>
      <c r="O404" s="8">
        <f>IF(COUNT(D404:L404)=0,"",MAX(D404:L404))</f>
        <v/>
      </c>
      <c r="P404" s="9">
        <f>IF(OR(M404="",M404=0),"",(O404-M404)/M404)</f>
        <v/>
      </c>
      <c r="Q404" s="7">
        <f>IF(COUNT(D404:L404)=0,"",INDEX($D$1:$L$1,MATCH(MIN(D404:L404),D404:L404,0)))</f>
        <v/>
      </c>
      <c r="R404" s="8" t="n">
        <v>1024.48</v>
      </c>
      <c r="S404" s="10" t="n">
        <v>1</v>
      </c>
    </row>
    <row r="405">
      <c r="A405" s="7" t="inlineStr">
        <is>
          <t>MAT-08-229</t>
        </is>
      </c>
      <c r="B405" s="4" t="inlineStr">
        <is>
          <t>Perfil de canto de aluminio, 25 mm</t>
        </is>
      </c>
      <c r="C405" s="7" t="inlineStr">
        <is>
          <t>unidad</t>
        </is>
      </c>
      <c r="D405" s="8" t="n">
        <v>627.91</v>
      </c>
      <c r="E405" s="8" t="n"/>
      <c r="F405" s="8" t="n"/>
      <c r="G405" s="8" t="n">
        <v>1750</v>
      </c>
      <c r="H405" s="8" t="n"/>
      <c r="I405" s="8" t="n"/>
      <c r="J405" s="8" t="n"/>
      <c r="K405" s="8" t="n"/>
      <c r="L405" s="8" t="n"/>
      <c r="M405" s="8">
        <f>IF(COUNT(D405:L405)=0,"",MIN(D405:L405))</f>
        <v/>
      </c>
      <c r="N405" s="8">
        <f>IF(COUNT(D405:L405)=0,"",MEDIAN(D405:L405))</f>
        <v/>
      </c>
      <c r="O405" s="8">
        <f>IF(COUNT(D405:L405)=0,"",MAX(D405:L405))</f>
        <v/>
      </c>
      <c r="P405" s="9">
        <f>IF(OR(M405="",M405=0),"",(O405-M405)/M405)</f>
        <v/>
      </c>
      <c r="Q405" s="7">
        <f>IF(COUNT(D405:L405)=0,"",INDEX($D$1:$L$1,MATCH(MIN(D405:L405),D405:L405,0)))</f>
        <v/>
      </c>
      <c r="R405" s="8" t="n">
        <v>2161.21</v>
      </c>
      <c r="S405" s="10" t="n">
        <v>2</v>
      </c>
    </row>
    <row r="406">
      <c r="A406" s="7" t="inlineStr">
        <is>
          <t>MAT-08-230</t>
        </is>
      </c>
      <c r="B406" s="4" t="inlineStr">
        <is>
          <t>Perfil de canto de aluminio, 70 mm</t>
        </is>
      </c>
      <c r="C406" s="7" t="inlineStr">
        <is>
          <t>unidad</t>
        </is>
      </c>
      <c r="D406" s="8" t="n"/>
      <c r="E406" s="8" t="n"/>
      <c r="F406" s="8" t="n"/>
      <c r="G406" s="8" t="n">
        <v>3400</v>
      </c>
      <c r="H406" s="8" t="n"/>
      <c r="I406" s="8" t="n"/>
      <c r="J406" s="8" t="n"/>
      <c r="K406" s="8" t="n"/>
      <c r="L406" s="8" t="n"/>
      <c r="M406" s="8">
        <f>IF(COUNT(D406:L406)=0,"",MIN(D406:L406))</f>
        <v/>
      </c>
      <c r="N406" s="8">
        <f>IF(COUNT(D406:L406)=0,"",MEDIAN(D406:L406))</f>
        <v/>
      </c>
      <c r="O406" s="8">
        <f>IF(COUNT(D406:L406)=0,"",MAX(D406:L406))</f>
        <v/>
      </c>
      <c r="P406" s="9">
        <f>IF(OR(M406="",M406=0),"",(O406-M406)/M406)</f>
        <v/>
      </c>
      <c r="Q406" s="7">
        <f>IF(COUNT(D406:L406)=0,"",INDEX($D$1:$L$1,MATCH(MIN(D406:L406),D406:L406,0)))</f>
        <v/>
      </c>
      <c r="R406" s="8" t="n">
        <v>4875</v>
      </c>
      <c r="S406" s="10" t="n">
        <v>1</v>
      </c>
    </row>
    <row r="407">
      <c r="A407" s="7" t="inlineStr">
        <is>
          <t>MAT-08-231</t>
        </is>
      </c>
      <c r="B407" s="4" t="inlineStr">
        <is>
          <t>Perfil de canto de aluminio, 9 mm</t>
        </is>
      </c>
      <c r="C407" s="7" t="inlineStr">
        <is>
          <t>unidad</t>
        </is>
      </c>
      <c r="D407" s="8" t="n"/>
      <c r="E407" s="8" t="n"/>
      <c r="F407" s="8" t="n"/>
      <c r="G407" s="8" t="n">
        <v>1189.99</v>
      </c>
      <c r="H407" s="8" t="n"/>
      <c r="I407" s="8" t="n"/>
      <c r="J407" s="8" t="n"/>
      <c r="K407" s="8" t="n"/>
      <c r="L407" s="8" t="n"/>
      <c r="M407" s="8">
        <f>IF(COUNT(D407:L407)=0,"",MIN(D407:L407))</f>
        <v/>
      </c>
      <c r="N407" s="8">
        <f>IF(COUNT(D407:L407)=0,"",MEDIAN(D407:L407))</f>
        <v/>
      </c>
      <c r="O407" s="8">
        <f>IF(COUNT(D407:L407)=0,"",MAX(D407:L407))</f>
        <v/>
      </c>
      <c r="P407" s="9">
        <f>IF(OR(M407="",M407=0),"",(O407-M407)/M407)</f>
        <v/>
      </c>
      <c r="Q407" s="7">
        <f>IF(COUNT(D407:L407)=0,"",INDEX($D$1:$L$1,MATCH(MIN(D407:L407),D407:L407,0)))</f>
        <v/>
      </c>
      <c r="R407" s="8" t="n">
        <v>1189.99</v>
      </c>
      <c r="S407" s="10" t="n">
        <v>1</v>
      </c>
    </row>
    <row r="408">
      <c r="A408" s="7" t="inlineStr">
        <is>
          <t>MAT-08-232</t>
        </is>
      </c>
      <c r="B408" s="4" t="inlineStr">
        <is>
          <t>Perfil de canto de fibra vegetal, 10 mm</t>
        </is>
      </c>
      <c r="C408" s="7" t="inlineStr">
        <is>
          <t>unidad</t>
        </is>
      </c>
      <c r="D408" s="8" t="n">
        <v>365.33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>
        <f>IF(COUNT(D408:L408)=0,"",MIN(D408:L408))</f>
        <v/>
      </c>
      <c r="N408" s="8">
        <f>IF(COUNT(D408:L408)=0,"",MEDIAN(D408:L408))</f>
        <v/>
      </c>
      <c r="O408" s="8">
        <f>IF(COUNT(D408:L408)=0,"",MAX(D408:L408))</f>
        <v/>
      </c>
      <c r="P408" s="9">
        <f>IF(OR(M408="",M408=0),"",(O408-M408)/M408)</f>
        <v/>
      </c>
      <c r="Q408" s="7">
        <f>IF(COUNT(D408:L408)=0,"",INDEX($D$1:$L$1,MATCH(MIN(D408:L408),D408:L408,0)))</f>
        <v/>
      </c>
      <c r="R408" s="8" t="n">
        <v>396.66</v>
      </c>
      <c r="S408" s="10" t="n">
        <v>1</v>
      </c>
    </row>
    <row r="409">
      <c r="A409" s="7" t="inlineStr">
        <is>
          <t>MAT-08-233</t>
        </is>
      </c>
      <c r="B409" s="4" t="inlineStr">
        <is>
          <t>Perfil de canto de latón, 10 mm</t>
        </is>
      </c>
      <c r="C409" s="7" t="inlineStr">
        <is>
          <t>unidad</t>
        </is>
      </c>
      <c r="D409" s="8" t="n"/>
      <c r="E409" s="8" t="n"/>
      <c r="F409" s="8" t="n"/>
      <c r="G409" s="8" t="n">
        <v>3254.44</v>
      </c>
      <c r="H409" s="8" t="n"/>
      <c r="I409" s="8" t="n"/>
      <c r="J409" s="8" t="n"/>
      <c r="K409" s="8" t="n"/>
      <c r="L409" s="8" t="n"/>
      <c r="M409" s="8">
        <f>IF(COUNT(D409:L409)=0,"",MIN(D409:L409))</f>
        <v/>
      </c>
      <c r="N409" s="8">
        <f>IF(COUNT(D409:L409)=0,"",MEDIAN(D409:L409))</f>
        <v/>
      </c>
      <c r="O409" s="8">
        <f>IF(COUNT(D409:L409)=0,"",MAX(D409:L409))</f>
        <v/>
      </c>
      <c r="P409" s="9">
        <f>IF(OR(M409="",M409=0),"",(O409-M409)/M409)</f>
        <v/>
      </c>
      <c r="Q409" s="7">
        <f>IF(COUNT(D409:L409)=0,"",INDEX($D$1:$L$1,MATCH(MIN(D409:L409),D409:L409,0)))</f>
        <v/>
      </c>
      <c r="R409" s="8" t="n">
        <v>3254.44</v>
      </c>
      <c r="S409" s="10" t="n">
        <v>1</v>
      </c>
    </row>
    <row r="410">
      <c r="A410" s="7" t="inlineStr">
        <is>
          <t>MAT-08-234</t>
        </is>
      </c>
      <c r="B410" s="4" t="inlineStr">
        <is>
          <t>Perfil de canto de PVC, 10 mm</t>
        </is>
      </c>
      <c r="C410" s="7" t="inlineStr">
        <is>
          <t>unidad</t>
        </is>
      </c>
      <c r="D410" s="8" t="n"/>
      <c r="E410" s="8" t="n">
        <v>291.88</v>
      </c>
      <c r="F410" s="8" t="n"/>
      <c r="G410" s="8" t="n">
        <v>590</v>
      </c>
      <c r="H410" s="8" t="n"/>
      <c r="I410" s="8" t="n"/>
      <c r="J410" s="8" t="n"/>
      <c r="K410" s="8" t="n"/>
      <c r="L410" s="8" t="n"/>
      <c r="M410" s="8">
        <f>IF(COUNT(D410:L410)=0,"",MIN(D410:L410))</f>
        <v/>
      </c>
      <c r="N410" s="8">
        <f>IF(COUNT(D410:L410)=0,"",MEDIAN(D410:L410))</f>
        <v/>
      </c>
      <c r="O410" s="8">
        <f>IF(COUNT(D410:L410)=0,"",MAX(D410:L410))</f>
        <v/>
      </c>
      <c r="P410" s="9">
        <f>IF(OR(M410="",M410=0),"",(O410-M410)/M410)</f>
        <v/>
      </c>
      <c r="Q410" s="7">
        <f>IF(COUNT(D410:L410)=0,"",INDEX($D$1:$L$1,MATCH(MIN(D410:L410),D410:L410,0)))</f>
        <v/>
      </c>
      <c r="R410" s="8" t="n">
        <v>393.6</v>
      </c>
      <c r="S410" s="10" t="n">
        <v>2</v>
      </c>
    </row>
    <row r="411">
      <c r="A411" s="7" t="inlineStr">
        <is>
          <t>MAT-08-235</t>
        </is>
      </c>
      <c r="B411" s="4" t="inlineStr">
        <is>
          <t>Perfil de canto de PVC, 5 mm</t>
        </is>
      </c>
      <c r="C411" s="7" t="inlineStr">
        <is>
          <t>unidad</t>
        </is>
      </c>
      <c r="D411" s="8" t="n">
        <v>66.68000000000001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>
        <f>IF(COUNT(D411:L411)=0,"",MIN(D411:L411))</f>
        <v/>
      </c>
      <c r="N411" s="8">
        <f>IF(COUNT(D411:L411)=0,"",MEDIAN(D411:L411))</f>
        <v/>
      </c>
      <c r="O411" s="8">
        <f>IF(COUNT(D411:L411)=0,"",MAX(D411:L411))</f>
        <v/>
      </c>
      <c r="P411" s="9">
        <f>IF(OR(M411="",M411=0),"",(O411-M411)/M411)</f>
        <v/>
      </c>
      <c r="Q411" s="7">
        <f>IF(COUNT(D411:L411)=0,"",INDEX($D$1:$L$1,MATCH(MIN(D411:L411),D411:L411,0)))</f>
        <v/>
      </c>
      <c r="R411" s="8" t="n">
        <v>67.81999999999999</v>
      </c>
      <c r="S411" s="10" t="n">
        <v>1</v>
      </c>
    </row>
    <row r="412">
      <c r="A412" s="7" t="inlineStr">
        <is>
          <t>MAT-08-236</t>
        </is>
      </c>
      <c r="B412" s="4" t="inlineStr">
        <is>
          <t>Perfil de canto de PVC, 8 mm</t>
        </is>
      </c>
      <c r="C412" s="7" t="inlineStr">
        <is>
          <t>unidad</t>
        </is>
      </c>
      <c r="D412" s="8" t="n"/>
      <c r="E412" s="8" t="n"/>
      <c r="F412" s="8" t="n">
        <v>248</v>
      </c>
      <c r="G412" s="8" t="n"/>
      <c r="H412" s="8" t="n"/>
      <c r="I412" s="8" t="n"/>
      <c r="J412" s="8" t="n"/>
      <c r="K412" s="8" t="n"/>
      <c r="L412" s="8" t="n"/>
      <c r="M412" s="8">
        <f>IF(COUNT(D412:L412)=0,"",MIN(D412:L412))</f>
        <v/>
      </c>
      <c r="N412" s="8">
        <f>IF(COUNT(D412:L412)=0,"",MEDIAN(D412:L412))</f>
        <v/>
      </c>
      <c r="O412" s="8">
        <f>IF(COUNT(D412:L412)=0,"",MAX(D412:L412))</f>
        <v/>
      </c>
      <c r="P412" s="9">
        <f>IF(OR(M412="",M412=0),"",(O412-M412)/M412)</f>
        <v/>
      </c>
      <c r="Q412" s="7">
        <f>IF(COUNT(D412:L412)=0,"",INDEX($D$1:$L$1,MATCH(MIN(D412:L412),D412:L412,0)))</f>
        <v/>
      </c>
      <c r="R412" s="8" t="n">
        <v>248</v>
      </c>
      <c r="S412" s="10" t="n">
        <v>1</v>
      </c>
    </row>
    <row r="413">
      <c r="A413" s="7" t="inlineStr">
        <is>
          <t>MAT-08-237</t>
        </is>
      </c>
      <c r="B413" s="4" t="inlineStr">
        <is>
          <t>Perfil de canto de PVC, 8.5 mm</t>
        </is>
      </c>
      <c r="C413" s="7" t="inlineStr">
        <is>
          <t>unidad</t>
        </is>
      </c>
      <c r="D413" s="8" t="n">
        <v>66.61</v>
      </c>
      <c r="E413" s="8" t="n"/>
      <c r="F413" s="8" t="n"/>
      <c r="G413" s="8" t="n">
        <v>224.99</v>
      </c>
      <c r="H413" s="8" t="n"/>
      <c r="I413" s="8" t="n"/>
      <c r="J413" s="8" t="n"/>
      <c r="K413" s="8" t="n"/>
      <c r="L413" s="8" t="n"/>
      <c r="M413" s="8">
        <f>IF(COUNT(D413:L413)=0,"",MIN(D413:L413))</f>
        <v/>
      </c>
      <c r="N413" s="8">
        <f>IF(COUNT(D413:L413)=0,"",MEDIAN(D413:L413))</f>
        <v/>
      </c>
      <c r="O413" s="8">
        <f>IF(COUNT(D413:L413)=0,"",MAX(D413:L413))</f>
        <v/>
      </c>
      <c r="P413" s="9">
        <f>IF(OR(M413="",M413=0),"",(O413-M413)/M413)</f>
        <v/>
      </c>
      <c r="Q413" s="7">
        <f>IF(COUNT(D413:L413)=0,"",INDEX($D$1:$L$1,MATCH(MIN(D413:L413),D413:L413,0)))</f>
        <v/>
      </c>
      <c r="R413" s="8" t="n">
        <v>71.09</v>
      </c>
      <c r="S413" s="10" t="n">
        <v>2</v>
      </c>
    </row>
    <row r="414">
      <c r="A414" s="7" t="inlineStr">
        <is>
          <t>MAT-08-238</t>
        </is>
      </c>
      <c r="B414" s="4" t="inlineStr">
        <is>
          <t>Junta de dilatación de aluminio, 12 mm</t>
        </is>
      </c>
      <c r="C414" s="7" t="inlineStr">
        <is>
          <t>unidad</t>
        </is>
      </c>
      <c r="D414" s="8" t="n"/>
      <c r="E414" s="8" t="n"/>
      <c r="F414" s="8" t="n"/>
      <c r="G414" s="8" t="n">
        <v>5822.12</v>
      </c>
      <c r="H414" s="8" t="n"/>
      <c r="I414" s="8" t="n"/>
      <c r="J414" s="8" t="n"/>
      <c r="K414" s="8" t="n"/>
      <c r="L414" s="8" t="n"/>
      <c r="M414" s="8">
        <f>IF(COUNT(D414:L414)=0,"",MIN(D414:L414))</f>
        <v/>
      </c>
      <c r="N414" s="8">
        <f>IF(COUNT(D414:L414)=0,"",MEDIAN(D414:L414))</f>
        <v/>
      </c>
      <c r="O414" s="8">
        <f>IF(COUNT(D414:L414)=0,"",MAX(D414:L414))</f>
        <v/>
      </c>
      <c r="P414" s="9">
        <f>IF(OR(M414="",M414=0),"",(O414-M414)/M414)</f>
        <v/>
      </c>
      <c r="Q414" s="7">
        <f>IF(COUNT(D414:L414)=0,"",INDEX($D$1:$L$1,MATCH(MIN(D414:L414),D414:L414,0)))</f>
        <v/>
      </c>
      <c r="R414" s="8" t="n">
        <v>7649.35</v>
      </c>
      <c r="S414" s="10" t="n">
        <v>1</v>
      </c>
    </row>
    <row r="415">
      <c r="A415" s="7" t="inlineStr">
        <is>
          <t>MAT-08-239</t>
        </is>
      </c>
      <c r="B415" s="4" t="inlineStr">
        <is>
          <t>Junta de dilatación de aluminio, 14 mm</t>
        </is>
      </c>
      <c r="C415" s="7" t="inlineStr">
        <is>
          <t>unidad</t>
        </is>
      </c>
      <c r="D415" s="8" t="n"/>
      <c r="E415" s="8" t="n"/>
      <c r="F415" s="8" t="n"/>
      <c r="G415" s="8" t="n">
        <v>1589.99</v>
      </c>
      <c r="H415" s="8" t="n"/>
      <c r="I415" s="8" t="n"/>
      <c r="J415" s="8" t="n"/>
      <c r="K415" s="8" t="n"/>
      <c r="L415" s="8" t="n"/>
      <c r="M415" s="8">
        <f>IF(COUNT(D415:L415)=0,"",MIN(D415:L415))</f>
        <v/>
      </c>
      <c r="N415" s="8">
        <f>IF(COUNT(D415:L415)=0,"",MEDIAN(D415:L415))</f>
        <v/>
      </c>
      <c r="O415" s="8">
        <f>IF(COUNT(D415:L415)=0,"",MAX(D415:L415))</f>
        <v/>
      </c>
      <c r="P415" s="9">
        <f>IF(OR(M415="",M415=0),"",(O415-M415)/M415)</f>
        <v/>
      </c>
      <c r="Q415" s="7">
        <f>IF(COUNT(D415:L415)=0,"",INDEX($D$1:$L$1,MATCH(MIN(D415:L415),D415:L415,0)))</f>
        <v/>
      </c>
      <c r="R415" s="8" t="n">
        <v>1589.99</v>
      </c>
      <c r="S415" s="10" t="n">
        <v>1</v>
      </c>
    </row>
    <row r="416">
      <c r="A416" s="7" t="inlineStr">
        <is>
          <t>MAT-08-240</t>
        </is>
      </c>
      <c r="B416" s="4" t="inlineStr">
        <is>
          <t>Junta de dilatación de aluminio, 26 mm</t>
        </is>
      </c>
      <c r="C416" s="7" t="inlineStr">
        <is>
          <t>unidad</t>
        </is>
      </c>
      <c r="D416" s="8" t="n"/>
      <c r="E416" s="8" t="n"/>
      <c r="F416" s="8" t="n"/>
      <c r="G416" s="8" t="n">
        <v>6400</v>
      </c>
      <c r="H416" s="8" t="n"/>
      <c r="I416" s="8" t="n"/>
      <c r="J416" s="8" t="n"/>
      <c r="K416" s="8" t="n"/>
      <c r="L416" s="8" t="n"/>
      <c r="M416" s="8">
        <f>IF(COUNT(D416:L416)=0,"",MIN(D416:L416))</f>
        <v/>
      </c>
      <c r="N416" s="8">
        <f>IF(COUNT(D416:L416)=0,"",MEDIAN(D416:L416))</f>
        <v/>
      </c>
      <c r="O416" s="8">
        <f>IF(COUNT(D416:L416)=0,"",MAX(D416:L416))</f>
        <v/>
      </c>
      <c r="P416" s="9">
        <f>IF(OR(M416="",M416=0),"",(O416-M416)/M416)</f>
        <v/>
      </c>
      <c r="Q416" s="7">
        <f>IF(COUNT(D416:L416)=0,"",INDEX($D$1:$L$1,MATCH(MIN(D416:L416),D416:L416,0)))</f>
        <v/>
      </c>
      <c r="R416" s="8" t="n">
        <v>6400</v>
      </c>
      <c r="S416" s="10" t="n">
        <v>1</v>
      </c>
    </row>
    <row r="417">
      <c r="A417" s="7" t="inlineStr">
        <is>
          <t>MAT-08-241</t>
        </is>
      </c>
      <c r="B417" s="4" t="inlineStr">
        <is>
          <t>Junta de dilatación de PVC, 25 mm</t>
        </is>
      </c>
      <c r="C417" s="7" t="inlineStr">
        <is>
          <t>unidad</t>
        </is>
      </c>
      <c r="D417" s="8" t="n"/>
      <c r="E417" s="8" t="n"/>
      <c r="F417" s="8" t="n"/>
      <c r="G417" s="8" t="n">
        <v>1100</v>
      </c>
      <c r="H417" s="8" t="n"/>
      <c r="I417" s="8" t="n"/>
      <c r="J417" s="8" t="n"/>
      <c r="K417" s="8" t="n"/>
      <c r="L417" s="8" t="n"/>
      <c r="M417" s="8">
        <f>IF(COUNT(D417:L417)=0,"",MIN(D417:L417))</f>
        <v/>
      </c>
      <c r="N417" s="8">
        <f>IF(COUNT(D417:L417)=0,"",MEDIAN(D417:L417))</f>
        <v/>
      </c>
      <c r="O417" s="8">
        <f>IF(COUNT(D417:L417)=0,"",MAX(D417:L417))</f>
        <v/>
      </c>
      <c r="P417" s="9">
        <f>IF(OR(M417="",M417=0),"",(O417-M417)/M417)</f>
        <v/>
      </c>
      <c r="Q417" s="7">
        <f>IF(COUNT(D417:L417)=0,"",INDEX($D$1:$L$1,MATCH(MIN(D417:L417),D417:L417,0)))</f>
        <v/>
      </c>
      <c r="R417" s="8" t="n">
        <v>1100</v>
      </c>
      <c r="S417" s="10" t="n">
        <v>1</v>
      </c>
    </row>
    <row r="418">
      <c r="A418" s="7" t="inlineStr">
        <is>
          <t>MAT-08-242</t>
        </is>
      </c>
      <c r="B418" s="4" t="inlineStr">
        <is>
          <t>Junta de dilatación de PVC, 8 mm</t>
        </is>
      </c>
      <c r="C418" s="7" t="inlineStr">
        <is>
          <t>unidad</t>
        </is>
      </c>
      <c r="D418" s="8" t="n"/>
      <c r="E418" s="8" t="n"/>
      <c r="F418" s="8" t="n"/>
      <c r="G418" s="8" t="n">
        <v>490</v>
      </c>
      <c r="H418" s="8" t="n"/>
      <c r="I418" s="8" t="n"/>
      <c r="J418" s="8" t="n"/>
      <c r="K418" s="8" t="n"/>
      <c r="L418" s="8" t="n"/>
      <c r="M418" s="8">
        <f>IF(COUNT(D418:L418)=0,"",MIN(D418:L418))</f>
        <v/>
      </c>
      <c r="N418" s="8">
        <f>IF(COUNT(D418:L418)=0,"",MEDIAN(D418:L418))</f>
        <v/>
      </c>
      <c r="O418" s="8">
        <f>IF(COUNT(D418:L418)=0,"",MAX(D418:L418))</f>
        <v/>
      </c>
      <c r="P418" s="9">
        <f>IF(OR(M418="",M418=0),"",(O418-M418)/M418)</f>
        <v/>
      </c>
      <c r="Q418" s="7">
        <f>IF(COUNT(D418:L418)=0,"",INDEX($D$1:$L$1,MATCH(MIN(D418:L418),D418:L418,0)))</f>
        <v/>
      </c>
      <c r="R418" s="8" t="n">
        <v>720</v>
      </c>
      <c r="S418" s="10" t="n">
        <v>1</v>
      </c>
    </row>
    <row r="419">
      <c r="A419" s="7" t="inlineStr">
        <is>
          <t>MAT-08-243</t>
        </is>
      </c>
      <c r="B419" s="4" t="inlineStr">
        <is>
          <t>Perfil de peldaño de aluminio, 12 mm</t>
        </is>
      </c>
      <c r="C419" s="7" t="inlineStr">
        <is>
          <t>unidad</t>
        </is>
      </c>
      <c r="D419" s="8" t="n"/>
      <c r="E419" s="8" t="n"/>
      <c r="F419" s="8" t="n"/>
      <c r="G419" s="8" t="n">
        <v>2190</v>
      </c>
      <c r="H419" s="8" t="n"/>
      <c r="I419" s="8" t="n"/>
      <c r="J419" s="8" t="n"/>
      <c r="K419" s="8" t="n"/>
      <c r="L419" s="8" t="n"/>
      <c r="M419" s="8">
        <f>IF(COUNT(D419:L419)=0,"",MIN(D419:L419))</f>
        <v/>
      </c>
      <c r="N419" s="8">
        <f>IF(COUNT(D419:L419)=0,"",MEDIAN(D419:L419))</f>
        <v/>
      </c>
      <c r="O419" s="8">
        <f>IF(COUNT(D419:L419)=0,"",MAX(D419:L419))</f>
        <v/>
      </c>
      <c r="P419" s="9">
        <f>IF(OR(M419="",M419=0),"",(O419-M419)/M419)</f>
        <v/>
      </c>
      <c r="Q419" s="7">
        <f>IF(COUNT(D419:L419)=0,"",INDEX($D$1:$L$1,MATCH(MIN(D419:L419),D419:L419,0)))</f>
        <v/>
      </c>
      <c r="R419" s="8" t="n">
        <v>3592.5</v>
      </c>
      <c r="S419" s="10" t="n">
        <v>1</v>
      </c>
    </row>
    <row r="420">
      <c r="A420" s="7" t="inlineStr">
        <is>
          <t>MAT-08-244</t>
        </is>
      </c>
      <c r="B420" s="4" t="inlineStr">
        <is>
          <t>Perfil de peldaño de aluminio, 48 mm</t>
        </is>
      </c>
      <c r="C420" s="7" t="inlineStr">
        <is>
          <t>unidad</t>
        </is>
      </c>
      <c r="D420" s="8" t="n"/>
      <c r="E420" s="8" t="n"/>
      <c r="F420" s="8" t="n"/>
      <c r="G420" s="8" t="n">
        <v>6525</v>
      </c>
      <c r="H420" s="8" t="n"/>
      <c r="I420" s="8" t="n"/>
      <c r="J420" s="8" t="n"/>
      <c r="K420" s="8" t="n"/>
      <c r="L420" s="8" t="n"/>
      <c r="M420" s="8">
        <f>IF(COUNT(D420:L420)=0,"",MIN(D420:L420))</f>
        <v/>
      </c>
      <c r="N420" s="8">
        <f>IF(COUNT(D420:L420)=0,"",MEDIAN(D420:L420))</f>
        <v/>
      </c>
      <c r="O420" s="8">
        <f>IF(COUNT(D420:L420)=0,"",MAX(D420:L420))</f>
        <v/>
      </c>
      <c r="P420" s="9">
        <f>IF(OR(M420="",M420=0),"",(O420-M420)/M420)</f>
        <v/>
      </c>
      <c r="Q420" s="7">
        <f>IF(COUNT(D420:L420)=0,"",INDEX($D$1:$L$1,MATCH(MIN(D420:L420),D420:L420,0)))</f>
        <v/>
      </c>
      <c r="R420" s="8" t="n">
        <v>6525</v>
      </c>
      <c r="S420" s="10" t="n">
        <v>1</v>
      </c>
    </row>
    <row r="421">
      <c r="A421" s="7" t="inlineStr">
        <is>
          <t>MAT-08-245</t>
        </is>
      </c>
      <c r="B421" s="4" t="inlineStr">
        <is>
          <t>Perfil de peldaño de aluminio, 65 mm</t>
        </is>
      </c>
      <c r="C421" s="7" t="inlineStr">
        <is>
          <t>unidad</t>
        </is>
      </c>
      <c r="D421" s="8" t="n"/>
      <c r="E421" s="8" t="n"/>
      <c r="F421" s="8" t="n"/>
      <c r="G421" s="8" t="n">
        <v>4893.46</v>
      </c>
      <c r="H421" s="8" t="n"/>
      <c r="I421" s="8" t="n"/>
      <c r="J421" s="8" t="n"/>
      <c r="K421" s="8" t="n"/>
      <c r="L421" s="8" t="n"/>
      <c r="M421" s="8">
        <f>IF(COUNT(D421:L421)=0,"",MIN(D421:L421))</f>
        <v/>
      </c>
      <c r="N421" s="8">
        <f>IF(COUNT(D421:L421)=0,"",MEDIAN(D421:L421))</f>
        <v/>
      </c>
      <c r="O421" s="8">
        <f>IF(COUNT(D421:L421)=0,"",MAX(D421:L421))</f>
        <v/>
      </c>
      <c r="P421" s="9">
        <f>IF(OR(M421="",M421=0),"",(O421-M421)/M421)</f>
        <v/>
      </c>
      <c r="Q421" s="7">
        <f>IF(COUNT(D421:L421)=0,"",INDEX($D$1:$L$1,MATCH(MIN(D421:L421),D421:L421,0)))</f>
        <v/>
      </c>
      <c r="R421" s="8" t="n">
        <v>4893.46</v>
      </c>
      <c r="S421" s="10" t="n">
        <v>1</v>
      </c>
    </row>
    <row r="422">
      <c r="A422" s="7" t="inlineStr">
        <is>
          <t>MAT-08-246</t>
        </is>
      </c>
      <c r="B422" s="4" t="inlineStr">
        <is>
          <t>Cruceta para cerámica 1.5 mm, funda de 100</t>
        </is>
      </c>
      <c r="C422" s="7" t="inlineStr">
        <is>
          <t>funda</t>
        </is>
      </c>
      <c r="D422" s="8" t="n">
        <v>47.83</v>
      </c>
      <c r="E422" s="8" t="n"/>
      <c r="F422" s="8" t="n"/>
      <c r="G422" s="8" t="n">
        <v>100.01</v>
      </c>
      <c r="H422" s="8" t="n"/>
      <c r="I422" s="8" t="n"/>
      <c r="J422" s="8" t="n"/>
      <c r="K422" s="8" t="n"/>
      <c r="L422" s="8" t="n"/>
      <c r="M422" s="8">
        <f>IF(COUNT(D422:L422)=0,"",MIN(D422:L422))</f>
        <v/>
      </c>
      <c r="N422" s="8">
        <f>IF(COUNT(D422:L422)=0,"",MEDIAN(D422:L422))</f>
        <v/>
      </c>
      <c r="O422" s="8">
        <f>IF(COUNT(D422:L422)=0,"",MAX(D422:L422))</f>
        <v/>
      </c>
      <c r="P422" s="9">
        <f>IF(OR(M422="",M422=0),"",(O422-M422)/M422)</f>
        <v/>
      </c>
      <c r="Q422" s="7">
        <f>IF(COUNT(D422:L422)=0,"",INDEX($D$1:$L$1,MATCH(MIN(D422:L422),D422:L422,0)))</f>
        <v/>
      </c>
      <c r="R422" s="8" t="n">
        <v>73.92</v>
      </c>
      <c r="S422" s="10" t="n">
        <v>2</v>
      </c>
    </row>
    <row r="423">
      <c r="A423" s="7" t="inlineStr">
        <is>
          <t>MAT-08-247</t>
        </is>
      </c>
      <c r="B423" s="4" t="inlineStr">
        <is>
          <t>Cruceta para cerámica 1.5 mm, funda de 250</t>
        </is>
      </c>
      <c r="C423" s="7" t="inlineStr">
        <is>
          <t>funda</t>
        </is>
      </c>
      <c r="D423" s="8" t="n"/>
      <c r="E423" s="8" t="n"/>
      <c r="F423" s="8" t="n"/>
      <c r="G423" s="8" t="n">
        <v>114.99</v>
      </c>
      <c r="H423" s="8" t="n"/>
      <c r="I423" s="8" t="n"/>
      <c r="J423" s="8" t="n"/>
      <c r="K423" s="8" t="n"/>
      <c r="L423" s="8" t="n"/>
      <c r="M423" s="8">
        <f>IF(COUNT(D423:L423)=0,"",MIN(D423:L423))</f>
        <v/>
      </c>
      <c r="N423" s="8">
        <f>IF(COUNT(D423:L423)=0,"",MEDIAN(D423:L423))</f>
        <v/>
      </c>
      <c r="O423" s="8">
        <f>IF(COUNT(D423:L423)=0,"",MAX(D423:L423))</f>
        <v/>
      </c>
      <c r="P423" s="9">
        <f>IF(OR(M423="",M423=0),"",(O423-M423)/M423)</f>
        <v/>
      </c>
      <c r="Q423" s="7">
        <f>IF(COUNT(D423:L423)=0,"",INDEX($D$1:$L$1,MATCH(MIN(D423:L423),D423:L423,0)))</f>
        <v/>
      </c>
      <c r="R423" s="8" t="n">
        <v>114.99</v>
      </c>
      <c r="S423" s="10" t="n">
        <v>1</v>
      </c>
    </row>
    <row r="424">
      <c r="A424" s="7" t="inlineStr">
        <is>
          <t>MAT-08-248</t>
        </is>
      </c>
      <c r="B424" s="4" t="inlineStr">
        <is>
          <t>Cruceta para cerámica 1.5 mm, funda de 300</t>
        </is>
      </c>
      <c r="C424" s="7" t="inlineStr">
        <is>
          <t>funda</t>
        </is>
      </c>
      <c r="D424" s="8" t="n">
        <v>233.76</v>
      </c>
      <c r="E424" s="8" t="n"/>
      <c r="F424" s="8" t="n">
        <v>165</v>
      </c>
      <c r="G424" s="8" t="n"/>
      <c r="H424" s="8" t="n"/>
      <c r="I424" s="8" t="n"/>
      <c r="J424" s="8" t="n"/>
      <c r="K424" s="8" t="n"/>
      <c r="L424" s="8" t="n"/>
      <c r="M424" s="8">
        <f>IF(COUNT(D424:L424)=0,"",MIN(D424:L424))</f>
        <v/>
      </c>
      <c r="N424" s="8">
        <f>IF(COUNT(D424:L424)=0,"",MEDIAN(D424:L424))</f>
        <v/>
      </c>
      <c r="O424" s="8">
        <f>IF(COUNT(D424:L424)=0,"",MAX(D424:L424))</f>
        <v/>
      </c>
      <c r="P424" s="9">
        <f>IF(OR(M424="",M424=0),"",(O424-M424)/M424)</f>
        <v/>
      </c>
      <c r="Q424" s="7">
        <f>IF(COUNT(D424:L424)=0,"",INDEX($D$1:$L$1,MATCH(MIN(D424:L424),D424:L424,0)))</f>
        <v/>
      </c>
      <c r="R424" s="8" t="n">
        <v>233.76</v>
      </c>
      <c r="S424" s="10" t="n">
        <v>2</v>
      </c>
    </row>
    <row r="425">
      <c r="A425" s="7" t="inlineStr">
        <is>
          <t>MAT-08-249</t>
        </is>
      </c>
      <c r="B425" s="4" t="inlineStr">
        <is>
          <t>Cruceta para cerámica 1 mm, funda de 100</t>
        </is>
      </c>
      <c r="C425" s="7" t="inlineStr">
        <is>
          <t>funda</t>
        </is>
      </c>
      <c r="D425" s="8" t="n">
        <v>42.56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>
        <f>IF(COUNT(D425:L425)=0,"",MIN(D425:L425))</f>
        <v/>
      </c>
      <c r="N425" s="8">
        <f>IF(COUNT(D425:L425)=0,"",MEDIAN(D425:L425))</f>
        <v/>
      </c>
      <c r="O425" s="8">
        <f>IF(COUNT(D425:L425)=0,"",MAX(D425:L425))</f>
        <v/>
      </c>
      <c r="P425" s="9">
        <f>IF(OR(M425="",M425=0),"",(O425-M425)/M425)</f>
        <v/>
      </c>
      <c r="Q425" s="7">
        <f>IF(COUNT(D425:L425)=0,"",INDEX($D$1:$L$1,MATCH(MIN(D425:L425),D425:L425,0)))</f>
        <v/>
      </c>
      <c r="R425" s="8" t="n">
        <v>42.56</v>
      </c>
      <c r="S425" s="10" t="n">
        <v>1</v>
      </c>
    </row>
    <row r="426">
      <c r="A426" s="7" t="inlineStr">
        <is>
          <t>MAT-08-250</t>
        </is>
      </c>
      <c r="B426" s="4" t="inlineStr">
        <is>
          <t>Cruceta para cerámica 1 mm, funda de 300</t>
        </is>
      </c>
      <c r="C426" s="7" t="inlineStr">
        <is>
          <t>funda</t>
        </is>
      </c>
      <c r="D426" s="8" t="n">
        <v>10608.65</v>
      </c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>
        <f>IF(COUNT(D426:L426)=0,"",MIN(D426:L426))</f>
        <v/>
      </c>
      <c r="N426" s="8">
        <f>IF(COUNT(D426:L426)=0,"",MEDIAN(D426:L426))</f>
        <v/>
      </c>
      <c r="O426" s="8">
        <f>IF(COUNT(D426:L426)=0,"",MAX(D426:L426))</f>
        <v/>
      </c>
      <c r="P426" s="9">
        <f>IF(OR(M426="",M426=0),"",(O426-M426)/M426)</f>
        <v/>
      </c>
      <c r="Q426" s="7">
        <f>IF(COUNT(D426:L426)=0,"",INDEX($D$1:$L$1,MATCH(MIN(D426:L426),D426:L426,0)))</f>
        <v/>
      </c>
      <c r="R426" s="8" t="n">
        <v>10608.65</v>
      </c>
      <c r="S426" s="10" t="n">
        <v>1</v>
      </c>
    </row>
    <row r="427">
      <c r="A427" s="7" t="inlineStr">
        <is>
          <t>MAT-08-251</t>
        </is>
      </c>
      <c r="B427" s="4" t="inlineStr">
        <is>
          <t>Cruceta para cerámica 2 mm, funda de 100</t>
        </is>
      </c>
      <c r="C427" s="7" t="inlineStr">
        <is>
          <t>funda</t>
        </is>
      </c>
      <c r="D427" s="8" t="n">
        <v>52.3</v>
      </c>
      <c r="E427" s="8" t="n"/>
      <c r="F427" s="8" t="n"/>
      <c r="G427" s="8" t="n">
        <v>100.01</v>
      </c>
      <c r="H427" s="8" t="n"/>
      <c r="I427" s="8" t="n"/>
      <c r="J427" s="8" t="n"/>
      <c r="K427" s="8" t="n"/>
      <c r="L427" s="8" t="n"/>
      <c r="M427" s="8">
        <f>IF(COUNT(D427:L427)=0,"",MIN(D427:L427))</f>
        <v/>
      </c>
      <c r="N427" s="8">
        <f>IF(COUNT(D427:L427)=0,"",MEDIAN(D427:L427))</f>
        <v/>
      </c>
      <c r="O427" s="8">
        <f>IF(COUNT(D427:L427)=0,"",MAX(D427:L427))</f>
        <v/>
      </c>
      <c r="P427" s="9">
        <f>IF(OR(M427="",M427=0),"",(O427-M427)/M427)</f>
        <v/>
      </c>
      <c r="Q427" s="7">
        <f>IF(COUNT(D427:L427)=0,"",INDEX($D$1:$L$1,MATCH(MIN(D427:L427),D427:L427,0)))</f>
        <v/>
      </c>
      <c r="R427" s="8" t="n">
        <v>76.16</v>
      </c>
      <c r="S427" s="10" t="n">
        <v>2</v>
      </c>
    </row>
    <row r="428">
      <c r="A428" s="7" t="inlineStr">
        <is>
          <t>MAT-08-252</t>
        </is>
      </c>
      <c r="B428" s="4" t="inlineStr">
        <is>
          <t>Cruceta para cerámica 2 mm, funda de 300</t>
        </is>
      </c>
      <c r="C428" s="7" t="inlineStr">
        <is>
          <t>funda</t>
        </is>
      </c>
      <c r="D428" s="8" t="n">
        <v>12274.78</v>
      </c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>
        <f>IF(COUNT(D428:L428)=0,"",MIN(D428:L428))</f>
        <v/>
      </c>
      <c r="N428" s="8">
        <f>IF(COUNT(D428:L428)=0,"",MEDIAN(D428:L428))</f>
        <v/>
      </c>
      <c r="O428" s="8">
        <f>IF(COUNT(D428:L428)=0,"",MAX(D428:L428))</f>
        <v/>
      </c>
      <c r="P428" s="9">
        <f>IF(OR(M428="",M428=0),"",(O428-M428)/M428)</f>
        <v/>
      </c>
      <c r="Q428" s="7">
        <f>IF(COUNT(D428:L428)=0,"",INDEX($D$1:$L$1,MATCH(MIN(D428:L428),D428:L428,0)))</f>
        <v/>
      </c>
      <c r="R428" s="8" t="n">
        <v>12274.78</v>
      </c>
      <c r="S428" s="10" t="n">
        <v>1</v>
      </c>
    </row>
    <row r="429">
      <c r="A429" s="7" t="inlineStr">
        <is>
          <t>MAT-08-253</t>
        </is>
      </c>
      <c r="B429" s="4" t="inlineStr">
        <is>
          <t>Cruceta para cerámica 2 mm, funda de 500</t>
        </is>
      </c>
      <c r="C429" s="7" t="inlineStr">
        <is>
          <t>funda</t>
        </is>
      </c>
      <c r="D429" s="8" t="n"/>
      <c r="E429" s="8" t="n">
        <v>315.32</v>
      </c>
      <c r="F429" s="8" t="n"/>
      <c r="G429" s="8" t="n"/>
      <c r="H429" s="8" t="n"/>
      <c r="I429" s="8" t="n"/>
      <c r="J429" s="8" t="n"/>
      <c r="K429" s="8" t="n"/>
      <c r="L429" s="8" t="n"/>
      <c r="M429" s="8">
        <f>IF(COUNT(D429:L429)=0,"",MIN(D429:L429))</f>
        <v/>
      </c>
      <c r="N429" s="8">
        <f>IF(COUNT(D429:L429)=0,"",MEDIAN(D429:L429))</f>
        <v/>
      </c>
      <c r="O429" s="8">
        <f>IF(COUNT(D429:L429)=0,"",MAX(D429:L429))</f>
        <v/>
      </c>
      <c r="P429" s="9">
        <f>IF(OR(M429="",M429=0),"",(O429-M429)/M429)</f>
        <v/>
      </c>
      <c r="Q429" s="7">
        <f>IF(COUNT(D429:L429)=0,"",INDEX($D$1:$L$1,MATCH(MIN(D429:L429),D429:L429,0)))</f>
        <v/>
      </c>
      <c r="R429" s="8" t="n">
        <v>374.71</v>
      </c>
      <c r="S429" s="10" t="n">
        <v>1</v>
      </c>
    </row>
    <row r="430">
      <c r="A430" s="7" t="inlineStr">
        <is>
          <t>MAT-08-254</t>
        </is>
      </c>
      <c r="B430" s="4" t="inlineStr">
        <is>
          <t>Cruceta para cerámica 3 mm, funda de 100</t>
        </is>
      </c>
      <c r="C430" s="7" t="inlineStr">
        <is>
          <t>funda</t>
        </is>
      </c>
      <c r="D430" s="8" t="n">
        <v>61.54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>
        <f>IF(COUNT(D430:L430)=0,"",MIN(D430:L430))</f>
        <v/>
      </c>
      <c r="N430" s="8">
        <f>IF(COUNT(D430:L430)=0,"",MEDIAN(D430:L430))</f>
        <v/>
      </c>
      <c r="O430" s="8">
        <f>IF(COUNT(D430:L430)=0,"",MAX(D430:L430))</f>
        <v/>
      </c>
      <c r="P430" s="9">
        <f>IF(OR(M430="",M430=0),"",(O430-M430)/M430)</f>
        <v/>
      </c>
      <c r="Q430" s="7">
        <f>IF(COUNT(D430:L430)=0,"",INDEX($D$1:$L$1,MATCH(MIN(D430:L430),D430:L430,0)))</f>
        <v/>
      </c>
      <c r="R430" s="8" t="n">
        <v>61.54</v>
      </c>
      <c r="S430" s="10" t="n">
        <v>1</v>
      </c>
    </row>
    <row r="431">
      <c r="A431" s="7" t="inlineStr">
        <is>
          <t>MAT-08-255</t>
        </is>
      </c>
      <c r="B431" s="4" t="inlineStr">
        <is>
          <t>Cruceta para cerámica 3 mm, funda de 200</t>
        </is>
      </c>
      <c r="C431" s="7" t="inlineStr">
        <is>
          <t>funda</t>
        </is>
      </c>
      <c r="D431" s="8" t="n">
        <v>252.59</v>
      </c>
      <c r="E431" s="8" t="n"/>
      <c r="F431" s="8" t="n">
        <v>340</v>
      </c>
      <c r="G431" s="8" t="n">
        <v>249.99</v>
      </c>
      <c r="H431" s="8" t="n"/>
      <c r="I431" s="8" t="n"/>
      <c r="J431" s="8" t="n"/>
      <c r="K431" s="8" t="n"/>
      <c r="L431" s="8" t="n"/>
      <c r="M431" s="8">
        <f>IF(COUNT(D431:L431)=0,"",MIN(D431:L431))</f>
        <v/>
      </c>
      <c r="N431" s="8">
        <f>IF(COUNT(D431:L431)=0,"",MEDIAN(D431:L431))</f>
        <v/>
      </c>
      <c r="O431" s="8">
        <f>IF(COUNT(D431:L431)=0,"",MAX(D431:L431))</f>
        <v/>
      </c>
      <c r="P431" s="9">
        <f>IF(OR(M431="",M431=0),"",(O431-M431)/M431)</f>
        <v/>
      </c>
      <c r="Q431" s="7">
        <f>IF(COUNT(D431:L431)=0,"",INDEX($D$1:$L$1,MATCH(MIN(D431:L431),D431:L431,0)))</f>
        <v/>
      </c>
      <c r="R431" s="8" t="n">
        <v>252.59</v>
      </c>
      <c r="S431" s="10" t="n">
        <v>3</v>
      </c>
    </row>
    <row r="432">
      <c r="A432" s="7" t="inlineStr">
        <is>
          <t>MAT-08-256</t>
        </is>
      </c>
      <c r="B432" s="4" t="inlineStr">
        <is>
          <t>Cruceta para cerámica 4 mm, funda de 100</t>
        </is>
      </c>
      <c r="C432" s="7" t="inlineStr">
        <is>
          <t>funda</t>
        </is>
      </c>
      <c r="D432" s="8" t="n">
        <v>72.83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>
        <f>IF(COUNT(D432:L432)=0,"",MIN(D432:L432))</f>
        <v/>
      </c>
      <c r="N432" s="8">
        <f>IF(COUNT(D432:L432)=0,"",MEDIAN(D432:L432))</f>
        <v/>
      </c>
      <c r="O432" s="8">
        <f>IF(COUNT(D432:L432)=0,"",MAX(D432:L432))</f>
        <v/>
      </c>
      <c r="P432" s="9">
        <f>IF(OR(M432="",M432=0),"",(O432-M432)/M432)</f>
        <v/>
      </c>
      <c r="Q432" s="7">
        <f>IF(COUNT(D432:L432)=0,"",INDEX($D$1:$L$1,MATCH(MIN(D432:L432),D432:L432,0)))</f>
        <v/>
      </c>
      <c r="R432" s="8" t="n">
        <v>72.83</v>
      </c>
      <c r="S432" s="10" t="n">
        <v>1</v>
      </c>
    </row>
    <row r="433">
      <c r="A433" s="7" t="inlineStr">
        <is>
          <t>MAT-08-257</t>
        </is>
      </c>
      <c r="B433" s="4" t="inlineStr">
        <is>
          <t>Cruceta para cerámica 4 mm, funda de 200</t>
        </is>
      </c>
      <c r="C433" s="7" t="inlineStr">
        <is>
          <t>funda</t>
        </is>
      </c>
      <c r="D433" s="8" t="n">
        <v>7235.96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>
        <f>IF(COUNT(D433:L433)=0,"",MIN(D433:L433))</f>
        <v/>
      </c>
      <c r="N433" s="8">
        <f>IF(COUNT(D433:L433)=0,"",MEDIAN(D433:L433))</f>
        <v/>
      </c>
      <c r="O433" s="8">
        <f>IF(COUNT(D433:L433)=0,"",MAX(D433:L433))</f>
        <v/>
      </c>
      <c r="P433" s="9">
        <f>IF(OR(M433="",M433=0),"",(O433-M433)/M433)</f>
        <v/>
      </c>
      <c r="Q433" s="7">
        <f>IF(COUNT(D433:L433)=0,"",INDEX($D$1:$L$1,MATCH(MIN(D433:L433),D433:L433,0)))</f>
        <v/>
      </c>
      <c r="R433" s="8" t="n">
        <v>7235.96</v>
      </c>
      <c r="S433" s="10" t="n">
        <v>1</v>
      </c>
    </row>
    <row r="434">
      <c r="A434" s="7" t="inlineStr">
        <is>
          <t>MAT-08-258</t>
        </is>
      </c>
      <c r="B434" s="4" t="inlineStr">
        <is>
          <t>Cruceta para cerámica 5 mm, funda de 100</t>
        </is>
      </c>
      <c r="C434" s="7" t="inlineStr">
        <is>
          <t>funda</t>
        </is>
      </c>
      <c r="D434" s="8" t="n">
        <v>81.06999999999999</v>
      </c>
      <c r="E434" s="8" t="n"/>
      <c r="F434" s="8" t="n">
        <v>390</v>
      </c>
      <c r="G434" s="8" t="n"/>
      <c r="H434" s="8" t="n"/>
      <c r="I434" s="8" t="n"/>
      <c r="J434" s="8" t="n"/>
      <c r="K434" s="8" t="n"/>
      <c r="L434" s="8" t="n"/>
      <c r="M434" s="8">
        <f>IF(COUNT(D434:L434)=0,"",MIN(D434:L434))</f>
        <v/>
      </c>
      <c r="N434" s="8">
        <f>IF(COUNT(D434:L434)=0,"",MEDIAN(D434:L434))</f>
        <v/>
      </c>
      <c r="O434" s="8">
        <f>IF(COUNT(D434:L434)=0,"",MAX(D434:L434))</f>
        <v/>
      </c>
      <c r="P434" s="9">
        <f>IF(OR(M434="",M434=0),"",(O434-M434)/M434)</f>
        <v/>
      </c>
      <c r="Q434" s="7">
        <f>IF(COUNT(D434:L434)=0,"",INDEX($D$1:$L$1,MATCH(MIN(D434:L434),D434:L434,0)))</f>
        <v/>
      </c>
      <c r="R434" s="8" t="n">
        <v>235.54</v>
      </c>
      <c r="S434" s="10" t="n">
        <v>2</v>
      </c>
    </row>
    <row r="435">
      <c r="A435" s="7" t="inlineStr">
        <is>
          <t>MAT-08-259</t>
        </is>
      </c>
      <c r="B435" s="4" t="inlineStr">
        <is>
          <t>Cruceta para cerámica 6 mm, funda de 100</t>
        </is>
      </c>
      <c r="C435" s="7" t="inlineStr">
        <is>
          <t>funda</t>
        </is>
      </c>
      <c r="D435" s="8" t="n">
        <v>78.89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>
        <f>IF(COUNT(D435:L435)=0,"",MIN(D435:L435))</f>
        <v/>
      </c>
      <c r="N435" s="8">
        <f>IF(COUNT(D435:L435)=0,"",MEDIAN(D435:L435))</f>
        <v/>
      </c>
      <c r="O435" s="8">
        <f>IF(COUNT(D435:L435)=0,"",MAX(D435:L435))</f>
        <v/>
      </c>
      <c r="P435" s="9">
        <f>IF(OR(M435="",M435=0),"",(O435-M435)/M435)</f>
        <v/>
      </c>
      <c r="Q435" s="7">
        <f>IF(COUNT(D435:L435)=0,"",INDEX($D$1:$L$1,MATCH(MIN(D435:L435),D435:L435,0)))</f>
        <v/>
      </c>
      <c r="R435" s="8" t="n">
        <v>78.89</v>
      </c>
      <c r="S435" s="10" t="n">
        <v>1</v>
      </c>
    </row>
    <row r="436">
      <c r="A436" s="7" t="inlineStr">
        <is>
          <t>MAT-08-260</t>
        </is>
      </c>
      <c r="B436" s="4" t="inlineStr">
        <is>
          <t>Calzo de nivelación para cerámica 0.5 mm</t>
        </is>
      </c>
      <c r="C436" s="7" t="inlineStr">
        <is>
          <t>funda</t>
        </is>
      </c>
      <c r="D436" s="8" t="n">
        <v>919.9400000000001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>
        <f>IF(COUNT(D436:L436)=0,"",MIN(D436:L436))</f>
        <v/>
      </c>
      <c r="N436" s="8">
        <f>IF(COUNT(D436:L436)=0,"",MEDIAN(D436:L436))</f>
        <v/>
      </c>
      <c r="O436" s="8">
        <f>IF(COUNT(D436:L436)=0,"",MAX(D436:L436))</f>
        <v/>
      </c>
      <c r="P436" s="9">
        <f>IF(OR(M436="",M436=0),"",(O436-M436)/M436)</f>
        <v/>
      </c>
      <c r="Q436" s="7">
        <f>IF(COUNT(D436:L436)=0,"",INDEX($D$1:$L$1,MATCH(MIN(D436:L436),D436:L436,0)))</f>
        <v/>
      </c>
      <c r="R436" s="8" t="n">
        <v>919.9400000000001</v>
      </c>
      <c r="S436" s="10" t="n">
        <v>1</v>
      </c>
    </row>
    <row r="437">
      <c r="A437" s="7" t="inlineStr">
        <is>
          <t>MAT-08-261</t>
        </is>
      </c>
      <c r="B437" s="4" t="inlineStr">
        <is>
          <t>Calzo de nivelación para cerámica 1 mm</t>
        </is>
      </c>
      <c r="C437" s="7" t="inlineStr">
        <is>
          <t>funda</t>
        </is>
      </c>
      <c r="D437" s="8" t="n">
        <v>767.39</v>
      </c>
      <c r="E437" s="8" t="n">
        <v>404.16</v>
      </c>
      <c r="F437" s="8" t="n"/>
      <c r="G437" s="8" t="n">
        <v>1490</v>
      </c>
      <c r="H437" s="8" t="n"/>
      <c r="I437" s="8" t="n"/>
      <c r="J437" s="8" t="n"/>
      <c r="K437" s="8" t="n"/>
      <c r="L437" s="8" t="n"/>
      <c r="M437" s="8">
        <f>IF(COUNT(D437:L437)=0,"",MIN(D437:L437))</f>
        <v/>
      </c>
      <c r="N437" s="8">
        <f>IF(COUNT(D437:L437)=0,"",MEDIAN(D437:L437))</f>
        <v/>
      </c>
      <c r="O437" s="8">
        <f>IF(COUNT(D437:L437)=0,"",MAX(D437:L437))</f>
        <v/>
      </c>
      <c r="P437" s="9">
        <f>IF(OR(M437="",M437=0),"",(O437-M437)/M437)</f>
        <v/>
      </c>
      <c r="Q437" s="7">
        <f>IF(COUNT(D437:L437)=0,"",INDEX($D$1:$L$1,MATCH(MIN(D437:L437),D437:L437,0)))</f>
        <v/>
      </c>
      <c r="R437" s="8" t="n">
        <v>767.39</v>
      </c>
      <c r="S437" s="10" t="n">
        <v>3</v>
      </c>
    </row>
    <row r="438">
      <c r="A438" s="7" t="inlineStr">
        <is>
          <t>MAT-08-262</t>
        </is>
      </c>
      <c r="B438" s="4" t="inlineStr">
        <is>
          <t>Calzo de nivelación para cerámica 1.5 mm</t>
        </is>
      </c>
      <c r="C438" s="7" t="inlineStr">
        <is>
          <t>funda</t>
        </is>
      </c>
      <c r="D438" s="8" t="n">
        <v>487.49</v>
      </c>
      <c r="E438" s="8" t="n">
        <v>387.97</v>
      </c>
      <c r="F438" s="8" t="n"/>
      <c r="G438" s="8" t="n">
        <v>1490</v>
      </c>
      <c r="H438" s="8" t="n"/>
      <c r="I438" s="8" t="n"/>
      <c r="J438" s="8" t="n"/>
      <c r="K438" s="8" t="n"/>
      <c r="L438" s="8" t="n"/>
      <c r="M438" s="8">
        <f>IF(COUNT(D438:L438)=0,"",MIN(D438:L438))</f>
        <v/>
      </c>
      <c r="N438" s="8">
        <f>IF(COUNT(D438:L438)=0,"",MEDIAN(D438:L438))</f>
        <v/>
      </c>
      <c r="O438" s="8">
        <f>IF(COUNT(D438:L438)=0,"",MAX(D438:L438))</f>
        <v/>
      </c>
      <c r="P438" s="9">
        <f>IF(OR(M438="",M438=0),"",(O438-M438)/M438)</f>
        <v/>
      </c>
      <c r="Q438" s="7">
        <f>IF(COUNT(D438:L438)=0,"",INDEX($D$1:$L$1,MATCH(MIN(D438:L438),D438:L438,0)))</f>
        <v/>
      </c>
      <c r="R438" s="8" t="n">
        <v>487.49</v>
      </c>
      <c r="S438" s="10" t="n">
        <v>3</v>
      </c>
    </row>
    <row r="439">
      <c r="A439" s="7" t="inlineStr">
        <is>
          <t>MAT-08-263</t>
        </is>
      </c>
      <c r="B439" s="4" t="inlineStr">
        <is>
          <t>Calzo de nivelación para cerámica 2 mm</t>
        </is>
      </c>
      <c r="C439" s="7" t="inlineStr">
        <is>
          <t>funda</t>
        </is>
      </c>
      <c r="D439" s="8" t="n">
        <v>767.39</v>
      </c>
      <c r="E439" s="8" t="n">
        <v>404.16</v>
      </c>
      <c r="F439" s="8" t="n"/>
      <c r="G439" s="8" t="n">
        <v>1350</v>
      </c>
      <c r="H439" s="8" t="n"/>
      <c r="I439" s="8" t="n"/>
      <c r="J439" s="8" t="n"/>
      <c r="K439" s="8" t="n"/>
      <c r="L439" s="8" t="n"/>
      <c r="M439" s="8">
        <f>IF(COUNT(D439:L439)=0,"",MIN(D439:L439))</f>
        <v/>
      </c>
      <c r="N439" s="8">
        <f>IF(COUNT(D439:L439)=0,"",MEDIAN(D439:L439))</f>
        <v/>
      </c>
      <c r="O439" s="8">
        <f>IF(COUNT(D439:L439)=0,"",MAX(D439:L439))</f>
        <v/>
      </c>
      <c r="P439" s="9">
        <f>IF(OR(M439="",M439=0),"",(O439-M439)/M439)</f>
        <v/>
      </c>
      <c r="Q439" s="7">
        <f>IF(COUNT(D439:L439)=0,"",INDEX($D$1:$L$1,MATCH(MIN(D439:L439),D439:L439,0)))</f>
        <v/>
      </c>
      <c r="R439" s="8" t="n">
        <v>1058.7</v>
      </c>
      <c r="S439" s="10" t="n">
        <v>3</v>
      </c>
    </row>
    <row r="440">
      <c r="A440" s="7" t="inlineStr">
        <is>
          <t>MAT-08-264</t>
        </is>
      </c>
      <c r="B440" s="4" t="inlineStr">
        <is>
          <t>Calzo de nivelación para cerámica 3 mm</t>
        </is>
      </c>
      <c r="C440" s="7" t="inlineStr">
        <is>
          <t>funda</t>
        </is>
      </c>
      <c r="D440" s="8" t="n">
        <v>873.47</v>
      </c>
      <c r="E440" s="8" t="n">
        <v>370.76</v>
      </c>
      <c r="F440" s="8" t="n"/>
      <c r="G440" s="8" t="n"/>
      <c r="H440" s="8" t="n"/>
      <c r="I440" s="8" t="n"/>
      <c r="J440" s="8" t="n"/>
      <c r="K440" s="8" t="n"/>
      <c r="L440" s="8" t="n"/>
      <c r="M440" s="8">
        <f>IF(COUNT(D440:L440)=0,"",MIN(D440:L440))</f>
        <v/>
      </c>
      <c r="N440" s="8">
        <f>IF(COUNT(D440:L440)=0,"",MEDIAN(D440:L440))</f>
        <v/>
      </c>
      <c r="O440" s="8">
        <f>IF(COUNT(D440:L440)=0,"",MAX(D440:L440))</f>
        <v/>
      </c>
      <c r="P440" s="9">
        <f>IF(OR(M440="",M440=0),"",(O440-M440)/M440)</f>
        <v/>
      </c>
      <c r="Q440" s="7">
        <f>IF(COUNT(D440:L440)=0,"",INDEX($D$1:$L$1,MATCH(MIN(D440:L440),D440:L440,0)))</f>
        <v/>
      </c>
      <c r="R440" s="8" t="n">
        <v>655.48</v>
      </c>
      <c r="S440" s="10" t="n">
        <v>2</v>
      </c>
    </row>
    <row r="441">
      <c r="A441" s="7" t="inlineStr">
        <is>
          <t>MAT-08-265</t>
        </is>
      </c>
      <c r="B441" s="4" t="inlineStr">
        <is>
          <t>Clip de nivelación para cerámica 1 mm</t>
        </is>
      </c>
      <c r="C441" s="7" t="inlineStr">
        <is>
          <t>funda</t>
        </is>
      </c>
      <c r="D441" s="8" t="n">
        <v>144.94</v>
      </c>
      <c r="E441" s="8" t="n">
        <v>422.52</v>
      </c>
      <c r="F441" s="8" t="n"/>
      <c r="G441" s="8" t="n"/>
      <c r="H441" s="8" t="n"/>
      <c r="I441" s="8" t="n"/>
      <c r="J441" s="8" t="n"/>
      <c r="K441" s="8" t="n"/>
      <c r="L441" s="8" t="n"/>
      <c r="M441" s="8">
        <f>IF(COUNT(D441:L441)=0,"",MIN(D441:L441))</f>
        <v/>
      </c>
      <c r="N441" s="8">
        <f>IF(COUNT(D441:L441)=0,"",MEDIAN(D441:L441))</f>
        <v/>
      </c>
      <c r="O441" s="8">
        <f>IF(COUNT(D441:L441)=0,"",MAX(D441:L441))</f>
        <v/>
      </c>
      <c r="P441" s="9">
        <f>IF(OR(M441="",M441=0),"",(O441-M441)/M441)</f>
        <v/>
      </c>
      <c r="Q441" s="7">
        <f>IF(COUNT(D441:L441)=0,"",INDEX($D$1:$L$1,MATCH(MIN(D441:L441),D441:L441,0)))</f>
        <v/>
      </c>
      <c r="R441" s="8" t="n">
        <v>1094.69</v>
      </c>
      <c r="S441" s="10" t="n">
        <v>2</v>
      </c>
    </row>
    <row r="442">
      <c r="A442" s="7" t="inlineStr">
        <is>
          <t>MAT-08-266</t>
        </is>
      </c>
      <c r="B442" s="4" t="inlineStr">
        <is>
          <t>Clip de nivelación para cerámica 1.5 mm</t>
        </is>
      </c>
      <c r="C442" s="7" t="inlineStr">
        <is>
          <t>funda</t>
        </is>
      </c>
      <c r="D442" s="8" t="n">
        <v>144.94</v>
      </c>
      <c r="E442" s="8" t="n"/>
      <c r="F442" s="8" t="n"/>
      <c r="G442" s="8" t="n">
        <v>295</v>
      </c>
      <c r="H442" s="8" t="n"/>
      <c r="I442" s="8" t="n"/>
      <c r="J442" s="8" t="n"/>
      <c r="K442" s="8" t="n"/>
      <c r="L442" s="8" t="n"/>
      <c r="M442" s="8">
        <f>IF(COUNT(D442:L442)=0,"",MIN(D442:L442))</f>
        <v/>
      </c>
      <c r="N442" s="8">
        <f>IF(COUNT(D442:L442)=0,"",MEDIAN(D442:L442))</f>
        <v/>
      </c>
      <c r="O442" s="8">
        <f>IF(COUNT(D442:L442)=0,"",MAX(D442:L442))</f>
        <v/>
      </c>
      <c r="P442" s="9">
        <f>IF(OR(M442="",M442=0),"",(O442-M442)/M442)</f>
        <v/>
      </c>
      <c r="Q442" s="7">
        <f>IF(COUNT(D442:L442)=0,"",INDEX($D$1:$L$1,MATCH(MIN(D442:L442),D442:L442,0)))</f>
        <v/>
      </c>
      <c r="R442" s="8" t="n">
        <v>219.97</v>
      </c>
      <c r="S442" s="10" t="n">
        <v>2</v>
      </c>
    </row>
    <row r="443">
      <c r="A443" s="7" t="inlineStr">
        <is>
          <t>MAT-08-267</t>
        </is>
      </c>
      <c r="B443" s="4" t="inlineStr">
        <is>
          <t>Clip de nivelación para cerámica 2 mm</t>
        </is>
      </c>
      <c r="C443" s="7" t="inlineStr">
        <is>
          <t>funda</t>
        </is>
      </c>
      <c r="D443" s="8" t="n">
        <v>144.94</v>
      </c>
      <c r="E443" s="8" t="n">
        <v>422.52</v>
      </c>
      <c r="F443" s="8" t="n"/>
      <c r="G443" s="8" t="n">
        <v>249.99</v>
      </c>
      <c r="H443" s="8" t="n"/>
      <c r="I443" s="8" t="n"/>
      <c r="J443" s="8" t="n"/>
      <c r="K443" s="8" t="n"/>
      <c r="L443" s="8" t="n"/>
      <c r="M443" s="8">
        <f>IF(COUNT(D443:L443)=0,"",MIN(D443:L443))</f>
        <v/>
      </c>
      <c r="N443" s="8">
        <f>IF(COUNT(D443:L443)=0,"",MEDIAN(D443:L443))</f>
        <v/>
      </c>
      <c r="O443" s="8">
        <f>IF(COUNT(D443:L443)=0,"",MAX(D443:L443))</f>
        <v/>
      </c>
      <c r="P443" s="9">
        <f>IF(OR(M443="",M443=0),"",(O443-M443)/M443)</f>
        <v/>
      </c>
      <c r="Q443" s="7">
        <f>IF(COUNT(D443:L443)=0,"",INDEX($D$1:$L$1,MATCH(MIN(D443:L443),D443:L443,0)))</f>
        <v/>
      </c>
      <c r="R443" s="8" t="n">
        <v>1768.33</v>
      </c>
      <c r="S443" s="10" t="n">
        <v>3</v>
      </c>
    </row>
    <row r="444">
      <c r="A444" s="7" t="inlineStr">
        <is>
          <t>MAT-08-268</t>
        </is>
      </c>
      <c r="B444" s="4" t="inlineStr">
        <is>
          <t>Clip de nivelación para cerámica 3 mm</t>
        </is>
      </c>
      <c r="C444" s="7" t="inlineStr">
        <is>
          <t>funda</t>
        </is>
      </c>
      <c r="D444" s="8" t="n"/>
      <c r="E444" s="8" t="n">
        <v>405.61</v>
      </c>
      <c r="F444" s="8" t="n"/>
      <c r="G444" s="8" t="n"/>
      <c r="H444" s="8" t="n"/>
      <c r="I444" s="8" t="n"/>
      <c r="J444" s="8" t="n"/>
      <c r="K444" s="8" t="n"/>
      <c r="L444" s="8" t="n"/>
      <c r="M444" s="8">
        <f>IF(COUNT(D444:L444)=0,"",MIN(D444:L444))</f>
        <v/>
      </c>
      <c r="N444" s="8">
        <f>IF(COUNT(D444:L444)=0,"",MEDIAN(D444:L444))</f>
        <v/>
      </c>
      <c r="O444" s="8">
        <f>IF(COUNT(D444:L444)=0,"",MAX(D444:L444))</f>
        <v/>
      </c>
      <c r="P444" s="9">
        <f>IF(OR(M444="",M444=0),"",(O444-M444)/M444)</f>
        <v/>
      </c>
      <c r="Q444" s="7">
        <f>IF(COUNT(D444:L444)=0,"",INDEX($D$1:$L$1,MATCH(MIN(D444:L444),D444:L444,0)))</f>
        <v/>
      </c>
      <c r="R444" s="8" t="n">
        <v>1758.39</v>
      </c>
      <c r="S444" s="10" t="n">
        <v>1</v>
      </c>
    </row>
    <row r="445">
      <c r="A445" s="7" t="inlineStr">
        <is>
          <t>MAT-08-269</t>
        </is>
      </c>
      <c r="B445" s="4" t="inlineStr">
        <is>
          <t>Cuña de nivelación para cerámica</t>
        </is>
      </c>
      <c r="C445" s="7" t="inlineStr">
        <is>
          <t>funda</t>
        </is>
      </c>
      <c r="D445" s="8" t="n">
        <v>358.87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>
        <f>IF(COUNT(D445:L445)=0,"",MIN(D445:L445))</f>
        <v/>
      </c>
      <c r="N445" s="8">
        <f>IF(COUNT(D445:L445)=0,"",MEDIAN(D445:L445))</f>
        <v/>
      </c>
      <c r="O445" s="8">
        <f>IF(COUNT(D445:L445)=0,"",MAX(D445:L445))</f>
        <v/>
      </c>
      <c r="P445" s="9">
        <f>IF(OR(M445="",M445=0),"",(O445-M445)/M445)</f>
        <v/>
      </c>
      <c r="Q445" s="7">
        <f>IF(COUNT(D445:L445)=0,"",INDEX($D$1:$L$1,MATCH(MIN(D445:L445),D445:L445,0)))</f>
        <v/>
      </c>
      <c r="R445" s="8" t="n">
        <v>602.14</v>
      </c>
      <c r="S445" s="10" t="n">
        <v>1</v>
      </c>
    </row>
    <row r="446">
      <c r="A446" s="7" t="inlineStr">
        <is>
          <t>MAT-08-270</t>
        </is>
      </c>
      <c r="B446" s="4" t="inlineStr">
        <is>
          <t>Panel de vinil para pared, 4.5 mm</t>
        </is>
      </c>
      <c r="C446" s="7" t="inlineStr">
        <is>
          <t>m²</t>
        </is>
      </c>
      <c r="D446" s="8" t="n"/>
      <c r="E446" s="8" t="n">
        <v>857.6799999999999</v>
      </c>
      <c r="F446" s="8" t="n"/>
      <c r="G446" s="8" t="n"/>
      <c r="H446" s="8" t="n"/>
      <c r="I446" s="8" t="n"/>
      <c r="J446" s="8" t="n"/>
      <c r="K446" s="8" t="n"/>
      <c r="L446" s="8" t="n"/>
      <c r="M446" s="8">
        <f>IF(COUNT(D446:L446)=0,"",MIN(D446:L446))</f>
        <v/>
      </c>
      <c r="N446" s="8">
        <f>IF(COUNT(D446:L446)=0,"",MEDIAN(D446:L446))</f>
        <v/>
      </c>
      <c r="O446" s="8">
        <f>IF(COUNT(D446:L446)=0,"",MAX(D446:L446))</f>
        <v/>
      </c>
      <c r="P446" s="9">
        <f>IF(OR(M446="",M446=0),"",(O446-M446)/M446)</f>
        <v/>
      </c>
      <c r="Q446" s="7">
        <f>IF(COUNT(D446:L446)=0,"",INDEX($D$1:$L$1,MATCH(MIN(D446:L446),D446:L446,0)))</f>
        <v/>
      </c>
      <c r="R446" s="8" t="n">
        <v>1274.57</v>
      </c>
      <c r="S446" s="10" t="n">
        <v>1</v>
      </c>
    </row>
    <row r="447">
      <c r="A447" s="7" t="inlineStr">
        <is>
          <t>MAT-08-271</t>
        </is>
      </c>
      <c r="B447" s="4" t="inlineStr">
        <is>
          <t>Adoquín de hormigón tipo cuadrado</t>
        </is>
      </c>
      <c r="C447" s="7" t="inlineStr">
        <is>
          <t>m²</t>
        </is>
      </c>
      <c r="D447" s="8" t="n">
        <v>874.38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>
        <f>IF(COUNT(D447:L447)=0,"",MIN(D447:L447))</f>
        <v/>
      </c>
      <c r="N447" s="8">
        <f>IF(COUNT(D447:L447)=0,"",MEDIAN(D447:L447))</f>
        <v/>
      </c>
      <c r="O447" s="8">
        <f>IF(COUNT(D447:L447)=0,"",MAX(D447:L447))</f>
        <v/>
      </c>
      <c r="P447" s="9">
        <f>IF(OR(M447="",M447=0),"",(O447-M447)/M447)</f>
        <v/>
      </c>
      <c r="Q447" s="7">
        <f>IF(COUNT(D447:L447)=0,"",INDEX($D$1:$L$1,MATCH(MIN(D447:L447),D447:L447,0)))</f>
        <v/>
      </c>
      <c r="R447" s="8" t="n">
        <v>874.38</v>
      </c>
      <c r="S447" s="10" t="n">
        <v>1</v>
      </c>
    </row>
    <row r="448">
      <c r="A448" s="7" t="inlineStr">
        <is>
          <t>MAT-08-272</t>
        </is>
      </c>
      <c r="B448" s="4" t="inlineStr">
        <is>
          <t>Adoquín de hormigón tipo flecha</t>
        </is>
      </c>
      <c r="C448" s="7" t="inlineStr">
        <is>
          <t>m²</t>
        </is>
      </c>
      <c r="D448" s="8" t="n">
        <v>812.28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>
        <f>IF(COUNT(D448:L448)=0,"",MIN(D448:L448))</f>
        <v/>
      </c>
      <c r="N448" s="8">
        <f>IF(COUNT(D448:L448)=0,"",MEDIAN(D448:L448))</f>
        <v/>
      </c>
      <c r="O448" s="8">
        <f>IF(COUNT(D448:L448)=0,"",MAX(D448:L448))</f>
        <v/>
      </c>
      <c r="P448" s="9">
        <f>IF(OR(M448="",M448=0),"",(O448-M448)/M448)</f>
        <v/>
      </c>
      <c r="Q448" s="7">
        <f>IF(COUNT(D448:L448)=0,"",INDEX($D$1:$L$1,MATCH(MIN(D448:L448),D448:L448,0)))</f>
        <v/>
      </c>
      <c r="R448" s="8" t="n">
        <v>812.28</v>
      </c>
      <c r="S448" s="10" t="n">
        <v>1</v>
      </c>
    </row>
    <row r="449">
      <c r="A449" s="7" t="inlineStr">
        <is>
          <t>MAT-08-273</t>
        </is>
      </c>
      <c r="B449" s="4" t="inlineStr">
        <is>
          <t>Adoquín de hormigón tipo ladrillo</t>
        </is>
      </c>
      <c r="C449" s="7" t="inlineStr">
        <is>
          <t>m²</t>
        </is>
      </c>
      <c r="D449" s="8" t="n">
        <v>850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>
        <f>IF(COUNT(D449:L449)=0,"",MIN(D449:L449))</f>
        <v/>
      </c>
      <c r="N449" s="8">
        <f>IF(COUNT(D449:L449)=0,"",MEDIAN(D449:L449))</f>
        <v/>
      </c>
      <c r="O449" s="8">
        <f>IF(COUNT(D449:L449)=0,"",MAX(D449:L449))</f>
        <v/>
      </c>
      <c r="P449" s="9">
        <f>IF(OR(M449="",M449=0),"",(O449-M449)/M449)</f>
        <v/>
      </c>
      <c r="Q449" s="7">
        <f>IF(COUNT(D449:L449)=0,"",INDEX($D$1:$L$1,MATCH(MIN(D449:L449),D449:L449,0)))</f>
        <v/>
      </c>
      <c r="R449" s="8" t="n">
        <v>850</v>
      </c>
      <c r="S449" s="10" t="n">
        <v>1</v>
      </c>
    </row>
    <row r="450">
      <c r="A450" s="7" t="inlineStr">
        <is>
          <t>MAT-08-274</t>
        </is>
      </c>
      <c r="B450" s="4" t="inlineStr">
        <is>
          <t>Adoquín de hormigón tipo raqueta</t>
        </is>
      </c>
      <c r="C450" s="7" t="inlineStr">
        <is>
          <t>m²</t>
        </is>
      </c>
      <c r="D450" s="8" t="n">
        <v>872.87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>
        <f>IF(COUNT(D450:L450)=0,"",MIN(D450:L450))</f>
        <v/>
      </c>
      <c r="N450" s="8">
        <f>IF(COUNT(D450:L450)=0,"",MEDIAN(D450:L450))</f>
        <v/>
      </c>
      <c r="O450" s="8">
        <f>IF(COUNT(D450:L450)=0,"",MAX(D450:L450))</f>
        <v/>
      </c>
      <c r="P450" s="9">
        <f>IF(OR(M450="",M450=0),"",(O450-M450)/M450)</f>
        <v/>
      </c>
      <c r="Q450" s="7">
        <f>IF(COUNT(D450:L450)=0,"",INDEX($D$1:$L$1,MATCH(MIN(D450:L450),D450:L450,0)))</f>
        <v/>
      </c>
      <c r="R450" s="8" t="n">
        <v>872.87</v>
      </c>
      <c r="S450" s="10" t="n">
        <v>1</v>
      </c>
    </row>
    <row r="451">
      <c r="A451" s="7" t="inlineStr">
        <is>
          <t>MAT-08-275</t>
        </is>
      </c>
      <c r="B451" s="4" t="inlineStr">
        <is>
          <t>Polvo de color para mosaico amarillo comercial, 1 lb</t>
        </is>
      </c>
      <c r="C451" s="7" t="inlineStr">
        <is>
          <t>unidad</t>
        </is>
      </c>
      <c r="D451" s="8" t="n">
        <v>55.94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>
        <f>IF(COUNT(D451:L451)=0,"",MIN(D451:L451))</f>
        <v/>
      </c>
      <c r="N451" s="8">
        <f>IF(COUNT(D451:L451)=0,"",MEDIAN(D451:L451))</f>
        <v/>
      </c>
      <c r="O451" s="8">
        <f>IF(COUNT(D451:L451)=0,"",MAX(D451:L451))</f>
        <v/>
      </c>
      <c r="P451" s="9">
        <f>IF(OR(M451="",M451=0),"",(O451-M451)/M451)</f>
        <v/>
      </c>
      <c r="Q451" s="7">
        <f>IF(COUNT(D451:L451)=0,"",INDEX($D$1:$L$1,MATCH(MIN(D451:L451),D451:L451,0)))</f>
        <v/>
      </c>
      <c r="R451" s="8" t="n">
        <v>55.94</v>
      </c>
      <c r="S451" s="10" t="n">
        <v>1</v>
      </c>
    </row>
    <row r="452">
      <c r="A452" s="7" t="inlineStr">
        <is>
          <t>MAT-08-276</t>
        </is>
      </c>
      <c r="B452" s="4" t="inlineStr">
        <is>
          <t>Polvo de color para mosaico amarillo industrial, 1 lb</t>
        </is>
      </c>
      <c r="C452" s="7" t="inlineStr">
        <is>
          <t>unidad</t>
        </is>
      </c>
      <c r="D452" s="8" t="n">
        <v>153.81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>
        <f>IF(COUNT(D452:L452)=0,"",MIN(D452:L452))</f>
        <v/>
      </c>
      <c r="N452" s="8">
        <f>IF(COUNT(D452:L452)=0,"",MEDIAN(D452:L452))</f>
        <v/>
      </c>
      <c r="O452" s="8">
        <f>IF(COUNT(D452:L452)=0,"",MAX(D452:L452))</f>
        <v/>
      </c>
      <c r="P452" s="9">
        <f>IF(OR(M452="",M452=0),"",(O452-M452)/M452)</f>
        <v/>
      </c>
      <c r="Q452" s="7">
        <f>IF(COUNT(D452:L452)=0,"",INDEX($D$1:$L$1,MATCH(MIN(D452:L452),D452:L452,0)))</f>
        <v/>
      </c>
      <c r="R452" s="8" t="n">
        <v>153.81</v>
      </c>
      <c r="S452" s="10" t="n">
        <v>1</v>
      </c>
    </row>
    <row r="453">
      <c r="A453" s="7" t="inlineStr">
        <is>
          <t>MAT-08-277</t>
        </is>
      </c>
      <c r="B453" s="4" t="inlineStr">
        <is>
          <t>Polvo de color para mosaico azul comercial, 1 lb</t>
        </is>
      </c>
      <c r="C453" s="7" t="inlineStr">
        <is>
          <t>unidad</t>
        </is>
      </c>
      <c r="D453" s="8" t="n">
        <v>82.72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>
        <f>IF(COUNT(D453:L453)=0,"",MIN(D453:L453))</f>
        <v/>
      </c>
      <c r="N453" s="8">
        <f>IF(COUNT(D453:L453)=0,"",MEDIAN(D453:L453))</f>
        <v/>
      </c>
      <c r="O453" s="8">
        <f>IF(COUNT(D453:L453)=0,"",MAX(D453:L453))</f>
        <v/>
      </c>
      <c r="P453" s="9">
        <f>IF(OR(M453="",M453=0),"",(O453-M453)/M453)</f>
        <v/>
      </c>
      <c r="Q453" s="7">
        <f>IF(COUNT(D453:L453)=0,"",INDEX($D$1:$L$1,MATCH(MIN(D453:L453),D453:L453,0)))</f>
        <v/>
      </c>
      <c r="R453" s="8" t="n">
        <v>82.72</v>
      </c>
      <c r="S453" s="10" t="n">
        <v>1</v>
      </c>
    </row>
    <row r="454">
      <c r="A454" s="7" t="inlineStr">
        <is>
          <t>MAT-08-278</t>
        </is>
      </c>
      <c r="B454" s="4" t="inlineStr">
        <is>
          <t>Polvo de color para mosaico azul industrial, 1 lb</t>
        </is>
      </c>
      <c r="C454" s="7" t="inlineStr">
        <is>
          <t>unidad</t>
        </is>
      </c>
      <c r="D454" s="8" t="n">
        <v>162.49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>
        <f>IF(COUNT(D454:L454)=0,"",MIN(D454:L454))</f>
        <v/>
      </c>
      <c r="N454" s="8">
        <f>IF(COUNT(D454:L454)=0,"",MEDIAN(D454:L454))</f>
        <v/>
      </c>
      <c r="O454" s="8">
        <f>IF(COUNT(D454:L454)=0,"",MAX(D454:L454))</f>
        <v/>
      </c>
      <c r="P454" s="9">
        <f>IF(OR(M454="",M454=0),"",(O454-M454)/M454)</f>
        <v/>
      </c>
      <c r="Q454" s="7">
        <f>IF(COUNT(D454:L454)=0,"",INDEX($D$1:$L$1,MATCH(MIN(D454:L454),D454:L454,0)))</f>
        <v/>
      </c>
      <c r="R454" s="8" t="n">
        <v>162.49</v>
      </c>
      <c r="S454" s="10" t="n">
        <v>1</v>
      </c>
    </row>
    <row r="455">
      <c r="A455" s="7" t="inlineStr">
        <is>
          <t>MAT-08-279</t>
        </is>
      </c>
      <c r="B455" s="4" t="inlineStr">
        <is>
          <t>Polvo de color para mosaico negro comercial, 1 lb</t>
        </is>
      </c>
      <c r="C455" s="7" t="inlineStr">
        <is>
          <t>unidad</t>
        </is>
      </c>
      <c r="D455" s="8" t="n">
        <v>90.79000000000001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>
        <f>IF(COUNT(D455:L455)=0,"",MIN(D455:L455))</f>
        <v/>
      </c>
      <c r="N455" s="8">
        <f>IF(COUNT(D455:L455)=0,"",MEDIAN(D455:L455))</f>
        <v/>
      </c>
      <c r="O455" s="8">
        <f>IF(COUNT(D455:L455)=0,"",MAX(D455:L455))</f>
        <v/>
      </c>
      <c r="P455" s="9">
        <f>IF(OR(M455="",M455=0),"",(O455-M455)/M455)</f>
        <v/>
      </c>
      <c r="Q455" s="7">
        <f>IF(COUNT(D455:L455)=0,"",INDEX($D$1:$L$1,MATCH(MIN(D455:L455),D455:L455,0)))</f>
        <v/>
      </c>
      <c r="R455" s="8" t="n">
        <v>90.79000000000001</v>
      </c>
      <c r="S455" s="10" t="n">
        <v>1</v>
      </c>
    </row>
    <row r="456">
      <c r="A456" s="7" t="inlineStr">
        <is>
          <t>MAT-08-280</t>
        </is>
      </c>
      <c r="B456" s="4" t="inlineStr">
        <is>
          <t>Polvo de color para mosaico negro industrial, 1 lb</t>
        </is>
      </c>
      <c r="C456" s="7" t="inlineStr">
        <is>
          <t>unidad</t>
        </is>
      </c>
      <c r="D456" s="8" t="n">
        <v>129.29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>
        <f>IF(COUNT(D456:L456)=0,"",MIN(D456:L456))</f>
        <v/>
      </c>
      <c r="N456" s="8">
        <f>IF(COUNT(D456:L456)=0,"",MEDIAN(D456:L456))</f>
        <v/>
      </c>
      <c r="O456" s="8">
        <f>IF(COUNT(D456:L456)=0,"",MAX(D456:L456))</f>
        <v/>
      </c>
      <c r="P456" s="9">
        <f>IF(OR(M456="",M456=0),"",(O456-M456)/M456)</f>
        <v/>
      </c>
      <c r="Q456" s="7">
        <f>IF(COUNT(D456:L456)=0,"",INDEX($D$1:$L$1,MATCH(MIN(D456:L456),D456:L456,0)))</f>
        <v/>
      </c>
      <c r="R456" s="8" t="n">
        <v>129.29</v>
      </c>
      <c r="S456" s="10" t="n">
        <v>1</v>
      </c>
    </row>
    <row r="457">
      <c r="A457" s="7" t="inlineStr">
        <is>
          <t>MAT-08-281</t>
        </is>
      </c>
      <c r="B457" s="4" t="inlineStr">
        <is>
          <t>Polvo de color para mosaico rojo comercial, 1 lb</t>
        </is>
      </c>
      <c r="C457" s="7" t="inlineStr">
        <is>
          <t>unidad</t>
        </is>
      </c>
      <c r="D457" s="8" t="n">
        <v>66.5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>
        <f>IF(COUNT(D457:L457)=0,"",MIN(D457:L457))</f>
        <v/>
      </c>
      <c r="N457" s="8">
        <f>IF(COUNT(D457:L457)=0,"",MEDIAN(D457:L457))</f>
        <v/>
      </c>
      <c r="O457" s="8">
        <f>IF(COUNT(D457:L457)=0,"",MAX(D457:L457))</f>
        <v/>
      </c>
      <c r="P457" s="9">
        <f>IF(OR(M457="",M457=0),"",(O457-M457)/M457)</f>
        <v/>
      </c>
      <c r="Q457" s="7">
        <f>IF(COUNT(D457:L457)=0,"",INDEX($D$1:$L$1,MATCH(MIN(D457:L457),D457:L457,0)))</f>
        <v/>
      </c>
      <c r="R457" s="8" t="n">
        <v>66.5</v>
      </c>
      <c r="S457" s="10" t="n">
        <v>1</v>
      </c>
    </row>
    <row r="458">
      <c r="A458" s="7" t="inlineStr">
        <is>
          <t>MAT-08-282</t>
        </is>
      </c>
      <c r="B458" s="4" t="inlineStr">
        <is>
          <t>Polvo de color para mosaico rojo industrial, 1 lb</t>
        </is>
      </c>
      <c r="C458" s="7" t="inlineStr">
        <is>
          <t>unidad</t>
        </is>
      </c>
      <c r="D458" s="8" t="n">
        <v>106.37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>
        <f>IF(COUNT(D458:L458)=0,"",MIN(D458:L458))</f>
        <v/>
      </c>
      <c r="N458" s="8">
        <f>IF(COUNT(D458:L458)=0,"",MEDIAN(D458:L458))</f>
        <v/>
      </c>
      <c r="O458" s="8">
        <f>IF(COUNT(D458:L458)=0,"",MAX(D458:L458))</f>
        <v/>
      </c>
      <c r="P458" s="9">
        <f>IF(OR(M458="",M458=0),"",(O458-M458)/M458)</f>
        <v/>
      </c>
      <c r="Q458" s="7">
        <f>IF(COUNT(D458:L458)=0,"",INDEX($D$1:$L$1,MATCH(MIN(D458:L458),D458:L458,0)))</f>
        <v/>
      </c>
      <c r="R458" s="8" t="n">
        <v>106.37</v>
      </c>
      <c r="S458" s="10" t="n">
        <v>1</v>
      </c>
    </row>
    <row r="459">
      <c r="A459" s="7" t="inlineStr">
        <is>
          <t>MAT-08-283</t>
        </is>
      </c>
      <c r="B459" s="4" t="inlineStr">
        <is>
          <t>Polvo de color para mosaico verde comercial, 1 lb</t>
        </is>
      </c>
      <c r="C459" s="7" t="inlineStr">
        <is>
          <t>unidad</t>
        </is>
      </c>
      <c r="D459" s="8" t="n">
        <v>78.84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>
        <f>IF(COUNT(D459:L459)=0,"",MIN(D459:L459))</f>
        <v/>
      </c>
      <c r="N459" s="8">
        <f>IF(COUNT(D459:L459)=0,"",MEDIAN(D459:L459))</f>
        <v/>
      </c>
      <c r="O459" s="8">
        <f>IF(COUNT(D459:L459)=0,"",MAX(D459:L459))</f>
        <v/>
      </c>
      <c r="P459" s="9">
        <f>IF(OR(M459="",M459=0),"",(O459-M459)/M459)</f>
        <v/>
      </c>
      <c r="Q459" s="7">
        <f>IF(COUNT(D459:L459)=0,"",INDEX($D$1:$L$1,MATCH(MIN(D459:L459),D459:L459,0)))</f>
        <v/>
      </c>
      <c r="R459" s="8" t="n">
        <v>78.84</v>
      </c>
      <c r="S459" s="10" t="n">
        <v>1</v>
      </c>
    </row>
    <row r="460">
      <c r="A460" s="7" t="inlineStr">
        <is>
          <t>MAT-08-284</t>
        </is>
      </c>
      <c r="B460" s="4" t="inlineStr">
        <is>
          <t>Polvo de color para mosaico verde industrial, 1 lb</t>
        </is>
      </c>
      <c r="C460" s="7" t="inlineStr">
        <is>
          <t>unidad</t>
        </is>
      </c>
      <c r="D460" s="8" t="n">
        <v>180.39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>
        <f>IF(COUNT(D460:L460)=0,"",MIN(D460:L460))</f>
        <v/>
      </c>
      <c r="N460" s="8">
        <f>IF(COUNT(D460:L460)=0,"",MEDIAN(D460:L460))</f>
        <v/>
      </c>
      <c r="O460" s="8">
        <f>IF(COUNT(D460:L460)=0,"",MAX(D460:L460))</f>
        <v/>
      </c>
      <c r="P460" s="9">
        <f>IF(OR(M460="",M460=0),"",(O460-M460)/M460)</f>
        <v/>
      </c>
      <c r="Q460" s="7">
        <f>IF(COUNT(D460:L460)=0,"",INDEX($D$1:$L$1,MATCH(MIN(D460:L460),D460:L460,0)))</f>
        <v/>
      </c>
      <c r="R460" s="8" t="n">
        <v>180.39</v>
      </c>
      <c r="S460" s="10" t="n">
        <v>1</v>
      </c>
    </row>
    <row r="461">
      <c r="A461" s="7" t="inlineStr">
        <is>
          <t>MAT-08-285</t>
        </is>
      </c>
      <c r="B461" s="4" t="inlineStr">
        <is>
          <t>Polvo de color para mosaico amarillo industrial, 3 lb</t>
        </is>
      </c>
      <c r="C461" s="7" t="inlineStr">
        <is>
          <t>unidad</t>
        </is>
      </c>
      <c r="D461" s="8" t="n">
        <v>460.92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>
        <f>IF(COUNT(D461:L461)=0,"",MIN(D461:L461))</f>
        <v/>
      </c>
      <c r="N461" s="8">
        <f>IF(COUNT(D461:L461)=0,"",MEDIAN(D461:L461))</f>
        <v/>
      </c>
      <c r="O461" s="8">
        <f>IF(COUNT(D461:L461)=0,"",MAX(D461:L461))</f>
        <v/>
      </c>
      <c r="P461" s="9">
        <f>IF(OR(M461="",M461=0),"",(O461-M461)/M461)</f>
        <v/>
      </c>
      <c r="Q461" s="7">
        <f>IF(COUNT(D461:L461)=0,"",INDEX($D$1:$L$1,MATCH(MIN(D461:L461),D461:L461,0)))</f>
        <v/>
      </c>
      <c r="R461" s="8" t="n">
        <v>460.92</v>
      </c>
      <c r="S461" s="10" t="n">
        <v>1</v>
      </c>
    </row>
    <row r="462">
      <c r="A462" s="7" t="inlineStr">
        <is>
          <t>MAT-08-286</t>
        </is>
      </c>
      <c r="B462" s="4" t="inlineStr">
        <is>
          <t>Polvo de color para mosaico amarillo comercial, 5 lb</t>
        </is>
      </c>
      <c r="C462" s="7" t="inlineStr">
        <is>
          <t>unidad</t>
        </is>
      </c>
      <c r="D462" s="8" t="n">
        <v>280.64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>
        <f>IF(COUNT(D462:L462)=0,"",MIN(D462:L462))</f>
        <v/>
      </c>
      <c r="N462" s="8">
        <f>IF(COUNT(D462:L462)=0,"",MEDIAN(D462:L462))</f>
        <v/>
      </c>
      <c r="O462" s="8">
        <f>IF(COUNT(D462:L462)=0,"",MAX(D462:L462))</f>
        <v/>
      </c>
      <c r="P462" s="9">
        <f>IF(OR(M462="",M462=0),"",(O462-M462)/M462)</f>
        <v/>
      </c>
      <c r="Q462" s="7">
        <f>IF(COUNT(D462:L462)=0,"",INDEX($D$1:$L$1,MATCH(MIN(D462:L462),D462:L462,0)))</f>
        <v/>
      </c>
      <c r="R462" s="8" t="n">
        <v>280.64</v>
      </c>
      <c r="S462" s="10" t="n">
        <v>1</v>
      </c>
    </row>
    <row r="463">
      <c r="A463" s="7" t="inlineStr">
        <is>
          <t>MAT-08-287</t>
        </is>
      </c>
      <c r="B463" s="4" t="inlineStr">
        <is>
          <t>Polvo de color para mosaico azul comercial, 5 lb</t>
        </is>
      </c>
      <c r="C463" s="7" t="inlineStr">
        <is>
          <t>unidad</t>
        </is>
      </c>
      <c r="D463" s="8" t="n">
        <v>367.96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>
        <f>IF(COUNT(D463:L463)=0,"",MIN(D463:L463))</f>
        <v/>
      </c>
      <c r="N463" s="8">
        <f>IF(COUNT(D463:L463)=0,"",MEDIAN(D463:L463))</f>
        <v/>
      </c>
      <c r="O463" s="8">
        <f>IF(COUNT(D463:L463)=0,"",MAX(D463:L463))</f>
        <v/>
      </c>
      <c r="P463" s="9">
        <f>IF(OR(M463="",M463=0),"",(O463-M463)/M463)</f>
        <v/>
      </c>
      <c r="Q463" s="7">
        <f>IF(COUNT(D463:L463)=0,"",INDEX($D$1:$L$1,MATCH(MIN(D463:L463),D463:L463,0)))</f>
        <v/>
      </c>
      <c r="R463" s="8" t="n">
        <v>367.96</v>
      </c>
      <c r="S463" s="10" t="n">
        <v>1</v>
      </c>
    </row>
    <row r="464">
      <c r="A464" s="7" t="inlineStr">
        <is>
          <t>MAT-08-288</t>
        </is>
      </c>
      <c r="B464" s="4" t="inlineStr">
        <is>
          <t>Polvo de color para mosaico azul industrial, 5 lb</t>
        </is>
      </c>
      <c r="C464" s="7" t="inlineStr">
        <is>
          <t>unidad</t>
        </is>
      </c>
      <c r="D464" s="8" t="n">
        <v>813.47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>
        <f>IF(COUNT(D464:L464)=0,"",MIN(D464:L464))</f>
        <v/>
      </c>
      <c r="N464" s="8">
        <f>IF(COUNT(D464:L464)=0,"",MEDIAN(D464:L464))</f>
        <v/>
      </c>
      <c r="O464" s="8">
        <f>IF(COUNT(D464:L464)=0,"",MAX(D464:L464))</f>
        <v/>
      </c>
      <c r="P464" s="9">
        <f>IF(OR(M464="",M464=0),"",(O464-M464)/M464)</f>
        <v/>
      </c>
      <c r="Q464" s="7">
        <f>IF(COUNT(D464:L464)=0,"",INDEX($D$1:$L$1,MATCH(MIN(D464:L464),D464:L464,0)))</f>
        <v/>
      </c>
      <c r="R464" s="8" t="n">
        <v>813.47</v>
      </c>
      <c r="S464" s="10" t="n">
        <v>1</v>
      </c>
    </row>
    <row r="465">
      <c r="A465" s="7" t="inlineStr">
        <is>
          <t>MAT-08-289</t>
        </is>
      </c>
      <c r="B465" s="4" t="inlineStr">
        <is>
          <t>Polvo de color para mosaico negro comercial, 5 lb</t>
        </is>
      </c>
      <c r="C465" s="7" t="inlineStr">
        <is>
          <t>unidad</t>
        </is>
      </c>
      <c r="D465" s="8" t="n">
        <v>406.73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>
        <f>IF(COUNT(D465:L465)=0,"",MIN(D465:L465))</f>
        <v/>
      </c>
      <c r="N465" s="8">
        <f>IF(COUNT(D465:L465)=0,"",MEDIAN(D465:L465))</f>
        <v/>
      </c>
      <c r="O465" s="8">
        <f>IF(COUNT(D465:L465)=0,"",MAX(D465:L465))</f>
        <v/>
      </c>
      <c r="P465" s="9">
        <f>IF(OR(M465="",M465=0),"",(O465-M465)/M465)</f>
        <v/>
      </c>
      <c r="Q465" s="7">
        <f>IF(COUNT(D465:L465)=0,"",INDEX($D$1:$L$1,MATCH(MIN(D465:L465),D465:L465,0)))</f>
        <v/>
      </c>
      <c r="R465" s="8" t="n">
        <v>406.73</v>
      </c>
      <c r="S465" s="10" t="n">
        <v>1</v>
      </c>
    </row>
    <row r="466">
      <c r="A466" s="7" t="inlineStr">
        <is>
          <t>MAT-08-290</t>
        </is>
      </c>
      <c r="B466" s="4" t="inlineStr">
        <is>
          <t>Polvo de color para mosaico negro industrial, 5 lb</t>
        </is>
      </c>
      <c r="C466" s="7" t="inlineStr">
        <is>
          <t>unidad</t>
        </is>
      </c>
      <c r="D466" s="8" t="n">
        <v>647.51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>
        <f>IF(COUNT(D466:L466)=0,"",MIN(D466:L466))</f>
        <v/>
      </c>
      <c r="N466" s="8">
        <f>IF(COUNT(D466:L466)=0,"",MEDIAN(D466:L466))</f>
        <v/>
      </c>
      <c r="O466" s="8">
        <f>IF(COUNT(D466:L466)=0,"",MAX(D466:L466))</f>
        <v/>
      </c>
      <c r="P466" s="9">
        <f>IF(OR(M466="",M466=0),"",(O466-M466)/M466)</f>
        <v/>
      </c>
      <c r="Q466" s="7">
        <f>IF(COUNT(D466:L466)=0,"",INDEX($D$1:$L$1,MATCH(MIN(D466:L466),D466:L466,0)))</f>
        <v/>
      </c>
      <c r="R466" s="8" t="n">
        <v>647.51</v>
      </c>
      <c r="S466" s="10" t="n">
        <v>1</v>
      </c>
    </row>
    <row r="467">
      <c r="A467" s="7" t="inlineStr">
        <is>
          <t>MAT-08-291</t>
        </is>
      </c>
      <c r="B467" s="4" t="inlineStr">
        <is>
          <t>Polvo de color para mosaico rojo comercial, 5 lb</t>
        </is>
      </c>
      <c r="C467" s="7" t="inlineStr">
        <is>
          <t>unidad</t>
        </is>
      </c>
      <c r="D467" s="8" t="n">
        <v>333.56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>
        <f>IF(COUNT(D467:L467)=0,"",MIN(D467:L467))</f>
        <v/>
      </c>
      <c r="N467" s="8">
        <f>IF(COUNT(D467:L467)=0,"",MEDIAN(D467:L467))</f>
        <v/>
      </c>
      <c r="O467" s="8">
        <f>IF(COUNT(D467:L467)=0,"",MAX(D467:L467))</f>
        <v/>
      </c>
      <c r="P467" s="9">
        <f>IF(OR(M467="",M467=0),"",(O467-M467)/M467)</f>
        <v/>
      </c>
      <c r="Q467" s="7">
        <f>IF(COUNT(D467:L467)=0,"",INDEX($D$1:$L$1,MATCH(MIN(D467:L467),D467:L467,0)))</f>
        <v/>
      </c>
      <c r="R467" s="8" t="n">
        <v>333.56</v>
      </c>
      <c r="S467" s="10" t="n">
        <v>1</v>
      </c>
    </row>
    <row r="468">
      <c r="A468" s="7" t="inlineStr">
        <is>
          <t>MAT-08-292</t>
        </is>
      </c>
      <c r="B468" s="4" t="inlineStr">
        <is>
          <t>Polvo de color para mosaico rojo industrial, 5 lb</t>
        </is>
      </c>
      <c r="C468" s="7" t="inlineStr">
        <is>
          <t>unidad</t>
        </is>
      </c>
      <c r="D468" s="8" t="n">
        <v>472.9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>
        <f>IF(COUNT(D468:L468)=0,"",MIN(D468:L468))</f>
        <v/>
      </c>
      <c r="N468" s="8">
        <f>IF(COUNT(D468:L468)=0,"",MEDIAN(D468:L468))</f>
        <v/>
      </c>
      <c r="O468" s="8">
        <f>IF(COUNT(D468:L468)=0,"",MAX(D468:L468))</f>
        <v/>
      </c>
      <c r="P468" s="9">
        <f>IF(OR(M468="",M468=0),"",(O468-M468)/M468)</f>
        <v/>
      </c>
      <c r="Q468" s="7">
        <f>IF(COUNT(D468:L468)=0,"",INDEX($D$1:$L$1,MATCH(MIN(D468:L468),D468:L468,0)))</f>
        <v/>
      </c>
      <c r="R468" s="8" t="n">
        <v>472.9</v>
      </c>
      <c r="S468" s="10" t="n">
        <v>1</v>
      </c>
    </row>
    <row r="469">
      <c r="A469" s="7" t="inlineStr">
        <is>
          <t>MAT-08-293</t>
        </is>
      </c>
      <c r="B469" s="4" t="inlineStr">
        <is>
          <t>Polvo de color para mosaico verde comercial, 5 lb</t>
        </is>
      </c>
      <c r="C469" s="7" t="inlineStr">
        <is>
          <t>unidad</t>
        </is>
      </c>
      <c r="D469" s="8" t="n">
        <v>350.7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>
        <f>IF(COUNT(D469:L469)=0,"",MIN(D469:L469))</f>
        <v/>
      </c>
      <c r="N469" s="8">
        <f>IF(COUNT(D469:L469)=0,"",MEDIAN(D469:L469))</f>
        <v/>
      </c>
      <c r="O469" s="8">
        <f>IF(COUNT(D469:L469)=0,"",MAX(D469:L469))</f>
        <v/>
      </c>
      <c r="P469" s="9">
        <f>IF(OR(M469="",M469=0),"",(O469-M469)/M469)</f>
        <v/>
      </c>
      <c r="Q469" s="7">
        <f>IF(COUNT(D469:L469)=0,"",INDEX($D$1:$L$1,MATCH(MIN(D469:L469),D469:L469,0)))</f>
        <v/>
      </c>
      <c r="R469" s="8" t="n">
        <v>350.7</v>
      </c>
      <c r="S469" s="10" t="n">
        <v>1</v>
      </c>
    </row>
    <row r="470">
      <c r="A470" s="7" t="inlineStr">
        <is>
          <t>MAT-08-294</t>
        </is>
      </c>
      <c r="B470" s="4" t="inlineStr">
        <is>
          <t>Polvo de color para mosaico verde industrial, 5 lb</t>
        </is>
      </c>
      <c r="C470" s="7" t="inlineStr">
        <is>
          <t>unidad</t>
        </is>
      </c>
      <c r="D470" s="8" t="n">
        <v>902.88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>
        <f>IF(COUNT(D470:L470)=0,"",MIN(D470:L470))</f>
        <v/>
      </c>
      <c r="N470" s="8">
        <f>IF(COUNT(D470:L470)=0,"",MEDIAN(D470:L470))</f>
        <v/>
      </c>
      <c r="O470" s="8">
        <f>IF(COUNT(D470:L470)=0,"",MAX(D470:L470))</f>
        <v/>
      </c>
      <c r="P470" s="9">
        <f>IF(OR(M470="",M470=0),"",(O470-M470)/M470)</f>
        <v/>
      </c>
      <c r="Q470" s="7">
        <f>IF(COUNT(D470:L470)=0,"",INDEX($D$1:$L$1,MATCH(MIN(D470:L470),D470:L470,0)))</f>
        <v/>
      </c>
      <c r="R470" s="8" t="n">
        <v>902.88</v>
      </c>
      <c r="S470" s="10" t="n">
        <v>1</v>
      </c>
    </row>
    <row r="471">
      <c r="A471" s="7" t="inlineStr">
        <is>
          <t>MAT-08-295</t>
        </is>
      </c>
      <c r="B471" s="4" t="inlineStr">
        <is>
          <t>Polvo de color para mosaico amarillo comercial, 55 lb</t>
        </is>
      </c>
      <c r="C471" s="7" t="inlineStr">
        <is>
          <t>funda</t>
        </is>
      </c>
      <c r="D471" s="8" t="n">
        <v>3195.68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>
        <f>IF(COUNT(D471:L471)=0,"",MIN(D471:L471))</f>
        <v/>
      </c>
      <c r="N471" s="8">
        <f>IF(COUNT(D471:L471)=0,"",MEDIAN(D471:L471))</f>
        <v/>
      </c>
      <c r="O471" s="8">
        <f>IF(COUNT(D471:L471)=0,"",MAX(D471:L471))</f>
        <v/>
      </c>
      <c r="P471" s="9">
        <f>IF(OR(M471="",M471=0),"",(O471-M471)/M471)</f>
        <v/>
      </c>
      <c r="Q471" s="7">
        <f>IF(COUNT(D471:L471)=0,"",INDEX($D$1:$L$1,MATCH(MIN(D471:L471),D471:L471,0)))</f>
        <v/>
      </c>
      <c r="R471" s="8" t="n">
        <v>3195.68</v>
      </c>
      <c r="S471" s="10" t="n">
        <v>1</v>
      </c>
    </row>
    <row r="472">
      <c r="A472" s="7" t="inlineStr">
        <is>
          <t>MAT-08-296</t>
        </is>
      </c>
      <c r="B472" s="4" t="inlineStr">
        <is>
          <t>Polvo de color para mosaico amarillo industrial, 55 lb</t>
        </is>
      </c>
      <c r="C472" s="7" t="inlineStr">
        <is>
          <t>funda</t>
        </is>
      </c>
      <c r="D472" s="8" t="n">
        <v>7742.13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>
        <f>IF(COUNT(D472:L472)=0,"",MIN(D472:L472))</f>
        <v/>
      </c>
      <c r="N472" s="8">
        <f>IF(COUNT(D472:L472)=0,"",MEDIAN(D472:L472))</f>
        <v/>
      </c>
      <c r="O472" s="8">
        <f>IF(COUNT(D472:L472)=0,"",MAX(D472:L472))</f>
        <v/>
      </c>
      <c r="P472" s="9">
        <f>IF(OR(M472="",M472=0),"",(O472-M472)/M472)</f>
        <v/>
      </c>
      <c r="Q472" s="7">
        <f>IF(COUNT(D472:L472)=0,"",INDEX($D$1:$L$1,MATCH(MIN(D472:L472),D472:L472,0)))</f>
        <v/>
      </c>
      <c r="R472" s="8" t="n">
        <v>7742.13</v>
      </c>
      <c r="S472" s="10" t="n">
        <v>1</v>
      </c>
    </row>
    <row r="473">
      <c r="A473" s="7" t="inlineStr">
        <is>
          <t>MAT-08-297</t>
        </is>
      </c>
      <c r="B473" s="4" t="inlineStr">
        <is>
          <t>Polvo de color para mosaico azul comercial, 55 lb</t>
        </is>
      </c>
      <c r="C473" s="7" t="inlineStr">
        <is>
          <t>funda</t>
        </is>
      </c>
      <c r="D473" s="8" t="n">
        <v>4220.23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>
        <f>IF(COUNT(D473:L473)=0,"",MIN(D473:L473))</f>
        <v/>
      </c>
      <c r="N473" s="8">
        <f>IF(COUNT(D473:L473)=0,"",MEDIAN(D473:L473))</f>
        <v/>
      </c>
      <c r="O473" s="8">
        <f>IF(COUNT(D473:L473)=0,"",MAX(D473:L473))</f>
        <v/>
      </c>
      <c r="P473" s="9">
        <f>IF(OR(M473="",M473=0),"",(O473-M473)/M473)</f>
        <v/>
      </c>
      <c r="Q473" s="7">
        <f>IF(COUNT(D473:L473)=0,"",INDEX($D$1:$L$1,MATCH(MIN(D473:L473),D473:L473,0)))</f>
        <v/>
      </c>
      <c r="R473" s="8" t="n">
        <v>4220.23</v>
      </c>
      <c r="S473" s="10" t="n">
        <v>1</v>
      </c>
    </row>
    <row r="474">
      <c r="A474" s="7" t="inlineStr">
        <is>
          <t>MAT-08-298</t>
        </is>
      </c>
      <c r="B474" s="4" t="inlineStr">
        <is>
          <t>Polvo de color para mosaico azul industrial, 55 lb</t>
        </is>
      </c>
      <c r="C474" s="7" t="inlineStr">
        <is>
          <t>funda</t>
        </is>
      </c>
      <c r="D474" s="8" t="n">
        <v>8183.45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>
        <f>IF(COUNT(D474:L474)=0,"",MIN(D474:L474))</f>
        <v/>
      </c>
      <c r="N474" s="8">
        <f>IF(COUNT(D474:L474)=0,"",MEDIAN(D474:L474))</f>
        <v/>
      </c>
      <c r="O474" s="8">
        <f>IF(COUNT(D474:L474)=0,"",MAX(D474:L474))</f>
        <v/>
      </c>
      <c r="P474" s="9">
        <f>IF(OR(M474="",M474=0),"",(O474-M474)/M474)</f>
        <v/>
      </c>
      <c r="Q474" s="7">
        <f>IF(COUNT(D474:L474)=0,"",INDEX($D$1:$L$1,MATCH(MIN(D474:L474),D474:L474,0)))</f>
        <v/>
      </c>
      <c r="R474" s="8" t="n">
        <v>8183.45</v>
      </c>
      <c r="S474" s="10" t="n">
        <v>1</v>
      </c>
    </row>
    <row r="475">
      <c r="A475" s="7" t="inlineStr">
        <is>
          <t>MAT-08-299</t>
        </is>
      </c>
      <c r="B475" s="4" t="inlineStr">
        <is>
          <t>Polvo de color para mosaico negro comercial, 55 lb</t>
        </is>
      </c>
      <c r="C475" s="7" t="inlineStr">
        <is>
          <t>funda</t>
        </is>
      </c>
      <c r="D475" s="8" t="n">
        <v>4640.79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>
        <f>IF(COUNT(D475:L475)=0,"",MIN(D475:L475))</f>
        <v/>
      </c>
      <c r="N475" s="8">
        <f>IF(COUNT(D475:L475)=0,"",MEDIAN(D475:L475))</f>
        <v/>
      </c>
      <c r="O475" s="8">
        <f>IF(COUNT(D475:L475)=0,"",MAX(D475:L475))</f>
        <v/>
      </c>
      <c r="P475" s="9">
        <f>IF(OR(M475="",M475=0),"",(O475-M475)/M475)</f>
        <v/>
      </c>
      <c r="Q475" s="7">
        <f>IF(COUNT(D475:L475)=0,"",INDEX($D$1:$L$1,MATCH(MIN(D475:L475),D475:L475,0)))</f>
        <v/>
      </c>
      <c r="R475" s="8" t="n">
        <v>4640.79</v>
      </c>
      <c r="S475" s="10" t="n">
        <v>1</v>
      </c>
    </row>
    <row r="476">
      <c r="A476" s="7" t="inlineStr">
        <is>
          <t>MAT-08-300</t>
        </is>
      </c>
      <c r="B476" s="4" t="inlineStr">
        <is>
          <t>Polvo de color para mosaico negro industrial, 55 lb</t>
        </is>
      </c>
      <c r="C476" s="7" t="inlineStr">
        <is>
          <t>funda</t>
        </is>
      </c>
      <c r="D476" s="8" t="n">
        <v>6521.15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>
        <f>IF(COUNT(D476:L476)=0,"",MIN(D476:L476))</f>
        <v/>
      </c>
      <c r="N476" s="8">
        <f>IF(COUNT(D476:L476)=0,"",MEDIAN(D476:L476))</f>
        <v/>
      </c>
      <c r="O476" s="8">
        <f>IF(COUNT(D476:L476)=0,"",MAX(D476:L476))</f>
        <v/>
      </c>
      <c r="P476" s="9">
        <f>IF(OR(M476="",M476=0),"",(O476-M476)/M476)</f>
        <v/>
      </c>
      <c r="Q476" s="7">
        <f>IF(COUNT(D476:L476)=0,"",INDEX($D$1:$L$1,MATCH(MIN(D476:L476),D476:L476,0)))</f>
        <v/>
      </c>
      <c r="R476" s="8" t="n">
        <v>6521.15</v>
      </c>
      <c r="S476" s="10" t="n">
        <v>1</v>
      </c>
    </row>
    <row r="477">
      <c r="A477" s="7" t="inlineStr">
        <is>
          <t>MAT-08-301</t>
        </is>
      </c>
      <c r="B477" s="4" t="inlineStr">
        <is>
          <t>Polvo de color para mosaico rojo comercial, 55 lb</t>
        </is>
      </c>
      <c r="C477" s="7" t="inlineStr">
        <is>
          <t>funda</t>
        </is>
      </c>
      <c r="D477" s="8" t="n">
        <v>3350.57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>
        <f>IF(COUNT(D477:L477)=0,"",MIN(D477:L477))</f>
        <v/>
      </c>
      <c r="N477" s="8">
        <f>IF(COUNT(D477:L477)=0,"",MEDIAN(D477:L477))</f>
        <v/>
      </c>
      <c r="O477" s="8">
        <f>IF(COUNT(D477:L477)=0,"",MAX(D477:L477))</f>
        <v/>
      </c>
      <c r="P477" s="9">
        <f>IF(OR(M477="",M477=0),"",(O477-M477)/M477)</f>
        <v/>
      </c>
      <c r="Q477" s="7">
        <f>IF(COUNT(D477:L477)=0,"",INDEX($D$1:$L$1,MATCH(MIN(D477:L477),D477:L477,0)))</f>
        <v/>
      </c>
      <c r="R477" s="8" t="n">
        <v>3350.57</v>
      </c>
      <c r="S477" s="10" t="n">
        <v>1</v>
      </c>
    </row>
    <row r="478">
      <c r="A478" s="7" t="inlineStr">
        <is>
          <t>MAT-08-302</t>
        </is>
      </c>
      <c r="B478" s="4" t="inlineStr">
        <is>
          <t>Polvo de color para mosaico rojo industrial, 55 lb</t>
        </is>
      </c>
      <c r="C478" s="7" t="inlineStr">
        <is>
          <t>funda</t>
        </is>
      </c>
      <c r="D478" s="8" t="n">
        <v>5451.6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>
        <f>IF(COUNT(D478:L478)=0,"",MIN(D478:L478))</f>
        <v/>
      </c>
      <c r="N478" s="8">
        <f>IF(COUNT(D478:L478)=0,"",MEDIAN(D478:L478))</f>
        <v/>
      </c>
      <c r="O478" s="8">
        <f>IF(COUNT(D478:L478)=0,"",MAX(D478:L478))</f>
        <v/>
      </c>
      <c r="P478" s="9">
        <f>IF(OR(M478="",M478=0),"",(O478-M478)/M478)</f>
        <v/>
      </c>
      <c r="Q478" s="7">
        <f>IF(COUNT(D478:L478)=0,"",INDEX($D$1:$L$1,MATCH(MIN(D478:L478),D478:L478,0)))</f>
        <v/>
      </c>
      <c r="R478" s="8" t="n">
        <v>5451.6</v>
      </c>
      <c r="S478" s="10" t="n">
        <v>1</v>
      </c>
    </row>
    <row r="479">
      <c r="A479" s="7" t="inlineStr">
        <is>
          <t>MAT-08-303</t>
        </is>
      </c>
      <c r="B479" s="4" t="inlineStr">
        <is>
          <t>Polvo de color para mosaico verde comercial, 55 lb</t>
        </is>
      </c>
      <c r="C479" s="7" t="inlineStr">
        <is>
          <t>funda</t>
        </is>
      </c>
      <c r="D479" s="8" t="n">
        <v>4017.75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>
        <f>IF(COUNT(D479:L479)=0,"",MIN(D479:L479))</f>
        <v/>
      </c>
      <c r="N479" s="8">
        <f>IF(COUNT(D479:L479)=0,"",MEDIAN(D479:L479))</f>
        <v/>
      </c>
      <c r="O479" s="8">
        <f>IF(COUNT(D479:L479)=0,"",MAX(D479:L479))</f>
        <v/>
      </c>
      <c r="P479" s="9">
        <f>IF(OR(M479="",M479=0),"",(O479-M479)/M479)</f>
        <v/>
      </c>
      <c r="Q479" s="7">
        <f>IF(COUNT(D479:L479)=0,"",INDEX($D$1:$L$1,MATCH(MIN(D479:L479),D479:L479,0)))</f>
        <v/>
      </c>
      <c r="R479" s="8" t="n">
        <v>4017.75</v>
      </c>
      <c r="S479" s="10" t="n">
        <v>1</v>
      </c>
    </row>
    <row r="480">
      <c r="A480" s="7" t="inlineStr">
        <is>
          <t>MAT-08-304</t>
        </is>
      </c>
      <c r="B480" s="4" t="inlineStr">
        <is>
          <t>Polvo de color para mosaico verde industrial, 55 lb</t>
        </is>
      </c>
      <c r="C480" s="7" t="inlineStr">
        <is>
          <t>funda</t>
        </is>
      </c>
      <c r="D480" s="8" t="n">
        <v>9092.93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>
        <f>IF(COUNT(D480:L480)=0,"",MIN(D480:L480))</f>
        <v/>
      </c>
      <c r="N480" s="8">
        <f>IF(COUNT(D480:L480)=0,"",MEDIAN(D480:L480))</f>
        <v/>
      </c>
      <c r="O480" s="8">
        <f>IF(COUNT(D480:L480)=0,"",MAX(D480:L480))</f>
        <v/>
      </c>
      <c r="P480" s="9">
        <f>IF(OR(M480="",M480=0),"",(O480-M480)/M480)</f>
        <v/>
      </c>
      <c r="Q480" s="7">
        <f>IF(COUNT(D480:L480)=0,"",INDEX($D$1:$L$1,MATCH(MIN(D480:L480),D480:L480,0)))</f>
        <v/>
      </c>
      <c r="R480" s="8" t="n">
        <v>9092.93</v>
      </c>
      <c r="S480" s="10" t="n">
        <v>1</v>
      </c>
    </row>
    <row r="481">
      <c r="A481" s="7" t="inlineStr">
        <is>
          <t>MAT-09-009</t>
        </is>
      </c>
      <c r="B481" s="4" t="inlineStr">
        <is>
          <t>Cabezal de ducha</t>
        </is>
      </c>
      <c r="C481" s="7" t="inlineStr">
        <is>
          <t>unidad</t>
        </is>
      </c>
      <c r="D481" s="8" t="n">
        <v>126.44</v>
      </c>
      <c r="E481" s="8" t="n">
        <v>2758.62</v>
      </c>
      <c r="F481" s="8" t="n">
        <v>322</v>
      </c>
      <c r="G481" s="8" t="n">
        <v>2924.04</v>
      </c>
      <c r="H481" s="8" t="n">
        <v>150</v>
      </c>
      <c r="I481" s="8" t="n"/>
      <c r="J481" s="8" t="n"/>
      <c r="K481" s="8" t="n"/>
      <c r="L481" s="8" t="n"/>
      <c r="M481" s="8">
        <f>IF(COUNT(D481:L481)=0,"",MIN(D481:L481))</f>
        <v/>
      </c>
      <c r="N481" s="8">
        <f>IF(COUNT(D481:L481)=0,"",MEDIAN(D481:L481))</f>
        <v/>
      </c>
      <c r="O481" s="8">
        <f>IF(COUNT(D481:L481)=0,"",MAX(D481:L481))</f>
        <v/>
      </c>
      <c r="P481" s="9">
        <f>IF(OR(M481="",M481=0),"",(O481-M481)/M481)</f>
        <v/>
      </c>
      <c r="Q481" s="7">
        <f>IF(COUNT(D481:L481)=0,"",INDEX($D$1:$L$1,MATCH(MIN(D481:L481),D481:L481,0)))</f>
        <v/>
      </c>
      <c r="R481" s="8" t="n">
        <v>1581</v>
      </c>
      <c r="S481" s="10" t="n">
        <v>5</v>
      </c>
    </row>
    <row r="482">
      <c r="A482" s="7" t="inlineStr">
        <is>
          <t>MAT-09-010</t>
        </is>
      </c>
      <c r="B482" s="4" t="inlineStr">
        <is>
          <t>Ducha teléfono</t>
        </is>
      </c>
      <c r="C482" s="7" t="inlineStr">
        <is>
          <t>unidad</t>
        </is>
      </c>
      <c r="D482" s="8" t="n">
        <v>267.91</v>
      </c>
      <c r="E482" s="8" t="n">
        <v>3361.49</v>
      </c>
      <c r="F482" s="8" t="n">
        <v>494</v>
      </c>
      <c r="G482" s="8" t="n"/>
      <c r="H482" s="8" t="n">
        <v>450</v>
      </c>
      <c r="I482" s="8" t="n"/>
      <c r="J482" s="8" t="n"/>
      <c r="K482" s="8" t="n"/>
      <c r="L482" s="8" t="n"/>
      <c r="M482" s="8">
        <f>IF(COUNT(D482:L482)=0,"",MIN(D482:L482))</f>
        <v/>
      </c>
      <c r="N482" s="8">
        <f>IF(COUNT(D482:L482)=0,"",MEDIAN(D482:L482))</f>
        <v/>
      </c>
      <c r="O482" s="8">
        <f>IF(COUNT(D482:L482)=0,"",MAX(D482:L482))</f>
        <v/>
      </c>
      <c r="P482" s="9">
        <f>IF(OR(M482="",M482=0),"",(O482-M482)/M482)</f>
        <v/>
      </c>
      <c r="Q482" s="7">
        <f>IF(COUNT(D482:L482)=0,"",INDEX($D$1:$L$1,MATCH(MIN(D482:L482),D482:L482,0)))</f>
        <v/>
      </c>
      <c r="R482" s="8" t="n">
        <v>811.23</v>
      </c>
      <c r="S482" s="10" t="n">
        <v>4</v>
      </c>
    </row>
    <row r="483">
      <c r="A483" s="7" t="inlineStr">
        <is>
          <t>MAT-09-011</t>
        </is>
      </c>
      <c r="B483" s="4" t="inlineStr">
        <is>
          <t>Columna de ducha</t>
        </is>
      </c>
      <c r="C483" s="7" t="inlineStr">
        <is>
          <t>unidad</t>
        </is>
      </c>
      <c r="D483" s="8" t="n">
        <v>11281.28</v>
      </c>
      <c r="E483" s="8" t="n">
        <v>2894.96</v>
      </c>
      <c r="F483" s="8" t="n">
        <v>6343</v>
      </c>
      <c r="G483" s="8" t="n">
        <v>900</v>
      </c>
      <c r="H483" s="8" t="n"/>
      <c r="I483" s="8" t="n"/>
      <c r="J483" s="8" t="n"/>
      <c r="K483" s="8" t="n"/>
      <c r="L483" s="8" t="n"/>
      <c r="M483" s="8">
        <f>IF(COUNT(D483:L483)=0,"",MIN(D483:L483))</f>
        <v/>
      </c>
      <c r="N483" s="8">
        <f>IF(COUNT(D483:L483)=0,"",MEDIAN(D483:L483))</f>
        <v/>
      </c>
      <c r="O483" s="8">
        <f>IF(COUNT(D483:L483)=0,"",MAX(D483:L483))</f>
        <v/>
      </c>
      <c r="P483" s="9">
        <f>IF(OR(M483="",M483=0),"",(O483-M483)/M483)</f>
        <v/>
      </c>
      <c r="Q483" s="7">
        <f>IF(COUNT(D483:L483)=0,"",INDEX($D$1:$L$1,MATCH(MIN(D483:L483),D483:L483,0)))</f>
        <v/>
      </c>
      <c r="R483" s="8" t="n">
        <v>17325</v>
      </c>
      <c r="S483" s="10" t="n">
        <v>4</v>
      </c>
    </row>
    <row r="484">
      <c r="A484" s="7" t="inlineStr">
        <is>
          <t>MAT-09-012</t>
        </is>
      </c>
      <c r="B484" s="4" t="inlineStr">
        <is>
          <t>Columna de ducha</t>
        </is>
      </c>
      <c r="C484" s="7" t="inlineStr">
        <is>
          <t>unidad</t>
        </is>
      </c>
      <c r="D484" s="8" t="n">
        <v>553.61</v>
      </c>
      <c r="E484" s="8" t="n">
        <v>2847.67</v>
      </c>
      <c r="F484" s="8" t="n"/>
      <c r="G484" s="8" t="n"/>
      <c r="H484" s="8" t="n"/>
      <c r="I484" s="8" t="n"/>
      <c r="J484" s="8" t="n"/>
      <c r="K484" s="8" t="n"/>
      <c r="L484" s="8" t="n"/>
      <c r="M484" s="8">
        <f>IF(COUNT(D484:L484)=0,"",MIN(D484:L484))</f>
        <v/>
      </c>
      <c r="N484" s="8">
        <f>IF(COUNT(D484:L484)=0,"",MEDIAN(D484:L484))</f>
        <v/>
      </c>
      <c r="O484" s="8">
        <f>IF(COUNT(D484:L484)=0,"",MAX(D484:L484))</f>
        <v/>
      </c>
      <c r="P484" s="9">
        <f>IF(OR(M484="",M484=0),"",(O484-M484)/M484)</f>
        <v/>
      </c>
      <c r="Q484" s="7">
        <f>IF(COUNT(D484:L484)=0,"",INDEX($D$1:$L$1,MATCH(MIN(D484:L484),D484:L484,0)))</f>
        <v/>
      </c>
      <c r="R484" s="8" t="n">
        <v>9896.809999999999</v>
      </c>
      <c r="S484" s="10" t="n">
        <v>2</v>
      </c>
    </row>
    <row r="485">
      <c r="A485" s="7" t="inlineStr">
        <is>
          <t>MAT-09-013</t>
        </is>
      </c>
      <c r="B485" s="4" t="inlineStr">
        <is>
          <t>Brazo de ducha</t>
        </is>
      </c>
      <c r="C485" s="7" t="inlineStr">
        <is>
          <t>unidad</t>
        </is>
      </c>
      <c r="D485" s="8" t="n">
        <v>108.23</v>
      </c>
      <c r="E485" s="8" t="n">
        <v>868.64</v>
      </c>
      <c r="F485" s="8" t="n">
        <v>247</v>
      </c>
      <c r="G485" s="8" t="n">
        <v>1390</v>
      </c>
      <c r="H485" s="8" t="n">
        <v>349</v>
      </c>
      <c r="I485" s="8" t="n"/>
      <c r="J485" s="8" t="n"/>
      <c r="K485" s="8" t="n"/>
      <c r="L485" s="8" t="n"/>
      <c r="M485" s="8">
        <f>IF(COUNT(D485:L485)=0,"",MIN(D485:L485))</f>
        <v/>
      </c>
      <c r="N485" s="8">
        <f>IF(COUNT(D485:L485)=0,"",MEDIAN(D485:L485))</f>
        <v/>
      </c>
      <c r="O485" s="8">
        <f>IF(COUNT(D485:L485)=0,"",MAX(D485:L485))</f>
        <v/>
      </c>
      <c r="P485" s="9">
        <f>IF(OR(M485="",M485=0),"",(O485-M485)/M485)</f>
        <v/>
      </c>
      <c r="Q485" s="7">
        <f>IF(COUNT(D485:L485)=0,"",INDEX($D$1:$L$1,MATCH(MIN(D485:L485),D485:L485,0)))</f>
        <v/>
      </c>
      <c r="R485" s="8" t="n">
        <v>1025</v>
      </c>
      <c r="S485" s="10" t="n">
        <v>5</v>
      </c>
    </row>
    <row r="486">
      <c r="A486" s="7" t="inlineStr">
        <is>
          <t>MAT-09-014</t>
        </is>
      </c>
      <c r="B486" s="4" t="inlineStr">
        <is>
          <t>Mezcladora, de baño</t>
        </is>
      </c>
      <c r="C486" s="7" t="inlineStr">
        <is>
          <t>unidad</t>
        </is>
      </c>
      <c r="D486" s="8" t="n"/>
      <c r="E486" s="8" t="n">
        <v>1168.86</v>
      </c>
      <c r="F486" s="8" t="n">
        <v>486</v>
      </c>
      <c r="G486" s="8" t="n">
        <v>1070</v>
      </c>
      <c r="H486" s="8" t="n">
        <v>340</v>
      </c>
      <c r="I486" s="8" t="n"/>
      <c r="J486" s="8" t="n"/>
      <c r="K486" s="8" t="n"/>
      <c r="L486" s="8" t="n"/>
      <c r="M486" s="8">
        <f>IF(COUNT(D486:L486)=0,"",MIN(D486:L486))</f>
        <v/>
      </c>
      <c r="N486" s="8">
        <f>IF(COUNT(D486:L486)=0,"",MEDIAN(D486:L486))</f>
        <v/>
      </c>
      <c r="O486" s="8">
        <f>IF(COUNT(D486:L486)=0,"",MAX(D486:L486))</f>
        <v/>
      </c>
      <c r="P486" s="9">
        <f>IF(OR(M486="",M486=0),"",(O486-M486)/M486)</f>
        <v/>
      </c>
      <c r="Q486" s="7">
        <f>IF(COUNT(D486:L486)=0,"",INDEX($D$1:$L$1,MATCH(MIN(D486:L486),D486:L486,0)))</f>
        <v/>
      </c>
      <c r="R486" s="8" t="n">
        <v>7550.01</v>
      </c>
      <c r="S486" s="10" t="n">
        <v>4</v>
      </c>
    </row>
    <row r="487">
      <c r="A487" s="7" t="inlineStr">
        <is>
          <t>MAT-09-015</t>
        </is>
      </c>
      <c r="B487" s="4" t="inlineStr">
        <is>
          <t>Mezcladora, de baño, con sensor</t>
        </is>
      </c>
      <c r="C487" s="7" t="inlineStr">
        <is>
          <t>unidad</t>
        </is>
      </c>
      <c r="D487" s="8" t="n"/>
      <c r="E487" s="8" t="n">
        <v>2660.81</v>
      </c>
      <c r="F487" s="8" t="n"/>
      <c r="G487" s="8" t="n">
        <v>3832.64</v>
      </c>
      <c r="H487" s="8" t="n">
        <v>740</v>
      </c>
      <c r="I487" s="8" t="n"/>
      <c r="J487" s="8" t="n"/>
      <c r="K487" s="8" t="n"/>
      <c r="L487" s="8" t="n"/>
      <c r="M487" s="8">
        <f>IF(COUNT(D487:L487)=0,"",MIN(D487:L487))</f>
        <v/>
      </c>
      <c r="N487" s="8">
        <f>IF(COUNT(D487:L487)=0,"",MEDIAN(D487:L487))</f>
        <v/>
      </c>
      <c r="O487" s="8">
        <f>IF(COUNT(D487:L487)=0,"",MAX(D487:L487))</f>
        <v/>
      </c>
      <c r="P487" s="9">
        <f>IF(OR(M487="",M487=0),"",(O487-M487)/M487)</f>
        <v/>
      </c>
      <c r="Q487" s="7">
        <f>IF(COUNT(D487:L487)=0,"",INDEX($D$1:$L$1,MATCH(MIN(D487:L487),D487:L487,0)))</f>
        <v/>
      </c>
      <c r="R487" s="8" t="n">
        <v>6499.99</v>
      </c>
      <c r="S487" s="10" t="n">
        <v>3</v>
      </c>
    </row>
    <row r="488">
      <c r="A488" s="7" t="inlineStr">
        <is>
          <t>MAT-09-016</t>
        </is>
      </c>
      <c r="B488" s="4" t="inlineStr">
        <is>
          <t>Mezcladora, de fregadero</t>
        </is>
      </c>
      <c r="C488" s="7" t="inlineStr">
        <is>
          <t>unidad</t>
        </is>
      </c>
      <c r="D488" s="8" t="n"/>
      <c r="E488" s="8" t="n">
        <v>1633.85</v>
      </c>
      <c r="F488" s="8" t="n">
        <v>695</v>
      </c>
      <c r="G488" s="8" t="n">
        <v>1199.99</v>
      </c>
      <c r="H488" s="8" t="n">
        <v>230</v>
      </c>
      <c r="I488" s="8" t="n"/>
      <c r="J488" s="8" t="n"/>
      <c r="K488" s="8" t="n"/>
      <c r="L488" s="8" t="n"/>
      <c r="M488" s="8">
        <f>IF(COUNT(D488:L488)=0,"",MIN(D488:L488))</f>
        <v/>
      </c>
      <c r="N488" s="8">
        <f>IF(COUNT(D488:L488)=0,"",MEDIAN(D488:L488))</f>
        <v/>
      </c>
      <c r="O488" s="8">
        <f>IF(COUNT(D488:L488)=0,"",MAX(D488:L488))</f>
        <v/>
      </c>
      <c r="P488" s="9">
        <f>IF(OR(M488="",M488=0),"",(O488-M488)/M488)</f>
        <v/>
      </c>
      <c r="Q488" s="7">
        <f>IF(COUNT(D488:L488)=0,"",INDEX($D$1:$L$1,MATCH(MIN(D488:L488),D488:L488,0)))</f>
        <v/>
      </c>
      <c r="R488" s="8" t="n">
        <v>3950</v>
      </c>
      <c r="S488" s="10" t="n">
        <v>4</v>
      </c>
    </row>
    <row r="489">
      <c r="A489" s="7" t="inlineStr">
        <is>
          <t>MAT-09-017</t>
        </is>
      </c>
      <c r="B489" s="4" t="inlineStr">
        <is>
          <t>Mezcladora de ducha</t>
        </is>
      </c>
      <c r="C489" s="7" t="inlineStr">
        <is>
          <t>unidad</t>
        </is>
      </c>
      <c r="D489" s="8" t="n">
        <v>2603.89</v>
      </c>
      <c r="E489" s="8" t="n">
        <v>2347.43</v>
      </c>
      <c r="F489" s="8" t="n">
        <v>945</v>
      </c>
      <c r="G489" s="8" t="n">
        <v>2200</v>
      </c>
      <c r="H489" s="8" t="n">
        <v>1215</v>
      </c>
      <c r="I489" s="8" t="n"/>
      <c r="J489" s="8" t="n"/>
      <c r="K489" s="8" t="n"/>
      <c r="L489" s="8" t="n"/>
      <c r="M489" s="8">
        <f>IF(COUNT(D489:L489)=0,"",MIN(D489:L489))</f>
        <v/>
      </c>
      <c r="N489" s="8">
        <f>IF(COUNT(D489:L489)=0,"",MEDIAN(D489:L489))</f>
        <v/>
      </c>
      <c r="O489" s="8">
        <f>IF(COUNT(D489:L489)=0,"",MAX(D489:L489))</f>
        <v/>
      </c>
      <c r="P489" s="9">
        <f>IF(OR(M489="",M489=0),"",(O489-M489)/M489)</f>
        <v/>
      </c>
      <c r="Q489" s="7">
        <f>IF(COUNT(D489:L489)=0,"",INDEX($D$1:$L$1,MATCH(MIN(D489:L489),D489:L489,0)))</f>
        <v/>
      </c>
      <c r="R489" s="8" t="n">
        <v>10950</v>
      </c>
      <c r="S489" s="10" t="n">
        <v>5</v>
      </c>
    </row>
    <row r="490">
      <c r="A490" s="7" t="inlineStr">
        <is>
          <t>MAT-09-018</t>
        </is>
      </c>
      <c r="B490" s="4" t="inlineStr">
        <is>
          <t>Manguera para ducha teléfono</t>
        </is>
      </c>
      <c r="C490" s="7" t="inlineStr">
        <is>
          <t>unidad</t>
        </is>
      </c>
      <c r="D490" s="8" t="n">
        <v>256.18</v>
      </c>
      <c r="E490" s="8" t="n">
        <v>269.5</v>
      </c>
      <c r="F490" s="8" t="n">
        <v>525</v>
      </c>
      <c r="G490" s="8" t="n"/>
      <c r="H490" s="8" t="n"/>
      <c r="I490" s="8" t="n"/>
      <c r="J490" s="8" t="n"/>
      <c r="K490" s="8" t="n"/>
      <c r="L490" s="8" t="n"/>
      <c r="M490" s="8">
        <f>IF(COUNT(D490:L490)=0,"",MIN(D490:L490))</f>
        <v/>
      </c>
      <c r="N490" s="8">
        <f>IF(COUNT(D490:L490)=0,"",MEDIAN(D490:L490))</f>
        <v/>
      </c>
      <c r="O490" s="8">
        <f>IF(COUNT(D490:L490)=0,"",MAX(D490:L490))</f>
        <v/>
      </c>
      <c r="P490" s="9">
        <f>IF(OR(M490="",M490=0),"",(O490-M490)/M490)</f>
        <v/>
      </c>
      <c r="Q490" s="7">
        <f>IF(COUNT(D490:L490)=0,"",INDEX($D$1:$L$1,MATCH(MIN(D490:L490),D490:L490,0)))</f>
        <v/>
      </c>
      <c r="R490" s="8" t="n">
        <v>747.45</v>
      </c>
      <c r="S490" s="10" t="n">
        <v>3</v>
      </c>
    </row>
    <row r="491">
      <c r="A491" s="7" t="inlineStr">
        <is>
          <t>MAT-09-019</t>
        </is>
      </c>
      <c r="B491" s="4" t="inlineStr">
        <is>
          <t>Regulador de gas de doble tanque</t>
        </is>
      </c>
      <c r="C491" s="7" t="inlineStr">
        <is>
          <t>unidad</t>
        </is>
      </c>
      <c r="D491" s="8" t="n"/>
      <c r="E491" s="8" t="n"/>
      <c r="F491" s="8" t="n">
        <v>1139</v>
      </c>
      <c r="G491" s="8" t="n"/>
      <c r="H491" s="8" t="n"/>
      <c r="I491" s="8" t="n"/>
      <c r="J491" s="8" t="n"/>
      <c r="K491" s="8" t="n"/>
      <c r="L491" s="8" t="n"/>
      <c r="M491" s="8">
        <f>IF(COUNT(D491:L491)=0,"",MIN(D491:L491))</f>
        <v/>
      </c>
      <c r="N491" s="8">
        <f>IF(COUNT(D491:L491)=0,"",MEDIAN(D491:L491))</f>
        <v/>
      </c>
      <c r="O491" s="8">
        <f>IF(COUNT(D491:L491)=0,"",MAX(D491:L491))</f>
        <v/>
      </c>
      <c r="P491" s="9">
        <f>IF(OR(M491="",M491=0),"",(O491-M491)/M491)</f>
        <v/>
      </c>
      <c r="Q491" s="7">
        <f>IF(COUNT(D491:L491)=0,"",INDEX($D$1:$L$1,MATCH(MIN(D491:L491),D491:L491,0)))</f>
        <v/>
      </c>
      <c r="R491" s="8" t="n">
        <v>1139</v>
      </c>
      <c r="S491" s="10" t="n">
        <v>1</v>
      </c>
    </row>
    <row r="492">
      <c r="A492" s="7" t="inlineStr">
        <is>
          <t>MAT-09-020</t>
        </is>
      </c>
      <c r="B492" s="4" t="inlineStr">
        <is>
          <t>Regulador de gas grande</t>
        </is>
      </c>
      <c r="C492" s="7" t="inlineStr">
        <is>
          <t>unidad</t>
        </is>
      </c>
      <c r="D492" s="8" t="n"/>
      <c r="E492" s="8" t="n"/>
      <c r="F492" s="8" t="n">
        <v>326</v>
      </c>
      <c r="G492" s="8" t="n"/>
      <c r="H492" s="8" t="n"/>
      <c r="I492" s="8" t="n"/>
      <c r="J492" s="8" t="n"/>
      <c r="K492" s="8" t="n"/>
      <c r="L492" s="8" t="n"/>
      <c r="M492" s="8">
        <f>IF(COUNT(D492:L492)=0,"",MIN(D492:L492))</f>
        <v/>
      </c>
      <c r="N492" s="8">
        <f>IF(COUNT(D492:L492)=0,"",MEDIAN(D492:L492))</f>
        <v/>
      </c>
      <c r="O492" s="8">
        <f>IF(COUNT(D492:L492)=0,"",MAX(D492:L492))</f>
        <v/>
      </c>
      <c r="P492" s="9">
        <f>IF(OR(M492="",M492=0),"",(O492-M492)/M492)</f>
        <v/>
      </c>
      <c r="Q492" s="7">
        <f>IF(COUNT(D492:L492)=0,"",INDEX($D$1:$L$1,MATCH(MIN(D492:L492),D492:L492,0)))</f>
        <v/>
      </c>
      <c r="R492" s="8" t="n">
        <v>656</v>
      </c>
      <c r="S492" s="10" t="n">
        <v>1</v>
      </c>
    </row>
    <row r="493">
      <c r="A493" s="7" t="inlineStr">
        <is>
          <t>MAT-09-021</t>
        </is>
      </c>
      <c r="B493" s="4" t="inlineStr">
        <is>
          <t>Regulador de gas pequeño</t>
        </is>
      </c>
      <c r="C493" s="7" t="inlineStr">
        <is>
          <t>unidad</t>
        </is>
      </c>
      <c r="D493" s="8" t="n"/>
      <c r="E493" s="8" t="n"/>
      <c r="F493" s="8" t="n">
        <v>259</v>
      </c>
      <c r="G493" s="8" t="n"/>
      <c r="H493" s="8" t="n"/>
      <c r="I493" s="8" t="n"/>
      <c r="J493" s="8" t="n"/>
      <c r="K493" s="8" t="n"/>
      <c r="L493" s="8" t="n"/>
      <c r="M493" s="8">
        <f>IF(COUNT(D493:L493)=0,"",MIN(D493:L493))</f>
        <v/>
      </c>
      <c r="N493" s="8">
        <f>IF(COUNT(D493:L493)=0,"",MEDIAN(D493:L493))</f>
        <v/>
      </c>
      <c r="O493" s="8">
        <f>IF(COUNT(D493:L493)=0,"",MAX(D493:L493))</f>
        <v/>
      </c>
      <c r="P493" s="9">
        <f>IF(OR(M493="",M493=0),"",(O493-M493)/M493)</f>
        <v/>
      </c>
      <c r="Q493" s="7">
        <f>IF(COUNT(D493:L493)=0,"",INDEX($D$1:$L$1,MATCH(MIN(D493:L493),D493:L493,0)))</f>
        <v/>
      </c>
      <c r="R493" s="8" t="n">
        <v>509.5</v>
      </c>
      <c r="S493" s="10" t="n">
        <v>1</v>
      </c>
    </row>
    <row r="494">
      <c r="A494" s="7" t="inlineStr">
        <is>
          <t>MAT-09-022</t>
        </is>
      </c>
      <c r="B494" s="4" t="inlineStr">
        <is>
          <t>Pig tail para conexión de gas</t>
        </is>
      </c>
      <c r="C494" s="7" t="inlineStr">
        <is>
          <t>unidad</t>
        </is>
      </c>
      <c r="D494" s="8" t="n"/>
      <c r="E494" s="8" t="n"/>
      <c r="F494" s="8" t="n">
        <v>299</v>
      </c>
      <c r="G494" s="8" t="n"/>
      <c r="H494" s="8" t="n"/>
      <c r="I494" s="8" t="n"/>
      <c r="J494" s="8" t="n"/>
      <c r="K494" s="8" t="n"/>
      <c r="L494" s="8" t="n"/>
      <c r="M494" s="8">
        <f>IF(COUNT(D494:L494)=0,"",MIN(D494:L494))</f>
        <v/>
      </c>
      <c r="N494" s="8">
        <f>IF(COUNT(D494:L494)=0,"",MEDIAN(D494:L494))</f>
        <v/>
      </c>
      <c r="O494" s="8">
        <f>IF(COUNT(D494:L494)=0,"",MAX(D494:L494))</f>
        <v/>
      </c>
      <c r="P494" s="9">
        <f>IF(OR(M494="",M494=0),"",(O494-M494)/M494)</f>
        <v/>
      </c>
      <c r="Q494" s="7">
        <f>IF(COUNT(D494:L494)=0,"",INDEX($D$1:$L$1,MATCH(MIN(D494:L494),D494:L494,0)))</f>
        <v/>
      </c>
      <c r="R494" s="8" t="n">
        <v>489.5</v>
      </c>
      <c r="S494" s="10" t="n">
        <v>1</v>
      </c>
    </row>
    <row r="495">
      <c r="A495" s="7" t="inlineStr">
        <is>
          <t>MAT-09-023</t>
        </is>
      </c>
      <c r="B495" s="4" t="inlineStr">
        <is>
          <t>Llave para tanque de gas 7/8"</t>
        </is>
      </c>
      <c r="C495" s="7" t="inlineStr">
        <is>
          <t>unidad</t>
        </is>
      </c>
      <c r="D495" s="8" t="n"/>
      <c r="E495" s="8" t="n"/>
      <c r="F495" s="8" t="n">
        <v>377</v>
      </c>
      <c r="G495" s="8" t="n"/>
      <c r="H495" s="8" t="n"/>
      <c r="I495" s="8" t="n"/>
      <c r="J495" s="8" t="n"/>
      <c r="K495" s="8" t="n"/>
      <c r="L495" s="8" t="n"/>
      <c r="M495" s="8">
        <f>IF(COUNT(D495:L495)=0,"",MIN(D495:L495))</f>
        <v/>
      </c>
      <c r="N495" s="8">
        <f>IF(COUNT(D495:L495)=0,"",MEDIAN(D495:L495))</f>
        <v/>
      </c>
      <c r="O495" s="8">
        <f>IF(COUNT(D495:L495)=0,"",MAX(D495:L495))</f>
        <v/>
      </c>
      <c r="P495" s="9">
        <f>IF(OR(M495="",M495=0),"",(O495-M495)/M495)</f>
        <v/>
      </c>
      <c r="Q495" s="7">
        <f>IF(COUNT(D495:L495)=0,"",INDEX($D$1:$L$1,MATCH(MIN(D495:L495),D495:L495,0)))</f>
        <v/>
      </c>
      <c r="R495" s="8" t="n">
        <v>377</v>
      </c>
      <c r="S495" s="10" t="n">
        <v>1</v>
      </c>
    </row>
    <row r="496">
      <c r="A496" s="7" t="inlineStr">
        <is>
          <t>MAT-09-024</t>
        </is>
      </c>
      <c r="B496" s="4" t="inlineStr">
        <is>
          <t>Bomba centrífuga de 1 1/3 HP</t>
        </is>
      </c>
      <c r="C496" s="7" t="inlineStr">
        <is>
          <t>unidad</t>
        </is>
      </c>
      <c r="D496" s="8" t="n"/>
      <c r="E496" s="8" t="n"/>
      <c r="F496" s="8" t="n"/>
      <c r="G496" s="8" t="n"/>
      <c r="H496" s="8" t="n">
        <v>11205</v>
      </c>
      <c r="I496" s="8" t="n"/>
      <c r="J496" s="8" t="n"/>
      <c r="K496" s="8" t="n"/>
      <c r="L496" s="8" t="n"/>
      <c r="M496" s="8">
        <f>IF(COUNT(D496:L496)=0,"",MIN(D496:L496))</f>
        <v/>
      </c>
      <c r="N496" s="8">
        <f>IF(COUNT(D496:L496)=0,"",MEDIAN(D496:L496))</f>
        <v/>
      </c>
      <c r="O496" s="8">
        <f>IF(COUNT(D496:L496)=0,"",MAX(D496:L496))</f>
        <v/>
      </c>
      <c r="P496" s="9">
        <f>IF(OR(M496="",M496=0),"",(O496-M496)/M496)</f>
        <v/>
      </c>
      <c r="Q496" s="7">
        <f>IF(COUNT(D496:L496)=0,"",INDEX($D$1:$L$1,MATCH(MIN(D496:L496),D496:L496,0)))</f>
        <v/>
      </c>
      <c r="R496" s="8" t="n">
        <v>11205</v>
      </c>
      <c r="S496" s="10" t="n">
        <v>1</v>
      </c>
    </row>
    <row r="497">
      <c r="A497" s="7" t="inlineStr">
        <is>
          <t>MAT-09-025</t>
        </is>
      </c>
      <c r="B497" s="4" t="inlineStr">
        <is>
          <t>Bomba centrífuga de 1/2 HP</t>
        </is>
      </c>
      <c r="C497" s="7" t="inlineStr">
        <is>
          <t>unidad</t>
        </is>
      </c>
      <c r="D497" s="8" t="n"/>
      <c r="E497" s="8" t="n"/>
      <c r="F497" s="8" t="n"/>
      <c r="G497" s="8" t="n"/>
      <c r="H497" s="8" t="n">
        <v>7989</v>
      </c>
      <c r="I497" s="8" t="n"/>
      <c r="J497" s="8" t="n"/>
      <c r="K497" s="8" t="n"/>
      <c r="L497" s="8" t="n"/>
      <c r="M497" s="8">
        <f>IF(COUNT(D497:L497)=0,"",MIN(D497:L497))</f>
        <v/>
      </c>
      <c r="N497" s="8">
        <f>IF(COUNT(D497:L497)=0,"",MEDIAN(D497:L497))</f>
        <v/>
      </c>
      <c r="O497" s="8">
        <f>IF(COUNT(D497:L497)=0,"",MAX(D497:L497))</f>
        <v/>
      </c>
      <c r="P497" s="9">
        <f>IF(OR(M497="",M497=0),"",(O497-M497)/M497)</f>
        <v/>
      </c>
      <c r="Q497" s="7">
        <f>IF(COUNT(D497:L497)=0,"",INDEX($D$1:$L$1,MATCH(MIN(D497:L497),D497:L497,0)))</f>
        <v/>
      </c>
      <c r="R497" s="8" t="n">
        <v>7989</v>
      </c>
      <c r="S497" s="10" t="n">
        <v>1</v>
      </c>
    </row>
    <row r="498">
      <c r="A498" s="7" t="inlineStr">
        <is>
          <t>MAT-09-026</t>
        </is>
      </c>
      <c r="B498" s="4" t="inlineStr">
        <is>
          <t>Bomba centrífuga de 15 HP</t>
        </is>
      </c>
      <c r="C498" s="7" t="inlineStr">
        <is>
          <t>unidad</t>
        </is>
      </c>
      <c r="D498" s="8" t="n"/>
      <c r="E498" s="8" t="n"/>
      <c r="F498" s="8" t="n"/>
      <c r="G498" s="8" t="n"/>
      <c r="H498" s="8" t="n">
        <v>30539</v>
      </c>
      <c r="I498" s="8" t="n"/>
      <c r="J498" s="8" t="n"/>
      <c r="K498" s="8" t="n"/>
      <c r="L498" s="8" t="n"/>
      <c r="M498" s="8">
        <f>IF(COUNT(D498:L498)=0,"",MIN(D498:L498))</f>
        <v/>
      </c>
      <c r="N498" s="8">
        <f>IF(COUNT(D498:L498)=0,"",MEDIAN(D498:L498))</f>
        <v/>
      </c>
      <c r="O498" s="8">
        <f>IF(COUNT(D498:L498)=0,"",MAX(D498:L498))</f>
        <v/>
      </c>
      <c r="P498" s="9">
        <f>IF(OR(M498="",M498=0),"",(O498-M498)/M498)</f>
        <v/>
      </c>
      <c r="Q498" s="7">
        <f>IF(COUNT(D498:L498)=0,"",INDEX($D$1:$L$1,MATCH(MIN(D498:L498),D498:L498,0)))</f>
        <v/>
      </c>
      <c r="R498" s="8" t="n">
        <v>30539</v>
      </c>
      <c r="S498" s="10" t="n">
        <v>1</v>
      </c>
    </row>
    <row r="499">
      <c r="A499" s="7" t="inlineStr">
        <is>
          <t>MAT-09-027</t>
        </is>
      </c>
      <c r="B499" s="4" t="inlineStr">
        <is>
          <t>Bomba centrífuga de 3/4 HP</t>
        </is>
      </c>
      <c r="C499" s="7" t="inlineStr">
        <is>
          <t>unidad</t>
        </is>
      </c>
      <c r="D499" s="8" t="n"/>
      <c r="E499" s="8" t="n"/>
      <c r="F499" s="8" t="n"/>
      <c r="G499" s="8" t="n"/>
      <c r="H499" s="8" t="n">
        <v>7849</v>
      </c>
      <c r="I499" s="8" t="n"/>
      <c r="J499" s="8" t="n"/>
      <c r="K499" s="8" t="n"/>
      <c r="L499" s="8" t="n"/>
      <c r="M499" s="8">
        <f>IF(COUNT(D499:L499)=0,"",MIN(D499:L499))</f>
        <v/>
      </c>
      <c r="N499" s="8">
        <f>IF(COUNT(D499:L499)=0,"",MEDIAN(D499:L499))</f>
        <v/>
      </c>
      <c r="O499" s="8">
        <f>IF(COUNT(D499:L499)=0,"",MAX(D499:L499))</f>
        <v/>
      </c>
      <c r="P499" s="9">
        <f>IF(OR(M499="",M499=0),"",(O499-M499)/M499)</f>
        <v/>
      </c>
      <c r="Q499" s="7">
        <f>IF(COUNT(D499:L499)=0,"",INDEX($D$1:$L$1,MATCH(MIN(D499:L499),D499:L499,0)))</f>
        <v/>
      </c>
      <c r="R499" s="8" t="n">
        <v>8672</v>
      </c>
      <c r="S499" s="10" t="n">
        <v>1</v>
      </c>
    </row>
    <row r="500">
      <c r="A500" s="7" t="inlineStr">
        <is>
          <t>MAT-09-028</t>
        </is>
      </c>
      <c r="B500" s="4" t="inlineStr">
        <is>
          <t>Bomba centrífuga de 6 1/2 HP</t>
        </is>
      </c>
      <c r="C500" s="7" t="inlineStr">
        <is>
          <t>unidad</t>
        </is>
      </c>
      <c r="D500" s="8" t="n"/>
      <c r="E500" s="8" t="n"/>
      <c r="F500" s="8" t="n"/>
      <c r="G500" s="8" t="n"/>
      <c r="H500" s="8" t="n">
        <v>13189</v>
      </c>
      <c r="I500" s="8" t="n"/>
      <c r="J500" s="8" t="n"/>
      <c r="K500" s="8" t="n"/>
      <c r="L500" s="8" t="n"/>
      <c r="M500" s="8">
        <f>IF(COUNT(D500:L500)=0,"",MIN(D500:L500))</f>
        <v/>
      </c>
      <c r="N500" s="8">
        <f>IF(COUNT(D500:L500)=0,"",MEDIAN(D500:L500))</f>
        <v/>
      </c>
      <c r="O500" s="8">
        <f>IF(COUNT(D500:L500)=0,"",MAX(D500:L500))</f>
        <v/>
      </c>
      <c r="P500" s="9">
        <f>IF(OR(M500="",M500=0),"",(O500-M500)/M500)</f>
        <v/>
      </c>
      <c r="Q500" s="7">
        <f>IF(COUNT(D500:L500)=0,"",INDEX($D$1:$L$1,MATCH(MIN(D500:L500),D500:L500,0)))</f>
        <v/>
      </c>
      <c r="R500" s="8" t="n">
        <v>13189</v>
      </c>
      <c r="S500" s="10" t="n">
        <v>1</v>
      </c>
    </row>
    <row r="501">
      <c r="A501" s="7" t="inlineStr">
        <is>
          <t>MAT-09-029</t>
        </is>
      </c>
      <c r="B501" s="4" t="inlineStr">
        <is>
          <t>Bomba de cisterna de 1/2 HP</t>
        </is>
      </c>
      <c r="C501" s="7" t="inlineStr">
        <is>
          <t>unidad</t>
        </is>
      </c>
      <c r="D501" s="8" t="n"/>
      <c r="E501" s="8" t="n"/>
      <c r="F501" s="8" t="n">
        <v>7106</v>
      </c>
      <c r="G501" s="8" t="n"/>
      <c r="H501" s="8" t="n"/>
      <c r="I501" s="8" t="n"/>
      <c r="J501" s="8" t="n"/>
      <c r="K501" s="8" t="n"/>
      <c r="L501" s="8" t="n"/>
      <c r="M501" s="8">
        <f>IF(COUNT(D501:L501)=0,"",MIN(D501:L501))</f>
        <v/>
      </c>
      <c r="N501" s="8">
        <f>IF(COUNT(D501:L501)=0,"",MEDIAN(D501:L501))</f>
        <v/>
      </c>
      <c r="O501" s="8">
        <f>IF(COUNT(D501:L501)=0,"",MAX(D501:L501))</f>
        <v/>
      </c>
      <c r="P501" s="9">
        <f>IF(OR(M501="",M501=0),"",(O501-M501)/M501)</f>
        <v/>
      </c>
      <c r="Q501" s="7">
        <f>IF(COUNT(D501:L501)=0,"",INDEX($D$1:$L$1,MATCH(MIN(D501:L501),D501:L501,0)))</f>
        <v/>
      </c>
      <c r="R501" s="8" t="n">
        <v>7106</v>
      </c>
      <c r="S501" s="10" t="n">
        <v>1</v>
      </c>
    </row>
    <row r="502">
      <c r="A502" s="7" t="inlineStr">
        <is>
          <t>MAT-09-030</t>
        </is>
      </c>
      <c r="B502" s="4" t="inlineStr">
        <is>
          <t>Bomba ladrona de 1/2 HP</t>
        </is>
      </c>
      <c r="C502" s="7" t="inlineStr">
        <is>
          <t>unidad</t>
        </is>
      </c>
      <c r="D502" s="8" t="n"/>
      <c r="E502" s="8" t="n"/>
      <c r="F502" s="8" t="n">
        <v>2670</v>
      </c>
      <c r="G502" s="8" t="n"/>
      <c r="H502" s="8" t="n"/>
      <c r="I502" s="8" t="n"/>
      <c r="J502" s="8" t="n"/>
      <c r="K502" s="8" t="n"/>
      <c r="L502" s="8" t="n"/>
      <c r="M502" s="8">
        <f>IF(COUNT(D502:L502)=0,"",MIN(D502:L502))</f>
        <v/>
      </c>
      <c r="N502" s="8">
        <f>IF(COUNT(D502:L502)=0,"",MEDIAN(D502:L502))</f>
        <v/>
      </c>
      <c r="O502" s="8">
        <f>IF(COUNT(D502:L502)=0,"",MAX(D502:L502))</f>
        <v/>
      </c>
      <c r="P502" s="9">
        <f>IF(OR(M502="",M502=0),"",(O502-M502)/M502)</f>
        <v/>
      </c>
      <c r="Q502" s="7">
        <f>IF(COUNT(D502:L502)=0,"",INDEX($D$1:$L$1,MATCH(MIN(D502:L502),D502:L502,0)))</f>
        <v/>
      </c>
      <c r="R502" s="8" t="n">
        <v>3957</v>
      </c>
      <c r="S502" s="10" t="n">
        <v>1</v>
      </c>
    </row>
    <row r="503">
      <c r="A503" s="7" t="inlineStr">
        <is>
          <t>MAT-09-031</t>
        </is>
      </c>
      <c r="B503" s="4" t="inlineStr">
        <is>
          <t>Bomba periférica de 1 HP</t>
        </is>
      </c>
      <c r="C503" s="7" t="inlineStr">
        <is>
          <t>unidad</t>
        </is>
      </c>
      <c r="D503" s="8" t="n"/>
      <c r="E503" s="8" t="n"/>
      <c r="F503" s="8" t="n"/>
      <c r="G503" s="8" t="n"/>
      <c r="H503" s="8" t="n">
        <v>5719</v>
      </c>
      <c r="I503" s="8" t="n"/>
      <c r="J503" s="8" t="n"/>
      <c r="K503" s="8" t="n"/>
      <c r="L503" s="8" t="n"/>
      <c r="M503" s="8">
        <f>IF(COUNT(D503:L503)=0,"",MIN(D503:L503))</f>
        <v/>
      </c>
      <c r="N503" s="8">
        <f>IF(COUNT(D503:L503)=0,"",MEDIAN(D503:L503))</f>
        <v/>
      </c>
      <c r="O503" s="8">
        <f>IF(COUNT(D503:L503)=0,"",MAX(D503:L503))</f>
        <v/>
      </c>
      <c r="P503" s="9">
        <f>IF(OR(M503="",M503=0),"",(O503-M503)/M503)</f>
        <v/>
      </c>
      <c r="Q503" s="7">
        <f>IF(COUNT(D503:L503)=0,"",INDEX($D$1:$L$1,MATCH(MIN(D503:L503),D503:L503,0)))</f>
        <v/>
      </c>
      <c r="R503" s="8" t="n">
        <v>5719</v>
      </c>
      <c r="S503" s="10" t="n">
        <v>1</v>
      </c>
    </row>
    <row r="504">
      <c r="A504" s="7" t="inlineStr">
        <is>
          <t>MAT-09-032</t>
        </is>
      </c>
      <c r="B504" s="4" t="inlineStr">
        <is>
          <t>Bomba periférica de 1/2 HP</t>
        </is>
      </c>
      <c r="C504" s="7" t="inlineStr">
        <is>
          <t>unidad</t>
        </is>
      </c>
      <c r="D504" s="8" t="n"/>
      <c r="E504" s="8" t="n"/>
      <c r="F504" s="8" t="n"/>
      <c r="G504" s="8" t="n"/>
      <c r="H504" s="8" t="n">
        <v>1995</v>
      </c>
      <c r="I504" s="8" t="n"/>
      <c r="J504" s="8" t="n"/>
      <c r="K504" s="8" t="n"/>
      <c r="L504" s="8" t="n"/>
      <c r="M504" s="8">
        <f>IF(COUNT(D504:L504)=0,"",MIN(D504:L504))</f>
        <v/>
      </c>
      <c r="N504" s="8">
        <f>IF(COUNT(D504:L504)=0,"",MEDIAN(D504:L504))</f>
        <v/>
      </c>
      <c r="O504" s="8">
        <f>IF(COUNT(D504:L504)=0,"",MAX(D504:L504))</f>
        <v/>
      </c>
      <c r="P504" s="9">
        <f>IF(OR(M504="",M504=0),"",(O504-M504)/M504)</f>
        <v/>
      </c>
      <c r="Q504" s="7">
        <f>IF(COUNT(D504:L504)=0,"",INDEX($D$1:$L$1,MATCH(MIN(D504:L504),D504:L504,0)))</f>
        <v/>
      </c>
      <c r="R504" s="8" t="n">
        <v>1995</v>
      </c>
      <c r="S504" s="10" t="n">
        <v>1</v>
      </c>
    </row>
    <row r="505">
      <c r="A505" s="7" t="inlineStr">
        <is>
          <t>MAT-09-033</t>
        </is>
      </c>
      <c r="B505" s="4" t="inlineStr">
        <is>
          <t>Bomba periférica de 3/4 HP</t>
        </is>
      </c>
      <c r="C505" s="7" t="inlineStr">
        <is>
          <t>unidad</t>
        </is>
      </c>
      <c r="D505" s="8" t="n"/>
      <c r="E505" s="8" t="n"/>
      <c r="F505" s="8" t="n"/>
      <c r="G505" s="8" t="n"/>
      <c r="H505" s="8" t="n">
        <v>5079</v>
      </c>
      <c r="I505" s="8" t="n"/>
      <c r="J505" s="8" t="n"/>
      <c r="K505" s="8" t="n"/>
      <c r="L505" s="8" t="n"/>
      <c r="M505" s="8">
        <f>IF(COUNT(D505:L505)=0,"",MIN(D505:L505))</f>
        <v/>
      </c>
      <c r="N505" s="8">
        <f>IF(COUNT(D505:L505)=0,"",MEDIAN(D505:L505))</f>
        <v/>
      </c>
      <c r="O505" s="8">
        <f>IF(COUNT(D505:L505)=0,"",MAX(D505:L505))</f>
        <v/>
      </c>
      <c r="P505" s="9">
        <f>IF(OR(M505="",M505=0),"",(O505-M505)/M505)</f>
        <v/>
      </c>
      <c r="Q505" s="7">
        <f>IF(COUNT(D505:L505)=0,"",INDEX($D$1:$L$1,MATCH(MIN(D505:L505),D505:L505,0)))</f>
        <v/>
      </c>
      <c r="R505" s="8" t="n">
        <v>5079</v>
      </c>
      <c r="S505" s="10" t="n">
        <v>1</v>
      </c>
    </row>
    <row r="506">
      <c r="A506" s="7" t="inlineStr">
        <is>
          <t>MAT-09-034</t>
        </is>
      </c>
      <c r="B506" s="4" t="inlineStr">
        <is>
          <t>Bomba presurizadora de 1/2 HP</t>
        </is>
      </c>
      <c r="C506" s="7" t="inlineStr">
        <is>
          <t>unidad</t>
        </is>
      </c>
      <c r="D506" s="8" t="n"/>
      <c r="E506" s="8" t="n"/>
      <c r="F506" s="8" t="n">
        <v>5075</v>
      </c>
      <c r="G506" s="8" t="n"/>
      <c r="H506" s="8" t="n"/>
      <c r="I506" s="8" t="n"/>
      <c r="J506" s="8" t="n"/>
      <c r="K506" s="8" t="n"/>
      <c r="L506" s="8" t="n"/>
      <c r="M506" s="8">
        <f>IF(COUNT(D506:L506)=0,"",MIN(D506:L506))</f>
        <v/>
      </c>
      <c r="N506" s="8">
        <f>IF(COUNT(D506:L506)=0,"",MEDIAN(D506:L506))</f>
        <v/>
      </c>
      <c r="O506" s="8">
        <f>IF(COUNT(D506:L506)=0,"",MAX(D506:L506))</f>
        <v/>
      </c>
      <c r="P506" s="9">
        <f>IF(OR(M506="",M506=0),"",(O506-M506)/M506)</f>
        <v/>
      </c>
      <c r="Q506" s="7">
        <f>IF(COUNT(D506:L506)=0,"",INDEX($D$1:$L$1,MATCH(MIN(D506:L506),D506:L506,0)))</f>
        <v/>
      </c>
      <c r="R506" s="8" t="n">
        <v>5075</v>
      </c>
      <c r="S506" s="10" t="n">
        <v>1</v>
      </c>
    </row>
    <row r="507">
      <c r="A507" s="7" t="inlineStr">
        <is>
          <t>MAT-09-035</t>
        </is>
      </c>
      <c r="B507" s="4" t="inlineStr">
        <is>
          <t>Bomba presurizadora de 1/3 HP</t>
        </is>
      </c>
      <c r="C507" s="7" t="inlineStr">
        <is>
          <t>unidad</t>
        </is>
      </c>
      <c r="D507" s="8" t="n"/>
      <c r="E507" s="8" t="n"/>
      <c r="F507" s="8" t="n">
        <v>4914</v>
      </c>
      <c r="G507" s="8" t="n"/>
      <c r="H507" s="8" t="n"/>
      <c r="I507" s="8" t="n"/>
      <c r="J507" s="8" t="n"/>
      <c r="K507" s="8" t="n"/>
      <c r="L507" s="8" t="n"/>
      <c r="M507" s="8">
        <f>IF(COUNT(D507:L507)=0,"",MIN(D507:L507))</f>
        <v/>
      </c>
      <c r="N507" s="8">
        <f>IF(COUNT(D507:L507)=0,"",MEDIAN(D507:L507))</f>
        <v/>
      </c>
      <c r="O507" s="8">
        <f>IF(COUNT(D507:L507)=0,"",MAX(D507:L507))</f>
        <v/>
      </c>
      <c r="P507" s="9">
        <f>IF(OR(M507="",M507=0),"",(O507-M507)/M507)</f>
        <v/>
      </c>
      <c r="Q507" s="7">
        <f>IF(COUNT(D507:L507)=0,"",INDEX($D$1:$L$1,MATCH(MIN(D507:L507),D507:L507,0)))</f>
        <v/>
      </c>
      <c r="R507" s="8" t="n">
        <v>4914</v>
      </c>
      <c r="S507" s="10" t="n">
        <v>1</v>
      </c>
    </row>
    <row r="508">
      <c r="A508" s="7" t="inlineStr">
        <is>
          <t>MAT-09-036</t>
        </is>
      </c>
      <c r="B508" s="4" t="inlineStr">
        <is>
          <t>Bomba presurizadora de 1/6 HP</t>
        </is>
      </c>
      <c r="C508" s="7" t="inlineStr">
        <is>
          <t>unidad</t>
        </is>
      </c>
      <c r="D508" s="8" t="n"/>
      <c r="E508" s="8" t="n"/>
      <c r="F508" s="8" t="n">
        <v>2911</v>
      </c>
      <c r="G508" s="8" t="n"/>
      <c r="H508" s="8" t="n"/>
      <c r="I508" s="8" t="n"/>
      <c r="J508" s="8" t="n"/>
      <c r="K508" s="8" t="n"/>
      <c r="L508" s="8" t="n"/>
      <c r="M508" s="8">
        <f>IF(COUNT(D508:L508)=0,"",MIN(D508:L508))</f>
        <v/>
      </c>
      <c r="N508" s="8">
        <f>IF(COUNT(D508:L508)=0,"",MEDIAN(D508:L508))</f>
        <v/>
      </c>
      <c r="O508" s="8">
        <f>IF(COUNT(D508:L508)=0,"",MAX(D508:L508))</f>
        <v/>
      </c>
      <c r="P508" s="9">
        <f>IF(OR(M508="",M508=0),"",(O508-M508)/M508)</f>
        <v/>
      </c>
      <c r="Q508" s="7">
        <f>IF(COUNT(D508:L508)=0,"",INDEX($D$1:$L$1,MATCH(MIN(D508:L508),D508:L508,0)))</f>
        <v/>
      </c>
      <c r="R508" s="8" t="n">
        <v>2911</v>
      </c>
      <c r="S508" s="10" t="n">
        <v>1</v>
      </c>
    </row>
    <row r="509">
      <c r="A509" s="7" t="inlineStr">
        <is>
          <t>MAT-09-037</t>
        </is>
      </c>
      <c r="B509" s="4" t="inlineStr">
        <is>
          <t>Bomba sumergible de 1 HP</t>
        </is>
      </c>
      <c r="C509" s="7" t="inlineStr">
        <is>
          <t>unidad</t>
        </is>
      </c>
      <c r="D509" s="8" t="n"/>
      <c r="E509" s="8" t="n"/>
      <c r="F509" s="8" t="n"/>
      <c r="G509" s="8" t="n"/>
      <c r="H509" s="8" t="n">
        <v>1920</v>
      </c>
      <c r="I509" s="8" t="n"/>
      <c r="J509" s="8" t="n"/>
      <c r="K509" s="8" t="n"/>
      <c r="L509" s="8" t="n"/>
      <c r="M509" s="8">
        <f>IF(COUNT(D509:L509)=0,"",MIN(D509:L509))</f>
        <v/>
      </c>
      <c r="N509" s="8">
        <f>IF(COUNT(D509:L509)=0,"",MEDIAN(D509:L509))</f>
        <v/>
      </c>
      <c r="O509" s="8">
        <f>IF(COUNT(D509:L509)=0,"",MAX(D509:L509))</f>
        <v/>
      </c>
      <c r="P509" s="9">
        <f>IF(OR(M509="",M509=0),"",(O509-M509)/M509)</f>
        <v/>
      </c>
      <c r="Q509" s="7">
        <f>IF(COUNT(D509:L509)=0,"",INDEX($D$1:$L$1,MATCH(MIN(D509:L509),D509:L509,0)))</f>
        <v/>
      </c>
      <c r="R509" s="8" t="n">
        <v>5255</v>
      </c>
      <c r="S509" s="10" t="n">
        <v>1</v>
      </c>
    </row>
    <row r="510">
      <c r="A510" s="7" t="inlineStr">
        <is>
          <t>MAT-09-038</t>
        </is>
      </c>
      <c r="B510" s="4" t="inlineStr">
        <is>
          <t>Bomba sumergible de 1 1/2 HP</t>
        </is>
      </c>
      <c r="C510" s="7" t="inlineStr">
        <is>
          <t>unidad</t>
        </is>
      </c>
      <c r="D510" s="8" t="n"/>
      <c r="E510" s="8" t="n"/>
      <c r="F510" s="8" t="n"/>
      <c r="G510" s="8" t="n"/>
      <c r="H510" s="8" t="n">
        <v>14569</v>
      </c>
      <c r="I510" s="8" t="n"/>
      <c r="J510" s="8" t="n"/>
      <c r="K510" s="8" t="n"/>
      <c r="L510" s="8" t="n"/>
      <c r="M510" s="8">
        <f>IF(COUNT(D510:L510)=0,"",MIN(D510:L510))</f>
        <v/>
      </c>
      <c r="N510" s="8">
        <f>IF(COUNT(D510:L510)=0,"",MEDIAN(D510:L510))</f>
        <v/>
      </c>
      <c r="O510" s="8">
        <f>IF(COUNT(D510:L510)=0,"",MAX(D510:L510))</f>
        <v/>
      </c>
      <c r="P510" s="9">
        <f>IF(OR(M510="",M510=0),"",(O510-M510)/M510)</f>
        <v/>
      </c>
      <c r="Q510" s="7">
        <f>IF(COUNT(D510:L510)=0,"",INDEX($D$1:$L$1,MATCH(MIN(D510:L510),D510:L510,0)))</f>
        <v/>
      </c>
      <c r="R510" s="8" t="n">
        <v>14569</v>
      </c>
      <c r="S510" s="10" t="n">
        <v>1</v>
      </c>
    </row>
    <row r="511">
      <c r="A511" s="7" t="inlineStr">
        <is>
          <t>MAT-09-039</t>
        </is>
      </c>
      <c r="B511" s="4" t="inlineStr">
        <is>
          <t>Bomba sumergible de 1/2 HP</t>
        </is>
      </c>
      <c r="C511" s="7" t="inlineStr">
        <is>
          <t>unidad</t>
        </is>
      </c>
      <c r="D511" s="8" t="n"/>
      <c r="E511" s="8" t="n"/>
      <c r="F511" s="8" t="n"/>
      <c r="G511" s="8" t="n"/>
      <c r="H511" s="8" t="n">
        <v>2835</v>
      </c>
      <c r="I511" s="8" t="n"/>
      <c r="J511" s="8" t="n"/>
      <c r="K511" s="8" t="n"/>
      <c r="L511" s="8" t="n"/>
      <c r="M511" s="8">
        <f>IF(COUNT(D511:L511)=0,"",MIN(D511:L511))</f>
        <v/>
      </c>
      <c r="N511" s="8">
        <f>IF(COUNT(D511:L511)=0,"",MEDIAN(D511:L511))</f>
        <v/>
      </c>
      <c r="O511" s="8">
        <f>IF(COUNT(D511:L511)=0,"",MAX(D511:L511))</f>
        <v/>
      </c>
      <c r="P511" s="9">
        <f>IF(OR(M511="",M511=0),"",(O511-M511)/M511)</f>
        <v/>
      </c>
      <c r="Q511" s="7">
        <f>IF(COUNT(D511:L511)=0,"",INDEX($D$1:$L$1,MATCH(MIN(D511:L511),D511:L511,0)))</f>
        <v/>
      </c>
      <c r="R511" s="8" t="n">
        <v>8607</v>
      </c>
      <c r="S511" s="10" t="n">
        <v>1</v>
      </c>
    </row>
    <row r="512">
      <c r="A512" s="7" t="inlineStr">
        <is>
          <t>MAT-09-040</t>
        </is>
      </c>
      <c r="B512" s="4" t="inlineStr">
        <is>
          <t>Bomba sumergible de 2 HP</t>
        </is>
      </c>
      <c r="C512" s="7" t="inlineStr">
        <is>
          <t>unidad</t>
        </is>
      </c>
      <c r="D512" s="8" t="n"/>
      <c r="E512" s="8" t="n"/>
      <c r="F512" s="8" t="n"/>
      <c r="G512" s="8" t="n"/>
      <c r="H512" s="8" t="n">
        <v>16615</v>
      </c>
      <c r="I512" s="8" t="n"/>
      <c r="J512" s="8" t="n"/>
      <c r="K512" s="8" t="n"/>
      <c r="L512" s="8" t="n"/>
      <c r="M512" s="8">
        <f>IF(COUNT(D512:L512)=0,"",MIN(D512:L512))</f>
        <v/>
      </c>
      <c r="N512" s="8">
        <f>IF(COUNT(D512:L512)=0,"",MEDIAN(D512:L512))</f>
        <v/>
      </c>
      <c r="O512" s="8">
        <f>IF(COUNT(D512:L512)=0,"",MAX(D512:L512))</f>
        <v/>
      </c>
      <c r="P512" s="9">
        <f>IF(OR(M512="",M512=0),"",(O512-M512)/M512)</f>
        <v/>
      </c>
      <c r="Q512" s="7">
        <f>IF(COUNT(D512:L512)=0,"",INDEX($D$1:$L$1,MATCH(MIN(D512:L512),D512:L512,0)))</f>
        <v/>
      </c>
      <c r="R512" s="8" t="n">
        <v>16615</v>
      </c>
      <c r="S512" s="10" t="n">
        <v>1</v>
      </c>
    </row>
    <row r="513">
      <c r="A513" s="7" t="inlineStr">
        <is>
          <t>MAT-09-041</t>
        </is>
      </c>
      <c r="B513" s="4" t="inlineStr">
        <is>
          <t>Bomba sumergible de 3/4 HP</t>
        </is>
      </c>
      <c r="C513" s="7" t="inlineStr">
        <is>
          <t>unidad</t>
        </is>
      </c>
      <c r="D513" s="8" t="n"/>
      <c r="E513" s="8" t="n"/>
      <c r="F513" s="8" t="n"/>
      <c r="G513" s="8" t="n"/>
      <c r="H513" s="8" t="n">
        <v>2999</v>
      </c>
      <c r="I513" s="8" t="n"/>
      <c r="J513" s="8" t="n"/>
      <c r="K513" s="8" t="n"/>
      <c r="L513" s="8" t="n"/>
      <c r="M513" s="8">
        <f>IF(COUNT(D513:L513)=0,"",MIN(D513:L513))</f>
        <v/>
      </c>
      <c r="N513" s="8">
        <f>IF(COUNT(D513:L513)=0,"",MEDIAN(D513:L513))</f>
        <v/>
      </c>
      <c r="O513" s="8">
        <f>IF(COUNT(D513:L513)=0,"",MAX(D513:L513))</f>
        <v/>
      </c>
      <c r="P513" s="9">
        <f>IF(OR(M513="",M513=0),"",(O513-M513)/M513)</f>
        <v/>
      </c>
      <c r="Q513" s="7">
        <f>IF(COUNT(D513:L513)=0,"",INDEX($D$1:$L$1,MATCH(MIN(D513:L513),D513:L513,0)))</f>
        <v/>
      </c>
      <c r="R513" s="8" t="n">
        <v>2999</v>
      </c>
      <c r="S513" s="10" t="n">
        <v>1</v>
      </c>
    </row>
    <row r="514">
      <c r="A514" s="7" t="inlineStr">
        <is>
          <t>MAT-09-042</t>
        </is>
      </c>
      <c r="B514" s="4" t="inlineStr">
        <is>
          <t>Tanque presurizado de 24 litros</t>
        </is>
      </c>
      <c r="C514" s="7" t="inlineStr">
        <is>
          <t>unidad</t>
        </is>
      </c>
      <c r="D514" s="8" t="n"/>
      <c r="E514" s="8" t="n"/>
      <c r="F514" s="8" t="n">
        <v>1825</v>
      </c>
      <c r="G514" s="8" t="n"/>
      <c r="H514" s="8" t="n"/>
      <c r="I514" s="8" t="n"/>
      <c r="J514" s="8" t="n"/>
      <c r="K514" s="8" t="n"/>
      <c r="L514" s="8" t="n"/>
      <c r="M514" s="8">
        <f>IF(COUNT(D514:L514)=0,"",MIN(D514:L514))</f>
        <v/>
      </c>
      <c r="N514" s="8">
        <f>IF(COUNT(D514:L514)=0,"",MEDIAN(D514:L514))</f>
        <v/>
      </c>
      <c r="O514" s="8">
        <f>IF(COUNT(D514:L514)=0,"",MAX(D514:L514))</f>
        <v/>
      </c>
      <c r="P514" s="9">
        <f>IF(OR(M514="",M514=0),"",(O514-M514)/M514)</f>
        <v/>
      </c>
      <c r="Q514" s="7">
        <f>IF(COUNT(D514:L514)=0,"",INDEX($D$1:$L$1,MATCH(MIN(D514:L514),D514:L514,0)))</f>
        <v/>
      </c>
      <c r="R514" s="8" t="n">
        <v>1825</v>
      </c>
      <c r="S514" s="10" t="n">
        <v>1</v>
      </c>
    </row>
    <row r="515">
      <c r="A515" s="7" t="inlineStr">
        <is>
          <t>MAT-09-043</t>
        </is>
      </c>
      <c r="B515" s="4" t="inlineStr">
        <is>
          <t>Interruptor automático de presión 20–40 PSI</t>
        </is>
      </c>
      <c r="C515" s="7" t="inlineStr">
        <is>
          <t>unidad</t>
        </is>
      </c>
      <c r="D515" s="8" t="n"/>
      <c r="E515" s="8" t="n"/>
      <c r="F515" s="8" t="n">
        <v>1666</v>
      </c>
      <c r="G515" s="8" t="n"/>
      <c r="H515" s="8" t="n"/>
      <c r="I515" s="8" t="n"/>
      <c r="J515" s="8" t="n"/>
      <c r="K515" s="8" t="n"/>
      <c r="L515" s="8" t="n"/>
      <c r="M515" s="8">
        <f>IF(COUNT(D515:L515)=0,"",MIN(D515:L515))</f>
        <v/>
      </c>
      <c r="N515" s="8">
        <f>IF(COUNT(D515:L515)=0,"",MEDIAN(D515:L515))</f>
        <v/>
      </c>
      <c r="O515" s="8">
        <f>IF(COUNT(D515:L515)=0,"",MAX(D515:L515))</f>
        <v/>
      </c>
      <c r="P515" s="9">
        <f>IF(OR(M515="",M515=0),"",(O515-M515)/M515)</f>
        <v/>
      </c>
      <c r="Q515" s="7">
        <f>IF(COUNT(D515:L515)=0,"",INDEX($D$1:$L$1,MATCH(MIN(D515:L515),D515:L515,0)))</f>
        <v/>
      </c>
      <c r="R515" s="8" t="n">
        <v>1666</v>
      </c>
      <c r="S515" s="10" t="n">
        <v>1</v>
      </c>
    </row>
    <row r="516">
      <c r="A516" s="7" t="inlineStr">
        <is>
          <t>MAT-09-044</t>
        </is>
      </c>
      <c r="B516" s="4" t="inlineStr">
        <is>
          <t>Interruptor automático de presión 30–50 PSI</t>
        </is>
      </c>
      <c r="C516" s="7" t="inlineStr">
        <is>
          <t>unidad</t>
        </is>
      </c>
      <c r="D516" s="8" t="n"/>
      <c r="E516" s="8" t="n"/>
      <c r="F516" s="8" t="n">
        <v>1631</v>
      </c>
      <c r="G516" s="8" t="n"/>
      <c r="H516" s="8" t="n"/>
      <c r="I516" s="8" t="n"/>
      <c r="J516" s="8" t="n"/>
      <c r="K516" s="8" t="n"/>
      <c r="L516" s="8" t="n"/>
      <c r="M516" s="8">
        <f>IF(COUNT(D516:L516)=0,"",MIN(D516:L516))</f>
        <v/>
      </c>
      <c r="N516" s="8">
        <f>IF(COUNT(D516:L516)=0,"",MEDIAN(D516:L516))</f>
        <v/>
      </c>
      <c r="O516" s="8">
        <f>IF(COUNT(D516:L516)=0,"",MAX(D516:L516))</f>
        <v/>
      </c>
      <c r="P516" s="9">
        <f>IF(OR(M516="",M516=0),"",(O516-M516)/M516)</f>
        <v/>
      </c>
      <c r="Q516" s="7">
        <f>IF(COUNT(D516:L516)=0,"",INDEX($D$1:$L$1,MATCH(MIN(D516:L516),D516:L516,0)))</f>
        <v/>
      </c>
      <c r="R516" s="8" t="n">
        <v>1631</v>
      </c>
      <c r="S516" s="10" t="n">
        <v>1</v>
      </c>
    </row>
    <row r="517">
      <c r="A517" s="7" t="inlineStr">
        <is>
          <t>MAT-09-045</t>
        </is>
      </c>
      <c r="B517" s="4" t="inlineStr">
        <is>
          <t>Interruptor automático de presión 40–60 PSI</t>
        </is>
      </c>
      <c r="C517" s="7" t="inlineStr">
        <is>
          <t>unidad</t>
        </is>
      </c>
      <c r="D517" s="8" t="n"/>
      <c r="E517" s="8" t="n"/>
      <c r="F517" s="8" t="n">
        <v>1688</v>
      </c>
      <c r="G517" s="8" t="n"/>
      <c r="H517" s="8" t="n"/>
      <c r="I517" s="8" t="n"/>
      <c r="J517" s="8" t="n"/>
      <c r="K517" s="8" t="n"/>
      <c r="L517" s="8" t="n"/>
      <c r="M517" s="8">
        <f>IF(COUNT(D517:L517)=0,"",MIN(D517:L517))</f>
        <v/>
      </c>
      <c r="N517" s="8">
        <f>IF(COUNT(D517:L517)=0,"",MEDIAN(D517:L517))</f>
        <v/>
      </c>
      <c r="O517" s="8">
        <f>IF(COUNT(D517:L517)=0,"",MAX(D517:L517))</f>
        <v/>
      </c>
      <c r="P517" s="9">
        <f>IF(OR(M517="",M517=0),"",(O517-M517)/M517)</f>
        <v/>
      </c>
      <c r="Q517" s="7">
        <f>IF(COUNT(D517:L517)=0,"",INDEX($D$1:$L$1,MATCH(MIN(D517:L517),D517:L517,0)))</f>
        <v/>
      </c>
      <c r="R517" s="8" t="n">
        <v>1688</v>
      </c>
      <c r="S517" s="10" t="n">
        <v>1</v>
      </c>
    </row>
    <row r="518">
      <c r="A518" s="7" t="inlineStr">
        <is>
          <t>MAT-09-046</t>
        </is>
      </c>
      <c r="B518" s="4" t="inlineStr">
        <is>
          <t>Interruptor de flotante eléctrico</t>
        </is>
      </c>
      <c r="C518" s="7" t="inlineStr">
        <is>
          <t>unidad</t>
        </is>
      </c>
      <c r="D518" s="8" t="n"/>
      <c r="E518" s="8" t="n"/>
      <c r="F518" s="8" t="n">
        <v>690</v>
      </c>
      <c r="G518" s="8" t="n"/>
      <c r="H518" s="8" t="n"/>
      <c r="I518" s="8" t="n"/>
      <c r="J518" s="8" t="n"/>
      <c r="K518" s="8" t="n"/>
      <c r="L518" s="8" t="n"/>
      <c r="M518" s="8">
        <f>IF(COUNT(D518:L518)=0,"",MIN(D518:L518))</f>
        <v/>
      </c>
      <c r="N518" s="8">
        <f>IF(COUNT(D518:L518)=0,"",MEDIAN(D518:L518))</f>
        <v/>
      </c>
      <c r="O518" s="8">
        <f>IF(COUNT(D518:L518)=0,"",MAX(D518:L518))</f>
        <v/>
      </c>
      <c r="P518" s="9">
        <f>IF(OR(M518="",M518=0),"",(O518-M518)/M518)</f>
        <v/>
      </c>
      <c r="Q518" s="7">
        <f>IF(COUNT(D518:L518)=0,"",INDEX($D$1:$L$1,MATCH(MIN(D518:L518),D518:L518,0)))</f>
        <v/>
      </c>
      <c r="R518" s="8" t="n">
        <v>1072</v>
      </c>
      <c r="S518" s="10" t="n">
        <v>1</v>
      </c>
    </row>
    <row r="519">
      <c r="A519" s="7" t="inlineStr">
        <is>
          <t>MAT-09-047</t>
        </is>
      </c>
      <c r="B519" s="4" t="inlineStr">
        <is>
          <t>Control automático de bomba 1"</t>
        </is>
      </c>
      <c r="C519" s="7" t="inlineStr">
        <is>
          <t>unidad</t>
        </is>
      </c>
      <c r="D519" s="8" t="n"/>
      <c r="E519" s="8" t="n"/>
      <c r="F519" s="8" t="n">
        <v>3178</v>
      </c>
      <c r="G519" s="8" t="n"/>
      <c r="H519" s="8" t="n"/>
      <c r="I519" s="8" t="n"/>
      <c r="J519" s="8" t="n"/>
      <c r="K519" s="8" t="n"/>
      <c r="L519" s="8" t="n"/>
      <c r="M519" s="8">
        <f>IF(COUNT(D519:L519)=0,"",MIN(D519:L519))</f>
        <v/>
      </c>
      <c r="N519" s="8">
        <f>IF(COUNT(D519:L519)=0,"",MEDIAN(D519:L519))</f>
        <v/>
      </c>
      <c r="O519" s="8">
        <f>IF(COUNT(D519:L519)=0,"",MAX(D519:L519))</f>
        <v/>
      </c>
      <c r="P519" s="9">
        <f>IF(OR(M519="",M519=0),"",(O519-M519)/M519)</f>
        <v/>
      </c>
      <c r="Q519" s="7">
        <f>IF(COUNT(D519:L519)=0,"",INDEX($D$1:$L$1,MATCH(MIN(D519:L519),D519:L519,0)))</f>
        <v/>
      </c>
      <c r="R519" s="8" t="n">
        <v>3178</v>
      </c>
      <c r="S519" s="10" t="n">
        <v>1</v>
      </c>
    </row>
    <row r="520">
      <c r="A520" s="7" t="inlineStr">
        <is>
          <t>MAT-09-048</t>
        </is>
      </c>
      <c r="B520" s="4" t="inlineStr">
        <is>
          <t>Manómetro de glicerina de 150 PSI</t>
        </is>
      </c>
      <c r="C520" s="7" t="inlineStr">
        <is>
          <t>unidad</t>
        </is>
      </c>
      <c r="D520" s="8" t="n"/>
      <c r="E520" s="8" t="n"/>
      <c r="F520" s="8" t="n">
        <v>990</v>
      </c>
      <c r="G520" s="8" t="n"/>
      <c r="H520" s="8" t="n"/>
      <c r="I520" s="8" t="n"/>
      <c r="J520" s="8" t="n"/>
      <c r="K520" s="8" t="n"/>
      <c r="L520" s="8" t="n"/>
      <c r="M520" s="8">
        <f>IF(COUNT(D520:L520)=0,"",MIN(D520:L520))</f>
        <v/>
      </c>
      <c r="N520" s="8">
        <f>IF(COUNT(D520:L520)=0,"",MEDIAN(D520:L520))</f>
        <v/>
      </c>
      <c r="O520" s="8">
        <f>IF(COUNT(D520:L520)=0,"",MAX(D520:L520))</f>
        <v/>
      </c>
      <c r="P520" s="9">
        <f>IF(OR(M520="",M520=0),"",(O520-M520)/M520)</f>
        <v/>
      </c>
      <c r="Q520" s="7">
        <f>IF(COUNT(D520:L520)=0,"",INDEX($D$1:$L$1,MATCH(MIN(D520:L520),D520:L520,0)))</f>
        <v/>
      </c>
      <c r="R520" s="8" t="n">
        <v>990</v>
      </c>
      <c r="S520" s="10" t="n">
        <v>1</v>
      </c>
    </row>
    <row r="521">
      <c r="A521" s="7" t="inlineStr">
        <is>
          <t>MAT-09-049</t>
        </is>
      </c>
      <c r="B521" s="4" t="inlineStr">
        <is>
          <t>Manómetro de glicerina de 90 PSI</t>
        </is>
      </c>
      <c r="C521" s="7" t="inlineStr">
        <is>
          <t>unidad</t>
        </is>
      </c>
      <c r="D521" s="8" t="n"/>
      <c r="E521" s="8" t="n"/>
      <c r="F521" s="8" t="n">
        <v>905</v>
      </c>
      <c r="G521" s="8" t="n"/>
      <c r="H521" s="8" t="n"/>
      <c r="I521" s="8" t="n"/>
      <c r="J521" s="8" t="n"/>
      <c r="K521" s="8" t="n"/>
      <c r="L521" s="8" t="n"/>
      <c r="M521" s="8">
        <f>IF(COUNT(D521:L521)=0,"",MIN(D521:L521))</f>
        <v/>
      </c>
      <c r="N521" s="8">
        <f>IF(COUNT(D521:L521)=0,"",MEDIAN(D521:L521))</f>
        <v/>
      </c>
      <c r="O521" s="8">
        <f>IF(COUNT(D521:L521)=0,"",MAX(D521:L521))</f>
        <v/>
      </c>
      <c r="P521" s="9">
        <f>IF(OR(M521="",M521=0),"",(O521-M521)/M521)</f>
        <v/>
      </c>
      <c r="Q521" s="7">
        <f>IF(COUNT(D521:L521)=0,"",INDEX($D$1:$L$1,MATCH(MIN(D521:L521),D521:L521,0)))</f>
        <v/>
      </c>
      <c r="R521" s="8" t="n">
        <v>905</v>
      </c>
      <c r="S521" s="10" t="n">
        <v>1</v>
      </c>
    </row>
    <row r="522">
      <c r="A522" s="7" t="inlineStr">
        <is>
          <t>MAT-09-050</t>
        </is>
      </c>
      <c r="B522" s="4" t="inlineStr">
        <is>
          <t>Manómetro seco de 90 PSI</t>
        </is>
      </c>
      <c r="C522" s="7" t="inlineStr">
        <is>
          <t>unidad</t>
        </is>
      </c>
      <c r="D522" s="8" t="n"/>
      <c r="E522" s="8" t="n"/>
      <c r="F522" s="8" t="n">
        <v>407</v>
      </c>
      <c r="G522" s="8" t="n"/>
      <c r="H522" s="8" t="n"/>
      <c r="I522" s="8" t="n"/>
      <c r="J522" s="8" t="n"/>
      <c r="K522" s="8" t="n"/>
      <c r="L522" s="8" t="n"/>
      <c r="M522" s="8">
        <f>IF(COUNT(D522:L522)=0,"",MIN(D522:L522))</f>
        <v/>
      </c>
      <c r="N522" s="8">
        <f>IF(COUNT(D522:L522)=0,"",MEDIAN(D522:L522))</f>
        <v/>
      </c>
      <c r="O522" s="8">
        <f>IF(COUNT(D522:L522)=0,"",MAX(D522:L522))</f>
        <v/>
      </c>
      <c r="P522" s="9">
        <f>IF(OR(M522="",M522=0),"",(O522-M522)/M522)</f>
        <v/>
      </c>
      <c r="Q522" s="7">
        <f>IF(COUNT(D522:L522)=0,"",INDEX($D$1:$L$1,MATCH(MIN(D522:L522),D522:L522,0)))</f>
        <v/>
      </c>
      <c r="R522" s="8" t="n">
        <v>407</v>
      </c>
      <c r="S522" s="10" t="n">
        <v>1</v>
      </c>
    </row>
    <row r="523">
      <c r="A523" s="7" t="inlineStr">
        <is>
          <t>MAT-09-051</t>
        </is>
      </c>
      <c r="B523" s="4" t="inlineStr">
        <is>
          <t>Calentador de agua a gas de 8 litros por minuto</t>
        </is>
      </c>
      <c r="C523" s="7" t="inlineStr">
        <is>
          <t>unidad</t>
        </is>
      </c>
      <c r="D523" s="8" t="n"/>
      <c r="E523" s="8" t="n"/>
      <c r="F523" s="8" t="n">
        <v>5395</v>
      </c>
      <c r="G523" s="8" t="n"/>
      <c r="H523" s="8" t="n"/>
      <c r="I523" s="8" t="n"/>
      <c r="J523" s="8" t="n"/>
      <c r="K523" s="8" t="n"/>
      <c r="L523" s="8" t="n"/>
      <c r="M523" s="8">
        <f>IF(COUNT(D523:L523)=0,"",MIN(D523:L523))</f>
        <v/>
      </c>
      <c r="N523" s="8">
        <f>IF(COUNT(D523:L523)=0,"",MEDIAN(D523:L523))</f>
        <v/>
      </c>
      <c r="O523" s="8">
        <f>IF(COUNT(D523:L523)=0,"",MAX(D523:L523))</f>
        <v/>
      </c>
      <c r="P523" s="9">
        <f>IF(OR(M523="",M523=0),"",(O523-M523)/M523)</f>
        <v/>
      </c>
      <c r="Q523" s="7">
        <f>IF(COUNT(D523:L523)=0,"",INDEX($D$1:$L$1,MATCH(MIN(D523:L523),D523:L523,0)))</f>
        <v/>
      </c>
      <c r="R523" s="8" t="n">
        <v>10670</v>
      </c>
      <c r="S523" s="10" t="n">
        <v>1</v>
      </c>
    </row>
    <row r="524">
      <c r="A524" s="7" t="inlineStr">
        <is>
          <t>MAT-09-052</t>
        </is>
      </c>
      <c r="B524" s="4" t="inlineStr">
        <is>
          <t>Calentador de agua eléctrico de 6 galones</t>
        </is>
      </c>
      <c r="C524" s="7" t="inlineStr">
        <is>
          <t>unidad</t>
        </is>
      </c>
      <c r="D524" s="8" t="n"/>
      <c r="E524" s="8" t="n"/>
      <c r="F524" s="8" t="n">
        <v>10291</v>
      </c>
      <c r="G524" s="8" t="n"/>
      <c r="H524" s="8" t="n"/>
      <c r="I524" s="8" t="n"/>
      <c r="J524" s="8" t="n"/>
      <c r="K524" s="8" t="n"/>
      <c r="L524" s="8" t="n"/>
      <c r="M524" s="8">
        <f>IF(COUNT(D524:L524)=0,"",MIN(D524:L524))</f>
        <v/>
      </c>
      <c r="N524" s="8">
        <f>IF(COUNT(D524:L524)=0,"",MEDIAN(D524:L524))</f>
        <v/>
      </c>
      <c r="O524" s="8">
        <f>IF(COUNT(D524:L524)=0,"",MAX(D524:L524))</f>
        <v/>
      </c>
      <c r="P524" s="9">
        <f>IF(OR(M524="",M524=0),"",(O524-M524)/M524)</f>
        <v/>
      </c>
      <c r="Q524" s="7">
        <f>IF(COUNT(D524:L524)=0,"",INDEX($D$1:$L$1,MATCH(MIN(D524:L524),D524:L524,0)))</f>
        <v/>
      </c>
      <c r="R524" s="8" t="n">
        <v>10291</v>
      </c>
      <c r="S524" s="10" t="n">
        <v>1</v>
      </c>
    </row>
    <row r="525">
      <c r="A525" s="7" t="inlineStr">
        <is>
          <t>MAT-09-053</t>
        </is>
      </c>
      <c r="B525" s="4" t="inlineStr">
        <is>
          <t>Calentador de agua eléctrico de 7 kW</t>
        </is>
      </c>
      <c r="C525" s="7" t="inlineStr">
        <is>
          <t>unidad</t>
        </is>
      </c>
      <c r="D525" s="8" t="n"/>
      <c r="E525" s="8" t="n"/>
      <c r="F525" s="8" t="n">
        <v>20503</v>
      </c>
      <c r="G525" s="8" t="n"/>
      <c r="H525" s="8" t="n"/>
      <c r="I525" s="8" t="n"/>
      <c r="J525" s="8" t="n"/>
      <c r="K525" s="8" t="n"/>
      <c r="L525" s="8" t="n"/>
      <c r="M525" s="8">
        <f>IF(COUNT(D525:L525)=0,"",MIN(D525:L525))</f>
        <v/>
      </c>
      <c r="N525" s="8">
        <f>IF(COUNT(D525:L525)=0,"",MEDIAN(D525:L525))</f>
        <v/>
      </c>
      <c r="O525" s="8">
        <f>IF(COUNT(D525:L525)=0,"",MAX(D525:L525))</f>
        <v/>
      </c>
      <c r="P525" s="9">
        <f>IF(OR(M525="",M525=0),"",(O525-M525)/M525)</f>
        <v/>
      </c>
      <c r="Q525" s="7">
        <f>IF(COUNT(D525:L525)=0,"",INDEX($D$1:$L$1,MATCH(MIN(D525:L525),D525:L525,0)))</f>
        <v/>
      </c>
      <c r="R525" s="8" t="n">
        <v>20503</v>
      </c>
      <c r="S525" s="10" t="n">
        <v>1</v>
      </c>
    </row>
    <row r="526">
      <c r="A526" s="7" t="inlineStr">
        <is>
          <t>MAT-09-054</t>
        </is>
      </c>
      <c r="B526" s="4" t="inlineStr">
        <is>
          <t>Calentador de agua eléctrico de 8 galones</t>
        </is>
      </c>
      <c r="C526" s="7" t="inlineStr">
        <is>
          <t>unidad</t>
        </is>
      </c>
      <c r="D526" s="8" t="n"/>
      <c r="E526" s="8" t="n"/>
      <c r="F526" s="8" t="n">
        <v>11717</v>
      </c>
      <c r="G526" s="8" t="n"/>
      <c r="H526" s="8" t="n"/>
      <c r="I526" s="8" t="n"/>
      <c r="J526" s="8" t="n"/>
      <c r="K526" s="8" t="n"/>
      <c r="L526" s="8" t="n"/>
      <c r="M526" s="8">
        <f>IF(COUNT(D526:L526)=0,"",MIN(D526:L526))</f>
        <v/>
      </c>
      <c r="N526" s="8">
        <f>IF(COUNT(D526:L526)=0,"",MEDIAN(D526:L526))</f>
        <v/>
      </c>
      <c r="O526" s="8">
        <f>IF(COUNT(D526:L526)=0,"",MAX(D526:L526))</f>
        <v/>
      </c>
      <c r="P526" s="9">
        <f>IF(OR(M526="",M526=0),"",(O526-M526)/M526)</f>
        <v/>
      </c>
      <c r="Q526" s="7">
        <f>IF(COUNT(D526:L526)=0,"",INDEX($D$1:$L$1,MATCH(MIN(D526:L526),D526:L526,0)))</f>
        <v/>
      </c>
      <c r="R526" s="8" t="n">
        <v>11717</v>
      </c>
      <c r="S526" s="10" t="n">
        <v>1</v>
      </c>
    </row>
    <row r="527">
      <c r="A527" s="7" t="inlineStr">
        <is>
          <t>MAT-09-055</t>
        </is>
      </c>
      <c r="B527" s="4" t="inlineStr">
        <is>
          <t>Cisterna de fibra de vidrio de 120 galones</t>
        </is>
      </c>
      <c r="C527" s="7" t="inlineStr">
        <is>
          <t>unidad</t>
        </is>
      </c>
      <c r="D527" s="8" t="n"/>
      <c r="E527" s="8" t="n"/>
      <c r="F527" s="8" t="n">
        <v>17755</v>
      </c>
      <c r="G527" s="8" t="n"/>
      <c r="H527" s="8" t="n"/>
      <c r="I527" s="8" t="n"/>
      <c r="J527" s="8" t="n"/>
      <c r="K527" s="8" t="n"/>
      <c r="L527" s="8" t="n"/>
      <c r="M527" s="8">
        <f>IF(COUNT(D527:L527)=0,"",MIN(D527:L527))</f>
        <v/>
      </c>
      <c r="N527" s="8">
        <f>IF(COUNT(D527:L527)=0,"",MEDIAN(D527:L527))</f>
        <v/>
      </c>
      <c r="O527" s="8">
        <f>IF(COUNT(D527:L527)=0,"",MAX(D527:L527))</f>
        <v/>
      </c>
      <c r="P527" s="9">
        <f>IF(OR(M527="",M527=0),"",(O527-M527)/M527)</f>
        <v/>
      </c>
      <c r="Q527" s="7">
        <f>IF(COUNT(D527:L527)=0,"",INDEX($D$1:$L$1,MATCH(MIN(D527:L527),D527:L527,0)))</f>
        <v/>
      </c>
      <c r="R527" s="8" t="n">
        <v>17755</v>
      </c>
      <c r="S527" s="10" t="n">
        <v>1</v>
      </c>
    </row>
    <row r="528">
      <c r="A528" s="7" t="inlineStr">
        <is>
          <t>MAT-09-056</t>
        </is>
      </c>
      <c r="B528" s="4" t="inlineStr">
        <is>
          <t>Cisterna de fibra de vidrio de 30 galones</t>
        </is>
      </c>
      <c r="C528" s="7" t="inlineStr">
        <is>
          <t>unidad</t>
        </is>
      </c>
      <c r="D528" s="8" t="n"/>
      <c r="E528" s="8" t="n"/>
      <c r="F528" s="8" t="n">
        <v>5101</v>
      </c>
      <c r="G528" s="8" t="n"/>
      <c r="H528" s="8" t="n"/>
      <c r="I528" s="8" t="n"/>
      <c r="J528" s="8" t="n"/>
      <c r="K528" s="8" t="n"/>
      <c r="L528" s="8" t="n"/>
      <c r="M528" s="8">
        <f>IF(COUNT(D528:L528)=0,"",MIN(D528:L528))</f>
        <v/>
      </c>
      <c r="N528" s="8">
        <f>IF(COUNT(D528:L528)=0,"",MEDIAN(D528:L528))</f>
        <v/>
      </c>
      <c r="O528" s="8">
        <f>IF(COUNT(D528:L528)=0,"",MAX(D528:L528))</f>
        <v/>
      </c>
      <c r="P528" s="9">
        <f>IF(OR(M528="",M528=0),"",(O528-M528)/M528)</f>
        <v/>
      </c>
      <c r="Q528" s="7">
        <f>IF(COUNT(D528:L528)=0,"",INDEX($D$1:$L$1,MATCH(MIN(D528:L528),D528:L528,0)))</f>
        <v/>
      </c>
      <c r="R528" s="8" t="n">
        <v>5101</v>
      </c>
      <c r="S528" s="10" t="n">
        <v>1</v>
      </c>
    </row>
    <row r="529">
      <c r="A529" s="7" t="inlineStr">
        <is>
          <t>MAT-09-057</t>
        </is>
      </c>
      <c r="B529" s="4" t="inlineStr">
        <is>
          <t>Cisterna de fibra de vidrio de 42 galones</t>
        </is>
      </c>
      <c r="C529" s="7" t="inlineStr">
        <is>
          <t>unidad</t>
        </is>
      </c>
      <c r="D529" s="8" t="n"/>
      <c r="E529" s="8" t="n"/>
      <c r="F529" s="8" t="n">
        <v>7487</v>
      </c>
      <c r="G529" s="8" t="n"/>
      <c r="H529" s="8" t="n"/>
      <c r="I529" s="8" t="n"/>
      <c r="J529" s="8" t="n"/>
      <c r="K529" s="8" t="n"/>
      <c r="L529" s="8" t="n"/>
      <c r="M529" s="8">
        <f>IF(COUNT(D529:L529)=0,"",MIN(D529:L529))</f>
        <v/>
      </c>
      <c r="N529" s="8">
        <f>IF(COUNT(D529:L529)=0,"",MEDIAN(D529:L529))</f>
        <v/>
      </c>
      <c r="O529" s="8">
        <f>IF(COUNT(D529:L529)=0,"",MAX(D529:L529))</f>
        <v/>
      </c>
      <c r="P529" s="9">
        <f>IF(OR(M529="",M529=0),"",(O529-M529)/M529)</f>
        <v/>
      </c>
      <c r="Q529" s="7">
        <f>IF(COUNT(D529:L529)=0,"",INDEX($D$1:$L$1,MATCH(MIN(D529:L529),D529:L529,0)))</f>
        <v/>
      </c>
      <c r="R529" s="8" t="n">
        <v>10852</v>
      </c>
      <c r="S529" s="10" t="n">
        <v>1</v>
      </c>
    </row>
    <row r="530">
      <c r="A530" s="7" t="inlineStr">
        <is>
          <t>MAT-09-058</t>
        </is>
      </c>
      <c r="B530" s="4" t="inlineStr">
        <is>
          <t>Cisterna de fibra de vidrio de 60 galones</t>
        </is>
      </c>
      <c r="C530" s="7" t="inlineStr">
        <is>
          <t>unidad</t>
        </is>
      </c>
      <c r="D530" s="8" t="n"/>
      <c r="E530" s="8" t="n"/>
      <c r="F530" s="8" t="n">
        <v>10496</v>
      </c>
      <c r="G530" s="8" t="n"/>
      <c r="H530" s="8" t="n"/>
      <c r="I530" s="8" t="n"/>
      <c r="J530" s="8" t="n"/>
      <c r="K530" s="8" t="n"/>
      <c r="L530" s="8" t="n"/>
      <c r="M530" s="8">
        <f>IF(COUNT(D530:L530)=0,"",MIN(D530:L530))</f>
        <v/>
      </c>
      <c r="N530" s="8">
        <f>IF(COUNT(D530:L530)=0,"",MEDIAN(D530:L530))</f>
        <v/>
      </c>
      <c r="O530" s="8">
        <f>IF(COUNT(D530:L530)=0,"",MAX(D530:L530))</f>
        <v/>
      </c>
      <c r="P530" s="9">
        <f>IF(OR(M530="",M530=0),"",(O530-M530)/M530)</f>
        <v/>
      </c>
      <c r="Q530" s="7">
        <f>IF(COUNT(D530:L530)=0,"",INDEX($D$1:$L$1,MATCH(MIN(D530:L530),D530:L530,0)))</f>
        <v/>
      </c>
      <c r="R530" s="8" t="n">
        <v>12989</v>
      </c>
      <c r="S530" s="10" t="n">
        <v>1</v>
      </c>
    </row>
    <row r="531">
      <c r="A531" s="7" t="inlineStr">
        <is>
          <t>MAT-09-059</t>
        </is>
      </c>
      <c r="B531" s="4" t="inlineStr">
        <is>
          <t>Cisterna de fibra de vidrio de 82 galones</t>
        </is>
      </c>
      <c r="C531" s="7" t="inlineStr">
        <is>
          <t>unidad</t>
        </is>
      </c>
      <c r="D531" s="8" t="n"/>
      <c r="E531" s="8" t="n"/>
      <c r="F531" s="8" t="n">
        <v>9895</v>
      </c>
      <c r="G531" s="8" t="n"/>
      <c r="H531" s="8" t="n"/>
      <c r="I531" s="8" t="n"/>
      <c r="J531" s="8" t="n"/>
      <c r="K531" s="8" t="n"/>
      <c r="L531" s="8" t="n"/>
      <c r="M531" s="8">
        <f>IF(COUNT(D531:L531)=0,"",MIN(D531:L531))</f>
        <v/>
      </c>
      <c r="N531" s="8">
        <f>IF(COUNT(D531:L531)=0,"",MEDIAN(D531:L531))</f>
        <v/>
      </c>
      <c r="O531" s="8">
        <f>IF(COUNT(D531:L531)=0,"",MAX(D531:L531))</f>
        <v/>
      </c>
      <c r="P531" s="9">
        <f>IF(OR(M531="",M531=0),"",(O531-M531)/M531)</f>
        <v/>
      </c>
      <c r="Q531" s="7">
        <f>IF(COUNT(D531:L531)=0,"",INDEX($D$1:$L$1,MATCH(MIN(D531:L531),D531:L531,0)))</f>
        <v/>
      </c>
      <c r="R531" s="8" t="n">
        <v>9895</v>
      </c>
      <c r="S531" s="10" t="n">
        <v>1</v>
      </c>
    </row>
    <row r="532">
      <c r="A532" s="7" t="inlineStr">
        <is>
          <t>MAT-09-060</t>
        </is>
      </c>
      <c r="B532" s="4" t="inlineStr">
        <is>
          <t>Tinaco de 1100 galones</t>
        </is>
      </c>
      <c r="C532" s="7" t="inlineStr">
        <is>
          <t>unidad</t>
        </is>
      </c>
      <c r="D532" s="8" t="n"/>
      <c r="E532" s="8" t="n"/>
      <c r="F532" s="8" t="n"/>
      <c r="G532" s="8" t="n"/>
      <c r="H532" s="8" t="n"/>
      <c r="I532" s="8" t="n"/>
      <c r="J532" s="8" t="n">
        <v>41115</v>
      </c>
      <c r="K532" s="8" t="n"/>
      <c r="L532" s="8" t="n"/>
      <c r="M532" s="8">
        <f>IF(COUNT(D532:L532)=0,"",MIN(D532:L532))</f>
        <v/>
      </c>
      <c r="N532" s="8">
        <f>IF(COUNT(D532:L532)=0,"",MEDIAN(D532:L532))</f>
        <v/>
      </c>
      <c r="O532" s="8">
        <f>IF(COUNT(D532:L532)=0,"",MAX(D532:L532))</f>
        <v/>
      </c>
      <c r="P532" s="9">
        <f>IF(OR(M532="",M532=0),"",(O532-M532)/M532)</f>
        <v/>
      </c>
      <c r="Q532" s="7">
        <f>IF(COUNT(D532:L532)=0,"",INDEX($D$1:$L$1,MATCH(MIN(D532:L532),D532:L532,0)))</f>
        <v/>
      </c>
      <c r="R532" s="8" t="n">
        <v>41115</v>
      </c>
      <c r="S532" s="10" t="n">
        <v>1</v>
      </c>
    </row>
    <row r="533">
      <c r="A533" s="7" t="inlineStr">
        <is>
          <t>MAT-09-061</t>
        </is>
      </c>
      <c r="B533" s="4" t="inlineStr">
        <is>
          <t>Tinaco de 145 galones</t>
        </is>
      </c>
      <c r="C533" s="7" t="inlineStr">
        <is>
          <t>unidad</t>
        </is>
      </c>
      <c r="D533" s="8" t="n"/>
      <c r="E533" s="8" t="n"/>
      <c r="F533" s="8" t="n"/>
      <c r="G533" s="8" t="n"/>
      <c r="H533" s="8" t="n"/>
      <c r="I533" s="8" t="n"/>
      <c r="J533" s="8" t="n">
        <v>5385</v>
      </c>
      <c r="K533" s="8" t="n"/>
      <c r="L533" s="8" t="n"/>
      <c r="M533" s="8">
        <f>IF(COUNT(D533:L533)=0,"",MIN(D533:L533))</f>
        <v/>
      </c>
      <c r="N533" s="8">
        <f>IF(COUNT(D533:L533)=0,"",MEDIAN(D533:L533))</f>
        <v/>
      </c>
      <c r="O533" s="8">
        <f>IF(COUNT(D533:L533)=0,"",MAX(D533:L533))</f>
        <v/>
      </c>
      <c r="P533" s="9">
        <f>IF(OR(M533="",M533=0),"",(O533-M533)/M533)</f>
        <v/>
      </c>
      <c r="Q533" s="7">
        <f>IF(COUNT(D533:L533)=0,"",INDEX($D$1:$L$1,MATCH(MIN(D533:L533),D533:L533,0)))</f>
        <v/>
      </c>
      <c r="R533" s="8" t="n">
        <v>5385</v>
      </c>
      <c r="S533" s="10" t="n">
        <v>1</v>
      </c>
    </row>
    <row r="534">
      <c r="A534" s="7" t="inlineStr">
        <is>
          <t>MAT-09-062</t>
        </is>
      </c>
      <c r="B534" s="4" t="inlineStr">
        <is>
          <t>Tinaco de 200 galones</t>
        </is>
      </c>
      <c r="C534" s="7" t="inlineStr">
        <is>
          <t>unidad</t>
        </is>
      </c>
      <c r="D534" s="8" t="n"/>
      <c r="E534" s="8" t="n"/>
      <c r="F534" s="8" t="n"/>
      <c r="G534" s="8" t="n"/>
      <c r="H534" s="8" t="n"/>
      <c r="I534" s="8" t="n"/>
      <c r="J534" s="8" t="n">
        <v>10469.3</v>
      </c>
      <c r="K534" s="8" t="n"/>
      <c r="L534" s="8" t="n"/>
      <c r="M534" s="8">
        <f>IF(COUNT(D534:L534)=0,"",MIN(D534:L534))</f>
        <v/>
      </c>
      <c r="N534" s="8">
        <f>IF(COUNT(D534:L534)=0,"",MEDIAN(D534:L534))</f>
        <v/>
      </c>
      <c r="O534" s="8">
        <f>IF(COUNT(D534:L534)=0,"",MAX(D534:L534))</f>
        <v/>
      </c>
      <c r="P534" s="9">
        <f>IF(OR(M534="",M534=0),"",(O534-M534)/M534)</f>
        <v/>
      </c>
      <c r="Q534" s="7">
        <f>IF(COUNT(D534:L534)=0,"",INDEX($D$1:$L$1,MATCH(MIN(D534:L534),D534:L534,0)))</f>
        <v/>
      </c>
      <c r="R534" s="8" t="n">
        <v>10469.3</v>
      </c>
      <c r="S534" s="10" t="n">
        <v>1</v>
      </c>
    </row>
    <row r="535">
      <c r="A535" s="7" t="inlineStr">
        <is>
          <t>MAT-09-063</t>
        </is>
      </c>
      <c r="B535" s="4" t="inlineStr">
        <is>
          <t>Tinaco de 255 galones</t>
        </is>
      </c>
      <c r="C535" s="7" t="inlineStr">
        <is>
          <t>unidad</t>
        </is>
      </c>
      <c r="D535" s="8" t="n"/>
      <c r="E535" s="8" t="n"/>
      <c r="F535" s="8" t="n"/>
      <c r="G535" s="8" t="n"/>
      <c r="H535" s="8" t="n">
        <v>8375</v>
      </c>
      <c r="I535" s="8" t="n"/>
      <c r="J535" s="8" t="n"/>
      <c r="K535" s="8" t="n"/>
      <c r="L535" s="8" t="n"/>
      <c r="M535" s="8">
        <f>IF(COUNT(D535:L535)=0,"",MIN(D535:L535))</f>
        <v/>
      </c>
      <c r="N535" s="8">
        <f>IF(COUNT(D535:L535)=0,"",MEDIAN(D535:L535))</f>
        <v/>
      </c>
      <c r="O535" s="8">
        <f>IF(COUNT(D535:L535)=0,"",MAX(D535:L535))</f>
        <v/>
      </c>
      <c r="P535" s="9">
        <f>IF(OR(M535="",M535=0),"",(O535-M535)/M535)</f>
        <v/>
      </c>
      <c r="Q535" s="7">
        <f>IF(COUNT(D535:L535)=0,"",INDEX($D$1:$L$1,MATCH(MIN(D535:L535),D535:L535,0)))</f>
        <v/>
      </c>
      <c r="R535" s="8" t="n">
        <v>8375</v>
      </c>
      <c r="S535" s="10" t="n">
        <v>1</v>
      </c>
    </row>
    <row r="536">
      <c r="A536" s="7" t="inlineStr">
        <is>
          <t>MAT-09-064</t>
        </is>
      </c>
      <c r="B536" s="4" t="inlineStr">
        <is>
          <t>Tinaco de 265 galones</t>
        </is>
      </c>
      <c r="C536" s="7" t="inlineStr">
        <is>
          <t>unidad</t>
        </is>
      </c>
      <c r="D536" s="8" t="n"/>
      <c r="E536" s="8" t="n"/>
      <c r="F536" s="8" t="n">
        <v>9555</v>
      </c>
      <c r="G536" s="8" t="n"/>
      <c r="H536" s="8" t="n"/>
      <c r="I536" s="8" t="n"/>
      <c r="J536" s="8" t="n">
        <v>8585</v>
      </c>
      <c r="K536" s="8" t="n"/>
      <c r="L536" s="8" t="n"/>
      <c r="M536" s="8">
        <f>IF(COUNT(D536:L536)=0,"",MIN(D536:L536))</f>
        <v/>
      </c>
      <c r="N536" s="8">
        <f>IF(COUNT(D536:L536)=0,"",MEDIAN(D536:L536))</f>
        <v/>
      </c>
      <c r="O536" s="8">
        <f>IF(COUNT(D536:L536)=0,"",MAX(D536:L536))</f>
        <v/>
      </c>
      <c r="P536" s="9">
        <f>IF(OR(M536="",M536=0),"",(O536-M536)/M536)</f>
        <v/>
      </c>
      <c r="Q536" s="7">
        <f>IF(COUNT(D536:L536)=0,"",INDEX($D$1:$L$1,MATCH(MIN(D536:L536),D536:L536,0)))</f>
        <v/>
      </c>
      <c r="R536" s="8" t="n">
        <v>9070</v>
      </c>
      <c r="S536" s="10" t="n">
        <v>2</v>
      </c>
    </row>
    <row r="537">
      <c r="A537" s="7" t="inlineStr">
        <is>
          <t>MAT-09-065</t>
        </is>
      </c>
      <c r="B537" s="4" t="inlineStr">
        <is>
          <t>Tinaco de 300 galones</t>
        </is>
      </c>
      <c r="C537" s="7" t="inlineStr">
        <is>
          <t>unidad</t>
        </is>
      </c>
      <c r="D537" s="8" t="n"/>
      <c r="E537" s="8" t="n"/>
      <c r="F537" s="8" t="n"/>
      <c r="G537" s="8" t="n"/>
      <c r="H537" s="8" t="n"/>
      <c r="I537" s="8" t="n"/>
      <c r="J537" s="8" t="n">
        <v>9660</v>
      </c>
      <c r="K537" s="8" t="n"/>
      <c r="L537" s="8" t="n"/>
      <c r="M537" s="8">
        <f>IF(COUNT(D537:L537)=0,"",MIN(D537:L537))</f>
        <v/>
      </c>
      <c r="N537" s="8">
        <f>IF(COUNT(D537:L537)=0,"",MEDIAN(D537:L537))</f>
        <v/>
      </c>
      <c r="O537" s="8">
        <f>IF(COUNT(D537:L537)=0,"",MAX(D537:L537))</f>
        <v/>
      </c>
      <c r="P537" s="9">
        <f>IF(OR(M537="",M537=0),"",(O537-M537)/M537)</f>
        <v/>
      </c>
      <c r="Q537" s="7">
        <f>IF(COUNT(D537:L537)=0,"",INDEX($D$1:$L$1,MATCH(MIN(D537:L537),D537:L537,0)))</f>
        <v/>
      </c>
      <c r="R537" s="8" t="n">
        <v>9660</v>
      </c>
      <c r="S537" s="10" t="n">
        <v>1</v>
      </c>
    </row>
    <row r="538">
      <c r="A538" s="7" t="inlineStr">
        <is>
          <t>MAT-09-066</t>
        </is>
      </c>
      <c r="B538" s="4" t="inlineStr">
        <is>
          <t>Tinaco de 400 galones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/>
      <c r="J538" s="8" t="n">
        <v>12125</v>
      </c>
      <c r="K538" s="8" t="n"/>
      <c r="L538" s="8" t="n"/>
      <c r="M538" s="8">
        <f>IF(COUNT(D538:L538)=0,"",MIN(D538:L538))</f>
        <v/>
      </c>
      <c r="N538" s="8">
        <f>IF(COUNT(D538:L538)=0,"",MEDIAN(D538:L538))</f>
        <v/>
      </c>
      <c r="O538" s="8">
        <f>IF(COUNT(D538:L538)=0,"",MAX(D538:L538))</f>
        <v/>
      </c>
      <c r="P538" s="9">
        <f>IF(OR(M538="",M538=0),"",(O538-M538)/M538)</f>
        <v/>
      </c>
      <c r="Q538" s="7">
        <f>IF(COUNT(D538:L538)=0,"",INDEX($D$1:$L$1,MATCH(MIN(D538:L538),D538:L538,0)))</f>
        <v/>
      </c>
      <c r="R538" s="8" t="n">
        <v>12125</v>
      </c>
      <c r="S538" s="10" t="n">
        <v>1</v>
      </c>
    </row>
    <row r="539">
      <c r="A539" s="7" t="inlineStr">
        <is>
          <t>MAT-09-067</t>
        </is>
      </c>
      <c r="B539" s="4" t="inlineStr">
        <is>
          <t>Tinaco de 530 galones</t>
        </is>
      </c>
      <c r="C539" s="7" t="inlineStr">
        <is>
          <t>unidad</t>
        </is>
      </c>
      <c r="D539" s="8" t="n"/>
      <c r="E539" s="8" t="n"/>
      <c r="F539" s="8" t="n">
        <v>18535</v>
      </c>
      <c r="G539" s="8" t="n"/>
      <c r="H539" s="8" t="n"/>
      <c r="I539" s="8" t="n"/>
      <c r="J539" s="8" t="n">
        <v>15331.46</v>
      </c>
      <c r="K539" s="8" t="n"/>
      <c r="L539" s="8" t="n"/>
      <c r="M539" s="8">
        <f>IF(COUNT(D539:L539)=0,"",MIN(D539:L539))</f>
        <v/>
      </c>
      <c r="N539" s="8">
        <f>IF(COUNT(D539:L539)=0,"",MEDIAN(D539:L539))</f>
        <v/>
      </c>
      <c r="O539" s="8">
        <f>IF(COUNT(D539:L539)=0,"",MAX(D539:L539))</f>
        <v/>
      </c>
      <c r="P539" s="9">
        <f>IF(OR(M539="",M539=0),"",(O539-M539)/M539)</f>
        <v/>
      </c>
      <c r="Q539" s="7">
        <f>IF(COUNT(D539:L539)=0,"",INDEX($D$1:$L$1,MATCH(MIN(D539:L539),D539:L539,0)))</f>
        <v/>
      </c>
      <c r="R539" s="8" t="n">
        <v>16933.23</v>
      </c>
      <c r="S539" s="10" t="n">
        <v>2</v>
      </c>
    </row>
    <row r="540">
      <c r="A540" s="7" t="inlineStr">
        <is>
          <t>MAT-09-068</t>
        </is>
      </c>
      <c r="B540" s="4" t="inlineStr">
        <is>
          <t>Tapa de cisterna de aluminio 24 x 24 pulgadas</t>
        </is>
      </c>
      <c r="C540" s="7" t="inlineStr">
        <is>
          <t>unidad</t>
        </is>
      </c>
      <c r="D540" s="8" t="n"/>
      <c r="E540" s="8" t="n"/>
      <c r="F540" s="8" t="n">
        <v>3313</v>
      </c>
      <c r="G540" s="8" t="n"/>
      <c r="H540" s="8" t="n"/>
      <c r="I540" s="8" t="n"/>
      <c r="J540" s="8" t="n">
        <v>3795</v>
      </c>
      <c r="K540" s="8" t="n"/>
      <c r="L540" s="8" t="n"/>
      <c r="M540" s="8">
        <f>IF(COUNT(D540:L540)=0,"",MIN(D540:L540))</f>
        <v/>
      </c>
      <c r="N540" s="8">
        <f>IF(COUNT(D540:L540)=0,"",MEDIAN(D540:L540))</f>
        <v/>
      </c>
      <c r="O540" s="8">
        <f>IF(COUNT(D540:L540)=0,"",MAX(D540:L540))</f>
        <v/>
      </c>
      <c r="P540" s="9">
        <f>IF(OR(M540="",M540=0),"",(O540-M540)/M540)</f>
        <v/>
      </c>
      <c r="Q540" s="7">
        <f>IF(COUNT(D540:L540)=0,"",INDEX($D$1:$L$1,MATCH(MIN(D540:L540),D540:L540,0)))</f>
        <v/>
      </c>
      <c r="R540" s="8" t="n">
        <v>3554</v>
      </c>
      <c r="S540" s="10" t="n">
        <v>2</v>
      </c>
    </row>
    <row r="541">
      <c r="A541" s="7" t="inlineStr">
        <is>
          <t>MAT-09-069</t>
        </is>
      </c>
      <c r="B541" s="4" t="inlineStr">
        <is>
          <t>Tapa de cisterna de aluminio 30 x 30 pulgadas</t>
        </is>
      </c>
      <c r="C541" s="7" t="inlineStr">
        <is>
          <t>unidad</t>
        </is>
      </c>
      <c r="D541" s="8" t="n"/>
      <c r="E541" s="8" t="n"/>
      <c r="F541" s="8" t="n">
        <v>4503</v>
      </c>
      <c r="G541" s="8" t="n"/>
      <c r="H541" s="8" t="n"/>
      <c r="I541" s="8" t="n"/>
      <c r="J541" s="8" t="n">
        <v>4745</v>
      </c>
      <c r="K541" s="8" t="n"/>
      <c r="L541" s="8" t="n"/>
      <c r="M541" s="8">
        <f>IF(COUNT(D541:L541)=0,"",MIN(D541:L541))</f>
        <v/>
      </c>
      <c r="N541" s="8">
        <f>IF(COUNT(D541:L541)=0,"",MEDIAN(D541:L541))</f>
        <v/>
      </c>
      <c r="O541" s="8">
        <f>IF(COUNT(D541:L541)=0,"",MAX(D541:L541))</f>
        <v/>
      </c>
      <c r="P541" s="9">
        <f>IF(OR(M541="",M541=0),"",(O541-M541)/M541)</f>
        <v/>
      </c>
      <c r="Q541" s="7">
        <f>IF(COUNT(D541:L541)=0,"",INDEX($D$1:$L$1,MATCH(MIN(D541:L541),D541:L541,0)))</f>
        <v/>
      </c>
      <c r="R541" s="8" t="n">
        <v>4624</v>
      </c>
      <c r="S541" s="10" t="n">
        <v>2</v>
      </c>
    </row>
    <row r="542">
      <c r="A542" s="7" t="inlineStr">
        <is>
          <t>MAT-09-070</t>
        </is>
      </c>
      <c r="B542" s="4" t="inlineStr">
        <is>
          <t>Tapa de cisterna de aluminio 33 x 33 pulgadas</t>
        </is>
      </c>
      <c r="C542" s="7" t="inlineStr">
        <is>
          <t>unidad</t>
        </is>
      </c>
      <c r="D542" s="8" t="n"/>
      <c r="E542" s="8" t="n"/>
      <c r="F542" s="8" t="n">
        <v>3995</v>
      </c>
      <c r="G542" s="8" t="n"/>
      <c r="H542" s="8" t="n"/>
      <c r="I542" s="8" t="n"/>
      <c r="J542" s="8" t="n"/>
      <c r="K542" s="8" t="n"/>
      <c r="L542" s="8" t="n"/>
      <c r="M542" s="8">
        <f>IF(COUNT(D542:L542)=0,"",MIN(D542:L542))</f>
        <v/>
      </c>
      <c r="N542" s="8">
        <f>IF(COUNT(D542:L542)=0,"",MEDIAN(D542:L542))</f>
        <v/>
      </c>
      <c r="O542" s="8">
        <f>IF(COUNT(D542:L542)=0,"",MAX(D542:L542))</f>
        <v/>
      </c>
      <c r="P542" s="9">
        <f>IF(OR(M542="",M542=0),"",(O542-M542)/M542)</f>
        <v/>
      </c>
      <c r="Q542" s="7">
        <f>IF(COUNT(D542:L542)=0,"",INDEX($D$1:$L$1,MATCH(MIN(D542:L542),D542:L542,0)))</f>
        <v/>
      </c>
      <c r="R542" s="8" t="n">
        <v>3995</v>
      </c>
      <c r="S542" s="10" t="n">
        <v>1</v>
      </c>
    </row>
    <row r="543">
      <c r="A543" s="7" t="inlineStr">
        <is>
          <t>MAT-09-071</t>
        </is>
      </c>
      <c r="B543" s="4" t="inlineStr">
        <is>
          <t>Boya para válvula de cisterna, 120 mm</t>
        </is>
      </c>
      <c r="C543" s="7" t="inlineStr">
        <is>
          <t>unidad</t>
        </is>
      </c>
      <c r="D543" s="8" t="n"/>
      <c r="E543" s="8" t="n"/>
      <c r="F543" s="8" t="n">
        <v>295</v>
      </c>
      <c r="G543" s="8" t="n"/>
      <c r="H543" s="8" t="n"/>
      <c r="I543" s="8" t="n"/>
      <c r="J543" s="8" t="n"/>
      <c r="K543" s="8" t="n"/>
      <c r="L543" s="8" t="n"/>
      <c r="M543" s="8">
        <f>IF(COUNT(D543:L543)=0,"",MIN(D543:L543))</f>
        <v/>
      </c>
      <c r="N543" s="8">
        <f>IF(COUNT(D543:L543)=0,"",MEDIAN(D543:L543))</f>
        <v/>
      </c>
      <c r="O543" s="8">
        <f>IF(COUNT(D543:L543)=0,"",MAX(D543:L543))</f>
        <v/>
      </c>
      <c r="P543" s="9">
        <f>IF(OR(M543="",M543=0),"",(O543-M543)/M543)</f>
        <v/>
      </c>
      <c r="Q543" s="7">
        <f>IF(COUNT(D543:L543)=0,"",INDEX($D$1:$L$1,MATCH(MIN(D543:L543),D543:L543,0)))</f>
        <v/>
      </c>
      <c r="R543" s="8" t="n">
        <v>295</v>
      </c>
      <c r="S543" s="10" t="n">
        <v>1</v>
      </c>
    </row>
    <row r="544">
      <c r="A544" s="7" t="inlineStr">
        <is>
          <t>MAT-09-072</t>
        </is>
      </c>
      <c r="B544" s="4" t="inlineStr">
        <is>
          <t>Boya para válvula de cisterna, 150 mm</t>
        </is>
      </c>
      <c r="C544" s="7" t="inlineStr">
        <is>
          <t>unidad</t>
        </is>
      </c>
      <c r="D544" s="8" t="n"/>
      <c r="E544" s="8" t="n"/>
      <c r="F544" s="8" t="n">
        <v>375</v>
      </c>
      <c r="G544" s="8" t="n"/>
      <c r="H544" s="8" t="n"/>
      <c r="I544" s="8" t="n"/>
      <c r="J544" s="8" t="n"/>
      <c r="K544" s="8" t="n"/>
      <c r="L544" s="8" t="n"/>
      <c r="M544" s="8">
        <f>IF(COUNT(D544:L544)=0,"",MIN(D544:L544))</f>
        <v/>
      </c>
      <c r="N544" s="8">
        <f>IF(COUNT(D544:L544)=0,"",MEDIAN(D544:L544))</f>
        <v/>
      </c>
      <c r="O544" s="8">
        <f>IF(COUNT(D544:L544)=0,"",MAX(D544:L544))</f>
        <v/>
      </c>
      <c r="P544" s="9">
        <f>IF(OR(M544="",M544=0),"",(O544-M544)/M544)</f>
        <v/>
      </c>
      <c r="Q544" s="7">
        <f>IF(COUNT(D544:L544)=0,"",INDEX($D$1:$L$1,MATCH(MIN(D544:L544),D544:L544,0)))</f>
        <v/>
      </c>
      <c r="R544" s="8" t="n">
        <v>375</v>
      </c>
      <c r="S544" s="10" t="n">
        <v>1</v>
      </c>
    </row>
    <row r="545">
      <c r="A545" s="7" t="inlineStr">
        <is>
          <t>MAT-09-073</t>
        </is>
      </c>
      <c r="B545" s="4" t="inlineStr">
        <is>
          <t>Boya para válvula de cisterna, 90 mm</t>
        </is>
      </c>
      <c r="C545" s="7" t="inlineStr">
        <is>
          <t>unidad</t>
        </is>
      </c>
      <c r="D545" s="8" t="n"/>
      <c r="E545" s="8" t="n"/>
      <c r="F545" s="8" t="n">
        <v>160</v>
      </c>
      <c r="G545" s="8" t="n"/>
      <c r="H545" s="8" t="n"/>
      <c r="I545" s="8" t="n"/>
      <c r="J545" s="8" t="n"/>
      <c r="K545" s="8" t="n"/>
      <c r="L545" s="8" t="n"/>
      <c r="M545" s="8">
        <f>IF(COUNT(D545:L545)=0,"",MIN(D545:L545))</f>
        <v/>
      </c>
      <c r="N545" s="8">
        <f>IF(COUNT(D545:L545)=0,"",MEDIAN(D545:L545))</f>
        <v/>
      </c>
      <c r="O545" s="8">
        <f>IF(COUNT(D545:L545)=0,"",MAX(D545:L545))</f>
        <v/>
      </c>
      <c r="P545" s="9">
        <f>IF(OR(M545="",M545=0),"",(O545-M545)/M545)</f>
        <v/>
      </c>
      <c r="Q545" s="7">
        <f>IF(COUNT(D545:L545)=0,"",INDEX($D$1:$L$1,MATCH(MIN(D545:L545),D545:L545,0)))</f>
        <v/>
      </c>
      <c r="R545" s="8" t="n">
        <v>160</v>
      </c>
      <c r="S545" s="10" t="n">
        <v>1</v>
      </c>
    </row>
    <row r="546">
      <c r="A546" s="7" t="inlineStr">
        <is>
          <t>MAT-09-074</t>
        </is>
      </c>
      <c r="B546" s="4" t="inlineStr">
        <is>
          <t>Fregadero de un pozo, 10 x 9 pulgadas</t>
        </is>
      </c>
      <c r="C546" s="7" t="inlineStr">
        <is>
          <t>unidad</t>
        </is>
      </c>
      <c r="D546" s="8" t="n"/>
      <c r="E546" s="8" t="n"/>
      <c r="F546" s="8" t="n"/>
      <c r="G546" s="8" t="n">
        <v>4000</v>
      </c>
      <c r="H546" s="8" t="n"/>
      <c r="I546" s="8" t="n"/>
      <c r="J546" s="8" t="n"/>
      <c r="K546" s="8" t="n"/>
      <c r="L546" s="8" t="n"/>
      <c r="M546" s="8">
        <f>IF(COUNT(D546:L546)=0,"",MIN(D546:L546))</f>
        <v/>
      </c>
      <c r="N546" s="8">
        <f>IF(COUNT(D546:L546)=0,"",MEDIAN(D546:L546))</f>
        <v/>
      </c>
      <c r="O546" s="8">
        <f>IF(COUNT(D546:L546)=0,"",MAX(D546:L546))</f>
        <v/>
      </c>
      <c r="P546" s="9">
        <f>IF(OR(M546="",M546=0),"",(O546-M546)/M546)</f>
        <v/>
      </c>
      <c r="Q546" s="7">
        <f>IF(COUNT(D546:L546)=0,"",INDEX($D$1:$L$1,MATCH(MIN(D546:L546),D546:L546,0)))</f>
        <v/>
      </c>
      <c r="R546" s="8" t="n">
        <v>4000</v>
      </c>
      <c r="S546" s="10" t="n">
        <v>1</v>
      </c>
    </row>
    <row r="547">
      <c r="A547" s="7" t="inlineStr">
        <is>
          <t>MAT-09-075</t>
        </is>
      </c>
      <c r="B547" s="4" t="inlineStr">
        <is>
          <t>Fregadero de un pozo, 15 x 15 pulgadas</t>
        </is>
      </c>
      <c r="C547" s="7" t="inlineStr">
        <is>
          <t>unidad</t>
        </is>
      </c>
      <c r="D547" s="8" t="n"/>
      <c r="E547" s="8" t="n"/>
      <c r="F547" s="8" t="n">
        <v>1425</v>
      </c>
      <c r="G547" s="8" t="n"/>
      <c r="H547" s="8" t="n"/>
      <c r="I547" s="8" t="n"/>
      <c r="J547" s="8" t="n"/>
      <c r="K547" s="8" t="n"/>
      <c r="L547" s="8" t="n"/>
      <c r="M547" s="8">
        <f>IF(COUNT(D547:L547)=0,"",MIN(D547:L547))</f>
        <v/>
      </c>
      <c r="N547" s="8">
        <f>IF(COUNT(D547:L547)=0,"",MEDIAN(D547:L547))</f>
        <v/>
      </c>
      <c r="O547" s="8">
        <f>IF(COUNT(D547:L547)=0,"",MAX(D547:L547))</f>
        <v/>
      </c>
      <c r="P547" s="9">
        <f>IF(OR(M547="",M547=0),"",(O547-M547)/M547)</f>
        <v/>
      </c>
      <c r="Q547" s="7">
        <f>IF(COUNT(D547:L547)=0,"",INDEX($D$1:$L$1,MATCH(MIN(D547:L547),D547:L547,0)))</f>
        <v/>
      </c>
      <c r="R547" s="8" t="n">
        <v>1425</v>
      </c>
      <c r="S547" s="10" t="n">
        <v>1</v>
      </c>
    </row>
    <row r="548">
      <c r="A548" s="7" t="inlineStr">
        <is>
          <t>MAT-09-076</t>
        </is>
      </c>
      <c r="B548" s="4" t="inlineStr">
        <is>
          <t>Fregadero de un pozo, 16 x 13 pulgadas</t>
        </is>
      </c>
      <c r="C548" s="7" t="inlineStr">
        <is>
          <t>unidad</t>
        </is>
      </c>
      <c r="D548" s="8" t="n"/>
      <c r="E548" s="8" t="n">
        <v>2764.6</v>
      </c>
      <c r="F548" s="8" t="n"/>
      <c r="G548" s="8" t="n"/>
      <c r="H548" s="8" t="n"/>
      <c r="I548" s="8" t="n"/>
      <c r="J548" s="8" t="n"/>
      <c r="K548" s="8" t="n"/>
      <c r="L548" s="8" t="n"/>
      <c r="M548" s="8">
        <f>IF(COUNT(D548:L548)=0,"",MIN(D548:L548))</f>
        <v/>
      </c>
      <c r="N548" s="8">
        <f>IF(COUNT(D548:L548)=0,"",MEDIAN(D548:L548))</f>
        <v/>
      </c>
      <c r="O548" s="8">
        <f>IF(COUNT(D548:L548)=0,"",MAX(D548:L548))</f>
        <v/>
      </c>
      <c r="P548" s="9">
        <f>IF(OR(M548="",M548=0),"",(O548-M548)/M548)</f>
        <v/>
      </c>
      <c r="Q548" s="7">
        <f>IF(COUNT(D548:L548)=0,"",INDEX($D$1:$L$1,MATCH(MIN(D548:L548),D548:L548,0)))</f>
        <v/>
      </c>
      <c r="R548" s="8" t="n">
        <v>3262.23</v>
      </c>
      <c r="S548" s="10" t="n">
        <v>1</v>
      </c>
    </row>
    <row r="549">
      <c r="A549" s="7" t="inlineStr">
        <is>
          <t>MAT-09-077</t>
        </is>
      </c>
      <c r="B549" s="4" t="inlineStr">
        <is>
          <t>Fregadero de un pozo, 19 x 13 pulgadas</t>
        </is>
      </c>
      <c r="C549" s="7" t="inlineStr">
        <is>
          <t>unidad</t>
        </is>
      </c>
      <c r="D549" s="8" t="n"/>
      <c r="E549" s="8" t="n">
        <v>2753.38</v>
      </c>
      <c r="F549" s="8" t="n"/>
      <c r="G549" s="8" t="n"/>
      <c r="H549" s="8" t="n"/>
      <c r="I549" s="8" t="n"/>
      <c r="J549" s="8" t="n"/>
      <c r="K549" s="8" t="n"/>
      <c r="L549" s="8" t="n"/>
      <c r="M549" s="8">
        <f>IF(COUNT(D549:L549)=0,"",MIN(D549:L549))</f>
        <v/>
      </c>
      <c r="N549" s="8">
        <f>IF(COUNT(D549:L549)=0,"",MEDIAN(D549:L549))</f>
        <v/>
      </c>
      <c r="O549" s="8">
        <f>IF(COUNT(D549:L549)=0,"",MAX(D549:L549))</f>
        <v/>
      </c>
      <c r="P549" s="9">
        <f>IF(OR(M549="",M549=0),"",(O549-M549)/M549)</f>
        <v/>
      </c>
      <c r="Q549" s="7">
        <f>IF(COUNT(D549:L549)=0,"",INDEX($D$1:$L$1,MATCH(MIN(D549:L549),D549:L549,0)))</f>
        <v/>
      </c>
      <c r="R549" s="8" t="n">
        <v>3248.99</v>
      </c>
      <c r="S549" s="10" t="n">
        <v>1</v>
      </c>
    </row>
    <row r="550">
      <c r="A550" s="7" t="inlineStr">
        <is>
          <t>MAT-09-078</t>
        </is>
      </c>
      <c r="B550" s="4" t="inlineStr">
        <is>
          <t>Fregadero de un pozo, 20 x 16 pulgadas</t>
        </is>
      </c>
      <c r="C550" s="7" t="inlineStr">
        <is>
          <t>unidad</t>
        </is>
      </c>
      <c r="D550" s="8" t="n"/>
      <c r="E550" s="8" t="n">
        <v>16794.81</v>
      </c>
      <c r="F550" s="8" t="n"/>
      <c r="G550" s="8" t="n"/>
      <c r="H550" s="8" t="n"/>
      <c r="I550" s="8" t="n"/>
      <c r="J550" s="8" t="n"/>
      <c r="K550" s="8" t="n"/>
      <c r="L550" s="8" t="n"/>
      <c r="M550" s="8">
        <f>IF(COUNT(D550:L550)=0,"",MIN(D550:L550))</f>
        <v/>
      </c>
      <c r="N550" s="8">
        <f>IF(COUNT(D550:L550)=0,"",MEDIAN(D550:L550))</f>
        <v/>
      </c>
      <c r="O550" s="8">
        <f>IF(COUNT(D550:L550)=0,"",MAX(D550:L550))</f>
        <v/>
      </c>
      <c r="P550" s="9">
        <f>IF(OR(M550="",M550=0),"",(O550-M550)/M550)</f>
        <v/>
      </c>
      <c r="Q550" s="7">
        <f>IF(COUNT(D550:L550)=0,"",INDEX($D$1:$L$1,MATCH(MIN(D550:L550),D550:L550,0)))</f>
        <v/>
      </c>
      <c r="R550" s="8" t="n">
        <v>19817.88</v>
      </c>
      <c r="S550" s="10" t="n">
        <v>1</v>
      </c>
    </row>
    <row r="551">
      <c r="A551" s="7" t="inlineStr">
        <is>
          <t>MAT-09-079</t>
        </is>
      </c>
      <c r="B551" s="4" t="inlineStr">
        <is>
          <t>Fregadero de un pozo, 22 x 13 pulgadas</t>
        </is>
      </c>
      <c r="C551" s="7" t="inlineStr">
        <is>
          <t>unidad</t>
        </is>
      </c>
      <c r="D551" s="8" t="n"/>
      <c r="E551" s="8" t="n">
        <v>4600.63</v>
      </c>
      <c r="F551" s="8" t="n"/>
      <c r="G551" s="8" t="n"/>
      <c r="H551" s="8" t="n"/>
      <c r="I551" s="8" t="n"/>
      <c r="J551" s="8" t="n"/>
      <c r="K551" s="8" t="n"/>
      <c r="L551" s="8" t="n"/>
      <c r="M551" s="8">
        <f>IF(COUNT(D551:L551)=0,"",MIN(D551:L551))</f>
        <v/>
      </c>
      <c r="N551" s="8">
        <f>IF(COUNT(D551:L551)=0,"",MEDIAN(D551:L551))</f>
        <v/>
      </c>
      <c r="O551" s="8">
        <f>IF(COUNT(D551:L551)=0,"",MAX(D551:L551))</f>
        <v/>
      </c>
      <c r="P551" s="9">
        <f>IF(OR(M551="",M551=0),"",(O551-M551)/M551)</f>
        <v/>
      </c>
      <c r="Q551" s="7">
        <f>IF(COUNT(D551:L551)=0,"",INDEX($D$1:$L$1,MATCH(MIN(D551:L551),D551:L551,0)))</f>
        <v/>
      </c>
      <c r="R551" s="8" t="n">
        <v>5428.74</v>
      </c>
      <c r="S551" s="10" t="n">
        <v>1</v>
      </c>
    </row>
    <row r="552">
      <c r="A552" s="7" t="inlineStr">
        <is>
          <t>MAT-09-080</t>
        </is>
      </c>
      <c r="B552" s="4" t="inlineStr">
        <is>
          <t>Fregadero de un pozo, 24 x 19 pulgadas</t>
        </is>
      </c>
      <c r="C552" s="7" t="inlineStr">
        <is>
          <t>unidad</t>
        </is>
      </c>
      <c r="D552" s="8" t="n"/>
      <c r="E552" s="8" t="n">
        <v>15492.89</v>
      </c>
      <c r="F552" s="8" t="n"/>
      <c r="G552" s="8" t="n"/>
      <c r="H552" s="8" t="n"/>
      <c r="I552" s="8" t="n"/>
      <c r="J552" s="8" t="n"/>
      <c r="K552" s="8" t="n"/>
      <c r="L552" s="8" t="n"/>
      <c r="M552" s="8">
        <f>IF(COUNT(D552:L552)=0,"",MIN(D552:L552))</f>
        <v/>
      </c>
      <c r="N552" s="8">
        <f>IF(COUNT(D552:L552)=0,"",MEDIAN(D552:L552))</f>
        <v/>
      </c>
      <c r="O552" s="8">
        <f>IF(COUNT(D552:L552)=0,"",MAX(D552:L552))</f>
        <v/>
      </c>
      <c r="P552" s="9">
        <f>IF(OR(M552="",M552=0),"",(O552-M552)/M552)</f>
        <v/>
      </c>
      <c r="Q552" s="7">
        <f>IF(COUNT(D552:L552)=0,"",INDEX($D$1:$L$1,MATCH(MIN(D552:L552),D552:L552,0)))</f>
        <v/>
      </c>
      <c r="R552" s="8" t="n">
        <v>18281.61</v>
      </c>
      <c r="S552" s="10" t="n">
        <v>1</v>
      </c>
    </row>
    <row r="553">
      <c r="A553" s="7" t="inlineStr">
        <is>
          <t>MAT-09-081</t>
        </is>
      </c>
      <c r="B553" s="4" t="inlineStr">
        <is>
          <t>Fregadero de un pozo, 28 x 16 pulgadas</t>
        </is>
      </c>
      <c r="C553" s="7" t="inlineStr">
        <is>
          <t>unidad</t>
        </is>
      </c>
      <c r="D553" s="8" t="n"/>
      <c r="E553" s="8" t="n">
        <v>18365.37</v>
      </c>
      <c r="F553" s="8" t="n"/>
      <c r="G553" s="8" t="n"/>
      <c r="H553" s="8" t="n"/>
      <c r="I553" s="8" t="n"/>
      <c r="J553" s="8" t="n"/>
      <c r="K553" s="8" t="n"/>
      <c r="L553" s="8" t="n"/>
      <c r="M553" s="8">
        <f>IF(COUNT(D553:L553)=0,"",MIN(D553:L553))</f>
        <v/>
      </c>
      <c r="N553" s="8">
        <f>IF(COUNT(D553:L553)=0,"",MEDIAN(D553:L553))</f>
        <v/>
      </c>
      <c r="O553" s="8">
        <f>IF(COUNT(D553:L553)=0,"",MAX(D553:L553))</f>
        <v/>
      </c>
      <c r="P553" s="9">
        <f>IF(OR(M553="",M553=0),"",(O553-M553)/M553)</f>
        <v/>
      </c>
      <c r="Q553" s="7">
        <f>IF(COUNT(D553:L553)=0,"",INDEX($D$1:$L$1,MATCH(MIN(D553:L553),D553:L553,0)))</f>
        <v/>
      </c>
      <c r="R553" s="8" t="n">
        <v>21671.14</v>
      </c>
      <c r="S553" s="10" t="n">
        <v>1</v>
      </c>
    </row>
    <row r="554">
      <c r="A554" s="7" t="inlineStr">
        <is>
          <t>MAT-09-082</t>
        </is>
      </c>
      <c r="B554" s="4" t="inlineStr">
        <is>
          <t>Fregadero de un pozo, 29 x 16 pulgadas</t>
        </is>
      </c>
      <c r="C554" s="7" t="inlineStr">
        <is>
          <t>unidad</t>
        </is>
      </c>
      <c r="D554" s="8" t="n"/>
      <c r="E554" s="8" t="n">
        <v>23956.99</v>
      </c>
      <c r="F554" s="8" t="n"/>
      <c r="G554" s="8" t="n"/>
      <c r="H554" s="8" t="n"/>
      <c r="I554" s="8" t="n"/>
      <c r="J554" s="8" t="n"/>
      <c r="K554" s="8" t="n"/>
      <c r="L554" s="8" t="n"/>
      <c r="M554" s="8">
        <f>IF(COUNT(D554:L554)=0,"",MIN(D554:L554))</f>
        <v/>
      </c>
      <c r="N554" s="8">
        <f>IF(COUNT(D554:L554)=0,"",MEDIAN(D554:L554))</f>
        <v/>
      </c>
      <c r="O554" s="8">
        <f>IF(COUNT(D554:L554)=0,"",MAX(D554:L554))</f>
        <v/>
      </c>
      <c r="P554" s="9">
        <f>IF(OR(M554="",M554=0),"",(O554-M554)/M554)</f>
        <v/>
      </c>
      <c r="Q554" s="7">
        <f>IF(COUNT(D554:L554)=0,"",INDEX($D$1:$L$1,MATCH(MIN(D554:L554),D554:L554,0)))</f>
        <v/>
      </c>
      <c r="R554" s="8" t="n">
        <v>28269.25</v>
      </c>
      <c r="S554" s="10" t="n">
        <v>1</v>
      </c>
    </row>
    <row r="555">
      <c r="A555" s="7" t="inlineStr">
        <is>
          <t>MAT-09-083</t>
        </is>
      </c>
      <c r="B555" s="4" t="inlineStr">
        <is>
          <t>Fregadero de un pozo, 31 x 20 pulgadas</t>
        </is>
      </c>
      <c r="C555" s="7" t="inlineStr">
        <is>
          <t>unidad</t>
        </is>
      </c>
      <c r="D555" s="8" t="n"/>
      <c r="E555" s="8" t="n"/>
      <c r="F555" s="8" t="n"/>
      <c r="G555" s="8" t="n"/>
      <c r="H555" s="8" t="n">
        <v>1635</v>
      </c>
      <c r="I555" s="8" t="n"/>
      <c r="J555" s="8" t="n"/>
      <c r="K555" s="8" t="n"/>
      <c r="L555" s="8" t="n"/>
      <c r="M555" s="8">
        <f>IF(COUNT(D555:L555)=0,"",MIN(D555:L555))</f>
        <v/>
      </c>
      <c r="N555" s="8">
        <f>IF(COUNT(D555:L555)=0,"",MEDIAN(D555:L555))</f>
        <v/>
      </c>
      <c r="O555" s="8">
        <f>IF(COUNT(D555:L555)=0,"",MAX(D555:L555))</f>
        <v/>
      </c>
      <c r="P555" s="9">
        <f>IF(OR(M555="",M555=0),"",(O555-M555)/M555)</f>
        <v/>
      </c>
      <c r="Q555" s="7">
        <f>IF(COUNT(D555:L555)=0,"",INDEX($D$1:$L$1,MATCH(MIN(D555:L555),D555:L555,0)))</f>
        <v/>
      </c>
      <c r="R555" s="8" t="n">
        <v>1635</v>
      </c>
      <c r="S555" s="10" t="n">
        <v>1</v>
      </c>
    </row>
    <row r="556">
      <c r="A556" s="7" t="inlineStr">
        <is>
          <t>MAT-09-084</t>
        </is>
      </c>
      <c r="B556" s="4" t="inlineStr">
        <is>
          <t>Fregadero de un pozo, 8 x 8 pulgadas</t>
        </is>
      </c>
      <c r="C556" s="7" t="inlineStr">
        <is>
          <t>unidad</t>
        </is>
      </c>
      <c r="D556" s="8" t="n"/>
      <c r="E556" s="8" t="n"/>
      <c r="F556" s="8" t="n"/>
      <c r="G556" s="8" t="n">
        <v>74.84999999999999</v>
      </c>
      <c r="H556" s="8" t="n"/>
      <c r="I556" s="8" t="n"/>
      <c r="J556" s="8" t="n"/>
      <c r="K556" s="8" t="n"/>
      <c r="L556" s="8" t="n"/>
      <c r="M556" s="8">
        <f>IF(COUNT(D556:L556)=0,"",MIN(D556:L556))</f>
        <v/>
      </c>
      <c r="N556" s="8">
        <f>IF(COUNT(D556:L556)=0,"",MEDIAN(D556:L556))</f>
        <v/>
      </c>
      <c r="O556" s="8">
        <f>IF(COUNT(D556:L556)=0,"",MAX(D556:L556))</f>
        <v/>
      </c>
      <c r="P556" s="9">
        <f>IF(OR(M556="",M556=0),"",(O556-M556)/M556)</f>
        <v/>
      </c>
      <c r="Q556" s="7">
        <f>IF(COUNT(D556:L556)=0,"",INDEX($D$1:$L$1,MATCH(MIN(D556:L556),D556:L556,0)))</f>
        <v/>
      </c>
      <c r="R556" s="8" t="n">
        <v>74.84999999999999</v>
      </c>
      <c r="S556" s="10" t="n">
        <v>1</v>
      </c>
    </row>
    <row r="557">
      <c r="A557" s="7" t="inlineStr">
        <is>
          <t>MAT-09-085</t>
        </is>
      </c>
      <c r="B557" s="4" t="inlineStr">
        <is>
          <t>Fregadero de un pozo, 9 x 7 pulgadas</t>
        </is>
      </c>
      <c r="C557" s="7" t="inlineStr">
        <is>
          <t>unidad</t>
        </is>
      </c>
      <c r="D557" s="8" t="n"/>
      <c r="E557" s="8" t="n"/>
      <c r="F557" s="8" t="n"/>
      <c r="G557" s="8" t="n">
        <v>5265.16</v>
      </c>
      <c r="H557" s="8" t="n"/>
      <c r="I557" s="8" t="n"/>
      <c r="J557" s="8" t="n"/>
      <c r="K557" s="8" t="n"/>
      <c r="L557" s="8" t="n"/>
      <c r="M557" s="8">
        <f>IF(COUNT(D557:L557)=0,"",MIN(D557:L557))</f>
        <v/>
      </c>
      <c r="N557" s="8">
        <f>IF(COUNT(D557:L557)=0,"",MEDIAN(D557:L557))</f>
        <v/>
      </c>
      <c r="O557" s="8">
        <f>IF(COUNT(D557:L557)=0,"",MAX(D557:L557))</f>
        <v/>
      </c>
      <c r="P557" s="9">
        <f>IF(OR(M557="",M557=0),"",(O557-M557)/M557)</f>
        <v/>
      </c>
      <c r="Q557" s="7">
        <f>IF(COUNT(D557:L557)=0,"",INDEX($D$1:$L$1,MATCH(MIN(D557:L557),D557:L557,0)))</f>
        <v/>
      </c>
      <c r="R557" s="8" t="n">
        <v>5265.16</v>
      </c>
      <c r="S557" s="10" t="n">
        <v>1</v>
      </c>
    </row>
    <row r="558">
      <c r="A558" s="7" t="inlineStr">
        <is>
          <t>MAT-09-086</t>
        </is>
      </c>
      <c r="B558" s="4" t="inlineStr">
        <is>
          <t>Fregadero de un pozo, medida estándar</t>
        </is>
      </c>
      <c r="C558" s="7" t="inlineStr">
        <is>
          <t>unidad</t>
        </is>
      </c>
      <c r="D558" s="8" t="n"/>
      <c r="E558" s="8" t="n"/>
      <c r="F558" s="8" t="n">
        <v>3040</v>
      </c>
      <c r="G558" s="8" t="n"/>
      <c r="H558" s="8" t="n"/>
      <c r="I558" s="8" t="n"/>
      <c r="J558" s="8" t="n"/>
      <c r="K558" s="8" t="n"/>
      <c r="L558" s="8" t="n"/>
      <c r="M558" s="8">
        <f>IF(COUNT(D558:L558)=0,"",MIN(D558:L558))</f>
        <v/>
      </c>
      <c r="N558" s="8">
        <f>IF(COUNT(D558:L558)=0,"",MEDIAN(D558:L558))</f>
        <v/>
      </c>
      <c r="O558" s="8">
        <f>IF(COUNT(D558:L558)=0,"",MAX(D558:L558))</f>
        <v/>
      </c>
      <c r="P558" s="9">
        <f>IF(OR(M558="",M558=0),"",(O558-M558)/M558)</f>
        <v/>
      </c>
      <c r="Q558" s="7">
        <f>IF(COUNT(D558:L558)=0,"",INDEX($D$1:$L$1,MATCH(MIN(D558:L558),D558:L558,0)))</f>
        <v/>
      </c>
      <c r="R558" s="8" t="n">
        <v>3040</v>
      </c>
      <c r="S558" s="10" t="n">
        <v>1</v>
      </c>
    </row>
    <row r="559">
      <c r="A559" s="7" t="inlineStr">
        <is>
          <t>MAT-09-087</t>
        </is>
      </c>
      <c r="B559" s="4" t="inlineStr">
        <is>
          <t>Fregadero de 2 pozos, 28 x 16 pulgadas</t>
        </is>
      </c>
      <c r="C559" s="7" t="inlineStr">
        <is>
          <t>unidad</t>
        </is>
      </c>
      <c r="D559" s="8" t="n"/>
      <c r="E559" s="8" t="n">
        <v>11376</v>
      </c>
      <c r="F559" s="8" t="n"/>
      <c r="G559" s="8" t="n"/>
      <c r="H559" s="8" t="n"/>
      <c r="I559" s="8" t="n"/>
      <c r="J559" s="8" t="n"/>
      <c r="K559" s="8" t="n"/>
      <c r="L559" s="8" t="n"/>
      <c r="M559" s="8">
        <f>IF(COUNT(D559:L559)=0,"",MIN(D559:L559))</f>
        <v/>
      </c>
      <c r="N559" s="8">
        <f>IF(COUNT(D559:L559)=0,"",MEDIAN(D559:L559))</f>
        <v/>
      </c>
      <c r="O559" s="8">
        <f>IF(COUNT(D559:L559)=0,"",MAX(D559:L559))</f>
        <v/>
      </c>
      <c r="P559" s="9">
        <f>IF(OR(M559="",M559=0),"",(O559-M559)/M559)</f>
        <v/>
      </c>
      <c r="Q559" s="7">
        <f>IF(COUNT(D559:L559)=0,"",INDEX($D$1:$L$1,MATCH(MIN(D559:L559),D559:L559,0)))</f>
        <v/>
      </c>
      <c r="R559" s="8" t="n">
        <v>13423.68</v>
      </c>
      <c r="S559" s="10" t="n">
        <v>1</v>
      </c>
    </row>
    <row r="560">
      <c r="A560" s="7" t="inlineStr">
        <is>
          <t>MAT-09-088</t>
        </is>
      </c>
      <c r="B560" s="4" t="inlineStr">
        <is>
          <t>Fregadero de 2 pozos, 31 x 18 pulgadas</t>
        </is>
      </c>
      <c r="C560" s="7" t="inlineStr">
        <is>
          <t>unidad</t>
        </is>
      </c>
      <c r="D560" s="8" t="n"/>
      <c r="E560" s="8" t="n">
        <v>18165.28</v>
      </c>
      <c r="F560" s="8" t="n"/>
      <c r="G560" s="8" t="n"/>
      <c r="H560" s="8" t="n"/>
      <c r="I560" s="8" t="n"/>
      <c r="J560" s="8" t="n"/>
      <c r="K560" s="8" t="n"/>
      <c r="L560" s="8" t="n"/>
      <c r="M560" s="8">
        <f>IF(COUNT(D560:L560)=0,"",MIN(D560:L560))</f>
        <v/>
      </c>
      <c r="N560" s="8">
        <f>IF(COUNT(D560:L560)=0,"",MEDIAN(D560:L560))</f>
        <v/>
      </c>
      <c r="O560" s="8">
        <f>IF(COUNT(D560:L560)=0,"",MAX(D560:L560))</f>
        <v/>
      </c>
      <c r="P560" s="9">
        <f>IF(OR(M560="",M560=0),"",(O560-M560)/M560)</f>
        <v/>
      </c>
      <c r="Q560" s="7">
        <f>IF(COUNT(D560:L560)=0,"",INDEX($D$1:$L$1,MATCH(MIN(D560:L560),D560:L560,0)))</f>
        <v/>
      </c>
      <c r="R560" s="8" t="n">
        <v>37416.26</v>
      </c>
      <c r="S560" s="10" t="n">
        <v>1</v>
      </c>
    </row>
    <row r="561">
      <c r="A561" s="7" t="inlineStr">
        <is>
          <t>MAT-09-089</t>
        </is>
      </c>
      <c r="B561" s="4" t="inlineStr">
        <is>
          <t>Fregadero de 2 pozos, 31 x 19 pulgadas</t>
        </is>
      </c>
      <c r="C561" s="7" t="inlineStr">
        <is>
          <t>unidad</t>
        </is>
      </c>
      <c r="D561" s="8" t="n"/>
      <c r="E561" s="8" t="n">
        <v>17852.79</v>
      </c>
      <c r="F561" s="8" t="n"/>
      <c r="G561" s="8" t="n"/>
      <c r="H561" s="8" t="n"/>
      <c r="I561" s="8" t="n"/>
      <c r="J561" s="8" t="n"/>
      <c r="K561" s="8" t="n"/>
      <c r="L561" s="8" t="n"/>
      <c r="M561" s="8">
        <f>IF(COUNT(D561:L561)=0,"",MIN(D561:L561))</f>
        <v/>
      </c>
      <c r="N561" s="8">
        <f>IF(COUNT(D561:L561)=0,"",MEDIAN(D561:L561))</f>
        <v/>
      </c>
      <c r="O561" s="8">
        <f>IF(COUNT(D561:L561)=0,"",MAX(D561:L561))</f>
        <v/>
      </c>
      <c r="P561" s="9">
        <f>IF(OR(M561="",M561=0),"",(O561-M561)/M561)</f>
        <v/>
      </c>
      <c r="Q561" s="7">
        <f>IF(COUNT(D561:L561)=0,"",INDEX($D$1:$L$1,MATCH(MIN(D561:L561),D561:L561,0)))</f>
        <v/>
      </c>
      <c r="R561" s="8" t="n">
        <v>21066.29</v>
      </c>
      <c r="S561" s="10" t="n">
        <v>1</v>
      </c>
    </row>
    <row r="562">
      <c r="A562" s="7" t="inlineStr">
        <is>
          <t>MAT-09-090</t>
        </is>
      </c>
      <c r="B562" s="4" t="inlineStr">
        <is>
          <t>Fregadero de 2 pozos, 31 x 20 pulgadas</t>
        </is>
      </c>
      <c r="C562" s="7" t="inlineStr">
        <is>
          <t>unidad</t>
        </is>
      </c>
      <c r="D562" s="8" t="n"/>
      <c r="E562" s="8" t="n">
        <v>5594.18</v>
      </c>
      <c r="F562" s="8" t="n"/>
      <c r="G562" s="8" t="n"/>
      <c r="H562" s="8" t="n"/>
      <c r="I562" s="8" t="n"/>
      <c r="J562" s="8" t="n"/>
      <c r="K562" s="8" t="n"/>
      <c r="L562" s="8" t="n"/>
      <c r="M562" s="8">
        <f>IF(COUNT(D562:L562)=0,"",MIN(D562:L562))</f>
        <v/>
      </c>
      <c r="N562" s="8">
        <f>IF(COUNT(D562:L562)=0,"",MEDIAN(D562:L562))</f>
        <v/>
      </c>
      <c r="O562" s="8">
        <f>IF(COUNT(D562:L562)=0,"",MAX(D562:L562))</f>
        <v/>
      </c>
      <c r="P562" s="9">
        <f>IF(OR(M562="",M562=0),"",(O562-M562)/M562)</f>
        <v/>
      </c>
      <c r="Q562" s="7">
        <f>IF(COUNT(D562:L562)=0,"",INDEX($D$1:$L$1,MATCH(MIN(D562:L562),D562:L562,0)))</f>
        <v/>
      </c>
      <c r="R562" s="8" t="n">
        <v>13464.3</v>
      </c>
      <c r="S562" s="10" t="n">
        <v>1</v>
      </c>
    </row>
    <row r="563">
      <c r="A563" s="7" t="inlineStr">
        <is>
          <t>MAT-09-091</t>
        </is>
      </c>
      <c r="B563" s="4" t="inlineStr">
        <is>
          <t>Fregadero de 2 pozos, 33 x 14 pulgadas</t>
        </is>
      </c>
      <c r="C563" s="7" t="inlineStr">
        <is>
          <t>unidad</t>
        </is>
      </c>
      <c r="D563" s="8" t="n"/>
      <c r="E563" s="8" t="n">
        <v>11166.49</v>
      </c>
      <c r="F563" s="8" t="n"/>
      <c r="G563" s="8" t="n"/>
      <c r="H563" s="8" t="n"/>
      <c r="I563" s="8" t="n"/>
      <c r="J563" s="8" t="n"/>
      <c r="K563" s="8" t="n"/>
      <c r="L563" s="8" t="n"/>
      <c r="M563" s="8">
        <f>IF(COUNT(D563:L563)=0,"",MIN(D563:L563))</f>
        <v/>
      </c>
      <c r="N563" s="8">
        <f>IF(COUNT(D563:L563)=0,"",MEDIAN(D563:L563))</f>
        <v/>
      </c>
      <c r="O563" s="8">
        <f>IF(COUNT(D563:L563)=0,"",MAX(D563:L563))</f>
        <v/>
      </c>
      <c r="P563" s="9">
        <f>IF(OR(M563="",M563=0),"",(O563-M563)/M563)</f>
        <v/>
      </c>
      <c r="Q563" s="7">
        <f>IF(COUNT(D563:L563)=0,"",INDEX($D$1:$L$1,MATCH(MIN(D563:L563),D563:L563,0)))</f>
        <v/>
      </c>
      <c r="R563" s="8" t="n">
        <v>13176.46</v>
      </c>
      <c r="S563" s="10" t="n">
        <v>1</v>
      </c>
    </row>
    <row r="564">
      <c r="A564" s="7" t="inlineStr">
        <is>
          <t>MAT-09-092</t>
        </is>
      </c>
      <c r="B564" s="4" t="inlineStr">
        <is>
          <t>Fregadero de 2 pozos, 33 x 19 pulgadas</t>
        </is>
      </c>
      <c r="C564" s="7" t="inlineStr">
        <is>
          <t>unidad</t>
        </is>
      </c>
      <c r="D564" s="8" t="n"/>
      <c r="E564" s="8" t="n"/>
      <c r="F564" s="8" t="n">
        <v>3285</v>
      </c>
      <c r="G564" s="8" t="n"/>
      <c r="H564" s="8" t="n"/>
      <c r="I564" s="8" t="n"/>
      <c r="J564" s="8" t="n"/>
      <c r="K564" s="8" t="n"/>
      <c r="L564" s="8" t="n"/>
      <c r="M564" s="8">
        <f>IF(COUNT(D564:L564)=0,"",MIN(D564:L564))</f>
        <v/>
      </c>
      <c r="N564" s="8">
        <f>IF(COUNT(D564:L564)=0,"",MEDIAN(D564:L564))</f>
        <v/>
      </c>
      <c r="O564" s="8">
        <f>IF(COUNT(D564:L564)=0,"",MAX(D564:L564))</f>
        <v/>
      </c>
      <c r="P564" s="9">
        <f>IF(OR(M564="",M564=0),"",(O564-M564)/M564)</f>
        <v/>
      </c>
      <c r="Q564" s="7">
        <f>IF(COUNT(D564:L564)=0,"",INDEX($D$1:$L$1,MATCH(MIN(D564:L564),D564:L564,0)))</f>
        <v/>
      </c>
      <c r="R564" s="8" t="n">
        <v>3285</v>
      </c>
      <c r="S564" s="10" t="n">
        <v>1</v>
      </c>
    </row>
    <row r="565">
      <c r="A565" s="7" t="inlineStr">
        <is>
          <t>MAT-09-093</t>
        </is>
      </c>
      <c r="B565" s="4" t="inlineStr">
        <is>
          <t>Fregadero de 2 pozos, 33 x 22 pulgadas</t>
        </is>
      </c>
      <c r="C565" s="7" t="inlineStr">
        <is>
          <t>unidad</t>
        </is>
      </c>
      <c r="D565" s="8" t="n"/>
      <c r="E565" s="8" t="n"/>
      <c r="F565" s="8" t="n">
        <v>6540</v>
      </c>
      <c r="G565" s="8" t="n"/>
      <c r="H565" s="8" t="n"/>
      <c r="I565" s="8" t="n"/>
      <c r="J565" s="8" t="n"/>
      <c r="K565" s="8" t="n"/>
      <c r="L565" s="8" t="n"/>
      <c r="M565" s="8">
        <f>IF(COUNT(D565:L565)=0,"",MIN(D565:L565))</f>
        <v/>
      </c>
      <c r="N565" s="8">
        <f>IF(COUNT(D565:L565)=0,"",MEDIAN(D565:L565))</f>
        <v/>
      </c>
      <c r="O565" s="8">
        <f>IF(COUNT(D565:L565)=0,"",MAX(D565:L565))</f>
        <v/>
      </c>
      <c r="P565" s="9">
        <f>IF(OR(M565="",M565=0),"",(O565-M565)/M565)</f>
        <v/>
      </c>
      <c r="Q565" s="7">
        <f>IF(COUNT(D565:L565)=0,"",INDEX($D$1:$L$1,MATCH(MIN(D565:L565),D565:L565,0)))</f>
        <v/>
      </c>
      <c r="R565" s="8" t="n">
        <v>6540</v>
      </c>
      <c r="S565" s="10" t="n">
        <v>1</v>
      </c>
    </row>
    <row r="566">
      <c r="A566" s="7" t="inlineStr">
        <is>
          <t>MAT-09-094</t>
        </is>
      </c>
      <c r="B566" s="4" t="inlineStr">
        <is>
          <t>Fregadero de 2 pozos, 34 x 17 pulgadas</t>
        </is>
      </c>
      <c r="C566" s="7" t="inlineStr">
        <is>
          <t>unidad</t>
        </is>
      </c>
      <c r="D566" s="8" t="n"/>
      <c r="E566" s="8" t="n"/>
      <c r="F566" s="8" t="n"/>
      <c r="G566" s="8" t="n">
        <v>45860</v>
      </c>
      <c r="H566" s="8" t="n"/>
      <c r="I566" s="8" t="n"/>
      <c r="J566" s="8" t="n"/>
      <c r="K566" s="8" t="n"/>
      <c r="L566" s="8" t="n"/>
      <c r="M566" s="8">
        <f>IF(COUNT(D566:L566)=0,"",MIN(D566:L566))</f>
        <v/>
      </c>
      <c r="N566" s="8">
        <f>IF(COUNT(D566:L566)=0,"",MEDIAN(D566:L566))</f>
        <v/>
      </c>
      <c r="O566" s="8">
        <f>IF(COUNT(D566:L566)=0,"",MAX(D566:L566))</f>
        <v/>
      </c>
      <c r="P566" s="9">
        <f>IF(OR(M566="",M566=0),"",(O566-M566)/M566)</f>
        <v/>
      </c>
      <c r="Q566" s="7">
        <f>IF(COUNT(D566:L566)=0,"",INDEX($D$1:$L$1,MATCH(MIN(D566:L566),D566:L566,0)))</f>
        <v/>
      </c>
      <c r="R566" s="8" t="n">
        <v>45860</v>
      </c>
      <c r="S566" s="10" t="n">
        <v>1</v>
      </c>
    </row>
    <row r="567">
      <c r="A567" s="7" t="inlineStr">
        <is>
          <t>MAT-09-095</t>
        </is>
      </c>
      <c r="B567" s="4" t="inlineStr">
        <is>
          <t>Fregadero de 2 pozos, 34 x 18 pulgadas</t>
        </is>
      </c>
      <c r="C567" s="7" t="inlineStr">
        <is>
          <t>unidad</t>
        </is>
      </c>
      <c r="D567" s="8" t="n"/>
      <c r="E567" s="8" t="n">
        <v>17194.13</v>
      </c>
      <c r="F567" s="8" t="n"/>
      <c r="G567" s="8" t="n"/>
      <c r="H567" s="8" t="n"/>
      <c r="I567" s="8" t="n"/>
      <c r="J567" s="8" t="n"/>
      <c r="K567" s="8" t="n"/>
      <c r="L567" s="8" t="n"/>
      <c r="M567" s="8">
        <f>IF(COUNT(D567:L567)=0,"",MIN(D567:L567))</f>
        <v/>
      </c>
      <c r="N567" s="8">
        <f>IF(COUNT(D567:L567)=0,"",MEDIAN(D567:L567))</f>
        <v/>
      </c>
      <c r="O567" s="8">
        <f>IF(COUNT(D567:L567)=0,"",MAX(D567:L567))</f>
        <v/>
      </c>
      <c r="P567" s="9">
        <f>IF(OR(M567="",M567=0),"",(O567-M567)/M567)</f>
        <v/>
      </c>
      <c r="Q567" s="7">
        <f>IF(COUNT(D567:L567)=0,"",INDEX($D$1:$L$1,MATCH(MIN(D567:L567),D567:L567,0)))</f>
        <v/>
      </c>
      <c r="R567" s="8" t="n">
        <v>20289.07</v>
      </c>
      <c r="S567" s="10" t="n">
        <v>1</v>
      </c>
    </row>
    <row r="568">
      <c r="A568" s="7" t="inlineStr">
        <is>
          <t>MAT-09-096</t>
        </is>
      </c>
      <c r="B568" s="4" t="inlineStr">
        <is>
          <t>Fregadero de 2 pozos, 47 x 20 pulgadas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>
        <v>6665</v>
      </c>
      <c r="I568" s="8" t="n"/>
      <c r="J568" s="8" t="n"/>
      <c r="K568" s="8" t="n"/>
      <c r="L568" s="8" t="n"/>
      <c r="M568" s="8">
        <f>IF(COUNT(D568:L568)=0,"",MIN(D568:L568))</f>
        <v/>
      </c>
      <c r="N568" s="8">
        <f>IF(COUNT(D568:L568)=0,"",MEDIAN(D568:L568))</f>
        <v/>
      </c>
      <c r="O568" s="8">
        <f>IF(COUNT(D568:L568)=0,"",MAX(D568:L568))</f>
        <v/>
      </c>
      <c r="P568" s="9">
        <f>IF(OR(M568="",M568=0),"",(O568-M568)/M568)</f>
        <v/>
      </c>
      <c r="Q568" s="7">
        <f>IF(COUNT(D568:L568)=0,"",INDEX($D$1:$L$1,MATCH(MIN(D568:L568),D568:L568,0)))</f>
        <v/>
      </c>
      <c r="R568" s="8" t="n">
        <v>6672.5</v>
      </c>
      <c r="S568" s="10" t="n">
        <v>1</v>
      </c>
    </row>
    <row r="569">
      <c r="A569" s="7" t="inlineStr">
        <is>
          <t>MAT-09-097</t>
        </is>
      </c>
      <c r="B569" s="4" t="inlineStr">
        <is>
          <t>Llave de bebedero</t>
        </is>
      </c>
      <c r="C569" s="7" t="inlineStr">
        <is>
          <t>unidad</t>
        </is>
      </c>
      <c r="D569" s="8" t="n"/>
      <c r="E569" s="8" t="n"/>
      <c r="F569" s="8" t="n">
        <v>205</v>
      </c>
      <c r="G569" s="8" t="n"/>
      <c r="H569" s="8" t="n"/>
      <c r="I569" s="8" t="n"/>
      <c r="J569" s="8" t="n"/>
      <c r="K569" s="8" t="n"/>
      <c r="L569" s="8" t="n"/>
      <c r="M569" s="8">
        <f>IF(COUNT(D569:L569)=0,"",MIN(D569:L569))</f>
        <v/>
      </c>
      <c r="N569" s="8">
        <f>IF(COUNT(D569:L569)=0,"",MEDIAN(D569:L569))</f>
        <v/>
      </c>
      <c r="O569" s="8">
        <f>IF(COUNT(D569:L569)=0,"",MAX(D569:L569))</f>
        <v/>
      </c>
      <c r="P569" s="9">
        <f>IF(OR(M569="",M569=0),"",(O569-M569)/M569)</f>
        <v/>
      </c>
      <c r="Q569" s="7">
        <f>IF(COUNT(D569:L569)=0,"",INDEX($D$1:$L$1,MATCH(MIN(D569:L569),D569:L569,0)))</f>
        <v/>
      </c>
      <c r="R569" s="8" t="n">
        <v>217.5</v>
      </c>
      <c r="S569" s="10" t="n">
        <v>1</v>
      </c>
    </row>
    <row r="570">
      <c r="A570" s="7" t="inlineStr">
        <is>
          <t>MAT-10-017</t>
        </is>
      </c>
      <c r="B570" s="4" t="inlineStr">
        <is>
          <t>Bombillo ahorrador de 105 W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/>
      <c r="J570" s="8" t="n">
        <v>785</v>
      </c>
      <c r="K570" s="8" t="n"/>
      <c r="L570" s="8" t="n"/>
      <c r="M570" s="8">
        <f>IF(COUNT(D570:L570)=0,"",MIN(D570:L570))</f>
        <v/>
      </c>
      <c r="N570" s="8">
        <f>IF(COUNT(D570:L570)=0,"",MEDIAN(D570:L570))</f>
        <v/>
      </c>
      <c r="O570" s="8">
        <f>IF(COUNT(D570:L570)=0,"",MAX(D570:L570))</f>
        <v/>
      </c>
      <c r="P570" s="9">
        <f>IF(OR(M570="",M570=0),"",(O570-M570)/M570)</f>
        <v/>
      </c>
      <c r="Q570" s="7">
        <f>IF(COUNT(D570:L570)=0,"",INDEX($D$1:$L$1,MATCH(MIN(D570:L570),D570:L570,0)))</f>
        <v/>
      </c>
      <c r="R570" s="8" t="n">
        <v>785</v>
      </c>
      <c r="S570" s="10" t="n">
        <v>1</v>
      </c>
    </row>
    <row r="571">
      <c r="A571" s="7" t="inlineStr">
        <is>
          <t>MAT-10-018</t>
        </is>
      </c>
      <c r="B571" s="4" t="inlineStr">
        <is>
          <t>Bombillo ahorrador de 11 W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/>
      <c r="J571" s="8" t="n">
        <v>100</v>
      </c>
      <c r="K571" s="8" t="n"/>
      <c r="L571" s="8" t="n"/>
      <c r="M571" s="8">
        <f>IF(COUNT(D571:L571)=0,"",MIN(D571:L571))</f>
        <v/>
      </c>
      <c r="N571" s="8">
        <f>IF(COUNT(D571:L571)=0,"",MEDIAN(D571:L571))</f>
        <v/>
      </c>
      <c r="O571" s="8">
        <f>IF(COUNT(D571:L571)=0,"",MAX(D571:L571))</f>
        <v/>
      </c>
      <c r="P571" s="9">
        <f>IF(OR(M571="",M571=0),"",(O571-M571)/M571)</f>
        <v/>
      </c>
      <c r="Q571" s="7">
        <f>IF(COUNT(D571:L571)=0,"",INDEX($D$1:$L$1,MATCH(MIN(D571:L571),D571:L571,0)))</f>
        <v/>
      </c>
      <c r="R571" s="8" t="n">
        <v>100</v>
      </c>
      <c r="S571" s="10" t="n">
        <v>1</v>
      </c>
    </row>
    <row r="572">
      <c r="A572" s="7" t="inlineStr">
        <is>
          <t>MAT-10-019</t>
        </is>
      </c>
      <c r="B572" s="4" t="inlineStr">
        <is>
          <t>Bombillo ahorrador de 15 W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/>
      <c r="J572" s="8" t="n">
        <v>100</v>
      </c>
      <c r="K572" s="8" t="n"/>
      <c r="L572" s="8" t="n"/>
      <c r="M572" s="8">
        <f>IF(COUNT(D572:L572)=0,"",MIN(D572:L572))</f>
        <v/>
      </c>
      <c r="N572" s="8">
        <f>IF(COUNT(D572:L572)=0,"",MEDIAN(D572:L572))</f>
        <v/>
      </c>
      <c r="O572" s="8">
        <f>IF(COUNT(D572:L572)=0,"",MAX(D572:L572))</f>
        <v/>
      </c>
      <c r="P572" s="9">
        <f>IF(OR(M572="",M572=0),"",(O572-M572)/M572)</f>
        <v/>
      </c>
      <c r="Q572" s="7">
        <f>IF(COUNT(D572:L572)=0,"",INDEX($D$1:$L$1,MATCH(MIN(D572:L572),D572:L572,0)))</f>
        <v/>
      </c>
      <c r="R572" s="8" t="n">
        <v>100</v>
      </c>
      <c r="S572" s="10" t="n">
        <v>1</v>
      </c>
    </row>
    <row r="573">
      <c r="A573" s="7" t="inlineStr">
        <is>
          <t>MAT-10-020</t>
        </is>
      </c>
      <c r="B573" s="4" t="inlineStr">
        <is>
          <t>Bombillo ahorrador de 25 W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/>
      <c r="J573" s="8" t="n">
        <v>100</v>
      </c>
      <c r="K573" s="8" t="n"/>
      <c r="L573" s="8" t="n"/>
      <c r="M573" s="8">
        <f>IF(COUNT(D573:L573)=0,"",MIN(D573:L573))</f>
        <v/>
      </c>
      <c r="N573" s="8">
        <f>IF(COUNT(D573:L573)=0,"",MEDIAN(D573:L573))</f>
        <v/>
      </c>
      <c r="O573" s="8">
        <f>IF(COUNT(D573:L573)=0,"",MAX(D573:L573))</f>
        <v/>
      </c>
      <c r="P573" s="9">
        <f>IF(OR(M573="",M573=0),"",(O573-M573)/M573)</f>
        <v/>
      </c>
      <c r="Q573" s="7">
        <f>IF(COUNT(D573:L573)=0,"",INDEX($D$1:$L$1,MATCH(MIN(D573:L573),D573:L573,0)))</f>
        <v/>
      </c>
      <c r="R573" s="8" t="n">
        <v>113.56</v>
      </c>
      <c r="S573" s="10" t="n">
        <v>1</v>
      </c>
    </row>
    <row r="574">
      <c r="A574" s="7" t="inlineStr">
        <is>
          <t>MAT-10-021</t>
        </is>
      </c>
      <c r="B574" s="4" t="inlineStr">
        <is>
          <t>Bombillo ahorrador de 45 W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/>
      <c r="J574" s="8" t="n">
        <v>313.56</v>
      </c>
      <c r="K574" s="8" t="n"/>
      <c r="L574" s="8" t="n"/>
      <c r="M574" s="8">
        <f>IF(COUNT(D574:L574)=0,"",MIN(D574:L574))</f>
        <v/>
      </c>
      <c r="N574" s="8">
        <f>IF(COUNT(D574:L574)=0,"",MEDIAN(D574:L574))</f>
        <v/>
      </c>
      <c r="O574" s="8">
        <f>IF(COUNT(D574:L574)=0,"",MAX(D574:L574))</f>
        <v/>
      </c>
      <c r="P574" s="9">
        <f>IF(OR(M574="",M574=0),"",(O574-M574)/M574)</f>
        <v/>
      </c>
      <c r="Q574" s="7">
        <f>IF(COUNT(D574:L574)=0,"",INDEX($D$1:$L$1,MATCH(MIN(D574:L574),D574:L574,0)))</f>
        <v/>
      </c>
      <c r="R574" s="8" t="n">
        <v>313.56</v>
      </c>
      <c r="S574" s="10" t="n">
        <v>1</v>
      </c>
    </row>
    <row r="575">
      <c r="A575" s="7" t="inlineStr">
        <is>
          <t>MAT-10-022</t>
        </is>
      </c>
      <c r="B575" s="4" t="inlineStr">
        <is>
          <t>Bombillo ahorrador de 7 W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/>
      <c r="J575" s="8" t="n">
        <v>100</v>
      </c>
      <c r="K575" s="8" t="n"/>
      <c r="L575" s="8" t="n"/>
      <c r="M575" s="8">
        <f>IF(COUNT(D575:L575)=0,"",MIN(D575:L575))</f>
        <v/>
      </c>
      <c r="N575" s="8">
        <f>IF(COUNT(D575:L575)=0,"",MEDIAN(D575:L575))</f>
        <v/>
      </c>
      <c r="O575" s="8">
        <f>IF(COUNT(D575:L575)=0,"",MAX(D575:L575))</f>
        <v/>
      </c>
      <c r="P575" s="9">
        <f>IF(OR(M575="",M575=0),"",(O575-M575)/M575)</f>
        <v/>
      </c>
      <c r="Q575" s="7">
        <f>IF(COUNT(D575:L575)=0,"",INDEX($D$1:$L$1,MATCH(MIN(D575:L575),D575:L575,0)))</f>
        <v/>
      </c>
      <c r="R575" s="8" t="n">
        <v>100</v>
      </c>
      <c r="S575" s="10" t="n">
        <v>1</v>
      </c>
    </row>
    <row r="576">
      <c r="A576" s="7" t="inlineStr">
        <is>
          <t>MAT-10-023</t>
        </is>
      </c>
      <c r="B576" s="4" t="inlineStr">
        <is>
          <t>Bombillo ahorrador de 85 W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/>
      <c r="J576" s="8" t="n">
        <v>795</v>
      </c>
      <c r="K576" s="8" t="n"/>
      <c r="L576" s="8" t="n"/>
      <c r="M576" s="8">
        <f>IF(COUNT(D576:L576)=0,"",MIN(D576:L576))</f>
        <v/>
      </c>
      <c r="N576" s="8">
        <f>IF(COUNT(D576:L576)=0,"",MEDIAN(D576:L576))</f>
        <v/>
      </c>
      <c r="O576" s="8">
        <f>IF(COUNT(D576:L576)=0,"",MAX(D576:L576))</f>
        <v/>
      </c>
      <c r="P576" s="9">
        <f>IF(OR(M576="",M576=0),"",(O576-M576)/M576)</f>
        <v/>
      </c>
      <c r="Q576" s="7">
        <f>IF(COUNT(D576:L576)=0,"",INDEX($D$1:$L$1,MATCH(MIN(D576:L576),D576:L576,0)))</f>
        <v/>
      </c>
      <c r="R576" s="8" t="n">
        <v>795</v>
      </c>
      <c r="S576" s="10" t="n">
        <v>1</v>
      </c>
    </row>
    <row r="577">
      <c r="A577" s="7" t="inlineStr">
        <is>
          <t>MAT-10-024</t>
        </is>
      </c>
      <c r="B577" s="4" t="inlineStr">
        <is>
          <t>Bombillo bajo consumo de 15 W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85</v>
      </c>
      <c r="I577" s="8" t="n"/>
      <c r="J577" s="8" t="n"/>
      <c r="K577" s="8" t="n"/>
      <c r="L577" s="8" t="n"/>
      <c r="M577" s="8">
        <f>IF(COUNT(D577:L577)=0,"",MIN(D577:L577))</f>
        <v/>
      </c>
      <c r="N577" s="8">
        <f>IF(COUNT(D577:L577)=0,"",MEDIAN(D577:L577))</f>
        <v/>
      </c>
      <c r="O577" s="8">
        <f>IF(COUNT(D577:L577)=0,"",MAX(D577:L577))</f>
        <v/>
      </c>
      <c r="P577" s="9">
        <f>IF(OR(M577="",M577=0),"",(O577-M577)/M577)</f>
        <v/>
      </c>
      <c r="Q577" s="7">
        <f>IF(COUNT(D577:L577)=0,"",INDEX($D$1:$L$1,MATCH(MIN(D577:L577),D577:L577,0)))</f>
        <v/>
      </c>
      <c r="R577" s="8" t="n">
        <v>105</v>
      </c>
      <c r="S577" s="10" t="n">
        <v>1</v>
      </c>
    </row>
    <row r="578">
      <c r="A578" s="7" t="inlineStr">
        <is>
          <t>MAT-10-025</t>
        </is>
      </c>
      <c r="B578" s="4" t="inlineStr">
        <is>
          <t>Bombillo bajo consumo de 20 W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>
        <v>135</v>
      </c>
      <c r="I578" s="8" t="n"/>
      <c r="J578" s="8" t="n"/>
      <c r="K578" s="8" t="n"/>
      <c r="L578" s="8" t="n"/>
      <c r="M578" s="8">
        <f>IF(COUNT(D578:L578)=0,"",MIN(D578:L578))</f>
        <v/>
      </c>
      <c r="N578" s="8">
        <f>IF(COUNT(D578:L578)=0,"",MEDIAN(D578:L578))</f>
        <v/>
      </c>
      <c r="O578" s="8">
        <f>IF(COUNT(D578:L578)=0,"",MAX(D578:L578))</f>
        <v/>
      </c>
      <c r="P578" s="9">
        <f>IF(OR(M578="",M578=0),"",(O578-M578)/M578)</f>
        <v/>
      </c>
      <c r="Q578" s="7">
        <f>IF(COUNT(D578:L578)=0,"",INDEX($D$1:$L$1,MATCH(MIN(D578:L578),D578:L578,0)))</f>
        <v/>
      </c>
      <c r="R578" s="8" t="n">
        <v>135</v>
      </c>
      <c r="S578" s="10" t="n">
        <v>1</v>
      </c>
    </row>
    <row r="579">
      <c r="A579" s="7" t="inlineStr">
        <is>
          <t>MAT-10-026</t>
        </is>
      </c>
      <c r="B579" s="4" t="inlineStr">
        <is>
          <t>Bombillo bajo consumo de 24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>
        <v>145</v>
      </c>
      <c r="I579" s="8" t="n"/>
      <c r="J579" s="8" t="n"/>
      <c r="K579" s="8" t="n"/>
      <c r="L579" s="8" t="n"/>
      <c r="M579" s="8">
        <f>IF(COUNT(D579:L579)=0,"",MIN(D579:L579))</f>
        <v/>
      </c>
      <c r="N579" s="8">
        <f>IF(COUNT(D579:L579)=0,"",MEDIAN(D579:L579))</f>
        <v/>
      </c>
      <c r="O579" s="8">
        <f>IF(COUNT(D579:L579)=0,"",MAX(D579:L579))</f>
        <v/>
      </c>
      <c r="P579" s="9">
        <f>IF(OR(M579="",M579=0),"",(O579-M579)/M579)</f>
        <v/>
      </c>
      <c r="Q579" s="7">
        <f>IF(COUNT(D579:L579)=0,"",INDEX($D$1:$L$1,MATCH(MIN(D579:L579),D579:L579,0)))</f>
        <v/>
      </c>
      <c r="R579" s="8" t="n">
        <v>145</v>
      </c>
      <c r="S579" s="10" t="n">
        <v>1</v>
      </c>
    </row>
    <row r="580">
      <c r="A580" s="7" t="inlineStr">
        <is>
          <t>MAT-10-027</t>
        </is>
      </c>
      <c r="B580" s="4" t="inlineStr">
        <is>
          <t>Bombillo halógeno de 50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>
        <v>59</v>
      </c>
      <c r="I580" s="8" t="n"/>
      <c r="J580" s="8" t="n"/>
      <c r="K580" s="8" t="n"/>
      <c r="L580" s="8" t="n"/>
      <c r="M580" s="8">
        <f>IF(COUNT(D580:L580)=0,"",MIN(D580:L580))</f>
        <v/>
      </c>
      <c r="N580" s="8">
        <f>IF(COUNT(D580:L580)=0,"",MEDIAN(D580:L580))</f>
        <v/>
      </c>
      <c r="O580" s="8">
        <f>IF(COUNT(D580:L580)=0,"",MAX(D580:L580))</f>
        <v/>
      </c>
      <c r="P580" s="9">
        <f>IF(OR(M580="",M580=0),"",(O580-M580)/M580)</f>
        <v/>
      </c>
      <c r="Q580" s="7">
        <f>IF(COUNT(D580:L580)=0,"",INDEX($D$1:$L$1,MATCH(MIN(D580:L580),D580:L580,0)))</f>
        <v/>
      </c>
      <c r="R580" s="8" t="n">
        <v>69.5</v>
      </c>
      <c r="S580" s="10" t="n">
        <v>1</v>
      </c>
    </row>
    <row r="581">
      <c r="A581" s="7" t="inlineStr">
        <is>
          <t>MAT-10-028</t>
        </is>
      </c>
      <c r="B581" s="4" t="inlineStr">
        <is>
          <t>Bombillo incandescente de 11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>
        <v>50</v>
      </c>
      <c r="I581" s="8" t="n"/>
      <c r="J581" s="8" t="n"/>
      <c r="K581" s="8" t="n"/>
      <c r="L581" s="8" t="n"/>
      <c r="M581" s="8">
        <f>IF(COUNT(D581:L581)=0,"",MIN(D581:L581))</f>
        <v/>
      </c>
      <c r="N581" s="8">
        <f>IF(COUNT(D581:L581)=0,"",MEDIAN(D581:L581))</f>
        <v/>
      </c>
      <c r="O581" s="8">
        <f>IF(COUNT(D581:L581)=0,"",MAX(D581:L581))</f>
        <v/>
      </c>
      <c r="P581" s="9">
        <f>IF(OR(M581="",M581=0),"",(O581-M581)/M581)</f>
        <v/>
      </c>
      <c r="Q581" s="7">
        <f>IF(COUNT(D581:L581)=0,"",INDEX($D$1:$L$1,MATCH(MIN(D581:L581),D581:L581,0)))</f>
        <v/>
      </c>
      <c r="R581" s="8" t="n">
        <v>50</v>
      </c>
      <c r="S581" s="10" t="n">
        <v>1</v>
      </c>
    </row>
    <row r="582">
      <c r="A582" s="7" t="inlineStr">
        <is>
          <t>MAT-10-029</t>
        </is>
      </c>
      <c r="B582" s="4" t="inlineStr">
        <is>
          <t>Bombillo incandescente de 25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85</v>
      </c>
      <c r="K582" s="8" t="n"/>
      <c r="L582" s="8" t="n"/>
      <c r="M582" s="8">
        <f>IF(COUNT(D582:L582)=0,"",MIN(D582:L582))</f>
        <v/>
      </c>
      <c r="N582" s="8">
        <f>IF(COUNT(D582:L582)=0,"",MEDIAN(D582:L582))</f>
        <v/>
      </c>
      <c r="O582" s="8">
        <f>IF(COUNT(D582:L582)=0,"",MAX(D582:L582))</f>
        <v/>
      </c>
      <c r="P582" s="9">
        <f>IF(OR(M582="",M582=0),"",(O582-M582)/M582)</f>
        <v/>
      </c>
      <c r="Q582" s="7">
        <f>IF(COUNT(D582:L582)=0,"",INDEX($D$1:$L$1,MATCH(MIN(D582:L582),D582:L582,0)))</f>
        <v/>
      </c>
      <c r="R582" s="8" t="n">
        <v>100</v>
      </c>
      <c r="S582" s="10" t="n">
        <v>1</v>
      </c>
    </row>
    <row r="583">
      <c r="A583" s="7" t="inlineStr">
        <is>
          <t>MAT-10-030</t>
        </is>
      </c>
      <c r="B583" s="4" t="inlineStr">
        <is>
          <t>Bombillo incandescente de 40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>
        <v>120</v>
      </c>
      <c r="I583" s="8" t="n"/>
      <c r="J583" s="8" t="n">
        <v>80</v>
      </c>
      <c r="K583" s="8" t="n"/>
      <c r="L583" s="8" t="n"/>
      <c r="M583" s="8">
        <f>IF(COUNT(D583:L583)=0,"",MIN(D583:L583))</f>
        <v/>
      </c>
      <c r="N583" s="8">
        <f>IF(COUNT(D583:L583)=0,"",MEDIAN(D583:L583))</f>
        <v/>
      </c>
      <c r="O583" s="8">
        <f>IF(COUNT(D583:L583)=0,"",MAX(D583:L583))</f>
        <v/>
      </c>
      <c r="P583" s="9">
        <f>IF(OR(M583="",M583=0),"",(O583-M583)/M583)</f>
        <v/>
      </c>
      <c r="Q583" s="7">
        <f>IF(COUNT(D583:L583)=0,"",INDEX($D$1:$L$1,MATCH(MIN(D583:L583),D583:L583,0)))</f>
        <v/>
      </c>
      <c r="R583" s="8" t="n">
        <v>205</v>
      </c>
      <c r="S583" s="10" t="n">
        <v>2</v>
      </c>
    </row>
    <row r="584">
      <c r="A584" s="7" t="inlineStr">
        <is>
          <t>MAT-10-031</t>
        </is>
      </c>
      <c r="B584" s="4" t="inlineStr">
        <is>
          <t>Bombillo incandescente de 50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/>
      <c r="J584" s="8" t="n">
        <v>235.06</v>
      </c>
      <c r="K584" s="8" t="n"/>
      <c r="L584" s="8" t="n"/>
      <c r="M584" s="8">
        <f>IF(COUNT(D584:L584)=0,"",MIN(D584:L584))</f>
        <v/>
      </c>
      <c r="N584" s="8">
        <f>IF(COUNT(D584:L584)=0,"",MEDIAN(D584:L584))</f>
        <v/>
      </c>
      <c r="O584" s="8">
        <f>IF(COUNT(D584:L584)=0,"",MAX(D584:L584))</f>
        <v/>
      </c>
      <c r="P584" s="9">
        <f>IF(OR(M584="",M584=0),"",(O584-M584)/M584)</f>
        <v/>
      </c>
      <c r="Q584" s="7">
        <f>IF(COUNT(D584:L584)=0,"",INDEX($D$1:$L$1,MATCH(MIN(D584:L584),D584:L584,0)))</f>
        <v/>
      </c>
      <c r="R584" s="8" t="n">
        <v>235.06</v>
      </c>
      <c r="S584" s="10" t="n">
        <v>1</v>
      </c>
    </row>
    <row r="585">
      <c r="A585" s="7" t="inlineStr">
        <is>
          <t>MAT-10-032</t>
        </is>
      </c>
      <c r="B585" s="4" t="inlineStr">
        <is>
          <t>Bombillo LED de 1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>
        <v>60</v>
      </c>
      <c r="I585" s="8" t="n"/>
      <c r="J585" s="8" t="n">
        <v>60</v>
      </c>
      <c r="K585" s="8" t="n"/>
      <c r="L585" s="8" t="n"/>
      <c r="M585" s="8">
        <f>IF(COUNT(D585:L585)=0,"",MIN(D585:L585))</f>
        <v/>
      </c>
      <c r="N585" s="8">
        <f>IF(COUNT(D585:L585)=0,"",MEDIAN(D585:L585))</f>
        <v/>
      </c>
      <c r="O585" s="8">
        <f>IF(COUNT(D585:L585)=0,"",MAX(D585:L585))</f>
        <v/>
      </c>
      <c r="P585" s="9">
        <f>IF(OR(M585="",M585=0),"",(O585-M585)/M585)</f>
        <v/>
      </c>
      <c r="Q585" s="7">
        <f>IF(COUNT(D585:L585)=0,"",INDEX($D$1:$L$1,MATCH(MIN(D585:L585),D585:L585,0)))</f>
        <v/>
      </c>
      <c r="R585" s="8" t="n">
        <v>64.5</v>
      </c>
      <c r="S585" s="10" t="n">
        <v>2</v>
      </c>
    </row>
    <row r="586">
      <c r="A586" s="7" t="inlineStr">
        <is>
          <t>MAT-10-033</t>
        </is>
      </c>
      <c r="B586" s="4" t="inlineStr">
        <is>
          <t>Bombillo LED de 1.2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>
        <v>40</v>
      </c>
      <c r="K586" s="8" t="n"/>
      <c r="L586" s="8" t="n"/>
      <c r="M586" s="8">
        <f>IF(COUNT(D586:L586)=0,"",MIN(D586:L586))</f>
        <v/>
      </c>
      <c r="N586" s="8">
        <f>IF(COUNT(D586:L586)=0,"",MEDIAN(D586:L586))</f>
        <v/>
      </c>
      <c r="O586" s="8">
        <f>IF(COUNT(D586:L586)=0,"",MAX(D586:L586))</f>
        <v/>
      </c>
      <c r="P586" s="9">
        <f>IF(OR(M586="",M586=0),"",(O586-M586)/M586)</f>
        <v/>
      </c>
      <c r="Q586" s="7">
        <f>IF(COUNT(D586:L586)=0,"",INDEX($D$1:$L$1,MATCH(MIN(D586:L586),D586:L586,0)))</f>
        <v/>
      </c>
      <c r="R586" s="8" t="n">
        <v>40</v>
      </c>
      <c r="S586" s="10" t="n">
        <v>1</v>
      </c>
    </row>
    <row r="587">
      <c r="A587" s="7" t="inlineStr">
        <is>
          <t>MAT-10-034</t>
        </is>
      </c>
      <c r="B587" s="4" t="inlineStr">
        <is>
          <t>Bombillo LED de 10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215</v>
      </c>
      <c r="I587" s="8" t="n"/>
      <c r="J587" s="8" t="n">
        <v>170</v>
      </c>
      <c r="K587" s="8" t="n"/>
      <c r="L587" s="8" t="n"/>
      <c r="M587" s="8">
        <f>IF(COUNT(D587:L587)=0,"",MIN(D587:L587))</f>
        <v/>
      </c>
      <c r="N587" s="8">
        <f>IF(COUNT(D587:L587)=0,"",MEDIAN(D587:L587))</f>
        <v/>
      </c>
      <c r="O587" s="8">
        <f>IF(COUNT(D587:L587)=0,"",MAX(D587:L587))</f>
        <v/>
      </c>
      <c r="P587" s="9">
        <f>IF(OR(M587="",M587=0),"",(O587-M587)/M587)</f>
        <v/>
      </c>
      <c r="Q587" s="7">
        <f>IF(COUNT(D587:L587)=0,"",INDEX($D$1:$L$1,MATCH(MIN(D587:L587),D587:L587,0)))</f>
        <v/>
      </c>
      <c r="R587" s="8" t="n">
        <v>210</v>
      </c>
      <c r="S587" s="10" t="n">
        <v>2</v>
      </c>
    </row>
    <row r="588">
      <c r="A588" s="7" t="inlineStr">
        <is>
          <t>MAT-10-035</t>
        </is>
      </c>
      <c r="B588" s="4" t="inlineStr">
        <is>
          <t>Bombillo LED de 11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>
        <v>190</v>
      </c>
      <c r="K588" s="8" t="n"/>
      <c r="L588" s="8" t="n"/>
      <c r="M588" s="8">
        <f>IF(COUNT(D588:L588)=0,"",MIN(D588:L588))</f>
        <v/>
      </c>
      <c r="N588" s="8">
        <f>IF(COUNT(D588:L588)=0,"",MEDIAN(D588:L588))</f>
        <v/>
      </c>
      <c r="O588" s="8">
        <f>IF(COUNT(D588:L588)=0,"",MAX(D588:L588))</f>
        <v/>
      </c>
      <c r="P588" s="9">
        <f>IF(OR(M588="",M588=0),"",(O588-M588)/M588)</f>
        <v/>
      </c>
      <c r="Q588" s="7">
        <f>IF(COUNT(D588:L588)=0,"",INDEX($D$1:$L$1,MATCH(MIN(D588:L588),D588:L588,0)))</f>
        <v/>
      </c>
      <c r="R588" s="8" t="n">
        <v>560.01</v>
      </c>
      <c r="S588" s="10" t="n">
        <v>1</v>
      </c>
    </row>
    <row r="589">
      <c r="A589" s="7" t="inlineStr">
        <is>
          <t>MAT-10-036</t>
        </is>
      </c>
      <c r="B589" s="4" t="inlineStr">
        <is>
          <t>Bombillo LED de 12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>
        <v>220</v>
      </c>
      <c r="I589" s="8" t="n"/>
      <c r="J589" s="8" t="n">
        <v>60</v>
      </c>
      <c r="K589" s="8" t="n"/>
      <c r="L589" s="8" t="n"/>
      <c r="M589" s="8">
        <f>IF(COUNT(D589:L589)=0,"",MIN(D589:L589))</f>
        <v/>
      </c>
      <c r="N589" s="8">
        <f>IF(COUNT(D589:L589)=0,"",MEDIAN(D589:L589))</f>
        <v/>
      </c>
      <c r="O589" s="8">
        <f>IF(COUNT(D589:L589)=0,"",MAX(D589:L589))</f>
        <v/>
      </c>
      <c r="P589" s="9">
        <f>IF(OR(M589="",M589=0),"",(O589-M589)/M589)</f>
        <v/>
      </c>
      <c r="Q589" s="7">
        <f>IF(COUNT(D589:L589)=0,"",INDEX($D$1:$L$1,MATCH(MIN(D589:L589),D589:L589,0)))</f>
        <v/>
      </c>
      <c r="R589" s="8" t="n">
        <v>180</v>
      </c>
      <c r="S589" s="10" t="n">
        <v>2</v>
      </c>
    </row>
    <row r="590">
      <c r="A590" s="7" t="inlineStr">
        <is>
          <t>MAT-10-037</t>
        </is>
      </c>
      <c r="B590" s="4" t="inlineStr">
        <is>
          <t>Bombillo led de 125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295</v>
      </c>
      <c r="I590" s="8" t="n"/>
      <c r="J590" s="8" t="n"/>
      <c r="K590" s="8" t="n"/>
      <c r="L590" s="8" t="n"/>
      <c r="M590" s="8">
        <f>IF(COUNT(D590:L590)=0,"",MIN(D590:L590))</f>
        <v/>
      </c>
      <c r="N590" s="8">
        <f>IF(COUNT(D590:L590)=0,"",MEDIAN(D590:L590))</f>
        <v/>
      </c>
      <c r="O590" s="8">
        <f>IF(COUNT(D590:L590)=0,"",MAX(D590:L590))</f>
        <v/>
      </c>
      <c r="P590" s="9">
        <f>IF(OR(M590="",M590=0),"",(O590-M590)/M590)</f>
        <v/>
      </c>
      <c r="Q590" s="7">
        <f>IF(COUNT(D590:L590)=0,"",INDEX($D$1:$L$1,MATCH(MIN(D590:L590),D590:L590,0)))</f>
        <v/>
      </c>
      <c r="R590" s="8" t="n">
        <v>295</v>
      </c>
      <c r="S590" s="10" t="n">
        <v>1</v>
      </c>
    </row>
    <row r="591">
      <c r="A591" s="7" t="inlineStr">
        <is>
          <t>MAT-10-038</t>
        </is>
      </c>
      <c r="B591" s="4" t="inlineStr">
        <is>
          <t>Bombillo LED de 14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69</v>
      </c>
      <c r="I591" s="8" t="n"/>
      <c r="J591" s="8" t="n">
        <v>240</v>
      </c>
      <c r="K591" s="8" t="n"/>
      <c r="L591" s="8" t="n"/>
      <c r="M591" s="8">
        <f>IF(COUNT(D591:L591)=0,"",MIN(D591:L591))</f>
        <v/>
      </c>
      <c r="N591" s="8">
        <f>IF(COUNT(D591:L591)=0,"",MEDIAN(D591:L591))</f>
        <v/>
      </c>
      <c r="O591" s="8">
        <f>IF(COUNT(D591:L591)=0,"",MAX(D591:L591))</f>
        <v/>
      </c>
      <c r="P591" s="9">
        <f>IF(OR(M591="",M591=0),"",(O591-M591)/M591)</f>
        <v/>
      </c>
      <c r="Q591" s="7">
        <f>IF(COUNT(D591:L591)=0,"",INDEX($D$1:$L$1,MATCH(MIN(D591:L591),D591:L591,0)))</f>
        <v/>
      </c>
      <c r="R591" s="8" t="n">
        <v>167.5</v>
      </c>
      <c r="S591" s="10" t="n">
        <v>2</v>
      </c>
    </row>
    <row r="592">
      <c r="A592" s="7" t="inlineStr">
        <is>
          <t>MAT-10-039</t>
        </is>
      </c>
      <c r="B592" s="4" t="inlineStr">
        <is>
          <t>Bombillo LED de 15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/>
      <c r="I592" s="8" t="n"/>
      <c r="J592" s="8" t="n">
        <v>130</v>
      </c>
      <c r="K592" s="8" t="n"/>
      <c r="L592" s="8" t="n"/>
      <c r="M592" s="8">
        <f>IF(COUNT(D592:L592)=0,"",MIN(D592:L592))</f>
        <v/>
      </c>
      <c r="N592" s="8">
        <f>IF(COUNT(D592:L592)=0,"",MEDIAN(D592:L592))</f>
        <v/>
      </c>
      <c r="O592" s="8">
        <f>IF(COUNT(D592:L592)=0,"",MAX(D592:L592))</f>
        <v/>
      </c>
      <c r="P592" s="9">
        <f>IF(OR(M592="",M592=0),"",(O592-M592)/M592)</f>
        <v/>
      </c>
      <c r="Q592" s="7">
        <f>IF(COUNT(D592:L592)=0,"",INDEX($D$1:$L$1,MATCH(MIN(D592:L592),D592:L592,0)))</f>
        <v/>
      </c>
      <c r="R592" s="8" t="n">
        <v>135</v>
      </c>
      <c r="S592" s="10" t="n">
        <v>1</v>
      </c>
    </row>
    <row r="593">
      <c r="A593" s="7" t="inlineStr">
        <is>
          <t>MAT-10-040</t>
        </is>
      </c>
      <c r="B593" s="4" t="inlineStr">
        <is>
          <t>Bombillo LED de 18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>
        <v>129</v>
      </c>
      <c r="I593" s="8" t="n"/>
      <c r="J593" s="8" t="n">
        <v>260</v>
      </c>
      <c r="K593" s="8" t="n"/>
      <c r="L593" s="8" t="n"/>
      <c r="M593" s="8">
        <f>IF(COUNT(D593:L593)=0,"",MIN(D593:L593))</f>
        <v/>
      </c>
      <c r="N593" s="8">
        <f>IF(COUNT(D593:L593)=0,"",MEDIAN(D593:L593))</f>
        <v/>
      </c>
      <c r="O593" s="8">
        <f>IF(COUNT(D593:L593)=0,"",MAX(D593:L593))</f>
        <v/>
      </c>
      <c r="P593" s="9">
        <f>IF(OR(M593="",M593=0),"",(O593-M593)/M593)</f>
        <v/>
      </c>
      <c r="Q593" s="7">
        <f>IF(COUNT(D593:L593)=0,"",INDEX($D$1:$L$1,MATCH(MIN(D593:L593),D593:L593,0)))</f>
        <v/>
      </c>
      <c r="R593" s="8" t="n">
        <v>194.5</v>
      </c>
      <c r="S593" s="10" t="n">
        <v>2</v>
      </c>
    </row>
    <row r="594">
      <c r="A594" s="7" t="inlineStr">
        <is>
          <t>MAT-10-041</t>
        </is>
      </c>
      <c r="B594" s="4" t="inlineStr">
        <is>
          <t>Bombillo led de 2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>
        <v>250</v>
      </c>
      <c r="I594" s="8" t="n"/>
      <c r="J594" s="8" t="n"/>
      <c r="K594" s="8" t="n"/>
      <c r="L594" s="8" t="n"/>
      <c r="M594" s="8">
        <f>IF(COUNT(D594:L594)=0,"",MIN(D594:L594))</f>
        <v/>
      </c>
      <c r="N594" s="8">
        <f>IF(COUNT(D594:L594)=0,"",MEDIAN(D594:L594))</f>
        <v/>
      </c>
      <c r="O594" s="8">
        <f>IF(COUNT(D594:L594)=0,"",MAX(D594:L594))</f>
        <v/>
      </c>
      <c r="P594" s="9">
        <f>IF(OR(M594="",M594=0),"",(O594-M594)/M594)</f>
        <v/>
      </c>
      <c r="Q594" s="7">
        <f>IF(COUNT(D594:L594)=0,"",INDEX($D$1:$L$1,MATCH(MIN(D594:L594),D594:L594,0)))</f>
        <v/>
      </c>
      <c r="R594" s="8" t="n">
        <v>250</v>
      </c>
      <c r="S594" s="10" t="n">
        <v>1</v>
      </c>
    </row>
    <row r="595">
      <c r="A595" s="7" t="inlineStr">
        <is>
          <t>MAT-10-042</t>
        </is>
      </c>
      <c r="B595" s="4" t="inlineStr">
        <is>
          <t>Bombillo LED de 2.5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/>
      <c r="J595" s="8" t="n">
        <v>310</v>
      </c>
      <c r="K595" s="8" t="n"/>
      <c r="L595" s="8" t="n"/>
      <c r="M595" s="8">
        <f>IF(COUNT(D595:L595)=0,"",MIN(D595:L595))</f>
        <v/>
      </c>
      <c r="N595" s="8">
        <f>IF(COUNT(D595:L595)=0,"",MEDIAN(D595:L595))</f>
        <v/>
      </c>
      <c r="O595" s="8">
        <f>IF(COUNT(D595:L595)=0,"",MAX(D595:L595))</f>
        <v/>
      </c>
      <c r="P595" s="9">
        <f>IF(OR(M595="",M595=0),"",(O595-M595)/M595)</f>
        <v/>
      </c>
      <c r="Q595" s="7">
        <f>IF(COUNT(D595:L595)=0,"",INDEX($D$1:$L$1,MATCH(MIN(D595:L595),D595:L595,0)))</f>
        <v/>
      </c>
      <c r="R595" s="8" t="n">
        <v>310</v>
      </c>
      <c r="S595" s="10" t="n">
        <v>1</v>
      </c>
    </row>
    <row r="596">
      <c r="A596" s="7" t="inlineStr">
        <is>
          <t>MAT-10-043</t>
        </is>
      </c>
      <c r="B596" s="4" t="inlineStr">
        <is>
          <t>Bombillo led de 20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>
        <v>149</v>
      </c>
      <c r="I596" s="8" t="n"/>
      <c r="J596" s="8" t="n"/>
      <c r="K596" s="8" t="n"/>
      <c r="L596" s="8" t="n"/>
      <c r="M596" s="8">
        <f>IF(COUNT(D596:L596)=0,"",MIN(D596:L596))</f>
        <v/>
      </c>
      <c r="N596" s="8">
        <f>IF(COUNT(D596:L596)=0,"",MEDIAN(D596:L596))</f>
        <v/>
      </c>
      <c r="O596" s="8">
        <f>IF(COUNT(D596:L596)=0,"",MAX(D596:L596))</f>
        <v/>
      </c>
      <c r="P596" s="9">
        <f>IF(OR(M596="",M596=0),"",(O596-M596)/M596)</f>
        <v/>
      </c>
      <c r="Q596" s="7">
        <f>IF(COUNT(D596:L596)=0,"",INDEX($D$1:$L$1,MATCH(MIN(D596:L596),D596:L596,0)))</f>
        <v/>
      </c>
      <c r="R596" s="8" t="n">
        <v>149</v>
      </c>
      <c r="S596" s="10" t="n">
        <v>1</v>
      </c>
    </row>
    <row r="597">
      <c r="A597" s="7" t="inlineStr">
        <is>
          <t>MAT-10-044</t>
        </is>
      </c>
      <c r="B597" s="4" t="inlineStr">
        <is>
          <t>Bombillo led de 25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>
        <v>199</v>
      </c>
      <c r="I597" s="8" t="n"/>
      <c r="J597" s="8" t="n"/>
      <c r="K597" s="8" t="n"/>
      <c r="L597" s="8" t="n"/>
      <c r="M597" s="8">
        <f>IF(COUNT(D597:L597)=0,"",MIN(D597:L597))</f>
        <v/>
      </c>
      <c r="N597" s="8">
        <f>IF(COUNT(D597:L597)=0,"",MEDIAN(D597:L597))</f>
        <v/>
      </c>
      <c r="O597" s="8">
        <f>IF(COUNT(D597:L597)=0,"",MAX(D597:L597))</f>
        <v/>
      </c>
      <c r="P597" s="9">
        <f>IF(OR(M597="",M597=0),"",(O597-M597)/M597)</f>
        <v/>
      </c>
      <c r="Q597" s="7">
        <f>IF(COUNT(D597:L597)=0,"",INDEX($D$1:$L$1,MATCH(MIN(D597:L597),D597:L597,0)))</f>
        <v/>
      </c>
      <c r="R597" s="8" t="n">
        <v>214</v>
      </c>
      <c r="S597" s="10" t="n">
        <v>1</v>
      </c>
    </row>
    <row r="598">
      <c r="A598" s="7" t="inlineStr">
        <is>
          <t>MAT-10-045</t>
        </is>
      </c>
      <c r="B598" s="4" t="inlineStr">
        <is>
          <t>Bombillo LED de 3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50</v>
      </c>
      <c r="I598" s="8" t="n"/>
      <c r="J598" s="8" t="n">
        <v>150</v>
      </c>
      <c r="K598" s="8" t="n"/>
      <c r="L598" s="8" t="n"/>
      <c r="M598" s="8">
        <f>IF(COUNT(D598:L598)=0,"",MIN(D598:L598))</f>
        <v/>
      </c>
      <c r="N598" s="8">
        <f>IF(COUNT(D598:L598)=0,"",MEDIAN(D598:L598))</f>
        <v/>
      </c>
      <c r="O598" s="8">
        <f>IF(COUNT(D598:L598)=0,"",MAX(D598:L598))</f>
        <v/>
      </c>
      <c r="P598" s="9">
        <f>IF(OR(M598="",M598=0),"",(O598-M598)/M598)</f>
        <v/>
      </c>
      <c r="Q598" s="7">
        <f>IF(COUNT(D598:L598)=0,"",INDEX($D$1:$L$1,MATCH(MIN(D598:L598),D598:L598,0)))</f>
        <v/>
      </c>
      <c r="R598" s="8" t="n">
        <v>150</v>
      </c>
      <c r="S598" s="10" t="n">
        <v>2</v>
      </c>
    </row>
    <row r="599">
      <c r="A599" s="7" t="inlineStr">
        <is>
          <t>MAT-10-046</t>
        </is>
      </c>
      <c r="B599" s="4" t="inlineStr">
        <is>
          <t>Bombillo led de 3.5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474.36</v>
      </c>
      <c r="I599" s="8" t="n"/>
      <c r="J599" s="8" t="n"/>
      <c r="K599" s="8" t="n"/>
      <c r="L599" s="8" t="n"/>
      <c r="M599" s="8">
        <f>IF(COUNT(D599:L599)=0,"",MIN(D599:L599))</f>
        <v/>
      </c>
      <c r="N599" s="8">
        <f>IF(COUNT(D599:L599)=0,"",MEDIAN(D599:L599))</f>
        <v/>
      </c>
      <c r="O599" s="8">
        <f>IF(COUNT(D599:L599)=0,"",MAX(D599:L599))</f>
        <v/>
      </c>
      <c r="P599" s="9">
        <f>IF(OR(M599="",M599=0),"",(O599-M599)/M599)</f>
        <v/>
      </c>
      <c r="Q599" s="7">
        <f>IF(COUNT(D599:L599)=0,"",INDEX($D$1:$L$1,MATCH(MIN(D599:L599),D599:L599,0)))</f>
        <v/>
      </c>
      <c r="R599" s="8" t="n">
        <v>474.36</v>
      </c>
      <c r="S599" s="10" t="n">
        <v>1</v>
      </c>
    </row>
    <row r="600">
      <c r="A600" s="7" t="inlineStr">
        <is>
          <t>MAT-10-047</t>
        </is>
      </c>
      <c r="B600" s="4" t="inlineStr">
        <is>
          <t>Bombillo LED de 30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/>
      <c r="J600" s="8" t="n">
        <v>595</v>
      </c>
      <c r="K600" s="8" t="n"/>
      <c r="L600" s="8" t="n"/>
      <c r="M600" s="8">
        <f>IF(COUNT(D600:L600)=0,"",MIN(D600:L600))</f>
        <v/>
      </c>
      <c r="N600" s="8">
        <f>IF(COUNT(D600:L600)=0,"",MEDIAN(D600:L600))</f>
        <v/>
      </c>
      <c r="O600" s="8">
        <f>IF(COUNT(D600:L600)=0,"",MAX(D600:L600))</f>
        <v/>
      </c>
      <c r="P600" s="9">
        <f>IF(OR(M600="",M600=0),"",(O600-M600)/M600)</f>
        <v/>
      </c>
      <c r="Q600" s="7">
        <f>IF(COUNT(D600:L600)=0,"",INDEX($D$1:$L$1,MATCH(MIN(D600:L600),D600:L600,0)))</f>
        <v/>
      </c>
      <c r="R600" s="8" t="n">
        <v>595</v>
      </c>
      <c r="S600" s="10" t="n">
        <v>1</v>
      </c>
    </row>
    <row r="601">
      <c r="A601" s="7" t="inlineStr">
        <is>
          <t>MAT-10-048</t>
        </is>
      </c>
      <c r="B601" s="4" t="inlineStr">
        <is>
          <t>Bombillo LED de 35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>
        <v>339</v>
      </c>
      <c r="I601" s="8" t="n"/>
      <c r="J601" s="8" t="n">
        <v>1195</v>
      </c>
      <c r="K601" s="8" t="n"/>
      <c r="L601" s="8" t="n"/>
      <c r="M601" s="8">
        <f>IF(COUNT(D601:L601)=0,"",MIN(D601:L601))</f>
        <v/>
      </c>
      <c r="N601" s="8">
        <f>IF(COUNT(D601:L601)=0,"",MEDIAN(D601:L601))</f>
        <v/>
      </c>
      <c r="O601" s="8">
        <f>IF(COUNT(D601:L601)=0,"",MAX(D601:L601))</f>
        <v/>
      </c>
      <c r="P601" s="9">
        <f>IF(OR(M601="",M601=0),"",(O601-M601)/M601)</f>
        <v/>
      </c>
      <c r="Q601" s="7">
        <f>IF(COUNT(D601:L601)=0,"",INDEX($D$1:$L$1,MATCH(MIN(D601:L601),D601:L601,0)))</f>
        <v/>
      </c>
      <c r="R601" s="8" t="n">
        <v>767</v>
      </c>
      <c r="S601" s="10" t="n">
        <v>2</v>
      </c>
    </row>
    <row r="602">
      <c r="A602" s="7" t="inlineStr">
        <is>
          <t>MAT-10-049</t>
        </is>
      </c>
      <c r="B602" s="4" t="inlineStr">
        <is>
          <t>Bombillo LED de 4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/>
      <c r="I602" s="8" t="n"/>
      <c r="J602" s="8" t="n">
        <v>64.98999999999999</v>
      </c>
      <c r="K602" s="8" t="n"/>
      <c r="L602" s="8" t="n"/>
      <c r="M602" s="8">
        <f>IF(COUNT(D602:L602)=0,"",MIN(D602:L602))</f>
        <v/>
      </c>
      <c r="N602" s="8">
        <f>IF(COUNT(D602:L602)=0,"",MEDIAN(D602:L602))</f>
        <v/>
      </c>
      <c r="O602" s="8">
        <f>IF(COUNT(D602:L602)=0,"",MAX(D602:L602))</f>
        <v/>
      </c>
      <c r="P602" s="9">
        <f>IF(OR(M602="",M602=0),"",(O602-M602)/M602)</f>
        <v/>
      </c>
      <c r="Q602" s="7">
        <f>IF(COUNT(D602:L602)=0,"",INDEX($D$1:$L$1,MATCH(MIN(D602:L602),D602:L602,0)))</f>
        <v/>
      </c>
      <c r="R602" s="8" t="n">
        <v>162.5</v>
      </c>
      <c r="S602" s="10" t="n">
        <v>1</v>
      </c>
    </row>
    <row r="603">
      <c r="A603" s="7" t="inlineStr">
        <is>
          <t>MAT-10-050</t>
        </is>
      </c>
      <c r="B603" s="4" t="inlineStr">
        <is>
          <t>Bombillo LED de 4.9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/>
      <c r="J603" s="8" t="n">
        <v>105</v>
      </c>
      <c r="K603" s="8" t="n"/>
      <c r="L603" s="8" t="n"/>
      <c r="M603" s="8">
        <f>IF(COUNT(D603:L603)=0,"",MIN(D603:L603))</f>
        <v/>
      </c>
      <c r="N603" s="8">
        <f>IF(COUNT(D603:L603)=0,"",MEDIAN(D603:L603))</f>
        <v/>
      </c>
      <c r="O603" s="8">
        <f>IF(COUNT(D603:L603)=0,"",MAX(D603:L603))</f>
        <v/>
      </c>
      <c r="P603" s="9">
        <f>IF(OR(M603="",M603=0),"",(O603-M603)/M603)</f>
        <v/>
      </c>
      <c r="Q603" s="7">
        <f>IF(COUNT(D603:L603)=0,"",INDEX($D$1:$L$1,MATCH(MIN(D603:L603),D603:L603,0)))</f>
        <v/>
      </c>
      <c r="R603" s="8" t="n">
        <v>105</v>
      </c>
      <c r="S603" s="10" t="n">
        <v>1</v>
      </c>
    </row>
    <row r="604">
      <c r="A604" s="7" t="inlineStr">
        <is>
          <t>MAT-10-051</t>
        </is>
      </c>
      <c r="B604" s="4" t="inlineStr">
        <is>
          <t>Bombillo LED de 40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>
        <v>470</v>
      </c>
      <c r="I604" s="8" t="n"/>
      <c r="J604" s="8" t="n">
        <v>709.99</v>
      </c>
      <c r="K604" s="8" t="n"/>
      <c r="L604" s="8" t="n"/>
      <c r="M604" s="8">
        <f>IF(COUNT(D604:L604)=0,"",MIN(D604:L604))</f>
        <v/>
      </c>
      <c r="N604" s="8">
        <f>IF(COUNT(D604:L604)=0,"",MEDIAN(D604:L604))</f>
        <v/>
      </c>
      <c r="O604" s="8">
        <f>IF(COUNT(D604:L604)=0,"",MAX(D604:L604))</f>
        <v/>
      </c>
      <c r="P604" s="9">
        <f>IF(OR(M604="",M604=0),"",(O604-M604)/M604)</f>
        <v/>
      </c>
      <c r="Q604" s="7">
        <f>IF(COUNT(D604:L604)=0,"",INDEX($D$1:$L$1,MATCH(MIN(D604:L604),D604:L604,0)))</f>
        <v/>
      </c>
      <c r="R604" s="8" t="n">
        <v>590</v>
      </c>
      <c r="S604" s="10" t="n">
        <v>2</v>
      </c>
    </row>
    <row r="605">
      <c r="A605" s="7" t="inlineStr">
        <is>
          <t>MAT-10-052</t>
        </is>
      </c>
      <c r="B605" s="4" t="inlineStr">
        <is>
          <t>Bombillo LED de 5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123</v>
      </c>
      <c r="I605" s="8" t="n"/>
      <c r="J605" s="8" t="n">
        <v>272.01</v>
      </c>
      <c r="K605" s="8" t="n"/>
      <c r="L605" s="8" t="n"/>
      <c r="M605" s="8">
        <f>IF(COUNT(D605:L605)=0,"",MIN(D605:L605))</f>
        <v/>
      </c>
      <c r="N605" s="8">
        <f>IF(COUNT(D605:L605)=0,"",MEDIAN(D605:L605))</f>
        <v/>
      </c>
      <c r="O605" s="8">
        <f>IF(COUNT(D605:L605)=0,"",MAX(D605:L605))</f>
        <v/>
      </c>
      <c r="P605" s="9">
        <f>IF(OR(M605="",M605=0),"",(O605-M605)/M605)</f>
        <v/>
      </c>
      <c r="Q605" s="7">
        <f>IF(COUNT(D605:L605)=0,"",INDEX($D$1:$L$1,MATCH(MIN(D605:L605),D605:L605,0)))</f>
        <v/>
      </c>
      <c r="R605" s="8" t="n">
        <v>197.51</v>
      </c>
      <c r="S605" s="10" t="n">
        <v>2</v>
      </c>
    </row>
    <row r="606">
      <c r="A606" s="7" t="inlineStr">
        <is>
          <t>MAT-10-053</t>
        </is>
      </c>
      <c r="B606" s="4" t="inlineStr">
        <is>
          <t>Bombillo LED de 50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>
        <v>990</v>
      </c>
      <c r="K606" s="8" t="n"/>
      <c r="L606" s="8" t="n"/>
      <c r="M606" s="8">
        <f>IF(COUNT(D606:L606)=0,"",MIN(D606:L606))</f>
        <v/>
      </c>
      <c r="N606" s="8">
        <f>IF(COUNT(D606:L606)=0,"",MEDIAN(D606:L606))</f>
        <v/>
      </c>
      <c r="O606" s="8">
        <f>IF(COUNT(D606:L606)=0,"",MAX(D606:L606))</f>
        <v/>
      </c>
      <c r="P606" s="9">
        <f>IF(OR(M606="",M606=0),"",(O606-M606)/M606)</f>
        <v/>
      </c>
      <c r="Q606" s="7">
        <f>IF(COUNT(D606:L606)=0,"",INDEX($D$1:$L$1,MATCH(MIN(D606:L606),D606:L606,0)))</f>
        <v/>
      </c>
      <c r="R606" s="8" t="n">
        <v>990</v>
      </c>
      <c r="S606" s="10" t="n">
        <v>1</v>
      </c>
    </row>
    <row r="607">
      <c r="A607" s="7" t="inlineStr">
        <is>
          <t>MAT-10-054</t>
        </is>
      </c>
      <c r="B607" s="4" t="inlineStr">
        <is>
          <t>Bombillo LED de 55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>
        <v>1724.99</v>
      </c>
      <c r="K607" s="8" t="n"/>
      <c r="L607" s="8" t="n"/>
      <c r="M607" s="8">
        <f>IF(COUNT(D607:L607)=0,"",MIN(D607:L607))</f>
        <v/>
      </c>
      <c r="N607" s="8">
        <f>IF(COUNT(D607:L607)=0,"",MEDIAN(D607:L607))</f>
        <v/>
      </c>
      <c r="O607" s="8">
        <f>IF(COUNT(D607:L607)=0,"",MAX(D607:L607))</f>
        <v/>
      </c>
      <c r="P607" s="9">
        <f>IF(OR(M607="",M607=0),"",(O607-M607)/M607)</f>
        <v/>
      </c>
      <c r="Q607" s="7">
        <f>IF(COUNT(D607:L607)=0,"",INDEX($D$1:$L$1,MATCH(MIN(D607:L607),D607:L607,0)))</f>
        <v/>
      </c>
      <c r="R607" s="8" t="n">
        <v>1724.99</v>
      </c>
      <c r="S607" s="10" t="n">
        <v>1</v>
      </c>
    </row>
    <row r="608">
      <c r="A608" s="7" t="inlineStr">
        <is>
          <t>MAT-10-055</t>
        </is>
      </c>
      <c r="B608" s="4" t="inlineStr">
        <is>
          <t>Bombillo LED de 6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>
        <v>65</v>
      </c>
      <c r="I608" s="8" t="n"/>
      <c r="J608" s="8" t="n">
        <v>70</v>
      </c>
      <c r="K608" s="8" t="n"/>
      <c r="L608" s="8" t="n"/>
      <c r="M608" s="8">
        <f>IF(COUNT(D608:L608)=0,"",MIN(D608:L608))</f>
        <v/>
      </c>
      <c r="N608" s="8">
        <f>IF(COUNT(D608:L608)=0,"",MEDIAN(D608:L608))</f>
        <v/>
      </c>
      <c r="O608" s="8">
        <f>IF(COUNT(D608:L608)=0,"",MAX(D608:L608))</f>
        <v/>
      </c>
      <c r="P608" s="9">
        <f>IF(OR(M608="",M608=0),"",(O608-M608)/M608)</f>
        <v/>
      </c>
      <c r="Q608" s="7">
        <f>IF(COUNT(D608:L608)=0,"",INDEX($D$1:$L$1,MATCH(MIN(D608:L608),D608:L608,0)))</f>
        <v/>
      </c>
      <c r="R608" s="8" t="n">
        <v>145</v>
      </c>
      <c r="S608" s="10" t="n">
        <v>2</v>
      </c>
    </row>
    <row r="609">
      <c r="A609" s="7" t="inlineStr">
        <is>
          <t>MAT-10-056</t>
        </is>
      </c>
      <c r="B609" s="4" t="inlineStr">
        <is>
          <t>Bombillo LED de 7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105</v>
      </c>
      <c r="K609" s="8" t="n"/>
      <c r="L609" s="8" t="n"/>
      <c r="M609" s="8">
        <f>IF(COUNT(D609:L609)=0,"",MIN(D609:L609))</f>
        <v/>
      </c>
      <c r="N609" s="8">
        <f>IF(COUNT(D609:L609)=0,"",MEDIAN(D609:L609))</f>
        <v/>
      </c>
      <c r="O609" s="8">
        <f>IF(COUNT(D609:L609)=0,"",MAX(D609:L609))</f>
        <v/>
      </c>
      <c r="P609" s="9">
        <f>IF(OR(M609="",M609=0),"",(O609-M609)/M609)</f>
        <v/>
      </c>
      <c r="Q609" s="7">
        <f>IF(COUNT(D609:L609)=0,"",INDEX($D$1:$L$1,MATCH(MIN(D609:L609),D609:L609,0)))</f>
        <v/>
      </c>
      <c r="R609" s="8" t="n">
        <v>105</v>
      </c>
      <c r="S609" s="10" t="n">
        <v>1</v>
      </c>
    </row>
    <row r="610">
      <c r="A610" s="7" t="inlineStr">
        <is>
          <t>MAT-10-057</t>
        </is>
      </c>
      <c r="B610" s="4" t="inlineStr">
        <is>
          <t>Bombillo led de 8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160</v>
      </c>
      <c r="I610" s="8" t="n"/>
      <c r="J610" s="8" t="n"/>
      <c r="K610" s="8" t="n"/>
      <c r="L610" s="8" t="n"/>
      <c r="M610" s="8">
        <f>IF(COUNT(D610:L610)=0,"",MIN(D610:L610))</f>
        <v/>
      </c>
      <c r="N610" s="8">
        <f>IF(COUNT(D610:L610)=0,"",MEDIAN(D610:L610))</f>
        <v/>
      </c>
      <c r="O610" s="8">
        <f>IF(COUNT(D610:L610)=0,"",MAX(D610:L610))</f>
        <v/>
      </c>
      <c r="P610" s="9">
        <f>IF(OR(M610="",M610=0),"",(O610-M610)/M610)</f>
        <v/>
      </c>
      <c r="Q610" s="7">
        <f>IF(COUNT(D610:L610)=0,"",INDEX($D$1:$L$1,MATCH(MIN(D610:L610),D610:L610,0)))</f>
        <v/>
      </c>
      <c r="R610" s="8" t="n">
        <v>215</v>
      </c>
      <c r="S610" s="10" t="n">
        <v>1</v>
      </c>
    </row>
    <row r="611">
      <c r="A611" s="7" t="inlineStr">
        <is>
          <t>MAT-10-058</t>
        </is>
      </c>
      <c r="B611" s="4" t="inlineStr">
        <is>
          <t>Bombillo LED de 9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170</v>
      </c>
      <c r="I611" s="8" t="n"/>
      <c r="J611" s="8" t="n">
        <v>105</v>
      </c>
      <c r="K611" s="8" t="n"/>
      <c r="L611" s="8" t="n"/>
      <c r="M611" s="8">
        <f>IF(COUNT(D611:L611)=0,"",MIN(D611:L611))</f>
        <v/>
      </c>
      <c r="N611" s="8">
        <f>IF(COUNT(D611:L611)=0,"",MEDIAN(D611:L611))</f>
        <v/>
      </c>
      <c r="O611" s="8">
        <f>IF(COUNT(D611:L611)=0,"",MAX(D611:L611))</f>
        <v/>
      </c>
      <c r="P611" s="9">
        <f>IF(OR(M611="",M611=0),"",(O611-M611)/M611)</f>
        <v/>
      </c>
      <c r="Q611" s="7">
        <f>IF(COUNT(D611:L611)=0,"",INDEX($D$1:$L$1,MATCH(MIN(D611:L611),D611:L611,0)))</f>
        <v/>
      </c>
      <c r="R611" s="8" t="n">
        <v>170</v>
      </c>
      <c r="S611" s="10" t="n">
        <v>2</v>
      </c>
    </row>
    <row r="612">
      <c r="A612" s="7" t="inlineStr">
        <is>
          <t>MAT-10-059</t>
        </is>
      </c>
      <c r="B612" s="4" t="inlineStr">
        <is>
          <t>Panel LED empotrado cuadrado de 18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/>
      <c r="J612" s="8" t="n">
        <v>340.01</v>
      </c>
      <c r="K612" s="8" t="n"/>
      <c r="L612" s="8" t="n"/>
      <c r="M612" s="8">
        <f>IF(COUNT(D612:L612)=0,"",MIN(D612:L612))</f>
        <v/>
      </c>
      <c r="N612" s="8">
        <f>IF(COUNT(D612:L612)=0,"",MEDIAN(D612:L612))</f>
        <v/>
      </c>
      <c r="O612" s="8">
        <f>IF(COUNT(D612:L612)=0,"",MAX(D612:L612))</f>
        <v/>
      </c>
      <c r="P612" s="9">
        <f>IF(OR(M612="",M612=0),"",(O612-M612)/M612)</f>
        <v/>
      </c>
      <c r="Q612" s="7">
        <f>IF(COUNT(D612:L612)=0,"",INDEX($D$1:$L$1,MATCH(MIN(D612:L612),D612:L612,0)))</f>
        <v/>
      </c>
      <c r="R612" s="8" t="n">
        <v>340.01</v>
      </c>
      <c r="S612" s="10" t="n">
        <v>1</v>
      </c>
    </row>
    <row r="613">
      <c r="A613" s="7" t="inlineStr">
        <is>
          <t>MAT-10-060</t>
        </is>
      </c>
      <c r="B613" s="4" t="inlineStr">
        <is>
          <t>Panel LED empotrado cuadrado de 3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/>
      <c r="I613" s="8" t="n"/>
      <c r="J613" s="8" t="n">
        <v>240</v>
      </c>
      <c r="K613" s="8" t="n"/>
      <c r="L613" s="8" t="n"/>
      <c r="M613" s="8">
        <f>IF(COUNT(D613:L613)=0,"",MIN(D613:L613))</f>
        <v/>
      </c>
      <c r="N613" s="8">
        <f>IF(COUNT(D613:L613)=0,"",MEDIAN(D613:L613))</f>
        <v/>
      </c>
      <c r="O613" s="8">
        <f>IF(COUNT(D613:L613)=0,"",MAX(D613:L613))</f>
        <v/>
      </c>
      <c r="P613" s="9">
        <f>IF(OR(M613="",M613=0),"",(O613-M613)/M613)</f>
        <v/>
      </c>
      <c r="Q613" s="7">
        <f>IF(COUNT(D613:L613)=0,"",INDEX($D$1:$L$1,MATCH(MIN(D613:L613),D613:L613,0)))</f>
        <v/>
      </c>
      <c r="R613" s="8" t="n">
        <v>240</v>
      </c>
      <c r="S613" s="10" t="n">
        <v>1</v>
      </c>
    </row>
    <row r="614">
      <c r="A614" s="7" t="inlineStr">
        <is>
          <t>MAT-10-061</t>
        </is>
      </c>
      <c r="B614" s="4" t="inlineStr">
        <is>
          <t>Panel LED empotrado redondo de 12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/>
      <c r="I614" s="8" t="n"/>
      <c r="J614" s="8" t="n">
        <v>304.99</v>
      </c>
      <c r="K614" s="8" t="n"/>
      <c r="L614" s="8" t="n"/>
      <c r="M614" s="8">
        <f>IF(COUNT(D614:L614)=0,"",MIN(D614:L614))</f>
        <v/>
      </c>
      <c r="N614" s="8">
        <f>IF(COUNT(D614:L614)=0,"",MEDIAN(D614:L614))</f>
        <v/>
      </c>
      <c r="O614" s="8">
        <f>IF(COUNT(D614:L614)=0,"",MAX(D614:L614))</f>
        <v/>
      </c>
      <c r="P614" s="9">
        <f>IF(OR(M614="",M614=0),"",(O614-M614)/M614)</f>
        <v/>
      </c>
      <c r="Q614" s="7">
        <f>IF(COUNT(D614:L614)=0,"",INDEX($D$1:$L$1,MATCH(MIN(D614:L614),D614:L614,0)))</f>
        <v/>
      </c>
      <c r="R614" s="8" t="n">
        <v>304.99</v>
      </c>
      <c r="S614" s="10" t="n">
        <v>1</v>
      </c>
    </row>
    <row r="615">
      <c r="A615" s="7" t="inlineStr">
        <is>
          <t>MAT-10-062</t>
        </is>
      </c>
      <c r="B615" s="4" t="inlineStr">
        <is>
          <t>Panel LED empotrado redondo de 18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/>
      <c r="J615" s="8" t="n">
        <v>290</v>
      </c>
      <c r="K615" s="8" t="n"/>
      <c r="L615" s="8" t="n"/>
      <c r="M615" s="8">
        <f>IF(COUNT(D615:L615)=0,"",MIN(D615:L615))</f>
        <v/>
      </c>
      <c r="N615" s="8">
        <f>IF(COUNT(D615:L615)=0,"",MEDIAN(D615:L615))</f>
        <v/>
      </c>
      <c r="O615" s="8">
        <f>IF(COUNT(D615:L615)=0,"",MAX(D615:L615))</f>
        <v/>
      </c>
      <c r="P615" s="9">
        <f>IF(OR(M615="",M615=0),"",(O615-M615)/M615)</f>
        <v/>
      </c>
      <c r="Q615" s="7">
        <f>IF(COUNT(D615:L615)=0,"",INDEX($D$1:$L$1,MATCH(MIN(D615:L615),D615:L615,0)))</f>
        <v/>
      </c>
      <c r="R615" s="8" t="n">
        <v>290</v>
      </c>
      <c r="S615" s="10" t="n">
        <v>1</v>
      </c>
    </row>
    <row r="616">
      <c r="A616" s="7" t="inlineStr">
        <is>
          <t>MAT-10-063</t>
        </is>
      </c>
      <c r="B616" s="4" t="inlineStr">
        <is>
          <t>Panel LED empotrado redondo de 24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/>
      <c r="J616" s="8" t="n">
        <v>650</v>
      </c>
      <c r="K616" s="8" t="n"/>
      <c r="L616" s="8" t="n"/>
      <c r="M616" s="8">
        <f>IF(COUNT(D616:L616)=0,"",MIN(D616:L616))</f>
        <v/>
      </c>
      <c r="N616" s="8">
        <f>IF(COUNT(D616:L616)=0,"",MEDIAN(D616:L616))</f>
        <v/>
      </c>
      <c r="O616" s="8">
        <f>IF(COUNT(D616:L616)=0,"",MAX(D616:L616))</f>
        <v/>
      </c>
      <c r="P616" s="9">
        <f>IF(OR(M616="",M616=0),"",(O616-M616)/M616)</f>
        <v/>
      </c>
      <c r="Q616" s="7">
        <f>IF(COUNT(D616:L616)=0,"",INDEX($D$1:$L$1,MATCH(MIN(D616:L616),D616:L616,0)))</f>
        <v/>
      </c>
      <c r="R616" s="8" t="n">
        <v>650</v>
      </c>
      <c r="S616" s="10" t="n">
        <v>1</v>
      </c>
    </row>
    <row r="617">
      <c r="A617" s="7" t="inlineStr">
        <is>
          <t>MAT-10-064</t>
        </is>
      </c>
      <c r="B617" s="4" t="inlineStr">
        <is>
          <t>Panel LED empotrar cuadrado de 12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245</v>
      </c>
      <c r="I617" s="8" t="n"/>
      <c r="J617" s="8" t="n"/>
      <c r="K617" s="8" t="n"/>
      <c r="L617" s="8" t="n"/>
      <c r="M617" s="8">
        <f>IF(COUNT(D617:L617)=0,"",MIN(D617:L617))</f>
        <v/>
      </c>
      <c r="N617" s="8">
        <f>IF(COUNT(D617:L617)=0,"",MEDIAN(D617:L617))</f>
        <v/>
      </c>
      <c r="O617" s="8">
        <f>IF(COUNT(D617:L617)=0,"",MAX(D617:L617))</f>
        <v/>
      </c>
      <c r="P617" s="9">
        <f>IF(OR(M617="",M617=0),"",(O617-M617)/M617)</f>
        <v/>
      </c>
      <c r="Q617" s="7">
        <f>IF(COUNT(D617:L617)=0,"",INDEX($D$1:$L$1,MATCH(MIN(D617:L617),D617:L617,0)))</f>
        <v/>
      </c>
      <c r="R617" s="8" t="n">
        <v>245</v>
      </c>
      <c r="S617" s="10" t="n">
        <v>1</v>
      </c>
    </row>
    <row r="618">
      <c r="A618" s="7" t="inlineStr">
        <is>
          <t>MAT-10-065</t>
        </is>
      </c>
      <c r="B618" s="4" t="inlineStr">
        <is>
          <t>Panel LED empotrar cuadrado de 18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>
        <v>349</v>
      </c>
      <c r="I618" s="8" t="n"/>
      <c r="J618" s="8" t="n"/>
      <c r="K618" s="8" t="n"/>
      <c r="L618" s="8" t="n"/>
      <c r="M618" s="8">
        <f>IF(COUNT(D618:L618)=0,"",MIN(D618:L618))</f>
        <v/>
      </c>
      <c r="N618" s="8">
        <f>IF(COUNT(D618:L618)=0,"",MEDIAN(D618:L618))</f>
        <v/>
      </c>
      <c r="O618" s="8">
        <f>IF(COUNT(D618:L618)=0,"",MAX(D618:L618))</f>
        <v/>
      </c>
      <c r="P618" s="9">
        <f>IF(OR(M618="",M618=0),"",(O618-M618)/M618)</f>
        <v/>
      </c>
      <c r="Q618" s="7">
        <f>IF(COUNT(D618:L618)=0,"",INDEX($D$1:$L$1,MATCH(MIN(D618:L618),D618:L618,0)))</f>
        <v/>
      </c>
      <c r="R618" s="8" t="n">
        <v>349</v>
      </c>
      <c r="S618" s="10" t="n">
        <v>1</v>
      </c>
    </row>
    <row r="619">
      <c r="A619" s="7" t="inlineStr">
        <is>
          <t>MAT-10-066</t>
        </is>
      </c>
      <c r="B619" s="4" t="inlineStr">
        <is>
          <t>Panel LED empotrar cuadrado de 6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159</v>
      </c>
      <c r="I619" s="8" t="n"/>
      <c r="J619" s="8" t="n"/>
      <c r="K619" s="8" t="n"/>
      <c r="L619" s="8" t="n"/>
      <c r="M619" s="8">
        <f>IF(COUNT(D619:L619)=0,"",MIN(D619:L619))</f>
        <v/>
      </c>
      <c r="N619" s="8">
        <f>IF(COUNT(D619:L619)=0,"",MEDIAN(D619:L619))</f>
        <v/>
      </c>
      <c r="O619" s="8">
        <f>IF(COUNT(D619:L619)=0,"",MAX(D619:L619))</f>
        <v/>
      </c>
      <c r="P619" s="9">
        <f>IF(OR(M619="",M619=0),"",(O619-M619)/M619)</f>
        <v/>
      </c>
      <c r="Q619" s="7">
        <f>IF(COUNT(D619:L619)=0,"",INDEX($D$1:$L$1,MATCH(MIN(D619:L619),D619:L619,0)))</f>
        <v/>
      </c>
      <c r="R619" s="8" t="n">
        <v>159</v>
      </c>
      <c r="S619" s="10" t="n">
        <v>1</v>
      </c>
    </row>
    <row r="620">
      <c r="A620" s="7" t="inlineStr">
        <is>
          <t>MAT-10-067</t>
        </is>
      </c>
      <c r="B620" s="4" t="inlineStr">
        <is>
          <t>Panel LED empotrar redondo de 12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219</v>
      </c>
      <c r="I620" s="8" t="n"/>
      <c r="J620" s="8" t="n"/>
      <c r="K620" s="8" t="n"/>
      <c r="L620" s="8" t="n"/>
      <c r="M620" s="8">
        <f>IF(COUNT(D620:L620)=0,"",MIN(D620:L620))</f>
        <v/>
      </c>
      <c r="N620" s="8">
        <f>IF(COUNT(D620:L620)=0,"",MEDIAN(D620:L620))</f>
        <v/>
      </c>
      <c r="O620" s="8">
        <f>IF(COUNT(D620:L620)=0,"",MAX(D620:L620))</f>
        <v/>
      </c>
      <c r="P620" s="9">
        <f>IF(OR(M620="",M620=0),"",(O620-M620)/M620)</f>
        <v/>
      </c>
      <c r="Q620" s="7">
        <f>IF(COUNT(D620:L620)=0,"",INDEX($D$1:$L$1,MATCH(MIN(D620:L620),D620:L620,0)))</f>
        <v/>
      </c>
      <c r="R620" s="8" t="n">
        <v>297</v>
      </c>
      <c r="S620" s="10" t="n">
        <v>1</v>
      </c>
    </row>
    <row r="621">
      <c r="A621" s="7" t="inlineStr">
        <is>
          <t>MAT-10-068</t>
        </is>
      </c>
      <c r="B621" s="4" t="inlineStr">
        <is>
          <t>Panel LED empotrar redondo de 18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325</v>
      </c>
      <c r="I621" s="8" t="n"/>
      <c r="J621" s="8" t="n"/>
      <c r="K621" s="8" t="n"/>
      <c r="L621" s="8" t="n"/>
      <c r="M621" s="8">
        <f>IF(COUNT(D621:L621)=0,"",MIN(D621:L621))</f>
        <v/>
      </c>
      <c r="N621" s="8">
        <f>IF(COUNT(D621:L621)=0,"",MEDIAN(D621:L621))</f>
        <v/>
      </c>
      <c r="O621" s="8">
        <f>IF(COUNT(D621:L621)=0,"",MAX(D621:L621))</f>
        <v/>
      </c>
      <c r="P621" s="9">
        <f>IF(OR(M621="",M621=0),"",(O621-M621)/M621)</f>
        <v/>
      </c>
      <c r="Q621" s="7">
        <f>IF(COUNT(D621:L621)=0,"",INDEX($D$1:$L$1,MATCH(MIN(D621:L621),D621:L621,0)))</f>
        <v/>
      </c>
      <c r="R621" s="8" t="n">
        <v>325</v>
      </c>
      <c r="S621" s="10" t="n">
        <v>1</v>
      </c>
    </row>
    <row r="622">
      <c r="A622" s="7" t="inlineStr">
        <is>
          <t>MAT-10-069</t>
        </is>
      </c>
      <c r="B622" s="4" t="inlineStr">
        <is>
          <t>Panel LED empotrar redondo de 5 W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>
        <v>159</v>
      </c>
      <c r="I622" s="8" t="n"/>
      <c r="J622" s="8" t="n"/>
      <c r="K622" s="8" t="n"/>
      <c r="L622" s="8" t="n"/>
      <c r="M622" s="8">
        <f>IF(COUNT(D622:L622)=0,"",MIN(D622:L622))</f>
        <v/>
      </c>
      <c r="N622" s="8">
        <f>IF(COUNT(D622:L622)=0,"",MEDIAN(D622:L622))</f>
        <v/>
      </c>
      <c r="O622" s="8">
        <f>IF(COUNT(D622:L622)=0,"",MAX(D622:L622))</f>
        <v/>
      </c>
      <c r="P622" s="9">
        <f>IF(OR(M622="",M622=0),"",(O622-M622)/M622)</f>
        <v/>
      </c>
      <c r="Q622" s="7">
        <f>IF(COUNT(D622:L622)=0,"",INDEX($D$1:$L$1,MATCH(MIN(D622:L622),D622:L622,0)))</f>
        <v/>
      </c>
      <c r="R622" s="8" t="n">
        <v>159</v>
      </c>
      <c r="S622" s="10" t="n">
        <v>1</v>
      </c>
    </row>
    <row r="623">
      <c r="A623" s="7" t="inlineStr">
        <is>
          <t>MAT-10-070</t>
        </is>
      </c>
      <c r="B623" s="4" t="inlineStr">
        <is>
          <t>Panel LED empotrar redondo de 6 W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155</v>
      </c>
      <c r="I623" s="8" t="n"/>
      <c r="J623" s="8" t="n"/>
      <c r="K623" s="8" t="n"/>
      <c r="L623" s="8" t="n"/>
      <c r="M623" s="8">
        <f>IF(COUNT(D623:L623)=0,"",MIN(D623:L623))</f>
        <v/>
      </c>
      <c r="N623" s="8">
        <f>IF(COUNT(D623:L623)=0,"",MEDIAN(D623:L623))</f>
        <v/>
      </c>
      <c r="O623" s="8">
        <f>IF(COUNT(D623:L623)=0,"",MAX(D623:L623))</f>
        <v/>
      </c>
      <c r="P623" s="9">
        <f>IF(OR(M623="",M623=0),"",(O623-M623)/M623)</f>
        <v/>
      </c>
      <c r="Q623" s="7">
        <f>IF(COUNT(D623:L623)=0,"",INDEX($D$1:$L$1,MATCH(MIN(D623:L623),D623:L623,0)))</f>
        <v/>
      </c>
      <c r="R623" s="8" t="n">
        <v>155</v>
      </c>
      <c r="S623" s="10" t="n">
        <v>1</v>
      </c>
    </row>
    <row r="624">
      <c r="A624" s="7" t="inlineStr">
        <is>
          <t>MAT-10-071</t>
        </is>
      </c>
      <c r="B624" s="4" t="inlineStr">
        <is>
          <t>Panel LED empotrar redondo de 7 W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219</v>
      </c>
      <c r="I624" s="8" t="n"/>
      <c r="J624" s="8" t="n"/>
      <c r="K624" s="8" t="n"/>
      <c r="L624" s="8" t="n"/>
      <c r="M624" s="8">
        <f>IF(COUNT(D624:L624)=0,"",MIN(D624:L624))</f>
        <v/>
      </c>
      <c r="N624" s="8">
        <f>IF(COUNT(D624:L624)=0,"",MEDIAN(D624:L624))</f>
        <v/>
      </c>
      <c r="O624" s="8">
        <f>IF(COUNT(D624:L624)=0,"",MAX(D624:L624))</f>
        <v/>
      </c>
      <c r="P624" s="9">
        <f>IF(OR(M624="",M624=0),"",(O624-M624)/M624)</f>
        <v/>
      </c>
      <c r="Q624" s="7">
        <f>IF(COUNT(D624:L624)=0,"",INDEX($D$1:$L$1,MATCH(MIN(D624:L624),D624:L624,0)))</f>
        <v/>
      </c>
      <c r="R624" s="8" t="n">
        <v>219</v>
      </c>
      <c r="S624" s="10" t="n">
        <v>1</v>
      </c>
    </row>
    <row r="625">
      <c r="A625" s="7" t="inlineStr">
        <is>
          <t>MAT-10-072</t>
        </is>
      </c>
      <c r="B625" s="4" t="inlineStr">
        <is>
          <t>Panel LED sobreponer redondo de 12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269</v>
      </c>
      <c r="I625" s="8" t="n"/>
      <c r="J625" s="8" t="n"/>
      <c r="K625" s="8" t="n"/>
      <c r="L625" s="8" t="n"/>
      <c r="M625" s="8">
        <f>IF(COUNT(D625:L625)=0,"",MIN(D625:L625))</f>
        <v/>
      </c>
      <c r="N625" s="8">
        <f>IF(COUNT(D625:L625)=0,"",MEDIAN(D625:L625))</f>
        <v/>
      </c>
      <c r="O625" s="8">
        <f>IF(COUNT(D625:L625)=0,"",MAX(D625:L625))</f>
        <v/>
      </c>
      <c r="P625" s="9">
        <f>IF(OR(M625="",M625=0),"",(O625-M625)/M625)</f>
        <v/>
      </c>
      <c r="Q625" s="7">
        <f>IF(COUNT(D625:L625)=0,"",INDEX($D$1:$L$1,MATCH(MIN(D625:L625),D625:L625,0)))</f>
        <v/>
      </c>
      <c r="R625" s="8" t="n">
        <v>269</v>
      </c>
      <c r="S625" s="10" t="n">
        <v>1</v>
      </c>
    </row>
    <row r="626">
      <c r="A626" s="7" t="inlineStr">
        <is>
          <t>MAT-10-073</t>
        </is>
      </c>
      <c r="B626" s="4" t="inlineStr">
        <is>
          <t>Panel LED sobreponer redondo de 18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345</v>
      </c>
      <c r="I626" s="8" t="n"/>
      <c r="J626" s="8" t="n"/>
      <c r="K626" s="8" t="n"/>
      <c r="L626" s="8" t="n"/>
      <c r="M626" s="8">
        <f>IF(COUNT(D626:L626)=0,"",MIN(D626:L626))</f>
        <v/>
      </c>
      <c r="N626" s="8">
        <f>IF(COUNT(D626:L626)=0,"",MEDIAN(D626:L626))</f>
        <v/>
      </c>
      <c r="O626" s="8">
        <f>IF(COUNT(D626:L626)=0,"",MAX(D626:L626))</f>
        <v/>
      </c>
      <c r="P626" s="9">
        <f>IF(OR(M626="",M626=0),"",(O626-M626)/M626)</f>
        <v/>
      </c>
      <c r="Q626" s="7">
        <f>IF(COUNT(D626:L626)=0,"",INDEX($D$1:$L$1,MATCH(MIN(D626:L626),D626:L626,0)))</f>
        <v/>
      </c>
      <c r="R626" s="8" t="n">
        <v>345</v>
      </c>
      <c r="S626" s="10" t="n">
        <v>1</v>
      </c>
    </row>
    <row r="627">
      <c r="A627" s="7" t="inlineStr">
        <is>
          <t>MAT-10-074</t>
        </is>
      </c>
      <c r="B627" s="4" t="inlineStr">
        <is>
          <t>Panel LED sobreponer redondo de 24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519</v>
      </c>
      <c r="I627" s="8" t="n"/>
      <c r="J627" s="8" t="n"/>
      <c r="K627" s="8" t="n"/>
      <c r="L627" s="8" t="n"/>
      <c r="M627" s="8">
        <f>IF(COUNT(D627:L627)=0,"",MIN(D627:L627))</f>
        <v/>
      </c>
      <c r="N627" s="8">
        <f>IF(COUNT(D627:L627)=0,"",MEDIAN(D627:L627))</f>
        <v/>
      </c>
      <c r="O627" s="8">
        <f>IF(COUNT(D627:L627)=0,"",MAX(D627:L627))</f>
        <v/>
      </c>
      <c r="P627" s="9">
        <f>IF(OR(M627="",M627=0),"",(O627-M627)/M627)</f>
        <v/>
      </c>
      <c r="Q627" s="7">
        <f>IF(COUNT(D627:L627)=0,"",INDEX($D$1:$L$1,MATCH(MIN(D627:L627),D627:L627,0)))</f>
        <v/>
      </c>
      <c r="R627" s="8" t="n">
        <v>519</v>
      </c>
      <c r="S627" s="10" t="n">
        <v>1</v>
      </c>
    </row>
    <row r="628">
      <c r="A628" s="7" t="inlineStr">
        <is>
          <t>MAT-10-075</t>
        </is>
      </c>
      <c r="B628" s="4" t="inlineStr">
        <is>
          <t>Luminaria empotrada dirigible cuadrada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>
        <v>190</v>
      </c>
      <c r="K628" s="8" t="n"/>
      <c r="L628" s="8" t="n"/>
      <c r="M628" s="8">
        <f>IF(COUNT(D628:L628)=0,"",MIN(D628:L628))</f>
        <v/>
      </c>
      <c r="N628" s="8">
        <f>IF(COUNT(D628:L628)=0,"",MEDIAN(D628:L628))</f>
        <v/>
      </c>
      <c r="O628" s="8">
        <f>IF(COUNT(D628:L628)=0,"",MAX(D628:L628))</f>
        <v/>
      </c>
      <c r="P628" s="9">
        <f>IF(OR(M628="",M628=0),"",(O628-M628)/M628)</f>
        <v/>
      </c>
      <c r="Q628" s="7">
        <f>IF(COUNT(D628:L628)=0,"",INDEX($D$1:$L$1,MATCH(MIN(D628:L628),D628:L628,0)))</f>
        <v/>
      </c>
      <c r="R628" s="8" t="n">
        <v>222.5</v>
      </c>
      <c r="S628" s="10" t="n">
        <v>1</v>
      </c>
    </row>
    <row r="629">
      <c r="A629" s="7" t="inlineStr">
        <is>
          <t>MAT-10-076</t>
        </is>
      </c>
      <c r="B629" s="4" t="inlineStr">
        <is>
          <t>Luminaria empotrada dirigible redonda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>
        <v>190</v>
      </c>
      <c r="K629" s="8" t="n"/>
      <c r="L629" s="8" t="n"/>
      <c r="M629" s="8">
        <f>IF(COUNT(D629:L629)=0,"",MIN(D629:L629))</f>
        <v/>
      </c>
      <c r="N629" s="8">
        <f>IF(COUNT(D629:L629)=0,"",MEDIAN(D629:L629))</f>
        <v/>
      </c>
      <c r="O629" s="8">
        <f>IF(COUNT(D629:L629)=0,"",MAX(D629:L629))</f>
        <v/>
      </c>
      <c r="P629" s="9">
        <f>IF(OR(M629="",M629=0),"",(O629-M629)/M629)</f>
        <v/>
      </c>
      <c r="Q629" s="7">
        <f>IF(COUNT(D629:L629)=0,"",INDEX($D$1:$L$1,MATCH(MIN(D629:L629),D629:L629,0)))</f>
        <v/>
      </c>
      <c r="R629" s="8" t="n">
        <v>252.5</v>
      </c>
      <c r="S629" s="10" t="n">
        <v>1</v>
      </c>
    </row>
    <row r="630">
      <c r="A630" s="7" t="inlineStr">
        <is>
          <t>MAT-10-077</t>
        </is>
      </c>
      <c r="B630" s="4" t="inlineStr">
        <is>
          <t>Lámpara de emergencia recargable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>
        <v>1015</v>
      </c>
      <c r="K630" s="8" t="n"/>
      <c r="L630" s="8" t="n"/>
      <c r="M630" s="8">
        <f>IF(COUNT(D630:L630)=0,"",MIN(D630:L630))</f>
        <v/>
      </c>
      <c r="N630" s="8">
        <f>IF(COUNT(D630:L630)=0,"",MEDIAN(D630:L630))</f>
        <v/>
      </c>
      <c r="O630" s="8">
        <f>IF(COUNT(D630:L630)=0,"",MAX(D630:L630))</f>
        <v/>
      </c>
      <c r="P630" s="9">
        <f>IF(OR(M630="",M630=0),"",(O630-M630)/M630)</f>
        <v/>
      </c>
      <c r="Q630" s="7">
        <f>IF(COUNT(D630:L630)=0,"",INDEX($D$1:$L$1,MATCH(MIN(D630:L630),D630:L630,0)))</f>
        <v/>
      </c>
      <c r="R630" s="8" t="n">
        <v>1015</v>
      </c>
      <c r="S630" s="10" t="n">
        <v>1</v>
      </c>
    </row>
    <row r="631">
      <c r="A631" s="7" t="inlineStr">
        <is>
          <t>MAT-10-078</t>
        </is>
      </c>
      <c r="B631" s="4" t="inlineStr">
        <is>
          <t>Reflector LED de 10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397.34</v>
      </c>
      <c r="I631" s="8" t="n"/>
      <c r="J631" s="8" t="n">
        <v>475</v>
      </c>
      <c r="K631" s="8" t="n"/>
      <c r="L631" s="8" t="n"/>
      <c r="M631" s="8">
        <f>IF(COUNT(D631:L631)=0,"",MIN(D631:L631))</f>
        <v/>
      </c>
      <c r="N631" s="8">
        <f>IF(COUNT(D631:L631)=0,"",MEDIAN(D631:L631))</f>
        <v/>
      </c>
      <c r="O631" s="8">
        <f>IF(COUNT(D631:L631)=0,"",MAX(D631:L631))</f>
        <v/>
      </c>
      <c r="P631" s="9">
        <f>IF(OR(M631="",M631=0),"",(O631-M631)/M631)</f>
        <v/>
      </c>
      <c r="Q631" s="7">
        <f>IF(COUNT(D631:L631)=0,"",INDEX($D$1:$L$1,MATCH(MIN(D631:L631),D631:L631,0)))</f>
        <v/>
      </c>
      <c r="R631" s="8" t="n">
        <v>605</v>
      </c>
      <c r="S631" s="10" t="n">
        <v>2</v>
      </c>
    </row>
    <row r="632">
      <c r="A632" s="7" t="inlineStr">
        <is>
          <t>MAT-10-079</t>
        </is>
      </c>
      <c r="B632" s="4" t="inlineStr">
        <is>
          <t>Reflector LED de 100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>
        <v>1940</v>
      </c>
      <c r="K632" s="8" t="n"/>
      <c r="L632" s="8" t="n"/>
      <c r="M632" s="8">
        <f>IF(COUNT(D632:L632)=0,"",MIN(D632:L632))</f>
        <v/>
      </c>
      <c r="N632" s="8">
        <f>IF(COUNT(D632:L632)=0,"",MEDIAN(D632:L632))</f>
        <v/>
      </c>
      <c r="O632" s="8">
        <f>IF(COUNT(D632:L632)=0,"",MAX(D632:L632))</f>
        <v/>
      </c>
      <c r="P632" s="9">
        <f>IF(OR(M632="",M632=0),"",(O632-M632)/M632)</f>
        <v/>
      </c>
      <c r="Q632" s="7">
        <f>IF(COUNT(D632:L632)=0,"",INDEX($D$1:$L$1,MATCH(MIN(D632:L632),D632:L632,0)))</f>
        <v/>
      </c>
      <c r="R632" s="8" t="n">
        <v>1945</v>
      </c>
      <c r="S632" s="10" t="n">
        <v>1</v>
      </c>
    </row>
    <row r="633">
      <c r="A633" s="7" t="inlineStr">
        <is>
          <t>MAT-10-080</t>
        </is>
      </c>
      <c r="B633" s="4" t="inlineStr">
        <is>
          <t>Reflector LED de 20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462.51</v>
      </c>
      <c r="I633" s="8" t="n"/>
      <c r="J633" s="8" t="n"/>
      <c r="K633" s="8" t="n"/>
      <c r="L633" s="8" t="n"/>
      <c r="M633" s="8">
        <f>IF(COUNT(D633:L633)=0,"",MIN(D633:L633))</f>
        <v/>
      </c>
      <c r="N633" s="8">
        <f>IF(COUNT(D633:L633)=0,"",MEDIAN(D633:L633))</f>
        <v/>
      </c>
      <c r="O633" s="8">
        <f>IF(COUNT(D633:L633)=0,"",MAX(D633:L633))</f>
        <v/>
      </c>
      <c r="P633" s="9">
        <f>IF(OR(M633="",M633=0),"",(O633-M633)/M633)</f>
        <v/>
      </c>
      <c r="Q633" s="7">
        <f>IF(COUNT(D633:L633)=0,"",INDEX($D$1:$L$1,MATCH(MIN(D633:L633),D633:L633,0)))</f>
        <v/>
      </c>
      <c r="R633" s="8" t="n">
        <v>462.51</v>
      </c>
      <c r="S633" s="10" t="n">
        <v>1</v>
      </c>
    </row>
    <row r="634">
      <c r="A634" s="7" t="inlineStr">
        <is>
          <t>MAT-10-081</t>
        </is>
      </c>
      <c r="B634" s="4" t="inlineStr">
        <is>
          <t>Reflector LED de 200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>
        <v>2335</v>
      </c>
      <c r="K634" s="8" t="n"/>
      <c r="L634" s="8" t="n"/>
      <c r="M634" s="8">
        <f>IF(COUNT(D634:L634)=0,"",MIN(D634:L634))</f>
        <v/>
      </c>
      <c r="N634" s="8">
        <f>IF(COUNT(D634:L634)=0,"",MEDIAN(D634:L634))</f>
        <v/>
      </c>
      <c r="O634" s="8">
        <f>IF(COUNT(D634:L634)=0,"",MAX(D634:L634))</f>
        <v/>
      </c>
      <c r="P634" s="9">
        <f>IF(OR(M634="",M634=0),"",(O634-M634)/M634)</f>
        <v/>
      </c>
      <c r="Q634" s="7">
        <f>IF(COUNT(D634:L634)=0,"",INDEX($D$1:$L$1,MATCH(MIN(D634:L634),D634:L634,0)))</f>
        <v/>
      </c>
      <c r="R634" s="8" t="n">
        <v>2335</v>
      </c>
      <c r="S634" s="10" t="n">
        <v>1</v>
      </c>
    </row>
    <row r="635">
      <c r="A635" s="7" t="inlineStr">
        <is>
          <t>MAT-10-082</t>
        </is>
      </c>
      <c r="B635" s="4" t="inlineStr">
        <is>
          <t>Reflector LED de 23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>
        <v>455</v>
      </c>
      <c r="K635" s="8" t="n"/>
      <c r="L635" s="8" t="n"/>
      <c r="M635" s="8">
        <f>IF(COUNT(D635:L635)=0,"",MIN(D635:L635))</f>
        <v/>
      </c>
      <c r="N635" s="8">
        <f>IF(COUNT(D635:L635)=0,"",MEDIAN(D635:L635))</f>
        <v/>
      </c>
      <c r="O635" s="8">
        <f>IF(COUNT(D635:L635)=0,"",MAX(D635:L635))</f>
        <v/>
      </c>
      <c r="P635" s="9">
        <f>IF(OR(M635="",M635=0),"",(O635-M635)/M635)</f>
        <v/>
      </c>
      <c r="Q635" s="7">
        <f>IF(COUNT(D635:L635)=0,"",INDEX($D$1:$L$1,MATCH(MIN(D635:L635),D635:L635,0)))</f>
        <v/>
      </c>
      <c r="R635" s="8" t="n">
        <v>455</v>
      </c>
      <c r="S635" s="10" t="n">
        <v>1</v>
      </c>
    </row>
    <row r="636">
      <c r="A636" s="7" t="inlineStr">
        <is>
          <t>MAT-10-083</t>
        </is>
      </c>
      <c r="B636" s="4" t="inlineStr">
        <is>
          <t>Reflector LED de 250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>
        <v>280</v>
      </c>
      <c r="K636" s="8" t="n"/>
      <c r="L636" s="8" t="n"/>
      <c r="M636" s="8">
        <f>IF(COUNT(D636:L636)=0,"",MIN(D636:L636))</f>
        <v/>
      </c>
      <c r="N636" s="8">
        <f>IF(COUNT(D636:L636)=0,"",MEDIAN(D636:L636))</f>
        <v/>
      </c>
      <c r="O636" s="8">
        <f>IF(COUNT(D636:L636)=0,"",MAX(D636:L636))</f>
        <v/>
      </c>
      <c r="P636" s="9">
        <f>IF(OR(M636="",M636=0),"",(O636-M636)/M636)</f>
        <v/>
      </c>
      <c r="Q636" s="7">
        <f>IF(COUNT(D636:L636)=0,"",INDEX($D$1:$L$1,MATCH(MIN(D636:L636),D636:L636,0)))</f>
        <v/>
      </c>
      <c r="R636" s="8" t="n">
        <v>580</v>
      </c>
      <c r="S636" s="10" t="n">
        <v>1</v>
      </c>
    </row>
    <row r="637">
      <c r="A637" s="7" t="inlineStr">
        <is>
          <t>MAT-10-084</t>
        </is>
      </c>
      <c r="B637" s="4" t="inlineStr">
        <is>
          <t>Reflector LED de 30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>
        <v>620</v>
      </c>
      <c r="K637" s="8" t="n"/>
      <c r="L637" s="8" t="n"/>
      <c r="M637" s="8">
        <f>IF(COUNT(D637:L637)=0,"",MIN(D637:L637))</f>
        <v/>
      </c>
      <c r="N637" s="8">
        <f>IF(COUNT(D637:L637)=0,"",MEDIAN(D637:L637))</f>
        <v/>
      </c>
      <c r="O637" s="8">
        <f>IF(COUNT(D637:L637)=0,"",MAX(D637:L637))</f>
        <v/>
      </c>
      <c r="P637" s="9">
        <f>IF(OR(M637="",M637=0),"",(O637-M637)/M637)</f>
        <v/>
      </c>
      <c r="Q637" s="7">
        <f>IF(COUNT(D637:L637)=0,"",INDEX($D$1:$L$1,MATCH(MIN(D637:L637),D637:L637,0)))</f>
        <v/>
      </c>
      <c r="R637" s="8" t="n">
        <v>972.5</v>
      </c>
      <c r="S637" s="10" t="n">
        <v>1</v>
      </c>
    </row>
    <row r="638">
      <c r="A638" s="7" t="inlineStr">
        <is>
          <t>MAT-10-085</t>
        </is>
      </c>
      <c r="B638" s="4" t="inlineStr">
        <is>
          <t>Reflector LED de 50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>
        <v>970</v>
      </c>
      <c r="K638" s="8" t="n"/>
      <c r="L638" s="8" t="n"/>
      <c r="M638" s="8">
        <f>IF(COUNT(D638:L638)=0,"",MIN(D638:L638))</f>
        <v/>
      </c>
      <c r="N638" s="8">
        <f>IF(COUNT(D638:L638)=0,"",MEDIAN(D638:L638))</f>
        <v/>
      </c>
      <c r="O638" s="8">
        <f>IF(COUNT(D638:L638)=0,"",MAX(D638:L638))</f>
        <v/>
      </c>
      <c r="P638" s="9">
        <f>IF(OR(M638="",M638=0),"",(O638-M638)/M638)</f>
        <v/>
      </c>
      <c r="Q638" s="7">
        <f>IF(COUNT(D638:L638)=0,"",INDEX($D$1:$L$1,MATCH(MIN(D638:L638),D638:L638,0)))</f>
        <v/>
      </c>
      <c r="R638" s="8" t="n">
        <v>970</v>
      </c>
      <c r="S638" s="10" t="n">
        <v>1</v>
      </c>
    </row>
    <row r="639">
      <c r="A639" s="7" t="inlineStr">
        <is>
          <t>MAT-10-086</t>
        </is>
      </c>
      <c r="B639" s="4" t="inlineStr">
        <is>
          <t>Tubo LED de 11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>
        <v>699</v>
      </c>
      <c r="I639" s="8" t="n"/>
      <c r="J639" s="8" t="n"/>
      <c r="K639" s="8" t="n"/>
      <c r="L639" s="8" t="n"/>
      <c r="M639" s="8">
        <f>IF(COUNT(D639:L639)=0,"",MIN(D639:L639))</f>
        <v/>
      </c>
      <c r="N639" s="8">
        <f>IF(COUNT(D639:L639)=0,"",MEDIAN(D639:L639))</f>
        <v/>
      </c>
      <c r="O639" s="8">
        <f>IF(COUNT(D639:L639)=0,"",MAX(D639:L639))</f>
        <v/>
      </c>
      <c r="P639" s="9">
        <f>IF(OR(M639="",M639=0),"",(O639-M639)/M639)</f>
        <v/>
      </c>
      <c r="Q639" s="7">
        <f>IF(COUNT(D639:L639)=0,"",INDEX($D$1:$L$1,MATCH(MIN(D639:L639),D639:L639,0)))</f>
        <v/>
      </c>
      <c r="R639" s="8" t="n">
        <v>699</v>
      </c>
      <c r="S639" s="10" t="n">
        <v>1</v>
      </c>
    </row>
    <row r="640">
      <c r="A640" s="7" t="inlineStr">
        <is>
          <t>MAT-10-087</t>
        </is>
      </c>
      <c r="B640" s="4" t="inlineStr">
        <is>
          <t>Tubo LED de 16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/>
      <c r="I640" s="8" t="n"/>
      <c r="J640" s="8" t="n">
        <v>249.99</v>
      </c>
      <c r="K640" s="8" t="n"/>
      <c r="L640" s="8" t="n"/>
      <c r="M640" s="8">
        <f>IF(COUNT(D640:L640)=0,"",MIN(D640:L640))</f>
        <v/>
      </c>
      <c r="N640" s="8">
        <f>IF(COUNT(D640:L640)=0,"",MEDIAN(D640:L640))</f>
        <v/>
      </c>
      <c r="O640" s="8">
        <f>IF(COUNT(D640:L640)=0,"",MAX(D640:L640))</f>
        <v/>
      </c>
      <c r="P640" s="9">
        <f>IF(OR(M640="",M640=0),"",(O640-M640)/M640)</f>
        <v/>
      </c>
      <c r="Q640" s="7">
        <f>IF(COUNT(D640:L640)=0,"",INDEX($D$1:$L$1,MATCH(MIN(D640:L640),D640:L640,0)))</f>
        <v/>
      </c>
      <c r="R640" s="8" t="n">
        <v>249.99</v>
      </c>
      <c r="S640" s="10" t="n">
        <v>1</v>
      </c>
    </row>
    <row r="641">
      <c r="A641" s="7" t="inlineStr">
        <is>
          <t>MAT-10-088</t>
        </is>
      </c>
      <c r="B641" s="4" t="inlineStr">
        <is>
          <t>Tubo LED de 19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>
        <v>785</v>
      </c>
      <c r="I641" s="8" t="n"/>
      <c r="J641" s="8" t="n"/>
      <c r="K641" s="8" t="n"/>
      <c r="L641" s="8" t="n"/>
      <c r="M641" s="8">
        <f>IF(COUNT(D641:L641)=0,"",MIN(D641:L641))</f>
        <v/>
      </c>
      <c r="N641" s="8">
        <f>IF(COUNT(D641:L641)=0,"",MEDIAN(D641:L641))</f>
        <v/>
      </c>
      <c r="O641" s="8">
        <f>IF(COUNT(D641:L641)=0,"",MAX(D641:L641))</f>
        <v/>
      </c>
      <c r="P641" s="9">
        <f>IF(OR(M641="",M641=0),"",(O641-M641)/M641)</f>
        <v/>
      </c>
      <c r="Q641" s="7">
        <f>IF(COUNT(D641:L641)=0,"",INDEX($D$1:$L$1,MATCH(MIN(D641:L641),D641:L641,0)))</f>
        <v/>
      </c>
      <c r="R641" s="8" t="n">
        <v>785</v>
      </c>
      <c r="S641" s="10" t="n">
        <v>1</v>
      </c>
    </row>
    <row r="642">
      <c r="A642" s="7" t="inlineStr">
        <is>
          <t>MAT-10-089</t>
        </is>
      </c>
      <c r="B642" s="4" t="inlineStr">
        <is>
          <t>Tubo LED de 20.5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>
        <v>264.99</v>
      </c>
      <c r="K642" s="8" t="n"/>
      <c r="L642" s="8" t="n"/>
      <c r="M642" s="8">
        <f>IF(COUNT(D642:L642)=0,"",MIN(D642:L642))</f>
        <v/>
      </c>
      <c r="N642" s="8">
        <f>IF(COUNT(D642:L642)=0,"",MEDIAN(D642:L642))</f>
        <v/>
      </c>
      <c r="O642" s="8">
        <f>IF(COUNT(D642:L642)=0,"",MAX(D642:L642))</f>
        <v/>
      </c>
      <c r="P642" s="9">
        <f>IF(OR(M642="",M642=0),"",(O642-M642)/M642)</f>
        <v/>
      </c>
      <c r="Q642" s="7">
        <f>IF(COUNT(D642:L642)=0,"",INDEX($D$1:$L$1,MATCH(MIN(D642:L642),D642:L642,0)))</f>
        <v/>
      </c>
      <c r="R642" s="8" t="n">
        <v>264.99</v>
      </c>
      <c r="S642" s="10" t="n">
        <v>1</v>
      </c>
    </row>
    <row r="643">
      <c r="A643" s="7" t="inlineStr">
        <is>
          <t>MAT-10-090</t>
        </is>
      </c>
      <c r="B643" s="4" t="inlineStr">
        <is>
          <t>Tubo LED de 24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>
        <v>889</v>
      </c>
      <c r="I643" s="8" t="n"/>
      <c r="J643" s="8" t="n"/>
      <c r="K643" s="8" t="n"/>
      <c r="L643" s="8" t="n"/>
      <c r="M643" s="8">
        <f>IF(COUNT(D643:L643)=0,"",MIN(D643:L643))</f>
        <v/>
      </c>
      <c r="N643" s="8">
        <f>IF(COUNT(D643:L643)=0,"",MEDIAN(D643:L643))</f>
        <v/>
      </c>
      <c r="O643" s="8">
        <f>IF(COUNT(D643:L643)=0,"",MAX(D643:L643))</f>
        <v/>
      </c>
      <c r="P643" s="9">
        <f>IF(OR(M643="",M643=0),"",(O643-M643)/M643)</f>
        <v/>
      </c>
      <c r="Q643" s="7">
        <f>IF(COUNT(D643:L643)=0,"",INDEX($D$1:$L$1,MATCH(MIN(D643:L643),D643:L643,0)))</f>
        <v/>
      </c>
      <c r="R643" s="8" t="n">
        <v>889</v>
      </c>
      <c r="S643" s="10" t="n">
        <v>1</v>
      </c>
    </row>
    <row r="644">
      <c r="A644" s="7" t="inlineStr">
        <is>
          <t>MAT-10-091</t>
        </is>
      </c>
      <c r="B644" s="4" t="inlineStr">
        <is>
          <t>Tubo LED de 36 W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875</v>
      </c>
      <c r="I644" s="8" t="n"/>
      <c r="J644" s="8" t="n"/>
      <c r="K644" s="8" t="n"/>
      <c r="L644" s="8" t="n"/>
      <c r="M644" s="8">
        <f>IF(COUNT(D644:L644)=0,"",MIN(D644:L644))</f>
        <v/>
      </c>
      <c r="N644" s="8">
        <f>IF(COUNT(D644:L644)=0,"",MEDIAN(D644:L644))</f>
        <v/>
      </c>
      <c r="O644" s="8">
        <f>IF(COUNT(D644:L644)=0,"",MAX(D644:L644))</f>
        <v/>
      </c>
      <c r="P644" s="9">
        <f>IF(OR(M644="",M644=0),"",(O644-M644)/M644)</f>
        <v/>
      </c>
      <c r="Q644" s="7">
        <f>IF(COUNT(D644:L644)=0,"",INDEX($D$1:$L$1,MATCH(MIN(D644:L644),D644:L644,0)))</f>
        <v/>
      </c>
      <c r="R644" s="8" t="n">
        <v>875</v>
      </c>
      <c r="S644" s="10" t="n">
        <v>1</v>
      </c>
    </row>
    <row r="645">
      <c r="A645" s="7" t="inlineStr">
        <is>
          <t>MAT-10-092</t>
        </is>
      </c>
      <c r="B645" s="4" t="inlineStr">
        <is>
          <t>Tubo LED de 6 W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505</v>
      </c>
      <c r="I645" s="8" t="n"/>
      <c r="J645" s="8" t="n"/>
      <c r="K645" s="8" t="n"/>
      <c r="L645" s="8" t="n"/>
      <c r="M645" s="8">
        <f>IF(COUNT(D645:L645)=0,"",MIN(D645:L645))</f>
        <v/>
      </c>
      <c r="N645" s="8">
        <f>IF(COUNT(D645:L645)=0,"",MEDIAN(D645:L645))</f>
        <v/>
      </c>
      <c r="O645" s="8">
        <f>IF(COUNT(D645:L645)=0,"",MAX(D645:L645))</f>
        <v/>
      </c>
      <c r="P645" s="9">
        <f>IF(OR(M645="",M645=0),"",(O645-M645)/M645)</f>
        <v/>
      </c>
      <c r="Q645" s="7">
        <f>IF(COUNT(D645:L645)=0,"",INDEX($D$1:$L$1,MATCH(MIN(D645:L645),D645:L645,0)))</f>
        <v/>
      </c>
      <c r="R645" s="8" t="n">
        <v>505</v>
      </c>
      <c r="S645" s="10" t="n">
        <v>1</v>
      </c>
    </row>
    <row r="646">
      <c r="A646" s="7" t="inlineStr">
        <is>
          <t>MAT-10-093</t>
        </is>
      </c>
      <c r="B646" s="4" t="inlineStr">
        <is>
          <t>Tubo LED de 9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>
        <v>145</v>
      </c>
      <c r="I646" s="8" t="n"/>
      <c r="J646" s="8" t="n"/>
      <c r="K646" s="8" t="n"/>
      <c r="L646" s="8" t="n"/>
      <c r="M646" s="8">
        <f>IF(COUNT(D646:L646)=0,"",MIN(D646:L646))</f>
        <v/>
      </c>
      <c r="N646" s="8">
        <f>IF(COUNT(D646:L646)=0,"",MEDIAN(D646:L646))</f>
        <v/>
      </c>
      <c r="O646" s="8">
        <f>IF(COUNT(D646:L646)=0,"",MAX(D646:L646))</f>
        <v/>
      </c>
      <c r="P646" s="9">
        <f>IF(OR(M646="",M646=0),"",(O646-M646)/M646)</f>
        <v/>
      </c>
      <c r="Q646" s="7">
        <f>IF(COUNT(D646:L646)=0,"",INDEX($D$1:$L$1,MATCH(MIN(D646:L646),D646:L646,0)))</f>
        <v/>
      </c>
      <c r="R646" s="8" t="n">
        <v>145</v>
      </c>
      <c r="S646" s="10" t="n">
        <v>1</v>
      </c>
    </row>
    <row r="647">
      <c r="A647" s="7" t="inlineStr">
        <is>
          <t>MAT-10-094</t>
        </is>
      </c>
      <c r="B647" s="4" t="inlineStr">
        <is>
          <t>Tubo LED de 9.9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210</v>
      </c>
      <c r="K647" s="8" t="n"/>
      <c r="L647" s="8" t="n"/>
      <c r="M647" s="8">
        <f>IF(COUNT(D647:L647)=0,"",MIN(D647:L647))</f>
        <v/>
      </c>
      <c r="N647" s="8">
        <f>IF(COUNT(D647:L647)=0,"",MEDIAN(D647:L647))</f>
        <v/>
      </c>
      <c r="O647" s="8">
        <f>IF(COUNT(D647:L647)=0,"",MAX(D647:L647))</f>
        <v/>
      </c>
      <c r="P647" s="9">
        <f>IF(OR(M647="",M647=0),"",(O647-M647)/M647)</f>
        <v/>
      </c>
      <c r="Q647" s="7">
        <f>IF(COUNT(D647:L647)=0,"",INDEX($D$1:$L$1,MATCH(MIN(D647:L647),D647:L647,0)))</f>
        <v/>
      </c>
      <c r="R647" s="8" t="n">
        <v>210</v>
      </c>
      <c r="S647" s="10" t="n">
        <v>1</v>
      </c>
    </row>
    <row r="648">
      <c r="A648" s="7" t="inlineStr">
        <is>
          <t>MAT-10-095</t>
        </is>
      </c>
      <c r="B648" s="4" t="inlineStr">
        <is>
          <t>Fotocelda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>
        <v>150</v>
      </c>
      <c r="K648" s="8" t="n"/>
      <c r="L648" s="8" t="n"/>
      <c r="M648" s="8">
        <f>IF(COUNT(D648:L648)=0,"",MIN(D648:L648))</f>
        <v/>
      </c>
      <c r="N648" s="8">
        <f>IF(COUNT(D648:L648)=0,"",MEDIAN(D648:L648))</f>
        <v/>
      </c>
      <c r="O648" s="8">
        <f>IF(COUNT(D648:L648)=0,"",MAX(D648:L648))</f>
        <v/>
      </c>
      <c r="P648" s="9">
        <f>IF(OR(M648="",M648=0),"",(O648-M648)/M648)</f>
        <v/>
      </c>
      <c r="Q648" s="7">
        <f>IF(COUNT(D648:L648)=0,"",INDEX($D$1:$L$1,MATCH(MIN(D648:L648),D648:L648,0)))</f>
        <v/>
      </c>
      <c r="R648" s="8" t="n">
        <v>235</v>
      </c>
      <c r="S648" s="10" t="n">
        <v>1</v>
      </c>
    </row>
    <row r="649">
      <c r="A649" s="7" t="inlineStr">
        <is>
          <t>MAT-10-096</t>
        </is>
      </c>
      <c r="B649" s="4" t="inlineStr">
        <is>
          <t>Portalámparas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>
        <v>35</v>
      </c>
      <c r="I649" s="8" t="n"/>
      <c r="J649" s="8" t="n"/>
      <c r="K649" s="8" t="n"/>
      <c r="L649" s="8" t="n"/>
      <c r="M649" s="8">
        <f>IF(COUNT(D649:L649)=0,"",MIN(D649:L649))</f>
        <v/>
      </c>
      <c r="N649" s="8">
        <f>IF(COUNT(D649:L649)=0,"",MEDIAN(D649:L649))</f>
        <v/>
      </c>
      <c r="O649" s="8">
        <f>IF(COUNT(D649:L649)=0,"",MAX(D649:L649))</f>
        <v/>
      </c>
      <c r="P649" s="9">
        <f>IF(OR(M649="",M649=0),"",(O649-M649)/M649)</f>
        <v/>
      </c>
      <c r="Q649" s="7">
        <f>IF(COUNT(D649:L649)=0,"",INDEX($D$1:$L$1,MATCH(MIN(D649:L649),D649:L649,0)))</f>
        <v/>
      </c>
      <c r="R649" s="8" t="n">
        <v>55</v>
      </c>
      <c r="S649" s="10" t="n">
        <v>1</v>
      </c>
    </row>
    <row r="650">
      <c r="A650" s="7" t="inlineStr">
        <is>
          <t>MAT-10-097</t>
        </is>
      </c>
      <c r="B650" s="4" t="inlineStr">
        <is>
          <t>Portalámparas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>
        <v>29</v>
      </c>
      <c r="I650" s="8" t="n"/>
      <c r="J650" s="8" t="n"/>
      <c r="K650" s="8" t="n"/>
      <c r="L650" s="8" t="n"/>
      <c r="M650" s="8">
        <f>IF(COUNT(D650:L650)=0,"",MIN(D650:L650))</f>
        <v/>
      </c>
      <c r="N650" s="8">
        <f>IF(COUNT(D650:L650)=0,"",MEDIAN(D650:L650))</f>
        <v/>
      </c>
      <c r="O650" s="8">
        <f>IF(COUNT(D650:L650)=0,"",MAX(D650:L650))</f>
        <v/>
      </c>
      <c r="P650" s="9">
        <f>IF(OR(M650="",M650=0),"",(O650-M650)/M650)</f>
        <v/>
      </c>
      <c r="Q650" s="7">
        <f>IF(COUNT(D650:L650)=0,"",INDEX($D$1:$L$1,MATCH(MIN(D650:L650),D650:L650,0)))</f>
        <v/>
      </c>
      <c r="R650" s="8" t="n">
        <v>49</v>
      </c>
      <c r="S650" s="10" t="n">
        <v>1</v>
      </c>
    </row>
    <row r="651">
      <c r="A651" s="7" t="inlineStr">
        <is>
          <t>MAT-10-098</t>
        </is>
      </c>
      <c r="B651" s="4" t="inlineStr">
        <is>
          <t>Roseta de techo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115</v>
      </c>
      <c r="K651" s="8" t="n"/>
      <c r="L651" s="8" t="n"/>
      <c r="M651" s="8">
        <f>IF(COUNT(D651:L651)=0,"",MIN(D651:L651))</f>
        <v/>
      </c>
      <c r="N651" s="8">
        <f>IF(COUNT(D651:L651)=0,"",MEDIAN(D651:L651))</f>
        <v/>
      </c>
      <c r="O651" s="8">
        <f>IF(COUNT(D651:L651)=0,"",MAX(D651:L651))</f>
        <v/>
      </c>
      <c r="P651" s="9">
        <f>IF(OR(M651="",M651=0),"",(O651-M651)/M651)</f>
        <v/>
      </c>
      <c r="Q651" s="7">
        <f>IF(COUNT(D651:L651)=0,"",INDEX($D$1:$L$1,MATCH(MIN(D651:L651),D651:L651,0)))</f>
        <v/>
      </c>
      <c r="R651" s="8" t="n">
        <v>120</v>
      </c>
      <c r="S651" s="10" t="n">
        <v>1</v>
      </c>
    </row>
    <row r="652">
      <c r="A652" s="7" t="inlineStr">
        <is>
          <t>MAT-10-099</t>
        </is>
      </c>
      <c r="B652" s="4" t="inlineStr">
        <is>
          <t>Zócalo para bombillo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>
        <v>30</v>
      </c>
      <c r="K652" s="8" t="n"/>
      <c r="L652" s="8" t="n"/>
      <c r="M652" s="8">
        <f>IF(COUNT(D652:L652)=0,"",MIN(D652:L652))</f>
        <v/>
      </c>
      <c r="N652" s="8">
        <f>IF(COUNT(D652:L652)=0,"",MEDIAN(D652:L652))</f>
        <v/>
      </c>
      <c r="O652" s="8">
        <f>IF(COUNT(D652:L652)=0,"",MAX(D652:L652))</f>
        <v/>
      </c>
      <c r="P652" s="9">
        <f>IF(OR(M652="",M652=0),"",(O652-M652)/M652)</f>
        <v/>
      </c>
      <c r="Q652" s="7">
        <f>IF(COUNT(D652:L652)=0,"",INDEX($D$1:$L$1,MATCH(MIN(D652:L652),D652:L652,0)))</f>
        <v/>
      </c>
      <c r="R652" s="8" t="n">
        <v>55</v>
      </c>
      <c r="S652" s="10" t="n">
        <v>1</v>
      </c>
    </row>
    <row r="653">
      <c r="A653" s="7" t="inlineStr">
        <is>
          <t>MAT-10-100</t>
        </is>
      </c>
      <c r="B653" s="4" t="inlineStr">
        <is>
          <t>Interruptor con tomacorriente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>
        <v>465</v>
      </c>
      <c r="K653" s="8" t="n"/>
      <c r="L653" s="8" t="n"/>
      <c r="M653" s="8">
        <f>IF(COUNT(D653:L653)=0,"",MIN(D653:L653))</f>
        <v/>
      </c>
      <c r="N653" s="8">
        <f>IF(COUNT(D653:L653)=0,"",MEDIAN(D653:L653))</f>
        <v/>
      </c>
      <c r="O653" s="8">
        <f>IF(COUNT(D653:L653)=0,"",MAX(D653:L653))</f>
        <v/>
      </c>
      <c r="P653" s="9">
        <f>IF(OR(M653="",M653=0),"",(O653-M653)/M653)</f>
        <v/>
      </c>
      <c r="Q653" s="7">
        <f>IF(COUNT(D653:L653)=0,"",INDEX($D$1:$L$1,MATCH(MIN(D653:L653),D653:L653,0)))</f>
        <v/>
      </c>
      <c r="R653" s="8" t="n">
        <v>500</v>
      </c>
      <c r="S653" s="10" t="n">
        <v>1</v>
      </c>
    </row>
    <row r="654">
      <c r="A654" s="7" t="inlineStr">
        <is>
          <t>MAT-10-101</t>
        </is>
      </c>
      <c r="B654" s="4" t="inlineStr">
        <is>
          <t>Interruptor conmutador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45</v>
      </c>
      <c r="I654" s="8" t="n"/>
      <c r="J654" s="8" t="n"/>
      <c r="K654" s="8" t="n"/>
      <c r="L654" s="8" t="n"/>
      <c r="M654" s="8">
        <f>IF(COUNT(D654:L654)=0,"",MIN(D654:L654))</f>
        <v/>
      </c>
      <c r="N654" s="8">
        <f>IF(COUNT(D654:L654)=0,"",MEDIAN(D654:L654))</f>
        <v/>
      </c>
      <c r="O654" s="8">
        <f>IF(COUNT(D654:L654)=0,"",MAX(D654:L654))</f>
        <v/>
      </c>
      <c r="P654" s="9">
        <f>IF(OR(M654="",M654=0),"",(O654-M654)/M654)</f>
        <v/>
      </c>
      <c r="Q654" s="7">
        <f>IF(COUNT(D654:L654)=0,"",INDEX($D$1:$L$1,MATCH(MIN(D654:L654),D654:L654,0)))</f>
        <v/>
      </c>
      <c r="R654" s="8" t="n">
        <v>69.5</v>
      </c>
      <c r="S654" s="10" t="n">
        <v>1</v>
      </c>
    </row>
    <row r="655">
      <c r="A655" s="7" t="inlineStr">
        <is>
          <t>MAT-10-102</t>
        </is>
      </c>
      <c r="B655" s="4" t="inlineStr">
        <is>
          <t>Interruptor de 3 vías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>
        <v>395</v>
      </c>
      <c r="K655" s="8" t="n"/>
      <c r="L655" s="8" t="n"/>
      <c r="M655" s="8">
        <f>IF(COUNT(D655:L655)=0,"",MIN(D655:L655))</f>
        <v/>
      </c>
      <c r="N655" s="8">
        <f>IF(COUNT(D655:L655)=0,"",MEDIAN(D655:L655))</f>
        <v/>
      </c>
      <c r="O655" s="8">
        <f>IF(COUNT(D655:L655)=0,"",MAX(D655:L655))</f>
        <v/>
      </c>
      <c r="P655" s="9">
        <f>IF(OR(M655="",M655=0),"",(O655-M655)/M655)</f>
        <v/>
      </c>
      <c r="Q655" s="7">
        <f>IF(COUNT(D655:L655)=0,"",INDEX($D$1:$L$1,MATCH(MIN(D655:L655),D655:L655,0)))</f>
        <v/>
      </c>
      <c r="R655" s="8" t="n">
        <v>542.5</v>
      </c>
      <c r="S655" s="10" t="n">
        <v>1</v>
      </c>
    </row>
    <row r="656">
      <c r="A656" s="7" t="inlineStr">
        <is>
          <t>MAT-10-103</t>
        </is>
      </c>
      <c r="B656" s="4" t="inlineStr">
        <is>
          <t>Interruptor de 4 vías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>
        <v>390</v>
      </c>
      <c r="K656" s="8" t="n"/>
      <c r="L656" s="8" t="n"/>
      <c r="M656" s="8">
        <f>IF(COUNT(D656:L656)=0,"",MIN(D656:L656))</f>
        <v/>
      </c>
      <c r="N656" s="8">
        <f>IF(COUNT(D656:L656)=0,"",MEDIAN(D656:L656))</f>
        <v/>
      </c>
      <c r="O656" s="8">
        <f>IF(COUNT(D656:L656)=0,"",MAX(D656:L656))</f>
        <v/>
      </c>
      <c r="P656" s="9">
        <f>IF(OR(M656="",M656=0),"",(O656-M656)/M656)</f>
        <v/>
      </c>
      <c r="Q656" s="7">
        <f>IF(COUNT(D656:L656)=0,"",INDEX($D$1:$L$1,MATCH(MIN(D656:L656),D656:L656,0)))</f>
        <v/>
      </c>
      <c r="R656" s="8" t="n">
        <v>467.5</v>
      </c>
      <c r="S656" s="10" t="n">
        <v>1</v>
      </c>
    </row>
    <row r="657">
      <c r="A657" s="7" t="inlineStr">
        <is>
          <t>MAT-10-104</t>
        </is>
      </c>
      <c r="B657" s="4" t="inlineStr">
        <is>
          <t>Interruptor dimmer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>
        <v>960</v>
      </c>
      <c r="K657" s="8" t="n"/>
      <c r="L657" s="8" t="n"/>
      <c r="M657" s="8">
        <f>IF(COUNT(D657:L657)=0,"",MIN(D657:L657))</f>
        <v/>
      </c>
      <c r="N657" s="8">
        <f>IF(COUNT(D657:L657)=0,"",MEDIAN(D657:L657))</f>
        <v/>
      </c>
      <c r="O657" s="8">
        <f>IF(COUNT(D657:L657)=0,"",MAX(D657:L657))</f>
        <v/>
      </c>
      <c r="P657" s="9">
        <f>IF(OR(M657="",M657=0),"",(O657-M657)/M657)</f>
        <v/>
      </c>
      <c r="Q657" s="7">
        <f>IF(COUNT(D657:L657)=0,"",INDEX($D$1:$L$1,MATCH(MIN(D657:L657),D657:L657,0)))</f>
        <v/>
      </c>
      <c r="R657" s="8" t="n">
        <v>1112.5</v>
      </c>
      <c r="S657" s="10" t="n">
        <v>1</v>
      </c>
    </row>
    <row r="658">
      <c r="A658" s="7" t="inlineStr">
        <is>
          <t>MAT-10-105</t>
        </is>
      </c>
      <c r="B658" s="4" t="inlineStr">
        <is>
          <t>Interruptor doble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45</v>
      </c>
      <c r="I658" s="8" t="n"/>
      <c r="J658" s="8" t="n">
        <v>145</v>
      </c>
      <c r="K658" s="8" t="n"/>
      <c r="L658" s="8" t="n"/>
      <c r="M658" s="8">
        <f>IF(COUNT(D658:L658)=0,"",MIN(D658:L658))</f>
        <v/>
      </c>
      <c r="N658" s="8">
        <f>IF(COUNT(D658:L658)=0,"",MEDIAN(D658:L658))</f>
        <v/>
      </c>
      <c r="O658" s="8">
        <f>IF(COUNT(D658:L658)=0,"",MAX(D658:L658))</f>
        <v/>
      </c>
      <c r="P658" s="9">
        <f>IF(OR(M658="",M658=0),"",(O658-M658)/M658)</f>
        <v/>
      </c>
      <c r="Q658" s="7">
        <f>IF(COUNT(D658:L658)=0,"",INDEX($D$1:$L$1,MATCH(MIN(D658:L658),D658:L658,0)))</f>
        <v/>
      </c>
      <c r="R658" s="8" t="n">
        <v>190</v>
      </c>
      <c r="S658" s="10" t="n">
        <v>2</v>
      </c>
    </row>
    <row r="659">
      <c r="A659" s="7" t="inlineStr">
        <is>
          <t>MAT-10-106</t>
        </is>
      </c>
      <c r="B659" s="4" t="inlineStr">
        <is>
          <t>Interruptor sencillo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30</v>
      </c>
      <c r="I659" s="8" t="n"/>
      <c r="J659" s="8" t="n"/>
      <c r="K659" s="8" t="n"/>
      <c r="L659" s="8" t="n"/>
      <c r="M659" s="8">
        <f>IF(COUNT(D659:L659)=0,"",MIN(D659:L659))</f>
        <v/>
      </c>
      <c r="N659" s="8">
        <f>IF(COUNT(D659:L659)=0,"",MEDIAN(D659:L659))</f>
        <v/>
      </c>
      <c r="O659" s="8">
        <f>IF(COUNT(D659:L659)=0,"",MAX(D659:L659))</f>
        <v/>
      </c>
      <c r="P659" s="9">
        <f>IF(OR(M659="",M659=0),"",(O659-M659)/M659)</f>
        <v/>
      </c>
      <c r="Q659" s="7">
        <f>IF(COUNT(D659:L659)=0,"",INDEX($D$1:$L$1,MATCH(MIN(D659:L659),D659:L659,0)))</f>
        <v/>
      </c>
      <c r="R659" s="8" t="n">
        <v>94.5</v>
      </c>
      <c r="S659" s="10" t="n">
        <v>1</v>
      </c>
    </row>
    <row r="660">
      <c r="A660" s="7" t="inlineStr">
        <is>
          <t>MAT-10-107</t>
        </is>
      </c>
      <c r="B660" s="4" t="inlineStr">
        <is>
          <t>Interruptor triple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>
        <v>60</v>
      </c>
      <c r="I660" s="8" t="n"/>
      <c r="J660" s="8" t="n">
        <v>325</v>
      </c>
      <c r="K660" s="8" t="n"/>
      <c r="L660" s="8" t="n"/>
      <c r="M660" s="8">
        <f>IF(COUNT(D660:L660)=0,"",MIN(D660:L660))</f>
        <v/>
      </c>
      <c r="N660" s="8">
        <f>IF(COUNT(D660:L660)=0,"",MEDIAN(D660:L660))</f>
        <v/>
      </c>
      <c r="O660" s="8">
        <f>IF(COUNT(D660:L660)=0,"",MAX(D660:L660))</f>
        <v/>
      </c>
      <c r="P660" s="9">
        <f>IF(OR(M660="",M660=0),"",(O660-M660)/M660)</f>
        <v/>
      </c>
      <c r="Q660" s="7">
        <f>IF(COUNT(D660:L660)=0,"",INDEX($D$1:$L$1,MATCH(MIN(D660:L660),D660:L660,0)))</f>
        <v/>
      </c>
      <c r="R660" s="8" t="n">
        <v>212.5</v>
      </c>
      <c r="S660" s="10" t="n">
        <v>2</v>
      </c>
    </row>
    <row r="661">
      <c r="A661" s="7" t="inlineStr">
        <is>
          <t>MAT-10-108</t>
        </is>
      </c>
      <c r="B661" s="4" t="inlineStr">
        <is>
          <t>Tomacorriente con USB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>
        <v>460</v>
      </c>
      <c r="I661" s="8" t="n"/>
      <c r="J661" s="8" t="n">
        <v>1085</v>
      </c>
      <c r="K661" s="8" t="n"/>
      <c r="L661" s="8" t="n"/>
      <c r="M661" s="8">
        <f>IF(COUNT(D661:L661)=0,"",MIN(D661:L661))</f>
        <v/>
      </c>
      <c r="N661" s="8">
        <f>IF(COUNT(D661:L661)=0,"",MEDIAN(D661:L661))</f>
        <v/>
      </c>
      <c r="O661" s="8">
        <f>IF(COUNT(D661:L661)=0,"",MAX(D661:L661))</f>
        <v/>
      </c>
      <c r="P661" s="9">
        <f>IF(OR(M661="",M661=0),"",(O661-M661)/M661)</f>
        <v/>
      </c>
      <c r="Q661" s="7">
        <f>IF(COUNT(D661:L661)=0,"",INDEX($D$1:$L$1,MATCH(MIN(D661:L661),D661:L661,0)))</f>
        <v/>
      </c>
      <c r="R661" s="8" t="n">
        <v>817.5</v>
      </c>
      <c r="S661" s="10" t="n">
        <v>2</v>
      </c>
    </row>
    <row r="662">
      <c r="A662" s="7" t="inlineStr">
        <is>
          <t>MAT-10-109</t>
        </is>
      </c>
      <c r="B662" s="4" t="inlineStr">
        <is>
          <t>Tomacorriente doble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>
        <v>34</v>
      </c>
      <c r="I662" s="8" t="n"/>
      <c r="J662" s="8" t="n"/>
      <c r="K662" s="8" t="n"/>
      <c r="L662" s="8" t="n"/>
      <c r="M662" s="8">
        <f>IF(COUNT(D662:L662)=0,"",MIN(D662:L662))</f>
        <v/>
      </c>
      <c r="N662" s="8">
        <f>IF(COUNT(D662:L662)=0,"",MEDIAN(D662:L662))</f>
        <v/>
      </c>
      <c r="O662" s="8">
        <f>IF(COUNT(D662:L662)=0,"",MAX(D662:L662))</f>
        <v/>
      </c>
      <c r="P662" s="9">
        <f>IF(OR(M662="",M662=0),"",(O662-M662)/M662)</f>
        <v/>
      </c>
      <c r="Q662" s="7">
        <f>IF(COUNT(D662:L662)=0,"",INDEX($D$1:$L$1,MATCH(MIN(D662:L662),D662:L662,0)))</f>
        <v/>
      </c>
      <c r="R662" s="8" t="n">
        <v>122</v>
      </c>
      <c r="S662" s="10" t="n">
        <v>1</v>
      </c>
    </row>
    <row r="663">
      <c r="A663" s="7" t="inlineStr">
        <is>
          <t>MAT-10-110</t>
        </is>
      </c>
      <c r="B663" s="4" t="inlineStr">
        <is>
          <t>Tomacorriente sencillo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39</v>
      </c>
      <c r="I663" s="8" t="n"/>
      <c r="J663" s="8" t="n"/>
      <c r="K663" s="8" t="n"/>
      <c r="L663" s="8" t="n"/>
      <c r="M663" s="8">
        <f>IF(COUNT(D663:L663)=0,"",MIN(D663:L663))</f>
        <v/>
      </c>
      <c r="N663" s="8">
        <f>IF(COUNT(D663:L663)=0,"",MEDIAN(D663:L663))</f>
        <v/>
      </c>
      <c r="O663" s="8">
        <f>IF(COUNT(D663:L663)=0,"",MAX(D663:L663))</f>
        <v/>
      </c>
      <c r="P663" s="9">
        <f>IF(OR(M663="",M663=0),"",(O663-M663)/M663)</f>
        <v/>
      </c>
      <c r="Q663" s="7">
        <f>IF(COUNT(D663:L663)=0,"",INDEX($D$1:$L$1,MATCH(MIN(D663:L663),D663:L663,0)))</f>
        <v/>
      </c>
      <c r="R663" s="8" t="n">
        <v>60</v>
      </c>
      <c r="S663" s="10" t="n">
        <v>1</v>
      </c>
    </row>
    <row r="664">
      <c r="A664" s="7" t="inlineStr">
        <is>
          <t>MAT-10-111</t>
        </is>
      </c>
      <c r="B664" s="4" t="inlineStr">
        <is>
          <t>ciega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>
        <v>11</v>
      </c>
      <c r="I664" s="8" t="n"/>
      <c r="J664" s="8" t="n"/>
      <c r="K664" s="8" t="n"/>
      <c r="L664" s="8" t="n"/>
      <c r="M664" s="8">
        <f>IF(COUNT(D664:L664)=0,"",MIN(D664:L664))</f>
        <v/>
      </c>
      <c r="N664" s="8">
        <f>IF(COUNT(D664:L664)=0,"",MEDIAN(D664:L664))</f>
        <v/>
      </c>
      <c r="O664" s="8">
        <f>IF(COUNT(D664:L664)=0,"",MAX(D664:L664))</f>
        <v/>
      </c>
      <c r="P664" s="9">
        <f>IF(OR(M664="",M664=0),"",(O664-M664)/M664)</f>
        <v/>
      </c>
      <c r="Q664" s="7">
        <f>IF(COUNT(D664:L664)=0,"",INDEX($D$1:$L$1,MATCH(MIN(D664:L664),D664:L664,0)))</f>
        <v/>
      </c>
      <c r="R664" s="8" t="n">
        <v>64</v>
      </c>
      <c r="S664" s="10" t="n">
        <v>1</v>
      </c>
    </row>
    <row r="665">
      <c r="A665" s="7" t="inlineStr">
        <is>
          <t>MAT-10-112</t>
        </is>
      </c>
      <c r="B665" s="4" t="inlineStr">
        <is>
          <t>doble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>
        <v>15</v>
      </c>
      <c r="I665" s="8" t="n"/>
      <c r="J665" s="8" t="n"/>
      <c r="K665" s="8" t="n"/>
      <c r="L665" s="8" t="n"/>
      <c r="M665" s="8">
        <f>IF(COUNT(D665:L665)=0,"",MIN(D665:L665))</f>
        <v/>
      </c>
      <c r="N665" s="8">
        <f>IF(COUNT(D665:L665)=0,"",MEDIAN(D665:L665))</f>
        <v/>
      </c>
      <c r="O665" s="8">
        <f>IF(COUNT(D665:L665)=0,"",MAX(D665:L665))</f>
        <v/>
      </c>
      <c r="P665" s="9">
        <f>IF(OR(M665="",M665=0),"",(O665-M665)/M665)</f>
        <v/>
      </c>
      <c r="Q665" s="7">
        <f>IF(COUNT(D665:L665)=0,"",INDEX($D$1:$L$1,MATCH(MIN(D665:L665),D665:L665,0)))</f>
        <v/>
      </c>
      <c r="R665" s="8" t="n">
        <v>132.5</v>
      </c>
      <c r="S665" s="10" t="n">
        <v>1</v>
      </c>
    </row>
    <row r="666">
      <c r="A666" s="7" t="inlineStr">
        <is>
          <t>MAT-10-113</t>
        </is>
      </c>
      <c r="B666" s="4" t="inlineStr">
        <is>
          <t>Placa de 3 módulos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/>
      <c r="J666" s="8" t="n">
        <v>85</v>
      </c>
      <c r="K666" s="8" t="n"/>
      <c r="L666" s="8" t="n"/>
      <c r="M666" s="8">
        <f>IF(COUNT(D666:L666)=0,"",MIN(D666:L666))</f>
        <v/>
      </c>
      <c r="N666" s="8">
        <f>IF(COUNT(D666:L666)=0,"",MEDIAN(D666:L666))</f>
        <v/>
      </c>
      <c r="O666" s="8">
        <f>IF(COUNT(D666:L666)=0,"",MAX(D666:L666))</f>
        <v/>
      </c>
      <c r="P666" s="9">
        <f>IF(OR(M666="",M666=0),"",(O666-M666)/M666)</f>
        <v/>
      </c>
      <c r="Q666" s="7">
        <f>IF(COUNT(D666:L666)=0,"",INDEX($D$1:$L$1,MATCH(MIN(D666:L666),D666:L666,0)))</f>
        <v/>
      </c>
      <c r="R666" s="8" t="n">
        <v>85</v>
      </c>
      <c r="S666" s="10" t="n">
        <v>1</v>
      </c>
    </row>
    <row r="667">
      <c r="A667" s="7" t="inlineStr">
        <is>
          <t>MAT-10-114</t>
        </is>
      </c>
      <c r="B667" s="4" t="inlineStr">
        <is>
          <t>Placa de 7 módulos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/>
      <c r="J667" s="8" t="n">
        <v>1620</v>
      </c>
      <c r="K667" s="8" t="n"/>
      <c r="L667" s="8" t="n"/>
      <c r="M667" s="8">
        <f>IF(COUNT(D667:L667)=0,"",MIN(D667:L667))</f>
        <v/>
      </c>
      <c r="N667" s="8">
        <f>IF(COUNT(D667:L667)=0,"",MEDIAN(D667:L667))</f>
        <v/>
      </c>
      <c r="O667" s="8">
        <f>IF(COUNT(D667:L667)=0,"",MAX(D667:L667))</f>
        <v/>
      </c>
      <c r="P667" s="9">
        <f>IF(OR(M667="",M667=0),"",(O667-M667)/M667)</f>
        <v/>
      </c>
      <c r="Q667" s="7">
        <f>IF(COUNT(D667:L667)=0,"",INDEX($D$1:$L$1,MATCH(MIN(D667:L667),D667:L667,0)))</f>
        <v/>
      </c>
      <c r="R667" s="8" t="n">
        <v>1620</v>
      </c>
      <c r="S667" s="10" t="n">
        <v>1</v>
      </c>
    </row>
    <row r="668">
      <c r="A668" s="7" t="inlineStr">
        <is>
          <t>MAT-10-115</t>
        </is>
      </c>
      <c r="B668" s="4" t="inlineStr">
        <is>
          <t>Placa de pared de 2 huecos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>
        <v>9.99</v>
      </c>
      <c r="K668" s="8" t="n"/>
      <c r="L668" s="8" t="n"/>
      <c r="M668" s="8">
        <f>IF(COUNT(D668:L668)=0,"",MIN(D668:L668))</f>
        <v/>
      </c>
      <c r="N668" s="8">
        <f>IF(COUNT(D668:L668)=0,"",MEDIAN(D668:L668))</f>
        <v/>
      </c>
      <c r="O668" s="8">
        <f>IF(COUNT(D668:L668)=0,"",MAX(D668:L668))</f>
        <v/>
      </c>
      <c r="P668" s="9">
        <f>IF(OR(M668="",M668=0),"",(O668-M668)/M668)</f>
        <v/>
      </c>
      <c r="Q668" s="7">
        <f>IF(COUNT(D668:L668)=0,"",INDEX($D$1:$L$1,MATCH(MIN(D668:L668),D668:L668,0)))</f>
        <v/>
      </c>
      <c r="R668" s="8" t="n">
        <v>9.99</v>
      </c>
      <c r="S668" s="10" t="n">
        <v>1</v>
      </c>
    </row>
    <row r="669">
      <c r="A669" s="7" t="inlineStr">
        <is>
          <t>MAT-10-116</t>
        </is>
      </c>
      <c r="B669" s="4" t="inlineStr">
        <is>
          <t>sencilla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>
        <v>45</v>
      </c>
      <c r="I669" s="8" t="n"/>
      <c r="J669" s="8" t="n"/>
      <c r="K669" s="8" t="n"/>
      <c r="L669" s="8" t="n"/>
      <c r="M669" s="8">
        <f>IF(COUNT(D669:L669)=0,"",MIN(D669:L669))</f>
        <v/>
      </c>
      <c r="N669" s="8">
        <f>IF(COUNT(D669:L669)=0,"",MEDIAN(D669:L669))</f>
        <v/>
      </c>
      <c r="O669" s="8">
        <f>IF(COUNT(D669:L669)=0,"",MAX(D669:L669))</f>
        <v/>
      </c>
      <c r="P669" s="9">
        <f>IF(OR(M669="",M669=0),"",(O669-M669)/M669)</f>
        <v/>
      </c>
      <c r="Q669" s="7">
        <f>IF(COUNT(D669:L669)=0,"",INDEX($D$1:$L$1,MATCH(MIN(D669:L669),D669:L669,0)))</f>
        <v/>
      </c>
      <c r="R669" s="8" t="n">
        <v>49</v>
      </c>
      <c r="S669" s="10" t="n">
        <v>1</v>
      </c>
    </row>
    <row r="670">
      <c r="A670" s="7" t="inlineStr">
        <is>
          <t>MAT-10-117</t>
        </is>
      </c>
      <c r="B670" s="4" t="inlineStr">
        <is>
          <t>Tapa ciega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>
        <v>115</v>
      </c>
      <c r="K670" s="8" t="n"/>
      <c r="L670" s="8" t="n"/>
      <c r="M670" s="8">
        <f>IF(COUNT(D670:L670)=0,"",MIN(D670:L670))</f>
        <v/>
      </c>
      <c r="N670" s="8">
        <f>IF(COUNT(D670:L670)=0,"",MEDIAN(D670:L670))</f>
        <v/>
      </c>
      <c r="O670" s="8">
        <f>IF(COUNT(D670:L670)=0,"",MAX(D670:L670))</f>
        <v/>
      </c>
      <c r="P670" s="9">
        <f>IF(OR(M670="",M670=0),"",(O670-M670)/M670)</f>
        <v/>
      </c>
      <c r="Q670" s="7">
        <f>IF(COUNT(D670:L670)=0,"",INDEX($D$1:$L$1,MATCH(MIN(D670:L670),D670:L670,0)))</f>
        <v/>
      </c>
      <c r="R670" s="8" t="n">
        <v>200</v>
      </c>
      <c r="S670" s="10" t="n">
        <v>1</v>
      </c>
    </row>
    <row r="671">
      <c r="A671" s="7" t="inlineStr">
        <is>
          <t>MAT-10-118</t>
        </is>
      </c>
      <c r="B671" s="4" t="inlineStr">
        <is>
          <t>Tapa para tomacorriente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>
        <v>25</v>
      </c>
      <c r="K671" s="8" t="n"/>
      <c r="L671" s="8" t="n"/>
      <c r="M671" s="8">
        <f>IF(COUNT(D671:L671)=0,"",MIN(D671:L671))</f>
        <v/>
      </c>
      <c r="N671" s="8">
        <f>IF(COUNT(D671:L671)=0,"",MEDIAN(D671:L671))</f>
        <v/>
      </c>
      <c r="O671" s="8">
        <f>IF(COUNT(D671:L671)=0,"",MAX(D671:L671))</f>
        <v/>
      </c>
      <c r="P671" s="9">
        <f>IF(OR(M671="",M671=0),"",(O671-M671)/M671)</f>
        <v/>
      </c>
      <c r="Q671" s="7">
        <f>IF(COUNT(D671:L671)=0,"",INDEX($D$1:$L$1,MATCH(MIN(D671:L671),D671:L671,0)))</f>
        <v/>
      </c>
      <c r="R671" s="8" t="n">
        <v>95</v>
      </c>
      <c r="S671" s="10" t="n">
        <v>1</v>
      </c>
    </row>
    <row r="672">
      <c r="A672" s="7" t="inlineStr">
        <is>
          <t>MAT-10-119</t>
        </is>
      </c>
      <c r="B672" s="4" t="inlineStr">
        <is>
          <t>triple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>
        <v>40</v>
      </c>
      <c r="I672" s="8" t="n"/>
      <c r="J672" s="8" t="n"/>
      <c r="K672" s="8" t="n"/>
      <c r="L672" s="8" t="n"/>
      <c r="M672" s="8">
        <f>IF(COUNT(D672:L672)=0,"",MIN(D672:L672))</f>
        <v/>
      </c>
      <c r="N672" s="8">
        <f>IF(COUNT(D672:L672)=0,"",MEDIAN(D672:L672))</f>
        <v/>
      </c>
      <c r="O672" s="8">
        <f>IF(COUNT(D672:L672)=0,"",MAX(D672:L672))</f>
        <v/>
      </c>
      <c r="P672" s="9">
        <f>IF(OR(M672="",M672=0),"",(O672-M672)/M672)</f>
        <v/>
      </c>
      <c r="Q672" s="7">
        <f>IF(COUNT(D672:L672)=0,"",INDEX($D$1:$L$1,MATCH(MIN(D672:L672),D672:L672,0)))</f>
        <v/>
      </c>
      <c r="R672" s="8" t="n">
        <v>105</v>
      </c>
      <c r="S672" s="10" t="n">
        <v>1</v>
      </c>
    </row>
    <row r="673">
      <c r="A673" s="7" t="inlineStr">
        <is>
          <t>MAT-10-120</t>
        </is>
      </c>
      <c r="B673" s="4" t="inlineStr">
        <is>
          <t>Adaptador de enchufe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>
        <v>45.01</v>
      </c>
      <c r="K673" s="8" t="n"/>
      <c r="L673" s="8" t="n"/>
      <c r="M673" s="8">
        <f>IF(COUNT(D673:L673)=0,"",MIN(D673:L673))</f>
        <v/>
      </c>
      <c r="N673" s="8">
        <f>IF(COUNT(D673:L673)=0,"",MEDIAN(D673:L673))</f>
        <v/>
      </c>
      <c r="O673" s="8">
        <f>IF(COUNT(D673:L673)=0,"",MAX(D673:L673))</f>
        <v/>
      </c>
      <c r="P673" s="9">
        <f>IF(OR(M673="",M673=0),"",(O673-M673)/M673)</f>
        <v/>
      </c>
      <c r="Q673" s="7">
        <f>IF(COUNT(D673:L673)=0,"",INDEX($D$1:$L$1,MATCH(MIN(D673:L673),D673:L673,0)))</f>
        <v/>
      </c>
      <c r="R673" s="8" t="n">
        <v>217.51</v>
      </c>
      <c r="S673" s="10" t="n">
        <v>1</v>
      </c>
    </row>
    <row r="674">
      <c r="A674" s="7" t="inlineStr">
        <is>
          <t>MAT-10-121</t>
        </is>
      </c>
      <c r="B674" s="4" t="inlineStr">
        <is>
          <t>Enchufe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>
        <v>50</v>
      </c>
      <c r="K674" s="8" t="n"/>
      <c r="L674" s="8" t="n"/>
      <c r="M674" s="8">
        <f>IF(COUNT(D674:L674)=0,"",MIN(D674:L674))</f>
        <v/>
      </c>
      <c r="N674" s="8">
        <f>IF(COUNT(D674:L674)=0,"",MEDIAN(D674:L674))</f>
        <v/>
      </c>
      <c r="O674" s="8">
        <f>IF(COUNT(D674:L674)=0,"",MAX(D674:L674))</f>
        <v/>
      </c>
      <c r="P674" s="9">
        <f>IF(OR(M674="",M674=0),"",(O674-M674)/M674)</f>
        <v/>
      </c>
      <c r="Q674" s="7">
        <f>IF(COUNT(D674:L674)=0,"",INDEX($D$1:$L$1,MATCH(MIN(D674:L674),D674:L674,0)))</f>
        <v/>
      </c>
      <c r="R674" s="8" t="n">
        <v>92.5</v>
      </c>
      <c r="S674" s="10" t="n">
        <v>1</v>
      </c>
    </row>
    <row r="675">
      <c r="A675" s="7" t="inlineStr">
        <is>
          <t>MAT-10-122</t>
        </is>
      </c>
      <c r="B675" s="4" t="inlineStr">
        <is>
          <t>Breaker enchufable 1P de 15 A, formato fino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485</v>
      </c>
      <c r="K675" s="8" t="n"/>
      <c r="L675" s="8" t="n"/>
      <c r="M675" s="8">
        <f>IF(COUNT(D675:L675)=0,"",MIN(D675:L675))</f>
        <v/>
      </c>
      <c r="N675" s="8">
        <f>IF(COUNT(D675:L675)=0,"",MEDIAN(D675:L675))</f>
        <v/>
      </c>
      <c r="O675" s="8">
        <f>IF(COUNT(D675:L675)=0,"",MAX(D675:L675))</f>
        <v/>
      </c>
      <c r="P675" s="9">
        <f>IF(OR(M675="",M675=0),"",(O675-M675)/M675)</f>
        <v/>
      </c>
      <c r="Q675" s="7">
        <f>IF(COUNT(D675:L675)=0,"",INDEX($D$1:$L$1,MATCH(MIN(D675:L675),D675:L675,0)))</f>
        <v/>
      </c>
      <c r="R675" s="8" t="n">
        <v>485</v>
      </c>
      <c r="S675" s="10" t="n">
        <v>1</v>
      </c>
    </row>
    <row r="676">
      <c r="A676" s="7" t="inlineStr">
        <is>
          <t>MAT-10-123</t>
        </is>
      </c>
      <c r="B676" s="4" t="inlineStr">
        <is>
          <t>Breaker enchufable 1P de 20 A, formato fino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500</v>
      </c>
      <c r="K676" s="8" t="n"/>
      <c r="L676" s="8" t="n"/>
      <c r="M676" s="8">
        <f>IF(COUNT(D676:L676)=0,"",MIN(D676:L676))</f>
        <v/>
      </c>
      <c r="N676" s="8">
        <f>IF(COUNT(D676:L676)=0,"",MEDIAN(D676:L676))</f>
        <v/>
      </c>
      <c r="O676" s="8">
        <f>IF(COUNT(D676:L676)=0,"",MAX(D676:L676))</f>
        <v/>
      </c>
      <c r="P676" s="9">
        <f>IF(OR(M676="",M676=0),"",(O676-M676)/M676)</f>
        <v/>
      </c>
      <c r="Q676" s="7">
        <f>IF(COUNT(D676:L676)=0,"",INDEX($D$1:$L$1,MATCH(MIN(D676:L676),D676:L676,0)))</f>
        <v/>
      </c>
      <c r="R676" s="8" t="n">
        <v>500</v>
      </c>
      <c r="S676" s="10" t="n">
        <v>1</v>
      </c>
    </row>
    <row r="677">
      <c r="A677" s="7" t="inlineStr">
        <is>
          <t>MAT-10-124</t>
        </is>
      </c>
      <c r="B677" s="4" t="inlineStr">
        <is>
          <t>Breaker enchufable 1P de 30 A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470.01</v>
      </c>
      <c r="K677" s="8" t="n"/>
      <c r="L677" s="8" t="n"/>
      <c r="M677" s="8">
        <f>IF(COUNT(D677:L677)=0,"",MIN(D677:L677))</f>
        <v/>
      </c>
      <c r="N677" s="8">
        <f>IF(COUNT(D677:L677)=0,"",MEDIAN(D677:L677))</f>
        <v/>
      </c>
      <c r="O677" s="8">
        <f>IF(COUNT(D677:L677)=0,"",MAX(D677:L677))</f>
        <v/>
      </c>
      <c r="P677" s="9">
        <f>IF(OR(M677="",M677=0),"",(O677-M677)/M677)</f>
        <v/>
      </c>
      <c r="Q677" s="7">
        <f>IF(COUNT(D677:L677)=0,"",INDEX($D$1:$L$1,MATCH(MIN(D677:L677),D677:L677,0)))</f>
        <v/>
      </c>
      <c r="R677" s="8" t="n">
        <v>470.01</v>
      </c>
      <c r="S677" s="10" t="n">
        <v>1</v>
      </c>
    </row>
    <row r="678">
      <c r="A678" s="7" t="inlineStr">
        <is>
          <t>MAT-10-125</t>
        </is>
      </c>
      <c r="B678" s="4" t="inlineStr">
        <is>
          <t>Breaker enchufable 1P de 30 A, formato fino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>
        <v>505</v>
      </c>
      <c r="K678" s="8" t="n"/>
      <c r="L678" s="8" t="n"/>
      <c r="M678" s="8">
        <f>IF(COUNT(D678:L678)=0,"",MIN(D678:L678))</f>
        <v/>
      </c>
      <c r="N678" s="8">
        <f>IF(COUNT(D678:L678)=0,"",MEDIAN(D678:L678))</f>
        <v/>
      </c>
      <c r="O678" s="8">
        <f>IF(COUNT(D678:L678)=0,"",MAX(D678:L678))</f>
        <v/>
      </c>
      <c r="P678" s="9">
        <f>IF(OR(M678="",M678=0),"",(O678-M678)/M678)</f>
        <v/>
      </c>
      <c r="Q678" s="7">
        <f>IF(COUNT(D678:L678)=0,"",INDEX($D$1:$L$1,MATCH(MIN(D678:L678),D678:L678,0)))</f>
        <v/>
      </c>
      <c r="R678" s="8" t="n">
        <v>505</v>
      </c>
      <c r="S678" s="10" t="n">
        <v>1</v>
      </c>
    </row>
    <row r="679">
      <c r="A679" s="7" t="inlineStr">
        <is>
          <t>MAT-10-126</t>
        </is>
      </c>
      <c r="B679" s="4" t="inlineStr">
        <is>
          <t>Breaker enchufable 1P de 40 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>
        <v>170</v>
      </c>
      <c r="I679" s="8" t="n"/>
      <c r="J679" s="8" t="n"/>
      <c r="K679" s="8" t="n"/>
      <c r="L679" s="8" t="n"/>
      <c r="M679" s="8">
        <f>IF(COUNT(D679:L679)=0,"",MIN(D679:L679))</f>
        <v/>
      </c>
      <c r="N679" s="8">
        <f>IF(COUNT(D679:L679)=0,"",MEDIAN(D679:L679))</f>
        <v/>
      </c>
      <c r="O679" s="8">
        <f>IF(COUNT(D679:L679)=0,"",MAX(D679:L679))</f>
        <v/>
      </c>
      <c r="P679" s="9">
        <f>IF(OR(M679="",M679=0),"",(O679-M679)/M679)</f>
        <v/>
      </c>
      <c r="Q679" s="7">
        <f>IF(COUNT(D679:L679)=0,"",INDEX($D$1:$L$1,MATCH(MIN(D679:L679),D679:L679,0)))</f>
        <v/>
      </c>
      <c r="R679" s="8" t="n">
        <v>170</v>
      </c>
      <c r="S679" s="10" t="n">
        <v>1</v>
      </c>
    </row>
    <row r="680">
      <c r="A680" s="7" t="inlineStr">
        <is>
          <t>MAT-10-127</t>
        </is>
      </c>
      <c r="B680" s="4" t="inlineStr">
        <is>
          <t>Breaker enchufable 1P de 60 A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815</v>
      </c>
      <c r="K680" s="8" t="n"/>
      <c r="L680" s="8" t="n"/>
      <c r="M680" s="8">
        <f>IF(COUNT(D680:L680)=0,"",MIN(D680:L680))</f>
        <v/>
      </c>
      <c r="N680" s="8">
        <f>IF(COUNT(D680:L680)=0,"",MEDIAN(D680:L680))</f>
        <v/>
      </c>
      <c r="O680" s="8">
        <f>IF(COUNT(D680:L680)=0,"",MAX(D680:L680))</f>
        <v/>
      </c>
      <c r="P680" s="9">
        <f>IF(OR(M680="",M680=0),"",(O680-M680)/M680)</f>
        <v/>
      </c>
      <c r="Q680" s="7">
        <f>IF(COUNT(D680:L680)=0,"",INDEX($D$1:$L$1,MATCH(MIN(D680:L680),D680:L680,0)))</f>
        <v/>
      </c>
      <c r="R680" s="8" t="n">
        <v>815</v>
      </c>
      <c r="S680" s="10" t="n">
        <v>1</v>
      </c>
    </row>
    <row r="681">
      <c r="A681" s="7" t="inlineStr">
        <is>
          <t>MAT-10-128</t>
        </is>
      </c>
      <c r="B681" s="4" t="inlineStr">
        <is>
          <t>Breaker enchufable 2P de 20 A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>
        <v>1134.99</v>
      </c>
      <c r="K681" s="8" t="n"/>
      <c r="L681" s="8" t="n"/>
      <c r="M681" s="8">
        <f>IF(COUNT(D681:L681)=0,"",MIN(D681:L681))</f>
        <v/>
      </c>
      <c r="N681" s="8">
        <f>IF(COUNT(D681:L681)=0,"",MEDIAN(D681:L681))</f>
        <v/>
      </c>
      <c r="O681" s="8">
        <f>IF(COUNT(D681:L681)=0,"",MAX(D681:L681))</f>
        <v/>
      </c>
      <c r="P681" s="9">
        <f>IF(OR(M681="",M681=0),"",(O681-M681)/M681)</f>
        <v/>
      </c>
      <c r="Q681" s="7">
        <f>IF(COUNT(D681:L681)=0,"",INDEX($D$1:$L$1,MATCH(MIN(D681:L681),D681:L681,0)))</f>
        <v/>
      </c>
      <c r="R681" s="8" t="n">
        <v>1134.99</v>
      </c>
      <c r="S681" s="10" t="n">
        <v>1</v>
      </c>
    </row>
    <row r="682">
      <c r="A682" s="7" t="inlineStr">
        <is>
          <t>MAT-10-129</t>
        </is>
      </c>
      <c r="B682" s="4" t="inlineStr">
        <is>
          <t>Breaker enchufable 2P de 20 A, formato fino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1195</v>
      </c>
      <c r="K682" s="8" t="n"/>
      <c r="L682" s="8" t="n"/>
      <c r="M682" s="8">
        <f>IF(COUNT(D682:L682)=0,"",MIN(D682:L682))</f>
        <v/>
      </c>
      <c r="N682" s="8">
        <f>IF(COUNT(D682:L682)=0,"",MEDIAN(D682:L682))</f>
        <v/>
      </c>
      <c r="O682" s="8">
        <f>IF(COUNT(D682:L682)=0,"",MAX(D682:L682))</f>
        <v/>
      </c>
      <c r="P682" s="9">
        <f>IF(OR(M682="",M682=0),"",(O682-M682)/M682)</f>
        <v/>
      </c>
      <c r="Q682" s="7">
        <f>IF(COUNT(D682:L682)=0,"",INDEX($D$1:$L$1,MATCH(MIN(D682:L682),D682:L682,0)))</f>
        <v/>
      </c>
      <c r="R682" s="8" t="n">
        <v>1195</v>
      </c>
      <c r="S682" s="10" t="n">
        <v>1</v>
      </c>
    </row>
    <row r="683">
      <c r="A683" s="7" t="inlineStr">
        <is>
          <t>MAT-10-130</t>
        </is>
      </c>
      <c r="B683" s="4" t="inlineStr">
        <is>
          <t>Breaker enchufable 2P de 30 A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1134.99</v>
      </c>
      <c r="K683" s="8" t="n"/>
      <c r="L683" s="8" t="n"/>
      <c r="M683" s="8">
        <f>IF(COUNT(D683:L683)=0,"",MIN(D683:L683))</f>
        <v/>
      </c>
      <c r="N683" s="8">
        <f>IF(COUNT(D683:L683)=0,"",MEDIAN(D683:L683))</f>
        <v/>
      </c>
      <c r="O683" s="8">
        <f>IF(COUNT(D683:L683)=0,"",MAX(D683:L683))</f>
        <v/>
      </c>
      <c r="P683" s="9">
        <f>IF(OR(M683="",M683=0),"",(O683-M683)/M683)</f>
        <v/>
      </c>
      <c r="Q683" s="7">
        <f>IF(COUNT(D683:L683)=0,"",INDEX($D$1:$L$1,MATCH(MIN(D683:L683),D683:L683,0)))</f>
        <v/>
      </c>
      <c r="R683" s="8" t="n">
        <v>1134.99</v>
      </c>
      <c r="S683" s="10" t="n">
        <v>1</v>
      </c>
    </row>
    <row r="684">
      <c r="A684" s="7" t="inlineStr">
        <is>
          <t>MAT-10-131</t>
        </is>
      </c>
      <c r="B684" s="4" t="inlineStr">
        <is>
          <t>Breaker enchufable 2P de 30 A, formato fino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1165</v>
      </c>
      <c r="K684" s="8" t="n"/>
      <c r="L684" s="8" t="n"/>
      <c r="M684" s="8">
        <f>IF(COUNT(D684:L684)=0,"",MIN(D684:L684))</f>
        <v/>
      </c>
      <c r="N684" s="8">
        <f>IF(COUNT(D684:L684)=0,"",MEDIAN(D684:L684))</f>
        <v/>
      </c>
      <c r="O684" s="8">
        <f>IF(COUNT(D684:L684)=0,"",MAX(D684:L684))</f>
        <v/>
      </c>
      <c r="P684" s="9">
        <f>IF(OR(M684="",M684=0),"",(O684-M684)/M684)</f>
        <v/>
      </c>
      <c r="Q684" s="7">
        <f>IF(COUNT(D684:L684)=0,"",INDEX($D$1:$L$1,MATCH(MIN(D684:L684),D684:L684,0)))</f>
        <v/>
      </c>
      <c r="R684" s="8" t="n">
        <v>1165</v>
      </c>
      <c r="S684" s="10" t="n">
        <v>1</v>
      </c>
    </row>
    <row r="685">
      <c r="A685" s="7" t="inlineStr">
        <is>
          <t>MAT-10-132</t>
        </is>
      </c>
      <c r="B685" s="4" t="inlineStr">
        <is>
          <t>Breaker enchufable 2P de 40 A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1134.99</v>
      </c>
      <c r="K685" s="8" t="n"/>
      <c r="L685" s="8" t="n"/>
      <c r="M685" s="8">
        <f>IF(COUNT(D685:L685)=0,"",MIN(D685:L685))</f>
        <v/>
      </c>
      <c r="N685" s="8">
        <f>IF(COUNT(D685:L685)=0,"",MEDIAN(D685:L685))</f>
        <v/>
      </c>
      <c r="O685" s="8">
        <f>IF(COUNT(D685:L685)=0,"",MAX(D685:L685))</f>
        <v/>
      </c>
      <c r="P685" s="9">
        <f>IF(OR(M685="",M685=0),"",(O685-M685)/M685)</f>
        <v/>
      </c>
      <c r="Q685" s="7">
        <f>IF(COUNT(D685:L685)=0,"",INDEX($D$1:$L$1,MATCH(MIN(D685:L685),D685:L685,0)))</f>
        <v/>
      </c>
      <c r="R685" s="8" t="n">
        <v>1134.99</v>
      </c>
      <c r="S685" s="10" t="n">
        <v>1</v>
      </c>
    </row>
    <row r="686">
      <c r="A686" s="7" t="inlineStr">
        <is>
          <t>MAT-10-133</t>
        </is>
      </c>
      <c r="B686" s="4" t="inlineStr">
        <is>
          <t>Breaker enchufable 2P de 60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1189.99</v>
      </c>
      <c r="K686" s="8" t="n"/>
      <c r="L686" s="8" t="n"/>
      <c r="M686" s="8">
        <f>IF(COUNT(D686:L686)=0,"",MIN(D686:L686))</f>
        <v/>
      </c>
      <c r="N686" s="8">
        <f>IF(COUNT(D686:L686)=0,"",MEDIAN(D686:L686))</f>
        <v/>
      </c>
      <c r="O686" s="8">
        <f>IF(COUNT(D686:L686)=0,"",MAX(D686:L686))</f>
        <v/>
      </c>
      <c r="P686" s="9">
        <f>IF(OR(M686="",M686=0),"",(O686-M686)/M686)</f>
        <v/>
      </c>
      <c r="Q686" s="7">
        <f>IF(COUNT(D686:L686)=0,"",INDEX($D$1:$L$1,MATCH(MIN(D686:L686),D686:L686,0)))</f>
        <v/>
      </c>
      <c r="R686" s="8" t="n">
        <v>1189.99</v>
      </c>
      <c r="S686" s="10" t="n">
        <v>1</v>
      </c>
    </row>
    <row r="687">
      <c r="A687" s="7" t="inlineStr">
        <is>
          <t>MAT-10-134</t>
        </is>
      </c>
      <c r="B687" s="4" t="inlineStr">
        <is>
          <t>Panel de breakers de 16 espacios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4755</v>
      </c>
      <c r="K687" s="8" t="n"/>
      <c r="L687" s="8" t="n"/>
      <c r="M687" s="8">
        <f>IF(COUNT(D687:L687)=0,"",MIN(D687:L687))</f>
        <v/>
      </c>
      <c r="N687" s="8">
        <f>IF(COUNT(D687:L687)=0,"",MEDIAN(D687:L687))</f>
        <v/>
      </c>
      <c r="O687" s="8">
        <f>IF(COUNT(D687:L687)=0,"",MAX(D687:L687))</f>
        <v/>
      </c>
      <c r="P687" s="9">
        <f>IF(OR(M687="",M687=0),"",(O687-M687)/M687)</f>
        <v/>
      </c>
      <c r="Q687" s="7">
        <f>IF(COUNT(D687:L687)=0,"",INDEX($D$1:$L$1,MATCH(MIN(D687:L687),D687:L687,0)))</f>
        <v/>
      </c>
      <c r="R687" s="8" t="n">
        <v>4755</v>
      </c>
      <c r="S687" s="10" t="n">
        <v>1</v>
      </c>
    </row>
    <row r="688">
      <c r="A688" s="7" t="inlineStr">
        <is>
          <t>MAT-10-135</t>
        </is>
      </c>
      <c r="B688" s="4" t="inlineStr">
        <is>
          <t>Panel de breakers de 8 espacios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>
        <v>566</v>
      </c>
      <c r="K688" s="8" t="n"/>
      <c r="L688" s="8" t="n"/>
      <c r="M688" s="8">
        <f>IF(COUNT(D688:L688)=0,"",MIN(D688:L688))</f>
        <v/>
      </c>
      <c r="N688" s="8">
        <f>IF(COUNT(D688:L688)=0,"",MEDIAN(D688:L688))</f>
        <v/>
      </c>
      <c r="O688" s="8">
        <f>IF(COUNT(D688:L688)=0,"",MAX(D688:L688))</f>
        <v/>
      </c>
      <c r="P688" s="9">
        <f>IF(OR(M688="",M688=0),"",(O688-M688)/M688)</f>
        <v/>
      </c>
      <c r="Q688" s="7">
        <f>IF(COUNT(D688:L688)=0,"",INDEX($D$1:$L$1,MATCH(MIN(D688:L688),D688:L688,0)))</f>
        <v/>
      </c>
      <c r="R688" s="8" t="n">
        <v>566</v>
      </c>
      <c r="S688" s="10" t="n">
        <v>1</v>
      </c>
    </row>
    <row r="689">
      <c r="A689" s="7" t="inlineStr">
        <is>
          <t>MAT-10-136</t>
        </is>
      </c>
      <c r="B689" s="4" t="inlineStr">
        <is>
          <t>Caja de breaker principal de 125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6160</v>
      </c>
      <c r="K689" s="8" t="n"/>
      <c r="L689" s="8" t="n"/>
      <c r="M689" s="8">
        <f>IF(COUNT(D689:L689)=0,"",MIN(D689:L689))</f>
        <v/>
      </c>
      <c r="N689" s="8">
        <f>IF(COUNT(D689:L689)=0,"",MEDIAN(D689:L689))</f>
        <v/>
      </c>
      <c r="O689" s="8">
        <f>IF(COUNT(D689:L689)=0,"",MAX(D689:L689))</f>
        <v/>
      </c>
      <c r="P689" s="9">
        <f>IF(OR(M689="",M689=0),"",(O689-M689)/M689)</f>
        <v/>
      </c>
      <c r="Q689" s="7">
        <f>IF(COUNT(D689:L689)=0,"",INDEX($D$1:$L$1,MATCH(MIN(D689:L689),D689:L689,0)))</f>
        <v/>
      </c>
      <c r="R689" s="8" t="n">
        <v>6160</v>
      </c>
      <c r="S689" s="10" t="n">
        <v>1</v>
      </c>
    </row>
    <row r="690">
      <c r="A690" s="7" t="inlineStr">
        <is>
          <t>MAT-10-137</t>
        </is>
      </c>
      <c r="B690" s="4" t="inlineStr">
        <is>
          <t>Caja de breaker principal de 25 A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815</v>
      </c>
      <c r="K690" s="8" t="n"/>
      <c r="L690" s="8" t="n"/>
      <c r="M690" s="8">
        <f>IF(COUNT(D690:L690)=0,"",MIN(D690:L690))</f>
        <v/>
      </c>
      <c r="N690" s="8">
        <f>IF(COUNT(D690:L690)=0,"",MEDIAN(D690:L690))</f>
        <v/>
      </c>
      <c r="O690" s="8">
        <f>IF(COUNT(D690:L690)=0,"",MAX(D690:L690))</f>
        <v/>
      </c>
      <c r="P690" s="9">
        <f>IF(OR(M690="",M690=0),"",(O690-M690)/M690)</f>
        <v/>
      </c>
      <c r="Q690" s="7">
        <f>IF(COUNT(D690:L690)=0,"",INDEX($D$1:$L$1,MATCH(MIN(D690:L690),D690:L690,0)))</f>
        <v/>
      </c>
      <c r="R690" s="8" t="n">
        <v>815</v>
      </c>
      <c r="S690" s="10" t="n">
        <v>1</v>
      </c>
    </row>
    <row r="691">
      <c r="A691" s="7" t="inlineStr">
        <is>
          <t>MAT-10-138</t>
        </is>
      </c>
      <c r="B691" s="4" t="inlineStr">
        <is>
          <t>Caja de breaker principal de 32 A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700</v>
      </c>
      <c r="K691" s="8" t="n"/>
      <c r="L691" s="8" t="n"/>
      <c r="M691" s="8">
        <f>IF(COUNT(D691:L691)=0,"",MIN(D691:L691))</f>
        <v/>
      </c>
      <c r="N691" s="8">
        <f>IF(COUNT(D691:L691)=0,"",MEDIAN(D691:L691))</f>
        <v/>
      </c>
      <c r="O691" s="8">
        <f>IF(COUNT(D691:L691)=0,"",MAX(D691:L691))</f>
        <v/>
      </c>
      <c r="P691" s="9">
        <f>IF(OR(M691="",M691=0),"",(O691-M691)/M691)</f>
        <v/>
      </c>
      <c r="Q691" s="7">
        <f>IF(COUNT(D691:L691)=0,"",INDEX($D$1:$L$1,MATCH(MIN(D691:L691),D691:L691,0)))</f>
        <v/>
      </c>
      <c r="R691" s="8" t="n">
        <v>700</v>
      </c>
      <c r="S691" s="10" t="n">
        <v>1</v>
      </c>
    </row>
    <row r="692">
      <c r="A692" s="7" t="inlineStr">
        <is>
          <t>MAT-10-139</t>
        </is>
      </c>
      <c r="B692" s="4" t="inlineStr">
        <is>
          <t>Switch de doble tiro 2P de 30 A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>
        <v>675</v>
      </c>
      <c r="K692" s="8" t="n"/>
      <c r="L692" s="8" t="n"/>
      <c r="M692" s="8">
        <f>IF(COUNT(D692:L692)=0,"",MIN(D692:L692))</f>
        <v/>
      </c>
      <c r="N692" s="8">
        <f>IF(COUNT(D692:L692)=0,"",MEDIAN(D692:L692))</f>
        <v/>
      </c>
      <c r="O692" s="8">
        <f>IF(COUNT(D692:L692)=0,"",MAX(D692:L692))</f>
        <v/>
      </c>
      <c r="P692" s="9">
        <f>IF(OR(M692="",M692=0),"",(O692-M692)/M692)</f>
        <v/>
      </c>
      <c r="Q692" s="7">
        <f>IF(COUNT(D692:L692)=0,"",INDEX($D$1:$L$1,MATCH(MIN(D692:L692),D692:L692,0)))</f>
        <v/>
      </c>
      <c r="R692" s="8" t="n">
        <v>675</v>
      </c>
      <c r="S692" s="10" t="n">
        <v>1</v>
      </c>
    </row>
    <row r="693">
      <c r="A693" s="7" t="inlineStr">
        <is>
          <t>MAT-10-140</t>
        </is>
      </c>
      <c r="B693" s="4" t="inlineStr">
        <is>
          <t>Switch de doble tiro 2P de 60 A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>
        <v>1805</v>
      </c>
      <c r="K693" s="8" t="n"/>
      <c r="L693" s="8" t="n"/>
      <c r="M693" s="8">
        <f>IF(COUNT(D693:L693)=0,"",MIN(D693:L693))</f>
        <v/>
      </c>
      <c r="N693" s="8">
        <f>IF(COUNT(D693:L693)=0,"",MEDIAN(D693:L693))</f>
        <v/>
      </c>
      <c r="O693" s="8">
        <f>IF(COUNT(D693:L693)=0,"",MAX(D693:L693))</f>
        <v/>
      </c>
      <c r="P693" s="9">
        <f>IF(OR(M693="",M693=0),"",(O693-M693)/M693)</f>
        <v/>
      </c>
      <c r="Q693" s="7">
        <f>IF(COUNT(D693:L693)=0,"",INDEX($D$1:$L$1,MATCH(MIN(D693:L693),D693:L693,0)))</f>
        <v/>
      </c>
      <c r="R693" s="8" t="n">
        <v>1805</v>
      </c>
      <c r="S693" s="10" t="n">
        <v>1</v>
      </c>
    </row>
    <row r="694">
      <c r="A694" s="7" t="inlineStr">
        <is>
          <t>MAT-10-141</t>
        </is>
      </c>
      <c r="B694" s="4" t="inlineStr">
        <is>
          <t>Fusible de 30 A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>
        <v>50</v>
      </c>
      <c r="K694" s="8" t="n"/>
      <c r="L694" s="8" t="n"/>
      <c r="M694" s="8">
        <f>IF(COUNT(D694:L694)=0,"",MIN(D694:L694))</f>
        <v/>
      </c>
      <c r="N694" s="8">
        <f>IF(COUNT(D694:L694)=0,"",MEDIAN(D694:L694))</f>
        <v/>
      </c>
      <c r="O694" s="8">
        <f>IF(COUNT(D694:L694)=0,"",MAX(D694:L694))</f>
        <v/>
      </c>
      <c r="P694" s="9">
        <f>IF(OR(M694="",M694=0),"",(O694-M694)/M694)</f>
        <v/>
      </c>
      <c r="Q694" s="7">
        <f>IF(COUNT(D694:L694)=0,"",INDEX($D$1:$L$1,MATCH(MIN(D694:L694),D694:L694,0)))</f>
        <v/>
      </c>
      <c r="R694" s="8" t="n">
        <v>50</v>
      </c>
      <c r="S694" s="10" t="n">
        <v>1</v>
      </c>
    </row>
    <row r="695">
      <c r="A695" s="7" t="inlineStr">
        <is>
          <t>MAT-10-142</t>
        </is>
      </c>
      <c r="B695" s="4" t="inlineStr">
        <is>
          <t>Fusible de 60 A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140</v>
      </c>
      <c r="K695" s="8" t="n"/>
      <c r="L695" s="8" t="n"/>
      <c r="M695" s="8">
        <f>IF(COUNT(D695:L695)=0,"",MIN(D695:L695))</f>
        <v/>
      </c>
      <c r="N695" s="8">
        <f>IF(COUNT(D695:L695)=0,"",MEDIAN(D695:L695))</f>
        <v/>
      </c>
      <c r="O695" s="8">
        <f>IF(COUNT(D695:L695)=0,"",MAX(D695:L695))</f>
        <v/>
      </c>
      <c r="P695" s="9">
        <f>IF(OR(M695="",M695=0),"",(O695-M695)/M695)</f>
        <v/>
      </c>
      <c r="Q695" s="7">
        <f>IF(COUNT(D695:L695)=0,"",INDEX($D$1:$L$1,MATCH(MIN(D695:L695),D695:L695,0)))</f>
        <v/>
      </c>
      <c r="R695" s="8" t="n">
        <v>140</v>
      </c>
      <c r="S695" s="10" t="n">
        <v>1</v>
      </c>
    </row>
    <row r="696">
      <c r="A696" s="7" t="inlineStr">
        <is>
          <t>MAT-10-143</t>
        </is>
      </c>
      <c r="B696" s="4" t="inlineStr">
        <is>
          <t>Protector de voltaje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745</v>
      </c>
      <c r="K696" s="8" t="n"/>
      <c r="L696" s="8" t="n"/>
      <c r="M696" s="8">
        <f>IF(COUNT(D696:L696)=0,"",MIN(D696:L696))</f>
        <v/>
      </c>
      <c r="N696" s="8">
        <f>IF(COUNT(D696:L696)=0,"",MEDIAN(D696:L696))</f>
        <v/>
      </c>
      <c r="O696" s="8">
        <f>IF(COUNT(D696:L696)=0,"",MAX(D696:L696))</f>
        <v/>
      </c>
      <c r="P696" s="9">
        <f>IF(OR(M696="",M696=0),"",(O696-M696)/M696)</f>
        <v/>
      </c>
      <c r="Q696" s="7">
        <f>IF(COUNT(D696:L696)=0,"",INDEX($D$1:$L$1,MATCH(MIN(D696:L696),D696:L696,0)))</f>
        <v/>
      </c>
      <c r="R696" s="8" t="n">
        <v>950.01</v>
      </c>
      <c r="S696" s="10" t="n">
        <v>1</v>
      </c>
    </row>
    <row r="697">
      <c r="A697" s="7" t="inlineStr">
        <is>
          <t>MAT-10-144</t>
        </is>
      </c>
      <c r="B697" s="4" t="inlineStr">
        <is>
          <t>Regulador de voltaje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1395</v>
      </c>
      <c r="K697" s="8" t="n"/>
      <c r="L697" s="8" t="n"/>
      <c r="M697" s="8">
        <f>IF(COUNT(D697:L697)=0,"",MIN(D697:L697))</f>
        <v/>
      </c>
      <c r="N697" s="8">
        <f>IF(COUNT(D697:L697)=0,"",MEDIAN(D697:L697))</f>
        <v/>
      </c>
      <c r="O697" s="8">
        <f>IF(COUNT(D697:L697)=0,"",MAX(D697:L697))</f>
        <v/>
      </c>
      <c r="P697" s="9">
        <f>IF(OR(M697="",M697=0),"",(O697-M697)/M697)</f>
        <v/>
      </c>
      <c r="Q697" s="7">
        <f>IF(COUNT(D697:L697)=0,"",INDEX($D$1:$L$1,MATCH(MIN(D697:L697),D697:L697,0)))</f>
        <v/>
      </c>
      <c r="R697" s="8" t="n">
        <v>1395</v>
      </c>
      <c r="S697" s="10" t="n">
        <v>1</v>
      </c>
    </row>
    <row r="698">
      <c r="A698" s="7" t="inlineStr">
        <is>
          <t>MAT-10-145</t>
        </is>
      </c>
      <c r="B698" s="4" t="inlineStr">
        <is>
          <t>Tubo eléctrico EMT 1 1/2" x 10 pies</t>
        </is>
      </c>
      <c r="C698" s="7" t="inlineStr">
        <is>
          <t>tubo</t>
        </is>
      </c>
      <c r="D698" s="8" t="n"/>
      <c r="E698" s="8" t="n"/>
      <c r="F698" s="8" t="n"/>
      <c r="G698" s="8" t="n"/>
      <c r="H698" s="8" t="n"/>
      <c r="I698" s="8" t="n"/>
      <c r="J698" s="8" t="n">
        <v>725</v>
      </c>
      <c r="K698" s="8" t="n"/>
      <c r="L698" s="8" t="n"/>
      <c r="M698" s="8">
        <f>IF(COUNT(D698:L698)=0,"",MIN(D698:L698))</f>
        <v/>
      </c>
      <c r="N698" s="8">
        <f>IF(COUNT(D698:L698)=0,"",MEDIAN(D698:L698))</f>
        <v/>
      </c>
      <c r="O698" s="8">
        <f>IF(COUNT(D698:L698)=0,"",MAX(D698:L698))</f>
        <v/>
      </c>
      <c r="P698" s="9">
        <f>IF(OR(M698="",M698=0),"",(O698-M698)/M698)</f>
        <v/>
      </c>
      <c r="Q698" s="7">
        <f>IF(COUNT(D698:L698)=0,"",INDEX($D$1:$L$1,MATCH(MIN(D698:L698),D698:L698,0)))</f>
        <v/>
      </c>
      <c r="R698" s="8" t="n">
        <v>725</v>
      </c>
      <c r="S698" s="10" t="n">
        <v>1</v>
      </c>
    </row>
    <row r="699">
      <c r="A699" s="7" t="inlineStr">
        <is>
          <t>MAT-10-146</t>
        </is>
      </c>
      <c r="B699" s="4" t="inlineStr">
        <is>
          <t>Tubo eléctrico EMT 1" x 10 pies</t>
        </is>
      </c>
      <c r="C699" s="7" t="inlineStr">
        <is>
          <t>tubo</t>
        </is>
      </c>
      <c r="D699" s="8" t="n"/>
      <c r="E699" s="8" t="n"/>
      <c r="F699" s="8" t="n"/>
      <c r="G699" s="8" t="n"/>
      <c r="H699" s="8" t="n"/>
      <c r="I699" s="8" t="n"/>
      <c r="J699" s="8" t="n">
        <v>375</v>
      </c>
      <c r="K699" s="8" t="n"/>
      <c r="L699" s="8" t="n"/>
      <c r="M699" s="8">
        <f>IF(COUNT(D699:L699)=0,"",MIN(D699:L699))</f>
        <v/>
      </c>
      <c r="N699" s="8">
        <f>IF(COUNT(D699:L699)=0,"",MEDIAN(D699:L699))</f>
        <v/>
      </c>
      <c r="O699" s="8">
        <f>IF(COUNT(D699:L699)=0,"",MAX(D699:L699))</f>
        <v/>
      </c>
      <c r="P699" s="9">
        <f>IF(OR(M699="",M699=0),"",(O699-M699)/M699)</f>
        <v/>
      </c>
      <c r="Q699" s="7">
        <f>IF(COUNT(D699:L699)=0,"",INDEX($D$1:$L$1,MATCH(MIN(D699:L699),D699:L699,0)))</f>
        <v/>
      </c>
      <c r="R699" s="8" t="n">
        <v>375</v>
      </c>
      <c r="S699" s="10" t="n">
        <v>1</v>
      </c>
    </row>
    <row r="700">
      <c r="A700" s="7" t="inlineStr">
        <is>
          <t>MAT-10-147</t>
        </is>
      </c>
      <c r="B700" s="4" t="inlineStr">
        <is>
          <t>Tubo eléctrico EMT 3/4" x 10 pies</t>
        </is>
      </c>
      <c r="C700" s="7" t="inlineStr">
        <is>
          <t>tubo</t>
        </is>
      </c>
      <c r="D700" s="8" t="n"/>
      <c r="E700" s="8" t="n"/>
      <c r="F700" s="8" t="n"/>
      <c r="G700" s="8" t="n"/>
      <c r="H700" s="8" t="n"/>
      <c r="I700" s="8" t="n"/>
      <c r="J700" s="8" t="n">
        <v>310</v>
      </c>
      <c r="K700" s="8" t="n"/>
      <c r="L700" s="8" t="n"/>
      <c r="M700" s="8">
        <f>IF(COUNT(D700:L700)=0,"",MIN(D700:L700))</f>
        <v/>
      </c>
      <c r="N700" s="8">
        <f>IF(COUNT(D700:L700)=0,"",MEDIAN(D700:L700))</f>
        <v/>
      </c>
      <c r="O700" s="8">
        <f>IF(COUNT(D700:L700)=0,"",MAX(D700:L700))</f>
        <v/>
      </c>
      <c r="P700" s="9">
        <f>IF(OR(M700="",M700=0),"",(O700-M700)/M700)</f>
        <v/>
      </c>
      <c r="Q700" s="7">
        <f>IF(COUNT(D700:L700)=0,"",INDEX($D$1:$L$1,MATCH(MIN(D700:L700),D700:L700,0)))</f>
        <v/>
      </c>
      <c r="R700" s="8" t="n">
        <v>310</v>
      </c>
      <c r="S700" s="10" t="n">
        <v>1</v>
      </c>
    </row>
    <row r="701">
      <c r="A701" s="7" t="inlineStr">
        <is>
          <t>MAT-10-148</t>
        </is>
      </c>
      <c r="B701" s="4" t="inlineStr">
        <is>
          <t>Tubería flexible BX 1/2"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25</v>
      </c>
      <c r="K701" s="8" t="n"/>
      <c r="L701" s="8" t="n"/>
      <c r="M701" s="8">
        <f>IF(COUNT(D701:L701)=0,"",MIN(D701:L701))</f>
        <v/>
      </c>
      <c r="N701" s="8">
        <f>IF(COUNT(D701:L701)=0,"",MEDIAN(D701:L701))</f>
        <v/>
      </c>
      <c r="O701" s="8">
        <f>IF(COUNT(D701:L701)=0,"",MAX(D701:L701))</f>
        <v/>
      </c>
      <c r="P701" s="9">
        <f>IF(OR(M701="",M701=0),"",(O701-M701)/M701)</f>
        <v/>
      </c>
      <c r="Q701" s="7">
        <f>IF(COUNT(D701:L701)=0,"",INDEX($D$1:$L$1,MATCH(MIN(D701:L701),D701:L701,0)))</f>
        <v/>
      </c>
      <c r="R701" s="8" t="n">
        <v>25</v>
      </c>
      <c r="S701" s="10" t="n">
        <v>1</v>
      </c>
    </row>
    <row r="702">
      <c r="A702" s="7" t="inlineStr">
        <is>
          <t>MAT-10-149</t>
        </is>
      </c>
      <c r="B702" s="4" t="inlineStr">
        <is>
          <t>Tubería flexible BX 3/4"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35</v>
      </c>
      <c r="K702" s="8" t="n"/>
      <c r="L702" s="8" t="n"/>
      <c r="M702" s="8">
        <f>IF(COUNT(D702:L702)=0,"",MIN(D702:L702))</f>
        <v/>
      </c>
      <c r="N702" s="8">
        <f>IF(COUNT(D702:L702)=0,"",MEDIAN(D702:L702))</f>
        <v/>
      </c>
      <c r="O702" s="8">
        <f>IF(COUNT(D702:L702)=0,"",MAX(D702:L702))</f>
        <v/>
      </c>
      <c r="P702" s="9">
        <f>IF(OR(M702="",M702=0),"",(O702-M702)/M702)</f>
        <v/>
      </c>
      <c r="Q702" s="7">
        <f>IF(COUNT(D702:L702)=0,"",INDEX($D$1:$L$1,MATCH(MIN(D702:L702),D702:L702,0)))</f>
        <v/>
      </c>
      <c r="R702" s="8" t="n">
        <v>35</v>
      </c>
      <c r="S702" s="10" t="n">
        <v>1</v>
      </c>
    </row>
    <row r="703">
      <c r="A703" s="7" t="inlineStr">
        <is>
          <t>MAT-10-150</t>
        </is>
      </c>
      <c r="B703" s="4" t="inlineStr">
        <is>
          <t>Tubería flexible liquid tight 3/4"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>
        <v>45.01</v>
      </c>
      <c r="K703" s="8" t="n"/>
      <c r="L703" s="8" t="n"/>
      <c r="M703" s="8">
        <f>IF(COUNT(D703:L703)=0,"",MIN(D703:L703))</f>
        <v/>
      </c>
      <c r="N703" s="8">
        <f>IF(COUNT(D703:L703)=0,"",MEDIAN(D703:L703))</f>
        <v/>
      </c>
      <c r="O703" s="8">
        <f>IF(COUNT(D703:L703)=0,"",MAX(D703:L703))</f>
        <v/>
      </c>
      <c r="P703" s="9">
        <f>IF(OR(M703="",M703=0),"",(O703-M703)/M703)</f>
        <v/>
      </c>
      <c r="Q703" s="7">
        <f>IF(COUNT(D703:L703)=0,"",INDEX($D$1:$L$1,MATCH(MIN(D703:L703),D703:L703,0)))</f>
        <v/>
      </c>
      <c r="R703" s="8" t="n">
        <v>77.51000000000001</v>
      </c>
      <c r="S703" s="10" t="n">
        <v>1</v>
      </c>
    </row>
    <row r="704">
      <c r="A704" s="7" t="inlineStr">
        <is>
          <t>MAT-10-151</t>
        </is>
      </c>
      <c r="B704" s="4" t="inlineStr">
        <is>
          <t>Canaleta plástica 11 x 10 mm</t>
        </is>
      </c>
      <c r="C704" s="7" t="inlineStr">
        <is>
          <t>tramo</t>
        </is>
      </c>
      <c r="D704" s="8" t="n"/>
      <c r="E704" s="8" t="n"/>
      <c r="F704" s="8" t="n"/>
      <c r="G704" s="8" t="n"/>
      <c r="H704" s="8" t="n"/>
      <c r="I704" s="8" t="n"/>
      <c r="J704" s="8" t="n">
        <v>115</v>
      </c>
      <c r="K704" s="8" t="n"/>
      <c r="L704" s="8" t="n"/>
      <c r="M704" s="8">
        <f>IF(COUNT(D704:L704)=0,"",MIN(D704:L704))</f>
        <v/>
      </c>
      <c r="N704" s="8">
        <f>IF(COUNT(D704:L704)=0,"",MEDIAN(D704:L704))</f>
        <v/>
      </c>
      <c r="O704" s="8">
        <f>IF(COUNT(D704:L704)=0,"",MAX(D704:L704))</f>
        <v/>
      </c>
      <c r="P704" s="9">
        <f>IF(OR(M704="",M704=0),"",(O704-M704)/M704)</f>
        <v/>
      </c>
      <c r="Q704" s="7">
        <f>IF(COUNT(D704:L704)=0,"",INDEX($D$1:$L$1,MATCH(MIN(D704:L704),D704:L704,0)))</f>
        <v/>
      </c>
      <c r="R704" s="8" t="n">
        <v>115</v>
      </c>
      <c r="S704" s="10" t="n">
        <v>1</v>
      </c>
    </row>
    <row r="705">
      <c r="A705" s="7" t="inlineStr">
        <is>
          <t>MAT-10-152</t>
        </is>
      </c>
      <c r="B705" s="4" t="inlineStr">
        <is>
          <t>Canaleta plástica 15 x 10 mm</t>
        </is>
      </c>
      <c r="C705" s="7" t="inlineStr">
        <is>
          <t>tramo</t>
        </is>
      </c>
      <c r="D705" s="8" t="n"/>
      <c r="E705" s="8" t="n"/>
      <c r="F705" s="8" t="n"/>
      <c r="G705" s="8" t="n"/>
      <c r="H705" s="8" t="n"/>
      <c r="I705" s="8" t="n"/>
      <c r="J705" s="8" t="n">
        <v>119.99</v>
      </c>
      <c r="K705" s="8" t="n"/>
      <c r="L705" s="8" t="n"/>
      <c r="M705" s="8">
        <f>IF(COUNT(D705:L705)=0,"",MIN(D705:L705))</f>
        <v/>
      </c>
      <c r="N705" s="8">
        <f>IF(COUNT(D705:L705)=0,"",MEDIAN(D705:L705))</f>
        <v/>
      </c>
      <c r="O705" s="8">
        <f>IF(COUNT(D705:L705)=0,"",MAX(D705:L705))</f>
        <v/>
      </c>
      <c r="P705" s="9">
        <f>IF(OR(M705="",M705=0),"",(O705-M705)/M705)</f>
        <v/>
      </c>
      <c r="Q705" s="7">
        <f>IF(COUNT(D705:L705)=0,"",INDEX($D$1:$L$1,MATCH(MIN(D705:L705),D705:L705,0)))</f>
        <v/>
      </c>
      <c r="R705" s="8" t="n">
        <v>119.99</v>
      </c>
      <c r="S705" s="10" t="n">
        <v>1</v>
      </c>
    </row>
    <row r="706">
      <c r="A706" s="7" t="inlineStr">
        <is>
          <t>MAT-10-153</t>
        </is>
      </c>
      <c r="B706" s="4" t="inlineStr">
        <is>
          <t>Canaleta plástica 15 x 12 mm</t>
        </is>
      </c>
      <c r="C706" s="7" t="inlineStr">
        <is>
          <t>tramo</t>
        </is>
      </c>
      <c r="D706" s="8" t="n"/>
      <c r="E706" s="8" t="n"/>
      <c r="F706" s="8" t="n"/>
      <c r="G706" s="8" t="n"/>
      <c r="H706" s="8" t="n"/>
      <c r="I706" s="8" t="n"/>
      <c r="J706" s="8" t="n">
        <v>135</v>
      </c>
      <c r="K706" s="8" t="n"/>
      <c r="L706" s="8" t="n"/>
      <c r="M706" s="8">
        <f>IF(COUNT(D706:L706)=0,"",MIN(D706:L706))</f>
        <v/>
      </c>
      <c r="N706" s="8">
        <f>IF(COUNT(D706:L706)=0,"",MEDIAN(D706:L706))</f>
        <v/>
      </c>
      <c r="O706" s="8">
        <f>IF(COUNT(D706:L706)=0,"",MAX(D706:L706))</f>
        <v/>
      </c>
      <c r="P706" s="9">
        <f>IF(OR(M706="",M706=0),"",(O706-M706)/M706)</f>
        <v/>
      </c>
      <c r="Q706" s="7">
        <f>IF(COUNT(D706:L706)=0,"",INDEX($D$1:$L$1,MATCH(MIN(D706:L706),D706:L706,0)))</f>
        <v/>
      </c>
      <c r="R706" s="8" t="n">
        <v>135</v>
      </c>
      <c r="S706" s="10" t="n">
        <v>1</v>
      </c>
    </row>
    <row r="707">
      <c r="A707" s="7" t="inlineStr">
        <is>
          <t>MAT-10-154</t>
        </is>
      </c>
      <c r="B707" s="4" t="inlineStr">
        <is>
          <t>Canaleta plástica 20 x 10 mm</t>
        </is>
      </c>
      <c r="C707" s="7" t="inlineStr">
        <is>
          <t>tramo</t>
        </is>
      </c>
      <c r="D707" s="8" t="n"/>
      <c r="E707" s="8" t="n"/>
      <c r="F707" s="8" t="n"/>
      <c r="G707" s="8" t="n"/>
      <c r="H707" s="8" t="n"/>
      <c r="I707" s="8" t="n"/>
      <c r="J707" s="8" t="n">
        <v>150</v>
      </c>
      <c r="K707" s="8" t="n"/>
      <c r="L707" s="8" t="n"/>
      <c r="M707" s="8">
        <f>IF(COUNT(D707:L707)=0,"",MIN(D707:L707))</f>
        <v/>
      </c>
      <c r="N707" s="8">
        <f>IF(COUNT(D707:L707)=0,"",MEDIAN(D707:L707))</f>
        <v/>
      </c>
      <c r="O707" s="8">
        <f>IF(COUNT(D707:L707)=0,"",MAX(D707:L707))</f>
        <v/>
      </c>
      <c r="P707" s="9">
        <f>IF(OR(M707="",M707=0),"",(O707-M707)/M707)</f>
        <v/>
      </c>
      <c r="Q707" s="7">
        <f>IF(COUNT(D707:L707)=0,"",INDEX($D$1:$L$1,MATCH(MIN(D707:L707),D707:L707,0)))</f>
        <v/>
      </c>
      <c r="R707" s="8" t="n">
        <v>150</v>
      </c>
      <c r="S707" s="10" t="n">
        <v>1</v>
      </c>
    </row>
    <row r="708">
      <c r="A708" s="7" t="inlineStr">
        <is>
          <t>MAT-10-155</t>
        </is>
      </c>
      <c r="B708" s="4" t="inlineStr">
        <is>
          <t>Canaleta plástica 25 x 15 mm</t>
        </is>
      </c>
      <c r="C708" s="7" t="inlineStr">
        <is>
          <t>tramo</t>
        </is>
      </c>
      <c r="D708" s="8" t="n"/>
      <c r="E708" s="8" t="n"/>
      <c r="F708" s="8" t="n"/>
      <c r="G708" s="8" t="n"/>
      <c r="H708" s="8" t="n"/>
      <c r="I708" s="8" t="n"/>
      <c r="J708" s="8" t="n">
        <v>200</v>
      </c>
      <c r="K708" s="8" t="n"/>
      <c r="L708" s="8" t="n"/>
      <c r="M708" s="8">
        <f>IF(COUNT(D708:L708)=0,"",MIN(D708:L708))</f>
        <v/>
      </c>
      <c r="N708" s="8">
        <f>IF(COUNT(D708:L708)=0,"",MEDIAN(D708:L708))</f>
        <v/>
      </c>
      <c r="O708" s="8">
        <f>IF(COUNT(D708:L708)=0,"",MAX(D708:L708))</f>
        <v/>
      </c>
      <c r="P708" s="9">
        <f>IF(OR(M708="",M708=0),"",(O708-M708)/M708)</f>
        <v/>
      </c>
      <c r="Q708" s="7">
        <f>IF(COUNT(D708:L708)=0,"",INDEX($D$1:$L$1,MATCH(MIN(D708:L708),D708:L708,0)))</f>
        <v/>
      </c>
      <c r="R708" s="8" t="n">
        <v>200</v>
      </c>
      <c r="S708" s="10" t="n">
        <v>1</v>
      </c>
    </row>
    <row r="709">
      <c r="A709" s="7" t="inlineStr">
        <is>
          <t>MAT-10-156</t>
        </is>
      </c>
      <c r="B709" s="4" t="inlineStr">
        <is>
          <t>Canaleta plástica 32 x 15 mm</t>
        </is>
      </c>
      <c r="C709" s="7" t="inlineStr">
        <is>
          <t>tramo</t>
        </is>
      </c>
      <c r="D709" s="8" t="n"/>
      <c r="E709" s="8" t="n"/>
      <c r="F709" s="8" t="n"/>
      <c r="G709" s="8" t="n"/>
      <c r="H709" s="8" t="n"/>
      <c r="I709" s="8" t="n"/>
      <c r="J709" s="8" t="n">
        <v>215</v>
      </c>
      <c r="K709" s="8" t="n"/>
      <c r="L709" s="8" t="n"/>
      <c r="M709" s="8">
        <f>IF(COUNT(D709:L709)=0,"",MIN(D709:L709))</f>
        <v/>
      </c>
      <c r="N709" s="8">
        <f>IF(COUNT(D709:L709)=0,"",MEDIAN(D709:L709))</f>
        <v/>
      </c>
      <c r="O709" s="8">
        <f>IF(COUNT(D709:L709)=0,"",MAX(D709:L709))</f>
        <v/>
      </c>
      <c r="P709" s="9">
        <f>IF(OR(M709="",M709=0),"",(O709-M709)/M709)</f>
        <v/>
      </c>
      <c r="Q709" s="7">
        <f>IF(COUNT(D709:L709)=0,"",INDEX($D$1:$L$1,MATCH(MIN(D709:L709),D709:L709,0)))</f>
        <v/>
      </c>
      <c r="R709" s="8" t="n">
        <v>215</v>
      </c>
      <c r="S709" s="10" t="n">
        <v>1</v>
      </c>
    </row>
    <row r="710">
      <c r="A710" s="7" t="inlineStr">
        <is>
          <t>MAT-10-157</t>
        </is>
      </c>
      <c r="B710" s="4" t="inlineStr">
        <is>
          <t>Canaleta plástica 40 x 15 mm</t>
        </is>
      </c>
      <c r="C710" s="7" t="inlineStr">
        <is>
          <t>tramo</t>
        </is>
      </c>
      <c r="D710" s="8" t="n"/>
      <c r="E710" s="8" t="n"/>
      <c r="F710" s="8" t="n"/>
      <c r="G710" s="8" t="n"/>
      <c r="H710" s="8" t="n"/>
      <c r="I710" s="8" t="n"/>
      <c r="J710" s="8" t="n">
        <v>320</v>
      </c>
      <c r="K710" s="8" t="n"/>
      <c r="L710" s="8" t="n"/>
      <c r="M710" s="8">
        <f>IF(COUNT(D710:L710)=0,"",MIN(D710:L710))</f>
        <v/>
      </c>
      <c r="N710" s="8">
        <f>IF(COUNT(D710:L710)=0,"",MEDIAN(D710:L710))</f>
        <v/>
      </c>
      <c r="O710" s="8">
        <f>IF(COUNT(D710:L710)=0,"",MAX(D710:L710))</f>
        <v/>
      </c>
      <c r="P710" s="9">
        <f>IF(OR(M710="",M710=0),"",(O710-M710)/M710)</f>
        <v/>
      </c>
      <c r="Q710" s="7">
        <f>IF(COUNT(D710:L710)=0,"",INDEX($D$1:$L$1,MATCH(MIN(D710:L710),D710:L710,0)))</f>
        <v/>
      </c>
      <c r="R710" s="8" t="n">
        <v>320</v>
      </c>
      <c r="S710" s="10" t="n">
        <v>1</v>
      </c>
    </row>
    <row r="711">
      <c r="A711" s="7" t="inlineStr">
        <is>
          <t>MAT-10-158</t>
        </is>
      </c>
      <c r="B711" s="4" t="inlineStr">
        <is>
          <t>Canaleta plástica 60 x 40 mm</t>
        </is>
      </c>
      <c r="C711" s="7" t="inlineStr">
        <is>
          <t>tramo</t>
        </is>
      </c>
      <c r="D711" s="8" t="n"/>
      <c r="E711" s="8" t="n"/>
      <c r="F711" s="8" t="n"/>
      <c r="G711" s="8" t="n"/>
      <c r="H711" s="8" t="n"/>
      <c r="I711" s="8" t="n"/>
      <c r="J711" s="8" t="n">
        <v>550</v>
      </c>
      <c r="K711" s="8" t="n"/>
      <c r="L711" s="8" t="n"/>
      <c r="M711" s="8">
        <f>IF(COUNT(D711:L711)=0,"",MIN(D711:L711))</f>
        <v/>
      </c>
      <c r="N711" s="8">
        <f>IF(COUNT(D711:L711)=0,"",MEDIAN(D711:L711))</f>
        <v/>
      </c>
      <c r="O711" s="8">
        <f>IF(COUNT(D711:L711)=0,"",MAX(D711:L711))</f>
        <v/>
      </c>
      <c r="P711" s="9">
        <f>IF(OR(M711="",M711=0),"",(O711-M711)/M711)</f>
        <v/>
      </c>
      <c r="Q711" s="7">
        <f>IF(COUNT(D711:L711)=0,"",INDEX($D$1:$L$1,MATCH(MIN(D711:L711),D711:L711,0)))</f>
        <v/>
      </c>
      <c r="R711" s="8" t="n">
        <v>550</v>
      </c>
      <c r="S711" s="10" t="n">
        <v>1</v>
      </c>
    </row>
    <row r="712">
      <c r="A712" s="7" t="inlineStr">
        <is>
          <t>MAT-10-159</t>
        </is>
      </c>
      <c r="B712" s="4" t="inlineStr">
        <is>
          <t>Canaleta plástica 80 x 40 mm</t>
        </is>
      </c>
      <c r="C712" s="7" t="inlineStr">
        <is>
          <t>tramo</t>
        </is>
      </c>
      <c r="D712" s="8" t="n"/>
      <c r="E712" s="8" t="n"/>
      <c r="F712" s="8" t="n"/>
      <c r="G712" s="8" t="n"/>
      <c r="H712" s="8" t="n"/>
      <c r="I712" s="8" t="n"/>
      <c r="J712" s="8" t="n">
        <v>745</v>
      </c>
      <c r="K712" s="8" t="n"/>
      <c r="L712" s="8" t="n"/>
      <c r="M712" s="8">
        <f>IF(COUNT(D712:L712)=0,"",MIN(D712:L712))</f>
        <v/>
      </c>
      <c r="N712" s="8">
        <f>IF(COUNT(D712:L712)=0,"",MEDIAN(D712:L712))</f>
        <v/>
      </c>
      <c r="O712" s="8">
        <f>IF(COUNT(D712:L712)=0,"",MAX(D712:L712))</f>
        <v/>
      </c>
      <c r="P712" s="9">
        <f>IF(OR(M712="",M712=0),"",(O712-M712)/M712)</f>
        <v/>
      </c>
      <c r="Q712" s="7">
        <f>IF(COUNT(D712:L712)=0,"",INDEX($D$1:$L$1,MATCH(MIN(D712:L712),D712:L712,0)))</f>
        <v/>
      </c>
      <c r="R712" s="8" t="n">
        <v>745</v>
      </c>
      <c r="S712" s="10" t="n">
        <v>1</v>
      </c>
    </row>
    <row r="713">
      <c r="A713" s="7" t="inlineStr">
        <is>
          <t>MAT-10-160</t>
        </is>
      </c>
      <c r="B713" s="4" t="inlineStr">
        <is>
          <t>Caja eléctrica octagonal de metal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115</v>
      </c>
      <c r="K713" s="8" t="n"/>
      <c r="L713" s="8" t="n"/>
      <c r="M713" s="8">
        <f>IF(COUNT(D713:L713)=0,"",MIN(D713:L713))</f>
        <v/>
      </c>
      <c r="N713" s="8">
        <f>IF(COUNT(D713:L713)=0,"",MEDIAN(D713:L713))</f>
        <v/>
      </c>
      <c r="O713" s="8">
        <f>IF(COUNT(D713:L713)=0,"",MAX(D713:L713))</f>
        <v/>
      </c>
      <c r="P713" s="9">
        <f>IF(OR(M713="",M713=0),"",(O713-M713)/M713)</f>
        <v/>
      </c>
      <c r="Q713" s="7">
        <f>IF(COUNT(D713:L713)=0,"",INDEX($D$1:$L$1,MATCH(MIN(D713:L713),D713:L713,0)))</f>
        <v/>
      </c>
      <c r="R713" s="8" t="n">
        <v>115</v>
      </c>
      <c r="S713" s="10" t="n">
        <v>1</v>
      </c>
    </row>
    <row r="714">
      <c r="A714" s="7" t="inlineStr">
        <is>
          <t>MAT-10-161</t>
        </is>
      </c>
      <c r="B714" s="4" t="inlineStr">
        <is>
          <t>Caja eléctrica rectangular de metal 2 x 4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40</v>
      </c>
      <c r="K714" s="8" t="n"/>
      <c r="L714" s="8" t="n"/>
      <c r="M714" s="8">
        <f>IF(COUNT(D714:L714)=0,"",MIN(D714:L714))</f>
        <v/>
      </c>
      <c r="N714" s="8">
        <f>IF(COUNT(D714:L714)=0,"",MEDIAN(D714:L714))</f>
        <v/>
      </c>
      <c r="O714" s="8">
        <f>IF(COUNT(D714:L714)=0,"",MAX(D714:L714))</f>
        <v/>
      </c>
      <c r="P714" s="9">
        <f>IF(OR(M714="",M714=0),"",(O714-M714)/M714)</f>
        <v/>
      </c>
      <c r="Q714" s="7">
        <f>IF(COUNT(D714:L714)=0,"",INDEX($D$1:$L$1,MATCH(MIN(D714:L714),D714:L714,0)))</f>
        <v/>
      </c>
      <c r="R714" s="8" t="n">
        <v>40.5</v>
      </c>
      <c r="S714" s="10" t="n">
        <v>1</v>
      </c>
    </row>
    <row r="715">
      <c r="A715" s="7" t="inlineStr">
        <is>
          <t>MAT-10-162</t>
        </is>
      </c>
      <c r="B715" s="4" t="inlineStr">
        <is>
          <t>Caja eléctrica rectangular de PVC 2 x 4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45.01</v>
      </c>
      <c r="K715" s="8" t="n"/>
      <c r="L715" s="8" t="n"/>
      <c r="M715" s="8">
        <f>IF(COUNT(D715:L715)=0,"",MIN(D715:L715))</f>
        <v/>
      </c>
      <c r="N715" s="8">
        <f>IF(COUNT(D715:L715)=0,"",MEDIAN(D715:L715))</f>
        <v/>
      </c>
      <c r="O715" s="8">
        <f>IF(COUNT(D715:L715)=0,"",MAX(D715:L715))</f>
        <v/>
      </c>
      <c r="P715" s="9">
        <f>IF(OR(M715="",M715=0),"",(O715-M715)/M715)</f>
        <v/>
      </c>
      <c r="Q715" s="7">
        <f>IF(COUNT(D715:L715)=0,"",INDEX($D$1:$L$1,MATCH(MIN(D715:L715),D715:L715,0)))</f>
        <v/>
      </c>
      <c r="R715" s="8" t="n">
        <v>45.01</v>
      </c>
      <c r="S715" s="10" t="n">
        <v>1</v>
      </c>
    </row>
    <row r="716">
      <c r="A716" s="7" t="inlineStr">
        <is>
          <t>MAT-10-163</t>
        </is>
      </c>
      <c r="B716" s="4" t="inlineStr">
        <is>
          <t>Abrazadera para tubo eléctrico 1/2"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>
        <v>4</v>
      </c>
      <c r="K716" s="8" t="n"/>
      <c r="L716" s="8" t="n"/>
      <c r="M716" s="8">
        <f>IF(COUNT(D716:L716)=0,"",MIN(D716:L716))</f>
        <v/>
      </c>
      <c r="N716" s="8">
        <f>IF(COUNT(D716:L716)=0,"",MEDIAN(D716:L716))</f>
        <v/>
      </c>
      <c r="O716" s="8">
        <f>IF(COUNT(D716:L716)=0,"",MAX(D716:L716))</f>
        <v/>
      </c>
      <c r="P716" s="9">
        <f>IF(OR(M716="",M716=0),"",(O716-M716)/M716)</f>
        <v/>
      </c>
      <c r="Q716" s="7">
        <f>IF(COUNT(D716:L716)=0,"",INDEX($D$1:$L$1,MATCH(MIN(D716:L716),D716:L716,0)))</f>
        <v/>
      </c>
      <c r="R716" s="8" t="n">
        <v>4</v>
      </c>
      <c r="S716" s="10" t="n">
        <v>1</v>
      </c>
    </row>
    <row r="717">
      <c r="A717" s="7" t="inlineStr">
        <is>
          <t>MAT-10-164</t>
        </is>
      </c>
      <c r="B717" s="4" t="inlineStr">
        <is>
          <t>Abrazadera para tubo eléctrico 1/2", 2 huecos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5</v>
      </c>
      <c r="K717" s="8" t="n"/>
      <c r="L717" s="8" t="n"/>
      <c r="M717" s="8">
        <f>IF(COUNT(D717:L717)=0,"",MIN(D717:L717))</f>
        <v/>
      </c>
      <c r="N717" s="8">
        <f>IF(COUNT(D717:L717)=0,"",MEDIAN(D717:L717))</f>
        <v/>
      </c>
      <c r="O717" s="8">
        <f>IF(COUNT(D717:L717)=0,"",MAX(D717:L717))</f>
        <v/>
      </c>
      <c r="P717" s="9">
        <f>IF(OR(M717="",M717=0),"",(O717-M717)/M717)</f>
        <v/>
      </c>
      <c r="Q717" s="7">
        <f>IF(COUNT(D717:L717)=0,"",INDEX($D$1:$L$1,MATCH(MIN(D717:L717),D717:L717,0)))</f>
        <v/>
      </c>
      <c r="R717" s="8" t="n">
        <v>5</v>
      </c>
      <c r="S717" s="10" t="n">
        <v>1</v>
      </c>
    </row>
    <row r="718">
      <c r="A718" s="7" t="inlineStr">
        <is>
          <t>MAT-10-165</t>
        </is>
      </c>
      <c r="B718" s="4" t="inlineStr">
        <is>
          <t>Abrazadera para tubo eléctrico 1"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>
        <v>7</v>
      </c>
      <c r="K718" s="8" t="n"/>
      <c r="L718" s="8" t="n"/>
      <c r="M718" s="8">
        <f>IF(COUNT(D718:L718)=0,"",MIN(D718:L718))</f>
        <v/>
      </c>
      <c r="N718" s="8">
        <f>IF(COUNT(D718:L718)=0,"",MEDIAN(D718:L718))</f>
        <v/>
      </c>
      <c r="O718" s="8">
        <f>IF(COUNT(D718:L718)=0,"",MAX(D718:L718))</f>
        <v/>
      </c>
      <c r="P718" s="9">
        <f>IF(OR(M718="",M718=0),"",(O718-M718)/M718)</f>
        <v/>
      </c>
      <c r="Q718" s="7">
        <f>IF(COUNT(D718:L718)=0,"",INDEX($D$1:$L$1,MATCH(MIN(D718:L718),D718:L718,0)))</f>
        <v/>
      </c>
      <c r="R718" s="8" t="n">
        <v>7</v>
      </c>
      <c r="S718" s="10" t="n">
        <v>1</v>
      </c>
    </row>
    <row r="719">
      <c r="A719" s="7" t="inlineStr">
        <is>
          <t>MAT-10-166</t>
        </is>
      </c>
      <c r="B719" s="4" t="inlineStr">
        <is>
          <t>Abrazadera para tubo eléctrico 2"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>
        <v>35</v>
      </c>
      <c r="K719" s="8" t="n"/>
      <c r="L719" s="8" t="n"/>
      <c r="M719" s="8">
        <f>IF(COUNT(D719:L719)=0,"",MIN(D719:L719))</f>
        <v/>
      </c>
      <c r="N719" s="8">
        <f>IF(COUNT(D719:L719)=0,"",MEDIAN(D719:L719))</f>
        <v/>
      </c>
      <c r="O719" s="8">
        <f>IF(COUNT(D719:L719)=0,"",MAX(D719:L719))</f>
        <v/>
      </c>
      <c r="P719" s="9">
        <f>IF(OR(M719="",M719=0),"",(O719-M719)/M719)</f>
        <v/>
      </c>
      <c r="Q719" s="7">
        <f>IF(COUNT(D719:L719)=0,"",INDEX($D$1:$L$1,MATCH(MIN(D719:L719),D719:L719,0)))</f>
        <v/>
      </c>
      <c r="R719" s="8" t="n">
        <v>35</v>
      </c>
      <c r="S719" s="10" t="n">
        <v>1</v>
      </c>
    </row>
    <row r="720">
      <c r="A720" s="7" t="inlineStr">
        <is>
          <t>MAT-10-167</t>
        </is>
      </c>
      <c r="B720" s="4" t="inlineStr">
        <is>
          <t>Abrazadera para tubo eléctrico 3/4"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4</v>
      </c>
      <c r="K720" s="8" t="n"/>
      <c r="L720" s="8" t="n"/>
      <c r="M720" s="8">
        <f>IF(COUNT(D720:L720)=0,"",MIN(D720:L720))</f>
        <v/>
      </c>
      <c r="N720" s="8">
        <f>IF(COUNT(D720:L720)=0,"",MEDIAN(D720:L720))</f>
        <v/>
      </c>
      <c r="O720" s="8">
        <f>IF(COUNT(D720:L720)=0,"",MAX(D720:L720))</f>
        <v/>
      </c>
      <c r="P720" s="9">
        <f>IF(OR(M720="",M720=0),"",(O720-M720)/M720)</f>
        <v/>
      </c>
      <c r="Q720" s="7">
        <f>IF(COUNT(D720:L720)=0,"",INDEX($D$1:$L$1,MATCH(MIN(D720:L720),D720:L720,0)))</f>
        <v/>
      </c>
      <c r="R720" s="8" t="n">
        <v>4</v>
      </c>
      <c r="S720" s="10" t="n">
        <v>1</v>
      </c>
    </row>
    <row r="721">
      <c r="A721" s="7" t="inlineStr">
        <is>
          <t>MAT-10-168</t>
        </is>
      </c>
      <c r="B721" s="4" t="inlineStr">
        <is>
          <t>Abrazadera para tubo eléctrico 3"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64.98999999999999</v>
      </c>
      <c r="K721" s="8" t="n"/>
      <c r="L721" s="8" t="n"/>
      <c r="M721" s="8">
        <f>IF(COUNT(D721:L721)=0,"",MIN(D721:L721))</f>
        <v/>
      </c>
      <c r="N721" s="8">
        <f>IF(COUNT(D721:L721)=0,"",MEDIAN(D721:L721))</f>
        <v/>
      </c>
      <c r="O721" s="8">
        <f>IF(COUNT(D721:L721)=0,"",MAX(D721:L721))</f>
        <v/>
      </c>
      <c r="P721" s="9">
        <f>IF(OR(M721="",M721=0),"",(O721-M721)/M721)</f>
        <v/>
      </c>
      <c r="Q721" s="7">
        <f>IF(COUNT(D721:L721)=0,"",INDEX($D$1:$L$1,MATCH(MIN(D721:L721),D721:L721,0)))</f>
        <v/>
      </c>
      <c r="R721" s="8" t="n">
        <v>64.98999999999999</v>
      </c>
      <c r="S721" s="10" t="n">
        <v>1</v>
      </c>
    </row>
    <row r="722">
      <c r="A722" s="7" t="inlineStr">
        <is>
          <t>MAT-10-169</t>
        </is>
      </c>
      <c r="B722" s="4" t="inlineStr">
        <is>
          <t>Codo conduit de PVC 1 1/2"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/>
      <c r="K722" s="8" t="n">
        <v>38.64</v>
      </c>
      <c r="L722" s="8" t="n"/>
      <c r="M722" s="8">
        <f>IF(COUNT(D722:L722)=0,"",MIN(D722:L722))</f>
        <v/>
      </c>
      <c r="N722" s="8">
        <f>IF(COUNT(D722:L722)=0,"",MEDIAN(D722:L722))</f>
        <v/>
      </c>
      <c r="O722" s="8">
        <f>IF(COUNT(D722:L722)=0,"",MAX(D722:L722))</f>
        <v/>
      </c>
      <c r="P722" s="9">
        <f>IF(OR(M722="",M722=0),"",(O722-M722)/M722)</f>
        <v/>
      </c>
      <c r="Q722" s="7">
        <f>IF(COUNT(D722:L722)=0,"",INDEX($D$1:$L$1,MATCH(MIN(D722:L722),D722:L722,0)))</f>
        <v/>
      </c>
      <c r="R722" s="8" t="n">
        <v>45.6</v>
      </c>
      <c r="S722" s="10" t="n">
        <v>1</v>
      </c>
    </row>
    <row r="723">
      <c r="A723" s="7" t="inlineStr">
        <is>
          <t>MAT-10-170</t>
        </is>
      </c>
      <c r="B723" s="4" t="inlineStr">
        <is>
          <t>Codo conduit de PVC 1/2"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/>
      <c r="K723" s="8" t="n">
        <v>7.62</v>
      </c>
      <c r="L723" s="8" t="n"/>
      <c r="M723" s="8">
        <f>IF(COUNT(D723:L723)=0,"",MIN(D723:L723))</f>
        <v/>
      </c>
      <c r="N723" s="8">
        <f>IF(COUNT(D723:L723)=0,"",MEDIAN(D723:L723))</f>
        <v/>
      </c>
      <c r="O723" s="8">
        <f>IF(COUNT(D723:L723)=0,"",MAX(D723:L723))</f>
        <v/>
      </c>
      <c r="P723" s="9">
        <f>IF(OR(M723="",M723=0),"",(O723-M723)/M723)</f>
        <v/>
      </c>
      <c r="Q723" s="7">
        <f>IF(COUNT(D723:L723)=0,"",INDEX($D$1:$L$1,MATCH(MIN(D723:L723),D723:L723,0)))</f>
        <v/>
      </c>
      <c r="R723" s="8" t="n">
        <v>8.99</v>
      </c>
      <c r="S723" s="10" t="n">
        <v>1</v>
      </c>
    </row>
    <row r="724">
      <c r="A724" s="7" t="inlineStr">
        <is>
          <t>MAT-10-171</t>
        </is>
      </c>
      <c r="B724" s="4" t="inlineStr">
        <is>
          <t>Codo conduit de PVC 1"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/>
      <c r="J724" s="8" t="n"/>
      <c r="K724" s="8" t="n">
        <v>15.16</v>
      </c>
      <c r="L724" s="8" t="n"/>
      <c r="M724" s="8">
        <f>IF(COUNT(D724:L724)=0,"",MIN(D724:L724))</f>
        <v/>
      </c>
      <c r="N724" s="8">
        <f>IF(COUNT(D724:L724)=0,"",MEDIAN(D724:L724))</f>
        <v/>
      </c>
      <c r="O724" s="8">
        <f>IF(COUNT(D724:L724)=0,"",MAX(D724:L724))</f>
        <v/>
      </c>
      <c r="P724" s="9">
        <f>IF(OR(M724="",M724=0),"",(O724-M724)/M724)</f>
        <v/>
      </c>
      <c r="Q724" s="7">
        <f>IF(COUNT(D724:L724)=0,"",INDEX($D$1:$L$1,MATCH(MIN(D724:L724),D724:L724,0)))</f>
        <v/>
      </c>
      <c r="R724" s="8" t="n">
        <v>17.89</v>
      </c>
      <c r="S724" s="10" t="n">
        <v>1</v>
      </c>
    </row>
    <row r="725">
      <c r="A725" s="7" t="inlineStr">
        <is>
          <t>MAT-10-172</t>
        </is>
      </c>
      <c r="B725" s="4" t="inlineStr">
        <is>
          <t>Codo conduit de PVC 2"</t>
        </is>
      </c>
      <c r="C725" s="7" t="inlineStr">
        <is>
          <t>unidad</t>
        </is>
      </c>
      <c r="D725" s="8" t="n"/>
      <c r="E725" s="8" t="n"/>
      <c r="F725" s="8" t="n"/>
      <c r="G725" s="8" t="n"/>
      <c r="H725" s="8" t="n"/>
      <c r="I725" s="8" t="n"/>
      <c r="J725" s="8" t="n"/>
      <c r="K725" s="8" t="n">
        <v>55.83</v>
      </c>
      <c r="L725" s="8" t="n"/>
      <c r="M725" s="8">
        <f>IF(COUNT(D725:L725)=0,"",MIN(D725:L725))</f>
        <v/>
      </c>
      <c r="N725" s="8">
        <f>IF(COUNT(D725:L725)=0,"",MEDIAN(D725:L725))</f>
        <v/>
      </c>
      <c r="O725" s="8">
        <f>IF(COUNT(D725:L725)=0,"",MAX(D725:L725))</f>
        <v/>
      </c>
      <c r="P725" s="9">
        <f>IF(OR(M725="",M725=0),"",(O725-M725)/M725)</f>
        <v/>
      </c>
      <c r="Q725" s="7">
        <f>IF(COUNT(D725:L725)=0,"",INDEX($D$1:$L$1,MATCH(MIN(D725:L725),D725:L725,0)))</f>
        <v/>
      </c>
      <c r="R725" s="8" t="n">
        <v>65.88</v>
      </c>
      <c r="S725" s="10" t="n">
        <v>1</v>
      </c>
    </row>
    <row r="726">
      <c r="A726" s="7" t="inlineStr">
        <is>
          <t>MAT-10-173</t>
        </is>
      </c>
      <c r="B726" s="4" t="inlineStr">
        <is>
          <t>Codo conduit de PVC 3/4"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/>
      <c r="J726" s="8" t="n"/>
      <c r="K726" s="8" t="n">
        <v>9.130000000000001</v>
      </c>
      <c r="L726" s="8" t="n"/>
      <c r="M726" s="8">
        <f>IF(COUNT(D726:L726)=0,"",MIN(D726:L726))</f>
        <v/>
      </c>
      <c r="N726" s="8">
        <f>IF(COUNT(D726:L726)=0,"",MEDIAN(D726:L726))</f>
        <v/>
      </c>
      <c r="O726" s="8">
        <f>IF(COUNT(D726:L726)=0,"",MAX(D726:L726))</f>
        <v/>
      </c>
      <c r="P726" s="9">
        <f>IF(OR(M726="",M726=0),"",(O726-M726)/M726)</f>
        <v/>
      </c>
      <c r="Q726" s="7">
        <f>IF(COUNT(D726:L726)=0,"",INDEX($D$1:$L$1,MATCH(MIN(D726:L726),D726:L726,0)))</f>
        <v/>
      </c>
      <c r="R726" s="8" t="n">
        <v>10.77</v>
      </c>
      <c r="S726" s="10" t="n">
        <v>1</v>
      </c>
    </row>
    <row r="727">
      <c r="A727" s="7" t="inlineStr">
        <is>
          <t>MAT-10-174</t>
        </is>
      </c>
      <c r="B727" s="4" t="inlineStr">
        <is>
          <t>Codo conduit de PVC 3"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/>
      <c r="J727" s="8" t="n"/>
      <c r="K727" s="8" t="n">
        <v>165.6</v>
      </c>
      <c r="L727" s="8" t="n"/>
      <c r="M727" s="8">
        <f>IF(COUNT(D727:L727)=0,"",MIN(D727:L727))</f>
        <v/>
      </c>
      <c r="N727" s="8">
        <f>IF(COUNT(D727:L727)=0,"",MEDIAN(D727:L727))</f>
        <v/>
      </c>
      <c r="O727" s="8">
        <f>IF(COUNT(D727:L727)=0,"",MAX(D727:L727))</f>
        <v/>
      </c>
      <c r="P727" s="9">
        <f>IF(OR(M727="",M727=0),"",(O727-M727)/M727)</f>
        <v/>
      </c>
      <c r="Q727" s="7">
        <f>IF(COUNT(D727:L727)=0,"",INDEX($D$1:$L$1,MATCH(MIN(D727:L727),D727:L727,0)))</f>
        <v/>
      </c>
      <c r="R727" s="8" t="n">
        <v>195.41</v>
      </c>
      <c r="S727" s="10" t="n">
        <v>1</v>
      </c>
    </row>
    <row r="728">
      <c r="A728" s="7" t="inlineStr">
        <is>
          <t>MAT-10-175</t>
        </is>
      </c>
      <c r="B728" s="4" t="inlineStr">
        <is>
          <t>Codo conduit de PVC 4"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/>
      <c r="K728" s="8" t="n">
        <v>311.19</v>
      </c>
      <c r="L728" s="8" t="n"/>
      <c r="M728" s="8">
        <f>IF(COUNT(D728:L728)=0,"",MIN(D728:L728))</f>
        <v/>
      </c>
      <c r="N728" s="8">
        <f>IF(COUNT(D728:L728)=0,"",MEDIAN(D728:L728))</f>
        <v/>
      </c>
      <c r="O728" s="8">
        <f>IF(COUNT(D728:L728)=0,"",MAX(D728:L728))</f>
        <v/>
      </c>
      <c r="P728" s="9">
        <f>IF(OR(M728="",M728=0),"",(O728-M728)/M728)</f>
        <v/>
      </c>
      <c r="Q728" s="7">
        <f>IF(COUNT(D728:L728)=0,"",INDEX($D$1:$L$1,MATCH(MIN(D728:L728),D728:L728,0)))</f>
        <v/>
      </c>
      <c r="R728" s="8" t="n">
        <v>367.2</v>
      </c>
      <c r="S728" s="10" t="n">
        <v>1</v>
      </c>
    </row>
    <row r="729">
      <c r="A729" s="7" t="inlineStr">
        <is>
          <t>MAT-10-176</t>
        </is>
      </c>
      <c r="B729" s="4" t="inlineStr">
        <is>
          <t>Abrazadera plástica de 10"</t>
        </is>
      </c>
      <c r="C729" s="7" t="inlineStr">
        <is>
          <t>paquete</t>
        </is>
      </c>
      <c r="D729" s="8" t="n"/>
      <c r="E729" s="8" t="n"/>
      <c r="F729" s="8" t="n"/>
      <c r="G729" s="8" t="n"/>
      <c r="H729" s="8" t="n"/>
      <c r="I729" s="8" t="n"/>
      <c r="J729" s="8" t="n">
        <v>150</v>
      </c>
      <c r="K729" s="8" t="n"/>
      <c r="L729" s="8" t="n"/>
      <c r="M729" s="8">
        <f>IF(COUNT(D729:L729)=0,"",MIN(D729:L729))</f>
        <v/>
      </c>
      <c r="N729" s="8">
        <f>IF(COUNT(D729:L729)=0,"",MEDIAN(D729:L729))</f>
        <v/>
      </c>
      <c r="O729" s="8">
        <f>IF(COUNT(D729:L729)=0,"",MAX(D729:L729))</f>
        <v/>
      </c>
      <c r="P729" s="9">
        <f>IF(OR(M729="",M729=0),"",(O729-M729)/M729)</f>
        <v/>
      </c>
      <c r="Q729" s="7">
        <f>IF(COUNT(D729:L729)=0,"",INDEX($D$1:$L$1,MATCH(MIN(D729:L729),D729:L729,0)))</f>
        <v/>
      </c>
      <c r="R729" s="8" t="n">
        <v>150</v>
      </c>
      <c r="S729" s="10" t="n">
        <v>1</v>
      </c>
    </row>
    <row r="730">
      <c r="A730" s="7" t="inlineStr">
        <is>
          <t>MAT-10-177</t>
        </is>
      </c>
      <c r="B730" s="4" t="inlineStr">
        <is>
          <t>Abrazadera plástica de 12"</t>
        </is>
      </c>
      <c r="C730" s="7" t="inlineStr">
        <is>
          <t>paquete</t>
        </is>
      </c>
      <c r="D730" s="8" t="n"/>
      <c r="E730" s="8" t="n"/>
      <c r="F730" s="8" t="n"/>
      <c r="G730" s="8" t="n"/>
      <c r="H730" s="8" t="n"/>
      <c r="I730" s="8" t="n"/>
      <c r="J730" s="8" t="n">
        <v>1.99</v>
      </c>
      <c r="K730" s="8" t="n"/>
      <c r="L730" s="8" t="n"/>
      <c r="M730" s="8">
        <f>IF(COUNT(D730:L730)=0,"",MIN(D730:L730))</f>
        <v/>
      </c>
      <c r="N730" s="8">
        <f>IF(COUNT(D730:L730)=0,"",MEDIAN(D730:L730))</f>
        <v/>
      </c>
      <c r="O730" s="8">
        <f>IF(COUNT(D730:L730)=0,"",MAX(D730:L730))</f>
        <v/>
      </c>
      <c r="P730" s="9">
        <f>IF(OR(M730="",M730=0),"",(O730-M730)/M730)</f>
        <v/>
      </c>
      <c r="Q730" s="7">
        <f>IF(COUNT(D730:L730)=0,"",INDEX($D$1:$L$1,MATCH(MIN(D730:L730),D730:L730,0)))</f>
        <v/>
      </c>
      <c r="R730" s="8" t="n">
        <v>2.42</v>
      </c>
      <c r="S730" s="10" t="n">
        <v>1</v>
      </c>
    </row>
    <row r="731">
      <c r="A731" s="7" t="inlineStr">
        <is>
          <t>MAT-10-178</t>
        </is>
      </c>
      <c r="B731" s="4" t="inlineStr">
        <is>
          <t>Abrazadera plástica de 8"</t>
        </is>
      </c>
      <c r="C731" s="7" t="inlineStr">
        <is>
          <t>paquete</t>
        </is>
      </c>
      <c r="D731" s="8" t="n"/>
      <c r="E731" s="8" t="n"/>
      <c r="F731" s="8" t="n"/>
      <c r="G731" s="8" t="n"/>
      <c r="H731" s="8" t="n"/>
      <c r="I731" s="8" t="n"/>
      <c r="J731" s="8" t="n">
        <v>85</v>
      </c>
      <c r="K731" s="8" t="n"/>
      <c r="L731" s="8" t="n"/>
      <c r="M731" s="8">
        <f>IF(COUNT(D731:L731)=0,"",MIN(D731:L731))</f>
        <v/>
      </c>
      <c r="N731" s="8">
        <f>IF(COUNT(D731:L731)=0,"",MEDIAN(D731:L731))</f>
        <v/>
      </c>
      <c r="O731" s="8">
        <f>IF(COUNT(D731:L731)=0,"",MAX(D731:L731))</f>
        <v/>
      </c>
      <c r="P731" s="9">
        <f>IF(OR(M731="",M731=0),"",(O731-M731)/M731)</f>
        <v/>
      </c>
      <c r="Q731" s="7">
        <f>IF(COUNT(D731:L731)=0,"",INDEX($D$1:$L$1,MATCH(MIN(D731:L731),D731:L731,0)))</f>
        <v/>
      </c>
      <c r="R731" s="8" t="n">
        <v>95</v>
      </c>
      <c r="S731" s="10" t="n">
        <v>1</v>
      </c>
    </row>
    <row r="732">
      <c r="A732" s="7" t="inlineStr">
        <is>
          <t>MAT-10-179</t>
        </is>
      </c>
      <c r="B732" s="4" t="inlineStr">
        <is>
          <t>Cinta aislante 15 mts</t>
        </is>
      </c>
      <c r="C732" s="7" t="inlineStr">
        <is>
          <t>rollo</t>
        </is>
      </c>
      <c r="D732" s="8" t="n"/>
      <c r="E732" s="8" t="n"/>
      <c r="F732" s="8" t="n"/>
      <c r="G732" s="8" t="n"/>
      <c r="H732" s="8" t="n"/>
      <c r="I732" s="8" t="n"/>
      <c r="J732" s="8" t="n">
        <v>1125</v>
      </c>
      <c r="K732" s="8" t="n"/>
      <c r="L732" s="8" t="n"/>
      <c r="M732" s="8">
        <f>IF(COUNT(D732:L732)=0,"",MIN(D732:L732))</f>
        <v/>
      </c>
      <c r="N732" s="8">
        <f>IF(COUNT(D732:L732)=0,"",MEDIAN(D732:L732))</f>
        <v/>
      </c>
      <c r="O732" s="8">
        <f>IF(COUNT(D732:L732)=0,"",MAX(D732:L732))</f>
        <v/>
      </c>
      <c r="P732" s="9">
        <f>IF(OR(M732="",M732=0),"",(O732-M732)/M732)</f>
        <v/>
      </c>
      <c r="Q732" s="7">
        <f>IF(COUNT(D732:L732)=0,"",INDEX($D$1:$L$1,MATCH(MIN(D732:L732),D732:L732,0)))</f>
        <v/>
      </c>
      <c r="R732" s="8" t="n">
        <v>1125</v>
      </c>
      <c r="S732" s="10" t="n">
        <v>1</v>
      </c>
    </row>
    <row r="733">
      <c r="A733" s="7" t="inlineStr">
        <is>
          <t>MAT-10-180</t>
        </is>
      </c>
      <c r="B733" s="4" t="inlineStr">
        <is>
          <t>Cinta aislante 3 m</t>
        </is>
      </c>
      <c r="C733" s="7" t="inlineStr">
        <is>
          <t>rollo</t>
        </is>
      </c>
      <c r="D733" s="8" t="n"/>
      <c r="E733" s="8" t="n"/>
      <c r="F733" s="8" t="n"/>
      <c r="G733" s="8" t="n"/>
      <c r="H733" s="8" t="n"/>
      <c r="I733" s="8" t="n"/>
      <c r="J733" s="8" t="n">
        <v>135</v>
      </c>
      <c r="K733" s="8" t="n"/>
      <c r="L733" s="8" t="n"/>
      <c r="M733" s="8">
        <f>IF(COUNT(D733:L733)=0,"",MIN(D733:L733))</f>
        <v/>
      </c>
      <c r="N733" s="8">
        <f>IF(COUNT(D733:L733)=0,"",MEDIAN(D733:L733))</f>
        <v/>
      </c>
      <c r="O733" s="8">
        <f>IF(COUNT(D733:L733)=0,"",MAX(D733:L733))</f>
        <v/>
      </c>
      <c r="P733" s="9">
        <f>IF(OR(M733="",M733=0),"",(O733-M733)/M733)</f>
        <v/>
      </c>
      <c r="Q733" s="7">
        <f>IF(COUNT(D733:L733)=0,"",INDEX($D$1:$L$1,MATCH(MIN(D733:L733),D733:L733,0)))</f>
        <v/>
      </c>
      <c r="R733" s="8" t="n">
        <v>787.5</v>
      </c>
      <c r="S733" s="10" t="n">
        <v>1</v>
      </c>
    </row>
    <row r="734">
      <c r="A734" s="7" t="inlineStr">
        <is>
          <t>MAT-10-181</t>
        </is>
      </c>
      <c r="B734" s="4" t="inlineStr">
        <is>
          <t>Cinta aislante 30 mts</t>
        </is>
      </c>
      <c r="C734" s="7" t="inlineStr">
        <is>
          <t>rollo</t>
        </is>
      </c>
      <c r="D734" s="8" t="n"/>
      <c r="E734" s="8" t="n"/>
      <c r="F734" s="8" t="n"/>
      <c r="G734" s="8" t="n"/>
      <c r="H734" s="8" t="n"/>
      <c r="I734" s="8" t="n"/>
      <c r="J734" s="8" t="n">
        <v>1730</v>
      </c>
      <c r="K734" s="8" t="n"/>
      <c r="L734" s="8" t="n"/>
      <c r="M734" s="8">
        <f>IF(COUNT(D734:L734)=0,"",MIN(D734:L734))</f>
        <v/>
      </c>
      <c r="N734" s="8">
        <f>IF(COUNT(D734:L734)=0,"",MEDIAN(D734:L734))</f>
        <v/>
      </c>
      <c r="O734" s="8">
        <f>IF(COUNT(D734:L734)=0,"",MAX(D734:L734))</f>
        <v/>
      </c>
      <c r="P734" s="9">
        <f>IF(OR(M734="",M734=0),"",(O734-M734)/M734)</f>
        <v/>
      </c>
      <c r="Q734" s="7">
        <f>IF(COUNT(D734:L734)=0,"",INDEX($D$1:$L$1,MATCH(MIN(D734:L734),D734:L734,0)))</f>
        <v/>
      </c>
      <c r="R734" s="8" t="n">
        <v>1730</v>
      </c>
      <c r="S734" s="10" t="n">
        <v>1</v>
      </c>
    </row>
    <row r="735">
      <c r="A735" s="7" t="inlineStr">
        <is>
          <t>MAT-10-182</t>
        </is>
      </c>
      <c r="B735" s="4" t="inlineStr">
        <is>
          <t>Cable THHN #1, rollo 100 pies</t>
        </is>
      </c>
      <c r="C735" s="7" t="inlineStr">
        <is>
          <t>rollo</t>
        </is>
      </c>
      <c r="D735" s="8" t="n"/>
      <c r="E735" s="8" t="n"/>
      <c r="F735" s="8" t="n"/>
      <c r="G735" s="8" t="n"/>
      <c r="H735" s="8" t="n">
        <v>325</v>
      </c>
      <c r="I735" s="8" t="n"/>
      <c r="J735" s="8" t="n"/>
      <c r="K735" s="8" t="n"/>
      <c r="L735" s="8" t="n"/>
      <c r="M735" s="8">
        <f>IF(COUNT(D735:L735)=0,"",MIN(D735:L735))</f>
        <v/>
      </c>
      <c r="N735" s="8">
        <f>IF(COUNT(D735:L735)=0,"",MEDIAN(D735:L735))</f>
        <v/>
      </c>
      <c r="O735" s="8">
        <f>IF(COUNT(D735:L735)=0,"",MAX(D735:L735))</f>
        <v/>
      </c>
      <c r="P735" s="9">
        <f>IF(OR(M735="",M735=0),"",(O735-M735)/M735)</f>
        <v/>
      </c>
      <c r="Q735" s="7">
        <f>IF(COUNT(D735:L735)=0,"",INDEX($D$1:$L$1,MATCH(MIN(D735:L735),D735:L735,0)))</f>
        <v/>
      </c>
      <c r="R735" s="8" t="n">
        <v>325</v>
      </c>
      <c r="S735" s="10" t="n">
        <v>1</v>
      </c>
    </row>
    <row r="736">
      <c r="A736" s="7" t="inlineStr">
        <is>
          <t>MAT-10-183</t>
        </is>
      </c>
      <c r="B736" s="4" t="inlineStr">
        <is>
          <t>Cable THHN #12, rollo 100 pies</t>
        </is>
      </c>
      <c r="C736" s="7" t="inlineStr">
        <is>
          <t>rollo</t>
        </is>
      </c>
      <c r="D736" s="8" t="n"/>
      <c r="E736" s="8" t="n"/>
      <c r="F736" s="8" t="n"/>
      <c r="G736" s="8" t="n"/>
      <c r="H736" s="8" t="n">
        <v>10.9</v>
      </c>
      <c r="I736" s="8" t="n"/>
      <c r="J736" s="8" t="n"/>
      <c r="K736" s="8" t="n"/>
      <c r="L736" s="8" t="n"/>
      <c r="M736" s="8">
        <f>IF(COUNT(D736:L736)=0,"",MIN(D736:L736))</f>
        <v/>
      </c>
      <c r="N736" s="8">
        <f>IF(COUNT(D736:L736)=0,"",MEDIAN(D736:L736))</f>
        <v/>
      </c>
      <c r="O736" s="8">
        <f>IF(COUNT(D736:L736)=0,"",MAX(D736:L736))</f>
        <v/>
      </c>
      <c r="P736" s="9">
        <f>IF(OR(M736="",M736=0),"",(O736-M736)/M736)</f>
        <v/>
      </c>
      <c r="Q736" s="7">
        <f>IF(COUNT(D736:L736)=0,"",INDEX($D$1:$L$1,MATCH(MIN(D736:L736),D736:L736,0)))</f>
        <v/>
      </c>
      <c r="R736" s="8" t="n">
        <v>10.9</v>
      </c>
      <c r="S736" s="10" t="n">
        <v>1</v>
      </c>
    </row>
    <row r="737">
      <c r="A737" s="7" t="inlineStr">
        <is>
          <t>MAT-10-184</t>
        </is>
      </c>
      <c r="B737" s="4" t="inlineStr">
        <is>
          <t>Cable THHN #14, rollo 100 pies</t>
        </is>
      </c>
      <c r="C737" s="7" t="inlineStr">
        <is>
          <t>rollo</t>
        </is>
      </c>
      <c r="D737" s="8" t="n"/>
      <c r="E737" s="8" t="n"/>
      <c r="F737" s="8" t="n"/>
      <c r="G737" s="8" t="n"/>
      <c r="H737" s="8" t="n">
        <v>7.39</v>
      </c>
      <c r="I737" s="8" t="n"/>
      <c r="J737" s="8" t="n"/>
      <c r="K737" s="8" t="n">
        <v>9.66</v>
      </c>
      <c r="L737" s="8" t="n"/>
      <c r="M737" s="8">
        <f>IF(COUNT(D737:L737)=0,"",MIN(D737:L737))</f>
        <v/>
      </c>
      <c r="N737" s="8">
        <f>IF(COUNT(D737:L737)=0,"",MEDIAN(D737:L737))</f>
        <v/>
      </c>
      <c r="O737" s="8">
        <f>IF(COUNT(D737:L737)=0,"",MAX(D737:L737))</f>
        <v/>
      </c>
      <c r="P737" s="9">
        <f>IF(OR(M737="",M737=0),"",(O737-M737)/M737)</f>
        <v/>
      </c>
      <c r="Q737" s="7">
        <f>IF(COUNT(D737:L737)=0,"",INDEX($D$1:$L$1,MATCH(MIN(D737:L737),D737:L737,0)))</f>
        <v/>
      </c>
      <c r="R737" s="8" t="n">
        <v>9.390000000000001</v>
      </c>
      <c r="S737" s="10" t="n">
        <v>2</v>
      </c>
    </row>
    <row r="738">
      <c r="A738" s="7" t="inlineStr">
        <is>
          <t>MAT-10-185</t>
        </is>
      </c>
      <c r="B738" s="4" t="inlineStr">
        <is>
          <t>Cable THHN #2, rollo 100 pies</t>
        </is>
      </c>
      <c r="C738" s="7" t="inlineStr">
        <is>
          <t>rollo</t>
        </is>
      </c>
      <c r="D738" s="8" t="n"/>
      <c r="E738" s="8" t="n"/>
      <c r="F738" s="8" t="n"/>
      <c r="G738" s="8" t="n"/>
      <c r="H738" s="8" t="n">
        <v>349</v>
      </c>
      <c r="I738" s="8" t="n"/>
      <c r="J738" s="8" t="n"/>
      <c r="K738" s="8" t="n">
        <v>126</v>
      </c>
      <c r="L738" s="8" t="n"/>
      <c r="M738" s="8">
        <f>IF(COUNT(D738:L738)=0,"",MIN(D738:L738))</f>
        <v/>
      </c>
      <c r="N738" s="8">
        <f>IF(COUNT(D738:L738)=0,"",MEDIAN(D738:L738))</f>
        <v/>
      </c>
      <c r="O738" s="8">
        <f>IF(COUNT(D738:L738)=0,"",MAX(D738:L738))</f>
        <v/>
      </c>
      <c r="P738" s="9">
        <f>IF(OR(M738="",M738=0),"",(O738-M738)/M738)</f>
        <v/>
      </c>
      <c r="Q738" s="7">
        <f>IF(COUNT(D738:L738)=0,"",INDEX($D$1:$L$1,MATCH(MIN(D738:L738),D738:L738,0)))</f>
        <v/>
      </c>
      <c r="R738" s="8" t="n">
        <v>248.84</v>
      </c>
      <c r="S738" s="10" t="n">
        <v>2</v>
      </c>
    </row>
    <row r="739">
      <c r="A739" s="7" t="inlineStr">
        <is>
          <t>MAT-10-186</t>
        </is>
      </c>
      <c r="B739" s="4" t="inlineStr">
        <is>
          <t>Cable THHN #2/0, rollo 100 pies</t>
        </is>
      </c>
      <c r="C739" s="7" t="inlineStr">
        <is>
          <t>rollo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259</v>
      </c>
      <c r="L739" s="8" t="n"/>
      <c r="M739" s="8">
        <f>IF(COUNT(D739:L739)=0,"",MIN(D739:L739))</f>
        <v/>
      </c>
      <c r="N739" s="8">
        <f>IF(COUNT(D739:L739)=0,"",MEDIAN(D739:L739))</f>
        <v/>
      </c>
      <c r="O739" s="8">
        <f>IF(COUNT(D739:L739)=0,"",MAX(D739:L739))</f>
        <v/>
      </c>
      <c r="P739" s="9">
        <f>IF(OR(M739="",M739=0),"",(O739-M739)/M739)</f>
        <v/>
      </c>
      <c r="Q739" s="7">
        <f>IF(COUNT(D739:L739)=0,"",INDEX($D$1:$L$1,MATCH(MIN(D739:L739),D739:L739,0)))</f>
        <v/>
      </c>
      <c r="R739" s="8" t="n">
        <v>305.62</v>
      </c>
      <c r="S739" s="10" t="n">
        <v>1</v>
      </c>
    </row>
    <row r="740">
      <c r="A740" s="7" t="inlineStr">
        <is>
          <t>MAT-10-187</t>
        </is>
      </c>
      <c r="B740" s="4" t="inlineStr">
        <is>
          <t>Cable THHN #3/0, rollo 100 pies</t>
        </is>
      </c>
      <c r="C740" s="7" t="inlineStr">
        <is>
          <t>rollo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>
        <v>328</v>
      </c>
      <c r="L740" s="8" t="n"/>
      <c r="M740" s="8">
        <f>IF(COUNT(D740:L740)=0,"",MIN(D740:L740))</f>
        <v/>
      </c>
      <c r="N740" s="8">
        <f>IF(COUNT(D740:L740)=0,"",MEDIAN(D740:L740))</f>
        <v/>
      </c>
      <c r="O740" s="8">
        <f>IF(COUNT(D740:L740)=0,"",MAX(D740:L740))</f>
        <v/>
      </c>
      <c r="P740" s="9">
        <f>IF(OR(M740="",M740=0),"",(O740-M740)/M740)</f>
        <v/>
      </c>
      <c r="Q740" s="7">
        <f>IF(COUNT(D740:L740)=0,"",INDEX($D$1:$L$1,MATCH(MIN(D740:L740),D740:L740,0)))</f>
        <v/>
      </c>
      <c r="R740" s="8" t="n">
        <v>387.04</v>
      </c>
      <c r="S740" s="10" t="n">
        <v>1</v>
      </c>
    </row>
    <row r="741">
      <c r="A741" s="7" t="inlineStr">
        <is>
          <t>MAT-10-188</t>
        </is>
      </c>
      <c r="B741" s="4" t="inlineStr">
        <is>
          <t>Cable THHN #4, rollo 100 pies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>
        <v>105</v>
      </c>
      <c r="I741" s="8" t="n"/>
      <c r="J741" s="8" t="n"/>
      <c r="K741" s="8" t="n">
        <v>84.36</v>
      </c>
      <c r="L741" s="8" t="n"/>
      <c r="M741" s="8">
        <f>IF(COUNT(D741:L741)=0,"",MIN(D741:L741))</f>
        <v/>
      </c>
      <c r="N741" s="8">
        <f>IF(COUNT(D741:L741)=0,"",MEDIAN(D741:L741))</f>
        <v/>
      </c>
      <c r="O741" s="8">
        <f>IF(COUNT(D741:L741)=0,"",MAX(D741:L741))</f>
        <v/>
      </c>
      <c r="P741" s="9">
        <f>IF(OR(M741="",M741=0),"",(O741-M741)/M741)</f>
        <v/>
      </c>
      <c r="Q741" s="7">
        <f>IF(COUNT(D741:L741)=0,"",INDEX($D$1:$L$1,MATCH(MIN(D741:L741),D741:L741,0)))</f>
        <v/>
      </c>
      <c r="R741" s="8" t="n">
        <v>102.27</v>
      </c>
      <c r="S741" s="10" t="n">
        <v>2</v>
      </c>
    </row>
    <row r="742">
      <c r="A742" s="7" t="inlineStr">
        <is>
          <t>MAT-10-189</t>
        </is>
      </c>
      <c r="B742" s="4" t="inlineStr">
        <is>
          <t>Cable THHN #4/0, rollo 100 pies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>
        <v>392</v>
      </c>
      <c r="L742" s="8" t="n"/>
      <c r="M742" s="8">
        <f>IF(COUNT(D742:L742)=0,"",MIN(D742:L742))</f>
        <v/>
      </c>
      <c r="N742" s="8">
        <f>IF(COUNT(D742:L742)=0,"",MEDIAN(D742:L742))</f>
        <v/>
      </c>
      <c r="O742" s="8">
        <f>IF(COUNT(D742:L742)=0,"",MAX(D742:L742))</f>
        <v/>
      </c>
      <c r="P742" s="9">
        <f>IF(OR(M742="",M742=0),"",(O742-M742)/M742)</f>
        <v/>
      </c>
      <c r="Q742" s="7">
        <f>IF(COUNT(D742:L742)=0,"",INDEX($D$1:$L$1,MATCH(MIN(D742:L742),D742:L742,0)))</f>
        <v/>
      </c>
      <c r="R742" s="8" t="n">
        <v>462.56</v>
      </c>
      <c r="S742" s="10" t="n">
        <v>1</v>
      </c>
    </row>
    <row r="743">
      <c r="A743" s="7" t="inlineStr">
        <is>
          <t>MAT-10-190</t>
        </is>
      </c>
      <c r="B743" s="4" t="inlineStr">
        <is>
          <t>Cable THHN #6,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>
        <v>80</v>
      </c>
      <c r="I743" s="8" t="n"/>
      <c r="J743" s="8" t="n"/>
      <c r="K743" s="8" t="n">
        <v>52.68</v>
      </c>
      <c r="L743" s="8" t="n"/>
      <c r="M743" s="8">
        <f>IF(COUNT(D743:L743)=0,"",MIN(D743:L743))</f>
        <v/>
      </c>
      <c r="N743" s="8">
        <f>IF(COUNT(D743:L743)=0,"",MEDIAN(D743:L743))</f>
        <v/>
      </c>
      <c r="O743" s="8">
        <f>IF(COUNT(D743:L743)=0,"",MAX(D743:L743))</f>
        <v/>
      </c>
      <c r="P743" s="9">
        <f>IF(OR(M743="",M743=0),"",(O743-M743)/M743)</f>
        <v/>
      </c>
      <c r="Q743" s="7">
        <f>IF(COUNT(D743:L743)=0,"",INDEX($D$1:$L$1,MATCH(MIN(D743:L743),D743:L743,0)))</f>
        <v/>
      </c>
      <c r="R743" s="8" t="n">
        <v>71.08</v>
      </c>
      <c r="S743" s="10" t="n">
        <v>2</v>
      </c>
    </row>
    <row r="744">
      <c r="A744" s="7" t="inlineStr">
        <is>
          <t>MAT-10-191</t>
        </is>
      </c>
      <c r="B744" s="4" t="inlineStr">
        <is>
          <t>Cable THHN #8,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>
        <v>29.15</v>
      </c>
      <c r="I744" s="8" t="n"/>
      <c r="J744" s="8" t="n"/>
      <c r="K744" s="8" t="n"/>
      <c r="L744" s="8" t="n"/>
      <c r="M744" s="8">
        <f>IF(COUNT(D744:L744)=0,"",MIN(D744:L744))</f>
        <v/>
      </c>
      <c r="N744" s="8">
        <f>IF(COUNT(D744:L744)=0,"",MEDIAN(D744:L744))</f>
        <v/>
      </c>
      <c r="O744" s="8">
        <f>IF(COUNT(D744:L744)=0,"",MAX(D744:L744))</f>
        <v/>
      </c>
      <c r="P744" s="9">
        <f>IF(OR(M744="",M744=0),"",(O744-M744)/M744)</f>
        <v/>
      </c>
      <c r="Q744" s="7">
        <f>IF(COUNT(D744:L744)=0,"",INDEX($D$1:$L$1,MATCH(MIN(D744:L744),D744:L744,0)))</f>
        <v/>
      </c>
      <c r="R744" s="8" t="n">
        <v>29.15</v>
      </c>
      <c r="S744" s="10" t="n">
        <v>1</v>
      </c>
    </row>
    <row r="745">
      <c r="A745" s="7" t="inlineStr">
        <is>
          <t>MAT-10-192</t>
        </is>
      </c>
      <c r="B745" s="4" t="inlineStr">
        <is>
          <t>Cable de goma 1.5 mm, 2 conductores,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>
        <v>21.02</v>
      </c>
      <c r="L745" s="8" t="n"/>
      <c r="M745" s="8">
        <f>IF(COUNT(D745:L745)=0,"",MIN(D745:L745))</f>
        <v/>
      </c>
      <c r="N745" s="8">
        <f>IF(COUNT(D745:L745)=0,"",MEDIAN(D745:L745))</f>
        <v/>
      </c>
      <c r="O745" s="8">
        <f>IF(COUNT(D745:L745)=0,"",MAX(D745:L745))</f>
        <v/>
      </c>
      <c r="P745" s="9">
        <f>IF(OR(M745="",M745=0),"",(O745-M745)/M745)</f>
        <v/>
      </c>
      <c r="Q745" s="7">
        <f>IF(COUNT(D745:L745)=0,"",INDEX($D$1:$L$1,MATCH(MIN(D745:L745),D745:L745,0)))</f>
        <v/>
      </c>
      <c r="R745" s="8" t="n">
        <v>24.8</v>
      </c>
      <c r="S745" s="10" t="n">
        <v>1</v>
      </c>
    </row>
    <row r="746">
      <c r="A746" s="7" t="inlineStr">
        <is>
          <t>MAT-10-193</t>
        </is>
      </c>
      <c r="B746" s="4" t="inlineStr">
        <is>
          <t>Cable de goma 1.5 mm, 3 conductores,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>
        <v>29.27</v>
      </c>
      <c r="L746" s="8" t="n"/>
      <c r="M746" s="8">
        <f>IF(COUNT(D746:L746)=0,"",MIN(D746:L746))</f>
        <v/>
      </c>
      <c r="N746" s="8">
        <f>IF(COUNT(D746:L746)=0,"",MEDIAN(D746:L746))</f>
        <v/>
      </c>
      <c r="O746" s="8">
        <f>IF(COUNT(D746:L746)=0,"",MAX(D746:L746))</f>
        <v/>
      </c>
      <c r="P746" s="9">
        <f>IF(OR(M746="",M746=0),"",(O746-M746)/M746)</f>
        <v/>
      </c>
      <c r="Q746" s="7">
        <f>IF(COUNT(D746:L746)=0,"",INDEX($D$1:$L$1,MATCH(MIN(D746:L746),D746:L746,0)))</f>
        <v/>
      </c>
      <c r="R746" s="8" t="n">
        <v>34.54</v>
      </c>
      <c r="S746" s="10" t="n">
        <v>1</v>
      </c>
    </row>
    <row r="747">
      <c r="A747" s="7" t="inlineStr">
        <is>
          <t>MAT-10-194</t>
        </is>
      </c>
      <c r="B747" s="4" t="inlineStr">
        <is>
          <t>Cable de goma 1.5 mm, 4 conductores, rollo 100 pies</t>
        </is>
      </c>
      <c r="C747" s="7" t="inlineStr">
        <is>
          <t>rollo</t>
        </is>
      </c>
      <c r="D747" s="8" t="n"/>
      <c r="E747" s="8" t="n"/>
      <c r="F747" s="8" t="n"/>
      <c r="G747" s="8" t="n"/>
      <c r="H747" s="8" t="n"/>
      <c r="I747" s="8" t="n"/>
      <c r="J747" s="8" t="n"/>
      <c r="K747" s="8" t="n">
        <v>37.13</v>
      </c>
      <c r="L747" s="8" t="n"/>
      <c r="M747" s="8">
        <f>IF(COUNT(D747:L747)=0,"",MIN(D747:L747))</f>
        <v/>
      </c>
      <c r="N747" s="8">
        <f>IF(COUNT(D747:L747)=0,"",MEDIAN(D747:L747))</f>
        <v/>
      </c>
      <c r="O747" s="8">
        <f>IF(COUNT(D747:L747)=0,"",MAX(D747:L747))</f>
        <v/>
      </c>
      <c r="P747" s="9">
        <f>IF(OR(M747="",M747=0),"",(O747-M747)/M747)</f>
        <v/>
      </c>
      <c r="Q747" s="7">
        <f>IF(COUNT(D747:L747)=0,"",INDEX($D$1:$L$1,MATCH(MIN(D747:L747),D747:L747,0)))</f>
        <v/>
      </c>
      <c r="R747" s="8" t="n">
        <v>43.81</v>
      </c>
      <c r="S747" s="10" t="n">
        <v>1</v>
      </c>
    </row>
    <row r="748">
      <c r="A748" s="7" t="inlineStr">
        <is>
          <t>MAT-10-195</t>
        </is>
      </c>
      <c r="B748" s="4" t="inlineStr">
        <is>
          <t>Cable de goma 12, 2 conductores, rollo 100 pies</t>
        </is>
      </c>
      <c r="C748" s="7" t="inlineStr">
        <is>
          <t>rollo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36.44</v>
      </c>
      <c r="L748" s="8" t="n"/>
      <c r="M748" s="8">
        <f>IF(COUNT(D748:L748)=0,"",MIN(D748:L748))</f>
        <v/>
      </c>
      <c r="N748" s="8">
        <f>IF(COUNT(D748:L748)=0,"",MEDIAN(D748:L748))</f>
        <v/>
      </c>
      <c r="O748" s="8">
        <f>IF(COUNT(D748:L748)=0,"",MAX(D748:L748))</f>
        <v/>
      </c>
      <c r="P748" s="9">
        <f>IF(OR(M748="",M748=0),"",(O748-M748)/M748)</f>
        <v/>
      </c>
      <c r="Q748" s="7">
        <f>IF(COUNT(D748:L748)=0,"",INDEX($D$1:$L$1,MATCH(MIN(D748:L748),D748:L748,0)))</f>
        <v/>
      </c>
      <c r="R748" s="8" t="n">
        <v>43</v>
      </c>
      <c r="S748" s="10" t="n">
        <v>1</v>
      </c>
    </row>
    <row r="749">
      <c r="A749" s="7" t="inlineStr">
        <is>
          <t>MAT-10-196</t>
        </is>
      </c>
      <c r="B749" s="4" t="inlineStr">
        <is>
          <t>Cable de goma 12, 3 conductores, rollo 100 pies</t>
        </is>
      </c>
      <c r="C749" s="7" t="inlineStr">
        <is>
          <t>rollo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>
        <v>53.38</v>
      </c>
      <c r="L749" s="8" t="n"/>
      <c r="M749" s="8">
        <f>IF(COUNT(D749:L749)=0,"",MIN(D749:L749))</f>
        <v/>
      </c>
      <c r="N749" s="8">
        <f>IF(COUNT(D749:L749)=0,"",MEDIAN(D749:L749))</f>
        <v/>
      </c>
      <c r="O749" s="8">
        <f>IF(COUNT(D749:L749)=0,"",MAX(D749:L749))</f>
        <v/>
      </c>
      <c r="P749" s="9">
        <f>IF(OR(M749="",M749=0),"",(O749-M749)/M749)</f>
        <v/>
      </c>
      <c r="Q749" s="7">
        <f>IF(COUNT(D749:L749)=0,"",INDEX($D$1:$L$1,MATCH(MIN(D749:L749),D749:L749,0)))</f>
        <v/>
      </c>
      <c r="R749" s="8" t="n">
        <v>62.99</v>
      </c>
      <c r="S749" s="10" t="n">
        <v>1</v>
      </c>
    </row>
    <row r="750">
      <c r="A750" s="7" t="inlineStr">
        <is>
          <t>MAT-10-197</t>
        </is>
      </c>
      <c r="B750" s="4" t="inlineStr">
        <is>
          <t>Cable de goma 14, 4 conductores, rollo 100 pies</t>
        </is>
      </c>
      <c r="C750" s="7" t="inlineStr">
        <is>
          <t>rollo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>
        <v>46.68</v>
      </c>
      <c r="L750" s="8" t="n"/>
      <c r="M750" s="8">
        <f>IF(COUNT(D750:L750)=0,"",MIN(D750:L750))</f>
        <v/>
      </c>
      <c r="N750" s="8">
        <f>IF(COUNT(D750:L750)=0,"",MEDIAN(D750:L750))</f>
        <v/>
      </c>
      <c r="O750" s="8">
        <f>IF(COUNT(D750:L750)=0,"",MAX(D750:L750))</f>
        <v/>
      </c>
      <c r="P750" s="9">
        <f>IF(OR(M750="",M750=0),"",(O750-M750)/M750)</f>
        <v/>
      </c>
      <c r="Q750" s="7">
        <f>IF(COUNT(D750:L750)=0,"",INDEX($D$1:$L$1,MATCH(MIN(D750:L750),D750:L750,0)))</f>
        <v/>
      </c>
      <c r="R750" s="8" t="n">
        <v>55.08</v>
      </c>
      <c r="S750" s="10" t="n">
        <v>1</v>
      </c>
    </row>
    <row r="751">
      <c r="A751" s="7" t="inlineStr">
        <is>
          <t>MAT-10-198</t>
        </is>
      </c>
      <c r="B751" s="4" t="inlineStr">
        <is>
          <t>Cable de goma 2.5 mm, 2 conductores, rollo 100 pies</t>
        </is>
      </c>
      <c r="C751" s="7" t="inlineStr">
        <is>
          <t>rollo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>
        <v>29.08</v>
      </c>
      <c r="L751" s="8" t="n"/>
      <c r="M751" s="8">
        <f>IF(COUNT(D751:L751)=0,"",MIN(D751:L751))</f>
        <v/>
      </c>
      <c r="N751" s="8">
        <f>IF(COUNT(D751:L751)=0,"",MEDIAN(D751:L751))</f>
        <v/>
      </c>
      <c r="O751" s="8">
        <f>IF(COUNT(D751:L751)=0,"",MAX(D751:L751))</f>
        <v/>
      </c>
      <c r="P751" s="9">
        <f>IF(OR(M751="",M751=0),"",(O751-M751)/M751)</f>
        <v/>
      </c>
      <c r="Q751" s="7">
        <f>IF(COUNT(D751:L751)=0,"",INDEX($D$1:$L$1,MATCH(MIN(D751:L751),D751:L751,0)))</f>
        <v/>
      </c>
      <c r="R751" s="8" t="n">
        <v>34.31</v>
      </c>
      <c r="S751" s="10" t="n">
        <v>1</v>
      </c>
    </row>
    <row r="752">
      <c r="A752" s="7" t="inlineStr">
        <is>
          <t>MAT-10-199</t>
        </is>
      </c>
      <c r="B752" s="4" t="inlineStr">
        <is>
          <t>Cable de goma 2.5 mm, 3 conductores, rollo 100 pies</t>
        </is>
      </c>
      <c r="C752" s="7" t="inlineStr">
        <is>
          <t>rollo</t>
        </is>
      </c>
      <c r="D752" s="8" t="n"/>
      <c r="E752" s="8" t="n"/>
      <c r="F752" s="8" t="n"/>
      <c r="G752" s="8" t="n"/>
      <c r="H752" s="8" t="n"/>
      <c r="I752" s="8" t="n"/>
      <c r="J752" s="8" t="n"/>
      <c r="K752" s="8" t="n">
        <v>43.61</v>
      </c>
      <c r="L752" s="8" t="n"/>
      <c r="M752" s="8">
        <f>IF(COUNT(D752:L752)=0,"",MIN(D752:L752))</f>
        <v/>
      </c>
      <c r="N752" s="8">
        <f>IF(COUNT(D752:L752)=0,"",MEDIAN(D752:L752))</f>
        <v/>
      </c>
      <c r="O752" s="8">
        <f>IF(COUNT(D752:L752)=0,"",MAX(D752:L752))</f>
        <v/>
      </c>
      <c r="P752" s="9">
        <f>IF(OR(M752="",M752=0),"",(O752-M752)/M752)</f>
        <v/>
      </c>
      <c r="Q752" s="7">
        <f>IF(COUNT(D752:L752)=0,"",INDEX($D$1:$L$1,MATCH(MIN(D752:L752),D752:L752,0)))</f>
        <v/>
      </c>
      <c r="R752" s="8" t="n">
        <v>51.46</v>
      </c>
      <c r="S752" s="10" t="n">
        <v>1</v>
      </c>
    </row>
    <row r="753">
      <c r="A753" s="7" t="inlineStr">
        <is>
          <t>MAT-10-200</t>
        </is>
      </c>
      <c r="B753" s="4" t="inlineStr">
        <is>
          <t>Cable de goma 6, 4 conductores, rollo 100 pies</t>
        </is>
      </c>
      <c r="C753" s="7" t="inlineStr">
        <is>
          <t>rollo</t>
        </is>
      </c>
      <c r="D753" s="8" t="n"/>
      <c r="E753" s="8" t="n"/>
      <c r="F753" s="8" t="n"/>
      <c r="G753" s="8" t="n"/>
      <c r="H753" s="8" t="n"/>
      <c r="I753" s="8" t="n"/>
      <c r="J753" s="8" t="n"/>
      <c r="K753" s="8" t="n">
        <v>267</v>
      </c>
      <c r="L753" s="8" t="n"/>
      <c r="M753" s="8">
        <f>IF(COUNT(D753:L753)=0,"",MIN(D753:L753))</f>
        <v/>
      </c>
      <c r="N753" s="8">
        <f>IF(COUNT(D753:L753)=0,"",MEDIAN(D753:L753))</f>
        <v/>
      </c>
      <c r="O753" s="8">
        <f>IF(COUNT(D753:L753)=0,"",MAX(D753:L753))</f>
        <v/>
      </c>
      <c r="P753" s="9">
        <f>IF(OR(M753="",M753=0),"",(O753-M753)/M753)</f>
        <v/>
      </c>
      <c r="Q753" s="7">
        <f>IF(COUNT(D753:L753)=0,"",INDEX($D$1:$L$1,MATCH(MIN(D753:L753),D753:L753,0)))</f>
        <v/>
      </c>
      <c r="R753" s="8" t="n">
        <v>315.06</v>
      </c>
      <c r="S753" s="10" t="n">
        <v>1</v>
      </c>
    </row>
    <row r="754">
      <c r="A754" s="7" t="inlineStr">
        <is>
          <t>MAT-10-201</t>
        </is>
      </c>
      <c r="B754" s="4" t="inlineStr">
        <is>
          <t>Extensión eléctrica de 10 pies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180</v>
      </c>
      <c r="K754" s="8" t="n"/>
      <c r="L754" s="8" t="n"/>
      <c r="M754" s="8">
        <f>IF(COUNT(D754:L754)=0,"",MIN(D754:L754))</f>
        <v/>
      </c>
      <c r="N754" s="8">
        <f>IF(COUNT(D754:L754)=0,"",MEDIAN(D754:L754))</f>
        <v/>
      </c>
      <c r="O754" s="8">
        <f>IF(COUNT(D754:L754)=0,"",MAX(D754:L754))</f>
        <v/>
      </c>
      <c r="P754" s="9">
        <f>IF(OR(M754="",M754=0),"",(O754-M754)/M754)</f>
        <v/>
      </c>
      <c r="Q754" s="7">
        <f>IF(COUNT(D754:L754)=0,"",INDEX($D$1:$L$1,MATCH(MIN(D754:L754),D754:L754,0)))</f>
        <v/>
      </c>
      <c r="R754" s="8" t="n">
        <v>180</v>
      </c>
      <c r="S754" s="10" t="n">
        <v>1</v>
      </c>
    </row>
    <row r="755">
      <c r="A755" s="7" t="inlineStr">
        <is>
          <t>MAT-10-202</t>
        </is>
      </c>
      <c r="B755" s="4" t="inlineStr">
        <is>
          <t>Extensión eléctrica de 100 pies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>
        <v>1355.01</v>
      </c>
      <c r="K755" s="8" t="n"/>
      <c r="L755" s="8" t="n"/>
      <c r="M755" s="8">
        <f>IF(COUNT(D755:L755)=0,"",MIN(D755:L755))</f>
        <v/>
      </c>
      <c r="N755" s="8">
        <f>IF(COUNT(D755:L755)=0,"",MEDIAN(D755:L755))</f>
        <v/>
      </c>
      <c r="O755" s="8">
        <f>IF(COUNT(D755:L755)=0,"",MAX(D755:L755))</f>
        <v/>
      </c>
      <c r="P755" s="9">
        <f>IF(OR(M755="",M755=0),"",(O755-M755)/M755)</f>
        <v/>
      </c>
      <c r="Q755" s="7">
        <f>IF(COUNT(D755:L755)=0,"",INDEX($D$1:$L$1,MATCH(MIN(D755:L755),D755:L755,0)))</f>
        <v/>
      </c>
      <c r="R755" s="8" t="n">
        <v>1940</v>
      </c>
      <c r="S755" s="10" t="n">
        <v>1</v>
      </c>
    </row>
    <row r="756">
      <c r="A756" s="7" t="inlineStr">
        <is>
          <t>MAT-10-203</t>
        </is>
      </c>
      <c r="B756" s="4" t="inlineStr">
        <is>
          <t>Extensión eléctrica de 12 pies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>
        <v>210</v>
      </c>
      <c r="K756" s="8" t="n"/>
      <c r="L756" s="8" t="n"/>
      <c r="M756" s="8">
        <f>IF(COUNT(D756:L756)=0,"",MIN(D756:L756))</f>
        <v/>
      </c>
      <c r="N756" s="8">
        <f>IF(COUNT(D756:L756)=0,"",MEDIAN(D756:L756))</f>
        <v/>
      </c>
      <c r="O756" s="8">
        <f>IF(COUNT(D756:L756)=0,"",MAX(D756:L756))</f>
        <v/>
      </c>
      <c r="P756" s="9">
        <f>IF(OR(M756="",M756=0),"",(O756-M756)/M756)</f>
        <v/>
      </c>
      <c r="Q756" s="7">
        <f>IF(COUNT(D756:L756)=0,"",INDEX($D$1:$L$1,MATCH(MIN(D756:L756),D756:L756,0)))</f>
        <v/>
      </c>
      <c r="R756" s="8" t="n">
        <v>285</v>
      </c>
      <c r="S756" s="10" t="n">
        <v>1</v>
      </c>
    </row>
    <row r="757">
      <c r="A757" s="7" t="inlineStr">
        <is>
          <t>MAT-10-204</t>
        </is>
      </c>
      <c r="B757" s="4" t="inlineStr">
        <is>
          <t>Extensión eléctrica de 13 pies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225</v>
      </c>
      <c r="K757" s="8" t="n"/>
      <c r="L757" s="8" t="n"/>
      <c r="M757" s="8">
        <f>IF(COUNT(D757:L757)=0,"",MIN(D757:L757))</f>
        <v/>
      </c>
      <c r="N757" s="8">
        <f>IF(COUNT(D757:L757)=0,"",MEDIAN(D757:L757))</f>
        <v/>
      </c>
      <c r="O757" s="8">
        <f>IF(COUNT(D757:L757)=0,"",MAX(D757:L757))</f>
        <v/>
      </c>
      <c r="P757" s="9">
        <f>IF(OR(M757="",M757=0),"",(O757-M757)/M757)</f>
        <v/>
      </c>
      <c r="Q757" s="7">
        <f>IF(COUNT(D757:L757)=0,"",INDEX($D$1:$L$1,MATCH(MIN(D757:L757),D757:L757,0)))</f>
        <v/>
      </c>
      <c r="R757" s="8" t="n">
        <v>225</v>
      </c>
      <c r="S757" s="10" t="n">
        <v>1</v>
      </c>
    </row>
    <row r="758">
      <c r="A758" s="7" t="inlineStr">
        <is>
          <t>MAT-10-205</t>
        </is>
      </c>
      <c r="B758" s="4" t="inlineStr">
        <is>
          <t>Extensión eléctrica de 15 pies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300</v>
      </c>
      <c r="K758" s="8" t="n"/>
      <c r="L758" s="8" t="n"/>
      <c r="M758" s="8">
        <f>IF(COUNT(D758:L758)=0,"",MIN(D758:L758))</f>
        <v/>
      </c>
      <c r="N758" s="8">
        <f>IF(COUNT(D758:L758)=0,"",MEDIAN(D758:L758))</f>
        <v/>
      </c>
      <c r="O758" s="8">
        <f>IF(COUNT(D758:L758)=0,"",MAX(D758:L758))</f>
        <v/>
      </c>
      <c r="P758" s="9">
        <f>IF(OR(M758="",M758=0),"",(O758-M758)/M758)</f>
        <v/>
      </c>
      <c r="Q758" s="7">
        <f>IF(COUNT(D758:L758)=0,"",INDEX($D$1:$L$1,MATCH(MIN(D758:L758),D758:L758,0)))</f>
        <v/>
      </c>
      <c r="R758" s="8" t="n">
        <v>505</v>
      </c>
      <c r="S758" s="10" t="n">
        <v>1</v>
      </c>
    </row>
    <row r="759">
      <c r="A759" s="7" t="inlineStr">
        <is>
          <t>MAT-10-206</t>
        </is>
      </c>
      <c r="B759" s="4" t="inlineStr">
        <is>
          <t>Extensión eléctrica de 16 pies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270</v>
      </c>
      <c r="K759" s="8" t="n"/>
      <c r="L759" s="8" t="n"/>
      <c r="M759" s="8">
        <f>IF(COUNT(D759:L759)=0,"",MIN(D759:L759))</f>
        <v/>
      </c>
      <c r="N759" s="8">
        <f>IF(COUNT(D759:L759)=0,"",MEDIAN(D759:L759))</f>
        <v/>
      </c>
      <c r="O759" s="8">
        <f>IF(COUNT(D759:L759)=0,"",MAX(D759:L759))</f>
        <v/>
      </c>
      <c r="P759" s="9">
        <f>IF(OR(M759="",M759=0),"",(O759-M759)/M759)</f>
        <v/>
      </c>
      <c r="Q759" s="7">
        <f>IF(COUNT(D759:L759)=0,"",INDEX($D$1:$L$1,MATCH(MIN(D759:L759),D759:L759,0)))</f>
        <v/>
      </c>
      <c r="R759" s="8" t="n">
        <v>270</v>
      </c>
      <c r="S759" s="10" t="n">
        <v>1</v>
      </c>
    </row>
    <row r="760">
      <c r="A760" s="7" t="inlineStr">
        <is>
          <t>MAT-10-207</t>
        </is>
      </c>
      <c r="B760" s="4" t="inlineStr">
        <is>
          <t>Extensión eléctrica de 25 pies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>
        <v>1700</v>
      </c>
      <c r="K760" s="8" t="n"/>
      <c r="L760" s="8" t="n"/>
      <c r="M760" s="8">
        <f>IF(COUNT(D760:L760)=0,"",MIN(D760:L760))</f>
        <v/>
      </c>
      <c r="N760" s="8">
        <f>IF(COUNT(D760:L760)=0,"",MEDIAN(D760:L760))</f>
        <v/>
      </c>
      <c r="O760" s="8">
        <f>IF(COUNT(D760:L760)=0,"",MAX(D760:L760))</f>
        <v/>
      </c>
      <c r="P760" s="9">
        <f>IF(OR(M760="",M760=0),"",(O760-M760)/M760)</f>
        <v/>
      </c>
      <c r="Q760" s="7">
        <f>IF(COUNT(D760:L760)=0,"",INDEX($D$1:$L$1,MATCH(MIN(D760:L760),D760:L760,0)))</f>
        <v/>
      </c>
      <c r="R760" s="8" t="n">
        <v>1700</v>
      </c>
      <c r="S760" s="10" t="n">
        <v>1</v>
      </c>
    </row>
    <row r="761">
      <c r="A761" s="7" t="inlineStr">
        <is>
          <t>MAT-10-208</t>
        </is>
      </c>
      <c r="B761" s="4" t="inlineStr">
        <is>
          <t>Extensión eléctrica de 26 pies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>
        <v>520</v>
      </c>
      <c r="K761" s="8" t="n"/>
      <c r="L761" s="8" t="n"/>
      <c r="M761" s="8">
        <f>IF(COUNT(D761:L761)=0,"",MIN(D761:L761))</f>
        <v/>
      </c>
      <c r="N761" s="8">
        <f>IF(COUNT(D761:L761)=0,"",MEDIAN(D761:L761))</f>
        <v/>
      </c>
      <c r="O761" s="8">
        <f>IF(COUNT(D761:L761)=0,"",MAX(D761:L761))</f>
        <v/>
      </c>
      <c r="P761" s="9">
        <f>IF(OR(M761="",M761=0),"",(O761-M761)/M761)</f>
        <v/>
      </c>
      <c r="Q761" s="7">
        <f>IF(COUNT(D761:L761)=0,"",INDEX($D$1:$L$1,MATCH(MIN(D761:L761),D761:L761,0)))</f>
        <v/>
      </c>
      <c r="R761" s="8" t="n">
        <v>520</v>
      </c>
      <c r="S761" s="10" t="n">
        <v>1</v>
      </c>
    </row>
    <row r="762">
      <c r="A762" s="7" t="inlineStr">
        <is>
          <t>MAT-10-209</t>
        </is>
      </c>
      <c r="B762" s="4" t="inlineStr">
        <is>
          <t>Extensión eléctrica de 50 pies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725</v>
      </c>
      <c r="K762" s="8" t="n"/>
      <c r="L762" s="8" t="n"/>
      <c r="M762" s="8">
        <f>IF(COUNT(D762:L762)=0,"",MIN(D762:L762))</f>
        <v/>
      </c>
      <c r="N762" s="8">
        <f>IF(COUNT(D762:L762)=0,"",MEDIAN(D762:L762))</f>
        <v/>
      </c>
      <c r="O762" s="8">
        <f>IF(COUNT(D762:L762)=0,"",MAX(D762:L762))</f>
        <v/>
      </c>
      <c r="P762" s="9">
        <f>IF(OR(M762="",M762=0),"",(O762-M762)/M762)</f>
        <v/>
      </c>
      <c r="Q762" s="7">
        <f>IF(COUNT(D762:L762)=0,"",INDEX($D$1:$L$1,MATCH(MIN(D762:L762),D762:L762,0)))</f>
        <v/>
      </c>
      <c r="R762" s="8" t="n">
        <v>1330</v>
      </c>
      <c r="S762" s="10" t="n">
        <v>1</v>
      </c>
    </row>
    <row r="763">
      <c r="A763" s="7" t="inlineStr">
        <is>
          <t>MAT-10-210</t>
        </is>
      </c>
      <c r="B763" s="4" t="inlineStr">
        <is>
          <t>Extensión eléctrica de 6 pies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310</v>
      </c>
      <c r="K763" s="8" t="n"/>
      <c r="L763" s="8" t="n"/>
      <c r="M763" s="8">
        <f>IF(COUNT(D763:L763)=0,"",MIN(D763:L763))</f>
        <v/>
      </c>
      <c r="N763" s="8">
        <f>IF(COUNT(D763:L763)=0,"",MEDIAN(D763:L763))</f>
        <v/>
      </c>
      <c r="O763" s="8">
        <f>IF(COUNT(D763:L763)=0,"",MAX(D763:L763))</f>
        <v/>
      </c>
      <c r="P763" s="9">
        <f>IF(OR(M763="",M763=0),"",(O763-M763)/M763)</f>
        <v/>
      </c>
      <c r="Q763" s="7">
        <f>IF(COUNT(D763:L763)=0,"",INDEX($D$1:$L$1,MATCH(MIN(D763:L763),D763:L763,0)))</f>
        <v/>
      </c>
      <c r="R763" s="8" t="n">
        <v>310</v>
      </c>
      <c r="S763" s="10" t="n">
        <v>1</v>
      </c>
    </row>
    <row r="764">
      <c r="A764" s="7" t="inlineStr">
        <is>
          <t>MAT-10-211</t>
        </is>
      </c>
      <c r="B764" s="4" t="inlineStr">
        <is>
          <t>Extensión eléctrica de 7 pies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145</v>
      </c>
      <c r="K764" s="8" t="n"/>
      <c r="L764" s="8" t="n"/>
      <c r="M764" s="8">
        <f>IF(COUNT(D764:L764)=0,"",MIN(D764:L764))</f>
        <v/>
      </c>
      <c r="N764" s="8">
        <f>IF(COUNT(D764:L764)=0,"",MEDIAN(D764:L764))</f>
        <v/>
      </c>
      <c r="O764" s="8">
        <f>IF(COUNT(D764:L764)=0,"",MAX(D764:L764))</f>
        <v/>
      </c>
      <c r="P764" s="9">
        <f>IF(OR(M764="",M764=0),"",(O764-M764)/M764)</f>
        <v/>
      </c>
      <c r="Q764" s="7">
        <f>IF(COUNT(D764:L764)=0,"",INDEX($D$1:$L$1,MATCH(MIN(D764:L764),D764:L764,0)))</f>
        <v/>
      </c>
      <c r="R764" s="8" t="n">
        <v>145</v>
      </c>
      <c r="S764" s="10" t="n">
        <v>1</v>
      </c>
    </row>
    <row r="765">
      <c r="A765" s="7" t="inlineStr">
        <is>
          <t>MAT-10-212</t>
        </is>
      </c>
      <c r="B765" s="4" t="inlineStr">
        <is>
          <t>Regleta de 6 salidas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654.99</v>
      </c>
      <c r="K765" s="8" t="n"/>
      <c r="L765" s="8" t="n"/>
      <c r="M765" s="8">
        <f>IF(COUNT(D765:L765)=0,"",MIN(D765:L765))</f>
        <v/>
      </c>
      <c r="N765" s="8">
        <f>IF(COUNT(D765:L765)=0,"",MEDIAN(D765:L765))</f>
        <v/>
      </c>
      <c r="O765" s="8">
        <f>IF(COUNT(D765:L765)=0,"",MAX(D765:L765))</f>
        <v/>
      </c>
      <c r="P765" s="9">
        <f>IF(OR(M765="",M765=0),"",(O765-M765)/M765)</f>
        <v/>
      </c>
      <c r="Q765" s="7">
        <f>IF(COUNT(D765:L765)=0,"",INDEX($D$1:$L$1,MATCH(MIN(D765:L765),D765:L765,0)))</f>
        <v/>
      </c>
      <c r="R765" s="8" t="n">
        <v>737.5</v>
      </c>
      <c r="S765" s="10" t="n">
        <v>1</v>
      </c>
    </row>
    <row r="766">
      <c r="A766" s="7" t="inlineStr">
        <is>
          <t>MAT-10-213</t>
        </is>
      </c>
      <c r="B766" s="4" t="inlineStr">
        <is>
          <t>Regleta de 6 salidas con supresor de picos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725</v>
      </c>
      <c r="K766" s="8" t="n"/>
      <c r="L766" s="8" t="n"/>
      <c r="M766" s="8">
        <f>IF(COUNT(D766:L766)=0,"",MIN(D766:L766))</f>
        <v/>
      </c>
      <c r="N766" s="8">
        <f>IF(COUNT(D766:L766)=0,"",MEDIAN(D766:L766))</f>
        <v/>
      </c>
      <c r="O766" s="8">
        <f>IF(COUNT(D766:L766)=0,"",MAX(D766:L766))</f>
        <v/>
      </c>
      <c r="P766" s="9">
        <f>IF(OR(M766="",M766=0),"",(O766-M766)/M766)</f>
        <v/>
      </c>
      <c r="Q766" s="7">
        <f>IF(COUNT(D766:L766)=0,"",INDEX($D$1:$L$1,MATCH(MIN(D766:L766),D766:L766,0)))</f>
        <v/>
      </c>
      <c r="R766" s="8" t="n">
        <v>725</v>
      </c>
      <c r="S766" s="10" t="n">
        <v>1</v>
      </c>
    </row>
    <row r="767">
      <c r="A767" s="7" t="inlineStr">
        <is>
          <t>MAT-10-214</t>
        </is>
      </c>
      <c r="B767" s="4" t="inlineStr">
        <is>
          <t>Regleta de 8 salidas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1195</v>
      </c>
      <c r="K767" s="8" t="n"/>
      <c r="L767" s="8" t="n"/>
      <c r="M767" s="8">
        <f>IF(COUNT(D767:L767)=0,"",MIN(D767:L767))</f>
        <v/>
      </c>
      <c r="N767" s="8">
        <f>IF(COUNT(D767:L767)=0,"",MEDIAN(D767:L767))</f>
        <v/>
      </c>
      <c r="O767" s="8">
        <f>IF(COUNT(D767:L767)=0,"",MAX(D767:L767))</f>
        <v/>
      </c>
      <c r="P767" s="9">
        <f>IF(OR(M767="",M767=0),"",(O767-M767)/M767)</f>
        <v/>
      </c>
      <c r="Q767" s="7">
        <f>IF(COUNT(D767:L767)=0,"",INDEX($D$1:$L$1,MATCH(MIN(D767:L767),D767:L767,0)))</f>
        <v/>
      </c>
      <c r="R767" s="8" t="n">
        <v>1195</v>
      </c>
      <c r="S767" s="10" t="n">
        <v>1</v>
      </c>
    </row>
    <row r="768">
      <c r="A768" s="7" t="inlineStr">
        <is>
          <t>MAT-10-215</t>
        </is>
      </c>
      <c r="B768" s="4" t="inlineStr">
        <is>
          <t>Sensor de movimiento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500</v>
      </c>
      <c r="K768" s="8" t="n"/>
      <c r="L768" s="8" t="n"/>
      <c r="M768" s="8">
        <f>IF(COUNT(D768:L768)=0,"",MIN(D768:L768))</f>
        <v/>
      </c>
      <c r="N768" s="8">
        <f>IF(COUNT(D768:L768)=0,"",MEDIAN(D768:L768))</f>
        <v/>
      </c>
      <c r="O768" s="8">
        <f>IF(COUNT(D768:L768)=0,"",MAX(D768:L768))</f>
        <v/>
      </c>
      <c r="P768" s="9">
        <f>IF(OR(M768="",M768=0),"",(O768-M768)/M768)</f>
        <v/>
      </c>
      <c r="Q768" s="7">
        <f>IF(COUNT(D768:L768)=0,"",INDEX($D$1:$L$1,MATCH(MIN(D768:L768),D768:L768,0)))</f>
        <v/>
      </c>
      <c r="R768" s="8" t="n">
        <v>570</v>
      </c>
      <c r="S768" s="10" t="n">
        <v>1</v>
      </c>
    </row>
    <row r="769">
      <c r="A769" s="7" t="inlineStr">
        <is>
          <t>MAT-10-216</t>
        </is>
      </c>
      <c r="B769" s="4" t="inlineStr">
        <is>
          <t>Temporizador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805</v>
      </c>
      <c r="K769" s="8" t="n"/>
      <c r="L769" s="8" t="n"/>
      <c r="M769" s="8">
        <f>IF(COUNT(D769:L769)=0,"",MIN(D769:L769))</f>
        <v/>
      </c>
      <c r="N769" s="8">
        <f>IF(COUNT(D769:L769)=0,"",MEDIAN(D769:L769))</f>
        <v/>
      </c>
      <c r="O769" s="8">
        <f>IF(COUNT(D769:L769)=0,"",MAX(D769:L769))</f>
        <v/>
      </c>
      <c r="P769" s="9">
        <f>IF(OR(M769="",M769=0),"",(O769-M769)/M769)</f>
        <v/>
      </c>
      <c r="Q769" s="7">
        <f>IF(COUNT(D769:L769)=0,"",INDEX($D$1:$L$1,MATCH(MIN(D769:L769),D769:L769,0)))</f>
        <v/>
      </c>
      <c r="R769" s="8" t="n">
        <v>805</v>
      </c>
      <c r="S769" s="10" t="n">
        <v>1</v>
      </c>
    </row>
    <row r="770">
      <c r="A770" s="7" t="inlineStr">
        <is>
          <t>MAT-10-217</t>
        </is>
      </c>
      <c r="B770" s="4" t="inlineStr">
        <is>
          <t>Timbre eléctrico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100</v>
      </c>
      <c r="K770" s="8" t="n"/>
      <c r="L770" s="8" t="n"/>
      <c r="M770" s="8">
        <f>IF(COUNT(D770:L770)=0,"",MIN(D770:L770))</f>
        <v/>
      </c>
      <c r="N770" s="8">
        <f>IF(COUNT(D770:L770)=0,"",MEDIAN(D770:L770))</f>
        <v/>
      </c>
      <c r="O770" s="8">
        <f>IF(COUNT(D770:L770)=0,"",MAX(D770:L770))</f>
        <v/>
      </c>
      <c r="P770" s="9">
        <f>IF(OR(M770="",M770=0),"",(O770-M770)/M770)</f>
        <v/>
      </c>
      <c r="Q770" s="7">
        <f>IF(COUNT(D770:L770)=0,"",INDEX($D$1:$L$1,MATCH(MIN(D770:L770),D770:L770,0)))</f>
        <v/>
      </c>
      <c r="R770" s="8" t="n">
        <v>397.5</v>
      </c>
      <c r="S770" s="10" t="n">
        <v>1</v>
      </c>
    </row>
    <row r="771">
      <c r="A771" s="7" t="inlineStr">
        <is>
          <t>MAT-12-009</t>
        </is>
      </c>
      <c r="B771" s="4" t="inlineStr">
        <is>
          <t>Pintura acrílica, cubeta de 5 galones</t>
        </is>
      </c>
      <c r="C771" s="7" t="inlineStr">
        <is>
          <t>envase</t>
        </is>
      </c>
      <c r="D771" s="8" t="n"/>
      <c r="E771" s="8" t="n"/>
      <c r="F771" s="8" t="n"/>
      <c r="G771" s="8" t="n"/>
      <c r="H771" s="8" t="n">
        <v>1750</v>
      </c>
      <c r="I771" s="8" t="n"/>
      <c r="J771" s="8" t="n"/>
      <c r="K771" s="8" t="n"/>
      <c r="L771" s="8" t="n">
        <v>1730.56</v>
      </c>
      <c r="M771" s="8">
        <f>IF(COUNT(D771:L771)=0,"",MIN(D771:L771))</f>
        <v/>
      </c>
      <c r="N771" s="8">
        <f>IF(COUNT(D771:L771)=0,"",MEDIAN(D771:L771))</f>
        <v/>
      </c>
      <c r="O771" s="8">
        <f>IF(COUNT(D771:L771)=0,"",MAX(D771:L771))</f>
        <v/>
      </c>
      <c r="P771" s="9">
        <f>IF(OR(M771="",M771=0),"",(O771-M771)/M771)</f>
        <v/>
      </c>
      <c r="Q771" s="7">
        <f>IF(COUNT(D771:L771)=0,"",INDEX($D$1:$L$1,MATCH(MIN(D771:L771),D771:L771,0)))</f>
        <v/>
      </c>
      <c r="R771" s="8" t="n">
        <v>6383.65</v>
      </c>
      <c r="S771" s="10" t="n">
        <v>2</v>
      </c>
    </row>
    <row r="772">
      <c r="A772" s="7" t="inlineStr">
        <is>
          <t>MAT-12-010</t>
        </is>
      </c>
      <c r="B772" s="4" t="inlineStr">
        <is>
          <t>Pintura acrílica, galón</t>
        </is>
      </c>
      <c r="C772" s="7" t="inlineStr">
        <is>
          <t>envase</t>
        </is>
      </c>
      <c r="D772" s="8" t="n"/>
      <c r="E772" s="8" t="n"/>
      <c r="F772" s="8" t="n"/>
      <c r="G772" s="8" t="n"/>
      <c r="H772" s="8" t="n">
        <v>375</v>
      </c>
      <c r="I772" s="8" t="n"/>
      <c r="J772" s="8" t="n"/>
      <c r="K772" s="8" t="n"/>
      <c r="L772" s="8" t="n">
        <v>374.4</v>
      </c>
      <c r="M772" s="8">
        <f>IF(COUNT(D772:L772)=0,"",MIN(D772:L772))</f>
        <v/>
      </c>
      <c r="N772" s="8">
        <f>IF(COUNT(D772:L772)=0,"",MEDIAN(D772:L772))</f>
        <v/>
      </c>
      <c r="O772" s="8">
        <f>IF(COUNT(D772:L772)=0,"",MAX(D772:L772))</f>
        <v/>
      </c>
      <c r="P772" s="9">
        <f>IF(OR(M772="",M772=0),"",(O772-M772)/M772)</f>
        <v/>
      </c>
      <c r="Q772" s="7">
        <f>IF(COUNT(D772:L772)=0,"",INDEX($D$1:$L$1,MATCH(MIN(D772:L772),D772:L772,0)))</f>
        <v/>
      </c>
      <c r="R772" s="8" t="n">
        <v>1308.45</v>
      </c>
      <c r="S772" s="10" t="n">
        <v>2</v>
      </c>
    </row>
    <row r="773">
      <c r="A773" s="7" t="inlineStr">
        <is>
          <t>MAT-12-011</t>
        </is>
      </c>
      <c r="B773" s="4" t="inlineStr">
        <is>
          <t>Pintura aislante térmica, galón</t>
        </is>
      </c>
      <c r="C773" s="7" t="inlineStr">
        <is>
          <t>envase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6835.64</v>
      </c>
      <c r="M773" s="8">
        <f>IF(COUNT(D773:L773)=0,"",MIN(D773:L773))</f>
        <v/>
      </c>
      <c r="N773" s="8">
        <f>IF(COUNT(D773:L773)=0,"",MEDIAN(D773:L773))</f>
        <v/>
      </c>
      <c r="O773" s="8">
        <f>IF(COUNT(D773:L773)=0,"",MAX(D773:L773))</f>
        <v/>
      </c>
      <c r="P773" s="9">
        <f>IF(OR(M773="",M773=0),"",(O773-M773)/M773)</f>
        <v/>
      </c>
      <c r="Q773" s="7">
        <f>IF(COUNT(D773:L773)=0,"",INDEX($D$1:$L$1,MATCH(MIN(D773:L773),D773:L773,0)))</f>
        <v/>
      </c>
      <c r="R773" s="8" t="n">
        <v>6835.64</v>
      </c>
      <c r="S773" s="10" t="n">
        <v>1</v>
      </c>
    </row>
    <row r="774">
      <c r="A774" s="7" t="inlineStr">
        <is>
          <t>MAT-12-012</t>
        </is>
      </c>
      <c r="B774" s="4" t="inlineStr">
        <is>
          <t>Pintura anticorrosiva, galón</t>
        </is>
      </c>
      <c r="C774" s="7" t="inlineStr">
        <is>
          <t>envase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1345.06</v>
      </c>
      <c r="M774" s="8">
        <f>IF(COUNT(D774:L774)=0,"",MIN(D774:L774))</f>
        <v/>
      </c>
      <c r="N774" s="8">
        <f>IF(COUNT(D774:L774)=0,"",MEDIAN(D774:L774))</f>
        <v/>
      </c>
      <c r="O774" s="8">
        <f>IF(COUNT(D774:L774)=0,"",MAX(D774:L774))</f>
        <v/>
      </c>
      <c r="P774" s="9">
        <f>IF(OR(M774="",M774=0),"",(O774-M774)/M774)</f>
        <v/>
      </c>
      <c r="Q774" s="7">
        <f>IF(COUNT(D774:L774)=0,"",INDEX($D$1:$L$1,MATCH(MIN(D774:L774),D774:L774,0)))</f>
        <v/>
      </c>
      <c r="R774" s="8" t="n">
        <v>2542.66</v>
      </c>
      <c r="S774" s="10" t="n">
        <v>1</v>
      </c>
    </row>
    <row r="775">
      <c r="A775" s="7" t="inlineStr">
        <is>
          <t>MAT-12-013</t>
        </is>
      </c>
      <c r="B775" s="4" t="inlineStr">
        <is>
          <t>Pintura de tráfico, galón</t>
        </is>
      </c>
      <c r="C775" s="7" t="inlineStr">
        <is>
          <t>envase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1705.6</v>
      </c>
      <c r="M775" s="8">
        <f>IF(COUNT(D775:L775)=0,"",MIN(D775:L775))</f>
        <v/>
      </c>
      <c r="N775" s="8">
        <f>IF(COUNT(D775:L775)=0,"",MEDIAN(D775:L775))</f>
        <v/>
      </c>
      <c r="O775" s="8">
        <f>IF(COUNT(D775:L775)=0,"",MAX(D775:L775))</f>
        <v/>
      </c>
      <c r="P775" s="9">
        <f>IF(OR(M775="",M775=0),"",(O775-M775)/M775)</f>
        <v/>
      </c>
      <c r="Q775" s="7">
        <f>IF(COUNT(D775:L775)=0,"",INDEX($D$1:$L$1,MATCH(MIN(D775:L775),D775:L775,0)))</f>
        <v/>
      </c>
      <c r="R775" s="8" t="n">
        <v>1780.6</v>
      </c>
      <c r="S775" s="10" t="n">
        <v>1</v>
      </c>
    </row>
    <row r="776">
      <c r="A776" s="7" t="inlineStr">
        <is>
          <t>MAT-12-014</t>
        </is>
      </c>
      <c r="B776" s="4" t="inlineStr">
        <is>
          <t>Pintura epóxica, cubeta de 5 galones</t>
        </is>
      </c>
      <c r="C776" s="7" t="inlineStr">
        <is>
          <t>envase</t>
        </is>
      </c>
      <c r="D776" s="8" t="n"/>
      <c r="E776" s="8" t="n"/>
      <c r="F776" s="8" t="n"/>
      <c r="G776" s="8" t="n"/>
      <c r="H776" s="8" t="n">
        <v>1675</v>
      </c>
      <c r="I776" s="8" t="n"/>
      <c r="J776" s="8" t="n"/>
      <c r="K776" s="8" t="n"/>
      <c r="L776" s="8" t="n"/>
      <c r="M776" s="8">
        <f>IF(COUNT(D776:L776)=0,"",MIN(D776:L776))</f>
        <v/>
      </c>
      <c r="N776" s="8">
        <f>IF(COUNT(D776:L776)=0,"",MEDIAN(D776:L776))</f>
        <v/>
      </c>
      <c r="O776" s="8">
        <f>IF(COUNT(D776:L776)=0,"",MAX(D776:L776))</f>
        <v/>
      </c>
      <c r="P776" s="9">
        <f>IF(OR(M776="",M776=0),"",(O776-M776)/M776)</f>
        <v/>
      </c>
      <c r="Q776" s="7">
        <f>IF(COUNT(D776:L776)=0,"",INDEX($D$1:$L$1,MATCH(MIN(D776:L776),D776:L776,0)))</f>
        <v/>
      </c>
      <c r="R776" s="8" t="n">
        <v>1675</v>
      </c>
      <c r="S776" s="10" t="n">
        <v>1</v>
      </c>
    </row>
    <row r="777">
      <c r="A777" s="7" t="inlineStr">
        <is>
          <t>MAT-12-015</t>
        </is>
      </c>
      <c r="B777" s="4" t="inlineStr">
        <is>
          <t>Pintura epóxica, galón</t>
        </is>
      </c>
      <c r="C777" s="7" t="inlineStr">
        <is>
          <t>envase</t>
        </is>
      </c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>
        <v>2954.01</v>
      </c>
      <c r="M777" s="8">
        <f>IF(COUNT(D777:L777)=0,"",MIN(D777:L777))</f>
        <v/>
      </c>
      <c r="N777" s="8">
        <f>IF(COUNT(D777:L777)=0,"",MEDIAN(D777:L777))</f>
        <v/>
      </c>
      <c r="O777" s="8">
        <f>IF(COUNT(D777:L777)=0,"",MAX(D777:L777))</f>
        <v/>
      </c>
      <c r="P777" s="9">
        <f>IF(OR(M777="",M777=0),"",(O777-M777)/M777)</f>
        <v/>
      </c>
      <c r="Q777" s="7">
        <f>IF(COUNT(D777:L777)=0,"",INDEX($D$1:$L$1,MATCH(MIN(D777:L777),D777:L777,0)))</f>
        <v/>
      </c>
      <c r="R777" s="8" t="n">
        <v>2954.01</v>
      </c>
      <c r="S777" s="10" t="n">
        <v>1</v>
      </c>
    </row>
    <row r="778">
      <c r="A778" s="7" t="inlineStr">
        <is>
          <t>MAT-12-016</t>
        </is>
      </c>
      <c r="B778" s="4" t="inlineStr">
        <is>
          <t>Pintura esmalte, envase de 750 ml</t>
        </is>
      </c>
      <c r="C778" s="7" t="inlineStr">
        <is>
          <t>envase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1212.3</v>
      </c>
      <c r="M778" s="8">
        <f>IF(COUNT(D778:L778)=0,"",MIN(D778:L778))</f>
        <v/>
      </c>
      <c r="N778" s="8">
        <f>IF(COUNT(D778:L778)=0,"",MEDIAN(D778:L778))</f>
        <v/>
      </c>
      <c r="O778" s="8">
        <f>IF(COUNT(D778:L778)=0,"",MAX(D778:L778))</f>
        <v/>
      </c>
      <c r="P778" s="9">
        <f>IF(OR(M778="",M778=0),"",(O778-M778)/M778)</f>
        <v/>
      </c>
      <c r="Q778" s="7">
        <f>IF(COUNT(D778:L778)=0,"",INDEX($D$1:$L$1,MATCH(MIN(D778:L778),D778:L778,0)))</f>
        <v/>
      </c>
      <c r="R778" s="8" t="n">
        <v>1212.3</v>
      </c>
      <c r="S778" s="10" t="n">
        <v>1</v>
      </c>
    </row>
    <row r="779">
      <c r="A779" s="7" t="inlineStr">
        <is>
          <t>MAT-12-017</t>
        </is>
      </c>
      <c r="B779" s="4" t="inlineStr">
        <is>
          <t>Pintura esmalte, galón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1312.41</v>
      </c>
      <c r="M779" s="8">
        <f>IF(COUNT(D779:L779)=0,"",MIN(D779:L779))</f>
        <v/>
      </c>
      <c r="N779" s="8">
        <f>IF(COUNT(D779:L779)=0,"",MEDIAN(D779:L779))</f>
        <v/>
      </c>
      <c r="O779" s="8">
        <f>IF(COUNT(D779:L779)=0,"",MAX(D779:L779))</f>
        <v/>
      </c>
      <c r="P779" s="9">
        <f>IF(OR(M779="",M779=0),"",(O779-M779)/M779)</f>
        <v/>
      </c>
      <c r="Q779" s="7">
        <f>IF(COUNT(D779:L779)=0,"",INDEX($D$1:$L$1,MATCH(MIN(D779:L779),D779:L779,0)))</f>
        <v/>
      </c>
      <c r="R779" s="8" t="n">
        <v>1527.9</v>
      </c>
      <c r="S779" s="10" t="n">
        <v>1</v>
      </c>
    </row>
    <row r="780">
      <c r="A780" s="7" t="inlineStr">
        <is>
          <t>MAT-12-018</t>
        </is>
      </c>
      <c r="B780" s="4" t="inlineStr">
        <is>
          <t>Impermeabilizante, cubeta de 5 galones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>
        <v>2065</v>
      </c>
      <c r="I780" s="8" t="n"/>
      <c r="J780" s="8" t="n"/>
      <c r="K780" s="8" t="n"/>
      <c r="L780" s="8" t="n">
        <v>4578.08</v>
      </c>
      <c r="M780" s="8">
        <f>IF(COUNT(D780:L780)=0,"",MIN(D780:L780))</f>
        <v/>
      </c>
      <c r="N780" s="8">
        <f>IF(COUNT(D780:L780)=0,"",MEDIAN(D780:L780))</f>
        <v/>
      </c>
      <c r="O780" s="8">
        <f>IF(COUNT(D780:L780)=0,"",MAX(D780:L780))</f>
        <v/>
      </c>
      <c r="P780" s="9">
        <f>IF(OR(M780="",M780=0),"",(O780-M780)/M780)</f>
        <v/>
      </c>
      <c r="Q780" s="7">
        <f>IF(COUNT(D780:L780)=0,"",INDEX($D$1:$L$1,MATCH(MIN(D780:L780),D780:L780,0)))</f>
        <v/>
      </c>
      <c r="R780" s="8" t="n">
        <v>7752.62</v>
      </c>
      <c r="S780" s="10" t="n">
        <v>2</v>
      </c>
    </row>
    <row r="781">
      <c r="A781" s="7" t="inlineStr">
        <is>
          <t>MAT-12-019</t>
        </is>
      </c>
      <c r="B781" s="4" t="inlineStr">
        <is>
          <t>Impermeabilizante, funda de 40 libras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2419.2</v>
      </c>
      <c r="M781" s="8">
        <f>IF(COUNT(D781:L781)=0,"",MIN(D781:L781))</f>
        <v/>
      </c>
      <c r="N781" s="8">
        <f>IF(COUNT(D781:L781)=0,"",MEDIAN(D781:L781))</f>
        <v/>
      </c>
      <c r="O781" s="8">
        <f>IF(COUNT(D781:L781)=0,"",MAX(D781:L781))</f>
        <v/>
      </c>
      <c r="P781" s="9">
        <f>IF(OR(M781="",M781=0),"",(O781-M781)/M781)</f>
        <v/>
      </c>
      <c r="Q781" s="7">
        <f>IF(COUNT(D781:L781)=0,"",INDEX($D$1:$L$1,MATCH(MIN(D781:L781),D781:L781,0)))</f>
        <v/>
      </c>
      <c r="R781" s="8" t="n">
        <v>2419.2</v>
      </c>
      <c r="S781" s="10" t="n">
        <v>1</v>
      </c>
    </row>
    <row r="782">
      <c r="A782" s="7" t="inlineStr">
        <is>
          <t>MAT-12-020</t>
        </is>
      </c>
      <c r="B782" s="4" t="inlineStr">
        <is>
          <t>Impermeabilizante, funda de 44 libras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2838.53</v>
      </c>
      <c r="M782" s="8">
        <f>IF(COUNT(D782:L782)=0,"",MIN(D782:L782))</f>
        <v/>
      </c>
      <c r="N782" s="8">
        <f>IF(COUNT(D782:L782)=0,"",MEDIAN(D782:L782))</f>
        <v/>
      </c>
      <c r="O782" s="8">
        <f>IF(COUNT(D782:L782)=0,"",MAX(D782:L782))</f>
        <v/>
      </c>
      <c r="P782" s="9">
        <f>IF(OR(M782="",M782=0),"",(O782-M782)/M782)</f>
        <v/>
      </c>
      <c r="Q782" s="7">
        <f>IF(COUNT(D782:L782)=0,"",INDEX($D$1:$L$1,MATCH(MIN(D782:L782),D782:L782,0)))</f>
        <v/>
      </c>
      <c r="R782" s="8" t="n">
        <v>2838.53</v>
      </c>
      <c r="S782" s="10" t="n">
        <v>1</v>
      </c>
    </row>
    <row r="783">
      <c r="A783" s="7" t="inlineStr">
        <is>
          <t>MAT-12-021</t>
        </is>
      </c>
      <c r="B783" s="4" t="inlineStr">
        <is>
          <t>Impermeabilizante, galón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>
        <v>1265</v>
      </c>
      <c r="I783" s="8" t="n"/>
      <c r="J783" s="8" t="n"/>
      <c r="K783" s="8" t="n"/>
      <c r="L783" s="8" t="n">
        <v>3104.96</v>
      </c>
      <c r="M783" s="8">
        <f>IF(COUNT(D783:L783)=0,"",MIN(D783:L783))</f>
        <v/>
      </c>
      <c r="N783" s="8">
        <f>IF(COUNT(D783:L783)=0,"",MEDIAN(D783:L783))</f>
        <v/>
      </c>
      <c r="O783" s="8">
        <f>IF(COUNT(D783:L783)=0,"",MAX(D783:L783))</f>
        <v/>
      </c>
      <c r="P783" s="9">
        <f>IF(OR(M783="",M783=0),"",(O783-M783)/M783)</f>
        <v/>
      </c>
      <c r="Q783" s="7">
        <f>IF(COUNT(D783:L783)=0,"",INDEX($D$1:$L$1,MATCH(MIN(D783:L783),D783:L783,0)))</f>
        <v/>
      </c>
      <c r="R783" s="8" t="n">
        <v>2299.98</v>
      </c>
      <c r="S783" s="10" t="n">
        <v>2</v>
      </c>
    </row>
    <row r="784">
      <c r="A784" s="7" t="inlineStr">
        <is>
          <t>MAT-12-022</t>
        </is>
      </c>
      <c r="B784" s="4" t="inlineStr">
        <is>
          <t>Masilla,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>
        <v>1395</v>
      </c>
      <c r="I784" s="8" t="n"/>
      <c r="J784" s="8" t="n"/>
      <c r="K784" s="8" t="n"/>
      <c r="L784" s="8" t="n"/>
      <c r="M784" s="8">
        <f>IF(COUNT(D784:L784)=0,"",MIN(D784:L784))</f>
        <v/>
      </c>
      <c r="N784" s="8">
        <f>IF(COUNT(D784:L784)=0,"",MEDIAN(D784:L784))</f>
        <v/>
      </c>
      <c r="O784" s="8">
        <f>IF(COUNT(D784:L784)=0,"",MAX(D784:L784))</f>
        <v/>
      </c>
      <c r="P784" s="9">
        <f>IF(OR(M784="",M784=0),"",(O784-M784)/M784)</f>
        <v/>
      </c>
      <c r="Q784" s="7">
        <f>IF(COUNT(D784:L784)=0,"",INDEX($D$1:$L$1,MATCH(MIN(D784:L784),D784:L784,0)))</f>
        <v/>
      </c>
      <c r="R784" s="8" t="n">
        <v>1795</v>
      </c>
      <c r="S784" s="10" t="n">
        <v>1</v>
      </c>
    </row>
    <row r="785">
      <c r="A785" s="7" t="inlineStr">
        <is>
          <t>MAT-12-023</t>
        </is>
      </c>
      <c r="B785" s="4" t="inlineStr">
        <is>
          <t>Masilla, envase de 2.5 litros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1429.12</v>
      </c>
      <c r="M785" s="8">
        <f>IF(COUNT(D785:L785)=0,"",MIN(D785:L785))</f>
        <v/>
      </c>
      <c r="N785" s="8">
        <f>IF(COUNT(D785:L785)=0,"",MEDIAN(D785:L785))</f>
        <v/>
      </c>
      <c r="O785" s="8">
        <f>IF(COUNT(D785:L785)=0,"",MAX(D785:L785))</f>
        <v/>
      </c>
      <c r="P785" s="9">
        <f>IF(OR(M785="",M785=0),"",(O785-M785)/M785)</f>
        <v/>
      </c>
      <c r="Q785" s="7">
        <f>IF(COUNT(D785:L785)=0,"",INDEX($D$1:$L$1,MATCH(MIN(D785:L785),D785:L785,0)))</f>
        <v/>
      </c>
      <c r="R785" s="8" t="n">
        <v>1429.12</v>
      </c>
      <c r="S785" s="10" t="n">
        <v>1</v>
      </c>
    </row>
    <row r="786">
      <c r="A786" s="7" t="inlineStr">
        <is>
          <t>MAT-12-024</t>
        </is>
      </c>
      <c r="B786" s="4" t="inlineStr">
        <is>
          <t>Masilla, funda de 1 libra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211.9</v>
      </c>
      <c r="M786" s="8">
        <f>IF(COUNT(D786:L786)=0,"",MIN(D786:L786))</f>
        <v/>
      </c>
      <c r="N786" s="8">
        <f>IF(COUNT(D786:L786)=0,"",MEDIAN(D786:L786))</f>
        <v/>
      </c>
      <c r="O786" s="8">
        <f>IF(COUNT(D786:L786)=0,"",MAX(D786:L786))</f>
        <v/>
      </c>
      <c r="P786" s="9">
        <f>IF(OR(M786="",M786=0),"",(O786-M786)/M786)</f>
        <v/>
      </c>
      <c r="Q786" s="7">
        <f>IF(COUNT(D786:L786)=0,"",INDEX($D$1:$L$1,MATCH(MIN(D786:L786),D786:L786,0)))</f>
        <v/>
      </c>
      <c r="R786" s="8" t="n">
        <v>211.9</v>
      </c>
      <c r="S786" s="10" t="n">
        <v>1</v>
      </c>
    </row>
    <row r="787">
      <c r="A787" s="7" t="inlineStr">
        <is>
          <t>MAT-12-025</t>
        </is>
      </c>
      <c r="B787" s="4" t="inlineStr">
        <is>
          <t>Masilla, funda de 11 libras</t>
        </is>
      </c>
      <c r="C787" s="7" t="inlineStr">
        <is>
          <t>envase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>
        <v>1118.66</v>
      </c>
      <c r="M787" s="8">
        <f>IF(COUNT(D787:L787)=0,"",MIN(D787:L787))</f>
        <v/>
      </c>
      <c r="N787" s="8">
        <f>IF(COUNT(D787:L787)=0,"",MEDIAN(D787:L787))</f>
        <v/>
      </c>
      <c r="O787" s="8">
        <f>IF(COUNT(D787:L787)=0,"",MAX(D787:L787))</f>
        <v/>
      </c>
      <c r="P787" s="9">
        <f>IF(OR(M787="",M787=0),"",(O787-M787)/M787)</f>
        <v/>
      </c>
      <c r="Q787" s="7">
        <f>IF(COUNT(D787:L787)=0,"",INDEX($D$1:$L$1,MATCH(MIN(D787:L787),D787:L787,0)))</f>
        <v/>
      </c>
      <c r="R787" s="8" t="n">
        <v>1118.66</v>
      </c>
      <c r="S787" s="10" t="n">
        <v>1</v>
      </c>
    </row>
    <row r="788">
      <c r="A788" s="7" t="inlineStr">
        <is>
          <t>MAT-12-026</t>
        </is>
      </c>
      <c r="B788" s="4" t="inlineStr">
        <is>
          <t>Masilla, funda de 2 libras</t>
        </is>
      </c>
      <c r="C788" s="7" t="inlineStr">
        <is>
          <t>envase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335.1</v>
      </c>
      <c r="M788" s="8">
        <f>IF(COUNT(D788:L788)=0,"",MIN(D788:L788))</f>
        <v/>
      </c>
      <c r="N788" s="8">
        <f>IF(COUNT(D788:L788)=0,"",MEDIAN(D788:L788))</f>
        <v/>
      </c>
      <c r="O788" s="8">
        <f>IF(COUNT(D788:L788)=0,"",MAX(D788:L788))</f>
        <v/>
      </c>
      <c r="P788" s="9">
        <f>IF(OR(M788="",M788=0),"",(O788-M788)/M788)</f>
        <v/>
      </c>
      <c r="Q788" s="7">
        <f>IF(COUNT(D788:L788)=0,"",INDEX($D$1:$L$1,MATCH(MIN(D788:L788),D788:L788,0)))</f>
        <v/>
      </c>
      <c r="R788" s="8" t="n">
        <v>335.1</v>
      </c>
      <c r="S788" s="10" t="n">
        <v>1</v>
      </c>
    </row>
    <row r="789">
      <c r="A789" s="7" t="inlineStr">
        <is>
          <t>MAT-12-027</t>
        </is>
      </c>
      <c r="B789" s="4" t="inlineStr">
        <is>
          <t>Masilla para exterior, cubeta de 5 galones</t>
        </is>
      </c>
      <c r="C789" s="7" t="inlineStr">
        <is>
          <t>envase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4072.16</v>
      </c>
      <c r="M789" s="8">
        <f>IF(COUNT(D789:L789)=0,"",MIN(D789:L789))</f>
        <v/>
      </c>
      <c r="N789" s="8">
        <f>IF(COUNT(D789:L789)=0,"",MEDIAN(D789:L789))</f>
        <v/>
      </c>
      <c r="O789" s="8">
        <f>IF(COUNT(D789:L789)=0,"",MAX(D789:L789))</f>
        <v/>
      </c>
      <c r="P789" s="9">
        <f>IF(OR(M789="",M789=0),"",(O789-M789)/M789)</f>
        <v/>
      </c>
      <c r="Q789" s="7">
        <f>IF(COUNT(D789:L789)=0,"",INDEX($D$1:$L$1,MATCH(MIN(D789:L789),D789:L789,0)))</f>
        <v/>
      </c>
      <c r="R789" s="8" t="n">
        <v>4072.16</v>
      </c>
      <c r="S789" s="10" t="n">
        <v>1</v>
      </c>
    </row>
    <row r="790">
      <c r="A790" s="7" t="inlineStr">
        <is>
          <t>MAT-12-028</t>
        </is>
      </c>
      <c r="B790" s="4" t="inlineStr">
        <is>
          <t>Masilla para exterior, funda de 40 libras</t>
        </is>
      </c>
      <c r="C790" s="7" t="inlineStr">
        <is>
          <t>envase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>
        <v>2157.6</v>
      </c>
      <c r="M790" s="8">
        <f>IF(COUNT(D790:L790)=0,"",MIN(D790:L790))</f>
        <v/>
      </c>
      <c r="N790" s="8">
        <f>IF(COUNT(D790:L790)=0,"",MEDIAN(D790:L790))</f>
        <v/>
      </c>
      <c r="O790" s="8">
        <f>IF(COUNT(D790:L790)=0,"",MAX(D790:L790))</f>
        <v/>
      </c>
      <c r="P790" s="9">
        <f>IF(OR(M790="",M790=0),"",(O790-M790)/M790)</f>
        <v/>
      </c>
      <c r="Q790" s="7">
        <f>IF(COUNT(D790:L790)=0,"",INDEX($D$1:$L$1,MATCH(MIN(D790:L790),D790:L790,0)))</f>
        <v/>
      </c>
      <c r="R790" s="8" t="n">
        <v>2157.6</v>
      </c>
      <c r="S790" s="10" t="n">
        <v>1</v>
      </c>
    </row>
    <row r="791">
      <c r="A791" s="7" t="inlineStr">
        <is>
          <t>MAT-12-029</t>
        </is>
      </c>
      <c r="B791" s="4" t="inlineStr">
        <is>
          <t>Masilla para sheetrock, cubeta de 5 galones</t>
        </is>
      </c>
      <c r="C791" s="7" t="inlineStr">
        <is>
          <t>envase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1221.74</v>
      </c>
      <c r="M791" s="8">
        <f>IF(COUNT(D791:L791)=0,"",MIN(D791:L791))</f>
        <v/>
      </c>
      <c r="N791" s="8">
        <f>IF(COUNT(D791:L791)=0,"",MEDIAN(D791:L791))</f>
        <v/>
      </c>
      <c r="O791" s="8">
        <f>IF(COUNT(D791:L791)=0,"",MAX(D791:L791))</f>
        <v/>
      </c>
      <c r="P791" s="9">
        <f>IF(OR(M791="",M791=0),"",(O791-M791)/M791)</f>
        <v/>
      </c>
      <c r="Q791" s="7">
        <f>IF(COUNT(D791:L791)=0,"",INDEX($D$1:$L$1,MATCH(MIN(D791:L791),D791:L791,0)))</f>
        <v/>
      </c>
      <c r="R791" s="8" t="n">
        <v>1311.83</v>
      </c>
      <c r="S791" s="10" t="n">
        <v>1</v>
      </c>
    </row>
    <row r="792">
      <c r="A792" s="7" t="inlineStr">
        <is>
          <t>MAT-12-030</t>
        </is>
      </c>
      <c r="B792" s="4" t="inlineStr">
        <is>
          <t>Pintura para piscina, galón</t>
        </is>
      </c>
      <c r="C792" s="7" t="inlineStr">
        <is>
          <t>envase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3326.41</v>
      </c>
      <c r="M792" s="8">
        <f>IF(COUNT(D792:L792)=0,"",MIN(D792:L792))</f>
        <v/>
      </c>
      <c r="N792" s="8">
        <f>IF(COUNT(D792:L792)=0,"",MEDIAN(D792:L792))</f>
        <v/>
      </c>
      <c r="O792" s="8">
        <f>IF(COUNT(D792:L792)=0,"",MAX(D792:L792))</f>
        <v/>
      </c>
      <c r="P792" s="9">
        <f>IF(OR(M792="",M792=0),"",(O792-M792)/M792)</f>
        <v/>
      </c>
      <c r="Q792" s="7">
        <f>IF(COUNT(D792:L792)=0,"",INDEX($D$1:$L$1,MATCH(MIN(D792:L792),D792:L792,0)))</f>
        <v/>
      </c>
      <c r="R792" s="8" t="n">
        <v>3326.41</v>
      </c>
      <c r="S792" s="10" t="n">
        <v>1</v>
      </c>
    </row>
    <row r="793">
      <c r="A793" s="7" t="inlineStr">
        <is>
          <t>MAT-12-031</t>
        </is>
      </c>
      <c r="B793" s="4" t="inlineStr">
        <is>
          <t>Primer sellador, cubeta de 5 galones</t>
        </is>
      </c>
      <c r="C793" s="7" t="inlineStr">
        <is>
          <t>envase</t>
        </is>
      </c>
      <c r="D793" s="8" t="n"/>
      <c r="E793" s="8" t="n"/>
      <c r="F793" s="8" t="n"/>
      <c r="G793" s="8" t="n"/>
      <c r="H793" s="8" t="n">
        <v>3260</v>
      </c>
      <c r="I793" s="8" t="n"/>
      <c r="J793" s="8" t="n"/>
      <c r="K793" s="8" t="n"/>
      <c r="L793" s="8" t="n">
        <v>3473.6</v>
      </c>
      <c r="M793" s="8">
        <f>IF(COUNT(D793:L793)=0,"",MIN(D793:L793))</f>
        <v/>
      </c>
      <c r="N793" s="8">
        <f>IF(COUNT(D793:L793)=0,"",MEDIAN(D793:L793))</f>
        <v/>
      </c>
      <c r="O793" s="8">
        <f>IF(COUNT(D793:L793)=0,"",MAX(D793:L793))</f>
        <v/>
      </c>
      <c r="P793" s="9">
        <f>IF(OR(M793="",M793=0),"",(O793-M793)/M793)</f>
        <v/>
      </c>
      <c r="Q793" s="7">
        <f>IF(COUNT(D793:L793)=0,"",INDEX($D$1:$L$1,MATCH(MIN(D793:L793),D793:L793,0)))</f>
        <v/>
      </c>
      <c r="R793" s="8" t="n">
        <v>5925</v>
      </c>
      <c r="S793" s="10" t="n">
        <v>2</v>
      </c>
    </row>
    <row r="794">
      <c r="A794" s="7" t="inlineStr">
        <is>
          <t>MAT-12-032</t>
        </is>
      </c>
      <c r="B794" s="4" t="inlineStr">
        <is>
          <t>Estuco para interiores, funda de 35 libras</t>
        </is>
      </c>
      <c r="C794" s="7" t="inlineStr">
        <is>
          <t>funda</t>
        </is>
      </c>
      <c r="D794" s="8" t="n">
        <v>331.11</v>
      </c>
      <c r="E794" s="8" t="n"/>
      <c r="F794" s="8" t="n"/>
      <c r="G794" s="8" t="n"/>
      <c r="H794" s="8" t="n"/>
      <c r="I794" s="8" t="n">
        <v>690</v>
      </c>
      <c r="J794" s="8" t="n"/>
      <c r="K794" s="8" t="n"/>
      <c r="L794" s="8" t="n"/>
      <c r="M794" s="8">
        <f>IF(COUNT(D794:L794)=0,"",MIN(D794:L794))</f>
        <v/>
      </c>
      <c r="N794" s="8">
        <f>IF(COUNT(D794:L794)=0,"",MEDIAN(D794:L794))</f>
        <v/>
      </c>
      <c r="O794" s="8">
        <f>IF(COUNT(D794:L794)=0,"",MAX(D794:L794))</f>
        <v/>
      </c>
      <c r="P794" s="9">
        <f>IF(OR(M794="",M794=0),"",(O794-M794)/M794)</f>
        <v/>
      </c>
      <c r="Q794" s="7">
        <f>IF(COUNT(D794:L794)=0,"",INDEX($D$1:$L$1,MATCH(MIN(D794:L794),D794:L794,0)))</f>
        <v/>
      </c>
      <c r="R794" s="8" t="n">
        <v>510.56</v>
      </c>
      <c r="S794" s="10" t="n">
        <v>2</v>
      </c>
    </row>
    <row r="795">
      <c r="A795" s="7" t="inlineStr">
        <is>
          <t>MAT-13-011</t>
        </is>
      </c>
      <c r="B795" s="4" t="inlineStr">
        <is>
          <t>Angular para plafón, 10'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98</v>
      </c>
      <c r="J795" s="8" t="n"/>
      <c r="K795" s="8" t="n"/>
      <c r="L795" s="8" t="n"/>
      <c r="M795" s="8">
        <f>IF(COUNT(D795:L795)=0,"",MIN(D795:L795))</f>
        <v/>
      </c>
      <c r="N795" s="8">
        <f>IF(COUNT(D795:L795)=0,"",MEDIAN(D795:L795))</f>
        <v/>
      </c>
      <c r="O795" s="8">
        <f>IF(COUNT(D795:L795)=0,"",MAX(D795:L795))</f>
        <v/>
      </c>
      <c r="P795" s="9">
        <f>IF(OR(M795="",M795=0),"",(O795-M795)/M795)</f>
        <v/>
      </c>
      <c r="Q795" s="7">
        <f>IF(COUNT(D795:L795)=0,"",INDEX($D$1:$L$1,MATCH(MIN(D795:L795),D795:L795,0)))</f>
        <v/>
      </c>
      <c r="R795" s="8" t="n">
        <v>98</v>
      </c>
      <c r="S795" s="10" t="n">
        <v>1</v>
      </c>
    </row>
    <row r="796">
      <c r="A796" s="7" t="inlineStr">
        <is>
          <t>MAT-13-012</t>
        </is>
      </c>
      <c r="B796" s="4" t="inlineStr">
        <is>
          <t>Cartón piedra, 4'X8' 3X2Mm 1/8"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495</v>
      </c>
      <c r="J796" s="8" t="n"/>
      <c r="K796" s="8" t="n"/>
      <c r="L796" s="8" t="n"/>
      <c r="M796" s="8">
        <f>IF(COUNT(D796:L796)=0,"",MIN(D796:L796))</f>
        <v/>
      </c>
      <c r="N796" s="8">
        <f>IF(COUNT(D796:L796)=0,"",MEDIAN(D796:L796))</f>
        <v/>
      </c>
      <c r="O796" s="8">
        <f>IF(COUNT(D796:L796)=0,"",MAX(D796:L796))</f>
        <v/>
      </c>
      <c r="P796" s="9">
        <f>IF(OR(M796="",M796=0),"",(O796-M796)/M796)</f>
        <v/>
      </c>
      <c r="Q796" s="7">
        <f>IF(COUNT(D796:L796)=0,"",INDEX($D$1:$L$1,MATCH(MIN(D796:L796),D796:L796,0)))</f>
        <v/>
      </c>
      <c r="R796" s="8" t="n">
        <v>495</v>
      </c>
      <c r="S796" s="10" t="n">
        <v>1</v>
      </c>
    </row>
    <row r="797">
      <c r="A797" s="7" t="inlineStr">
        <is>
          <t>MAT-13-013</t>
        </is>
      </c>
      <c r="B797" s="4" t="inlineStr">
        <is>
          <t>Cross tee para plafón, 2'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26</v>
      </c>
      <c r="J797" s="8" t="n"/>
      <c r="K797" s="8" t="n"/>
      <c r="L797" s="8" t="n"/>
      <c r="M797" s="8">
        <f>IF(COUNT(D797:L797)=0,"",MIN(D797:L797))</f>
        <v/>
      </c>
      <c r="N797" s="8">
        <f>IF(COUNT(D797:L797)=0,"",MEDIAN(D797:L797))</f>
        <v/>
      </c>
      <c r="O797" s="8">
        <f>IF(COUNT(D797:L797)=0,"",MAX(D797:L797))</f>
        <v/>
      </c>
      <c r="P797" s="9">
        <f>IF(OR(M797="",M797=0),"",(O797-M797)/M797)</f>
        <v/>
      </c>
      <c r="Q797" s="7">
        <f>IF(COUNT(D797:L797)=0,"",INDEX($D$1:$L$1,MATCH(MIN(D797:L797),D797:L797,0)))</f>
        <v/>
      </c>
      <c r="R797" s="8" t="n">
        <v>26</v>
      </c>
      <c r="S797" s="10" t="n">
        <v>1</v>
      </c>
    </row>
    <row r="798">
      <c r="A798" s="7" t="inlineStr">
        <is>
          <t>MAT-13-014</t>
        </is>
      </c>
      <c r="B798" s="4" t="inlineStr">
        <is>
          <t>Cross tee para plafón, 4'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56</v>
      </c>
      <c r="J798" s="8" t="n"/>
      <c r="K798" s="8" t="n"/>
      <c r="L798" s="8" t="n"/>
      <c r="M798" s="8">
        <f>IF(COUNT(D798:L798)=0,"",MIN(D798:L798))</f>
        <v/>
      </c>
      <c r="N798" s="8">
        <f>IF(COUNT(D798:L798)=0,"",MEDIAN(D798:L798))</f>
        <v/>
      </c>
      <c r="O798" s="8">
        <f>IF(COUNT(D798:L798)=0,"",MAX(D798:L798))</f>
        <v/>
      </c>
      <c r="P798" s="9">
        <f>IF(OR(M798="",M798=0),"",(O798-M798)/M798)</f>
        <v/>
      </c>
      <c r="Q798" s="7">
        <f>IF(COUNT(D798:L798)=0,"",INDEX($D$1:$L$1,MATCH(MIN(D798:L798),D798:L798,0)))</f>
        <v/>
      </c>
      <c r="R798" s="8" t="n">
        <v>56</v>
      </c>
      <c r="S798" s="10" t="n">
        <v>1</v>
      </c>
    </row>
    <row r="799">
      <c r="A799" s="7" t="inlineStr">
        <is>
          <t>MAT-13-015</t>
        </is>
      </c>
      <c r="B799" s="4" t="inlineStr">
        <is>
          <t>Durmiente para plafón, 2-1/2"X10 calibre 25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>
        <v>149</v>
      </c>
      <c r="J799" s="8" t="n"/>
      <c r="K799" s="8" t="n"/>
      <c r="L799" s="8" t="n"/>
      <c r="M799" s="8">
        <f>IF(COUNT(D799:L799)=0,"",MIN(D799:L799))</f>
        <v/>
      </c>
      <c r="N799" s="8">
        <f>IF(COUNT(D799:L799)=0,"",MEDIAN(D799:L799))</f>
        <v/>
      </c>
      <c r="O799" s="8">
        <f>IF(COUNT(D799:L799)=0,"",MAX(D799:L799))</f>
        <v/>
      </c>
      <c r="P799" s="9">
        <f>IF(OR(M799="",M799=0),"",(O799-M799)/M799)</f>
        <v/>
      </c>
      <c r="Q799" s="7">
        <f>IF(COUNT(D799:L799)=0,"",INDEX($D$1:$L$1,MATCH(MIN(D799:L799),D799:L799,0)))</f>
        <v/>
      </c>
      <c r="R799" s="8" t="n">
        <v>149</v>
      </c>
      <c r="S799" s="10" t="n">
        <v>1</v>
      </c>
    </row>
    <row r="800">
      <c r="A800" s="7" t="inlineStr">
        <is>
          <t>MAT-13-016</t>
        </is>
      </c>
      <c r="B800" s="4" t="inlineStr">
        <is>
          <t>Main tee para plafón, 12'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186</v>
      </c>
      <c r="J800" s="8" t="n"/>
      <c r="K800" s="8" t="n"/>
      <c r="L800" s="8" t="n"/>
      <c r="M800" s="8">
        <f>IF(COUNT(D800:L800)=0,"",MIN(D800:L800))</f>
        <v/>
      </c>
      <c r="N800" s="8">
        <f>IF(COUNT(D800:L800)=0,"",MEDIAN(D800:L800))</f>
        <v/>
      </c>
      <c r="O800" s="8">
        <f>IF(COUNT(D800:L800)=0,"",MAX(D800:L800))</f>
        <v/>
      </c>
      <c r="P800" s="9">
        <f>IF(OR(M800="",M800=0),"",(O800-M800)/M800)</f>
        <v/>
      </c>
      <c r="Q800" s="7">
        <f>IF(COUNT(D800:L800)=0,"",INDEX($D$1:$L$1,MATCH(MIN(D800:L800),D800:L800,0)))</f>
        <v/>
      </c>
      <c r="R800" s="8" t="n">
        <v>186</v>
      </c>
      <c r="S800" s="10" t="n">
        <v>1</v>
      </c>
    </row>
    <row r="801">
      <c r="A801" s="7" t="inlineStr">
        <is>
          <t>MAT-13-017</t>
        </is>
      </c>
      <c r="B801" s="4" t="inlineStr">
        <is>
          <t>Paral para plafón, 2-1/2"X10 calibre 25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185</v>
      </c>
      <c r="J801" s="8" t="n"/>
      <c r="K801" s="8" t="n"/>
      <c r="L801" s="8" t="n"/>
      <c r="M801" s="8">
        <f>IF(COUNT(D801:L801)=0,"",MIN(D801:L801))</f>
        <v/>
      </c>
      <c r="N801" s="8">
        <f>IF(COUNT(D801:L801)=0,"",MEDIAN(D801:L801))</f>
        <v/>
      </c>
      <c r="O801" s="8">
        <f>IF(COUNT(D801:L801)=0,"",MAX(D801:L801))</f>
        <v/>
      </c>
      <c r="P801" s="9">
        <f>IF(OR(M801="",M801=0),"",(O801-M801)/M801)</f>
        <v/>
      </c>
      <c r="Q801" s="7">
        <f>IF(COUNT(D801:L801)=0,"",INDEX($D$1:$L$1,MATCH(MIN(D801:L801),D801:L801,0)))</f>
        <v/>
      </c>
      <c r="R801" s="8" t="n">
        <v>185</v>
      </c>
      <c r="S801" s="10" t="n">
        <v>1</v>
      </c>
    </row>
    <row r="802">
      <c r="A802" s="7" t="inlineStr">
        <is>
          <t>MAT-13-018</t>
        </is>
      </c>
      <c r="B802" s="4" t="inlineStr">
        <is>
          <t>Plafón, 2X4'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295</v>
      </c>
      <c r="J802" s="8" t="n"/>
      <c r="K802" s="8" t="n"/>
      <c r="L802" s="8" t="n"/>
      <c r="M802" s="8">
        <f>IF(COUNT(D802:L802)=0,"",MIN(D802:L802))</f>
        <v/>
      </c>
      <c r="N802" s="8">
        <f>IF(COUNT(D802:L802)=0,"",MEDIAN(D802:L802))</f>
        <v/>
      </c>
      <c r="O802" s="8">
        <f>IF(COUNT(D802:L802)=0,"",MAX(D802:L802))</f>
        <v/>
      </c>
      <c r="P802" s="9">
        <f>IF(OR(M802="",M802=0),"",(O802-M802)/M802)</f>
        <v/>
      </c>
      <c r="Q802" s="7">
        <f>IF(COUNT(D802:L802)=0,"",INDEX($D$1:$L$1,MATCH(MIN(D802:L802),D802:L802,0)))</f>
        <v/>
      </c>
      <c r="R802" s="8" t="n">
        <v>295</v>
      </c>
      <c r="S802" s="10" t="n">
        <v>1</v>
      </c>
    </row>
    <row r="803">
      <c r="A803" s="7" t="inlineStr">
        <is>
          <t>MAT-13-019</t>
        </is>
      </c>
      <c r="B803" s="4" t="inlineStr">
        <is>
          <t>Plafón blanco, 250X5800X7MM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375</v>
      </c>
      <c r="J803" s="8" t="n"/>
      <c r="K803" s="8" t="n"/>
      <c r="L803" s="8" t="n"/>
      <c r="M803" s="8">
        <f>IF(COUNT(D803:L803)=0,"",MIN(D803:L803))</f>
        <v/>
      </c>
      <c r="N803" s="8">
        <f>IF(COUNT(D803:L803)=0,"",MEDIAN(D803:L803))</f>
        <v/>
      </c>
      <c r="O803" s="8">
        <f>IF(COUNT(D803:L803)=0,"",MAX(D803:L803))</f>
        <v/>
      </c>
      <c r="P803" s="9">
        <f>IF(OR(M803="",M803=0),"",(O803-M803)/M803)</f>
        <v/>
      </c>
      <c r="Q803" s="7">
        <f>IF(COUNT(D803:L803)=0,"",INDEX($D$1:$L$1,MATCH(MIN(D803:L803),D803:L803,0)))</f>
        <v/>
      </c>
      <c r="R803" s="8" t="n">
        <v>375</v>
      </c>
      <c r="S803" s="10" t="n">
        <v>1</v>
      </c>
    </row>
    <row r="804">
      <c r="A804" s="7" t="inlineStr">
        <is>
          <t>MAT-13-020</t>
        </is>
      </c>
      <c r="B804" s="4" t="inlineStr">
        <is>
          <t>Plafón blanco, 2X4'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>
        <v>202</v>
      </c>
      <c r="J804" s="8" t="n"/>
      <c r="K804" s="8" t="n"/>
      <c r="L804" s="8" t="n"/>
      <c r="M804" s="8">
        <f>IF(COUNT(D804:L804)=0,"",MIN(D804:L804))</f>
        <v/>
      </c>
      <c r="N804" s="8">
        <f>IF(COUNT(D804:L804)=0,"",MEDIAN(D804:L804))</f>
        <v/>
      </c>
      <c r="O804" s="8">
        <f>IF(COUNT(D804:L804)=0,"",MAX(D804:L804))</f>
        <v/>
      </c>
      <c r="P804" s="9">
        <f>IF(OR(M804="",M804=0),"",(O804-M804)/M804)</f>
        <v/>
      </c>
      <c r="Q804" s="7">
        <f>IF(COUNT(D804:L804)=0,"",INDEX($D$1:$L$1,MATCH(MIN(D804:L804),D804:L804,0)))</f>
        <v/>
      </c>
      <c r="R804" s="8" t="n">
        <v>202</v>
      </c>
      <c r="S804" s="10" t="n">
        <v>1</v>
      </c>
    </row>
    <row r="805">
      <c r="A805" s="7" t="inlineStr">
        <is>
          <t>MAT-16-003</t>
        </is>
      </c>
      <c r="B805" s="4" t="inlineStr">
        <is>
          <t>Kit de videovigilancia 4 cámaras bullet 2 MP</t>
        </is>
      </c>
      <c r="C805" s="7" t="inlineStr">
        <is>
          <t>juego</t>
        </is>
      </c>
      <c r="D805" s="8" t="n">
        <v>18221.03</v>
      </c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>
        <f>IF(COUNT(D805:L805)=0,"",MIN(D805:L805))</f>
        <v/>
      </c>
      <c r="N805" s="8">
        <f>IF(COUNT(D805:L805)=0,"",MEDIAN(D805:L805))</f>
        <v/>
      </c>
      <c r="O805" s="8">
        <f>IF(COUNT(D805:L805)=0,"",MAX(D805:L805))</f>
        <v/>
      </c>
      <c r="P805" s="9">
        <f>IF(OR(M805="",M805=0),"",(O805-M805)/M805)</f>
        <v/>
      </c>
      <c r="Q805" s="7">
        <f>IF(COUNT(D805:L805)=0,"",INDEX($D$1:$L$1,MATCH(MIN(D805:L805),D805:L805,0)))</f>
        <v/>
      </c>
      <c r="R805" s="8" t="n">
        <v>18221.03</v>
      </c>
      <c r="S805" s="10" t="n">
        <v>1</v>
      </c>
    </row>
    <row r="806">
      <c r="A806" s="7" t="inlineStr">
        <is>
          <t>MAT-16-004</t>
        </is>
      </c>
      <c r="B806" s="4" t="inlineStr">
        <is>
          <t>Kit de videovigilancia 4 cámaras domo 2 MP</t>
        </is>
      </c>
      <c r="C806" s="7" t="inlineStr">
        <is>
          <t>juego</t>
        </is>
      </c>
      <c r="D806" s="8" t="n">
        <v>17133.95</v>
      </c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>
        <f>IF(COUNT(D806:L806)=0,"",MIN(D806:L806))</f>
        <v/>
      </c>
      <c r="N806" s="8">
        <f>IF(COUNT(D806:L806)=0,"",MEDIAN(D806:L806))</f>
        <v/>
      </c>
      <c r="O806" s="8">
        <f>IF(COUNT(D806:L806)=0,"",MAX(D806:L806))</f>
        <v/>
      </c>
      <c r="P806" s="9">
        <f>IF(OR(M806="",M806=0),"",(O806-M806)/M806)</f>
        <v/>
      </c>
      <c r="Q806" s="7">
        <f>IF(COUNT(D806:L806)=0,"",INDEX($D$1:$L$1,MATCH(MIN(D806:L806),D806:L806,0)))</f>
        <v/>
      </c>
      <c r="R806" s="8" t="n">
        <v>17133.95</v>
      </c>
      <c r="S806" s="10" t="n">
        <v>1</v>
      </c>
    </row>
    <row r="807">
      <c r="A807" s="7" t="inlineStr">
        <is>
          <t>MAT-16-005</t>
        </is>
      </c>
      <c r="B807" s="4" t="inlineStr">
        <is>
          <t>Cámara de seguridad</t>
        </is>
      </c>
      <c r="C807" s="7" t="inlineStr">
        <is>
          <t>unidad</t>
        </is>
      </c>
      <c r="D807" s="8" t="n">
        <v>2548.17</v>
      </c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>
        <f>IF(COUNT(D807:L807)=0,"",MIN(D807:L807))</f>
        <v/>
      </c>
      <c r="N807" s="8">
        <f>IF(COUNT(D807:L807)=0,"",MEDIAN(D807:L807))</f>
        <v/>
      </c>
      <c r="O807" s="8">
        <f>IF(COUNT(D807:L807)=0,"",MAX(D807:L807))</f>
        <v/>
      </c>
      <c r="P807" s="9">
        <f>IF(OR(M807="",M807=0),"",(O807-M807)/M807)</f>
        <v/>
      </c>
      <c r="Q807" s="7">
        <f>IF(COUNT(D807:L807)=0,"",INDEX($D$1:$L$1,MATCH(MIN(D807:L807),D807:L807,0)))</f>
        <v/>
      </c>
      <c r="R807" s="8" t="n">
        <v>3342.09</v>
      </c>
      <c r="S807" s="10" t="n">
        <v>1</v>
      </c>
    </row>
    <row r="808">
      <c r="A808" s="7" t="inlineStr">
        <is>
          <t>MAT-16-006</t>
        </is>
      </c>
      <c r="B808" s="4" t="inlineStr">
        <is>
          <t>Cámara de seguridad bullet</t>
        </is>
      </c>
      <c r="C808" s="7" t="inlineStr">
        <is>
          <t>unidad</t>
        </is>
      </c>
      <c r="D808" s="8" t="n">
        <v>2191.4</v>
      </c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>
        <f>IF(COUNT(D808:L808)=0,"",MIN(D808:L808))</f>
        <v/>
      </c>
      <c r="N808" s="8">
        <f>IF(COUNT(D808:L808)=0,"",MEDIAN(D808:L808))</f>
        <v/>
      </c>
      <c r="O808" s="8">
        <f>IF(COUNT(D808:L808)=0,"",MAX(D808:L808))</f>
        <v/>
      </c>
      <c r="P808" s="9">
        <f>IF(OR(M808="",M808=0),"",(O808-M808)/M808)</f>
        <v/>
      </c>
      <c r="Q808" s="7">
        <f>IF(COUNT(D808:L808)=0,"",INDEX($D$1:$L$1,MATCH(MIN(D808:L808),D808:L808,0)))</f>
        <v/>
      </c>
      <c r="R808" s="8" t="n">
        <v>2588.72</v>
      </c>
      <c r="S808" s="10" t="n">
        <v>1</v>
      </c>
    </row>
    <row r="809">
      <c r="A809" s="7" t="inlineStr">
        <is>
          <t>MAT-16-007</t>
        </is>
      </c>
      <c r="B809" s="4" t="inlineStr">
        <is>
          <t>Cámara de seguridad bullet 2 MP</t>
        </is>
      </c>
      <c r="C809" s="7" t="inlineStr">
        <is>
          <t>unidad</t>
        </is>
      </c>
      <c r="D809" s="8" t="n">
        <v>1784.16</v>
      </c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>
        <f>IF(COUNT(D809:L809)=0,"",MIN(D809:L809))</f>
        <v/>
      </c>
      <c r="N809" s="8">
        <f>IF(COUNT(D809:L809)=0,"",MEDIAN(D809:L809))</f>
        <v/>
      </c>
      <c r="O809" s="8">
        <f>IF(COUNT(D809:L809)=0,"",MAX(D809:L809))</f>
        <v/>
      </c>
      <c r="P809" s="9">
        <f>IF(OR(M809="",M809=0),"",(O809-M809)/M809)</f>
        <v/>
      </c>
      <c r="Q809" s="7">
        <f>IF(COUNT(D809:L809)=0,"",INDEX($D$1:$L$1,MATCH(MIN(D809:L809),D809:L809,0)))</f>
        <v/>
      </c>
      <c r="R809" s="8" t="n">
        <v>4606.9</v>
      </c>
      <c r="S809" s="10" t="n">
        <v>1</v>
      </c>
    </row>
    <row r="810">
      <c r="A810" s="7" t="inlineStr">
        <is>
          <t>MAT-16-008</t>
        </is>
      </c>
      <c r="B810" s="4" t="inlineStr">
        <is>
          <t>Cámara de seguridad bullet 4 MP</t>
        </is>
      </c>
      <c r="C810" s="7" t="inlineStr">
        <is>
          <t>unidad</t>
        </is>
      </c>
      <c r="D810" s="8" t="n">
        <v>3087.35</v>
      </c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>
        <f>IF(COUNT(D810:L810)=0,"",MIN(D810:L810))</f>
        <v/>
      </c>
      <c r="N810" s="8">
        <f>IF(COUNT(D810:L810)=0,"",MEDIAN(D810:L810))</f>
        <v/>
      </c>
      <c r="O810" s="8">
        <f>IF(COUNT(D810:L810)=0,"",MAX(D810:L810))</f>
        <v/>
      </c>
      <c r="P810" s="9">
        <f>IF(OR(M810="",M810=0),"",(O810-M810)/M810)</f>
        <v/>
      </c>
      <c r="Q810" s="7">
        <f>IF(COUNT(D810:L810)=0,"",INDEX($D$1:$L$1,MATCH(MIN(D810:L810),D810:L810,0)))</f>
        <v/>
      </c>
      <c r="R810" s="8" t="n">
        <v>9064.129999999999</v>
      </c>
      <c r="S810" s="10" t="n">
        <v>1</v>
      </c>
    </row>
    <row r="811">
      <c r="A811" s="7" t="inlineStr">
        <is>
          <t>MAT-16-009</t>
        </is>
      </c>
      <c r="B811" s="4" t="inlineStr">
        <is>
          <t>Cámara de seguridad bullet 5 MP</t>
        </is>
      </c>
      <c r="C811" s="7" t="inlineStr">
        <is>
          <t>unidad</t>
        </is>
      </c>
      <c r="D811" s="8" t="n">
        <v>1394.08</v>
      </c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>
        <f>IF(COUNT(D811:L811)=0,"",MIN(D811:L811))</f>
        <v/>
      </c>
      <c r="N811" s="8">
        <f>IF(COUNT(D811:L811)=0,"",MEDIAN(D811:L811))</f>
        <v/>
      </c>
      <c r="O811" s="8">
        <f>IF(COUNT(D811:L811)=0,"",MAX(D811:L811))</f>
        <v/>
      </c>
      <c r="P811" s="9">
        <f>IF(OR(M811="",M811=0),"",(O811-M811)/M811)</f>
        <v/>
      </c>
      <c r="Q811" s="7">
        <f>IF(COUNT(D811:L811)=0,"",INDEX($D$1:$L$1,MATCH(MIN(D811:L811),D811:L811,0)))</f>
        <v/>
      </c>
      <c r="R811" s="8" t="n">
        <v>5675.9</v>
      </c>
      <c r="S811" s="10" t="n">
        <v>1</v>
      </c>
    </row>
    <row r="812">
      <c r="A812" s="7" t="inlineStr">
        <is>
          <t>MAT-16-010</t>
        </is>
      </c>
      <c r="B812" s="4" t="inlineStr">
        <is>
          <t>Cámara de seguridad bullet 8 MP</t>
        </is>
      </c>
      <c r="C812" s="7" t="inlineStr">
        <is>
          <t>unidad</t>
        </is>
      </c>
      <c r="D812" s="8" t="n">
        <v>13465.71</v>
      </c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>
        <f>IF(COUNT(D812:L812)=0,"",MIN(D812:L812))</f>
        <v/>
      </c>
      <c r="N812" s="8">
        <f>IF(COUNT(D812:L812)=0,"",MEDIAN(D812:L812))</f>
        <v/>
      </c>
      <c r="O812" s="8">
        <f>IF(COUNT(D812:L812)=0,"",MAX(D812:L812))</f>
        <v/>
      </c>
      <c r="P812" s="9">
        <f>IF(OR(M812="",M812=0),"",(O812-M812)/M812)</f>
        <v/>
      </c>
      <c r="Q812" s="7">
        <f>IF(COUNT(D812:L812)=0,"",INDEX($D$1:$L$1,MATCH(MIN(D812:L812),D812:L812,0)))</f>
        <v/>
      </c>
      <c r="R812" s="8" t="n">
        <v>13465.71</v>
      </c>
      <c r="S812" s="10" t="n">
        <v>1</v>
      </c>
    </row>
    <row r="813">
      <c r="A813" s="7" t="inlineStr">
        <is>
          <t>MAT-16-011</t>
        </is>
      </c>
      <c r="B813" s="4" t="inlineStr">
        <is>
          <t>Cámara de seguridad domo</t>
        </is>
      </c>
      <c r="C813" s="7" t="inlineStr">
        <is>
          <t>unidad</t>
        </is>
      </c>
      <c r="D813" s="8" t="n">
        <v>12992.17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>
        <f>IF(COUNT(D813:L813)=0,"",MIN(D813:L813))</f>
        <v/>
      </c>
      <c r="N813" s="8">
        <f>IF(COUNT(D813:L813)=0,"",MEDIAN(D813:L813))</f>
        <v/>
      </c>
      <c r="O813" s="8">
        <f>IF(COUNT(D813:L813)=0,"",MAX(D813:L813))</f>
        <v/>
      </c>
      <c r="P813" s="9">
        <f>IF(OR(M813="",M813=0),"",(O813-M813)/M813)</f>
        <v/>
      </c>
      <c r="Q813" s="7">
        <f>IF(COUNT(D813:L813)=0,"",INDEX($D$1:$L$1,MATCH(MIN(D813:L813),D813:L813,0)))</f>
        <v/>
      </c>
      <c r="R813" s="8" t="n">
        <v>12992.17</v>
      </c>
      <c r="S813" s="10" t="n">
        <v>1</v>
      </c>
    </row>
    <row r="814">
      <c r="A814" s="7" t="inlineStr">
        <is>
          <t>MAT-16-012</t>
        </is>
      </c>
      <c r="B814" s="4" t="inlineStr">
        <is>
          <t>Cámara de seguridad domo 2 MP</t>
        </is>
      </c>
      <c r="C814" s="7" t="inlineStr">
        <is>
          <t>unidad</t>
        </is>
      </c>
      <c r="D814" s="8" t="n">
        <v>740.01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>
        <f>IF(COUNT(D814:L814)=0,"",MIN(D814:L814))</f>
        <v/>
      </c>
      <c r="N814" s="8">
        <f>IF(COUNT(D814:L814)=0,"",MEDIAN(D814:L814))</f>
        <v/>
      </c>
      <c r="O814" s="8">
        <f>IF(COUNT(D814:L814)=0,"",MAX(D814:L814))</f>
        <v/>
      </c>
      <c r="P814" s="9">
        <f>IF(OR(M814="",M814=0),"",(O814-M814)/M814)</f>
        <v/>
      </c>
      <c r="Q814" s="7">
        <f>IF(COUNT(D814:L814)=0,"",INDEX($D$1:$L$1,MATCH(MIN(D814:L814),D814:L814,0)))</f>
        <v/>
      </c>
      <c r="R814" s="8" t="n">
        <v>3461.37</v>
      </c>
      <c r="S814" s="10" t="n">
        <v>1</v>
      </c>
    </row>
    <row r="815">
      <c r="A815" s="7" t="inlineStr">
        <is>
          <t>MAT-16-013</t>
        </is>
      </c>
      <c r="B815" s="4" t="inlineStr">
        <is>
          <t>Cámara de seguridad domo 4 MP</t>
        </is>
      </c>
      <c r="C815" s="7" t="inlineStr">
        <is>
          <t>unidad</t>
        </is>
      </c>
      <c r="D815" s="8" t="n">
        <v>3695.82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>
        <f>IF(COUNT(D815:L815)=0,"",MIN(D815:L815))</f>
        <v/>
      </c>
      <c r="N815" s="8">
        <f>IF(COUNT(D815:L815)=0,"",MEDIAN(D815:L815))</f>
        <v/>
      </c>
      <c r="O815" s="8">
        <f>IF(COUNT(D815:L815)=0,"",MAX(D815:L815))</f>
        <v/>
      </c>
      <c r="P815" s="9">
        <f>IF(OR(M815="",M815=0),"",(O815-M815)/M815)</f>
        <v/>
      </c>
      <c r="Q815" s="7">
        <f>IF(COUNT(D815:L815)=0,"",INDEX($D$1:$L$1,MATCH(MIN(D815:L815),D815:L815,0)))</f>
        <v/>
      </c>
      <c r="R815" s="8" t="n">
        <v>5025.16</v>
      </c>
      <c r="S815" s="10" t="n">
        <v>1</v>
      </c>
    </row>
    <row r="816">
      <c r="A816" s="7" t="inlineStr">
        <is>
          <t>MAT-16-014</t>
        </is>
      </c>
      <c r="B816" s="4" t="inlineStr">
        <is>
          <t>Cámara de seguridad domo 5 MP</t>
        </is>
      </c>
      <c r="C816" s="7" t="inlineStr">
        <is>
          <t>unidad</t>
        </is>
      </c>
      <c r="D816" s="8" t="n">
        <v>1368.3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>
        <f>IF(COUNT(D816:L816)=0,"",MIN(D816:L816))</f>
        <v/>
      </c>
      <c r="N816" s="8">
        <f>IF(COUNT(D816:L816)=0,"",MEDIAN(D816:L816))</f>
        <v/>
      </c>
      <c r="O816" s="8">
        <f>IF(COUNT(D816:L816)=0,"",MAX(D816:L816))</f>
        <v/>
      </c>
      <c r="P816" s="9">
        <f>IF(OR(M816="",M816=0),"",(O816-M816)/M816)</f>
        <v/>
      </c>
      <c r="Q816" s="7">
        <f>IF(COUNT(D816:L816)=0,"",INDEX($D$1:$L$1,MATCH(MIN(D816:L816),D816:L816,0)))</f>
        <v/>
      </c>
      <c r="R816" s="8" t="n">
        <v>6122.92</v>
      </c>
      <c r="S816" s="10" t="n">
        <v>1</v>
      </c>
    </row>
    <row r="817">
      <c r="A817" s="7" t="inlineStr">
        <is>
          <t>MAT-16-015</t>
        </is>
      </c>
      <c r="B817" s="4" t="inlineStr">
        <is>
          <t>Cámara de seguridad ojo de pez 5 MP</t>
        </is>
      </c>
      <c r="C817" s="7" t="inlineStr">
        <is>
          <t>unidad</t>
        </is>
      </c>
      <c r="D817" s="8" t="n">
        <v>11020.47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>
        <f>IF(COUNT(D817:L817)=0,"",MIN(D817:L817))</f>
        <v/>
      </c>
      <c r="N817" s="8">
        <f>IF(COUNT(D817:L817)=0,"",MEDIAN(D817:L817))</f>
        <v/>
      </c>
      <c r="O817" s="8">
        <f>IF(COUNT(D817:L817)=0,"",MAX(D817:L817))</f>
        <v/>
      </c>
      <c r="P817" s="9">
        <f>IF(OR(M817="",M817=0),"",(O817-M817)/M817)</f>
        <v/>
      </c>
      <c r="Q817" s="7">
        <f>IF(COUNT(D817:L817)=0,"",INDEX($D$1:$L$1,MATCH(MIN(D817:L817),D817:L817,0)))</f>
        <v/>
      </c>
      <c r="R817" s="8" t="n">
        <v>11020.47</v>
      </c>
      <c r="S817" s="10" t="n">
        <v>1</v>
      </c>
    </row>
    <row r="818">
      <c r="A818" s="7" t="inlineStr">
        <is>
          <t>MAT-16-016</t>
        </is>
      </c>
      <c r="B818" s="4" t="inlineStr">
        <is>
          <t>Cámara de seguridad PTZ 2 MP</t>
        </is>
      </c>
      <c r="C818" s="7" t="inlineStr">
        <is>
          <t>unidad</t>
        </is>
      </c>
      <c r="D818" s="8" t="n">
        <v>30360.56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>
        <f>IF(COUNT(D818:L818)=0,"",MIN(D818:L818))</f>
        <v/>
      </c>
      <c r="N818" s="8">
        <f>IF(COUNT(D818:L818)=0,"",MEDIAN(D818:L818))</f>
        <v/>
      </c>
      <c r="O818" s="8">
        <f>IF(COUNT(D818:L818)=0,"",MAX(D818:L818))</f>
        <v/>
      </c>
      <c r="P818" s="9">
        <f>IF(OR(M818="",M818=0),"",(O818-M818)/M818)</f>
        <v/>
      </c>
      <c r="Q818" s="7">
        <f>IF(COUNT(D818:L818)=0,"",INDEX($D$1:$L$1,MATCH(MIN(D818:L818),D818:L818,0)))</f>
        <v/>
      </c>
      <c r="R818" s="8" t="n">
        <v>30360.56</v>
      </c>
      <c r="S818" s="10" t="n">
        <v>1</v>
      </c>
    </row>
    <row r="819">
      <c r="A819" s="7" t="inlineStr">
        <is>
          <t>MAT-16-017</t>
        </is>
      </c>
      <c r="B819" s="4" t="inlineStr">
        <is>
          <t>Cámara de seguridad PTZ 3 MP</t>
        </is>
      </c>
      <c r="C819" s="7" t="inlineStr">
        <is>
          <t>unidad</t>
        </is>
      </c>
      <c r="D819" s="8" t="n">
        <v>19602.61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>
        <f>IF(COUNT(D819:L819)=0,"",MIN(D819:L819))</f>
        <v/>
      </c>
      <c r="N819" s="8">
        <f>IF(COUNT(D819:L819)=0,"",MEDIAN(D819:L819))</f>
        <v/>
      </c>
      <c r="O819" s="8">
        <f>IF(COUNT(D819:L819)=0,"",MAX(D819:L819))</f>
        <v/>
      </c>
      <c r="P819" s="9">
        <f>IF(OR(M819="",M819=0),"",(O819-M819)/M819)</f>
        <v/>
      </c>
      <c r="Q819" s="7">
        <f>IF(COUNT(D819:L819)=0,"",INDEX($D$1:$L$1,MATCH(MIN(D819:L819),D819:L819,0)))</f>
        <v/>
      </c>
      <c r="R819" s="8" t="n">
        <v>19602.61</v>
      </c>
      <c r="S819" s="10" t="n">
        <v>1</v>
      </c>
    </row>
    <row r="820">
      <c r="A820" s="7" t="inlineStr">
        <is>
          <t>MAT-16-018</t>
        </is>
      </c>
      <c r="B820" s="4" t="inlineStr">
        <is>
          <t>Cámara de seguridad turret 2 MP</t>
        </is>
      </c>
      <c r="C820" s="7" t="inlineStr">
        <is>
          <t>unidad</t>
        </is>
      </c>
      <c r="D820" s="8" t="n">
        <v>2549.16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>
        <f>IF(COUNT(D820:L820)=0,"",MIN(D820:L820))</f>
        <v/>
      </c>
      <c r="N820" s="8">
        <f>IF(COUNT(D820:L820)=0,"",MEDIAN(D820:L820))</f>
        <v/>
      </c>
      <c r="O820" s="8">
        <f>IF(COUNT(D820:L820)=0,"",MAX(D820:L820))</f>
        <v/>
      </c>
      <c r="P820" s="9">
        <f>IF(OR(M820="",M820=0),"",(O820-M820)/M820)</f>
        <v/>
      </c>
      <c r="Q820" s="7">
        <f>IF(COUNT(D820:L820)=0,"",INDEX($D$1:$L$1,MATCH(MIN(D820:L820),D820:L820,0)))</f>
        <v/>
      </c>
      <c r="R820" s="8" t="n">
        <v>3614.58</v>
      </c>
      <c r="S820" s="10" t="n">
        <v>1</v>
      </c>
    </row>
    <row r="821">
      <c r="A821" s="7" t="inlineStr">
        <is>
          <t>MAT-16-019</t>
        </is>
      </c>
      <c r="B821" s="4" t="inlineStr">
        <is>
          <t>Cámara de seguridad turret 4 MP</t>
        </is>
      </c>
      <c r="C821" s="7" t="inlineStr">
        <is>
          <t>unidad</t>
        </is>
      </c>
      <c r="D821" s="8" t="n">
        <v>3073.06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>
        <f>IF(COUNT(D821:L821)=0,"",MIN(D821:L821))</f>
        <v/>
      </c>
      <c r="N821" s="8">
        <f>IF(COUNT(D821:L821)=0,"",MEDIAN(D821:L821))</f>
        <v/>
      </c>
      <c r="O821" s="8">
        <f>IF(COUNT(D821:L821)=0,"",MAX(D821:L821))</f>
        <v/>
      </c>
      <c r="P821" s="9">
        <f>IF(OR(M821="",M821=0),"",(O821-M821)/M821)</f>
        <v/>
      </c>
      <c r="Q821" s="7">
        <f>IF(COUNT(D821:L821)=0,"",INDEX($D$1:$L$1,MATCH(MIN(D821:L821),D821:L821,0)))</f>
        <v/>
      </c>
      <c r="R821" s="8" t="n">
        <v>3073.06</v>
      </c>
      <c r="S821" s="10" t="n">
        <v>1</v>
      </c>
    </row>
    <row r="822">
      <c r="A822" s="7" t="inlineStr">
        <is>
          <t>MAT-16-020</t>
        </is>
      </c>
      <c r="B822" s="4" t="inlineStr">
        <is>
          <t>Cámara de seguridad turret 5 MP</t>
        </is>
      </c>
      <c r="C822" s="7" t="inlineStr">
        <is>
          <t>unidad</t>
        </is>
      </c>
      <c r="D822" s="8" t="n">
        <v>3714.5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>
        <f>IF(COUNT(D822:L822)=0,"",MIN(D822:L822))</f>
        <v/>
      </c>
      <c r="N822" s="8">
        <f>IF(COUNT(D822:L822)=0,"",MEDIAN(D822:L822))</f>
        <v/>
      </c>
      <c r="O822" s="8">
        <f>IF(COUNT(D822:L822)=0,"",MAX(D822:L822))</f>
        <v/>
      </c>
      <c r="P822" s="9">
        <f>IF(OR(M822="",M822=0),"",(O822-M822)/M822)</f>
        <v/>
      </c>
      <c r="Q822" s="7">
        <f>IF(COUNT(D822:L822)=0,"",INDEX($D$1:$L$1,MATCH(MIN(D822:L822),D822:L822,0)))</f>
        <v/>
      </c>
      <c r="R822" s="8" t="n">
        <v>4570.82</v>
      </c>
      <c r="S822" s="10" t="n">
        <v>1</v>
      </c>
    </row>
    <row r="823">
      <c r="A823" s="7" t="inlineStr">
        <is>
          <t>MAT-16-021</t>
        </is>
      </c>
      <c r="B823" s="4" t="inlineStr">
        <is>
          <t>Cámara de seguridad 2 MP</t>
        </is>
      </c>
      <c r="C823" s="7" t="inlineStr">
        <is>
          <t>unidad</t>
        </is>
      </c>
      <c r="D823" s="8" t="n">
        <v>1576.87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>
        <f>IF(COUNT(D823:L823)=0,"",MIN(D823:L823))</f>
        <v/>
      </c>
      <c r="N823" s="8">
        <f>IF(COUNT(D823:L823)=0,"",MEDIAN(D823:L823))</f>
        <v/>
      </c>
      <c r="O823" s="8">
        <f>IF(COUNT(D823:L823)=0,"",MAX(D823:L823))</f>
        <v/>
      </c>
      <c r="P823" s="9">
        <f>IF(OR(M823="",M823=0),"",(O823-M823)/M823)</f>
        <v/>
      </c>
      <c r="Q823" s="7">
        <f>IF(COUNT(D823:L823)=0,"",INDEX($D$1:$L$1,MATCH(MIN(D823:L823),D823:L823,0)))</f>
        <v/>
      </c>
      <c r="R823" s="8" t="n">
        <v>5421.17</v>
      </c>
      <c r="S823" s="10" t="n">
        <v>1</v>
      </c>
    </row>
    <row r="824">
      <c r="A824" s="7" t="inlineStr">
        <is>
          <t>MAT-16-022</t>
        </is>
      </c>
      <c r="B824" s="4" t="inlineStr">
        <is>
          <t>Cámara de seguridad 5 MP</t>
        </is>
      </c>
      <c r="C824" s="7" t="inlineStr">
        <is>
          <t>unidad</t>
        </is>
      </c>
      <c r="D824" s="8" t="n">
        <v>3414.74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>
        <f>IF(COUNT(D824:L824)=0,"",MIN(D824:L824))</f>
        <v/>
      </c>
      <c r="N824" s="8">
        <f>IF(COUNT(D824:L824)=0,"",MEDIAN(D824:L824))</f>
        <v/>
      </c>
      <c r="O824" s="8">
        <f>IF(COUNT(D824:L824)=0,"",MAX(D824:L824))</f>
        <v/>
      </c>
      <c r="P824" s="9">
        <f>IF(OR(M824="",M824=0),"",(O824-M824)/M824)</f>
        <v/>
      </c>
      <c r="Q824" s="7">
        <f>IF(COUNT(D824:L824)=0,"",INDEX($D$1:$L$1,MATCH(MIN(D824:L824),D824:L824,0)))</f>
        <v/>
      </c>
      <c r="R824" s="8" t="n">
        <v>3414.74</v>
      </c>
      <c r="S824" s="10" t="n">
        <v>1</v>
      </c>
    </row>
    <row r="825">
      <c r="A825" s="7" t="inlineStr">
        <is>
          <t>MAT-16-023</t>
        </is>
      </c>
      <c r="B825" s="4" t="inlineStr">
        <is>
          <t>Grabador de video DVR 16 canales</t>
        </is>
      </c>
      <c r="C825" s="7" t="inlineStr">
        <is>
          <t>unidad</t>
        </is>
      </c>
      <c r="D825" s="8" t="n">
        <v>18426.33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>
        <f>IF(COUNT(D825:L825)=0,"",MIN(D825:L825))</f>
        <v/>
      </c>
      <c r="N825" s="8">
        <f>IF(COUNT(D825:L825)=0,"",MEDIAN(D825:L825))</f>
        <v/>
      </c>
      <c r="O825" s="8">
        <f>IF(COUNT(D825:L825)=0,"",MAX(D825:L825))</f>
        <v/>
      </c>
      <c r="P825" s="9">
        <f>IF(OR(M825="",M825=0),"",(O825-M825)/M825)</f>
        <v/>
      </c>
      <c r="Q825" s="7">
        <f>IF(COUNT(D825:L825)=0,"",INDEX($D$1:$L$1,MATCH(MIN(D825:L825),D825:L825,0)))</f>
        <v/>
      </c>
      <c r="R825" s="8" t="n">
        <v>18426.33</v>
      </c>
      <c r="S825" s="10" t="n">
        <v>1</v>
      </c>
    </row>
    <row r="826">
      <c r="A826" s="7" t="inlineStr">
        <is>
          <t>MAT-16-024</t>
        </is>
      </c>
      <c r="B826" s="4" t="inlineStr">
        <is>
          <t>Grabador de video DVR 4 canales</t>
        </is>
      </c>
      <c r="C826" s="7" t="inlineStr">
        <is>
          <t>unidad</t>
        </is>
      </c>
      <c r="D826" s="8" t="n">
        <v>6677.44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>
        <f>IF(COUNT(D826:L826)=0,"",MIN(D826:L826))</f>
        <v/>
      </c>
      <c r="N826" s="8">
        <f>IF(COUNT(D826:L826)=0,"",MEDIAN(D826:L826))</f>
        <v/>
      </c>
      <c r="O826" s="8">
        <f>IF(COUNT(D826:L826)=0,"",MAX(D826:L826))</f>
        <v/>
      </c>
      <c r="P826" s="9">
        <f>IF(OR(M826="",M826=0),"",(O826-M826)/M826)</f>
        <v/>
      </c>
      <c r="Q826" s="7">
        <f>IF(COUNT(D826:L826)=0,"",INDEX($D$1:$L$1,MATCH(MIN(D826:L826),D826:L826,0)))</f>
        <v/>
      </c>
      <c r="R826" s="8" t="n">
        <v>7057.8</v>
      </c>
      <c r="S826" s="10" t="n">
        <v>1</v>
      </c>
    </row>
    <row r="827">
      <c r="A827" s="7" t="inlineStr">
        <is>
          <t>MAT-16-025</t>
        </is>
      </c>
      <c r="B827" s="4" t="inlineStr">
        <is>
          <t>Grabador de video NVR 16 canales</t>
        </is>
      </c>
      <c r="C827" s="7" t="inlineStr">
        <is>
          <t>unidad</t>
        </is>
      </c>
      <c r="D827" s="8" t="n">
        <v>17077.39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>
        <f>IF(COUNT(D827:L827)=0,"",MIN(D827:L827))</f>
        <v/>
      </c>
      <c r="N827" s="8">
        <f>IF(COUNT(D827:L827)=0,"",MEDIAN(D827:L827))</f>
        <v/>
      </c>
      <c r="O827" s="8">
        <f>IF(COUNT(D827:L827)=0,"",MAX(D827:L827))</f>
        <v/>
      </c>
      <c r="P827" s="9">
        <f>IF(OR(M827="",M827=0),"",(O827-M827)/M827)</f>
        <v/>
      </c>
      <c r="Q827" s="7">
        <f>IF(COUNT(D827:L827)=0,"",INDEX($D$1:$L$1,MATCH(MIN(D827:L827),D827:L827,0)))</f>
        <v/>
      </c>
      <c r="R827" s="8" t="n">
        <v>17077.39</v>
      </c>
      <c r="S827" s="10" t="n">
        <v>1</v>
      </c>
    </row>
    <row r="828">
      <c r="A828" s="7" t="inlineStr">
        <is>
          <t>MAT-16-026</t>
        </is>
      </c>
      <c r="B828" s="4" t="inlineStr">
        <is>
          <t>Grabador de video NVR 32 canales</t>
        </is>
      </c>
      <c r="C828" s="7" t="inlineStr">
        <is>
          <t>unidad</t>
        </is>
      </c>
      <c r="D828" s="8" t="n">
        <v>20990.22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>
        <f>IF(COUNT(D828:L828)=0,"",MIN(D828:L828))</f>
        <v/>
      </c>
      <c r="N828" s="8">
        <f>IF(COUNT(D828:L828)=0,"",MEDIAN(D828:L828))</f>
        <v/>
      </c>
      <c r="O828" s="8">
        <f>IF(COUNT(D828:L828)=0,"",MAX(D828:L828))</f>
        <v/>
      </c>
      <c r="P828" s="9">
        <f>IF(OR(M828="",M828=0),"",(O828-M828)/M828)</f>
        <v/>
      </c>
      <c r="Q828" s="7">
        <f>IF(COUNT(D828:L828)=0,"",INDEX($D$1:$L$1,MATCH(MIN(D828:L828),D828:L828,0)))</f>
        <v/>
      </c>
      <c r="R828" s="8" t="n">
        <v>20990.22</v>
      </c>
      <c r="S828" s="10" t="n">
        <v>1</v>
      </c>
    </row>
    <row r="829">
      <c r="A829" s="7" t="inlineStr">
        <is>
          <t>MAT-16-027</t>
        </is>
      </c>
      <c r="B829" s="4" t="inlineStr">
        <is>
          <t>Grabador de video NVR 64 canales</t>
        </is>
      </c>
      <c r="C829" s="7" t="inlineStr">
        <is>
          <t>unidad</t>
        </is>
      </c>
      <c r="D829" s="8" t="n">
        <v>126684.93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>
        <f>IF(COUNT(D829:L829)=0,"",MIN(D829:L829))</f>
        <v/>
      </c>
      <c r="N829" s="8">
        <f>IF(COUNT(D829:L829)=0,"",MEDIAN(D829:L829))</f>
        <v/>
      </c>
      <c r="O829" s="8">
        <f>IF(COUNT(D829:L829)=0,"",MAX(D829:L829))</f>
        <v/>
      </c>
      <c r="P829" s="9">
        <f>IF(OR(M829="",M829=0),"",(O829-M829)/M829)</f>
        <v/>
      </c>
      <c r="Q829" s="7">
        <f>IF(COUNT(D829:L829)=0,"",INDEX($D$1:$L$1,MATCH(MIN(D829:L829),D829:L829,0)))</f>
        <v/>
      </c>
      <c r="R829" s="8" t="n">
        <v>126684.93</v>
      </c>
      <c r="S829" s="10" t="n">
        <v>1</v>
      </c>
    </row>
    <row r="830">
      <c r="A830" s="7" t="inlineStr">
        <is>
          <t>MAT-16-028</t>
        </is>
      </c>
      <c r="B830" s="4" t="inlineStr">
        <is>
          <t>Grabador de video XVR 16 canales</t>
        </is>
      </c>
      <c r="C830" s="7" t="inlineStr">
        <is>
          <t>unidad</t>
        </is>
      </c>
      <c r="D830" s="8" t="n">
        <v>6079.41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>
        <f>IF(COUNT(D830:L830)=0,"",MIN(D830:L830))</f>
        <v/>
      </c>
      <c r="N830" s="8">
        <f>IF(COUNT(D830:L830)=0,"",MEDIAN(D830:L830))</f>
        <v/>
      </c>
      <c r="O830" s="8">
        <f>IF(COUNT(D830:L830)=0,"",MAX(D830:L830))</f>
        <v/>
      </c>
      <c r="P830" s="9">
        <f>IF(OR(M830="",M830=0),"",(O830-M830)/M830)</f>
        <v/>
      </c>
      <c r="Q830" s="7">
        <f>IF(COUNT(D830:L830)=0,"",INDEX($D$1:$L$1,MATCH(MIN(D830:L830),D830:L830,0)))</f>
        <v/>
      </c>
      <c r="R830" s="8" t="n">
        <v>6079.41</v>
      </c>
      <c r="S830" s="10" t="n">
        <v>1</v>
      </c>
    </row>
    <row r="831">
      <c r="A831" s="7" t="inlineStr">
        <is>
          <t>MAT-16-029</t>
        </is>
      </c>
      <c r="B831" s="4" t="inlineStr">
        <is>
          <t>Disco duro para videovigilancia 1 TB</t>
        </is>
      </c>
      <c r="C831" s="7" t="inlineStr">
        <is>
          <t>unidad</t>
        </is>
      </c>
      <c r="D831" s="8" t="n">
        <v>7633.17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>
        <f>IF(COUNT(D831:L831)=0,"",MIN(D831:L831))</f>
        <v/>
      </c>
      <c r="N831" s="8">
        <f>IF(COUNT(D831:L831)=0,"",MEDIAN(D831:L831))</f>
        <v/>
      </c>
      <c r="O831" s="8">
        <f>IF(COUNT(D831:L831)=0,"",MAX(D831:L831))</f>
        <v/>
      </c>
      <c r="P831" s="9">
        <f>IF(OR(M831="",M831=0),"",(O831-M831)/M831)</f>
        <v/>
      </c>
      <c r="Q831" s="7">
        <f>IF(COUNT(D831:L831)=0,"",INDEX($D$1:$L$1,MATCH(MIN(D831:L831),D831:L831,0)))</f>
        <v/>
      </c>
      <c r="R831" s="8" t="n">
        <v>7633.17</v>
      </c>
      <c r="S831" s="10" t="n">
        <v>1</v>
      </c>
    </row>
    <row r="832">
      <c r="A832" s="7" t="inlineStr">
        <is>
          <t>MAT-16-030</t>
        </is>
      </c>
      <c r="B832" s="4" t="inlineStr">
        <is>
          <t>Disco duro para videovigilancia 8 TB</t>
        </is>
      </c>
      <c r="C832" s="7" t="inlineStr">
        <is>
          <t>unidad</t>
        </is>
      </c>
      <c r="D832" s="8" t="n">
        <v>22243.38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>
        <f>IF(COUNT(D832:L832)=0,"",MIN(D832:L832))</f>
        <v/>
      </c>
      <c r="N832" s="8">
        <f>IF(COUNT(D832:L832)=0,"",MEDIAN(D832:L832))</f>
        <v/>
      </c>
      <c r="O832" s="8">
        <f>IF(COUNT(D832:L832)=0,"",MAX(D832:L832))</f>
        <v/>
      </c>
      <c r="P832" s="9">
        <f>IF(OR(M832="",M832=0),"",(O832-M832)/M832)</f>
        <v/>
      </c>
      <c r="Q832" s="7">
        <f>IF(COUNT(D832:L832)=0,"",INDEX($D$1:$L$1,MATCH(MIN(D832:L832),D832:L832,0)))</f>
        <v/>
      </c>
      <c r="R832" s="8" t="n">
        <v>22243.38</v>
      </c>
      <c r="S832" s="10" t="n">
        <v>1</v>
      </c>
    </row>
    <row r="833">
      <c r="A833" s="7" t="inlineStr">
        <is>
          <t>MAT-16-031</t>
        </is>
      </c>
      <c r="B833" s="4" t="inlineStr">
        <is>
          <t>Monitor para CCTV</t>
        </is>
      </c>
      <c r="C833" s="7" t="inlineStr">
        <is>
          <t>unidad</t>
        </is>
      </c>
      <c r="D833" s="8" t="n">
        <v>2976.42</v>
      </c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>
        <f>IF(COUNT(D833:L833)=0,"",MIN(D833:L833))</f>
        <v/>
      </c>
      <c r="N833" s="8">
        <f>IF(COUNT(D833:L833)=0,"",MEDIAN(D833:L833))</f>
        <v/>
      </c>
      <c r="O833" s="8">
        <f>IF(COUNT(D833:L833)=0,"",MAX(D833:L833))</f>
        <v/>
      </c>
      <c r="P833" s="9">
        <f>IF(OR(M833="",M833=0),"",(O833-M833)/M833)</f>
        <v/>
      </c>
      <c r="Q833" s="7">
        <f>IF(COUNT(D833:L833)=0,"",INDEX($D$1:$L$1,MATCH(MIN(D833:L833),D833:L833,0)))</f>
        <v/>
      </c>
      <c r="R833" s="8" t="n">
        <v>5356.08</v>
      </c>
      <c r="S833" s="10" t="n">
        <v>1</v>
      </c>
    </row>
    <row r="834">
      <c r="A834" s="7" t="inlineStr">
        <is>
          <t>MAT-16-032</t>
        </is>
      </c>
      <c r="B834" s="4" t="inlineStr">
        <is>
          <t>Monitor para CCTV 3.5"</t>
        </is>
      </c>
      <c r="C834" s="7" t="inlineStr">
        <is>
          <t>unidad</t>
        </is>
      </c>
      <c r="D834" s="8" t="n">
        <v>4362.91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>
        <f>IF(COUNT(D834:L834)=0,"",MIN(D834:L834))</f>
        <v/>
      </c>
      <c r="N834" s="8">
        <f>IF(COUNT(D834:L834)=0,"",MEDIAN(D834:L834))</f>
        <v/>
      </c>
      <c r="O834" s="8">
        <f>IF(COUNT(D834:L834)=0,"",MAX(D834:L834))</f>
        <v/>
      </c>
      <c r="P834" s="9">
        <f>IF(OR(M834="",M834=0),"",(O834-M834)/M834)</f>
        <v/>
      </c>
      <c r="Q834" s="7">
        <f>IF(COUNT(D834:L834)=0,"",INDEX($D$1:$L$1,MATCH(MIN(D834:L834),D834:L834,0)))</f>
        <v/>
      </c>
      <c r="R834" s="8" t="n">
        <v>4362.91</v>
      </c>
      <c r="S834" s="10" t="n">
        <v>1</v>
      </c>
    </row>
    <row r="835">
      <c r="A835" s="7" t="inlineStr">
        <is>
          <t>MAT-16-033</t>
        </is>
      </c>
      <c r="B835" s="4" t="inlineStr">
        <is>
          <t>Monitor para CCTV 32"</t>
        </is>
      </c>
      <c r="C835" s="7" t="inlineStr">
        <is>
          <t>unidad</t>
        </is>
      </c>
      <c r="D835" s="8" t="n">
        <v>15349.99</v>
      </c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>
        <f>IF(COUNT(D835:L835)=0,"",MIN(D835:L835))</f>
        <v/>
      </c>
      <c r="N835" s="8">
        <f>IF(COUNT(D835:L835)=0,"",MEDIAN(D835:L835))</f>
        <v/>
      </c>
      <c r="O835" s="8">
        <f>IF(COUNT(D835:L835)=0,"",MAX(D835:L835))</f>
        <v/>
      </c>
      <c r="P835" s="9">
        <f>IF(OR(M835="",M835=0),"",(O835-M835)/M835)</f>
        <v/>
      </c>
      <c r="Q835" s="7">
        <f>IF(COUNT(D835:L835)=0,"",INDEX($D$1:$L$1,MATCH(MIN(D835:L835),D835:L835,0)))</f>
        <v/>
      </c>
      <c r="R835" s="8" t="n">
        <v>15349.99</v>
      </c>
      <c r="S835" s="10" t="n">
        <v>1</v>
      </c>
    </row>
    <row r="836">
      <c r="A836" s="7" t="inlineStr">
        <is>
          <t>MAT-16-034</t>
        </is>
      </c>
      <c r="B836" s="4" t="inlineStr">
        <is>
          <t>Monitor para CCTV 4"</t>
        </is>
      </c>
      <c r="C836" s="7" t="inlineStr">
        <is>
          <t>unidad</t>
        </is>
      </c>
      <c r="D836" s="8" t="n">
        <v>2707.65</v>
      </c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>
        <f>IF(COUNT(D836:L836)=0,"",MIN(D836:L836))</f>
        <v/>
      </c>
      <c r="N836" s="8">
        <f>IF(COUNT(D836:L836)=0,"",MEDIAN(D836:L836))</f>
        <v/>
      </c>
      <c r="O836" s="8">
        <f>IF(COUNT(D836:L836)=0,"",MAX(D836:L836))</f>
        <v/>
      </c>
      <c r="P836" s="9">
        <f>IF(OR(M836="",M836=0),"",(O836-M836)/M836)</f>
        <v/>
      </c>
      <c r="Q836" s="7">
        <f>IF(COUNT(D836:L836)=0,"",INDEX($D$1:$L$1,MATCH(MIN(D836:L836),D836:L836,0)))</f>
        <v/>
      </c>
      <c r="R836" s="8" t="n">
        <v>2707.65</v>
      </c>
      <c r="S836" s="10" t="n">
        <v>1</v>
      </c>
    </row>
    <row r="837">
      <c r="A837" s="7" t="inlineStr">
        <is>
          <t>MAT-16-035</t>
        </is>
      </c>
      <c r="B837" s="4" t="inlineStr">
        <is>
          <t>Monitor para CCTV 7"</t>
        </is>
      </c>
      <c r="C837" s="7" t="inlineStr">
        <is>
          <t>unidad</t>
        </is>
      </c>
      <c r="D837" s="8" t="n">
        <v>5570.12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>
        <f>IF(COUNT(D837:L837)=0,"",MIN(D837:L837))</f>
        <v/>
      </c>
      <c r="N837" s="8">
        <f>IF(COUNT(D837:L837)=0,"",MEDIAN(D837:L837))</f>
        <v/>
      </c>
      <c r="O837" s="8">
        <f>IF(COUNT(D837:L837)=0,"",MAX(D837:L837))</f>
        <v/>
      </c>
      <c r="P837" s="9">
        <f>IF(OR(M837="",M837=0),"",(O837-M837)/M837)</f>
        <v/>
      </c>
      <c r="Q837" s="7">
        <f>IF(COUNT(D837:L837)=0,"",INDEX($D$1:$L$1,MATCH(MIN(D837:L837),D837:L837,0)))</f>
        <v/>
      </c>
      <c r="R837" s="8" t="n">
        <v>7823.52</v>
      </c>
      <c r="S837" s="10" t="n">
        <v>1</v>
      </c>
    </row>
    <row r="838">
      <c r="A838" s="7" t="inlineStr">
        <is>
          <t>MAT-16-036</t>
        </is>
      </c>
      <c r="B838" s="4" t="inlineStr">
        <is>
          <t>Soporte o caja para cámara</t>
        </is>
      </c>
      <c r="C838" s="7" t="inlineStr">
        <is>
          <t>unidad</t>
        </is>
      </c>
      <c r="D838" s="8" t="n">
        <v>1012.91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>
        <f>IF(COUNT(D838:L838)=0,"",MIN(D838:L838))</f>
        <v/>
      </c>
      <c r="N838" s="8">
        <f>IF(COUNT(D838:L838)=0,"",MEDIAN(D838:L838))</f>
        <v/>
      </c>
      <c r="O838" s="8">
        <f>IF(COUNT(D838:L838)=0,"",MAX(D838:L838))</f>
        <v/>
      </c>
      <c r="P838" s="9">
        <f>IF(OR(M838="",M838=0),"",(O838-M838)/M838)</f>
        <v/>
      </c>
      <c r="Q838" s="7">
        <f>IF(COUNT(D838:L838)=0,"",INDEX($D$1:$L$1,MATCH(MIN(D838:L838),D838:L838,0)))</f>
        <v/>
      </c>
      <c r="R838" s="8" t="n">
        <v>1012.91</v>
      </c>
      <c r="S838" s="10" t="n">
        <v>1</v>
      </c>
    </row>
    <row r="839">
      <c r="A839" s="7" t="inlineStr">
        <is>
          <t>MAT-16-037</t>
        </is>
      </c>
      <c r="B839" s="4" t="inlineStr">
        <is>
          <t>Video balun</t>
        </is>
      </c>
      <c r="C839" s="7" t="inlineStr">
        <is>
          <t>unidad</t>
        </is>
      </c>
      <c r="D839" s="8" t="n">
        <v>231.08</v>
      </c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>
        <f>IF(COUNT(D839:L839)=0,"",MIN(D839:L839))</f>
        <v/>
      </c>
      <c r="N839" s="8">
        <f>IF(COUNT(D839:L839)=0,"",MEDIAN(D839:L839))</f>
        <v/>
      </c>
      <c r="O839" s="8">
        <f>IF(COUNT(D839:L839)=0,"",MAX(D839:L839))</f>
        <v/>
      </c>
      <c r="P839" s="9">
        <f>IF(OR(M839="",M839=0),"",(O839-M839)/M839)</f>
        <v/>
      </c>
      <c r="Q839" s="7">
        <f>IF(COUNT(D839:L839)=0,"",INDEX($D$1:$L$1,MATCH(MIN(D839:L839),D839:L839,0)))</f>
        <v/>
      </c>
      <c r="R839" s="8" t="n">
        <v>241.33</v>
      </c>
      <c r="S839" s="10" t="n">
        <v>1</v>
      </c>
    </row>
    <row r="840">
      <c r="A840" s="7" t="inlineStr">
        <is>
          <t>MAT-18-006</t>
        </is>
      </c>
      <c r="B840" s="4" t="inlineStr">
        <is>
          <t>Asfalto en frío, 25 kg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1695</v>
      </c>
      <c r="J840" s="8" t="n"/>
      <c r="K840" s="8" t="n"/>
      <c r="L840" s="8" t="n"/>
      <c r="M840" s="8">
        <f>IF(COUNT(D840:L840)=0,"",MIN(D840:L840))</f>
        <v/>
      </c>
      <c r="N840" s="8">
        <f>IF(COUNT(D840:L840)=0,"",MEDIAN(D840:L840))</f>
        <v/>
      </c>
      <c r="O840" s="8">
        <f>IF(COUNT(D840:L840)=0,"",MAX(D840:L840))</f>
        <v/>
      </c>
      <c r="P840" s="9">
        <f>IF(OR(M840="",M840=0),"",(O840-M840)/M840)</f>
        <v/>
      </c>
      <c r="Q840" s="7">
        <f>IF(COUNT(D840:L840)=0,"",INDEX($D$1:$L$1,MATCH(MIN(D840:L840),D840:L840,0)))</f>
        <v/>
      </c>
      <c r="R840" s="8" t="n">
        <v>1695</v>
      </c>
      <c r="S840" s="10" t="n">
        <v>1</v>
      </c>
    </row>
    <row r="841">
      <c r="A841" s="7" t="inlineStr">
        <is>
          <t>MAT-19-001</t>
        </is>
      </c>
      <c r="B841" s="4" t="inlineStr">
        <is>
          <t>Perfil cuadrado negro 3/4" x 3/4" x 20 pies, pared 1.2 mm</t>
        </is>
      </c>
      <c r="C841" s="7" t="inlineStr">
        <is>
          <t>unidad</t>
        </is>
      </c>
      <c r="D841" s="8" t="n">
        <v>262.29</v>
      </c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>
        <f>IF(COUNT(D841:L841)=0,"",MIN(D841:L841))</f>
        <v/>
      </c>
      <c r="N841" s="8">
        <f>IF(COUNT(D841:L841)=0,"",MEDIAN(D841:L841))</f>
        <v/>
      </c>
      <c r="O841" s="8">
        <f>IF(COUNT(D841:L841)=0,"",MAX(D841:L841))</f>
        <v/>
      </c>
      <c r="P841" s="9">
        <f>IF(OR(M841="",M841=0),"",(O841-M841)/M841)</f>
        <v/>
      </c>
      <c r="Q841" s="7">
        <f>IF(COUNT(D841:L841)=0,"",INDEX($D$1:$L$1,MATCH(MIN(D841:L841),D841:L841,0)))</f>
        <v/>
      </c>
      <c r="R841" s="8" t="n">
        <v>262.29</v>
      </c>
      <c r="S841" s="10" t="n">
        <v>1</v>
      </c>
    </row>
    <row r="842">
      <c r="A842" s="7" t="inlineStr">
        <is>
          <t>MAT-19-002</t>
        </is>
      </c>
      <c r="B842" s="4" t="inlineStr">
        <is>
          <t>Perfil cuadrado negro 3/4" x 3/4" x 20 pies, pared 1.6 mm</t>
        </is>
      </c>
      <c r="C842" s="7" t="inlineStr">
        <is>
          <t>unidad</t>
        </is>
      </c>
      <c r="D842" s="8" t="n">
        <v>321.76</v>
      </c>
      <c r="E842" s="8" t="n"/>
      <c r="F842" s="8" t="n"/>
      <c r="G842" s="8" t="n"/>
      <c r="H842" s="8" t="n"/>
      <c r="I842" s="8" t="n"/>
      <c r="J842" s="8" t="n"/>
      <c r="K842" s="8" t="n">
        <v>316.7</v>
      </c>
      <c r="L842" s="8" t="n"/>
      <c r="M842" s="8">
        <f>IF(COUNT(D842:L842)=0,"",MIN(D842:L842))</f>
        <v/>
      </c>
      <c r="N842" s="8">
        <f>IF(COUNT(D842:L842)=0,"",MEDIAN(D842:L842))</f>
        <v/>
      </c>
      <c r="O842" s="8">
        <f>IF(COUNT(D842:L842)=0,"",MAX(D842:L842))</f>
        <v/>
      </c>
      <c r="P842" s="9">
        <f>IF(OR(M842="",M842=0),"",(O842-M842)/M842)</f>
        <v/>
      </c>
      <c r="Q842" s="7">
        <f>IF(COUNT(D842:L842)=0,"",INDEX($D$1:$L$1,MATCH(MIN(D842:L842),D842:L842,0)))</f>
        <v/>
      </c>
      <c r="R842" s="8" t="n">
        <v>347.73</v>
      </c>
      <c r="S842" s="10" t="n">
        <v>2</v>
      </c>
    </row>
    <row r="843">
      <c r="A843" s="7" t="inlineStr">
        <is>
          <t>MAT-19-003</t>
        </is>
      </c>
      <c r="B843" s="4" t="inlineStr">
        <is>
          <t>Perfil cuadrado negro 1" x 1" x 20 pies, pared 1.2 mm</t>
        </is>
      </c>
      <c r="C843" s="7" t="inlineStr">
        <is>
          <t>unidad</t>
        </is>
      </c>
      <c r="D843" s="8" t="n">
        <v>355.58</v>
      </c>
      <c r="E843" s="8" t="n"/>
      <c r="F843" s="8" t="n"/>
      <c r="G843" s="8" t="n"/>
      <c r="H843" s="8" t="n"/>
      <c r="I843" s="8" t="n"/>
      <c r="J843" s="8" t="n"/>
      <c r="K843" s="8" t="n">
        <v>348.3</v>
      </c>
      <c r="L843" s="8" t="n"/>
      <c r="M843" s="8">
        <f>IF(COUNT(D843:L843)=0,"",MIN(D843:L843))</f>
        <v/>
      </c>
      <c r="N843" s="8">
        <f>IF(COUNT(D843:L843)=0,"",MEDIAN(D843:L843))</f>
        <v/>
      </c>
      <c r="O843" s="8">
        <f>IF(COUNT(D843:L843)=0,"",MAX(D843:L843))</f>
        <v/>
      </c>
      <c r="P843" s="9">
        <f>IF(OR(M843="",M843=0),"",(O843-M843)/M843)</f>
        <v/>
      </c>
      <c r="Q843" s="7">
        <f>IF(COUNT(D843:L843)=0,"",INDEX($D$1:$L$1,MATCH(MIN(D843:L843),D843:L843,0)))</f>
        <v/>
      </c>
      <c r="R843" s="8" t="n">
        <v>383.29</v>
      </c>
      <c r="S843" s="10" t="n">
        <v>2</v>
      </c>
    </row>
    <row r="844">
      <c r="A844" s="7" t="inlineStr">
        <is>
          <t>MAT-19-004</t>
        </is>
      </c>
      <c r="B844" s="4" t="inlineStr">
        <is>
          <t>Perfil cuadrado negro 1 1/4" x 1 1/4" x 20 pies, pared 1.2 mm</t>
        </is>
      </c>
      <c r="C844" s="7" t="inlineStr">
        <is>
          <t>unidad</t>
        </is>
      </c>
      <c r="D844" s="8" t="n">
        <v>510.43</v>
      </c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>
        <f>IF(COUNT(D844:L844)=0,"",MIN(D844:L844))</f>
        <v/>
      </c>
      <c r="N844" s="8">
        <f>IF(COUNT(D844:L844)=0,"",MEDIAN(D844:L844))</f>
        <v/>
      </c>
      <c r="O844" s="8">
        <f>IF(COUNT(D844:L844)=0,"",MAX(D844:L844))</f>
        <v/>
      </c>
      <c r="P844" s="9">
        <f>IF(OR(M844="",M844=0),"",(O844-M844)/M844)</f>
        <v/>
      </c>
      <c r="Q844" s="7">
        <f>IF(COUNT(D844:L844)=0,"",INDEX($D$1:$L$1,MATCH(MIN(D844:L844),D844:L844,0)))</f>
        <v/>
      </c>
      <c r="R844" s="8" t="n">
        <v>510.43</v>
      </c>
      <c r="S844" s="10" t="n">
        <v>1</v>
      </c>
    </row>
    <row r="845">
      <c r="A845" s="7" t="inlineStr">
        <is>
          <t>MAT-19-005</t>
        </is>
      </c>
      <c r="B845" s="4" t="inlineStr">
        <is>
          <t>Perfil cuadrado negro 1 1/4" x 1 1/4" x 20 pies, pared 1.6 mm</t>
        </is>
      </c>
      <c r="C845" s="7" t="inlineStr">
        <is>
          <t>unidad</t>
        </is>
      </c>
      <c r="D845" s="8" t="n">
        <v>556.02</v>
      </c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>
        <f>IF(COUNT(D845:L845)=0,"",MIN(D845:L845))</f>
        <v/>
      </c>
      <c r="N845" s="8">
        <f>IF(COUNT(D845:L845)=0,"",MEDIAN(D845:L845))</f>
        <v/>
      </c>
      <c r="O845" s="8">
        <f>IF(COUNT(D845:L845)=0,"",MAX(D845:L845))</f>
        <v/>
      </c>
      <c r="P845" s="9">
        <f>IF(OR(M845="",M845=0),"",(O845-M845)/M845)</f>
        <v/>
      </c>
      <c r="Q845" s="7">
        <f>IF(COUNT(D845:L845)=0,"",INDEX($D$1:$L$1,MATCH(MIN(D845:L845),D845:L845,0)))</f>
        <v/>
      </c>
      <c r="R845" s="8" t="n">
        <v>556.02</v>
      </c>
      <c r="S845" s="10" t="n">
        <v>1</v>
      </c>
    </row>
    <row r="846">
      <c r="A846" s="7" t="inlineStr">
        <is>
          <t>MAT-19-006</t>
        </is>
      </c>
      <c r="B846" s="4" t="inlineStr">
        <is>
          <t>Perfil cuadrado negro 1 1/2" x 1 1/2" x 20 pies, pared 1.2 mm</t>
        </is>
      </c>
      <c r="C846" s="7" t="inlineStr">
        <is>
          <t>unidad</t>
        </is>
      </c>
      <c r="D846" s="8" t="n">
        <v>542.15</v>
      </c>
      <c r="E846" s="8" t="n"/>
      <c r="F846" s="8" t="n"/>
      <c r="G846" s="8" t="n"/>
      <c r="H846" s="8" t="n"/>
      <c r="I846" s="8" t="n"/>
      <c r="J846" s="8" t="n"/>
      <c r="K846" s="8" t="n">
        <v>531.36</v>
      </c>
      <c r="L846" s="8" t="n"/>
      <c r="M846" s="8">
        <f>IF(COUNT(D846:L846)=0,"",MIN(D846:L846))</f>
        <v/>
      </c>
      <c r="N846" s="8">
        <f>IF(COUNT(D846:L846)=0,"",MEDIAN(D846:L846))</f>
        <v/>
      </c>
      <c r="O846" s="8">
        <f>IF(COUNT(D846:L846)=0,"",MAX(D846:L846))</f>
        <v/>
      </c>
      <c r="P846" s="9">
        <f>IF(OR(M846="",M846=0),"",(O846-M846)/M846)</f>
        <v/>
      </c>
      <c r="Q846" s="7">
        <f>IF(COUNT(D846:L846)=0,"",INDEX($D$1:$L$1,MATCH(MIN(D846:L846),D846:L846,0)))</f>
        <v/>
      </c>
      <c r="R846" s="8" t="n">
        <v>584.58</v>
      </c>
      <c r="S846" s="10" t="n">
        <v>2</v>
      </c>
    </row>
    <row r="847">
      <c r="A847" s="7" t="inlineStr">
        <is>
          <t>MAT-19-007</t>
        </is>
      </c>
      <c r="B847" s="4" t="inlineStr">
        <is>
          <t>Perfil cuadrado negro 1 1/2" x 1 1/2" x 20 pies, pared 1.6 mm</t>
        </is>
      </c>
      <c r="C847" s="7" t="inlineStr">
        <is>
          <t>unidad</t>
        </is>
      </c>
      <c r="D847" s="8" t="n">
        <v>647.03</v>
      </c>
      <c r="E847" s="8" t="n"/>
      <c r="F847" s="8" t="n"/>
      <c r="G847" s="8" t="n"/>
      <c r="H847" s="8" t="n"/>
      <c r="I847" s="8" t="n"/>
      <c r="J847" s="8" t="n"/>
      <c r="K847" s="8" t="n">
        <v>667</v>
      </c>
      <c r="L847" s="8" t="n"/>
      <c r="M847" s="8">
        <f>IF(COUNT(D847:L847)=0,"",MIN(D847:L847))</f>
        <v/>
      </c>
      <c r="N847" s="8">
        <f>IF(COUNT(D847:L847)=0,"",MEDIAN(D847:L847))</f>
        <v/>
      </c>
      <c r="O847" s="8">
        <f>IF(COUNT(D847:L847)=0,"",MAX(D847:L847))</f>
        <v/>
      </c>
      <c r="P847" s="9">
        <f>IF(OR(M847="",M847=0),"",(O847-M847)/M847)</f>
        <v/>
      </c>
      <c r="Q847" s="7">
        <f>IF(COUNT(D847:L847)=0,"",INDEX($D$1:$L$1,MATCH(MIN(D847:L847),D847:L847,0)))</f>
        <v/>
      </c>
      <c r="R847" s="8" t="n">
        <v>717.05</v>
      </c>
      <c r="S847" s="10" t="n">
        <v>2</v>
      </c>
    </row>
    <row r="848">
      <c r="A848" s="7" t="inlineStr">
        <is>
          <t>MAT-19-008</t>
        </is>
      </c>
      <c r="B848" s="4" t="inlineStr">
        <is>
          <t>Perfil cuadrado negro 2" x 2" x 20 pies, pared 1.6 mm</t>
        </is>
      </c>
      <c r="C848" s="7" t="inlineStr">
        <is>
          <t>unidad</t>
        </is>
      </c>
      <c r="D848" s="8" t="n">
        <v>867.64</v>
      </c>
      <c r="E848" s="8" t="n"/>
      <c r="F848" s="8" t="n"/>
      <c r="G848" s="8" t="n"/>
      <c r="H848" s="8" t="n"/>
      <c r="I848" s="8" t="n"/>
      <c r="J848" s="8" t="n"/>
      <c r="K848" s="8" t="n">
        <v>859</v>
      </c>
      <c r="L848" s="8" t="n"/>
      <c r="M848" s="8">
        <f>IF(COUNT(D848:L848)=0,"",MIN(D848:L848))</f>
        <v/>
      </c>
      <c r="N848" s="8">
        <f>IF(COUNT(D848:L848)=0,"",MEDIAN(D848:L848))</f>
        <v/>
      </c>
      <c r="O848" s="8">
        <f>IF(COUNT(D848:L848)=0,"",MAX(D848:L848))</f>
        <v/>
      </c>
      <c r="P848" s="9">
        <f>IF(OR(M848="",M848=0),"",(O848-M848)/M848)</f>
        <v/>
      </c>
      <c r="Q848" s="7">
        <f>IF(COUNT(D848:L848)=0,"",INDEX($D$1:$L$1,MATCH(MIN(D848:L848),D848:L848,0)))</f>
        <v/>
      </c>
      <c r="R848" s="8" t="n">
        <v>940.63</v>
      </c>
      <c r="S848" s="10" t="n">
        <v>2</v>
      </c>
    </row>
    <row r="849">
      <c r="A849" s="7" t="inlineStr">
        <is>
          <t>MAT-19-009</t>
        </is>
      </c>
      <c r="B849" s="4" t="inlineStr">
        <is>
          <t>Perfil cuadrado negro 3" x 3" x 20 pies, pared 1.6 mm</t>
        </is>
      </c>
      <c r="C849" s="7" t="inlineStr">
        <is>
          <t>unidad</t>
        </is>
      </c>
      <c r="D849" s="8" t="n">
        <v>1319.81</v>
      </c>
      <c r="E849" s="8" t="n"/>
      <c r="F849" s="8" t="n"/>
      <c r="G849" s="8" t="n"/>
      <c r="H849" s="8" t="n"/>
      <c r="I849" s="8" t="n"/>
      <c r="J849" s="8" t="n"/>
      <c r="K849" s="8" t="n">
        <v>1378</v>
      </c>
      <c r="L849" s="8" t="n"/>
      <c r="M849" s="8">
        <f>IF(COUNT(D849:L849)=0,"",MIN(D849:L849))</f>
        <v/>
      </c>
      <c r="N849" s="8">
        <f>IF(COUNT(D849:L849)=0,"",MEDIAN(D849:L849))</f>
        <v/>
      </c>
      <c r="O849" s="8">
        <f>IF(COUNT(D849:L849)=0,"",MAX(D849:L849))</f>
        <v/>
      </c>
      <c r="P849" s="9">
        <f>IF(OR(M849="",M849=0),"",(O849-M849)/M849)</f>
        <v/>
      </c>
      <c r="Q849" s="7">
        <f>IF(COUNT(D849:L849)=0,"",INDEX($D$1:$L$1,MATCH(MIN(D849:L849),D849:L849,0)))</f>
        <v/>
      </c>
      <c r="R849" s="8" t="n">
        <v>1472.93</v>
      </c>
      <c r="S849" s="10" t="n">
        <v>2</v>
      </c>
    </row>
    <row r="850">
      <c r="A850" s="7" t="inlineStr">
        <is>
          <t>MAT-19-010</t>
        </is>
      </c>
      <c r="B850" s="4" t="inlineStr">
        <is>
          <t>Perfil cuadrado galvanizado 3/4" x 3/4" x 20 pies, pared 1.2 mm</t>
        </is>
      </c>
      <c r="C850" s="7" t="inlineStr">
        <is>
          <t>unidad</t>
        </is>
      </c>
      <c r="D850" s="8" t="n">
        <v>316.11</v>
      </c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>
        <f>IF(COUNT(D850:L850)=0,"",MIN(D850:L850))</f>
        <v/>
      </c>
      <c r="N850" s="8">
        <f>IF(COUNT(D850:L850)=0,"",MEDIAN(D850:L850))</f>
        <v/>
      </c>
      <c r="O850" s="8">
        <f>IF(COUNT(D850:L850)=0,"",MAX(D850:L850))</f>
        <v/>
      </c>
      <c r="P850" s="9">
        <f>IF(OR(M850="",M850=0),"",(O850-M850)/M850)</f>
        <v/>
      </c>
      <c r="Q850" s="7">
        <f>IF(COUNT(D850:L850)=0,"",INDEX($D$1:$L$1,MATCH(MIN(D850:L850),D850:L850,0)))</f>
        <v/>
      </c>
      <c r="R850" s="8" t="n">
        <v>316.11</v>
      </c>
      <c r="S850" s="10" t="n">
        <v>1</v>
      </c>
    </row>
    <row r="851">
      <c r="A851" s="7" t="inlineStr">
        <is>
          <t>MAT-19-011</t>
        </is>
      </c>
      <c r="B851" s="4" t="inlineStr">
        <is>
          <t>Perfil cuadrado galvanizado 1" x 1" x 20 pies, pared 1.2 mm</t>
        </is>
      </c>
      <c r="C851" s="7" t="inlineStr">
        <is>
          <t>unidad</t>
        </is>
      </c>
      <c r="D851" s="8" t="n">
        <v>423.74</v>
      </c>
      <c r="E851" s="8" t="n"/>
      <c r="F851" s="8" t="n"/>
      <c r="G851" s="8" t="n"/>
      <c r="H851" s="8" t="n"/>
      <c r="I851" s="8" t="n"/>
      <c r="J851" s="8" t="n"/>
      <c r="K851" s="8" t="n">
        <v>434</v>
      </c>
      <c r="L851" s="8" t="n"/>
      <c r="M851" s="8">
        <f>IF(COUNT(D851:L851)=0,"",MIN(D851:L851))</f>
        <v/>
      </c>
      <c r="N851" s="8">
        <f>IF(COUNT(D851:L851)=0,"",MEDIAN(D851:L851))</f>
        <v/>
      </c>
      <c r="O851" s="8">
        <f>IF(COUNT(D851:L851)=0,"",MAX(D851:L851))</f>
        <v/>
      </c>
      <c r="P851" s="9">
        <f>IF(OR(M851="",M851=0),"",(O851-M851)/M851)</f>
        <v/>
      </c>
      <c r="Q851" s="7">
        <f>IF(COUNT(D851:L851)=0,"",INDEX($D$1:$L$1,MATCH(MIN(D851:L851),D851:L851,0)))</f>
        <v/>
      </c>
      <c r="R851" s="8" t="n">
        <v>467.93</v>
      </c>
      <c r="S851" s="10" t="n">
        <v>2</v>
      </c>
    </row>
    <row r="852">
      <c r="A852" s="7" t="inlineStr">
        <is>
          <t>MAT-19-012</t>
        </is>
      </c>
      <c r="B852" s="4" t="inlineStr">
        <is>
          <t>Perfil cuadrado galvanizado 1" x 1" x 20 pies, pared 1.6 mm</t>
        </is>
      </c>
      <c r="C852" s="7" t="inlineStr">
        <is>
          <t>unidad</t>
        </is>
      </c>
      <c r="D852" s="8" t="n">
        <v>539.74</v>
      </c>
      <c r="E852" s="8" t="n"/>
      <c r="F852" s="8" t="n"/>
      <c r="G852" s="8" t="n"/>
      <c r="H852" s="8" t="n"/>
      <c r="I852" s="8" t="n"/>
      <c r="J852" s="8" t="n"/>
      <c r="K852" s="8" t="n">
        <v>561</v>
      </c>
      <c r="L852" s="8" t="n"/>
      <c r="M852" s="8">
        <f>IF(COUNT(D852:L852)=0,"",MIN(D852:L852))</f>
        <v/>
      </c>
      <c r="N852" s="8">
        <f>IF(COUNT(D852:L852)=0,"",MEDIAN(D852:L852))</f>
        <v/>
      </c>
      <c r="O852" s="8">
        <f>IF(COUNT(D852:L852)=0,"",MAX(D852:L852))</f>
        <v/>
      </c>
      <c r="P852" s="9">
        <f>IF(OR(M852="",M852=0),"",(O852-M852)/M852)</f>
        <v/>
      </c>
      <c r="Q852" s="7">
        <f>IF(COUNT(D852:L852)=0,"",INDEX($D$1:$L$1,MATCH(MIN(D852:L852),D852:L852,0)))</f>
        <v/>
      </c>
      <c r="R852" s="8" t="n">
        <v>600.86</v>
      </c>
      <c r="S852" s="10" t="n">
        <v>2</v>
      </c>
    </row>
    <row r="853">
      <c r="A853" s="7" t="inlineStr">
        <is>
          <t>MAT-19-013</t>
        </is>
      </c>
      <c r="B853" s="4" t="inlineStr">
        <is>
          <t>Perfil cuadrado galvanizado 1 1/4" x 1 1/4" x 20 pies, pared 1.5 mm</t>
        </is>
      </c>
      <c r="C853" s="7" t="inlineStr">
        <is>
          <t>unidad</t>
        </is>
      </c>
      <c r="D853" s="8" t="n">
        <v>712.04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>
        <f>IF(COUNT(D853:L853)=0,"",MIN(D853:L853))</f>
        <v/>
      </c>
      <c r="N853" s="8">
        <f>IF(COUNT(D853:L853)=0,"",MEDIAN(D853:L853))</f>
        <v/>
      </c>
      <c r="O853" s="8">
        <f>IF(COUNT(D853:L853)=0,"",MAX(D853:L853))</f>
        <v/>
      </c>
      <c r="P853" s="9">
        <f>IF(OR(M853="",M853=0),"",(O853-M853)/M853)</f>
        <v/>
      </c>
      <c r="Q853" s="7">
        <f>IF(COUNT(D853:L853)=0,"",INDEX($D$1:$L$1,MATCH(MIN(D853:L853),D853:L853,0)))</f>
        <v/>
      </c>
      <c r="R853" s="8" t="n">
        <v>712.04</v>
      </c>
      <c r="S853" s="10" t="n">
        <v>1</v>
      </c>
    </row>
    <row r="854">
      <c r="A854" s="7" t="inlineStr">
        <is>
          <t>MAT-19-014</t>
        </is>
      </c>
      <c r="B854" s="4" t="inlineStr">
        <is>
          <t>Perfil cuadrado galvanizado 1 1/2" x 1 1/2" x 20 pies, pared 1.2 mm</t>
        </is>
      </c>
      <c r="C854" s="7" t="inlineStr">
        <is>
          <t>unidad</t>
        </is>
      </c>
      <c r="D854" s="8" t="n">
        <v>648.6799999999999</v>
      </c>
      <c r="E854" s="8" t="n"/>
      <c r="F854" s="8" t="n"/>
      <c r="G854" s="8" t="n"/>
      <c r="H854" s="8" t="n"/>
      <c r="I854" s="8" t="n"/>
      <c r="J854" s="8" t="n"/>
      <c r="K854" s="8" t="n">
        <v>642.8</v>
      </c>
      <c r="L854" s="8" t="n"/>
      <c r="M854" s="8">
        <f>IF(COUNT(D854:L854)=0,"",MIN(D854:L854))</f>
        <v/>
      </c>
      <c r="N854" s="8">
        <f>IF(COUNT(D854:L854)=0,"",MEDIAN(D854:L854))</f>
        <v/>
      </c>
      <c r="O854" s="8">
        <f>IF(COUNT(D854:L854)=0,"",MAX(D854:L854))</f>
        <v/>
      </c>
      <c r="P854" s="9">
        <f>IF(OR(M854="",M854=0),"",(O854-M854)/M854)</f>
        <v/>
      </c>
      <c r="Q854" s="7">
        <f>IF(COUNT(D854:L854)=0,"",INDEX($D$1:$L$1,MATCH(MIN(D854:L854),D854:L854,0)))</f>
        <v/>
      </c>
      <c r="R854" s="8" t="n">
        <v>703.59</v>
      </c>
      <c r="S854" s="10" t="n">
        <v>2</v>
      </c>
    </row>
    <row r="855">
      <c r="A855" s="7" t="inlineStr">
        <is>
          <t>MAT-19-015</t>
        </is>
      </c>
      <c r="B855" s="4" t="inlineStr">
        <is>
          <t>Perfil cuadrado galvanizado 1 1/2" x 1 1/2" x 20 pies, pared 1.6 mm</t>
        </is>
      </c>
      <c r="C855" s="7" t="inlineStr">
        <is>
          <t>unidad</t>
        </is>
      </c>
      <c r="D855" s="8" t="n">
        <v>814.53</v>
      </c>
      <c r="E855" s="8" t="n"/>
      <c r="F855" s="8" t="n"/>
      <c r="G855" s="8" t="n"/>
      <c r="H855" s="8" t="n"/>
      <c r="I855" s="8" t="n"/>
      <c r="J855" s="8" t="n"/>
      <c r="K855" s="8" t="n">
        <v>810</v>
      </c>
      <c r="L855" s="8" t="n"/>
      <c r="M855" s="8">
        <f>IF(COUNT(D855:L855)=0,"",MIN(D855:L855))</f>
        <v/>
      </c>
      <c r="N855" s="8">
        <f>IF(COUNT(D855:L855)=0,"",MEDIAN(D855:L855))</f>
        <v/>
      </c>
      <c r="O855" s="8">
        <f>IF(COUNT(D855:L855)=0,"",MAX(D855:L855))</f>
        <v/>
      </c>
      <c r="P855" s="9">
        <f>IF(OR(M855="",M855=0),"",(O855-M855)/M855)</f>
        <v/>
      </c>
      <c r="Q855" s="7">
        <f>IF(COUNT(D855:L855)=0,"",INDEX($D$1:$L$1,MATCH(MIN(D855:L855),D855:L855,0)))</f>
        <v/>
      </c>
      <c r="R855" s="8" t="n">
        <v>885.17</v>
      </c>
      <c r="S855" s="10" t="n">
        <v>2</v>
      </c>
    </row>
    <row r="856">
      <c r="A856" s="7" t="inlineStr">
        <is>
          <t>MAT-19-016</t>
        </is>
      </c>
      <c r="B856" s="4" t="inlineStr">
        <is>
          <t>Perfil cuadrado galvanizado 2" x 2" x 20 pies, pared 1.6 mm</t>
        </is>
      </c>
      <c r="C856" s="7" t="inlineStr">
        <is>
          <t>unidad</t>
        </is>
      </c>
      <c r="D856" s="8" t="n">
        <v>1108.57</v>
      </c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>
        <f>IF(COUNT(D856:L856)=0,"",MIN(D856:L856))</f>
        <v/>
      </c>
      <c r="N856" s="8">
        <f>IF(COUNT(D856:L856)=0,"",MEDIAN(D856:L856))</f>
        <v/>
      </c>
      <c r="O856" s="8">
        <f>IF(COUNT(D856:L856)=0,"",MAX(D856:L856))</f>
        <v/>
      </c>
      <c r="P856" s="9">
        <f>IF(OR(M856="",M856=0),"",(O856-M856)/M856)</f>
        <v/>
      </c>
      <c r="Q856" s="7">
        <f>IF(COUNT(D856:L856)=0,"",INDEX($D$1:$L$1,MATCH(MIN(D856:L856),D856:L856,0)))</f>
        <v/>
      </c>
      <c r="R856" s="8" t="n">
        <v>1108.57</v>
      </c>
      <c r="S856" s="10" t="n">
        <v>1</v>
      </c>
    </row>
    <row r="857">
      <c r="A857" s="7" t="inlineStr">
        <is>
          <t>MAT-19-017</t>
        </is>
      </c>
      <c r="B857" s="4" t="inlineStr">
        <is>
          <t>Perfil cuadrado galvanizado 3" x 3" x 20 pies, pared 1.5 mm</t>
        </is>
      </c>
      <c r="C857" s="7" t="inlineStr">
        <is>
          <t>unidad</t>
        </is>
      </c>
      <c r="D857" s="8" t="n">
        <v>1707.91</v>
      </c>
      <c r="E857" s="8" t="n"/>
      <c r="F857" s="8" t="n"/>
      <c r="G857" s="8" t="n"/>
      <c r="H857" s="8" t="n"/>
      <c r="I857" s="8" t="n"/>
      <c r="J857" s="8" t="n"/>
      <c r="K857" s="8" t="n">
        <v>1726</v>
      </c>
      <c r="L857" s="8" t="n"/>
      <c r="M857" s="8">
        <f>IF(COUNT(D857:L857)=0,"",MIN(D857:L857))</f>
        <v/>
      </c>
      <c r="N857" s="8">
        <f>IF(COUNT(D857:L857)=0,"",MEDIAN(D857:L857))</f>
        <v/>
      </c>
      <c r="O857" s="8">
        <f>IF(COUNT(D857:L857)=0,"",MAX(D857:L857))</f>
        <v/>
      </c>
      <c r="P857" s="9">
        <f>IF(OR(M857="",M857=0),"",(O857-M857)/M857)</f>
        <v/>
      </c>
      <c r="Q857" s="7">
        <f>IF(COUNT(D857:L857)=0,"",INDEX($D$1:$L$1,MATCH(MIN(D857:L857),D857:L857,0)))</f>
        <v/>
      </c>
      <c r="R857" s="8" t="n">
        <v>1872.3</v>
      </c>
      <c r="S857" s="10" t="n">
        <v>2</v>
      </c>
    </row>
    <row r="858">
      <c r="A858" s="7" t="inlineStr">
        <is>
          <t>MAT-19-018</t>
        </is>
      </c>
      <c r="B858" s="4" t="inlineStr">
        <is>
          <t>Perfil rectangular negro 3/4" x 1 1/2" x 20 pies, pared 1.2 mm</t>
        </is>
      </c>
      <c r="C858" s="7" t="inlineStr">
        <is>
          <t>unidad</t>
        </is>
      </c>
      <c r="D858" s="8" t="n">
        <v>402.51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>
        <f>IF(COUNT(D858:L858)=0,"",MIN(D858:L858))</f>
        <v/>
      </c>
      <c r="N858" s="8">
        <f>IF(COUNT(D858:L858)=0,"",MEDIAN(D858:L858))</f>
        <v/>
      </c>
      <c r="O858" s="8">
        <f>IF(COUNT(D858:L858)=0,"",MAX(D858:L858))</f>
        <v/>
      </c>
      <c r="P858" s="9">
        <f>IF(OR(M858="",M858=0),"",(O858-M858)/M858)</f>
        <v/>
      </c>
      <c r="Q858" s="7">
        <f>IF(COUNT(D858:L858)=0,"",INDEX($D$1:$L$1,MATCH(MIN(D858:L858),D858:L858,0)))</f>
        <v/>
      </c>
      <c r="R858" s="8" t="n">
        <v>402.51</v>
      </c>
      <c r="S858" s="10" t="n">
        <v>1</v>
      </c>
    </row>
    <row r="859">
      <c r="A859" s="7" t="inlineStr">
        <is>
          <t>MAT-19-019</t>
        </is>
      </c>
      <c r="B859" s="4" t="inlineStr">
        <is>
          <t>Perfil rectangular negro 3/4" x 1 1/2" x 20 pies, pared 1.6 mm</t>
        </is>
      </c>
      <c r="C859" s="7" t="inlineStr">
        <is>
          <t>unidad</t>
        </is>
      </c>
      <c r="D859" s="8" t="n">
        <v>472.19</v>
      </c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>
        <f>IF(COUNT(D859:L859)=0,"",MIN(D859:L859))</f>
        <v/>
      </c>
      <c r="N859" s="8">
        <f>IF(COUNT(D859:L859)=0,"",MEDIAN(D859:L859))</f>
        <v/>
      </c>
      <c r="O859" s="8">
        <f>IF(COUNT(D859:L859)=0,"",MAX(D859:L859))</f>
        <v/>
      </c>
      <c r="P859" s="9">
        <f>IF(OR(M859="",M859=0),"",(O859-M859)/M859)</f>
        <v/>
      </c>
      <c r="Q859" s="7">
        <f>IF(COUNT(D859:L859)=0,"",INDEX($D$1:$L$1,MATCH(MIN(D859:L859),D859:L859,0)))</f>
        <v/>
      </c>
      <c r="R859" s="8" t="n">
        <v>472.19</v>
      </c>
      <c r="S859" s="10" t="n">
        <v>1</v>
      </c>
    </row>
    <row r="860">
      <c r="A860" s="7" t="inlineStr">
        <is>
          <t>MAT-19-020</t>
        </is>
      </c>
      <c r="B860" s="4" t="inlineStr">
        <is>
          <t>Perfil rectangular negro 2" x 1" x 20 pies, pared 1.2 mm</t>
        </is>
      </c>
      <c r="C860" s="7" t="inlineStr">
        <is>
          <t>unidad</t>
        </is>
      </c>
      <c r="D860" s="8" t="n">
        <v>542.15</v>
      </c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>
        <f>IF(COUNT(D860:L860)=0,"",MIN(D860:L860))</f>
        <v/>
      </c>
      <c r="N860" s="8">
        <f>IF(COUNT(D860:L860)=0,"",MEDIAN(D860:L860))</f>
        <v/>
      </c>
      <c r="O860" s="8">
        <f>IF(COUNT(D860:L860)=0,"",MAX(D860:L860))</f>
        <v/>
      </c>
      <c r="P860" s="9">
        <f>IF(OR(M860="",M860=0),"",(O860-M860)/M860)</f>
        <v/>
      </c>
      <c r="Q860" s="7">
        <f>IF(COUNT(D860:L860)=0,"",INDEX($D$1:$L$1,MATCH(MIN(D860:L860),D860:L860,0)))</f>
        <v/>
      </c>
      <c r="R860" s="8" t="n">
        <v>542.15</v>
      </c>
      <c r="S860" s="10" t="n">
        <v>1</v>
      </c>
    </row>
    <row r="861">
      <c r="A861" s="7" t="inlineStr">
        <is>
          <t>MAT-19-021</t>
        </is>
      </c>
      <c r="B861" s="4" t="inlineStr">
        <is>
          <t>Perfil rectangular negro 2" x 1" x 20 pies, pared 1.6 mm</t>
        </is>
      </c>
      <c r="C861" s="7" t="inlineStr">
        <is>
          <t>unidad</t>
        </is>
      </c>
      <c r="D861" s="8" t="n">
        <v>639.71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>
        <f>IF(COUNT(D861:L861)=0,"",MIN(D861:L861))</f>
        <v/>
      </c>
      <c r="N861" s="8">
        <f>IF(COUNT(D861:L861)=0,"",MEDIAN(D861:L861))</f>
        <v/>
      </c>
      <c r="O861" s="8">
        <f>IF(COUNT(D861:L861)=0,"",MAX(D861:L861))</f>
        <v/>
      </c>
      <c r="P861" s="9">
        <f>IF(OR(M861="",M861=0),"",(O861-M861)/M861)</f>
        <v/>
      </c>
      <c r="Q861" s="7">
        <f>IF(COUNT(D861:L861)=0,"",INDEX($D$1:$L$1,MATCH(MIN(D861:L861),D861:L861,0)))</f>
        <v/>
      </c>
      <c r="R861" s="8" t="n">
        <v>639.71</v>
      </c>
      <c r="S861" s="10" t="n">
        <v>1</v>
      </c>
    </row>
    <row r="862">
      <c r="A862" s="7" t="inlineStr">
        <is>
          <t>MAT-19-022</t>
        </is>
      </c>
      <c r="B862" s="4" t="inlineStr">
        <is>
          <t>Perfil rectangular negro 2" x 3" x 20 pies, pared 1.6 mm</t>
        </is>
      </c>
      <c r="C862" s="7" t="inlineStr">
        <is>
          <t>unidad</t>
        </is>
      </c>
      <c r="D862" s="8" t="n">
        <v>1082.3</v>
      </c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>
        <f>IF(COUNT(D862:L862)=0,"",MIN(D862:L862))</f>
        <v/>
      </c>
      <c r="N862" s="8">
        <f>IF(COUNT(D862:L862)=0,"",MEDIAN(D862:L862))</f>
        <v/>
      </c>
      <c r="O862" s="8">
        <f>IF(COUNT(D862:L862)=0,"",MAX(D862:L862))</f>
        <v/>
      </c>
      <c r="P862" s="9">
        <f>IF(OR(M862="",M862=0),"",(O862-M862)/M862)</f>
        <v/>
      </c>
      <c r="Q862" s="7">
        <f>IF(COUNT(D862:L862)=0,"",INDEX($D$1:$L$1,MATCH(MIN(D862:L862),D862:L862,0)))</f>
        <v/>
      </c>
      <c r="R862" s="8" t="n">
        <v>1082.3</v>
      </c>
      <c r="S862" s="10" t="n">
        <v>1</v>
      </c>
    </row>
    <row r="863">
      <c r="A863" s="7" t="inlineStr">
        <is>
          <t>MAT-19-023</t>
        </is>
      </c>
      <c r="B863" s="4" t="inlineStr">
        <is>
          <t>Perfil rectangular negro 2" x 4" x 20 pies, pared 1.6 mm</t>
        </is>
      </c>
      <c r="C863" s="7" t="inlineStr">
        <is>
          <t>unidad</t>
        </is>
      </c>
      <c r="D863" s="8" t="n">
        <v>1349.04</v>
      </c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>
        <f>IF(COUNT(D863:L863)=0,"",MIN(D863:L863))</f>
        <v/>
      </c>
      <c r="N863" s="8">
        <f>IF(COUNT(D863:L863)=0,"",MEDIAN(D863:L863))</f>
        <v/>
      </c>
      <c r="O863" s="8">
        <f>IF(COUNT(D863:L863)=0,"",MAX(D863:L863))</f>
        <v/>
      </c>
      <c r="P863" s="9">
        <f>IF(OR(M863="",M863=0),"",(O863-M863)/M863)</f>
        <v/>
      </c>
      <c r="Q863" s="7">
        <f>IF(COUNT(D863:L863)=0,"",INDEX($D$1:$L$1,MATCH(MIN(D863:L863),D863:L863,0)))</f>
        <v/>
      </c>
      <c r="R863" s="8" t="n">
        <v>1349.04</v>
      </c>
      <c r="S863" s="10" t="n">
        <v>1</v>
      </c>
    </row>
    <row r="864">
      <c r="A864" s="7" t="inlineStr">
        <is>
          <t>MAT-19-024</t>
        </is>
      </c>
      <c r="B864" s="4" t="inlineStr">
        <is>
          <t>Perfil rectangular negro 3" x 1 1/2" x 20 pies, pared 1.6 mm</t>
        </is>
      </c>
      <c r="C864" s="7" t="inlineStr">
        <is>
          <t>unidad</t>
        </is>
      </c>
      <c r="D864" s="8" t="n">
        <v>973.59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>
        <f>IF(COUNT(D864:L864)=0,"",MIN(D864:L864))</f>
        <v/>
      </c>
      <c r="N864" s="8">
        <f>IF(COUNT(D864:L864)=0,"",MEDIAN(D864:L864))</f>
        <v/>
      </c>
      <c r="O864" s="8">
        <f>IF(COUNT(D864:L864)=0,"",MAX(D864:L864))</f>
        <v/>
      </c>
      <c r="P864" s="9">
        <f>IF(OR(M864="",M864=0),"",(O864-M864)/M864)</f>
        <v/>
      </c>
      <c r="Q864" s="7">
        <f>IF(COUNT(D864:L864)=0,"",INDEX($D$1:$L$1,MATCH(MIN(D864:L864),D864:L864,0)))</f>
        <v/>
      </c>
      <c r="R864" s="8" t="n">
        <v>973.59</v>
      </c>
      <c r="S864" s="10" t="n">
        <v>1</v>
      </c>
    </row>
    <row r="865">
      <c r="A865" s="7" t="inlineStr">
        <is>
          <t>MAT-19-025</t>
        </is>
      </c>
      <c r="B865" s="4" t="inlineStr">
        <is>
          <t>Perfil rectangular galvanizado 3/4" x 1 1/2" x 20 pies, pared 1.2 mm</t>
        </is>
      </c>
      <c r="C865" s="7" t="inlineStr">
        <is>
          <t>unidad</t>
        </is>
      </c>
      <c r="D865" s="8" t="n">
        <v>492.8</v>
      </c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>
        <f>IF(COUNT(D865:L865)=0,"",MIN(D865:L865))</f>
        <v/>
      </c>
      <c r="N865" s="8">
        <f>IF(COUNT(D865:L865)=0,"",MEDIAN(D865:L865))</f>
        <v/>
      </c>
      <c r="O865" s="8">
        <f>IF(COUNT(D865:L865)=0,"",MAX(D865:L865))</f>
        <v/>
      </c>
      <c r="P865" s="9">
        <f>IF(OR(M865="",M865=0),"",(O865-M865)/M865)</f>
        <v/>
      </c>
      <c r="Q865" s="7">
        <f>IF(COUNT(D865:L865)=0,"",INDEX($D$1:$L$1,MATCH(MIN(D865:L865),D865:L865,0)))</f>
        <v/>
      </c>
      <c r="R865" s="8" t="n">
        <v>492.8</v>
      </c>
      <c r="S865" s="10" t="n">
        <v>1</v>
      </c>
    </row>
    <row r="866">
      <c r="A866" s="7" t="inlineStr">
        <is>
          <t>MAT-19-026</t>
        </is>
      </c>
      <c r="B866" s="4" t="inlineStr">
        <is>
          <t>Perfil rectangular galvanizado 3/4" x 1 1/2" x 20 pies, pared 1.5 mm</t>
        </is>
      </c>
      <c r="C866" s="7" t="inlineStr">
        <is>
          <t>unidad</t>
        </is>
      </c>
      <c r="D866" s="8" t="n">
        <v>626.88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>
        <f>IF(COUNT(D866:L866)=0,"",MIN(D866:L866))</f>
        <v/>
      </c>
      <c r="N866" s="8">
        <f>IF(COUNT(D866:L866)=0,"",MEDIAN(D866:L866))</f>
        <v/>
      </c>
      <c r="O866" s="8">
        <f>IF(COUNT(D866:L866)=0,"",MAX(D866:L866))</f>
        <v/>
      </c>
      <c r="P866" s="9">
        <f>IF(OR(M866="",M866=0),"",(O866-M866)/M866)</f>
        <v/>
      </c>
      <c r="Q866" s="7">
        <f>IF(COUNT(D866:L866)=0,"",INDEX($D$1:$L$1,MATCH(MIN(D866:L866),D866:L866,0)))</f>
        <v/>
      </c>
      <c r="R866" s="8" t="n">
        <v>626.88</v>
      </c>
      <c r="S866" s="10" t="n">
        <v>1</v>
      </c>
    </row>
    <row r="867">
      <c r="A867" s="7" t="inlineStr">
        <is>
          <t>MAT-19-027</t>
        </is>
      </c>
      <c r="B867" s="4" t="inlineStr">
        <is>
          <t>Perfil rectangular galvanizado 2" x 1" x 20 pies, pared 1.2 mm</t>
        </is>
      </c>
      <c r="C867" s="7" t="inlineStr">
        <is>
          <t>unidad</t>
        </is>
      </c>
      <c r="D867" s="8" t="n">
        <v>646.73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>
        <f>IF(COUNT(D867:L867)=0,"",MIN(D867:L867))</f>
        <v/>
      </c>
      <c r="N867" s="8">
        <f>IF(COUNT(D867:L867)=0,"",MEDIAN(D867:L867))</f>
        <v/>
      </c>
      <c r="O867" s="8">
        <f>IF(COUNT(D867:L867)=0,"",MAX(D867:L867))</f>
        <v/>
      </c>
      <c r="P867" s="9">
        <f>IF(OR(M867="",M867=0),"",(O867-M867)/M867)</f>
        <v/>
      </c>
      <c r="Q867" s="7">
        <f>IF(COUNT(D867:L867)=0,"",INDEX($D$1:$L$1,MATCH(MIN(D867:L867),D867:L867,0)))</f>
        <v/>
      </c>
      <c r="R867" s="8" t="n">
        <v>646.73</v>
      </c>
      <c r="S867" s="10" t="n">
        <v>1</v>
      </c>
    </row>
    <row r="868">
      <c r="A868" s="7" t="inlineStr">
        <is>
          <t>MAT-19-028</t>
        </is>
      </c>
      <c r="B868" s="4" t="inlineStr">
        <is>
          <t>Perfil rectangular galvanizado 2" x 1" x 20 pies, pared 1.6 mm</t>
        </is>
      </c>
      <c r="C868" s="7" t="inlineStr">
        <is>
          <t>unidad</t>
        </is>
      </c>
      <c r="D868" s="8" t="n">
        <v>812.22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>
        <f>IF(COUNT(D868:L868)=0,"",MIN(D868:L868))</f>
        <v/>
      </c>
      <c r="N868" s="8">
        <f>IF(COUNT(D868:L868)=0,"",MEDIAN(D868:L868))</f>
        <v/>
      </c>
      <c r="O868" s="8">
        <f>IF(COUNT(D868:L868)=0,"",MAX(D868:L868))</f>
        <v/>
      </c>
      <c r="P868" s="9">
        <f>IF(OR(M868="",M868=0),"",(O868-M868)/M868)</f>
        <v/>
      </c>
      <c r="Q868" s="7">
        <f>IF(COUNT(D868:L868)=0,"",INDEX($D$1:$L$1,MATCH(MIN(D868:L868),D868:L868,0)))</f>
        <v/>
      </c>
      <c r="R868" s="8" t="n">
        <v>812.22</v>
      </c>
      <c r="S868" s="10" t="n">
        <v>1</v>
      </c>
    </row>
    <row r="869">
      <c r="A869" s="7" t="inlineStr">
        <is>
          <t>MAT-19-029</t>
        </is>
      </c>
      <c r="B869" s="4" t="inlineStr">
        <is>
          <t>Perfil rectangular galvanizado 2" x 3" x 20 pies, pared 1.6 mm</t>
        </is>
      </c>
      <c r="C869" s="7" t="inlineStr">
        <is>
          <t>unidad</t>
        </is>
      </c>
      <c r="D869" s="8" t="n">
        <v>1400.9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>
        <f>IF(COUNT(D869:L869)=0,"",MIN(D869:L869))</f>
        <v/>
      </c>
      <c r="N869" s="8">
        <f>IF(COUNT(D869:L869)=0,"",MEDIAN(D869:L869))</f>
        <v/>
      </c>
      <c r="O869" s="8">
        <f>IF(COUNT(D869:L869)=0,"",MAX(D869:L869))</f>
        <v/>
      </c>
      <c r="P869" s="9">
        <f>IF(OR(M869="",M869=0),"",(O869-M869)/M869)</f>
        <v/>
      </c>
      <c r="Q869" s="7">
        <f>IF(COUNT(D869:L869)=0,"",INDEX($D$1:$L$1,MATCH(MIN(D869:L869),D869:L869,0)))</f>
        <v/>
      </c>
      <c r="R869" s="8" t="n">
        <v>1400.9</v>
      </c>
      <c r="S869" s="10" t="n">
        <v>1</v>
      </c>
    </row>
    <row r="870">
      <c r="A870" s="7" t="inlineStr">
        <is>
          <t>MAT-19-030</t>
        </is>
      </c>
      <c r="B870" s="4" t="inlineStr">
        <is>
          <t>Perfil rectangular galvanizado 2" x 4" x 20 pies, pared 1.6 mm</t>
        </is>
      </c>
      <c r="C870" s="7" t="inlineStr">
        <is>
          <t>unidad</t>
        </is>
      </c>
      <c r="D870" s="8" t="n">
        <v>1695.85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>
        <f>IF(COUNT(D870:L870)=0,"",MIN(D870:L870))</f>
        <v/>
      </c>
      <c r="N870" s="8">
        <f>IF(COUNT(D870:L870)=0,"",MEDIAN(D870:L870))</f>
        <v/>
      </c>
      <c r="O870" s="8">
        <f>IF(COUNT(D870:L870)=0,"",MAX(D870:L870))</f>
        <v/>
      </c>
      <c r="P870" s="9">
        <f>IF(OR(M870="",M870=0),"",(O870-M870)/M870)</f>
        <v/>
      </c>
      <c r="Q870" s="7">
        <f>IF(COUNT(D870:L870)=0,"",INDEX($D$1:$L$1,MATCH(MIN(D870:L870),D870:L870,0)))</f>
        <v/>
      </c>
      <c r="R870" s="8" t="n">
        <v>1695.85</v>
      </c>
      <c r="S870" s="10" t="n">
        <v>1</v>
      </c>
    </row>
    <row r="871">
      <c r="A871" s="7" t="inlineStr">
        <is>
          <t>MAT-19-031</t>
        </is>
      </c>
      <c r="B871" s="4" t="inlineStr">
        <is>
          <t>Perfil rectangular galvanizado 3" x 1 1/2" x 20 pies, pared 1.6 mm</t>
        </is>
      </c>
      <c r="C871" s="7" t="inlineStr">
        <is>
          <t>unidad</t>
        </is>
      </c>
      <c r="D871" s="8" t="n">
        <v>1275.97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>
        <f>IF(COUNT(D871:L871)=0,"",MIN(D871:L871))</f>
        <v/>
      </c>
      <c r="N871" s="8">
        <f>IF(COUNT(D871:L871)=0,"",MEDIAN(D871:L871))</f>
        <v/>
      </c>
      <c r="O871" s="8">
        <f>IF(COUNT(D871:L871)=0,"",MAX(D871:L871))</f>
        <v/>
      </c>
      <c r="P871" s="9">
        <f>IF(OR(M871="",M871=0),"",(O871-M871)/M871)</f>
        <v/>
      </c>
      <c r="Q871" s="7">
        <f>IF(COUNT(D871:L871)=0,"",INDEX($D$1:$L$1,MATCH(MIN(D871:L871),D871:L871,0)))</f>
        <v/>
      </c>
      <c r="R871" s="8" t="n">
        <v>1275.97</v>
      </c>
      <c r="S871" s="10" t="n">
        <v>1</v>
      </c>
    </row>
    <row r="872">
      <c r="A872" s="7" t="inlineStr">
        <is>
          <t>MAT-19-032</t>
        </is>
      </c>
      <c r="B872" s="4" t="inlineStr">
        <is>
          <t>Tubo negro redondo 1/2" x 20 pies, pared 2.77 mm</t>
        </is>
      </c>
      <c r="C872" s="7" t="inlineStr">
        <is>
          <t>unidad</t>
        </is>
      </c>
      <c r="D872" s="8" t="n">
        <v>620.21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>
        <f>IF(COUNT(D872:L872)=0,"",MIN(D872:L872))</f>
        <v/>
      </c>
      <c r="N872" s="8">
        <f>IF(COUNT(D872:L872)=0,"",MEDIAN(D872:L872))</f>
        <v/>
      </c>
      <c r="O872" s="8">
        <f>IF(COUNT(D872:L872)=0,"",MAX(D872:L872))</f>
        <v/>
      </c>
      <c r="P872" s="9">
        <f>IF(OR(M872="",M872=0),"",(O872-M872)/M872)</f>
        <v/>
      </c>
      <c r="Q872" s="7">
        <f>IF(COUNT(D872:L872)=0,"",INDEX($D$1:$L$1,MATCH(MIN(D872:L872),D872:L872,0)))</f>
        <v/>
      </c>
      <c r="R872" s="8" t="n">
        <v>620.21</v>
      </c>
      <c r="S872" s="10" t="n">
        <v>1</v>
      </c>
    </row>
    <row r="873">
      <c r="A873" s="7" t="inlineStr">
        <is>
          <t>MAT-19-033</t>
        </is>
      </c>
      <c r="B873" s="4" t="inlineStr">
        <is>
          <t>Tubo negro redondo 3/4" x 20 pies, pared 2.87 mm</t>
        </is>
      </c>
      <c r="C873" s="7" t="inlineStr">
        <is>
          <t>unidad</t>
        </is>
      </c>
      <c r="D873" s="8" t="n">
        <v>826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>
        <f>IF(COUNT(D873:L873)=0,"",MIN(D873:L873))</f>
        <v/>
      </c>
      <c r="N873" s="8">
        <f>IF(COUNT(D873:L873)=0,"",MEDIAN(D873:L873))</f>
        <v/>
      </c>
      <c r="O873" s="8">
        <f>IF(COUNT(D873:L873)=0,"",MAX(D873:L873))</f>
        <v/>
      </c>
      <c r="P873" s="9">
        <f>IF(OR(M873="",M873=0),"",(O873-M873)/M873)</f>
        <v/>
      </c>
      <c r="Q873" s="7">
        <f>IF(COUNT(D873:L873)=0,"",INDEX($D$1:$L$1,MATCH(MIN(D873:L873),D873:L873,0)))</f>
        <v/>
      </c>
      <c r="R873" s="8" t="n">
        <v>826</v>
      </c>
      <c r="S873" s="10" t="n">
        <v>1</v>
      </c>
    </row>
    <row r="874">
      <c r="A874" s="7" t="inlineStr">
        <is>
          <t>MAT-19-034</t>
        </is>
      </c>
      <c r="B874" s="4" t="inlineStr">
        <is>
          <t>Tubo negro redondo 1" x 20 pies, pared 3.38 mm</t>
        </is>
      </c>
      <c r="C874" s="7" t="inlineStr">
        <is>
          <t>unidad</t>
        </is>
      </c>
      <c r="D874" s="8" t="n">
        <v>1206.29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>
        <f>IF(COUNT(D874:L874)=0,"",MIN(D874:L874))</f>
        <v/>
      </c>
      <c r="N874" s="8">
        <f>IF(COUNT(D874:L874)=0,"",MEDIAN(D874:L874))</f>
        <v/>
      </c>
      <c r="O874" s="8">
        <f>IF(COUNT(D874:L874)=0,"",MAX(D874:L874))</f>
        <v/>
      </c>
      <c r="P874" s="9">
        <f>IF(OR(M874="",M874=0),"",(O874-M874)/M874)</f>
        <v/>
      </c>
      <c r="Q874" s="7">
        <f>IF(COUNT(D874:L874)=0,"",INDEX($D$1:$L$1,MATCH(MIN(D874:L874),D874:L874,0)))</f>
        <v/>
      </c>
      <c r="R874" s="8" t="n">
        <v>1206.29</v>
      </c>
      <c r="S874" s="10" t="n">
        <v>1</v>
      </c>
    </row>
    <row r="875">
      <c r="A875" s="7" t="inlineStr">
        <is>
          <t>MAT-19-035</t>
        </is>
      </c>
      <c r="B875" s="4" t="inlineStr">
        <is>
          <t>Tubo negro redondo 1 1/4" x 20 pies, pared 3.56 mm</t>
        </is>
      </c>
      <c r="C875" s="7" t="inlineStr">
        <is>
          <t>unidad</t>
        </is>
      </c>
      <c r="D875" s="8" t="n">
        <v>1507.57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>
        <f>IF(COUNT(D875:L875)=0,"",MIN(D875:L875))</f>
        <v/>
      </c>
      <c r="N875" s="8">
        <f>IF(COUNT(D875:L875)=0,"",MEDIAN(D875:L875))</f>
        <v/>
      </c>
      <c r="O875" s="8">
        <f>IF(COUNT(D875:L875)=0,"",MAX(D875:L875))</f>
        <v/>
      </c>
      <c r="P875" s="9">
        <f>IF(OR(M875="",M875=0),"",(O875-M875)/M875)</f>
        <v/>
      </c>
      <c r="Q875" s="7">
        <f>IF(COUNT(D875:L875)=0,"",INDEX($D$1:$L$1,MATCH(MIN(D875:L875),D875:L875,0)))</f>
        <v/>
      </c>
      <c r="R875" s="8" t="n">
        <v>1507.57</v>
      </c>
      <c r="S875" s="10" t="n">
        <v>1</v>
      </c>
    </row>
    <row r="876">
      <c r="A876" s="7" t="inlineStr">
        <is>
          <t>MAT-19-036</t>
        </is>
      </c>
      <c r="B876" s="4" t="inlineStr">
        <is>
          <t>Tubo negro redondo 1 1/2" x 20 pies, pared 3.68 mm</t>
        </is>
      </c>
      <c r="C876" s="7" t="inlineStr">
        <is>
          <t>unidad</t>
        </is>
      </c>
      <c r="D876" s="8" t="n">
        <v>1952.51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>
        <f>IF(COUNT(D876:L876)=0,"",MIN(D876:L876))</f>
        <v/>
      </c>
      <c r="N876" s="8">
        <f>IF(COUNT(D876:L876)=0,"",MEDIAN(D876:L876))</f>
        <v/>
      </c>
      <c r="O876" s="8">
        <f>IF(COUNT(D876:L876)=0,"",MAX(D876:L876))</f>
        <v/>
      </c>
      <c r="P876" s="9">
        <f>IF(OR(M876="",M876=0),"",(O876-M876)/M876)</f>
        <v/>
      </c>
      <c r="Q876" s="7">
        <f>IF(COUNT(D876:L876)=0,"",INDEX($D$1:$L$1,MATCH(MIN(D876:L876),D876:L876,0)))</f>
        <v/>
      </c>
      <c r="R876" s="8" t="n">
        <v>1952.51</v>
      </c>
      <c r="S876" s="10" t="n">
        <v>1</v>
      </c>
    </row>
    <row r="877">
      <c r="A877" s="7" t="inlineStr">
        <is>
          <t>MAT-19-037</t>
        </is>
      </c>
      <c r="B877" s="4" t="inlineStr">
        <is>
          <t>Tubo negro redondo 2" x 20 pies, pared 3.91 mm</t>
        </is>
      </c>
      <c r="C877" s="7" t="inlineStr">
        <is>
          <t>unidad</t>
        </is>
      </c>
      <c r="D877" s="8" t="n">
        <v>2634.08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>
        <f>IF(COUNT(D877:L877)=0,"",MIN(D877:L877))</f>
        <v/>
      </c>
      <c r="N877" s="8">
        <f>IF(COUNT(D877:L877)=0,"",MEDIAN(D877:L877))</f>
        <v/>
      </c>
      <c r="O877" s="8">
        <f>IF(COUNT(D877:L877)=0,"",MAX(D877:L877))</f>
        <v/>
      </c>
      <c r="P877" s="9">
        <f>IF(OR(M877="",M877=0),"",(O877-M877)/M877)</f>
        <v/>
      </c>
      <c r="Q877" s="7">
        <f>IF(COUNT(D877:L877)=0,"",INDEX($D$1:$L$1,MATCH(MIN(D877:L877),D877:L877,0)))</f>
        <v/>
      </c>
      <c r="R877" s="8" t="n">
        <v>2634.08</v>
      </c>
      <c r="S877" s="10" t="n">
        <v>1</v>
      </c>
    </row>
    <row r="878">
      <c r="A878" s="7" t="inlineStr">
        <is>
          <t>MAT-19-038</t>
        </is>
      </c>
      <c r="B878" s="4" t="inlineStr">
        <is>
          <t>Tubo negro redondo 2 1/2" x 20 pies</t>
        </is>
      </c>
      <c r="C878" s="7" t="inlineStr">
        <is>
          <t>unidad</t>
        </is>
      </c>
      <c r="D878" s="8" t="n">
        <v>4173.42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>
        <f>IF(COUNT(D878:L878)=0,"",MIN(D878:L878))</f>
        <v/>
      </c>
      <c r="N878" s="8">
        <f>IF(COUNT(D878:L878)=0,"",MEDIAN(D878:L878))</f>
        <v/>
      </c>
      <c r="O878" s="8">
        <f>IF(COUNT(D878:L878)=0,"",MAX(D878:L878))</f>
        <v/>
      </c>
      <c r="P878" s="9">
        <f>IF(OR(M878="",M878=0),"",(O878-M878)/M878)</f>
        <v/>
      </c>
      <c r="Q878" s="7">
        <f>IF(COUNT(D878:L878)=0,"",INDEX($D$1:$L$1,MATCH(MIN(D878:L878),D878:L878,0)))</f>
        <v/>
      </c>
      <c r="R878" s="8" t="n">
        <v>4173.42</v>
      </c>
      <c r="S878" s="10" t="n">
        <v>1</v>
      </c>
    </row>
    <row r="879">
      <c r="A879" s="7" t="inlineStr">
        <is>
          <t>MAT-19-039</t>
        </is>
      </c>
      <c r="B879" s="4" t="inlineStr">
        <is>
          <t>Tubo negro redondo 3" x 20 pies</t>
        </is>
      </c>
      <c r="C879" s="7" t="inlineStr">
        <is>
          <t>unidad</t>
        </is>
      </c>
      <c r="D879" s="8" t="n">
        <v>5029.28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>
        <f>IF(COUNT(D879:L879)=0,"",MIN(D879:L879))</f>
        <v/>
      </c>
      <c r="N879" s="8">
        <f>IF(COUNT(D879:L879)=0,"",MEDIAN(D879:L879))</f>
        <v/>
      </c>
      <c r="O879" s="8">
        <f>IF(COUNT(D879:L879)=0,"",MAX(D879:L879))</f>
        <v/>
      </c>
      <c r="P879" s="9">
        <f>IF(OR(M879="",M879=0),"",(O879-M879)/M879)</f>
        <v/>
      </c>
      <c r="Q879" s="7">
        <f>IF(COUNT(D879:L879)=0,"",INDEX($D$1:$L$1,MATCH(MIN(D879:L879),D879:L879,0)))</f>
        <v/>
      </c>
      <c r="R879" s="8" t="n">
        <v>5029.28</v>
      </c>
      <c r="S879" s="10" t="n">
        <v>1</v>
      </c>
    </row>
    <row r="880">
      <c r="A880" s="7" t="inlineStr">
        <is>
          <t>MAT-19-040</t>
        </is>
      </c>
      <c r="B880" s="4" t="inlineStr">
        <is>
          <t>Tubo negro redondo 8" x 20 pies, pared 6 mm</t>
        </is>
      </c>
      <c r="C880" s="7" t="inlineStr">
        <is>
          <t>unidad</t>
        </is>
      </c>
      <c r="D880" s="8" t="n">
        <v>15250.64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>
        <f>IF(COUNT(D880:L880)=0,"",MIN(D880:L880))</f>
        <v/>
      </c>
      <c r="N880" s="8">
        <f>IF(COUNT(D880:L880)=0,"",MEDIAN(D880:L880))</f>
        <v/>
      </c>
      <c r="O880" s="8">
        <f>IF(COUNT(D880:L880)=0,"",MAX(D880:L880))</f>
        <v/>
      </c>
      <c r="P880" s="9">
        <f>IF(OR(M880="",M880=0),"",(O880-M880)/M880)</f>
        <v/>
      </c>
      <c r="Q880" s="7">
        <f>IF(COUNT(D880:L880)=0,"",INDEX($D$1:$L$1,MATCH(MIN(D880:L880),D880:L880,0)))</f>
        <v/>
      </c>
      <c r="R880" s="8" t="n">
        <v>15250.64</v>
      </c>
      <c r="S880" s="10" t="n">
        <v>1</v>
      </c>
    </row>
    <row r="881">
      <c r="A881" s="7" t="inlineStr">
        <is>
          <t>MAT-19-041</t>
        </is>
      </c>
      <c r="B881" s="4" t="inlineStr">
        <is>
          <t>Tubo negro redondo 8" x 20 pies, pared 6.35 mm</t>
        </is>
      </c>
      <c r="C881" s="7" t="inlineStr">
        <is>
          <t>unidad</t>
        </is>
      </c>
      <c r="D881" s="8" t="n">
        <v>11671.14</v>
      </c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>
        <f>IF(COUNT(D881:L881)=0,"",MIN(D881:L881))</f>
        <v/>
      </c>
      <c r="N881" s="8">
        <f>IF(COUNT(D881:L881)=0,"",MEDIAN(D881:L881))</f>
        <v/>
      </c>
      <c r="O881" s="8">
        <f>IF(COUNT(D881:L881)=0,"",MAX(D881:L881))</f>
        <v/>
      </c>
      <c r="P881" s="9">
        <f>IF(OR(M881="",M881=0),"",(O881-M881)/M881)</f>
        <v/>
      </c>
      <c r="Q881" s="7">
        <f>IF(COUNT(D881:L881)=0,"",INDEX($D$1:$L$1,MATCH(MIN(D881:L881),D881:L881,0)))</f>
        <v/>
      </c>
      <c r="R881" s="8" t="n">
        <v>11671.14</v>
      </c>
      <c r="S881" s="10" t="n">
        <v>1</v>
      </c>
    </row>
    <row r="882">
      <c r="A882" s="7" t="inlineStr">
        <is>
          <t>MAT-19-042</t>
        </is>
      </c>
      <c r="B882" s="4" t="inlineStr">
        <is>
          <t>Tubo negro redondo 10" x 20 pies, pared 6.00 mm</t>
        </is>
      </c>
      <c r="C882" s="7" t="inlineStr">
        <is>
          <t>unidad</t>
        </is>
      </c>
      <c r="D882" s="8" t="n">
        <v>18313.02</v>
      </c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>
        <f>IF(COUNT(D882:L882)=0,"",MIN(D882:L882))</f>
        <v/>
      </c>
      <c r="N882" s="8">
        <f>IF(COUNT(D882:L882)=0,"",MEDIAN(D882:L882))</f>
        <v/>
      </c>
      <c r="O882" s="8">
        <f>IF(COUNT(D882:L882)=0,"",MAX(D882:L882))</f>
        <v/>
      </c>
      <c r="P882" s="9">
        <f>IF(OR(M882="",M882=0),"",(O882-M882)/M882)</f>
        <v/>
      </c>
      <c r="Q882" s="7">
        <f>IF(COUNT(D882:L882)=0,"",INDEX($D$1:$L$1,MATCH(MIN(D882:L882),D882:L882,0)))</f>
        <v/>
      </c>
      <c r="R882" s="8" t="n">
        <v>18313.02</v>
      </c>
      <c r="S882" s="10" t="n">
        <v>1</v>
      </c>
    </row>
    <row r="883">
      <c r="A883" s="7" t="inlineStr">
        <is>
          <t>MAT-19-043</t>
        </is>
      </c>
      <c r="B883" s="4" t="inlineStr">
        <is>
          <t>Tubo negro redondo 14" x 20 pies, pared 6 mm</t>
        </is>
      </c>
      <c r="C883" s="7" t="inlineStr">
        <is>
          <t>unidad</t>
        </is>
      </c>
      <c r="D883" s="8" t="n">
        <v>27695.11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>
        <f>IF(COUNT(D883:L883)=0,"",MIN(D883:L883))</f>
        <v/>
      </c>
      <c r="N883" s="8">
        <f>IF(COUNT(D883:L883)=0,"",MEDIAN(D883:L883))</f>
        <v/>
      </c>
      <c r="O883" s="8">
        <f>IF(COUNT(D883:L883)=0,"",MAX(D883:L883))</f>
        <v/>
      </c>
      <c r="P883" s="9">
        <f>IF(OR(M883="",M883=0),"",(O883-M883)/M883)</f>
        <v/>
      </c>
      <c r="Q883" s="7">
        <f>IF(COUNT(D883:L883)=0,"",INDEX($D$1:$L$1,MATCH(MIN(D883:L883),D883:L883,0)))</f>
        <v/>
      </c>
      <c r="R883" s="8" t="n">
        <v>27695.11</v>
      </c>
      <c r="S883" s="10" t="n">
        <v>1</v>
      </c>
    </row>
    <row r="884">
      <c r="A884" s="7" t="inlineStr">
        <is>
          <t>MAT-19-044</t>
        </is>
      </c>
      <c r="B884" s="4" t="inlineStr">
        <is>
          <t>Tubo negro redondo 16" x 20 pies, pared 12.70 mm</t>
        </is>
      </c>
      <c r="C884" s="7" t="inlineStr">
        <is>
          <t>unidad</t>
        </is>
      </c>
      <c r="D884" s="8" t="n">
        <v>62026.36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>
        <f>IF(COUNT(D884:L884)=0,"",MIN(D884:L884))</f>
        <v/>
      </c>
      <c r="N884" s="8">
        <f>IF(COUNT(D884:L884)=0,"",MEDIAN(D884:L884))</f>
        <v/>
      </c>
      <c r="O884" s="8">
        <f>IF(COUNT(D884:L884)=0,"",MAX(D884:L884))</f>
        <v/>
      </c>
      <c r="P884" s="9">
        <f>IF(OR(M884="",M884=0),"",(O884-M884)/M884)</f>
        <v/>
      </c>
      <c r="Q884" s="7">
        <f>IF(COUNT(D884:L884)=0,"",INDEX($D$1:$L$1,MATCH(MIN(D884:L884),D884:L884,0)))</f>
        <v/>
      </c>
      <c r="R884" s="8" t="n">
        <v>62026.36</v>
      </c>
      <c r="S884" s="10" t="n">
        <v>1</v>
      </c>
    </row>
    <row r="885">
      <c r="A885" s="7" t="inlineStr">
        <is>
          <t>MAT-19-045</t>
        </is>
      </c>
      <c r="B885" s="4" t="inlineStr">
        <is>
          <t>Correa galvanizada tipo Z 6" x 1/16" x 20 pies</t>
        </is>
      </c>
      <c r="C885" s="7" t="inlineStr">
        <is>
          <t>unidad</t>
        </is>
      </c>
      <c r="D885" s="8" t="n">
        <v>2658</v>
      </c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>
        <f>IF(COUNT(D885:L885)=0,"",MIN(D885:L885))</f>
        <v/>
      </c>
      <c r="N885" s="8">
        <f>IF(COUNT(D885:L885)=0,"",MEDIAN(D885:L885))</f>
        <v/>
      </c>
      <c r="O885" s="8">
        <f>IF(COUNT(D885:L885)=0,"",MAX(D885:L885))</f>
        <v/>
      </c>
      <c r="P885" s="9">
        <f>IF(OR(M885="",M885=0),"",(O885-M885)/M885)</f>
        <v/>
      </c>
      <c r="Q885" s="7">
        <f>IF(COUNT(D885:L885)=0,"",INDEX($D$1:$L$1,MATCH(MIN(D885:L885),D885:L885,0)))</f>
        <v/>
      </c>
      <c r="R885" s="8" t="n">
        <v>2658</v>
      </c>
      <c r="S885" s="10" t="n">
        <v>1</v>
      </c>
    </row>
    <row r="886">
      <c r="A886" s="7" t="inlineStr">
        <is>
          <t>MAT-19-046</t>
        </is>
      </c>
      <c r="B886" s="4" t="inlineStr">
        <is>
          <t>Correa galvanizada tipo Z 8" x 1/16" x 20 pies</t>
        </is>
      </c>
      <c r="C886" s="7" t="inlineStr">
        <is>
          <t>unidad</t>
        </is>
      </c>
      <c r="D886" s="8" t="n">
        <v>3039.2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>
        <f>IF(COUNT(D886:L886)=0,"",MIN(D886:L886))</f>
        <v/>
      </c>
      <c r="N886" s="8">
        <f>IF(COUNT(D886:L886)=0,"",MEDIAN(D886:L886))</f>
        <v/>
      </c>
      <c r="O886" s="8">
        <f>IF(COUNT(D886:L886)=0,"",MAX(D886:L886))</f>
        <v/>
      </c>
      <c r="P886" s="9">
        <f>IF(OR(M886="",M886=0),"",(O886-M886)/M886)</f>
        <v/>
      </c>
      <c r="Q886" s="7">
        <f>IF(COUNT(D886:L886)=0,"",INDEX($D$1:$L$1,MATCH(MIN(D886:L886),D886:L886,0)))</f>
        <v/>
      </c>
      <c r="R886" s="8" t="n">
        <v>3039.2</v>
      </c>
      <c r="S886" s="10" t="n">
        <v>1</v>
      </c>
    </row>
    <row r="887">
      <c r="A887" s="7" t="inlineStr">
        <is>
          <t>MAT-20-001</t>
        </is>
      </c>
      <c r="B887" s="4" t="inlineStr">
        <is>
          <t>Angular de hierro negro 3/4" x 1/8" x 20 pies</t>
        </is>
      </c>
      <c r="C887" s="7" t="inlineStr">
        <is>
          <t>unidad</t>
        </is>
      </c>
      <c r="D887" s="8" t="n">
        <v>449.99</v>
      </c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>
        <f>IF(COUNT(D887:L887)=0,"",MIN(D887:L887))</f>
        <v/>
      </c>
      <c r="N887" s="8">
        <f>IF(COUNT(D887:L887)=0,"",MEDIAN(D887:L887))</f>
        <v/>
      </c>
      <c r="O887" s="8">
        <f>IF(COUNT(D887:L887)=0,"",MAX(D887:L887))</f>
        <v/>
      </c>
      <c r="P887" s="9">
        <f>IF(OR(M887="",M887=0),"",(O887-M887)/M887)</f>
        <v/>
      </c>
      <c r="Q887" s="7">
        <f>IF(COUNT(D887:L887)=0,"",INDEX($D$1:$L$1,MATCH(MIN(D887:L887),D887:L887,0)))</f>
        <v/>
      </c>
      <c r="R887" s="8" t="n">
        <v>449.99</v>
      </c>
      <c r="S887" s="10" t="n">
        <v>1</v>
      </c>
    </row>
    <row r="888">
      <c r="A888" s="7" t="inlineStr">
        <is>
          <t>MAT-20-002</t>
        </is>
      </c>
      <c r="B888" s="4" t="inlineStr">
        <is>
          <t>Angular de hierro negro 1" x 1/8" x 20 pies</t>
        </is>
      </c>
      <c r="C888" s="7" t="inlineStr">
        <is>
          <t>unidad</t>
        </is>
      </c>
      <c r="D888" s="8" t="n">
        <v>560</v>
      </c>
      <c r="E888" s="8" t="n"/>
      <c r="F888" s="8" t="n"/>
      <c r="G888" s="8" t="n"/>
      <c r="H888" s="8" t="n"/>
      <c r="I888" s="8" t="n"/>
      <c r="J888" s="8" t="n"/>
      <c r="K888" s="8" t="n">
        <v>580</v>
      </c>
      <c r="L888" s="8" t="n"/>
      <c r="M888" s="8">
        <f>IF(COUNT(D888:L888)=0,"",MIN(D888:L888))</f>
        <v/>
      </c>
      <c r="N888" s="8">
        <f>IF(COUNT(D888:L888)=0,"",MEDIAN(D888:L888))</f>
        <v/>
      </c>
      <c r="O888" s="8">
        <f>IF(COUNT(D888:L888)=0,"",MAX(D888:L888))</f>
        <v/>
      </c>
      <c r="P888" s="9">
        <f>IF(OR(M888="",M888=0),"",(O888-M888)/M888)</f>
        <v/>
      </c>
      <c r="Q888" s="7">
        <f>IF(COUNT(D888:L888)=0,"",INDEX($D$1:$L$1,MATCH(MIN(D888:L888),D888:L888,0)))</f>
        <v/>
      </c>
      <c r="R888" s="8" t="n">
        <v>622.2</v>
      </c>
      <c r="S888" s="10" t="n">
        <v>2</v>
      </c>
    </row>
    <row r="889">
      <c r="A889" s="7" t="inlineStr">
        <is>
          <t>MAT-20-003</t>
        </is>
      </c>
      <c r="B889" s="4" t="inlineStr">
        <is>
          <t>Angular de hierro negro 1" x 3/16" x 20 pies</t>
        </is>
      </c>
      <c r="C889" s="7" t="inlineStr">
        <is>
          <t>unidad</t>
        </is>
      </c>
      <c r="D889" s="8" t="n">
        <v>812.01</v>
      </c>
      <c r="E889" s="8" t="n"/>
      <c r="F889" s="8" t="n"/>
      <c r="G889" s="8" t="n"/>
      <c r="H889" s="8" t="n"/>
      <c r="I889" s="8" t="n"/>
      <c r="J889" s="8" t="n"/>
      <c r="K889" s="8" t="n">
        <v>869</v>
      </c>
      <c r="L889" s="8" t="n"/>
      <c r="M889" s="8">
        <f>IF(COUNT(D889:L889)=0,"",MIN(D889:L889))</f>
        <v/>
      </c>
      <c r="N889" s="8">
        <f>IF(COUNT(D889:L889)=0,"",MEDIAN(D889:L889))</f>
        <v/>
      </c>
      <c r="O889" s="8">
        <f>IF(COUNT(D889:L889)=0,"",MAX(D889:L889))</f>
        <v/>
      </c>
      <c r="P889" s="9">
        <f>IF(OR(M889="",M889=0),"",(O889-M889)/M889)</f>
        <v/>
      </c>
      <c r="Q889" s="7">
        <f>IF(COUNT(D889:L889)=0,"",INDEX($D$1:$L$1,MATCH(MIN(D889:L889),D889:L889,0)))</f>
        <v/>
      </c>
      <c r="R889" s="8" t="n">
        <v>918.71</v>
      </c>
      <c r="S889" s="10" t="n">
        <v>2</v>
      </c>
    </row>
    <row r="890">
      <c r="A890" s="7" t="inlineStr">
        <is>
          <t>MAT-20-004</t>
        </is>
      </c>
      <c r="B890" s="4" t="inlineStr">
        <is>
          <t>Angular de hierro negro 1" x 1/4" x 20 pies</t>
        </is>
      </c>
      <c r="C890" s="7" t="inlineStr">
        <is>
          <t>unidad</t>
        </is>
      </c>
      <c r="D890" s="8" t="n">
        <v>1163.48</v>
      </c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>
        <f>IF(COUNT(D890:L890)=0,"",MIN(D890:L890))</f>
        <v/>
      </c>
      <c r="N890" s="8">
        <f>IF(COUNT(D890:L890)=0,"",MEDIAN(D890:L890))</f>
        <v/>
      </c>
      <c r="O890" s="8">
        <f>IF(COUNT(D890:L890)=0,"",MAX(D890:L890))</f>
        <v/>
      </c>
      <c r="P890" s="9">
        <f>IF(OR(M890="",M890=0),"",(O890-M890)/M890)</f>
        <v/>
      </c>
      <c r="Q890" s="7">
        <f>IF(COUNT(D890:L890)=0,"",INDEX($D$1:$L$1,MATCH(MIN(D890:L890),D890:L890,0)))</f>
        <v/>
      </c>
      <c r="R890" s="8" t="n">
        <v>1163.48</v>
      </c>
      <c r="S890" s="10" t="n">
        <v>1</v>
      </c>
    </row>
    <row r="891">
      <c r="A891" s="7" t="inlineStr">
        <is>
          <t>MAT-20-005</t>
        </is>
      </c>
      <c r="B891" s="4" t="inlineStr">
        <is>
          <t>Angular de hierro negro 1 1/4" x 1/8" x 20 pies</t>
        </is>
      </c>
      <c r="C891" s="7" t="inlineStr">
        <is>
          <t>unidad</t>
        </is>
      </c>
      <c r="D891" s="8" t="n">
        <v>781</v>
      </c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>
        <f>IF(COUNT(D891:L891)=0,"",MIN(D891:L891))</f>
        <v/>
      </c>
      <c r="N891" s="8">
        <f>IF(COUNT(D891:L891)=0,"",MEDIAN(D891:L891))</f>
        <v/>
      </c>
      <c r="O891" s="8">
        <f>IF(COUNT(D891:L891)=0,"",MAX(D891:L891))</f>
        <v/>
      </c>
      <c r="P891" s="9">
        <f>IF(OR(M891="",M891=0),"",(O891-M891)/M891)</f>
        <v/>
      </c>
      <c r="Q891" s="7">
        <f>IF(COUNT(D891:L891)=0,"",INDEX($D$1:$L$1,MATCH(MIN(D891:L891),D891:L891,0)))</f>
        <v/>
      </c>
      <c r="R891" s="8" t="n">
        <v>781</v>
      </c>
      <c r="S891" s="10" t="n">
        <v>1</v>
      </c>
    </row>
    <row r="892">
      <c r="A892" s="7" t="inlineStr">
        <is>
          <t>MAT-20-006</t>
        </is>
      </c>
      <c r="B892" s="4" t="inlineStr">
        <is>
          <t>Angular de hierro negro 1 1/4" x 3/16" x 20 pies</t>
        </is>
      </c>
      <c r="C892" s="7" t="inlineStr">
        <is>
          <t>unidad</t>
        </is>
      </c>
      <c r="D892" s="8" t="n">
        <v>1036</v>
      </c>
      <c r="E892" s="8" t="n"/>
      <c r="F892" s="8" t="n"/>
      <c r="G892" s="8" t="n"/>
      <c r="H892" s="8" t="n"/>
      <c r="I892" s="8" t="n"/>
      <c r="J892" s="8" t="n"/>
      <c r="K892" s="8" t="n">
        <v>1011.86</v>
      </c>
      <c r="L892" s="8" t="n"/>
      <c r="M892" s="8">
        <f>IF(COUNT(D892:L892)=0,"",MIN(D892:L892))</f>
        <v/>
      </c>
      <c r="N892" s="8">
        <f>IF(COUNT(D892:L892)=0,"",MEDIAN(D892:L892))</f>
        <v/>
      </c>
      <c r="O892" s="8">
        <f>IF(COUNT(D892:L892)=0,"",MAX(D892:L892))</f>
        <v/>
      </c>
      <c r="P892" s="9">
        <f>IF(OR(M892="",M892=0),"",(O892-M892)/M892)</f>
        <v/>
      </c>
      <c r="Q892" s="7">
        <f>IF(COUNT(D892:L892)=0,"",INDEX($D$1:$L$1,MATCH(MIN(D892:L892),D892:L892,0)))</f>
        <v/>
      </c>
      <c r="R892" s="8" t="n">
        <v>1115</v>
      </c>
      <c r="S892" s="10" t="n">
        <v>2</v>
      </c>
    </row>
    <row r="893">
      <c r="A893" s="7" t="inlineStr">
        <is>
          <t>MAT-20-007</t>
        </is>
      </c>
      <c r="B893" s="4" t="inlineStr">
        <is>
          <t>Angular de hierro negro 1 1/4" x 1/4" x 20 pies</t>
        </is>
      </c>
      <c r="C893" s="7" t="inlineStr">
        <is>
          <t>unidad</t>
        </is>
      </c>
      <c r="D893" s="8" t="n">
        <v>1344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>
        <f>IF(COUNT(D893:L893)=0,"",MIN(D893:L893))</f>
        <v/>
      </c>
      <c r="N893" s="8">
        <f>IF(COUNT(D893:L893)=0,"",MEDIAN(D893:L893))</f>
        <v/>
      </c>
      <c r="O893" s="8">
        <f>IF(COUNT(D893:L893)=0,"",MAX(D893:L893))</f>
        <v/>
      </c>
      <c r="P893" s="9">
        <f>IF(OR(M893="",M893=0),"",(O893-M893)/M893)</f>
        <v/>
      </c>
      <c r="Q893" s="7">
        <f>IF(COUNT(D893:L893)=0,"",INDEX($D$1:$L$1,MATCH(MIN(D893:L893),D893:L893,0)))</f>
        <v/>
      </c>
      <c r="R893" s="8" t="n">
        <v>1344</v>
      </c>
      <c r="S893" s="10" t="n">
        <v>1</v>
      </c>
    </row>
    <row r="894">
      <c r="A894" s="7" t="inlineStr">
        <is>
          <t>MAT-20-008</t>
        </is>
      </c>
      <c r="B894" s="4" t="inlineStr">
        <is>
          <t>Angular de hierro negro 1 1/2" x 3/16" x 20 pies</t>
        </is>
      </c>
      <c r="C894" s="7" t="inlineStr">
        <is>
          <t>unidad</t>
        </is>
      </c>
      <c r="D894" s="8" t="n">
        <v>1260</v>
      </c>
      <c r="E894" s="8" t="n"/>
      <c r="F894" s="8" t="n"/>
      <c r="G894" s="8" t="n"/>
      <c r="H894" s="8" t="n"/>
      <c r="I894" s="8" t="n"/>
      <c r="J894" s="8" t="n"/>
      <c r="K894" s="8" t="n">
        <v>1437</v>
      </c>
      <c r="L894" s="8" t="n"/>
      <c r="M894" s="8">
        <f>IF(COUNT(D894:L894)=0,"",MIN(D894:L894))</f>
        <v/>
      </c>
      <c r="N894" s="8">
        <f>IF(COUNT(D894:L894)=0,"",MEDIAN(D894:L894))</f>
        <v/>
      </c>
      <c r="O894" s="8">
        <f>IF(COUNT(D894:L894)=0,"",MAX(D894:L894))</f>
        <v/>
      </c>
      <c r="P894" s="9">
        <f>IF(OR(M894="",M894=0),"",(O894-M894)/M894)</f>
        <v/>
      </c>
      <c r="Q894" s="7">
        <f>IF(COUNT(D894:L894)=0,"",INDEX($D$1:$L$1,MATCH(MIN(D894:L894),D894:L894,0)))</f>
        <v/>
      </c>
      <c r="R894" s="8" t="n">
        <v>1477.83</v>
      </c>
      <c r="S894" s="10" t="n">
        <v>2</v>
      </c>
    </row>
    <row r="895">
      <c r="A895" s="7" t="inlineStr">
        <is>
          <t>MAT-20-009</t>
        </is>
      </c>
      <c r="B895" s="4" t="inlineStr">
        <is>
          <t>Angular de hierro negro 1 1/2" x 1/4" x 20 pies</t>
        </is>
      </c>
      <c r="C895" s="7" t="inlineStr">
        <is>
          <t>unidad</t>
        </is>
      </c>
      <c r="D895" s="8" t="n">
        <v>1638.01</v>
      </c>
      <c r="E895" s="8" t="n"/>
      <c r="F895" s="8" t="n"/>
      <c r="G895" s="8" t="n"/>
      <c r="H895" s="8" t="n"/>
      <c r="I895" s="8" t="n"/>
      <c r="J895" s="8" t="n"/>
      <c r="K895" s="8" t="n">
        <v>1698</v>
      </c>
      <c r="L895" s="8" t="n"/>
      <c r="M895" s="8">
        <f>IF(COUNT(D895:L895)=0,"",MIN(D895:L895))</f>
        <v/>
      </c>
      <c r="N895" s="8">
        <f>IF(COUNT(D895:L895)=0,"",MEDIAN(D895:L895))</f>
        <v/>
      </c>
      <c r="O895" s="8">
        <f>IF(COUNT(D895:L895)=0,"",MAX(D895:L895))</f>
        <v/>
      </c>
      <c r="P895" s="9">
        <f>IF(OR(M895="",M895=0),"",(O895-M895)/M895)</f>
        <v/>
      </c>
      <c r="Q895" s="7">
        <f>IF(COUNT(D895:L895)=0,"",INDEX($D$1:$L$1,MATCH(MIN(D895:L895),D895:L895,0)))</f>
        <v/>
      </c>
      <c r="R895" s="8" t="n">
        <v>1820.82</v>
      </c>
      <c r="S895" s="10" t="n">
        <v>2</v>
      </c>
    </row>
    <row r="896">
      <c r="A896" s="7" t="inlineStr">
        <is>
          <t>MAT-20-010</t>
        </is>
      </c>
      <c r="B896" s="4" t="inlineStr">
        <is>
          <t>Angular de hierro negro 2" x 1/8" x 20 pies</t>
        </is>
      </c>
      <c r="C896" s="7" t="inlineStr">
        <is>
          <t>unidad</t>
        </is>
      </c>
      <c r="D896" s="8" t="n">
        <v>1155</v>
      </c>
      <c r="E896" s="8" t="n"/>
      <c r="F896" s="8" t="n"/>
      <c r="G896" s="8" t="n"/>
      <c r="H896" s="8" t="n"/>
      <c r="I896" s="8" t="n"/>
      <c r="J896" s="8" t="n"/>
      <c r="K896" s="8" t="n">
        <v>1048</v>
      </c>
      <c r="L896" s="8" t="n"/>
      <c r="M896" s="8">
        <f>IF(COUNT(D896:L896)=0,"",MIN(D896:L896))</f>
        <v/>
      </c>
      <c r="N896" s="8">
        <f>IF(COUNT(D896:L896)=0,"",MEDIAN(D896:L896))</f>
        <v/>
      </c>
      <c r="O896" s="8">
        <f>IF(COUNT(D896:L896)=0,"",MAX(D896:L896))</f>
        <v/>
      </c>
      <c r="P896" s="9">
        <f>IF(OR(M896="",M896=0),"",(O896-M896)/M896)</f>
        <v/>
      </c>
      <c r="Q896" s="7">
        <f>IF(COUNT(D896:L896)=0,"",INDEX($D$1:$L$1,MATCH(MIN(D896:L896),D896:L896,0)))</f>
        <v/>
      </c>
      <c r="R896" s="8" t="n">
        <v>1195.82</v>
      </c>
      <c r="S896" s="10" t="n">
        <v>2</v>
      </c>
    </row>
    <row r="897">
      <c r="A897" s="7" t="inlineStr">
        <is>
          <t>MAT-20-011</t>
        </is>
      </c>
      <c r="B897" s="4" t="inlineStr">
        <is>
          <t>Angular de hierro negro 2" x 3/16" x 20 pies</t>
        </is>
      </c>
      <c r="C897" s="7" t="inlineStr">
        <is>
          <t>unidad</t>
        </is>
      </c>
      <c r="D897" s="8" t="n">
        <v>1708</v>
      </c>
      <c r="E897" s="8" t="n"/>
      <c r="F897" s="8" t="n"/>
      <c r="G897" s="8" t="n"/>
      <c r="H897" s="8" t="n"/>
      <c r="I897" s="8" t="n"/>
      <c r="J897" s="8" t="n"/>
      <c r="K897" s="8" t="n">
        <v>1971</v>
      </c>
      <c r="L897" s="8" t="n"/>
      <c r="M897" s="8">
        <f>IF(COUNT(D897:L897)=0,"",MIN(D897:L897))</f>
        <v/>
      </c>
      <c r="N897" s="8">
        <f>IF(COUNT(D897:L897)=0,"",MEDIAN(D897:L897))</f>
        <v/>
      </c>
      <c r="O897" s="8">
        <f>IF(COUNT(D897:L897)=0,"",MAX(D897:L897))</f>
        <v/>
      </c>
      <c r="P897" s="9">
        <f>IF(OR(M897="",M897=0),"",(O897-M897)/M897)</f>
        <v/>
      </c>
      <c r="Q897" s="7">
        <f>IF(COUNT(D897:L897)=0,"",INDEX($D$1:$L$1,MATCH(MIN(D897:L897),D897:L897,0)))</f>
        <v/>
      </c>
      <c r="R897" s="8" t="n">
        <v>2016.89</v>
      </c>
      <c r="S897" s="10" t="n">
        <v>2</v>
      </c>
    </row>
    <row r="898">
      <c r="A898" s="7" t="inlineStr">
        <is>
          <t>MAT-20-012</t>
        </is>
      </c>
      <c r="B898" s="4" t="inlineStr">
        <is>
          <t>Angular de hierro negro 2" x 1/4" x 20 pies</t>
        </is>
      </c>
      <c r="C898" s="7" t="inlineStr">
        <is>
          <t>unidad</t>
        </is>
      </c>
      <c r="D898" s="8" t="n">
        <v>2324.69</v>
      </c>
      <c r="E898" s="8" t="n"/>
      <c r="F898" s="8" t="n"/>
      <c r="G898" s="8" t="n"/>
      <c r="H898" s="8" t="n"/>
      <c r="I898" s="8" t="n"/>
      <c r="J898" s="8" t="n"/>
      <c r="K898" s="8" t="n">
        <v>2539</v>
      </c>
      <c r="L898" s="8" t="n"/>
      <c r="M898" s="8">
        <f>IF(COUNT(D898:L898)=0,"",MIN(D898:L898))</f>
        <v/>
      </c>
      <c r="N898" s="8">
        <f>IF(COUNT(D898:L898)=0,"",MEDIAN(D898:L898))</f>
        <v/>
      </c>
      <c r="O898" s="8">
        <f>IF(COUNT(D898:L898)=0,"",MAX(D898:L898))</f>
        <v/>
      </c>
      <c r="P898" s="9">
        <f>IF(OR(M898="",M898=0),"",(O898-M898)/M898)</f>
        <v/>
      </c>
      <c r="Q898" s="7">
        <f>IF(COUNT(D898:L898)=0,"",INDEX($D$1:$L$1,MATCH(MIN(D898:L898),D898:L898,0)))</f>
        <v/>
      </c>
      <c r="R898" s="8" t="n">
        <v>2660.36</v>
      </c>
      <c r="S898" s="10" t="n">
        <v>2</v>
      </c>
    </row>
    <row r="899">
      <c r="A899" s="7" t="inlineStr">
        <is>
          <t>MAT-20-013</t>
        </is>
      </c>
      <c r="B899" s="4" t="inlineStr">
        <is>
          <t>Angular de hierro negro 2" x 3/8" x 20 pies</t>
        </is>
      </c>
      <c r="C899" s="7" t="inlineStr">
        <is>
          <t>unidad</t>
        </is>
      </c>
      <c r="D899" s="8" t="n">
        <v>3290.01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>
        <f>IF(COUNT(D899:L899)=0,"",MIN(D899:L899))</f>
        <v/>
      </c>
      <c r="N899" s="8">
        <f>IF(COUNT(D899:L899)=0,"",MEDIAN(D899:L899))</f>
        <v/>
      </c>
      <c r="O899" s="8">
        <f>IF(COUNT(D899:L899)=0,"",MAX(D899:L899))</f>
        <v/>
      </c>
      <c r="P899" s="9">
        <f>IF(OR(M899="",M899=0),"",(O899-M899)/M899)</f>
        <v/>
      </c>
      <c r="Q899" s="7">
        <f>IF(COUNT(D899:L899)=0,"",INDEX($D$1:$L$1,MATCH(MIN(D899:L899),D899:L899,0)))</f>
        <v/>
      </c>
      <c r="R899" s="8" t="n">
        <v>3290.01</v>
      </c>
      <c r="S899" s="10" t="n">
        <v>1</v>
      </c>
    </row>
    <row r="900">
      <c r="A900" s="7" t="inlineStr">
        <is>
          <t>MAT-20-014</t>
        </is>
      </c>
      <c r="B900" s="4" t="inlineStr">
        <is>
          <t>Angular de hierro negro 2 1/2" x 3/16" x 20 pies</t>
        </is>
      </c>
      <c r="C900" s="7" t="inlineStr">
        <is>
          <t>unidad</t>
        </is>
      </c>
      <c r="D900" s="8" t="n">
        <v>2149</v>
      </c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>
        <f>IF(COUNT(D900:L900)=0,"",MIN(D900:L900))</f>
        <v/>
      </c>
      <c r="N900" s="8">
        <f>IF(COUNT(D900:L900)=0,"",MEDIAN(D900:L900))</f>
        <v/>
      </c>
      <c r="O900" s="8">
        <f>IF(COUNT(D900:L900)=0,"",MAX(D900:L900))</f>
        <v/>
      </c>
      <c r="P900" s="9">
        <f>IF(OR(M900="",M900=0),"",(O900-M900)/M900)</f>
        <v/>
      </c>
      <c r="Q900" s="7">
        <f>IF(COUNT(D900:L900)=0,"",INDEX($D$1:$L$1,MATCH(MIN(D900:L900),D900:L900,0)))</f>
        <v/>
      </c>
      <c r="R900" s="8" t="n">
        <v>2149</v>
      </c>
      <c r="S900" s="10" t="n">
        <v>1</v>
      </c>
    </row>
    <row r="901">
      <c r="A901" s="7" t="inlineStr">
        <is>
          <t>MAT-20-015</t>
        </is>
      </c>
      <c r="B901" s="4" t="inlineStr">
        <is>
          <t>Angular de hierro negro 2 1/2" x 1/4" x 20 pies</t>
        </is>
      </c>
      <c r="C901" s="7" t="inlineStr">
        <is>
          <t>unidad</t>
        </is>
      </c>
      <c r="D901" s="8" t="n">
        <v>2870</v>
      </c>
      <c r="E901" s="8" t="n"/>
      <c r="F901" s="8" t="n"/>
      <c r="G901" s="8" t="n"/>
      <c r="H901" s="8" t="n"/>
      <c r="I901" s="8" t="n"/>
      <c r="J901" s="8" t="n"/>
      <c r="K901" s="8" t="n">
        <v>2744</v>
      </c>
      <c r="L901" s="8" t="n"/>
      <c r="M901" s="8">
        <f>IF(COUNT(D901:L901)=0,"",MIN(D901:L901))</f>
        <v/>
      </c>
      <c r="N901" s="8">
        <f>IF(COUNT(D901:L901)=0,"",MEDIAN(D901:L901))</f>
        <v/>
      </c>
      <c r="O901" s="8">
        <f>IF(COUNT(D901:L901)=0,"",MAX(D901:L901))</f>
        <v/>
      </c>
      <c r="P901" s="9">
        <f>IF(OR(M901="",M901=0),"",(O901-M901)/M901)</f>
        <v/>
      </c>
      <c r="Q901" s="7">
        <f>IF(COUNT(D901:L901)=0,"",INDEX($D$1:$L$1,MATCH(MIN(D901:L901),D901:L901,0)))</f>
        <v/>
      </c>
      <c r="R901" s="8" t="n">
        <v>3053.96</v>
      </c>
      <c r="S901" s="10" t="n">
        <v>2</v>
      </c>
    </row>
    <row r="902">
      <c r="A902" s="7" t="inlineStr">
        <is>
          <t>MAT-20-016</t>
        </is>
      </c>
      <c r="B902" s="4" t="inlineStr">
        <is>
          <t>Angular de hierro negro 2 1/2" x 3/8" x 20 pies</t>
        </is>
      </c>
      <c r="C902" s="7" t="inlineStr">
        <is>
          <t>unidad</t>
        </is>
      </c>
      <c r="D902" s="8" t="n">
        <v>4130</v>
      </c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>
        <f>IF(COUNT(D902:L902)=0,"",MIN(D902:L902))</f>
        <v/>
      </c>
      <c r="N902" s="8">
        <f>IF(COUNT(D902:L902)=0,"",MEDIAN(D902:L902))</f>
        <v/>
      </c>
      <c r="O902" s="8">
        <f>IF(COUNT(D902:L902)=0,"",MAX(D902:L902))</f>
        <v/>
      </c>
      <c r="P902" s="9">
        <f>IF(OR(M902="",M902=0),"",(O902-M902)/M902)</f>
        <v/>
      </c>
      <c r="Q902" s="7">
        <f>IF(COUNT(D902:L902)=0,"",INDEX($D$1:$L$1,MATCH(MIN(D902:L902),D902:L902,0)))</f>
        <v/>
      </c>
      <c r="R902" s="8" t="n">
        <v>4130</v>
      </c>
      <c r="S902" s="10" t="n">
        <v>1</v>
      </c>
    </row>
    <row r="903">
      <c r="A903" s="7" t="inlineStr">
        <is>
          <t>MAT-20-017</t>
        </is>
      </c>
      <c r="B903" s="4" t="inlineStr">
        <is>
          <t>Angular de hierro negro 3" x 1/4" x 20 pies</t>
        </is>
      </c>
      <c r="C903" s="7" t="inlineStr">
        <is>
          <t>unidad</t>
        </is>
      </c>
      <c r="D903" s="8" t="n">
        <v>3430</v>
      </c>
      <c r="E903" s="8" t="n"/>
      <c r="F903" s="8" t="n"/>
      <c r="G903" s="8" t="n"/>
      <c r="H903" s="8" t="n"/>
      <c r="I903" s="8" t="n"/>
      <c r="J903" s="8" t="n"/>
      <c r="K903" s="8" t="n">
        <v>3127</v>
      </c>
      <c r="L903" s="8" t="n"/>
      <c r="M903" s="8">
        <f>IF(COUNT(D903:L903)=0,"",MIN(D903:L903))</f>
        <v/>
      </c>
      <c r="N903" s="8">
        <f>IF(COUNT(D903:L903)=0,"",MEDIAN(D903:L903))</f>
        <v/>
      </c>
      <c r="O903" s="8">
        <f>IF(COUNT(D903:L903)=0,"",MAX(D903:L903))</f>
        <v/>
      </c>
      <c r="P903" s="9">
        <f>IF(OR(M903="",M903=0),"",(O903-M903)/M903)</f>
        <v/>
      </c>
      <c r="Q903" s="7">
        <f>IF(COUNT(D903:L903)=0,"",INDEX($D$1:$L$1,MATCH(MIN(D903:L903),D903:L903,0)))</f>
        <v/>
      </c>
      <c r="R903" s="8" t="n">
        <v>3559.93</v>
      </c>
      <c r="S903" s="10" t="n">
        <v>2</v>
      </c>
    </row>
    <row r="904">
      <c r="A904" s="7" t="inlineStr">
        <is>
          <t>MAT-20-018</t>
        </is>
      </c>
      <c r="B904" s="4" t="inlineStr">
        <is>
          <t>Angular de hierro negro 3" x 3/8" x 20 pies</t>
        </is>
      </c>
      <c r="C904" s="7" t="inlineStr">
        <is>
          <t>unidad</t>
        </is>
      </c>
      <c r="D904" s="8" t="n">
        <v>5622.2</v>
      </c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>
        <f>IF(COUNT(D904:L904)=0,"",MIN(D904:L904))</f>
        <v/>
      </c>
      <c r="N904" s="8">
        <f>IF(COUNT(D904:L904)=0,"",MEDIAN(D904:L904))</f>
        <v/>
      </c>
      <c r="O904" s="8">
        <f>IF(COUNT(D904:L904)=0,"",MAX(D904:L904))</f>
        <v/>
      </c>
      <c r="P904" s="9">
        <f>IF(OR(M904="",M904=0),"",(O904-M904)/M904)</f>
        <v/>
      </c>
      <c r="Q904" s="7">
        <f>IF(COUNT(D904:L904)=0,"",INDEX($D$1:$L$1,MATCH(MIN(D904:L904),D904:L904,0)))</f>
        <v/>
      </c>
      <c r="R904" s="8" t="n">
        <v>5622.2</v>
      </c>
      <c r="S904" s="10" t="n">
        <v>1</v>
      </c>
    </row>
    <row r="905">
      <c r="A905" s="7" t="inlineStr">
        <is>
          <t>MAT-20-019</t>
        </is>
      </c>
      <c r="B905" s="4" t="inlineStr">
        <is>
          <t>Angular de hierro negro 4" x 1/4" x 20 pies</t>
        </is>
      </c>
      <c r="C905" s="7" t="inlineStr">
        <is>
          <t>unidad</t>
        </is>
      </c>
      <c r="D905" s="8" t="n">
        <v>4117.73</v>
      </c>
      <c r="E905" s="8" t="n"/>
      <c r="F905" s="8" t="n"/>
      <c r="G905" s="8" t="n"/>
      <c r="H905" s="8" t="n"/>
      <c r="I905" s="8" t="n"/>
      <c r="J905" s="8" t="n"/>
      <c r="K905" s="8" t="n">
        <v>5306</v>
      </c>
      <c r="L905" s="8" t="n"/>
      <c r="M905" s="8">
        <f>IF(COUNT(D905:L905)=0,"",MIN(D905:L905))</f>
        <v/>
      </c>
      <c r="N905" s="8">
        <f>IF(COUNT(D905:L905)=0,"",MEDIAN(D905:L905))</f>
        <v/>
      </c>
      <c r="O905" s="8">
        <f>IF(COUNT(D905:L905)=0,"",MAX(D905:L905))</f>
        <v/>
      </c>
      <c r="P905" s="9">
        <f>IF(OR(M905="",M905=0),"",(O905-M905)/M905)</f>
        <v/>
      </c>
      <c r="Q905" s="7">
        <f>IF(COUNT(D905:L905)=0,"",INDEX($D$1:$L$1,MATCH(MIN(D905:L905),D905:L905,0)))</f>
        <v/>
      </c>
      <c r="R905" s="8" t="n">
        <v>5189.41</v>
      </c>
      <c r="S905" s="10" t="n">
        <v>2</v>
      </c>
    </row>
    <row r="906">
      <c r="A906" s="7" t="inlineStr">
        <is>
          <t>MAT-20-020</t>
        </is>
      </c>
      <c r="B906" s="4" t="inlineStr">
        <is>
          <t>Angular de hierro negro 4" x 1/2" x 20 pies</t>
        </is>
      </c>
      <c r="C906" s="7" t="inlineStr">
        <is>
          <t>unidad</t>
        </is>
      </c>
      <c r="D906" s="8" t="n">
        <v>9995.309999999999</v>
      </c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>
        <f>IF(COUNT(D906:L906)=0,"",MIN(D906:L906))</f>
        <v/>
      </c>
      <c r="N906" s="8">
        <f>IF(COUNT(D906:L906)=0,"",MEDIAN(D906:L906))</f>
        <v/>
      </c>
      <c r="O906" s="8">
        <f>IF(COUNT(D906:L906)=0,"",MAX(D906:L906))</f>
        <v/>
      </c>
      <c r="P906" s="9">
        <f>IF(OR(M906="",M906=0),"",(O906-M906)/M906)</f>
        <v/>
      </c>
      <c r="Q906" s="7">
        <f>IF(COUNT(D906:L906)=0,"",INDEX($D$1:$L$1,MATCH(MIN(D906:L906),D906:L906,0)))</f>
        <v/>
      </c>
      <c r="R906" s="8" t="n">
        <v>9995.309999999999</v>
      </c>
      <c r="S906" s="10" t="n">
        <v>1</v>
      </c>
    </row>
    <row r="907">
      <c r="A907" s="7" t="inlineStr">
        <is>
          <t>MAT-20-021</t>
        </is>
      </c>
      <c r="B907" s="4" t="inlineStr">
        <is>
          <t>Angular perforado, 1-1/2X1-1/2"X10'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>
        <v>425</v>
      </c>
      <c r="J907" s="8" t="n"/>
      <c r="K907" s="8" t="n"/>
      <c r="L907" s="8" t="n"/>
      <c r="M907" s="8">
        <f>IF(COUNT(D907:L907)=0,"",MIN(D907:L907))</f>
        <v/>
      </c>
      <c r="N907" s="8">
        <f>IF(COUNT(D907:L907)=0,"",MEDIAN(D907:L907))</f>
        <v/>
      </c>
      <c r="O907" s="8">
        <f>IF(COUNT(D907:L907)=0,"",MAX(D907:L907))</f>
        <v/>
      </c>
      <c r="P907" s="9">
        <f>IF(OR(M907="",M907=0),"",(O907-M907)/M907)</f>
        <v/>
      </c>
      <c r="Q907" s="7">
        <f>IF(COUNT(D907:L907)=0,"",INDEX($D$1:$L$1,MATCH(MIN(D907:L907),D907:L907,0)))</f>
        <v/>
      </c>
      <c r="R907" s="8" t="n">
        <v>425</v>
      </c>
      <c r="S907" s="10" t="n">
        <v>1</v>
      </c>
    </row>
    <row r="908">
      <c r="A908" s="7" t="inlineStr">
        <is>
          <t>MAT-20-022</t>
        </is>
      </c>
      <c r="B908" s="4" t="inlineStr">
        <is>
          <t>Angular perforado, 1-1/2X1-1/2"X8'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>
        <v>360</v>
      </c>
      <c r="J908" s="8" t="n"/>
      <c r="K908" s="8" t="n"/>
      <c r="L908" s="8" t="n"/>
      <c r="M908" s="8">
        <f>IF(COUNT(D908:L908)=0,"",MIN(D908:L908))</f>
        <v/>
      </c>
      <c r="N908" s="8">
        <f>IF(COUNT(D908:L908)=0,"",MEDIAN(D908:L908))</f>
        <v/>
      </c>
      <c r="O908" s="8">
        <f>IF(COUNT(D908:L908)=0,"",MAX(D908:L908))</f>
        <v/>
      </c>
      <c r="P908" s="9">
        <f>IF(OR(M908="",M908=0),"",(O908-M908)/M908)</f>
        <v/>
      </c>
      <c r="Q908" s="7">
        <f>IF(COUNT(D908:L908)=0,"",INDEX($D$1:$L$1,MATCH(MIN(D908:L908),D908:L908,0)))</f>
        <v/>
      </c>
      <c r="R908" s="8" t="n">
        <v>360</v>
      </c>
      <c r="S908" s="10" t="n">
        <v>1</v>
      </c>
    </row>
    <row r="909">
      <c r="A909" s="7" t="inlineStr">
        <is>
          <t>MAT-20-023</t>
        </is>
      </c>
      <c r="B909" s="4" t="inlineStr">
        <is>
          <t>Planchuela de hierro negro 1/2" x 1/8" x 20 pies</t>
        </is>
      </c>
      <c r="C909" s="7" t="inlineStr">
        <is>
          <t>unidad</t>
        </is>
      </c>
      <c r="D909" s="8" t="n">
        <v>141.64</v>
      </c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>
        <f>IF(COUNT(D909:L909)=0,"",MIN(D909:L909))</f>
        <v/>
      </c>
      <c r="N909" s="8">
        <f>IF(COUNT(D909:L909)=0,"",MEDIAN(D909:L909))</f>
        <v/>
      </c>
      <c r="O909" s="8">
        <f>IF(COUNT(D909:L909)=0,"",MAX(D909:L909))</f>
        <v/>
      </c>
      <c r="P909" s="9">
        <f>IF(OR(M909="",M909=0),"",(O909-M909)/M909)</f>
        <v/>
      </c>
      <c r="Q909" s="7">
        <f>IF(COUNT(D909:L909)=0,"",INDEX($D$1:$L$1,MATCH(MIN(D909:L909),D909:L909,0)))</f>
        <v/>
      </c>
      <c r="R909" s="8" t="n">
        <v>141.64</v>
      </c>
      <c r="S909" s="10" t="n">
        <v>1</v>
      </c>
    </row>
    <row r="910">
      <c r="A910" s="7" t="inlineStr">
        <is>
          <t>MAT-20-024</t>
        </is>
      </c>
      <c r="B910" s="4" t="inlineStr">
        <is>
          <t>Planchuela de hierro negro 1/2" x 3/16" x 20 pies</t>
        </is>
      </c>
      <c r="C910" s="7" t="inlineStr">
        <is>
          <t>unidad</t>
        </is>
      </c>
      <c r="D910" s="8" t="n">
        <v>249.92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>
        <f>IF(COUNT(D910:L910)=0,"",MIN(D910:L910))</f>
        <v/>
      </c>
      <c r="N910" s="8">
        <f>IF(COUNT(D910:L910)=0,"",MEDIAN(D910:L910))</f>
        <v/>
      </c>
      <c r="O910" s="8">
        <f>IF(COUNT(D910:L910)=0,"",MAX(D910:L910))</f>
        <v/>
      </c>
      <c r="P910" s="9">
        <f>IF(OR(M910="",M910=0),"",(O910-M910)/M910)</f>
        <v/>
      </c>
      <c r="Q910" s="7">
        <f>IF(COUNT(D910:L910)=0,"",INDEX($D$1:$L$1,MATCH(MIN(D910:L910),D910:L910,0)))</f>
        <v/>
      </c>
      <c r="R910" s="8" t="n">
        <v>249.92</v>
      </c>
      <c r="S910" s="10" t="n">
        <v>1</v>
      </c>
    </row>
    <row r="911">
      <c r="A911" s="7" t="inlineStr">
        <is>
          <t>MAT-20-025</t>
        </is>
      </c>
      <c r="B911" s="4" t="inlineStr">
        <is>
          <t>Planchuela de hierro negro 1/2" x 1/4" x 20 pies</t>
        </is>
      </c>
      <c r="C911" s="7" t="inlineStr">
        <is>
          <t>unidad</t>
        </is>
      </c>
      <c r="D911" s="8" t="n">
        <v>331.8</v>
      </c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>
        <f>IF(COUNT(D911:L911)=0,"",MIN(D911:L911))</f>
        <v/>
      </c>
      <c r="N911" s="8">
        <f>IF(COUNT(D911:L911)=0,"",MEDIAN(D911:L911))</f>
        <v/>
      </c>
      <c r="O911" s="8">
        <f>IF(COUNT(D911:L911)=0,"",MAX(D911:L911))</f>
        <v/>
      </c>
      <c r="P911" s="9">
        <f>IF(OR(M911="",M911=0),"",(O911-M911)/M911)</f>
        <v/>
      </c>
      <c r="Q911" s="7">
        <f>IF(COUNT(D911:L911)=0,"",INDEX($D$1:$L$1,MATCH(MIN(D911:L911),D911:L911,0)))</f>
        <v/>
      </c>
      <c r="R911" s="8" t="n">
        <v>331.8</v>
      </c>
      <c r="S911" s="10" t="n">
        <v>1</v>
      </c>
    </row>
    <row r="912">
      <c r="A912" s="7" t="inlineStr">
        <is>
          <t>MAT-20-026</t>
        </is>
      </c>
      <c r="B912" s="4" t="inlineStr">
        <is>
          <t>Planchuela de hierro negro 3/4" x 1/8" x 20 pies</t>
        </is>
      </c>
      <c r="C912" s="7" t="inlineStr">
        <is>
          <t>unidad</t>
        </is>
      </c>
      <c r="D912" s="8" t="n">
        <v>298.91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>
        <f>IF(COUNT(D912:L912)=0,"",MIN(D912:L912))</f>
        <v/>
      </c>
      <c r="N912" s="8">
        <f>IF(COUNT(D912:L912)=0,"",MEDIAN(D912:L912))</f>
        <v/>
      </c>
      <c r="O912" s="8">
        <f>IF(COUNT(D912:L912)=0,"",MAX(D912:L912))</f>
        <v/>
      </c>
      <c r="P912" s="9">
        <f>IF(OR(M912="",M912=0),"",(O912-M912)/M912)</f>
        <v/>
      </c>
      <c r="Q912" s="7">
        <f>IF(COUNT(D912:L912)=0,"",INDEX($D$1:$L$1,MATCH(MIN(D912:L912),D912:L912,0)))</f>
        <v/>
      </c>
      <c r="R912" s="8" t="n">
        <v>298.91</v>
      </c>
      <c r="S912" s="10" t="n">
        <v>1</v>
      </c>
    </row>
    <row r="913">
      <c r="A913" s="7" t="inlineStr">
        <is>
          <t>MAT-20-027</t>
        </is>
      </c>
      <c r="B913" s="4" t="inlineStr">
        <is>
          <t>Planchuela de hierro negro 3/4" x 3/16" x 20 pies</t>
        </is>
      </c>
      <c r="C913" s="7" t="inlineStr">
        <is>
          <t>unidad</t>
        </is>
      </c>
      <c r="D913" s="8" t="n">
        <v>373</v>
      </c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>
        <f>IF(COUNT(D913:L913)=0,"",MIN(D913:L913))</f>
        <v/>
      </c>
      <c r="N913" s="8">
        <f>IF(COUNT(D913:L913)=0,"",MEDIAN(D913:L913))</f>
        <v/>
      </c>
      <c r="O913" s="8">
        <f>IF(COUNT(D913:L913)=0,"",MAX(D913:L913))</f>
        <v/>
      </c>
      <c r="P913" s="9">
        <f>IF(OR(M913="",M913=0),"",(O913-M913)/M913)</f>
        <v/>
      </c>
      <c r="Q913" s="7">
        <f>IF(COUNT(D913:L913)=0,"",INDEX($D$1:$L$1,MATCH(MIN(D913:L913),D913:L913,0)))</f>
        <v/>
      </c>
      <c r="R913" s="8" t="n">
        <v>373</v>
      </c>
      <c r="S913" s="10" t="n">
        <v>1</v>
      </c>
    </row>
    <row r="914">
      <c r="A914" s="7" t="inlineStr">
        <is>
          <t>MAT-20-028</t>
        </is>
      </c>
      <c r="B914" s="4" t="inlineStr">
        <is>
          <t>Planchuela de hierro negro 3/4" x 1/4" x 20 pies</t>
        </is>
      </c>
      <c r="C914" s="7" t="inlineStr">
        <is>
          <t>unidad</t>
        </is>
      </c>
      <c r="D914" s="8" t="n">
        <v>497.72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>
        <f>IF(COUNT(D914:L914)=0,"",MIN(D914:L914))</f>
        <v/>
      </c>
      <c r="N914" s="8">
        <f>IF(COUNT(D914:L914)=0,"",MEDIAN(D914:L914))</f>
        <v/>
      </c>
      <c r="O914" s="8">
        <f>IF(COUNT(D914:L914)=0,"",MAX(D914:L914))</f>
        <v/>
      </c>
      <c r="P914" s="9">
        <f>IF(OR(M914="",M914=0),"",(O914-M914)/M914)</f>
        <v/>
      </c>
      <c r="Q914" s="7">
        <f>IF(COUNT(D914:L914)=0,"",INDEX($D$1:$L$1,MATCH(MIN(D914:L914),D914:L914,0)))</f>
        <v/>
      </c>
      <c r="R914" s="8" t="n">
        <v>497.72</v>
      </c>
      <c r="S914" s="10" t="n">
        <v>1</v>
      </c>
    </row>
    <row r="915">
      <c r="A915" s="7" t="inlineStr">
        <is>
          <t>MAT-20-029</t>
        </is>
      </c>
      <c r="B915" s="4" t="inlineStr">
        <is>
          <t>Planchuela de hierro negro 1" x 1/8" x 20 pies</t>
        </is>
      </c>
      <c r="C915" s="7" t="inlineStr">
        <is>
          <t>unidad</t>
        </is>
      </c>
      <c r="D915" s="8" t="n">
        <v>297.5</v>
      </c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>
        <f>IF(COUNT(D915:L915)=0,"",MIN(D915:L915))</f>
        <v/>
      </c>
      <c r="N915" s="8">
        <f>IF(COUNT(D915:L915)=0,"",MEDIAN(D915:L915))</f>
        <v/>
      </c>
      <c r="O915" s="8">
        <f>IF(COUNT(D915:L915)=0,"",MAX(D915:L915))</f>
        <v/>
      </c>
      <c r="P915" s="9">
        <f>IF(OR(M915="",M915=0),"",(O915-M915)/M915)</f>
        <v/>
      </c>
      <c r="Q915" s="7">
        <f>IF(COUNT(D915:L915)=0,"",INDEX($D$1:$L$1,MATCH(MIN(D915:L915),D915:L915,0)))</f>
        <v/>
      </c>
      <c r="R915" s="8" t="n">
        <v>297.5</v>
      </c>
      <c r="S915" s="10" t="n">
        <v>1</v>
      </c>
    </row>
    <row r="916">
      <c r="A916" s="7" t="inlineStr">
        <is>
          <t>MAT-20-030</t>
        </is>
      </c>
      <c r="B916" s="4" t="inlineStr">
        <is>
          <t>Planchuela de hierro negro 1" x 3/16" x 20 pies</t>
        </is>
      </c>
      <c r="C916" s="7" t="inlineStr">
        <is>
          <t>unidad</t>
        </is>
      </c>
      <c r="D916" s="8" t="n">
        <v>446.25</v>
      </c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>
        <f>IF(COUNT(D916:L916)=0,"",MIN(D916:L916))</f>
        <v/>
      </c>
      <c r="N916" s="8">
        <f>IF(COUNT(D916:L916)=0,"",MEDIAN(D916:L916))</f>
        <v/>
      </c>
      <c r="O916" s="8">
        <f>IF(COUNT(D916:L916)=0,"",MAX(D916:L916))</f>
        <v/>
      </c>
      <c r="P916" s="9">
        <f>IF(OR(M916="",M916=0),"",(O916-M916)/M916)</f>
        <v/>
      </c>
      <c r="Q916" s="7">
        <f>IF(COUNT(D916:L916)=0,"",INDEX($D$1:$L$1,MATCH(MIN(D916:L916),D916:L916,0)))</f>
        <v/>
      </c>
      <c r="R916" s="8" t="n">
        <v>446.25</v>
      </c>
      <c r="S916" s="10" t="n">
        <v>1</v>
      </c>
    </row>
    <row r="917">
      <c r="A917" s="7" t="inlineStr">
        <is>
          <t>MAT-20-031</t>
        </is>
      </c>
      <c r="B917" s="4" t="inlineStr">
        <is>
          <t>Planchuela de hierro negro 1" x 1/4" x 20 pies</t>
        </is>
      </c>
      <c r="C917" s="7" t="inlineStr">
        <is>
          <t>unidad</t>
        </is>
      </c>
      <c r="D917" s="8" t="n">
        <v>595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>
        <f>IF(COUNT(D917:L917)=0,"",MIN(D917:L917))</f>
        <v/>
      </c>
      <c r="N917" s="8">
        <f>IF(COUNT(D917:L917)=0,"",MEDIAN(D917:L917))</f>
        <v/>
      </c>
      <c r="O917" s="8">
        <f>IF(COUNT(D917:L917)=0,"",MAX(D917:L917))</f>
        <v/>
      </c>
      <c r="P917" s="9">
        <f>IF(OR(M917="",M917=0),"",(O917-M917)/M917)</f>
        <v/>
      </c>
      <c r="Q917" s="7">
        <f>IF(COUNT(D917:L917)=0,"",INDEX($D$1:$L$1,MATCH(MIN(D917:L917),D917:L917,0)))</f>
        <v/>
      </c>
      <c r="R917" s="8" t="n">
        <v>595</v>
      </c>
      <c r="S917" s="10" t="n">
        <v>1</v>
      </c>
    </row>
    <row r="918">
      <c r="A918" s="7" t="inlineStr">
        <is>
          <t>MAT-20-032</t>
        </is>
      </c>
      <c r="B918" s="4" t="inlineStr">
        <is>
          <t>Planchuela de hierro negro 1" x 1/2" x 20 pies</t>
        </is>
      </c>
      <c r="C918" s="7" t="inlineStr">
        <is>
          <t>unidad</t>
        </is>
      </c>
      <c r="D918" s="8" t="n">
        <v>1327.5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>
        <f>IF(COUNT(D918:L918)=0,"",MIN(D918:L918))</f>
        <v/>
      </c>
      <c r="N918" s="8">
        <f>IF(COUNT(D918:L918)=0,"",MEDIAN(D918:L918))</f>
        <v/>
      </c>
      <c r="O918" s="8">
        <f>IF(COUNT(D918:L918)=0,"",MAX(D918:L918))</f>
        <v/>
      </c>
      <c r="P918" s="9">
        <f>IF(OR(M918="",M918=0),"",(O918-M918)/M918)</f>
        <v/>
      </c>
      <c r="Q918" s="7">
        <f>IF(COUNT(D918:L918)=0,"",INDEX($D$1:$L$1,MATCH(MIN(D918:L918),D918:L918,0)))</f>
        <v/>
      </c>
      <c r="R918" s="8" t="n">
        <v>1327.5</v>
      </c>
      <c r="S918" s="10" t="n">
        <v>1</v>
      </c>
    </row>
    <row r="919">
      <c r="A919" s="7" t="inlineStr">
        <is>
          <t>MAT-20-033</t>
        </is>
      </c>
      <c r="B919" s="4" t="inlineStr">
        <is>
          <t>Planchuela de hierro negro 1 1/4" x 1/8" x 20 pies</t>
        </is>
      </c>
      <c r="C919" s="7" t="inlineStr">
        <is>
          <t>unidad</t>
        </is>
      </c>
      <c r="D919" s="8" t="n">
        <v>415.35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>
        <f>IF(COUNT(D919:L919)=0,"",MIN(D919:L919))</f>
        <v/>
      </c>
      <c r="N919" s="8">
        <f>IF(COUNT(D919:L919)=0,"",MEDIAN(D919:L919))</f>
        <v/>
      </c>
      <c r="O919" s="8">
        <f>IF(COUNT(D919:L919)=0,"",MAX(D919:L919))</f>
        <v/>
      </c>
      <c r="P919" s="9">
        <f>IF(OR(M919="",M919=0),"",(O919-M919)/M919)</f>
        <v/>
      </c>
      <c r="Q919" s="7">
        <f>IF(COUNT(D919:L919)=0,"",INDEX($D$1:$L$1,MATCH(MIN(D919:L919),D919:L919,0)))</f>
        <v/>
      </c>
      <c r="R919" s="8" t="n">
        <v>415.35</v>
      </c>
      <c r="S919" s="10" t="n">
        <v>1</v>
      </c>
    </row>
    <row r="920">
      <c r="A920" s="7" t="inlineStr">
        <is>
          <t>MAT-20-034</t>
        </is>
      </c>
      <c r="B920" s="4" t="inlineStr">
        <is>
          <t>Planchuela de hierro negro 1 1/4" x 3/16" x 20 pies</t>
        </is>
      </c>
      <c r="C920" s="7" t="inlineStr">
        <is>
          <t>unidad</t>
        </is>
      </c>
      <c r="D920" s="8" t="n">
        <v>614.58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>
        <f>IF(COUNT(D920:L920)=0,"",MIN(D920:L920))</f>
        <v/>
      </c>
      <c r="N920" s="8">
        <f>IF(COUNT(D920:L920)=0,"",MEDIAN(D920:L920))</f>
        <v/>
      </c>
      <c r="O920" s="8">
        <f>IF(COUNT(D920:L920)=0,"",MAX(D920:L920))</f>
        <v/>
      </c>
      <c r="P920" s="9">
        <f>IF(OR(M920="",M920=0),"",(O920-M920)/M920)</f>
        <v/>
      </c>
      <c r="Q920" s="7">
        <f>IF(COUNT(D920:L920)=0,"",INDEX($D$1:$L$1,MATCH(MIN(D920:L920),D920:L920,0)))</f>
        <v/>
      </c>
      <c r="R920" s="8" t="n">
        <v>614.58</v>
      </c>
      <c r="S920" s="10" t="n">
        <v>1</v>
      </c>
    </row>
    <row r="921">
      <c r="A921" s="7" t="inlineStr">
        <is>
          <t>MAT-20-035</t>
        </is>
      </c>
      <c r="B921" s="4" t="inlineStr">
        <is>
          <t>Planchuela de hierro negro 1 1/4" x 1/4" x 20 pies</t>
        </is>
      </c>
      <c r="C921" s="7" t="inlineStr">
        <is>
          <t>unidad</t>
        </is>
      </c>
      <c r="D921" s="8" t="n">
        <v>745.5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>
        <f>IF(COUNT(D921:L921)=0,"",MIN(D921:L921))</f>
        <v/>
      </c>
      <c r="N921" s="8">
        <f>IF(COUNT(D921:L921)=0,"",MEDIAN(D921:L921))</f>
        <v/>
      </c>
      <c r="O921" s="8">
        <f>IF(COUNT(D921:L921)=0,"",MAX(D921:L921))</f>
        <v/>
      </c>
      <c r="P921" s="9">
        <f>IF(OR(M921="",M921=0),"",(O921-M921)/M921)</f>
        <v/>
      </c>
      <c r="Q921" s="7">
        <f>IF(COUNT(D921:L921)=0,"",INDEX($D$1:$L$1,MATCH(MIN(D921:L921),D921:L921,0)))</f>
        <v/>
      </c>
      <c r="R921" s="8" t="n">
        <v>745.5</v>
      </c>
      <c r="S921" s="10" t="n">
        <v>1</v>
      </c>
    </row>
    <row r="922">
      <c r="A922" s="7" t="inlineStr">
        <is>
          <t>MAT-20-036</t>
        </is>
      </c>
      <c r="B922" s="4" t="inlineStr">
        <is>
          <t>Planchuela de hierro negro 1 1/4" x 3/8" x 20 pies</t>
        </is>
      </c>
      <c r="C922" s="7" t="inlineStr">
        <is>
          <t>unidad</t>
        </is>
      </c>
      <c r="D922" s="8" t="n">
        <v>1115.73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>
        <f>IF(COUNT(D922:L922)=0,"",MIN(D922:L922))</f>
        <v/>
      </c>
      <c r="N922" s="8">
        <f>IF(COUNT(D922:L922)=0,"",MEDIAN(D922:L922))</f>
        <v/>
      </c>
      <c r="O922" s="8">
        <f>IF(COUNT(D922:L922)=0,"",MAX(D922:L922))</f>
        <v/>
      </c>
      <c r="P922" s="9">
        <f>IF(OR(M922="",M922=0),"",(O922-M922)/M922)</f>
        <v/>
      </c>
      <c r="Q922" s="7">
        <f>IF(COUNT(D922:L922)=0,"",INDEX($D$1:$L$1,MATCH(MIN(D922:L922),D922:L922,0)))</f>
        <v/>
      </c>
      <c r="R922" s="8" t="n">
        <v>1115.73</v>
      </c>
      <c r="S922" s="10" t="n">
        <v>1</v>
      </c>
    </row>
    <row r="923">
      <c r="A923" s="7" t="inlineStr">
        <is>
          <t>MAT-20-037</t>
        </is>
      </c>
      <c r="B923" s="4" t="inlineStr">
        <is>
          <t>Planchuela de hierro negro 1 1/2" x 1/8" x 20 pies</t>
        </is>
      </c>
      <c r="C923" s="7" t="inlineStr">
        <is>
          <t>unidad</t>
        </is>
      </c>
      <c r="D923" s="8" t="n">
        <v>451.7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>
        <f>IF(COUNT(D923:L923)=0,"",MIN(D923:L923))</f>
        <v/>
      </c>
      <c r="N923" s="8">
        <f>IF(COUNT(D923:L923)=0,"",MEDIAN(D923:L923))</f>
        <v/>
      </c>
      <c r="O923" s="8">
        <f>IF(COUNT(D923:L923)=0,"",MAX(D923:L923))</f>
        <v/>
      </c>
      <c r="P923" s="9">
        <f>IF(OR(M923="",M923=0),"",(O923-M923)/M923)</f>
        <v/>
      </c>
      <c r="Q923" s="7">
        <f>IF(COUNT(D923:L923)=0,"",INDEX($D$1:$L$1,MATCH(MIN(D923:L923),D923:L923,0)))</f>
        <v/>
      </c>
      <c r="R923" s="8" t="n">
        <v>451.7</v>
      </c>
      <c r="S923" s="10" t="n">
        <v>1</v>
      </c>
    </row>
    <row r="924">
      <c r="A924" s="7" t="inlineStr">
        <is>
          <t>MAT-20-038</t>
        </is>
      </c>
      <c r="B924" s="4" t="inlineStr">
        <is>
          <t>Planchuela de hierro negro 1 1/2" x 3/16" x 20 pies</t>
        </is>
      </c>
      <c r="C924" s="7" t="inlineStr">
        <is>
          <t>unidad</t>
        </is>
      </c>
      <c r="D924" s="8" t="n">
        <v>682.5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>
        <f>IF(COUNT(D924:L924)=0,"",MIN(D924:L924))</f>
        <v/>
      </c>
      <c r="N924" s="8">
        <f>IF(COUNT(D924:L924)=0,"",MEDIAN(D924:L924))</f>
        <v/>
      </c>
      <c r="O924" s="8">
        <f>IF(COUNT(D924:L924)=0,"",MAX(D924:L924))</f>
        <v/>
      </c>
      <c r="P924" s="9">
        <f>IF(OR(M924="",M924=0),"",(O924-M924)/M924)</f>
        <v/>
      </c>
      <c r="Q924" s="7">
        <f>IF(COUNT(D924:L924)=0,"",INDEX($D$1:$L$1,MATCH(MIN(D924:L924),D924:L924,0)))</f>
        <v/>
      </c>
      <c r="R924" s="8" t="n">
        <v>682.5</v>
      </c>
      <c r="S924" s="10" t="n">
        <v>1</v>
      </c>
    </row>
    <row r="925">
      <c r="A925" s="7" t="inlineStr">
        <is>
          <t>MAT-20-039</t>
        </is>
      </c>
      <c r="B925" s="4" t="inlineStr">
        <is>
          <t>Planchuela de hierro negro 1 1/2" x 1/4" x 20 pies</t>
        </is>
      </c>
      <c r="C925" s="7" t="inlineStr">
        <is>
          <t>unidad</t>
        </is>
      </c>
      <c r="D925" s="8" t="n">
        <v>892.5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>
        <f>IF(COUNT(D925:L925)=0,"",MIN(D925:L925))</f>
        <v/>
      </c>
      <c r="N925" s="8">
        <f>IF(COUNT(D925:L925)=0,"",MEDIAN(D925:L925))</f>
        <v/>
      </c>
      <c r="O925" s="8">
        <f>IF(COUNT(D925:L925)=0,"",MAX(D925:L925))</f>
        <v/>
      </c>
      <c r="P925" s="9">
        <f>IF(OR(M925="",M925=0),"",(O925-M925)/M925)</f>
        <v/>
      </c>
      <c r="Q925" s="7">
        <f>IF(COUNT(D925:L925)=0,"",INDEX($D$1:$L$1,MATCH(MIN(D925:L925),D925:L925,0)))</f>
        <v/>
      </c>
      <c r="R925" s="8" t="n">
        <v>892.5</v>
      </c>
      <c r="S925" s="10" t="n">
        <v>1</v>
      </c>
    </row>
    <row r="926">
      <c r="A926" s="7" t="inlineStr">
        <is>
          <t>MAT-20-040</t>
        </is>
      </c>
      <c r="B926" s="4" t="inlineStr">
        <is>
          <t>Planchuela de hierro negro 1 1/2" x 3/8" x 20 pies</t>
        </is>
      </c>
      <c r="C926" s="7" t="inlineStr">
        <is>
          <t>unidad</t>
        </is>
      </c>
      <c r="D926" s="8" t="n">
        <v>1338.75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>
        <f>IF(COUNT(D926:L926)=0,"",MIN(D926:L926))</f>
        <v/>
      </c>
      <c r="N926" s="8">
        <f>IF(COUNT(D926:L926)=0,"",MEDIAN(D926:L926))</f>
        <v/>
      </c>
      <c r="O926" s="8">
        <f>IF(COUNT(D926:L926)=0,"",MAX(D926:L926))</f>
        <v/>
      </c>
      <c r="P926" s="9">
        <f>IF(OR(M926="",M926=0),"",(O926-M926)/M926)</f>
        <v/>
      </c>
      <c r="Q926" s="7">
        <f>IF(COUNT(D926:L926)=0,"",INDEX($D$1:$L$1,MATCH(MIN(D926:L926),D926:L926,0)))</f>
        <v/>
      </c>
      <c r="R926" s="8" t="n">
        <v>1338.75</v>
      </c>
      <c r="S926" s="10" t="n">
        <v>1</v>
      </c>
    </row>
    <row r="927">
      <c r="A927" s="7" t="inlineStr">
        <is>
          <t>MAT-20-041</t>
        </is>
      </c>
      <c r="B927" s="4" t="inlineStr">
        <is>
          <t>Planchuela de hierro negro 1 1/2" x 1/2" x 20 pies</t>
        </is>
      </c>
      <c r="C927" s="7" t="inlineStr">
        <is>
          <t>unidad</t>
        </is>
      </c>
      <c r="D927" s="8" t="n">
        <v>1991.13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>
        <f>IF(COUNT(D927:L927)=0,"",MIN(D927:L927))</f>
        <v/>
      </c>
      <c r="N927" s="8">
        <f>IF(COUNT(D927:L927)=0,"",MEDIAN(D927:L927))</f>
        <v/>
      </c>
      <c r="O927" s="8">
        <f>IF(COUNT(D927:L927)=0,"",MAX(D927:L927))</f>
        <v/>
      </c>
      <c r="P927" s="9">
        <f>IF(OR(M927="",M927=0),"",(O927-M927)/M927)</f>
        <v/>
      </c>
      <c r="Q927" s="7">
        <f>IF(COUNT(D927:L927)=0,"",INDEX($D$1:$L$1,MATCH(MIN(D927:L927),D927:L927,0)))</f>
        <v/>
      </c>
      <c r="R927" s="8" t="n">
        <v>1991.13</v>
      </c>
      <c r="S927" s="10" t="n">
        <v>1</v>
      </c>
    </row>
    <row r="928">
      <c r="A928" s="7" t="inlineStr">
        <is>
          <t>MAT-20-042</t>
        </is>
      </c>
      <c r="B928" s="4" t="inlineStr">
        <is>
          <t>Planchuela de hierro negro 2" x 1/8" x 20 pies</t>
        </is>
      </c>
      <c r="C928" s="7" t="inlineStr">
        <is>
          <t>unidad</t>
        </is>
      </c>
      <c r="D928" s="8" t="n">
        <v>595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>
        <f>IF(COUNT(D928:L928)=0,"",MIN(D928:L928))</f>
        <v/>
      </c>
      <c r="N928" s="8">
        <f>IF(COUNT(D928:L928)=0,"",MEDIAN(D928:L928))</f>
        <v/>
      </c>
      <c r="O928" s="8">
        <f>IF(COUNT(D928:L928)=0,"",MAX(D928:L928))</f>
        <v/>
      </c>
      <c r="P928" s="9">
        <f>IF(OR(M928="",M928=0),"",(O928-M928)/M928)</f>
        <v/>
      </c>
      <c r="Q928" s="7">
        <f>IF(COUNT(D928:L928)=0,"",INDEX($D$1:$L$1,MATCH(MIN(D928:L928),D928:L928,0)))</f>
        <v/>
      </c>
      <c r="R928" s="8" t="n">
        <v>595</v>
      </c>
      <c r="S928" s="10" t="n">
        <v>1</v>
      </c>
    </row>
    <row r="929">
      <c r="A929" s="7" t="inlineStr">
        <is>
          <t>MAT-20-043</t>
        </is>
      </c>
      <c r="B929" s="4" t="inlineStr">
        <is>
          <t>Planchuela de hierro negro 2" x 3/16" x 20 pies</t>
        </is>
      </c>
      <c r="C929" s="7" t="inlineStr">
        <is>
          <t>unidad</t>
        </is>
      </c>
      <c r="D929" s="8" t="n">
        <v>892.5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>
        <f>IF(COUNT(D929:L929)=0,"",MIN(D929:L929))</f>
        <v/>
      </c>
      <c r="N929" s="8">
        <f>IF(COUNT(D929:L929)=0,"",MEDIAN(D929:L929))</f>
        <v/>
      </c>
      <c r="O929" s="8">
        <f>IF(COUNT(D929:L929)=0,"",MAX(D929:L929))</f>
        <v/>
      </c>
      <c r="P929" s="9">
        <f>IF(OR(M929="",M929=0),"",(O929-M929)/M929)</f>
        <v/>
      </c>
      <c r="Q929" s="7">
        <f>IF(COUNT(D929:L929)=0,"",INDEX($D$1:$L$1,MATCH(MIN(D929:L929),D929:L929,0)))</f>
        <v/>
      </c>
      <c r="R929" s="8" t="n">
        <v>892.5</v>
      </c>
      <c r="S929" s="10" t="n">
        <v>1</v>
      </c>
    </row>
    <row r="930">
      <c r="A930" s="7" t="inlineStr">
        <is>
          <t>MAT-20-044</t>
        </is>
      </c>
      <c r="B930" s="4" t="inlineStr">
        <is>
          <t>Planchuela de hierro negro 2" x 1/4" x 20 pies</t>
        </is>
      </c>
      <c r="C930" s="7" t="inlineStr">
        <is>
          <t>unidad</t>
        </is>
      </c>
      <c r="D930" s="8" t="n">
        <v>1189.99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>
        <f>IF(COUNT(D930:L930)=0,"",MIN(D930:L930))</f>
        <v/>
      </c>
      <c r="N930" s="8">
        <f>IF(COUNT(D930:L930)=0,"",MEDIAN(D930:L930))</f>
        <v/>
      </c>
      <c r="O930" s="8">
        <f>IF(COUNT(D930:L930)=0,"",MAX(D930:L930))</f>
        <v/>
      </c>
      <c r="P930" s="9">
        <f>IF(OR(M930="",M930=0),"",(O930-M930)/M930)</f>
        <v/>
      </c>
      <c r="Q930" s="7">
        <f>IF(COUNT(D930:L930)=0,"",INDEX($D$1:$L$1,MATCH(MIN(D930:L930),D930:L930,0)))</f>
        <v/>
      </c>
      <c r="R930" s="8" t="n">
        <v>1189.99</v>
      </c>
      <c r="S930" s="10" t="n">
        <v>1</v>
      </c>
    </row>
    <row r="931">
      <c r="A931" s="7" t="inlineStr">
        <is>
          <t>MAT-20-045</t>
        </is>
      </c>
      <c r="B931" s="4" t="inlineStr">
        <is>
          <t>Planchuela de hierro negro 2" x 3/8" x 20 pies</t>
        </is>
      </c>
      <c r="C931" s="7" t="inlineStr">
        <is>
          <t>unidad</t>
        </is>
      </c>
      <c r="D931" s="8" t="n">
        <v>1785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>
        <f>IF(COUNT(D931:L931)=0,"",MIN(D931:L931))</f>
        <v/>
      </c>
      <c r="N931" s="8">
        <f>IF(COUNT(D931:L931)=0,"",MEDIAN(D931:L931))</f>
        <v/>
      </c>
      <c r="O931" s="8">
        <f>IF(COUNT(D931:L931)=0,"",MAX(D931:L931))</f>
        <v/>
      </c>
      <c r="P931" s="9">
        <f>IF(OR(M931="",M931=0),"",(O931-M931)/M931)</f>
        <v/>
      </c>
      <c r="Q931" s="7">
        <f>IF(COUNT(D931:L931)=0,"",INDEX($D$1:$L$1,MATCH(MIN(D931:L931),D931:L931,0)))</f>
        <v/>
      </c>
      <c r="R931" s="8" t="n">
        <v>1785</v>
      </c>
      <c r="S931" s="10" t="n">
        <v>1</v>
      </c>
    </row>
    <row r="932">
      <c r="A932" s="7" t="inlineStr">
        <is>
          <t>MAT-20-046</t>
        </is>
      </c>
      <c r="B932" s="4" t="inlineStr">
        <is>
          <t>Planchuela de hierro negro 2" x 1/2" x 20 pies</t>
        </is>
      </c>
      <c r="C932" s="7" t="inlineStr">
        <is>
          <t>unidad</t>
        </is>
      </c>
      <c r="D932" s="8" t="n">
        <v>2380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>
        <f>IF(COUNT(D932:L932)=0,"",MIN(D932:L932))</f>
        <v/>
      </c>
      <c r="N932" s="8">
        <f>IF(COUNT(D932:L932)=0,"",MEDIAN(D932:L932))</f>
        <v/>
      </c>
      <c r="O932" s="8">
        <f>IF(COUNT(D932:L932)=0,"",MAX(D932:L932))</f>
        <v/>
      </c>
      <c r="P932" s="9">
        <f>IF(OR(M932="",M932=0),"",(O932-M932)/M932)</f>
        <v/>
      </c>
      <c r="Q932" s="7">
        <f>IF(COUNT(D932:L932)=0,"",INDEX($D$1:$L$1,MATCH(MIN(D932:L932),D932:L932,0)))</f>
        <v/>
      </c>
      <c r="R932" s="8" t="n">
        <v>2380</v>
      </c>
      <c r="S932" s="10" t="n">
        <v>1</v>
      </c>
    </row>
    <row r="933">
      <c r="A933" s="7" t="inlineStr">
        <is>
          <t>MAT-20-047</t>
        </is>
      </c>
      <c r="B933" s="4" t="inlineStr">
        <is>
          <t>Planchuela de hierro negro 2 1/2" x 1/4" x 20 pies</t>
        </is>
      </c>
      <c r="C933" s="7" t="inlineStr">
        <is>
          <t>unidad</t>
        </is>
      </c>
      <c r="D933" s="8" t="n">
        <v>1487.5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>
        <f>IF(COUNT(D933:L933)=0,"",MIN(D933:L933))</f>
        <v/>
      </c>
      <c r="N933" s="8">
        <f>IF(COUNT(D933:L933)=0,"",MEDIAN(D933:L933))</f>
        <v/>
      </c>
      <c r="O933" s="8">
        <f>IF(COUNT(D933:L933)=0,"",MAX(D933:L933))</f>
        <v/>
      </c>
      <c r="P933" s="9">
        <f>IF(OR(M933="",M933=0),"",(O933-M933)/M933)</f>
        <v/>
      </c>
      <c r="Q933" s="7">
        <f>IF(COUNT(D933:L933)=0,"",INDEX($D$1:$L$1,MATCH(MIN(D933:L933),D933:L933,0)))</f>
        <v/>
      </c>
      <c r="R933" s="8" t="n">
        <v>1487.5</v>
      </c>
      <c r="S933" s="10" t="n">
        <v>1</v>
      </c>
    </row>
    <row r="934">
      <c r="A934" s="7" t="inlineStr">
        <is>
          <t>MAT-20-048</t>
        </is>
      </c>
      <c r="B934" s="4" t="inlineStr">
        <is>
          <t>Planchuela de hierro negro 2 1/2" x 3/8" x 20 pies</t>
        </is>
      </c>
      <c r="C934" s="7" t="inlineStr">
        <is>
          <t>unidad</t>
        </is>
      </c>
      <c r="D934" s="8" t="n">
        <v>2231.6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>
        <f>IF(COUNT(D934:L934)=0,"",MIN(D934:L934))</f>
        <v/>
      </c>
      <c r="N934" s="8">
        <f>IF(COUNT(D934:L934)=0,"",MEDIAN(D934:L934))</f>
        <v/>
      </c>
      <c r="O934" s="8">
        <f>IF(COUNT(D934:L934)=0,"",MAX(D934:L934))</f>
        <v/>
      </c>
      <c r="P934" s="9">
        <f>IF(OR(M934="",M934=0),"",(O934-M934)/M934)</f>
        <v/>
      </c>
      <c r="Q934" s="7">
        <f>IF(COUNT(D934:L934)=0,"",INDEX($D$1:$L$1,MATCH(MIN(D934:L934),D934:L934,0)))</f>
        <v/>
      </c>
      <c r="R934" s="8" t="n">
        <v>2231.6</v>
      </c>
      <c r="S934" s="10" t="n">
        <v>1</v>
      </c>
    </row>
    <row r="935">
      <c r="A935" s="7" t="inlineStr">
        <is>
          <t>MAT-20-049</t>
        </is>
      </c>
      <c r="B935" s="4" t="inlineStr">
        <is>
          <t>Planchuela de hierro negro 3" x 1/4" x 20 pies</t>
        </is>
      </c>
      <c r="C935" s="7" t="inlineStr">
        <is>
          <t>unidad</t>
        </is>
      </c>
      <c r="D935" s="8" t="n">
        <v>1785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>
        <f>IF(COUNT(D935:L935)=0,"",MIN(D935:L935))</f>
        <v/>
      </c>
      <c r="N935" s="8">
        <f>IF(COUNT(D935:L935)=0,"",MEDIAN(D935:L935))</f>
        <v/>
      </c>
      <c r="O935" s="8">
        <f>IF(COUNT(D935:L935)=0,"",MAX(D935:L935))</f>
        <v/>
      </c>
      <c r="P935" s="9">
        <f>IF(OR(M935="",M935=0),"",(O935-M935)/M935)</f>
        <v/>
      </c>
      <c r="Q935" s="7">
        <f>IF(COUNT(D935:L935)=0,"",INDEX($D$1:$L$1,MATCH(MIN(D935:L935),D935:L935,0)))</f>
        <v/>
      </c>
      <c r="R935" s="8" t="n">
        <v>1785</v>
      </c>
      <c r="S935" s="10" t="n">
        <v>1</v>
      </c>
    </row>
    <row r="936">
      <c r="A936" s="7" t="inlineStr">
        <is>
          <t>MAT-20-050</t>
        </is>
      </c>
      <c r="B936" s="4" t="inlineStr">
        <is>
          <t>Planchuela de hierro negro 3" x 3/8" x 20 pies</t>
        </is>
      </c>
      <c r="C936" s="7" t="inlineStr">
        <is>
          <t>unidad</t>
        </is>
      </c>
      <c r="D936" s="8" t="n">
        <v>2677.62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>
        <f>IF(COUNT(D936:L936)=0,"",MIN(D936:L936))</f>
        <v/>
      </c>
      <c r="N936" s="8">
        <f>IF(COUNT(D936:L936)=0,"",MEDIAN(D936:L936))</f>
        <v/>
      </c>
      <c r="O936" s="8">
        <f>IF(COUNT(D936:L936)=0,"",MAX(D936:L936))</f>
        <v/>
      </c>
      <c r="P936" s="9">
        <f>IF(OR(M936="",M936=0),"",(O936-M936)/M936)</f>
        <v/>
      </c>
      <c r="Q936" s="7">
        <f>IF(COUNT(D936:L936)=0,"",INDEX($D$1:$L$1,MATCH(MIN(D936:L936),D936:L936,0)))</f>
        <v/>
      </c>
      <c r="R936" s="8" t="n">
        <v>2677.62</v>
      </c>
      <c r="S936" s="10" t="n">
        <v>1</v>
      </c>
    </row>
    <row r="937">
      <c r="A937" s="7" t="inlineStr">
        <is>
          <t>MAT-20-051</t>
        </is>
      </c>
      <c r="B937" s="4" t="inlineStr">
        <is>
          <t>Planchuela de hierro negro 4" x 1/4" x 20 pies</t>
        </is>
      </c>
      <c r="C937" s="7" t="inlineStr">
        <is>
          <t>unidad</t>
        </is>
      </c>
      <c r="D937" s="8" t="n">
        <v>2380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>
        <f>IF(COUNT(D937:L937)=0,"",MIN(D937:L937))</f>
        <v/>
      </c>
      <c r="N937" s="8">
        <f>IF(COUNT(D937:L937)=0,"",MEDIAN(D937:L937))</f>
        <v/>
      </c>
      <c r="O937" s="8">
        <f>IF(COUNT(D937:L937)=0,"",MAX(D937:L937))</f>
        <v/>
      </c>
      <c r="P937" s="9">
        <f>IF(OR(M937="",M937=0),"",(O937-M937)/M937)</f>
        <v/>
      </c>
      <c r="Q937" s="7">
        <f>IF(COUNT(D937:L937)=0,"",INDEX($D$1:$L$1,MATCH(MIN(D937:L937),D937:L937,0)))</f>
        <v/>
      </c>
      <c r="R937" s="8" t="n">
        <v>2380</v>
      </c>
      <c r="S937" s="10" t="n">
        <v>1</v>
      </c>
    </row>
    <row r="938">
      <c r="A938" s="7" t="inlineStr">
        <is>
          <t>MAT-20-052</t>
        </is>
      </c>
      <c r="B938" s="4" t="inlineStr">
        <is>
          <t>Planchuela de hierro negro 4" x 3/8" x 20 pies</t>
        </is>
      </c>
      <c r="C938" s="7" t="inlineStr">
        <is>
          <t>unidad</t>
        </is>
      </c>
      <c r="D938" s="8" t="n">
        <v>3982.5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>
        <f>IF(COUNT(D938:L938)=0,"",MIN(D938:L938))</f>
        <v/>
      </c>
      <c r="N938" s="8">
        <f>IF(COUNT(D938:L938)=0,"",MEDIAN(D938:L938))</f>
        <v/>
      </c>
      <c r="O938" s="8">
        <f>IF(COUNT(D938:L938)=0,"",MAX(D938:L938))</f>
        <v/>
      </c>
      <c r="P938" s="9">
        <f>IF(OR(M938="",M938=0),"",(O938-M938)/M938)</f>
        <v/>
      </c>
      <c r="Q938" s="7">
        <f>IF(COUNT(D938:L938)=0,"",INDEX($D$1:$L$1,MATCH(MIN(D938:L938),D938:L938,0)))</f>
        <v/>
      </c>
      <c r="R938" s="8" t="n">
        <v>3982.5</v>
      </c>
      <c r="S938" s="10" t="n">
        <v>1</v>
      </c>
    </row>
    <row r="939">
      <c r="A939" s="7" t="inlineStr">
        <is>
          <t>MAT-20-053</t>
        </is>
      </c>
      <c r="B939" s="4" t="inlineStr">
        <is>
          <t>Planchuela de acero inoxidable 2" x 1/8" x 20 pies</t>
        </is>
      </c>
      <c r="C939" s="7" t="inlineStr">
        <is>
          <t>unidad</t>
        </is>
      </c>
      <c r="D939" s="8" t="n">
        <v>1397.2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>
        <f>IF(COUNT(D939:L939)=0,"",MIN(D939:L939))</f>
        <v/>
      </c>
      <c r="N939" s="8">
        <f>IF(COUNT(D939:L939)=0,"",MEDIAN(D939:L939))</f>
        <v/>
      </c>
      <c r="O939" s="8">
        <f>IF(COUNT(D939:L939)=0,"",MAX(D939:L939))</f>
        <v/>
      </c>
      <c r="P939" s="9">
        <f>IF(OR(M939="",M939=0),"",(O939-M939)/M939)</f>
        <v/>
      </c>
      <c r="Q939" s="7">
        <f>IF(COUNT(D939:L939)=0,"",INDEX($D$1:$L$1,MATCH(MIN(D939:L939),D939:L939,0)))</f>
        <v/>
      </c>
      <c r="R939" s="8" t="n">
        <v>1397.2</v>
      </c>
      <c r="S939" s="10" t="n">
        <v>1</v>
      </c>
    </row>
    <row r="940">
      <c r="A940" s="7" t="inlineStr">
        <is>
          <t>MAT-20-054</t>
        </is>
      </c>
      <c r="B940" s="4" t="inlineStr">
        <is>
          <t>Barra cuadrada de acero 7/16" x 20 pies</t>
        </is>
      </c>
      <c r="C940" s="7" t="inlineStr">
        <is>
          <t>unidad</t>
        </is>
      </c>
      <c r="D940" s="8" t="n">
        <v>411.76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>
        <f>IF(COUNT(D940:L940)=0,"",MIN(D940:L940))</f>
        <v/>
      </c>
      <c r="N940" s="8">
        <f>IF(COUNT(D940:L940)=0,"",MEDIAN(D940:L940))</f>
        <v/>
      </c>
      <c r="O940" s="8">
        <f>IF(COUNT(D940:L940)=0,"",MAX(D940:L940))</f>
        <v/>
      </c>
      <c r="P940" s="9">
        <f>IF(OR(M940="",M940=0),"",(O940-M940)/M940)</f>
        <v/>
      </c>
      <c r="Q940" s="7">
        <f>IF(COUNT(D940:L940)=0,"",INDEX($D$1:$L$1,MATCH(MIN(D940:L940),D940:L940,0)))</f>
        <v/>
      </c>
      <c r="R940" s="8" t="n">
        <v>411.76</v>
      </c>
      <c r="S940" s="10" t="n">
        <v>1</v>
      </c>
    </row>
    <row r="941">
      <c r="A941" s="7" t="inlineStr">
        <is>
          <t>MAT-20-055</t>
        </is>
      </c>
      <c r="B941" s="4" t="inlineStr">
        <is>
          <t>Barra cuadrada de acero 1/2" x 20 pies</t>
        </is>
      </c>
      <c r="C941" s="7" t="inlineStr">
        <is>
          <t>unidad</t>
        </is>
      </c>
      <c r="D941" s="8" t="n">
        <v>538.46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>
        <f>IF(COUNT(D941:L941)=0,"",MIN(D941:L941))</f>
        <v/>
      </c>
      <c r="N941" s="8">
        <f>IF(COUNT(D941:L941)=0,"",MEDIAN(D941:L941))</f>
        <v/>
      </c>
      <c r="O941" s="8">
        <f>IF(COUNT(D941:L941)=0,"",MAX(D941:L941))</f>
        <v/>
      </c>
      <c r="P941" s="9">
        <f>IF(OR(M941="",M941=0),"",(O941-M941)/M941)</f>
        <v/>
      </c>
      <c r="Q941" s="7">
        <f>IF(COUNT(D941:L941)=0,"",INDEX($D$1:$L$1,MATCH(MIN(D941:L941),D941:L941,0)))</f>
        <v/>
      </c>
      <c r="R941" s="8" t="n">
        <v>538.46</v>
      </c>
      <c r="S941" s="10" t="n">
        <v>1</v>
      </c>
    </row>
    <row r="942">
      <c r="A942" s="7" t="inlineStr">
        <is>
          <t>MAT-20-056</t>
        </is>
      </c>
      <c r="B942" s="4" t="inlineStr">
        <is>
          <t>Barra cuadrada de acero 5/8" x 20 pies</t>
        </is>
      </c>
      <c r="C942" s="7" t="inlineStr">
        <is>
          <t>unidad</t>
        </is>
      </c>
      <c r="D942" s="8" t="n">
        <v>843.37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>
        <f>IF(COUNT(D942:L942)=0,"",MIN(D942:L942))</f>
        <v/>
      </c>
      <c r="N942" s="8">
        <f>IF(COUNT(D942:L942)=0,"",MEDIAN(D942:L942))</f>
        <v/>
      </c>
      <c r="O942" s="8">
        <f>IF(COUNT(D942:L942)=0,"",MAX(D942:L942))</f>
        <v/>
      </c>
      <c r="P942" s="9">
        <f>IF(OR(M942="",M942=0),"",(O942-M942)/M942)</f>
        <v/>
      </c>
      <c r="Q942" s="7">
        <f>IF(COUNT(D942:L942)=0,"",INDEX($D$1:$L$1,MATCH(MIN(D942:L942),D942:L942,0)))</f>
        <v/>
      </c>
      <c r="R942" s="8" t="n">
        <v>843.37</v>
      </c>
      <c r="S942" s="10" t="n">
        <v>1</v>
      </c>
    </row>
    <row r="943">
      <c r="A943" s="7" t="inlineStr">
        <is>
          <t>MAT-20-057</t>
        </is>
      </c>
      <c r="B943" s="4" t="inlineStr">
        <is>
          <t>Barra redonda de acero 3/8" x 20 pies</t>
        </is>
      </c>
      <c r="C943" s="7" t="inlineStr">
        <is>
          <t>unidad</t>
        </is>
      </c>
      <c r="D943" s="8" t="n">
        <v>238.1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>
        <f>IF(COUNT(D943:L943)=0,"",MIN(D943:L943))</f>
        <v/>
      </c>
      <c r="N943" s="8">
        <f>IF(COUNT(D943:L943)=0,"",MEDIAN(D943:L943))</f>
        <v/>
      </c>
      <c r="O943" s="8">
        <f>IF(COUNT(D943:L943)=0,"",MAX(D943:L943))</f>
        <v/>
      </c>
      <c r="P943" s="9">
        <f>IF(OR(M943="",M943=0),"",(O943-M943)/M943)</f>
        <v/>
      </c>
      <c r="Q943" s="7">
        <f>IF(COUNT(D943:L943)=0,"",INDEX($D$1:$L$1,MATCH(MIN(D943:L943),D943:L943,0)))</f>
        <v/>
      </c>
      <c r="R943" s="8" t="n">
        <v>238.1</v>
      </c>
      <c r="S943" s="10" t="n">
        <v>1</v>
      </c>
    </row>
    <row r="944">
      <c r="A944" s="7" t="inlineStr">
        <is>
          <t>MAT-20-058</t>
        </is>
      </c>
      <c r="B944" s="4" t="inlineStr">
        <is>
          <t>Barra redonda de acero 1/2" x 20 pies</t>
        </is>
      </c>
      <c r="C944" s="7" t="inlineStr">
        <is>
          <t>unidad</t>
        </is>
      </c>
      <c r="D944" s="8" t="n">
        <v>421.68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>
        <f>IF(COUNT(D944:L944)=0,"",MIN(D944:L944))</f>
        <v/>
      </c>
      <c r="N944" s="8">
        <f>IF(COUNT(D944:L944)=0,"",MEDIAN(D944:L944))</f>
        <v/>
      </c>
      <c r="O944" s="8">
        <f>IF(COUNT(D944:L944)=0,"",MAX(D944:L944))</f>
        <v/>
      </c>
      <c r="P944" s="9">
        <f>IF(OR(M944="",M944=0),"",(O944-M944)/M944)</f>
        <v/>
      </c>
      <c r="Q944" s="7">
        <f>IF(COUNT(D944:L944)=0,"",INDEX($D$1:$L$1,MATCH(MIN(D944:L944),D944:L944,0)))</f>
        <v/>
      </c>
      <c r="R944" s="8" t="n">
        <v>421.68</v>
      </c>
      <c r="S944" s="10" t="n">
        <v>1</v>
      </c>
    </row>
    <row r="945">
      <c r="A945" s="7" t="inlineStr">
        <is>
          <t>MAT-20-059</t>
        </is>
      </c>
      <c r="B945" s="4" t="inlineStr">
        <is>
          <t>Barra redonda de acero 5/8" x 20 pies</t>
        </is>
      </c>
      <c r="C945" s="7" t="inlineStr">
        <is>
          <t>unidad</t>
        </is>
      </c>
      <c r="D945" s="8" t="n">
        <v>660.38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>
        <f>IF(COUNT(D945:L945)=0,"",MIN(D945:L945))</f>
        <v/>
      </c>
      <c r="N945" s="8">
        <f>IF(COUNT(D945:L945)=0,"",MEDIAN(D945:L945))</f>
        <v/>
      </c>
      <c r="O945" s="8">
        <f>IF(COUNT(D945:L945)=0,"",MAX(D945:L945))</f>
        <v/>
      </c>
      <c r="P945" s="9">
        <f>IF(OR(M945="",M945=0),"",(O945-M945)/M945)</f>
        <v/>
      </c>
      <c r="Q945" s="7">
        <f>IF(COUNT(D945:L945)=0,"",INDEX($D$1:$L$1,MATCH(MIN(D945:L945),D945:L945,0)))</f>
        <v/>
      </c>
      <c r="R945" s="8" t="n">
        <v>660.38</v>
      </c>
      <c r="S945" s="10" t="n">
        <v>1</v>
      </c>
    </row>
    <row r="946">
      <c r="A946" s="7" t="inlineStr">
        <is>
          <t>MAT-20-060</t>
        </is>
      </c>
      <c r="B946" s="4" t="inlineStr">
        <is>
          <t>Barra redonda de acero 3/4" x 20 pies</t>
        </is>
      </c>
      <c r="C946" s="7" t="inlineStr">
        <is>
          <t>unidad</t>
        </is>
      </c>
      <c r="D946" s="8" t="n">
        <v>945.95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>
        <f>IF(COUNT(D946:L946)=0,"",MIN(D946:L946))</f>
        <v/>
      </c>
      <c r="N946" s="8">
        <f>IF(COUNT(D946:L946)=0,"",MEDIAN(D946:L946))</f>
        <v/>
      </c>
      <c r="O946" s="8">
        <f>IF(COUNT(D946:L946)=0,"",MAX(D946:L946))</f>
        <v/>
      </c>
      <c r="P946" s="9">
        <f>IF(OR(M946="",M946=0),"",(O946-M946)/M946)</f>
        <v/>
      </c>
      <c r="Q946" s="7">
        <f>IF(COUNT(D946:L946)=0,"",INDEX($D$1:$L$1,MATCH(MIN(D946:L946),D946:L946,0)))</f>
        <v/>
      </c>
      <c r="R946" s="8" t="n">
        <v>945.95</v>
      </c>
      <c r="S946" s="10" t="n">
        <v>1</v>
      </c>
    </row>
    <row r="947">
      <c r="A947" s="7" t="inlineStr">
        <is>
          <t>MAT-20-061</t>
        </is>
      </c>
      <c r="B947" s="4" t="inlineStr">
        <is>
          <t>Barra redonda de acero 1" x 20 pies</t>
        </is>
      </c>
      <c r="C947" s="7" t="inlineStr">
        <is>
          <t>unidad</t>
        </is>
      </c>
      <c r="D947" s="8" t="n">
        <v>1666.67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>
        <f>IF(COUNT(D947:L947)=0,"",MIN(D947:L947))</f>
        <v/>
      </c>
      <c r="N947" s="8">
        <f>IF(COUNT(D947:L947)=0,"",MEDIAN(D947:L947))</f>
        <v/>
      </c>
      <c r="O947" s="8">
        <f>IF(COUNT(D947:L947)=0,"",MAX(D947:L947))</f>
        <v/>
      </c>
      <c r="P947" s="9">
        <f>IF(OR(M947="",M947=0),"",(O947-M947)/M947)</f>
        <v/>
      </c>
      <c r="Q947" s="7">
        <f>IF(COUNT(D947:L947)=0,"",INDEX($D$1:$L$1,MATCH(MIN(D947:L947),D947:L947,0)))</f>
        <v/>
      </c>
      <c r="R947" s="8" t="n">
        <v>1666.67</v>
      </c>
      <c r="S947" s="10" t="n">
        <v>1</v>
      </c>
    </row>
    <row r="948">
      <c r="A948" s="7" t="inlineStr">
        <is>
          <t>MAT-20-062</t>
        </is>
      </c>
      <c r="B948" s="4" t="inlineStr">
        <is>
          <t>Barra redonda torneada de acero 7/16" x 20 pies</t>
        </is>
      </c>
      <c r="C948" s="7" t="inlineStr">
        <is>
          <t>unidad</t>
        </is>
      </c>
      <c r="D948" s="8" t="n">
        <v>426.77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>
        <f>IF(COUNT(D948:L948)=0,"",MIN(D948:L948))</f>
        <v/>
      </c>
      <c r="N948" s="8">
        <f>IF(COUNT(D948:L948)=0,"",MEDIAN(D948:L948))</f>
        <v/>
      </c>
      <c r="O948" s="8">
        <f>IF(COUNT(D948:L948)=0,"",MAX(D948:L948))</f>
        <v/>
      </c>
      <c r="P948" s="9">
        <f>IF(OR(M948="",M948=0),"",(O948-M948)/M948)</f>
        <v/>
      </c>
      <c r="Q948" s="7">
        <f>IF(COUNT(D948:L948)=0,"",INDEX($D$1:$L$1,MATCH(MIN(D948:L948),D948:L948,0)))</f>
        <v/>
      </c>
      <c r="R948" s="8" t="n">
        <v>426.77</v>
      </c>
      <c r="S948" s="10" t="n">
        <v>1</v>
      </c>
    </row>
    <row r="949">
      <c r="A949" s="7" t="inlineStr">
        <is>
          <t>MAT-20-063</t>
        </is>
      </c>
      <c r="B949" s="4" t="inlineStr">
        <is>
          <t>Barra redonda torneada de acero 1/2" x 20 pies</t>
        </is>
      </c>
      <c r="C949" s="7" t="inlineStr">
        <is>
          <t>unidad</t>
        </is>
      </c>
      <c r="D949" s="8" t="n">
        <v>553.47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>
        <f>IF(COUNT(D949:L949)=0,"",MIN(D949:L949))</f>
        <v/>
      </c>
      <c r="N949" s="8">
        <f>IF(COUNT(D949:L949)=0,"",MEDIAN(D949:L949))</f>
        <v/>
      </c>
      <c r="O949" s="8">
        <f>IF(COUNT(D949:L949)=0,"",MAX(D949:L949))</f>
        <v/>
      </c>
      <c r="P949" s="9">
        <f>IF(OR(M949="",M949=0),"",(O949-M949)/M949)</f>
        <v/>
      </c>
      <c r="Q949" s="7">
        <f>IF(COUNT(D949:L949)=0,"",INDEX($D$1:$L$1,MATCH(MIN(D949:L949),D949:L949,0)))</f>
        <v/>
      </c>
      <c r="R949" s="8" t="n">
        <v>553.47</v>
      </c>
      <c r="S949" s="10" t="n">
        <v>1</v>
      </c>
    </row>
    <row r="950">
      <c r="A950" s="7" t="inlineStr">
        <is>
          <t>MAT-20-064</t>
        </is>
      </c>
      <c r="B950" s="4" t="inlineStr">
        <is>
          <t>Barra redonda torneada de acero 5/8" x 20 pies</t>
        </is>
      </c>
      <c r="C950" s="7" t="inlineStr">
        <is>
          <t>unidad</t>
        </is>
      </c>
      <c r="D950" s="8" t="n">
        <v>858.38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>
        <f>IF(COUNT(D950:L950)=0,"",MIN(D950:L950))</f>
        <v/>
      </c>
      <c r="N950" s="8">
        <f>IF(COUNT(D950:L950)=0,"",MEDIAN(D950:L950))</f>
        <v/>
      </c>
      <c r="O950" s="8">
        <f>IF(COUNT(D950:L950)=0,"",MAX(D950:L950))</f>
        <v/>
      </c>
      <c r="P950" s="9">
        <f>IF(OR(M950="",M950=0),"",(O950-M950)/M950)</f>
        <v/>
      </c>
      <c r="Q950" s="7">
        <f>IF(COUNT(D950:L950)=0,"",INDEX($D$1:$L$1,MATCH(MIN(D950:L950),D950:L950,0)))</f>
        <v/>
      </c>
      <c r="R950" s="8" t="n">
        <v>858.38</v>
      </c>
      <c r="S950" s="10" t="n">
        <v>1</v>
      </c>
    </row>
    <row r="951">
      <c r="A951" s="7" t="inlineStr">
        <is>
          <t>MAT-21-001</t>
        </is>
      </c>
      <c r="B951" s="4" t="inlineStr">
        <is>
          <t>Tola negra 1/32", plancha 4 x 8 pies</t>
        </is>
      </c>
      <c r="C951" s="7" t="inlineStr">
        <is>
          <t>plancha</t>
        </is>
      </c>
      <c r="D951" s="8" t="n">
        <v>1113.61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>
        <f>IF(COUNT(D951:L951)=0,"",MIN(D951:L951))</f>
        <v/>
      </c>
      <c r="N951" s="8">
        <f>IF(COUNT(D951:L951)=0,"",MEDIAN(D951:L951))</f>
        <v/>
      </c>
      <c r="O951" s="8">
        <f>IF(COUNT(D951:L951)=0,"",MAX(D951:L951))</f>
        <v/>
      </c>
      <c r="P951" s="9">
        <f>IF(OR(M951="",M951=0),"",(O951-M951)/M951)</f>
        <v/>
      </c>
      <c r="Q951" s="7">
        <f>IF(COUNT(D951:L951)=0,"",INDEX($D$1:$L$1,MATCH(MIN(D951:L951),D951:L951,0)))</f>
        <v/>
      </c>
      <c r="R951" s="8" t="n">
        <v>1113.61</v>
      </c>
      <c r="S951" s="10" t="n">
        <v>1</v>
      </c>
    </row>
    <row r="952">
      <c r="A952" s="7" t="inlineStr">
        <is>
          <t>MAT-21-002</t>
        </is>
      </c>
      <c r="B952" s="4" t="inlineStr">
        <is>
          <t>Tola negra 1/22", plancha 4 x 8 pies</t>
        </is>
      </c>
      <c r="C952" s="7" t="inlineStr">
        <is>
          <t>plancha</t>
        </is>
      </c>
      <c r="D952" s="8" t="n">
        <v>1497.04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>
        <f>IF(COUNT(D952:L952)=0,"",MIN(D952:L952))</f>
        <v/>
      </c>
      <c r="N952" s="8">
        <f>IF(COUNT(D952:L952)=0,"",MEDIAN(D952:L952))</f>
        <v/>
      </c>
      <c r="O952" s="8">
        <f>IF(COUNT(D952:L952)=0,"",MAX(D952:L952))</f>
        <v/>
      </c>
      <c r="P952" s="9">
        <f>IF(OR(M952="",M952=0),"",(O952-M952)/M952)</f>
        <v/>
      </c>
      <c r="Q952" s="7">
        <f>IF(COUNT(D952:L952)=0,"",INDEX($D$1:$L$1,MATCH(MIN(D952:L952),D952:L952,0)))</f>
        <v/>
      </c>
      <c r="R952" s="8" t="n">
        <v>1497.04</v>
      </c>
      <c r="S952" s="10" t="n">
        <v>1</v>
      </c>
    </row>
    <row r="953">
      <c r="A953" s="7" t="inlineStr">
        <is>
          <t>MAT-21-003</t>
        </is>
      </c>
      <c r="B953" s="4" t="inlineStr">
        <is>
          <t>Tola negra 1/16", plancha 4 x 10 pies</t>
        </is>
      </c>
      <c r="C953" s="7" t="inlineStr">
        <is>
          <t>plancha</t>
        </is>
      </c>
      <c r="D953" s="8" t="n">
        <v>2938.54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>
        <f>IF(COUNT(D953:L953)=0,"",MIN(D953:L953))</f>
        <v/>
      </c>
      <c r="N953" s="8">
        <f>IF(COUNT(D953:L953)=0,"",MEDIAN(D953:L953))</f>
        <v/>
      </c>
      <c r="O953" s="8">
        <f>IF(COUNT(D953:L953)=0,"",MAX(D953:L953))</f>
        <v/>
      </c>
      <c r="P953" s="9">
        <f>IF(OR(M953="",M953=0),"",(O953-M953)/M953)</f>
        <v/>
      </c>
      <c r="Q953" s="7">
        <f>IF(COUNT(D953:L953)=0,"",INDEX($D$1:$L$1,MATCH(MIN(D953:L953),D953:L953,0)))</f>
        <v/>
      </c>
      <c r="R953" s="8" t="n">
        <v>2938.54</v>
      </c>
      <c r="S953" s="10" t="n">
        <v>1</v>
      </c>
    </row>
    <row r="954">
      <c r="A954" s="7" t="inlineStr">
        <is>
          <t>MAT-21-004</t>
        </is>
      </c>
      <c r="B954" s="4" t="inlineStr">
        <is>
          <t>Tola negra 1/16", plancha 4 x 8 pies</t>
        </is>
      </c>
      <c r="C954" s="7" t="inlineStr">
        <is>
          <t>plancha</t>
        </is>
      </c>
      <c r="D954" s="8" t="n">
        <v>2224.54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>
        <f>IF(COUNT(D954:L954)=0,"",MIN(D954:L954))</f>
        <v/>
      </c>
      <c r="N954" s="8">
        <f>IF(COUNT(D954:L954)=0,"",MEDIAN(D954:L954))</f>
        <v/>
      </c>
      <c r="O954" s="8">
        <f>IF(COUNT(D954:L954)=0,"",MAX(D954:L954))</f>
        <v/>
      </c>
      <c r="P954" s="9">
        <f>IF(OR(M954="",M954=0),"",(O954-M954)/M954)</f>
        <v/>
      </c>
      <c r="Q954" s="7">
        <f>IF(COUNT(D954:L954)=0,"",INDEX($D$1:$L$1,MATCH(MIN(D954:L954),D954:L954,0)))</f>
        <v/>
      </c>
      <c r="R954" s="8" t="n">
        <v>2224.54</v>
      </c>
      <c r="S954" s="10" t="n">
        <v>1</v>
      </c>
    </row>
    <row r="955">
      <c r="A955" s="7" t="inlineStr">
        <is>
          <t>MAT-21-005</t>
        </is>
      </c>
      <c r="B955" s="4" t="inlineStr">
        <is>
          <t>Tola negra 3/32", plancha 4 x 8 pies</t>
        </is>
      </c>
      <c r="C955" s="7" t="inlineStr">
        <is>
          <t>plancha</t>
        </is>
      </c>
      <c r="D955" s="8" t="n">
        <v>3132.92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>
        <f>IF(COUNT(D955:L955)=0,"",MIN(D955:L955))</f>
        <v/>
      </c>
      <c r="N955" s="8">
        <f>IF(COUNT(D955:L955)=0,"",MEDIAN(D955:L955))</f>
        <v/>
      </c>
      <c r="O955" s="8">
        <f>IF(COUNT(D955:L955)=0,"",MAX(D955:L955))</f>
        <v/>
      </c>
      <c r="P955" s="9">
        <f>IF(OR(M955="",M955=0),"",(O955-M955)/M955)</f>
        <v/>
      </c>
      <c r="Q955" s="7">
        <f>IF(COUNT(D955:L955)=0,"",INDEX($D$1:$L$1,MATCH(MIN(D955:L955),D955:L955,0)))</f>
        <v/>
      </c>
      <c r="R955" s="8" t="n">
        <v>3132.92</v>
      </c>
      <c r="S955" s="10" t="n">
        <v>1</v>
      </c>
    </row>
    <row r="956">
      <c r="A956" s="7" t="inlineStr">
        <is>
          <t>MAT-21-006</t>
        </is>
      </c>
      <c r="B956" s="4" t="inlineStr">
        <is>
          <t>Tola negra 1/8", plancha 4 x 10 pies</t>
        </is>
      </c>
      <c r="C956" s="7" t="inlineStr">
        <is>
          <t>plancha</t>
        </is>
      </c>
      <c r="D956" s="8" t="n">
        <v>5622.83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>
        <f>IF(COUNT(D956:L956)=0,"",MIN(D956:L956))</f>
        <v/>
      </c>
      <c r="N956" s="8">
        <f>IF(COUNT(D956:L956)=0,"",MEDIAN(D956:L956))</f>
        <v/>
      </c>
      <c r="O956" s="8">
        <f>IF(COUNT(D956:L956)=0,"",MAX(D956:L956))</f>
        <v/>
      </c>
      <c r="P956" s="9">
        <f>IF(OR(M956="",M956=0),"",(O956-M956)/M956)</f>
        <v/>
      </c>
      <c r="Q956" s="7">
        <f>IF(COUNT(D956:L956)=0,"",INDEX($D$1:$L$1,MATCH(MIN(D956:L956),D956:L956,0)))</f>
        <v/>
      </c>
      <c r="R956" s="8" t="n">
        <v>5622.83</v>
      </c>
      <c r="S956" s="10" t="n">
        <v>1</v>
      </c>
    </row>
    <row r="957">
      <c r="A957" s="7" t="inlineStr">
        <is>
          <t>MAT-21-007</t>
        </is>
      </c>
      <c r="B957" s="4" t="inlineStr">
        <is>
          <t>Tola negra 1/8", plancha 4 x 8 pies</t>
        </is>
      </c>
      <c r="C957" s="7" t="inlineStr">
        <is>
          <t>plancha</t>
        </is>
      </c>
      <c r="D957" s="8" t="n">
        <v>4104.8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>
        <f>IF(COUNT(D957:L957)=0,"",MIN(D957:L957))</f>
        <v/>
      </c>
      <c r="N957" s="8">
        <f>IF(COUNT(D957:L957)=0,"",MEDIAN(D957:L957))</f>
        <v/>
      </c>
      <c r="O957" s="8">
        <f>IF(COUNT(D957:L957)=0,"",MAX(D957:L957))</f>
        <v/>
      </c>
      <c r="P957" s="9">
        <f>IF(OR(M957="",M957=0),"",(O957-M957)/M957)</f>
        <v/>
      </c>
      <c r="Q957" s="7">
        <f>IF(COUNT(D957:L957)=0,"",INDEX($D$1:$L$1,MATCH(MIN(D957:L957),D957:L957,0)))</f>
        <v/>
      </c>
      <c r="R957" s="8" t="n">
        <v>4104.8</v>
      </c>
      <c r="S957" s="10" t="n">
        <v>1</v>
      </c>
    </row>
    <row r="958">
      <c r="A958" s="7" t="inlineStr">
        <is>
          <t>MAT-21-008</t>
        </is>
      </c>
      <c r="B958" s="4" t="inlineStr">
        <is>
          <t>Tola negra 1/8", plancha 5 x 10 pies</t>
        </is>
      </c>
      <c r="C958" s="7" t="inlineStr">
        <is>
          <t>plancha</t>
        </is>
      </c>
      <c r="D958" s="8" t="n">
        <v>6428.83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>
        <f>IF(COUNT(D958:L958)=0,"",MIN(D958:L958))</f>
        <v/>
      </c>
      <c r="N958" s="8">
        <f>IF(COUNT(D958:L958)=0,"",MEDIAN(D958:L958))</f>
        <v/>
      </c>
      <c r="O958" s="8">
        <f>IF(COUNT(D958:L958)=0,"",MAX(D958:L958))</f>
        <v/>
      </c>
      <c r="P958" s="9">
        <f>IF(OR(M958="",M958=0),"",(O958-M958)/M958)</f>
        <v/>
      </c>
      <c r="Q958" s="7">
        <f>IF(COUNT(D958:L958)=0,"",INDEX($D$1:$L$1,MATCH(MIN(D958:L958),D958:L958,0)))</f>
        <v/>
      </c>
      <c r="R958" s="8" t="n">
        <v>6428.83</v>
      </c>
      <c r="S958" s="10" t="n">
        <v>1</v>
      </c>
    </row>
    <row r="959">
      <c r="A959" s="7" t="inlineStr">
        <is>
          <t>MAT-21-009</t>
        </is>
      </c>
      <c r="B959" s="4" t="inlineStr">
        <is>
          <t>Tola negra 3/16", plancha 4 x 8 pies</t>
        </is>
      </c>
      <c r="C959" s="7" t="inlineStr">
        <is>
          <t>plancha</t>
        </is>
      </c>
      <c r="D959" s="8" t="n">
        <v>6678.8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>
        <f>IF(COUNT(D959:L959)=0,"",MIN(D959:L959))</f>
        <v/>
      </c>
      <c r="N959" s="8">
        <f>IF(COUNT(D959:L959)=0,"",MEDIAN(D959:L959))</f>
        <v/>
      </c>
      <c r="O959" s="8">
        <f>IF(COUNT(D959:L959)=0,"",MAX(D959:L959))</f>
        <v/>
      </c>
      <c r="P959" s="9">
        <f>IF(OR(M959="",M959=0),"",(O959-M959)/M959)</f>
        <v/>
      </c>
      <c r="Q959" s="7">
        <f>IF(COUNT(D959:L959)=0,"",INDEX($D$1:$L$1,MATCH(MIN(D959:L959),D959:L959,0)))</f>
        <v/>
      </c>
      <c r="R959" s="8" t="n">
        <v>6678.8</v>
      </c>
      <c r="S959" s="10" t="n">
        <v>1</v>
      </c>
    </row>
    <row r="960">
      <c r="A960" s="7" t="inlineStr">
        <is>
          <t>MAT-21-010</t>
        </is>
      </c>
      <c r="B960" s="4" t="inlineStr">
        <is>
          <t>Tola negra 3/16", plancha 5 x 10 pies</t>
        </is>
      </c>
      <c r="C960" s="7" t="inlineStr">
        <is>
          <t>plancha</t>
        </is>
      </c>
      <c r="D960" s="8" t="n">
        <v>10410.48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>
        <f>IF(COUNT(D960:L960)=0,"",MIN(D960:L960))</f>
        <v/>
      </c>
      <c r="N960" s="8">
        <f>IF(COUNT(D960:L960)=0,"",MEDIAN(D960:L960))</f>
        <v/>
      </c>
      <c r="O960" s="8">
        <f>IF(COUNT(D960:L960)=0,"",MAX(D960:L960))</f>
        <v/>
      </c>
      <c r="P960" s="9">
        <f>IF(OR(M960="",M960=0),"",(O960-M960)/M960)</f>
        <v/>
      </c>
      <c r="Q960" s="7">
        <f>IF(COUNT(D960:L960)=0,"",INDEX($D$1:$L$1,MATCH(MIN(D960:L960),D960:L960,0)))</f>
        <v/>
      </c>
      <c r="R960" s="8" t="n">
        <v>10410.48</v>
      </c>
      <c r="S960" s="10" t="n">
        <v>1</v>
      </c>
    </row>
    <row r="961">
      <c r="A961" s="7" t="inlineStr">
        <is>
          <t>MAT-21-011</t>
        </is>
      </c>
      <c r="B961" s="4" t="inlineStr">
        <is>
          <t>Tola negra 3/16", plancha 6 x 10 pies</t>
        </is>
      </c>
      <c r="C961" s="7" t="inlineStr">
        <is>
          <t>plancha</t>
        </is>
      </c>
      <c r="D961" s="8" t="n">
        <v>12392.84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>
        <f>IF(COUNT(D961:L961)=0,"",MIN(D961:L961))</f>
        <v/>
      </c>
      <c r="N961" s="8">
        <f>IF(COUNT(D961:L961)=0,"",MEDIAN(D961:L961))</f>
        <v/>
      </c>
      <c r="O961" s="8">
        <f>IF(COUNT(D961:L961)=0,"",MAX(D961:L961))</f>
        <v/>
      </c>
      <c r="P961" s="9">
        <f>IF(OR(M961="",M961=0),"",(O961-M961)/M961)</f>
        <v/>
      </c>
      <c r="Q961" s="7">
        <f>IF(COUNT(D961:L961)=0,"",INDEX($D$1:$L$1,MATCH(MIN(D961:L961),D961:L961,0)))</f>
        <v/>
      </c>
      <c r="R961" s="8" t="n">
        <v>12392.84</v>
      </c>
      <c r="S961" s="10" t="n">
        <v>1</v>
      </c>
    </row>
    <row r="962">
      <c r="A962" s="7" t="inlineStr">
        <is>
          <t>MAT-21-012</t>
        </is>
      </c>
      <c r="B962" s="4" t="inlineStr">
        <is>
          <t>Tola negra 1/4", plancha 4 x 8 pies</t>
        </is>
      </c>
      <c r="C962" s="7" t="inlineStr">
        <is>
          <t>plancha</t>
        </is>
      </c>
      <c r="D962" s="8" t="n">
        <v>8276.58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>
        <f>IF(COUNT(D962:L962)=0,"",MIN(D962:L962))</f>
        <v/>
      </c>
      <c r="N962" s="8">
        <f>IF(COUNT(D962:L962)=0,"",MEDIAN(D962:L962))</f>
        <v/>
      </c>
      <c r="O962" s="8">
        <f>IF(COUNT(D962:L962)=0,"",MAX(D962:L962))</f>
        <v/>
      </c>
      <c r="P962" s="9">
        <f>IF(OR(M962="",M962=0),"",(O962-M962)/M962)</f>
        <v/>
      </c>
      <c r="Q962" s="7">
        <f>IF(COUNT(D962:L962)=0,"",INDEX($D$1:$L$1,MATCH(MIN(D962:L962),D962:L962,0)))</f>
        <v/>
      </c>
      <c r="R962" s="8" t="n">
        <v>8276.58</v>
      </c>
      <c r="S962" s="10" t="n">
        <v>1</v>
      </c>
    </row>
    <row r="963">
      <c r="A963" s="7" t="inlineStr">
        <is>
          <t>MAT-21-013</t>
        </is>
      </c>
      <c r="B963" s="4" t="inlineStr">
        <is>
          <t>Tola negra 1/4", plancha 6 x 10 pies</t>
        </is>
      </c>
      <c r="C963" s="7" t="inlineStr">
        <is>
          <t>plancha</t>
        </is>
      </c>
      <c r="D963" s="8" t="n">
        <v>16280.34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>
        <f>IF(COUNT(D963:L963)=0,"",MIN(D963:L963))</f>
        <v/>
      </c>
      <c r="N963" s="8">
        <f>IF(COUNT(D963:L963)=0,"",MEDIAN(D963:L963))</f>
        <v/>
      </c>
      <c r="O963" s="8">
        <f>IF(COUNT(D963:L963)=0,"",MAX(D963:L963))</f>
        <v/>
      </c>
      <c r="P963" s="9">
        <f>IF(OR(M963="",M963=0),"",(O963-M963)/M963)</f>
        <v/>
      </c>
      <c r="Q963" s="7">
        <f>IF(COUNT(D963:L963)=0,"",INDEX($D$1:$L$1,MATCH(MIN(D963:L963),D963:L963,0)))</f>
        <v/>
      </c>
      <c r="R963" s="8" t="n">
        <v>16280.34</v>
      </c>
      <c r="S963" s="10" t="n">
        <v>1</v>
      </c>
    </row>
    <row r="964">
      <c r="A964" s="7" t="inlineStr">
        <is>
          <t>MAT-21-014</t>
        </is>
      </c>
      <c r="B964" s="4" t="inlineStr">
        <is>
          <t>Tola negra 3/8", plancha 4 x 8 pies</t>
        </is>
      </c>
      <c r="C964" s="7" t="inlineStr">
        <is>
          <t>plancha</t>
        </is>
      </c>
      <c r="D964" s="8" t="n">
        <v>12665.86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>
        <f>IF(COUNT(D964:L964)=0,"",MIN(D964:L964))</f>
        <v/>
      </c>
      <c r="N964" s="8">
        <f>IF(COUNT(D964:L964)=0,"",MEDIAN(D964:L964))</f>
        <v/>
      </c>
      <c r="O964" s="8">
        <f>IF(COUNT(D964:L964)=0,"",MAX(D964:L964))</f>
        <v/>
      </c>
      <c r="P964" s="9">
        <f>IF(OR(M964="",M964=0),"",(O964-M964)/M964)</f>
        <v/>
      </c>
      <c r="Q964" s="7">
        <f>IF(COUNT(D964:L964)=0,"",INDEX($D$1:$L$1,MATCH(MIN(D964:L964),D964:L964,0)))</f>
        <v/>
      </c>
      <c r="R964" s="8" t="n">
        <v>12665.86</v>
      </c>
      <c r="S964" s="10" t="n">
        <v>1</v>
      </c>
    </row>
    <row r="965">
      <c r="A965" s="7" t="inlineStr">
        <is>
          <t>MAT-21-015</t>
        </is>
      </c>
      <c r="B965" s="4" t="inlineStr">
        <is>
          <t>Tola negra 5/8", plancha 4 x 8 pies</t>
        </is>
      </c>
      <c r="C965" s="7" t="inlineStr">
        <is>
          <t>plancha</t>
        </is>
      </c>
      <c r="D965" s="8" t="n">
        <v>21001.52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>
        <f>IF(COUNT(D965:L965)=0,"",MIN(D965:L965))</f>
        <v/>
      </c>
      <c r="N965" s="8">
        <f>IF(COUNT(D965:L965)=0,"",MEDIAN(D965:L965))</f>
        <v/>
      </c>
      <c r="O965" s="8">
        <f>IF(COUNT(D965:L965)=0,"",MAX(D965:L965))</f>
        <v/>
      </c>
      <c r="P965" s="9">
        <f>IF(OR(M965="",M965=0),"",(O965-M965)/M965)</f>
        <v/>
      </c>
      <c r="Q965" s="7">
        <f>IF(COUNT(D965:L965)=0,"",INDEX($D$1:$L$1,MATCH(MIN(D965:L965),D965:L965,0)))</f>
        <v/>
      </c>
      <c r="R965" s="8" t="n">
        <v>21001.52</v>
      </c>
      <c r="S965" s="10" t="n">
        <v>1</v>
      </c>
    </row>
    <row r="966">
      <c r="A966" s="7" t="inlineStr">
        <is>
          <t>MAT-21-016</t>
        </is>
      </c>
      <c r="B966" s="4" t="inlineStr">
        <is>
          <t>Tola negra 1", plancha 4 x 8 pies</t>
        </is>
      </c>
      <c r="C966" s="7" t="inlineStr">
        <is>
          <t>plancha</t>
        </is>
      </c>
      <c r="D966" s="8" t="n">
        <v>37319.49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>
        <f>IF(COUNT(D966:L966)=0,"",MIN(D966:L966))</f>
        <v/>
      </c>
      <c r="N966" s="8">
        <f>IF(COUNT(D966:L966)=0,"",MEDIAN(D966:L966))</f>
        <v/>
      </c>
      <c r="O966" s="8">
        <f>IF(COUNT(D966:L966)=0,"",MAX(D966:L966))</f>
        <v/>
      </c>
      <c r="P966" s="9">
        <f>IF(OR(M966="",M966=0),"",(O966-M966)/M966)</f>
        <v/>
      </c>
      <c r="Q966" s="7">
        <f>IF(COUNT(D966:L966)=0,"",INDEX($D$1:$L$1,MATCH(MIN(D966:L966),D966:L966,0)))</f>
        <v/>
      </c>
      <c r="R966" s="8" t="n">
        <v>37319.49</v>
      </c>
      <c r="S966" s="10" t="n">
        <v>1</v>
      </c>
    </row>
    <row r="967">
      <c r="A967" s="7" t="inlineStr">
        <is>
          <t>MAT-21-017</t>
        </is>
      </c>
      <c r="B967" s="4" t="inlineStr">
        <is>
          <t>Tola corrugada 3/32", plancha 4 x 8 pies</t>
        </is>
      </c>
      <c r="C967" s="7" t="inlineStr">
        <is>
          <t>plancha</t>
        </is>
      </c>
      <c r="D967" s="8" t="n">
        <v>3253.65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>
        <f>IF(COUNT(D967:L967)=0,"",MIN(D967:L967))</f>
        <v/>
      </c>
      <c r="N967" s="8">
        <f>IF(COUNT(D967:L967)=0,"",MEDIAN(D967:L967))</f>
        <v/>
      </c>
      <c r="O967" s="8">
        <f>IF(COUNT(D967:L967)=0,"",MAX(D967:L967))</f>
        <v/>
      </c>
      <c r="P967" s="9">
        <f>IF(OR(M967="",M967=0),"",(O967-M967)/M967)</f>
        <v/>
      </c>
      <c r="Q967" s="7">
        <f>IF(COUNT(D967:L967)=0,"",INDEX($D$1:$L$1,MATCH(MIN(D967:L967),D967:L967,0)))</f>
        <v/>
      </c>
      <c r="R967" s="8" t="n">
        <v>3253.65</v>
      </c>
      <c r="S967" s="10" t="n">
        <v>1</v>
      </c>
    </row>
    <row r="968">
      <c r="A968" s="7" t="inlineStr">
        <is>
          <t>MAT-21-018</t>
        </is>
      </c>
      <c r="B968" s="4" t="inlineStr">
        <is>
          <t>Tola corrugada 1/8", plancha 4 x 8 pies</t>
        </is>
      </c>
      <c r="C968" s="7" t="inlineStr">
        <is>
          <t>plancha</t>
        </is>
      </c>
      <c r="D968" s="8" t="n">
        <v>4279.86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>
        <f>IF(COUNT(D968:L968)=0,"",MIN(D968:L968))</f>
        <v/>
      </c>
      <c r="N968" s="8">
        <f>IF(COUNT(D968:L968)=0,"",MEDIAN(D968:L968))</f>
        <v/>
      </c>
      <c r="O968" s="8">
        <f>IF(COUNT(D968:L968)=0,"",MAX(D968:L968))</f>
        <v/>
      </c>
      <c r="P968" s="9">
        <f>IF(OR(M968="",M968=0),"",(O968-M968)/M968)</f>
        <v/>
      </c>
      <c r="Q968" s="7">
        <f>IF(COUNT(D968:L968)=0,"",INDEX($D$1:$L$1,MATCH(MIN(D968:L968),D968:L968,0)))</f>
        <v/>
      </c>
      <c r="R968" s="8" t="n">
        <v>4279.86</v>
      </c>
      <c r="S968" s="10" t="n">
        <v>1</v>
      </c>
    </row>
    <row r="969">
      <c r="A969" s="7" t="inlineStr">
        <is>
          <t>MAT-21-019</t>
        </is>
      </c>
      <c r="B969" s="4" t="inlineStr">
        <is>
          <t>Tola corrugada 3/16", plancha 4 x 8 pies</t>
        </is>
      </c>
      <c r="C969" s="7" t="inlineStr">
        <is>
          <t>plancha</t>
        </is>
      </c>
      <c r="D969" s="8" t="n">
        <v>6433.47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>
        <f>IF(COUNT(D969:L969)=0,"",MIN(D969:L969))</f>
        <v/>
      </c>
      <c r="N969" s="8">
        <f>IF(COUNT(D969:L969)=0,"",MEDIAN(D969:L969))</f>
        <v/>
      </c>
      <c r="O969" s="8">
        <f>IF(COUNT(D969:L969)=0,"",MAX(D969:L969))</f>
        <v/>
      </c>
      <c r="P969" s="9">
        <f>IF(OR(M969="",M969=0),"",(O969-M969)/M969)</f>
        <v/>
      </c>
      <c r="Q969" s="7">
        <f>IF(COUNT(D969:L969)=0,"",INDEX($D$1:$L$1,MATCH(MIN(D969:L969),D969:L969,0)))</f>
        <v/>
      </c>
      <c r="R969" s="8" t="n">
        <v>6433.47</v>
      </c>
      <c r="S969" s="10" t="n">
        <v>1</v>
      </c>
    </row>
    <row r="970">
      <c r="A970" s="7" t="inlineStr">
        <is>
          <t>MAT-21-020</t>
        </is>
      </c>
      <c r="B970" s="4" t="inlineStr">
        <is>
          <t>Tola galvanizada 4 x 8 pies, 25 lb</t>
        </is>
      </c>
      <c r="C970" s="7" t="inlineStr">
        <is>
          <t>plancha</t>
        </is>
      </c>
      <c r="D970" s="8" t="n">
        <v>825.17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>
        <f>IF(COUNT(D970:L970)=0,"",MIN(D970:L970))</f>
        <v/>
      </c>
      <c r="N970" s="8">
        <f>IF(COUNT(D970:L970)=0,"",MEDIAN(D970:L970))</f>
        <v/>
      </c>
      <c r="O970" s="8">
        <f>IF(COUNT(D970:L970)=0,"",MAX(D970:L970))</f>
        <v/>
      </c>
      <c r="P970" s="9">
        <f>IF(OR(M970="",M970=0),"",(O970-M970)/M970)</f>
        <v/>
      </c>
      <c r="Q970" s="7">
        <f>IF(COUNT(D970:L970)=0,"",INDEX($D$1:$L$1,MATCH(MIN(D970:L970),D970:L970,0)))</f>
        <v/>
      </c>
      <c r="R970" s="8" t="n">
        <v>825.17</v>
      </c>
      <c r="S970" s="10" t="n">
        <v>1</v>
      </c>
    </row>
    <row r="971">
      <c r="A971" s="7" t="inlineStr">
        <is>
          <t>MAT-21-021</t>
        </is>
      </c>
      <c r="B971" s="4" t="inlineStr">
        <is>
          <t>Tola galvanizada 4 x 8 pies, 32 lb</t>
        </is>
      </c>
      <c r="C971" s="7" t="inlineStr">
        <is>
          <t>plancha</t>
        </is>
      </c>
      <c r="D971" s="8" t="n">
        <v>952.1900000000001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>
        <f>IF(COUNT(D971:L971)=0,"",MIN(D971:L971))</f>
        <v/>
      </c>
      <c r="N971" s="8">
        <f>IF(COUNT(D971:L971)=0,"",MEDIAN(D971:L971))</f>
        <v/>
      </c>
      <c r="O971" s="8">
        <f>IF(COUNT(D971:L971)=0,"",MAX(D971:L971))</f>
        <v/>
      </c>
      <c r="P971" s="9">
        <f>IF(OR(M971="",M971=0),"",(O971-M971)/M971)</f>
        <v/>
      </c>
      <c r="Q971" s="7">
        <f>IF(COUNT(D971:L971)=0,"",INDEX($D$1:$L$1,MATCH(MIN(D971:L971),D971:L971,0)))</f>
        <v/>
      </c>
      <c r="R971" s="8" t="n">
        <v>952.1900000000001</v>
      </c>
      <c r="S971" s="10" t="n">
        <v>1</v>
      </c>
    </row>
    <row r="972">
      <c r="A972" s="7" t="inlineStr">
        <is>
          <t>MAT-21-022</t>
        </is>
      </c>
      <c r="B972" s="4" t="inlineStr">
        <is>
          <t>Tola galvanizada 4 x 8 pies, 44 lb</t>
        </is>
      </c>
      <c r="C972" s="7" t="inlineStr">
        <is>
          <t>plancha</t>
        </is>
      </c>
      <c r="D972" s="8" t="n">
        <v>1169.6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>
        <f>IF(COUNT(D972:L972)=0,"",MIN(D972:L972))</f>
        <v/>
      </c>
      <c r="N972" s="8">
        <f>IF(COUNT(D972:L972)=0,"",MEDIAN(D972:L972))</f>
        <v/>
      </c>
      <c r="O972" s="8">
        <f>IF(COUNT(D972:L972)=0,"",MAX(D972:L972))</f>
        <v/>
      </c>
      <c r="P972" s="9">
        <f>IF(OR(M972="",M972=0),"",(O972-M972)/M972)</f>
        <v/>
      </c>
      <c r="Q972" s="7">
        <f>IF(COUNT(D972:L972)=0,"",INDEX($D$1:$L$1,MATCH(MIN(D972:L972),D972:L972,0)))</f>
        <v/>
      </c>
      <c r="R972" s="8" t="n">
        <v>1169.6</v>
      </c>
      <c r="S972" s="10" t="n">
        <v>1</v>
      </c>
    </row>
    <row r="973">
      <c r="A973" s="7" t="inlineStr">
        <is>
          <t>MAT-21-023</t>
        </is>
      </c>
      <c r="B973" s="4" t="inlineStr">
        <is>
          <t>Tola galvanizada 4 x 8 pies, 52 lb</t>
        </is>
      </c>
      <c r="C973" s="7" t="inlineStr">
        <is>
          <t>plancha</t>
        </is>
      </c>
      <c r="D973" s="8" t="n">
        <v>1551.37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>
        <f>IF(COUNT(D973:L973)=0,"",MIN(D973:L973))</f>
        <v/>
      </c>
      <c r="N973" s="8">
        <f>IF(COUNT(D973:L973)=0,"",MEDIAN(D973:L973))</f>
        <v/>
      </c>
      <c r="O973" s="8">
        <f>IF(COUNT(D973:L973)=0,"",MAX(D973:L973))</f>
        <v/>
      </c>
      <c r="P973" s="9">
        <f>IF(OR(M973="",M973=0),"",(O973-M973)/M973)</f>
        <v/>
      </c>
      <c r="Q973" s="7">
        <f>IF(COUNT(D973:L973)=0,"",INDEX($D$1:$L$1,MATCH(MIN(D973:L973),D973:L973,0)))</f>
        <v/>
      </c>
      <c r="R973" s="8" t="n">
        <v>1551.37</v>
      </c>
      <c r="S973" s="10" t="n">
        <v>1</v>
      </c>
    </row>
    <row r="974">
      <c r="A974" s="7" t="inlineStr">
        <is>
          <t>MAT-21-024</t>
        </is>
      </c>
      <c r="B974" s="4" t="inlineStr">
        <is>
          <t>Tola galvanizada 4 x 8 pies, 83.75 lb</t>
        </is>
      </c>
      <c r="C974" s="7" t="inlineStr">
        <is>
          <t>plancha</t>
        </is>
      </c>
      <c r="D974" s="8" t="n">
        <v>2364.86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>
        <f>IF(COUNT(D974:L974)=0,"",MIN(D974:L974))</f>
        <v/>
      </c>
      <c r="N974" s="8">
        <f>IF(COUNT(D974:L974)=0,"",MEDIAN(D974:L974))</f>
        <v/>
      </c>
      <c r="O974" s="8">
        <f>IF(COUNT(D974:L974)=0,"",MAX(D974:L974))</f>
        <v/>
      </c>
      <c r="P974" s="9">
        <f>IF(OR(M974="",M974=0),"",(O974-M974)/M974)</f>
        <v/>
      </c>
      <c r="Q974" s="7">
        <f>IF(COUNT(D974:L974)=0,"",INDEX($D$1:$L$1,MATCH(MIN(D974:L974),D974:L974,0)))</f>
        <v/>
      </c>
      <c r="R974" s="8" t="n">
        <v>2364.86</v>
      </c>
      <c r="S974" s="10" t="n">
        <v>1</v>
      </c>
    </row>
    <row r="975">
      <c r="A975" s="7" t="inlineStr">
        <is>
          <t>MAT-21-025</t>
        </is>
      </c>
      <c r="B975" s="4" t="inlineStr">
        <is>
          <t>Metal desplegable plano 3/8", plancha 4 x 8 pies</t>
        </is>
      </c>
      <c r="C975" s="7" t="inlineStr">
        <is>
          <t>plancha</t>
        </is>
      </c>
      <c r="D975" s="8" t="n">
        <v>2209.05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>
        <f>IF(COUNT(D975:L975)=0,"",MIN(D975:L975))</f>
        <v/>
      </c>
      <c r="N975" s="8">
        <f>IF(COUNT(D975:L975)=0,"",MEDIAN(D975:L975))</f>
        <v/>
      </c>
      <c r="O975" s="8">
        <f>IF(COUNT(D975:L975)=0,"",MAX(D975:L975))</f>
        <v/>
      </c>
      <c r="P975" s="9">
        <f>IF(OR(M975="",M975=0),"",(O975-M975)/M975)</f>
        <v/>
      </c>
      <c r="Q975" s="7">
        <f>IF(COUNT(D975:L975)=0,"",INDEX($D$1:$L$1,MATCH(MIN(D975:L975),D975:L975,0)))</f>
        <v/>
      </c>
      <c r="R975" s="8" t="n">
        <v>2209.05</v>
      </c>
      <c r="S975" s="10" t="n">
        <v>1</v>
      </c>
    </row>
    <row r="976">
      <c r="A976" s="7" t="inlineStr">
        <is>
          <t>MAT-21-026</t>
        </is>
      </c>
      <c r="B976" s="4" t="inlineStr">
        <is>
          <t>Metal desplegable plano 1/2", plancha 4 x 8 pies</t>
        </is>
      </c>
      <c r="C976" s="7" t="inlineStr">
        <is>
          <t>plancha</t>
        </is>
      </c>
      <c r="D976" s="8" t="n">
        <v>765.55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>
        <f>IF(COUNT(D976:L976)=0,"",MIN(D976:L976))</f>
        <v/>
      </c>
      <c r="N976" s="8">
        <f>IF(COUNT(D976:L976)=0,"",MEDIAN(D976:L976))</f>
        <v/>
      </c>
      <c r="O976" s="8">
        <f>IF(COUNT(D976:L976)=0,"",MAX(D976:L976))</f>
        <v/>
      </c>
      <c r="P976" s="9">
        <f>IF(OR(M976="",M976=0),"",(O976-M976)/M976)</f>
        <v/>
      </c>
      <c r="Q976" s="7">
        <f>IF(COUNT(D976:L976)=0,"",INDEX($D$1:$L$1,MATCH(MIN(D976:L976),D976:L976,0)))</f>
        <v/>
      </c>
      <c r="R976" s="8" t="n">
        <v>765.55</v>
      </c>
      <c r="S976" s="10" t="n">
        <v>1</v>
      </c>
    </row>
    <row r="977">
      <c r="A977" s="7" t="inlineStr">
        <is>
          <t>MAT-21-027</t>
        </is>
      </c>
      <c r="B977" s="4" t="inlineStr">
        <is>
          <t>Metal desplegable plano 3/4", plancha 4 x 8 pies</t>
        </is>
      </c>
      <c r="C977" s="7" t="inlineStr">
        <is>
          <t>plancha</t>
        </is>
      </c>
      <c r="D977" s="8" t="n">
        <v>850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>
        <f>IF(COUNT(D977:L977)=0,"",MIN(D977:L977))</f>
        <v/>
      </c>
      <c r="N977" s="8">
        <f>IF(COUNT(D977:L977)=0,"",MEDIAN(D977:L977))</f>
        <v/>
      </c>
      <c r="O977" s="8">
        <f>IF(COUNT(D977:L977)=0,"",MAX(D977:L977))</f>
        <v/>
      </c>
      <c r="P977" s="9">
        <f>IF(OR(M977="",M977=0),"",(O977-M977)/M977)</f>
        <v/>
      </c>
      <c r="Q977" s="7">
        <f>IF(COUNT(D977:L977)=0,"",INDEX($D$1:$L$1,MATCH(MIN(D977:L977),D977:L977,0)))</f>
        <v/>
      </c>
      <c r="R977" s="8" t="n">
        <v>850</v>
      </c>
      <c r="S977" s="10" t="n">
        <v>1</v>
      </c>
    </row>
    <row r="978">
      <c r="A978" s="7" t="inlineStr">
        <is>
          <t>MAT-21-028</t>
        </is>
      </c>
      <c r="B978" s="4" t="inlineStr">
        <is>
          <t>Metal desplegable plano 1", plancha 4 x 8 pies</t>
        </is>
      </c>
      <c r="C978" s="7" t="inlineStr">
        <is>
          <t>plancha</t>
        </is>
      </c>
      <c r="D978" s="8" t="n">
        <v>1080.47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>
        <f>IF(COUNT(D978:L978)=0,"",MIN(D978:L978))</f>
        <v/>
      </c>
      <c r="N978" s="8">
        <f>IF(COUNT(D978:L978)=0,"",MEDIAN(D978:L978))</f>
        <v/>
      </c>
      <c r="O978" s="8">
        <f>IF(COUNT(D978:L978)=0,"",MAX(D978:L978))</f>
        <v/>
      </c>
      <c r="P978" s="9">
        <f>IF(OR(M978="",M978=0),"",(O978-M978)/M978)</f>
        <v/>
      </c>
      <c r="Q978" s="7">
        <f>IF(COUNT(D978:L978)=0,"",INDEX($D$1:$L$1,MATCH(MIN(D978:L978),D978:L978,0)))</f>
        <v/>
      </c>
      <c r="R978" s="8" t="n">
        <v>1080.47</v>
      </c>
      <c r="S978" s="10" t="n">
        <v>1</v>
      </c>
    </row>
    <row r="979">
      <c r="A979" s="7" t="inlineStr">
        <is>
          <t>MAT-21-029</t>
        </is>
      </c>
      <c r="B979" s="4" t="inlineStr">
        <is>
          <t>Metal desplegable plano 1 1/2", plancha 4 x 8 pies</t>
        </is>
      </c>
      <c r="C979" s="7" t="inlineStr">
        <is>
          <t>plancha</t>
        </is>
      </c>
      <c r="D979" s="8" t="n">
        <v>939.35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>
        <f>IF(COUNT(D979:L979)=0,"",MIN(D979:L979))</f>
        <v/>
      </c>
      <c r="N979" s="8">
        <f>IF(COUNT(D979:L979)=0,"",MEDIAN(D979:L979))</f>
        <v/>
      </c>
      <c r="O979" s="8">
        <f>IF(COUNT(D979:L979)=0,"",MAX(D979:L979))</f>
        <v/>
      </c>
      <c r="P979" s="9">
        <f>IF(OR(M979="",M979=0),"",(O979-M979)/M979)</f>
        <v/>
      </c>
      <c r="Q979" s="7">
        <f>IF(COUNT(D979:L979)=0,"",INDEX($D$1:$L$1,MATCH(MIN(D979:L979),D979:L979,0)))</f>
        <v/>
      </c>
      <c r="R979" s="8" t="n">
        <v>939.35</v>
      </c>
      <c r="S979" s="10" t="n">
        <v>1</v>
      </c>
    </row>
    <row r="980">
      <c r="A980" s="7" t="inlineStr">
        <is>
          <t>MAT-22-001</t>
        </is>
      </c>
      <c r="B980" s="4" t="inlineStr">
        <is>
          <t>Malla ciclónica calibre 9, 3 pies de alto, rollo de 50 pies</t>
        </is>
      </c>
      <c r="C980" s="7" t="inlineStr">
        <is>
          <t>rollo</t>
        </is>
      </c>
      <c r="D980" s="8" t="n">
        <v>5223.1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>
        <f>IF(COUNT(D980:L980)=0,"",MIN(D980:L980))</f>
        <v/>
      </c>
      <c r="N980" s="8">
        <f>IF(COUNT(D980:L980)=0,"",MEDIAN(D980:L980))</f>
        <v/>
      </c>
      <c r="O980" s="8">
        <f>IF(COUNT(D980:L980)=0,"",MAX(D980:L980))</f>
        <v/>
      </c>
      <c r="P980" s="9">
        <f>IF(OR(M980="",M980=0),"",(O980-M980)/M980)</f>
        <v/>
      </c>
      <c r="Q980" s="7">
        <f>IF(COUNT(D980:L980)=0,"",INDEX($D$1:$L$1,MATCH(MIN(D980:L980),D980:L980,0)))</f>
        <v/>
      </c>
      <c r="R980" s="8" t="n">
        <v>5223.1</v>
      </c>
      <c r="S980" s="10" t="n">
        <v>1</v>
      </c>
    </row>
    <row r="981">
      <c r="A981" s="7" t="inlineStr">
        <is>
          <t>MAT-22-002</t>
        </is>
      </c>
      <c r="B981" s="4" t="inlineStr">
        <is>
          <t>Malla ciclónica calibre 9, 4 pies de alto, rollo de 50 pies</t>
        </is>
      </c>
      <c r="C981" s="7" t="inlineStr">
        <is>
          <t>rollo</t>
        </is>
      </c>
      <c r="D981" s="8" t="n">
        <v>6121.98</v>
      </c>
      <c r="E981" s="8" t="n"/>
      <c r="F981" s="8" t="n"/>
      <c r="G981" s="8" t="n"/>
      <c r="H981" s="8" t="n"/>
      <c r="I981" s="8" t="n"/>
      <c r="J981" s="8" t="n"/>
      <c r="K981" s="8" t="n">
        <v>6236</v>
      </c>
      <c r="L981" s="8" t="n"/>
      <c r="M981" s="8">
        <f>IF(COUNT(D981:L981)=0,"",MIN(D981:L981))</f>
        <v/>
      </c>
      <c r="N981" s="8">
        <f>IF(COUNT(D981:L981)=0,"",MEDIAN(D981:L981))</f>
        <v/>
      </c>
      <c r="O981" s="8">
        <f>IF(COUNT(D981:L981)=0,"",MAX(D981:L981))</f>
        <v/>
      </c>
      <c r="P981" s="9">
        <f>IF(OR(M981="",M981=0),"",(O981-M981)/M981)</f>
        <v/>
      </c>
      <c r="Q981" s="7">
        <f>IF(COUNT(D981:L981)=0,"",INDEX($D$1:$L$1,MATCH(MIN(D981:L981),D981:L981,0)))</f>
        <v/>
      </c>
      <c r="R981" s="8" t="n">
        <v>6740.23</v>
      </c>
      <c r="S981" s="10" t="n">
        <v>2</v>
      </c>
    </row>
    <row r="982">
      <c r="A982" s="7" t="inlineStr">
        <is>
          <t>MAT-22-003</t>
        </is>
      </c>
      <c r="B982" s="4" t="inlineStr">
        <is>
          <t>Malla ciclónica calibre 9, 6 pies de alto, rollo de 50 pies</t>
        </is>
      </c>
      <c r="C982" s="7" t="inlineStr">
        <is>
          <t>rollo</t>
        </is>
      </c>
      <c r="D982" s="8" t="n">
        <v>9867.16</v>
      </c>
      <c r="E982" s="8" t="n"/>
      <c r="F982" s="8" t="n"/>
      <c r="G982" s="8" t="n"/>
      <c r="H982" s="8" t="n"/>
      <c r="I982" s="8" t="n"/>
      <c r="J982" s="8" t="n"/>
      <c r="K982" s="8" t="n">
        <v>9957</v>
      </c>
      <c r="L982" s="8" t="n"/>
      <c r="M982" s="8">
        <f>IF(COUNT(D982:L982)=0,"",MIN(D982:L982))</f>
        <v/>
      </c>
      <c r="N982" s="8">
        <f>IF(COUNT(D982:L982)=0,"",MEDIAN(D982:L982))</f>
        <v/>
      </c>
      <c r="O982" s="8">
        <f>IF(COUNT(D982:L982)=0,"",MAX(D982:L982))</f>
        <v/>
      </c>
      <c r="P982" s="9">
        <f>IF(OR(M982="",M982=0),"",(O982-M982)/M982)</f>
        <v/>
      </c>
      <c r="Q982" s="7">
        <f>IF(COUNT(D982:L982)=0,"",INDEX($D$1:$L$1,MATCH(MIN(D982:L982),D982:L982,0)))</f>
        <v/>
      </c>
      <c r="R982" s="8" t="n">
        <v>10808.21</v>
      </c>
      <c r="S982" s="10" t="n">
        <v>2</v>
      </c>
    </row>
    <row r="983">
      <c r="A983" s="7" t="inlineStr">
        <is>
          <t>MAT-22-004</t>
        </is>
      </c>
      <c r="B983" s="4" t="inlineStr">
        <is>
          <t>Malla ciclónica calibre 9 revestida en PVC, 6 pies de alto, rollo de 50 pies</t>
        </is>
      </c>
      <c r="C983" s="7" t="inlineStr">
        <is>
          <t>rollo</t>
        </is>
      </c>
      <c r="D983" s="8" t="n">
        <v>11757.65</v>
      </c>
      <c r="E983" s="8" t="n"/>
      <c r="F983" s="8" t="n"/>
      <c r="G983" s="8" t="n"/>
      <c r="H983" s="8" t="n"/>
      <c r="I983" s="8" t="n">
        <v>14690</v>
      </c>
      <c r="J983" s="8" t="n"/>
      <c r="K983" s="8" t="n"/>
      <c r="L983" s="8" t="n"/>
      <c r="M983" s="8">
        <f>IF(COUNT(D983:L983)=0,"",MIN(D983:L983))</f>
        <v/>
      </c>
      <c r="N983" s="8">
        <f>IF(COUNT(D983:L983)=0,"",MEDIAN(D983:L983))</f>
        <v/>
      </c>
      <c r="O983" s="8">
        <f>IF(COUNT(D983:L983)=0,"",MAX(D983:L983))</f>
        <v/>
      </c>
      <c r="P983" s="9">
        <f>IF(OR(M983="",M983=0),"",(O983-M983)/M983)</f>
        <v/>
      </c>
      <c r="Q983" s="7">
        <f>IF(COUNT(D983:L983)=0,"",INDEX($D$1:$L$1,MATCH(MIN(D983:L983),D983:L983,0)))</f>
        <v/>
      </c>
      <c r="R983" s="8" t="n">
        <v>13223.83</v>
      </c>
      <c r="S983" s="10" t="n">
        <v>2</v>
      </c>
    </row>
    <row r="984">
      <c r="A984" s="7" t="inlineStr">
        <is>
          <t>MAT-22-005</t>
        </is>
      </c>
      <c r="B984" s="4" t="inlineStr">
        <is>
          <t>Malla ciclónica calibre 9, 8 pies de alto, rollo de 50 pies</t>
        </is>
      </c>
      <c r="C984" s="7" t="inlineStr">
        <is>
          <t>rollo</t>
        </is>
      </c>
      <c r="D984" s="8" t="n">
        <v>13273.54</v>
      </c>
      <c r="E984" s="8" t="n"/>
      <c r="F984" s="8" t="n"/>
      <c r="G984" s="8" t="n"/>
      <c r="H984" s="8" t="n"/>
      <c r="I984" s="8" t="n"/>
      <c r="J984" s="8" t="n"/>
      <c r="K984" s="8" t="n">
        <v>13272</v>
      </c>
      <c r="L984" s="8" t="n"/>
      <c r="M984" s="8">
        <f>IF(COUNT(D984:L984)=0,"",MIN(D984:L984))</f>
        <v/>
      </c>
      <c r="N984" s="8">
        <f>IF(COUNT(D984:L984)=0,"",MEDIAN(D984:L984))</f>
        <v/>
      </c>
      <c r="O984" s="8">
        <f>IF(COUNT(D984:L984)=0,"",MAX(D984:L984))</f>
        <v/>
      </c>
      <c r="P984" s="9">
        <f>IF(OR(M984="",M984=0),"",(O984-M984)/M984)</f>
        <v/>
      </c>
      <c r="Q984" s="7">
        <f>IF(COUNT(D984:L984)=0,"",INDEX($D$1:$L$1,MATCH(MIN(D984:L984),D984:L984,0)))</f>
        <v/>
      </c>
      <c r="R984" s="8" t="n">
        <v>14467.25</v>
      </c>
      <c r="S984" s="10" t="n">
        <v>2</v>
      </c>
    </row>
    <row r="985">
      <c r="A985" s="7" t="inlineStr">
        <is>
          <t>MAT-22-006</t>
        </is>
      </c>
      <c r="B985" s="4" t="inlineStr">
        <is>
          <t>Tubo galvanizado para malla ciclónica 1 1/4" x 20 pies</t>
        </is>
      </c>
      <c r="C985" s="7" t="inlineStr">
        <is>
          <t>unidad</t>
        </is>
      </c>
      <c r="D985" s="8" t="n">
        <v>527.0599999999999</v>
      </c>
      <c r="E985" s="8" t="n"/>
      <c r="F985" s="8" t="n"/>
      <c r="G985" s="8" t="n"/>
      <c r="H985" s="8" t="n"/>
      <c r="I985" s="8" t="n">
        <v>730</v>
      </c>
      <c r="J985" s="8" t="n"/>
      <c r="K985" s="8" t="n">
        <v>603</v>
      </c>
      <c r="L985" s="8" t="n"/>
      <c r="M985" s="8">
        <f>IF(COUNT(D985:L985)=0,"",MIN(D985:L985))</f>
        <v/>
      </c>
      <c r="N985" s="8">
        <f>IF(COUNT(D985:L985)=0,"",MEDIAN(D985:L985))</f>
        <v/>
      </c>
      <c r="O985" s="8">
        <f>IF(COUNT(D985:L985)=0,"",MAX(D985:L985))</f>
        <v/>
      </c>
      <c r="P985" s="9">
        <f>IF(OR(M985="",M985=0),"",(O985-M985)/M985)</f>
        <v/>
      </c>
      <c r="Q985" s="7">
        <f>IF(COUNT(D985:L985)=0,"",INDEX($D$1:$L$1,MATCH(MIN(D985:L985),D985:L985,0)))</f>
        <v/>
      </c>
      <c r="R985" s="8" t="n">
        <v>711.54</v>
      </c>
      <c r="S985" s="10" t="n">
        <v>3</v>
      </c>
    </row>
    <row r="986">
      <c r="A986" s="7" t="inlineStr">
        <is>
          <t>MAT-22-007</t>
        </is>
      </c>
      <c r="B986" s="4" t="inlineStr">
        <is>
          <t>Tubo galvanizado para malla ciclónica 1 1/2" x 15 pies</t>
        </is>
      </c>
      <c r="C986" s="7" t="inlineStr">
        <is>
          <t>unidad</t>
        </is>
      </c>
      <c r="D986" s="8" t="n">
        <v>462.61</v>
      </c>
      <c r="E986" s="8" t="n"/>
      <c r="F986" s="8" t="n"/>
      <c r="G986" s="8" t="n"/>
      <c r="H986" s="8" t="n"/>
      <c r="I986" s="8" t="n">
        <v>625</v>
      </c>
      <c r="J986" s="8" t="n"/>
      <c r="K986" s="8" t="n">
        <v>460</v>
      </c>
      <c r="L986" s="8" t="n"/>
      <c r="M986" s="8">
        <f>IF(COUNT(D986:L986)=0,"",MIN(D986:L986))</f>
        <v/>
      </c>
      <c r="N986" s="8">
        <f>IF(COUNT(D986:L986)=0,"",MEDIAN(D986:L986))</f>
        <v/>
      </c>
      <c r="O986" s="8">
        <f>IF(COUNT(D986:L986)=0,"",MAX(D986:L986))</f>
        <v/>
      </c>
      <c r="P986" s="9">
        <f>IF(OR(M986="",M986=0),"",(O986-M986)/M986)</f>
        <v/>
      </c>
      <c r="Q986" s="7">
        <f>IF(COUNT(D986:L986)=0,"",INDEX($D$1:$L$1,MATCH(MIN(D986:L986),D986:L986,0)))</f>
        <v/>
      </c>
      <c r="R986" s="8" t="n">
        <v>542.8</v>
      </c>
      <c r="S986" s="10" t="n">
        <v>3</v>
      </c>
    </row>
    <row r="987">
      <c r="A987" s="7" t="inlineStr">
        <is>
          <t>MAT-22-008</t>
        </is>
      </c>
      <c r="B987" s="4" t="inlineStr">
        <is>
          <t>Tubo galvanizado para malla ciclónica 2" x 20 pies</t>
        </is>
      </c>
      <c r="C987" s="7" t="inlineStr">
        <is>
          <t>unidad</t>
        </is>
      </c>
      <c r="D987" s="8" t="n">
        <v>699.92</v>
      </c>
      <c r="E987" s="8" t="n"/>
      <c r="F987" s="8" t="n"/>
      <c r="G987" s="8" t="n"/>
      <c r="H987" s="8" t="n"/>
      <c r="I987" s="8" t="n"/>
      <c r="J987" s="8" t="n"/>
      <c r="K987" s="8" t="n">
        <v>700</v>
      </c>
      <c r="L987" s="8" t="n"/>
      <c r="M987" s="8">
        <f>IF(COUNT(D987:L987)=0,"",MIN(D987:L987))</f>
        <v/>
      </c>
      <c r="N987" s="8">
        <f>IF(COUNT(D987:L987)=0,"",MEDIAN(D987:L987))</f>
        <v/>
      </c>
      <c r="O987" s="8">
        <f>IF(COUNT(D987:L987)=0,"",MAX(D987:L987))</f>
        <v/>
      </c>
      <c r="P987" s="9">
        <f>IF(OR(M987="",M987=0),"",(O987-M987)/M987)</f>
        <v/>
      </c>
      <c r="Q987" s="7">
        <f>IF(COUNT(D987:L987)=0,"",INDEX($D$1:$L$1,MATCH(MIN(D987:L987),D987:L987,0)))</f>
        <v/>
      </c>
      <c r="R987" s="8" t="n">
        <v>762.96</v>
      </c>
      <c r="S987" s="10" t="n">
        <v>2</v>
      </c>
    </row>
    <row r="988">
      <c r="A988" s="7" t="inlineStr">
        <is>
          <t>MAT-22-009</t>
        </is>
      </c>
      <c r="B988" s="4" t="inlineStr">
        <is>
          <t>Malla ciclónica calibre 11, 3 pies de alto, rollo de 50 pies</t>
        </is>
      </c>
      <c r="C988" s="7" t="inlineStr">
        <is>
          <t>rollo</t>
        </is>
      </c>
      <c r="D988" s="8" t="n">
        <v>4335.91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>
        <f>IF(COUNT(D988:L988)=0,"",MIN(D988:L988))</f>
        <v/>
      </c>
      <c r="N988" s="8">
        <f>IF(COUNT(D988:L988)=0,"",MEDIAN(D988:L988))</f>
        <v/>
      </c>
      <c r="O988" s="8">
        <f>IF(COUNT(D988:L988)=0,"",MAX(D988:L988))</f>
        <v/>
      </c>
      <c r="P988" s="9">
        <f>IF(OR(M988="",M988=0),"",(O988-M988)/M988)</f>
        <v/>
      </c>
      <c r="Q988" s="7">
        <f>IF(COUNT(D988:L988)=0,"",INDEX($D$1:$L$1,MATCH(MIN(D988:L988),D988:L988,0)))</f>
        <v/>
      </c>
      <c r="R988" s="8" t="n">
        <v>4335.91</v>
      </c>
      <c r="S988" s="10" t="n">
        <v>1</v>
      </c>
    </row>
    <row r="989">
      <c r="A989" s="7" t="inlineStr">
        <is>
          <t>MAT-22-010</t>
        </is>
      </c>
      <c r="B989" s="4" t="inlineStr">
        <is>
          <t>Malla ciclónica calibre 11, 6 pies de alto, rollo de 50 pies</t>
        </is>
      </c>
      <c r="C989" s="7" t="inlineStr">
        <is>
          <t>rollo</t>
        </is>
      </c>
      <c r="D989" s="8" t="n">
        <v>8694.459999999999</v>
      </c>
      <c r="E989" s="8" t="n"/>
      <c r="F989" s="8" t="n"/>
      <c r="G989" s="8" t="n"/>
      <c r="H989" s="8" t="n"/>
      <c r="I989" s="8" t="n">
        <v>10250</v>
      </c>
      <c r="J989" s="8" t="n"/>
      <c r="K989" s="8" t="n">
        <v>8780</v>
      </c>
      <c r="L989" s="8" t="n"/>
      <c r="M989" s="8">
        <f>IF(COUNT(D989:L989)=0,"",MIN(D989:L989))</f>
        <v/>
      </c>
      <c r="N989" s="8">
        <f>IF(COUNT(D989:L989)=0,"",MEDIAN(D989:L989))</f>
        <v/>
      </c>
      <c r="O989" s="8">
        <f>IF(COUNT(D989:L989)=0,"",MAX(D989:L989))</f>
        <v/>
      </c>
      <c r="P989" s="9">
        <f>IF(OR(M989="",M989=0),"",(O989-M989)/M989)</f>
        <v/>
      </c>
      <c r="Q989" s="7">
        <f>IF(COUNT(D989:L989)=0,"",INDEX($D$1:$L$1,MATCH(MIN(D989:L989),D989:L989,0)))</f>
        <v/>
      </c>
      <c r="R989" s="8" t="n">
        <v>10250</v>
      </c>
      <c r="S989" s="10" t="n">
        <v>3</v>
      </c>
    </row>
    <row r="990">
      <c r="A990" s="7" t="inlineStr">
        <is>
          <t>MAT-22-011</t>
        </is>
      </c>
      <c r="B990" s="4" t="inlineStr">
        <is>
          <t>Alambre de púas 1.50 mm, rollo de 250 metros</t>
        </is>
      </c>
      <c r="C990" s="7" t="inlineStr">
        <is>
          <t>rollo</t>
        </is>
      </c>
      <c r="D990" s="8" t="n">
        <v>2601.2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>
        <f>IF(COUNT(D990:L990)=0,"",MIN(D990:L990))</f>
        <v/>
      </c>
      <c r="N990" s="8">
        <f>IF(COUNT(D990:L990)=0,"",MEDIAN(D990:L990))</f>
        <v/>
      </c>
      <c r="O990" s="8">
        <f>IF(COUNT(D990:L990)=0,"",MAX(D990:L990))</f>
        <v/>
      </c>
      <c r="P990" s="9">
        <f>IF(OR(M990="",M990=0),"",(O990-M990)/M990)</f>
        <v/>
      </c>
      <c r="Q990" s="7">
        <f>IF(COUNT(D990:L990)=0,"",INDEX($D$1:$L$1,MATCH(MIN(D990:L990),D990:L990,0)))</f>
        <v/>
      </c>
      <c r="R990" s="8" t="n">
        <v>2601.2</v>
      </c>
      <c r="S990" s="10" t="n">
        <v>1</v>
      </c>
    </row>
    <row r="991">
      <c r="A991" s="7" t="inlineStr">
        <is>
          <t>MAT-22-012</t>
        </is>
      </c>
      <c r="B991" s="4" t="inlineStr">
        <is>
          <t>Alambre de púas calibre 15, rollo de 250 metros</t>
        </is>
      </c>
      <c r="C991" s="7" t="inlineStr">
        <is>
          <t>rollo</t>
        </is>
      </c>
      <c r="D991" s="8" t="n">
        <v>2541.47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>
        <f>IF(COUNT(D991:L991)=0,"",MIN(D991:L991))</f>
        <v/>
      </c>
      <c r="N991" s="8">
        <f>IF(COUNT(D991:L991)=0,"",MEDIAN(D991:L991))</f>
        <v/>
      </c>
      <c r="O991" s="8">
        <f>IF(COUNT(D991:L991)=0,"",MAX(D991:L991))</f>
        <v/>
      </c>
      <c r="P991" s="9">
        <f>IF(OR(M991="",M991=0),"",(O991-M991)/M991)</f>
        <v/>
      </c>
      <c r="Q991" s="7">
        <f>IF(COUNT(D991:L991)=0,"",INDEX($D$1:$L$1,MATCH(MIN(D991:L991),D991:L991,0)))</f>
        <v/>
      </c>
      <c r="R991" s="8" t="n">
        <v>2541.47</v>
      </c>
      <c r="S991" s="10" t="n">
        <v>1</v>
      </c>
    </row>
    <row r="992">
      <c r="A992" s="7" t="inlineStr">
        <is>
          <t>MAT-22-013</t>
        </is>
      </c>
      <c r="B992" s="4" t="inlineStr">
        <is>
          <t>Alambre de púas calibre 16, rollo de 110 metros</t>
        </is>
      </c>
      <c r="C992" s="7" t="inlineStr">
        <is>
          <t>rollo</t>
        </is>
      </c>
      <c r="D992" s="8" t="n">
        <v>964.11</v>
      </c>
      <c r="E992" s="8" t="n"/>
      <c r="F992" s="8" t="n"/>
      <c r="G992" s="8" t="n"/>
      <c r="H992" s="8" t="n"/>
      <c r="I992" s="8" t="n">
        <v>845</v>
      </c>
      <c r="J992" s="8" t="n"/>
      <c r="K992" s="8" t="n"/>
      <c r="L992" s="8" t="n"/>
      <c r="M992" s="8">
        <f>IF(COUNT(D992:L992)=0,"",MIN(D992:L992))</f>
        <v/>
      </c>
      <c r="N992" s="8">
        <f>IF(COUNT(D992:L992)=0,"",MEDIAN(D992:L992))</f>
        <v/>
      </c>
      <c r="O992" s="8">
        <f>IF(COUNT(D992:L992)=0,"",MAX(D992:L992))</f>
        <v/>
      </c>
      <c r="P992" s="9">
        <f>IF(OR(M992="",M992=0),"",(O992-M992)/M992)</f>
        <v/>
      </c>
      <c r="Q992" s="7">
        <f>IF(COUNT(D992:L992)=0,"",INDEX($D$1:$L$1,MATCH(MIN(D992:L992),D992:L992,0)))</f>
        <v/>
      </c>
      <c r="R992" s="8" t="n">
        <v>904.5599999999999</v>
      </c>
      <c r="S992" s="10" t="n">
        <v>2</v>
      </c>
    </row>
    <row r="993">
      <c r="A993" s="7" t="inlineStr">
        <is>
          <t>MAT-22-014</t>
        </is>
      </c>
      <c r="B993" s="4" t="inlineStr">
        <is>
          <t>Alambre de púas calibre 16, rollo de 250 metros</t>
        </is>
      </c>
      <c r="C993" s="7" t="inlineStr">
        <is>
          <t>rollo</t>
        </is>
      </c>
      <c r="D993" s="8" t="n">
        <v>2108.46</v>
      </c>
      <c r="E993" s="8" t="n"/>
      <c r="F993" s="8" t="n">
        <v>2663</v>
      </c>
      <c r="G993" s="8" t="n"/>
      <c r="H993" s="8" t="n"/>
      <c r="I993" s="8" t="n">
        <v>1885</v>
      </c>
      <c r="J993" s="8" t="n">
        <v>2390.01</v>
      </c>
      <c r="K993" s="8" t="n"/>
      <c r="L993" s="8" t="n"/>
      <c r="M993" s="8">
        <f>IF(COUNT(D993:L993)=0,"",MIN(D993:L993))</f>
        <v/>
      </c>
      <c r="N993" s="8">
        <f>IF(COUNT(D993:L993)=0,"",MEDIAN(D993:L993))</f>
        <v/>
      </c>
      <c r="O993" s="8">
        <f>IF(COUNT(D993:L993)=0,"",MAX(D993:L993))</f>
        <v/>
      </c>
      <c r="P993" s="9">
        <f>IF(OR(M993="",M993=0),"",(O993-M993)/M993)</f>
        <v/>
      </c>
      <c r="Q993" s="7">
        <f>IF(COUNT(D993:L993)=0,"",INDEX($D$1:$L$1,MATCH(MIN(D993:L993),D993:L993,0)))</f>
        <v/>
      </c>
      <c r="R993" s="8" t="n">
        <v>2696.5</v>
      </c>
      <c r="S993" s="10" t="n">
        <v>4</v>
      </c>
    </row>
    <row r="994">
      <c r="A994" s="7" t="inlineStr">
        <is>
          <t>MAT-22-015</t>
        </is>
      </c>
      <c r="B994" s="4" t="inlineStr">
        <is>
          <t>Alambre de púas calibre 17, rollo de 250 metros</t>
        </is>
      </c>
      <c r="C994" s="7" t="inlineStr">
        <is>
          <t>rollo</t>
        </is>
      </c>
      <c r="D994" s="8" t="n">
        <v>1933.36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>
        <f>IF(COUNT(D994:L994)=0,"",MIN(D994:L994))</f>
        <v/>
      </c>
      <c r="N994" s="8">
        <f>IF(COUNT(D994:L994)=0,"",MEDIAN(D994:L994))</f>
        <v/>
      </c>
      <c r="O994" s="8">
        <f>IF(COUNT(D994:L994)=0,"",MAX(D994:L994))</f>
        <v/>
      </c>
      <c r="P994" s="9">
        <f>IF(OR(M994="",M994=0),"",(O994-M994)/M994)</f>
        <v/>
      </c>
      <c r="Q994" s="7">
        <f>IF(COUNT(D994:L994)=0,"",INDEX($D$1:$L$1,MATCH(MIN(D994:L994),D994:L994,0)))</f>
        <v/>
      </c>
      <c r="R994" s="8" t="n">
        <v>1933.36</v>
      </c>
      <c r="S994" s="10" t="n">
        <v>1</v>
      </c>
    </row>
    <row r="995">
      <c r="A995" s="7" t="inlineStr">
        <is>
          <t>MAT-22-016</t>
        </is>
      </c>
      <c r="B995" s="4" t="inlineStr">
        <is>
          <t>Tela metálica calibre 16, retícula 1" x 2", 4 pies de alto</t>
        </is>
      </c>
      <c r="C995" s="7" t="inlineStr">
        <is>
          <t>yarda</t>
        </is>
      </c>
      <c r="D995" s="8" t="n">
        <v>113.78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>
        <f>IF(COUNT(D995:L995)=0,"",MIN(D995:L995))</f>
        <v/>
      </c>
      <c r="N995" s="8">
        <f>IF(COUNT(D995:L995)=0,"",MEDIAN(D995:L995))</f>
        <v/>
      </c>
      <c r="O995" s="8">
        <f>IF(COUNT(D995:L995)=0,"",MAX(D995:L995))</f>
        <v/>
      </c>
      <c r="P995" s="9">
        <f>IF(OR(M995="",M995=0),"",(O995-M995)/M995)</f>
        <v/>
      </c>
      <c r="Q995" s="7">
        <f>IF(COUNT(D995:L995)=0,"",INDEX($D$1:$L$1,MATCH(MIN(D995:L995),D995:L995,0)))</f>
        <v/>
      </c>
      <c r="R995" s="8" t="n">
        <v>113.78</v>
      </c>
      <c r="S995" s="10" t="n">
        <v>1</v>
      </c>
    </row>
    <row r="996">
      <c r="A996" s="7" t="inlineStr">
        <is>
          <t>MAT-22-017</t>
        </is>
      </c>
      <c r="B996" s="4" t="inlineStr">
        <is>
          <t>Tela metálica calibre 18, retícula 1/2" x 1/2", 4 pies de alto</t>
        </is>
      </c>
      <c r="C996" s="7" t="inlineStr">
        <is>
          <t>yarda</t>
        </is>
      </c>
      <c r="D996" s="8" t="n">
        <v>192.26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>
        <f>IF(COUNT(D996:L996)=0,"",MIN(D996:L996))</f>
        <v/>
      </c>
      <c r="N996" s="8">
        <f>IF(COUNT(D996:L996)=0,"",MEDIAN(D996:L996))</f>
        <v/>
      </c>
      <c r="O996" s="8">
        <f>IF(COUNT(D996:L996)=0,"",MAX(D996:L996))</f>
        <v/>
      </c>
      <c r="P996" s="9">
        <f>IF(OR(M996="",M996=0),"",(O996-M996)/M996)</f>
        <v/>
      </c>
      <c r="Q996" s="7">
        <f>IF(COUNT(D996:L996)=0,"",INDEX($D$1:$L$1,MATCH(MIN(D996:L996),D996:L996,0)))</f>
        <v/>
      </c>
      <c r="R996" s="8" t="n">
        <v>192.26</v>
      </c>
      <c r="S996" s="10" t="n">
        <v>1</v>
      </c>
    </row>
    <row r="997">
      <c r="A997" s="7" t="inlineStr">
        <is>
          <t>MAT-22-018</t>
        </is>
      </c>
      <c r="B997" s="4" t="inlineStr">
        <is>
          <t>Tela metálica calibre 18, retícula 1" x 1/2", 3 pies de alto</t>
        </is>
      </c>
      <c r="C997" s="7" t="inlineStr">
        <is>
          <t>yarda</t>
        </is>
      </c>
      <c r="D997" s="8" t="n">
        <v>106.11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>
        <f>IF(COUNT(D997:L997)=0,"",MIN(D997:L997))</f>
        <v/>
      </c>
      <c r="N997" s="8">
        <f>IF(COUNT(D997:L997)=0,"",MEDIAN(D997:L997))</f>
        <v/>
      </c>
      <c r="O997" s="8">
        <f>IF(COUNT(D997:L997)=0,"",MAX(D997:L997))</f>
        <v/>
      </c>
      <c r="P997" s="9">
        <f>IF(OR(M997="",M997=0),"",(O997-M997)/M997)</f>
        <v/>
      </c>
      <c r="Q997" s="7">
        <f>IF(COUNT(D997:L997)=0,"",INDEX($D$1:$L$1,MATCH(MIN(D997:L997),D997:L997,0)))</f>
        <v/>
      </c>
      <c r="R997" s="8" t="n">
        <v>106.11</v>
      </c>
      <c r="S997" s="10" t="n">
        <v>1</v>
      </c>
    </row>
    <row r="998">
      <c r="A998" s="7" t="inlineStr">
        <is>
          <t>MAT-22-019</t>
        </is>
      </c>
      <c r="B998" s="4" t="inlineStr">
        <is>
          <t>Tela metálica calibre 18, retícula 1" x 1/2", 4 pies de alto</t>
        </is>
      </c>
      <c r="C998" s="7" t="inlineStr">
        <is>
          <t>yarda</t>
        </is>
      </c>
      <c r="D998" s="8" t="n">
        <v>145.1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>
        <f>IF(COUNT(D998:L998)=0,"",MIN(D998:L998))</f>
        <v/>
      </c>
      <c r="N998" s="8">
        <f>IF(COUNT(D998:L998)=0,"",MEDIAN(D998:L998))</f>
        <v/>
      </c>
      <c r="O998" s="8">
        <f>IF(COUNT(D998:L998)=0,"",MAX(D998:L998))</f>
        <v/>
      </c>
      <c r="P998" s="9">
        <f>IF(OR(M998="",M998=0),"",(O998-M998)/M998)</f>
        <v/>
      </c>
      <c r="Q998" s="7">
        <f>IF(COUNT(D998:L998)=0,"",INDEX($D$1:$L$1,MATCH(MIN(D998:L998),D998:L998,0)))</f>
        <v/>
      </c>
      <c r="R998" s="8" t="n">
        <v>145.1</v>
      </c>
      <c r="S998" s="10" t="n">
        <v>1</v>
      </c>
    </row>
    <row r="999">
      <c r="A999" s="7" t="inlineStr">
        <is>
          <t>MAT-22-020</t>
        </is>
      </c>
      <c r="B999" s="4" t="inlineStr">
        <is>
          <t>Tela metálica calibre 20, retícula 1" x 2", 3 pies de alto</t>
        </is>
      </c>
      <c r="C999" s="7" t="inlineStr">
        <is>
          <t>yarda</t>
        </is>
      </c>
      <c r="D999" s="8" t="n">
        <v>37.54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>
        <f>IF(COUNT(D999:L999)=0,"",MIN(D999:L999))</f>
        <v/>
      </c>
      <c r="N999" s="8">
        <f>IF(COUNT(D999:L999)=0,"",MEDIAN(D999:L999))</f>
        <v/>
      </c>
      <c r="O999" s="8">
        <f>IF(COUNT(D999:L999)=0,"",MAX(D999:L999))</f>
        <v/>
      </c>
      <c r="P999" s="9">
        <f>IF(OR(M999="",M999=0),"",(O999-M999)/M999)</f>
        <v/>
      </c>
      <c r="Q999" s="7">
        <f>IF(COUNT(D999:L999)=0,"",INDEX($D$1:$L$1,MATCH(MIN(D999:L999),D999:L999,0)))</f>
        <v/>
      </c>
      <c r="R999" s="8" t="n">
        <v>37.54</v>
      </c>
      <c r="S999" s="10" t="n">
        <v>1</v>
      </c>
    </row>
    <row r="1000">
      <c r="A1000" s="7" t="inlineStr">
        <is>
          <t>MAT-22-021</t>
        </is>
      </c>
      <c r="B1000" s="4" t="inlineStr">
        <is>
          <t>Tela metálica calibre 21, retícula 3/8" x 3/8", 3 pies de alto</t>
        </is>
      </c>
      <c r="C1000" s="7" t="inlineStr">
        <is>
          <t>yarda</t>
        </is>
      </c>
      <c r="D1000" s="8" t="n">
        <v>72.61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>
        <f>IF(COUNT(D1000:L1000)=0,"",MIN(D1000:L1000))</f>
        <v/>
      </c>
      <c r="N1000" s="8">
        <f>IF(COUNT(D1000:L1000)=0,"",MEDIAN(D1000:L1000))</f>
        <v/>
      </c>
      <c r="O1000" s="8">
        <f>IF(COUNT(D1000:L1000)=0,"",MAX(D1000:L1000))</f>
        <v/>
      </c>
      <c r="P1000" s="9">
        <f>IF(OR(M1000="",M1000=0),"",(O1000-M1000)/M1000)</f>
        <v/>
      </c>
      <c r="Q1000" s="7">
        <f>IF(COUNT(D1000:L1000)=0,"",INDEX($D$1:$L$1,MATCH(MIN(D1000:L1000),D1000:L1000,0)))</f>
        <v/>
      </c>
      <c r="R1000" s="8" t="n">
        <v>72.61</v>
      </c>
      <c r="S1000" s="10" t="n">
        <v>1</v>
      </c>
    </row>
    <row r="1001">
      <c r="A1001" s="7" t="inlineStr">
        <is>
          <t>MAT-22-022</t>
        </is>
      </c>
      <c r="B1001" s="4" t="inlineStr">
        <is>
          <t>Tela para gallinero calibre 19, 3 pies de alto</t>
        </is>
      </c>
      <c r="C1001" s="7" t="inlineStr">
        <is>
          <t>yarda</t>
        </is>
      </c>
      <c r="D1001" s="8" t="n">
        <v>54.04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>
        <f>IF(COUNT(D1001:L1001)=0,"",MIN(D1001:L1001))</f>
        <v/>
      </c>
      <c r="N1001" s="8">
        <f>IF(COUNT(D1001:L1001)=0,"",MEDIAN(D1001:L1001))</f>
        <v/>
      </c>
      <c r="O1001" s="8">
        <f>IF(COUNT(D1001:L1001)=0,"",MAX(D1001:L1001))</f>
        <v/>
      </c>
      <c r="P1001" s="9">
        <f>IF(OR(M1001="",M1001=0),"",(O1001-M1001)/M1001)</f>
        <v/>
      </c>
      <c r="Q1001" s="7">
        <f>IF(COUNT(D1001:L1001)=0,"",INDEX($D$1:$L$1,MATCH(MIN(D1001:L1001),D1001:L1001,0)))</f>
        <v/>
      </c>
      <c r="R1001" s="8" t="n">
        <v>54.04</v>
      </c>
      <c r="S1001" s="10" t="n">
        <v>1</v>
      </c>
    </row>
    <row r="1002">
      <c r="A1002" s="7" t="inlineStr">
        <is>
          <t>MAT-22-023</t>
        </is>
      </c>
      <c r="B1002" s="4" t="inlineStr">
        <is>
          <t>Tela para gallinero calibre 20, 3 pies de alto</t>
        </is>
      </c>
      <c r="C1002" s="7" t="inlineStr">
        <is>
          <t>yarda</t>
        </is>
      </c>
      <c r="D1002" s="8" t="n">
        <v>46.53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>
        <f>IF(COUNT(D1002:L1002)=0,"",MIN(D1002:L1002))</f>
        <v/>
      </c>
      <c r="N1002" s="8">
        <f>IF(COUNT(D1002:L1002)=0,"",MEDIAN(D1002:L1002))</f>
        <v/>
      </c>
      <c r="O1002" s="8">
        <f>IF(COUNT(D1002:L1002)=0,"",MAX(D1002:L1002))</f>
        <v/>
      </c>
      <c r="P1002" s="9">
        <f>IF(OR(M1002="",M1002=0),"",(O1002-M1002)/M1002)</f>
        <v/>
      </c>
      <c r="Q1002" s="7">
        <f>IF(COUNT(D1002:L1002)=0,"",INDEX($D$1:$L$1,MATCH(MIN(D1002:L1002),D1002:L1002,0)))</f>
        <v/>
      </c>
      <c r="R1002" s="8" t="n">
        <v>46.53</v>
      </c>
      <c r="S1002" s="10" t="n">
        <v>1</v>
      </c>
    </row>
    <row r="1003">
      <c r="A1003" s="7" t="inlineStr">
        <is>
          <t>MAT-22-024</t>
        </is>
      </c>
      <c r="B1003" s="4" t="inlineStr">
        <is>
          <t>Alambre de trinchera, 45 Mts</t>
        </is>
      </c>
      <c r="C1003" s="7" t="inlineStr">
        <is>
          <t>rollo</t>
        </is>
      </c>
      <c r="D1003" s="8" t="n"/>
      <c r="E1003" s="8" t="n"/>
      <c r="F1003" s="8" t="n"/>
      <c r="G1003" s="8" t="n"/>
      <c r="H1003" s="8" t="n"/>
      <c r="I1003" s="8" t="n">
        <v>595</v>
      </c>
      <c r="J1003" s="8" t="n"/>
      <c r="K1003" s="8" t="n"/>
      <c r="L1003" s="8" t="n"/>
      <c r="M1003" s="8">
        <f>IF(COUNT(D1003:L1003)=0,"",MIN(D1003:L1003))</f>
        <v/>
      </c>
      <c r="N1003" s="8">
        <f>IF(COUNT(D1003:L1003)=0,"",MEDIAN(D1003:L1003))</f>
        <v/>
      </c>
      <c r="O1003" s="8">
        <f>IF(COUNT(D1003:L1003)=0,"",MAX(D1003:L1003))</f>
        <v/>
      </c>
      <c r="P1003" s="9">
        <f>IF(OR(M1003="",M1003=0),"",(O1003-M1003)/M1003)</f>
        <v/>
      </c>
      <c r="Q1003" s="7">
        <f>IF(COUNT(D1003:L1003)=0,"",INDEX($D$1:$L$1,MATCH(MIN(D1003:L1003),D1003:L1003,0)))</f>
        <v/>
      </c>
      <c r="R1003" s="8" t="n">
        <v>595</v>
      </c>
      <c r="S1003" s="10" t="n">
        <v>1</v>
      </c>
    </row>
    <row r="1004">
      <c r="A1004" s="7" t="inlineStr">
        <is>
          <t>MAT-22-025</t>
        </is>
      </c>
      <c r="B1004" s="4" t="inlineStr">
        <is>
          <t>Protección de verja, 1mt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>
        <v>985</v>
      </c>
      <c r="J1004" s="8" t="n"/>
      <c r="K1004" s="8" t="n"/>
      <c r="L1004" s="8" t="n"/>
      <c r="M1004" s="8">
        <f>IF(COUNT(D1004:L1004)=0,"",MIN(D1004:L1004))</f>
        <v/>
      </c>
      <c r="N1004" s="8">
        <f>IF(COUNT(D1004:L1004)=0,"",MEDIAN(D1004:L1004))</f>
        <v/>
      </c>
      <c r="O1004" s="8">
        <f>IF(COUNT(D1004:L1004)=0,"",MAX(D1004:L1004))</f>
        <v/>
      </c>
      <c r="P1004" s="9">
        <f>IF(OR(M1004="",M1004=0),"",(O1004-M1004)/M1004)</f>
        <v/>
      </c>
      <c r="Q1004" s="7">
        <f>IF(COUNT(D1004:L1004)=0,"",INDEX($D$1:$L$1,MATCH(MIN(D1004:L1004),D1004:L1004,0)))</f>
        <v/>
      </c>
      <c r="R1004" s="8" t="n">
        <v>990</v>
      </c>
      <c r="S1004" s="10" t="n">
        <v>1</v>
      </c>
    </row>
    <row r="1005">
      <c r="A1005" s="7" t="inlineStr">
        <is>
          <t>MAT-22-026</t>
        </is>
      </c>
      <c r="B1005" s="4" t="inlineStr">
        <is>
          <t>Abrazadera corta para malla ciclónica 1 1/4"</t>
        </is>
      </c>
      <c r="C1005" s="7" t="inlineStr">
        <is>
          <t>unidad</t>
        </is>
      </c>
      <c r="D1005" s="8" t="n">
        <v>16.91</v>
      </c>
      <c r="E1005" s="8" t="n"/>
      <c r="F1005" s="8" t="n"/>
      <c r="G1005" s="8" t="n"/>
      <c r="H1005" s="8" t="n"/>
      <c r="I1005" s="8" t="n"/>
      <c r="J1005" s="8" t="n"/>
      <c r="K1005" s="8" t="n">
        <v>34</v>
      </c>
      <c r="L1005" s="8" t="n"/>
      <c r="M1005" s="8">
        <f>IF(COUNT(D1005:L1005)=0,"",MIN(D1005:L1005))</f>
        <v/>
      </c>
      <c r="N1005" s="8">
        <f>IF(COUNT(D1005:L1005)=0,"",MEDIAN(D1005:L1005))</f>
        <v/>
      </c>
      <c r="O1005" s="8">
        <f>IF(COUNT(D1005:L1005)=0,"",MAX(D1005:L1005))</f>
        <v/>
      </c>
      <c r="P1005" s="9">
        <f>IF(OR(M1005="",M1005=0),"",(O1005-M1005)/M1005)</f>
        <v/>
      </c>
      <c r="Q1005" s="7">
        <f>IF(COUNT(D1005:L1005)=0,"",INDEX($D$1:$L$1,MATCH(MIN(D1005:L1005),D1005:L1005,0)))</f>
        <v/>
      </c>
      <c r="R1005" s="8" t="n">
        <v>28.52</v>
      </c>
      <c r="S1005" s="10" t="n">
        <v>2</v>
      </c>
    </row>
    <row r="1006">
      <c r="A1006" s="7" t="inlineStr">
        <is>
          <t>MAT-22-027</t>
        </is>
      </c>
      <c r="B1006" s="4" t="inlineStr">
        <is>
          <t>Copa pasante para malla ciclónica 1 1/4" x 1 1/2"</t>
        </is>
      </c>
      <c r="C1006" s="7" t="inlineStr">
        <is>
          <t>unidad</t>
        </is>
      </c>
      <c r="D1006" s="8" t="n">
        <v>76.66</v>
      </c>
      <c r="E1006" s="8" t="n"/>
      <c r="F1006" s="8" t="n"/>
      <c r="G1006" s="8" t="n"/>
      <c r="H1006" s="8" t="n"/>
      <c r="I1006" s="8" t="n">
        <v>98</v>
      </c>
      <c r="J1006" s="8" t="n"/>
      <c r="K1006" s="8" t="n">
        <v>115.6</v>
      </c>
      <c r="L1006" s="8" t="n"/>
      <c r="M1006" s="8">
        <f>IF(COUNT(D1006:L1006)=0,"",MIN(D1006:L1006))</f>
        <v/>
      </c>
      <c r="N1006" s="8">
        <f>IF(COUNT(D1006:L1006)=0,"",MEDIAN(D1006:L1006))</f>
        <v/>
      </c>
      <c r="O1006" s="8">
        <f>IF(COUNT(D1006:L1006)=0,"",MAX(D1006:L1006))</f>
        <v/>
      </c>
      <c r="P1006" s="9">
        <f>IF(OR(M1006="",M1006=0),"",(O1006-M1006)/M1006)</f>
        <v/>
      </c>
      <c r="Q1006" s="7">
        <f>IF(COUNT(D1006:L1006)=0,"",INDEX($D$1:$L$1,MATCH(MIN(D1006:L1006),D1006:L1006,0)))</f>
        <v/>
      </c>
      <c r="R1006" s="8" t="n">
        <v>98</v>
      </c>
      <c r="S1006" s="10" t="n">
        <v>3</v>
      </c>
    </row>
    <row r="1007">
      <c r="A1007" s="7" t="inlineStr">
        <is>
          <t>MAT-22-028</t>
        </is>
      </c>
      <c r="B1007" s="4" t="inlineStr">
        <is>
          <t>Copa tensora para malla ciclónica 1 1/4"</t>
        </is>
      </c>
      <c r="C1007" s="7" t="inlineStr">
        <is>
          <t>unidad</t>
        </is>
      </c>
      <c r="D1007" s="8" t="n">
        <v>55.61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>
        <f>IF(COUNT(D1007:L1007)=0,"",MIN(D1007:L1007))</f>
        <v/>
      </c>
      <c r="N1007" s="8">
        <f>IF(COUNT(D1007:L1007)=0,"",MEDIAN(D1007:L1007))</f>
        <v/>
      </c>
      <c r="O1007" s="8">
        <f>IF(COUNT(D1007:L1007)=0,"",MAX(D1007:L1007))</f>
        <v/>
      </c>
      <c r="P1007" s="9">
        <f>IF(OR(M1007="",M1007=0),"",(O1007-M1007)/M1007)</f>
        <v/>
      </c>
      <c r="Q1007" s="7">
        <f>IF(COUNT(D1007:L1007)=0,"",INDEX($D$1:$L$1,MATCH(MIN(D1007:L1007),D1007:L1007,0)))</f>
        <v/>
      </c>
      <c r="R1007" s="8" t="n">
        <v>55.61</v>
      </c>
      <c r="S1007" s="10" t="n">
        <v>1</v>
      </c>
    </row>
    <row r="1008">
      <c r="A1008" s="7" t="inlineStr">
        <is>
          <t>MAT-22-029</t>
        </is>
      </c>
      <c r="B1008" s="4" t="inlineStr">
        <is>
          <t>Copa terminal para malla ciclónica 1 1/4"</t>
        </is>
      </c>
      <c r="C1008" s="7" t="inlineStr">
        <is>
          <t>unidad</t>
        </is>
      </c>
      <c r="D1008" s="8" t="n">
        <v>36.96</v>
      </c>
      <c r="E1008" s="8" t="n"/>
      <c r="F1008" s="8" t="n"/>
      <c r="G1008" s="8" t="n"/>
      <c r="H1008" s="8" t="n"/>
      <c r="I1008" s="8" t="n"/>
      <c r="J1008" s="8" t="n"/>
      <c r="K1008" s="8" t="n">
        <v>81.59999999999999</v>
      </c>
      <c r="L1008" s="8" t="n"/>
      <c r="M1008" s="8">
        <f>IF(COUNT(D1008:L1008)=0,"",MIN(D1008:L1008))</f>
        <v/>
      </c>
      <c r="N1008" s="8">
        <f>IF(COUNT(D1008:L1008)=0,"",MEDIAN(D1008:L1008))</f>
        <v/>
      </c>
      <c r="O1008" s="8">
        <f>IF(COUNT(D1008:L1008)=0,"",MAX(D1008:L1008))</f>
        <v/>
      </c>
      <c r="P1008" s="9">
        <f>IF(OR(M1008="",M1008=0),"",(O1008-M1008)/M1008)</f>
        <v/>
      </c>
      <c r="Q1008" s="7">
        <f>IF(COUNT(D1008:L1008)=0,"",INDEX($D$1:$L$1,MATCH(MIN(D1008:L1008),D1008:L1008,0)))</f>
        <v/>
      </c>
      <c r="R1008" s="8" t="n">
        <v>66.62</v>
      </c>
      <c r="S1008" s="10" t="n">
        <v>2</v>
      </c>
    </row>
    <row r="1009">
      <c r="A1009" s="7" t="inlineStr">
        <is>
          <t>MAT-22-030</t>
        </is>
      </c>
      <c r="B1009" s="4" t="inlineStr">
        <is>
          <t>Unión reforzada para malla ciclónica 1 1/4"</t>
        </is>
      </c>
      <c r="C1009" s="7" t="inlineStr">
        <is>
          <t>unidad</t>
        </is>
      </c>
      <c r="D1009" s="8" t="n">
        <v>60.03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>
        <f>IF(COUNT(D1009:L1009)=0,"",MIN(D1009:L1009))</f>
        <v/>
      </c>
      <c r="N1009" s="8">
        <f>IF(COUNT(D1009:L1009)=0,"",MEDIAN(D1009:L1009))</f>
        <v/>
      </c>
      <c r="O1009" s="8">
        <f>IF(COUNT(D1009:L1009)=0,"",MAX(D1009:L1009))</f>
        <v/>
      </c>
      <c r="P1009" s="9">
        <f>IF(OR(M1009="",M1009=0),"",(O1009-M1009)/M1009)</f>
        <v/>
      </c>
      <c r="Q1009" s="7">
        <f>IF(COUNT(D1009:L1009)=0,"",INDEX($D$1:$L$1,MATCH(MIN(D1009:L1009),D1009:L1009,0)))</f>
        <v/>
      </c>
      <c r="R1009" s="8" t="n">
        <v>60.03</v>
      </c>
      <c r="S1009" s="10" t="n">
        <v>1</v>
      </c>
    </row>
    <row r="1010">
      <c r="A1010" s="7" t="inlineStr">
        <is>
          <t>MAT-22-031</t>
        </is>
      </c>
      <c r="B1010" s="4" t="inlineStr">
        <is>
          <t>Abrazadera corta para malla ciclónica 1 1/2"</t>
        </is>
      </c>
      <c r="C1010" s="7" t="inlineStr">
        <is>
          <t>unidad</t>
        </is>
      </c>
      <c r="D1010" s="8" t="n">
        <v>19.14</v>
      </c>
      <c r="E1010" s="8" t="n"/>
      <c r="F1010" s="8" t="n"/>
      <c r="G1010" s="8" t="n"/>
      <c r="H1010" s="8" t="n"/>
      <c r="I1010" s="8" t="n"/>
      <c r="J1010" s="8" t="n"/>
      <c r="K1010" s="8" t="n">
        <v>25.57</v>
      </c>
      <c r="L1010" s="8" t="n"/>
      <c r="M1010" s="8">
        <f>IF(COUNT(D1010:L1010)=0,"",MIN(D1010:L1010))</f>
        <v/>
      </c>
      <c r="N1010" s="8">
        <f>IF(COUNT(D1010:L1010)=0,"",MEDIAN(D1010:L1010))</f>
        <v/>
      </c>
      <c r="O1010" s="8">
        <f>IF(COUNT(D1010:L1010)=0,"",MAX(D1010:L1010))</f>
        <v/>
      </c>
      <c r="P1010" s="9">
        <f>IF(OR(M1010="",M1010=0),"",(O1010-M1010)/M1010)</f>
        <v/>
      </c>
      <c r="Q1010" s="7">
        <f>IF(COUNT(D1010:L1010)=0,"",INDEX($D$1:$L$1,MATCH(MIN(D1010:L1010),D1010:L1010,0)))</f>
        <v/>
      </c>
      <c r="R1010" s="8" t="n">
        <v>24.66</v>
      </c>
      <c r="S1010" s="10" t="n">
        <v>2</v>
      </c>
    </row>
    <row r="1011">
      <c r="A1011" s="7" t="inlineStr">
        <is>
          <t>MAT-22-032</t>
        </is>
      </c>
      <c r="B1011" s="4" t="inlineStr">
        <is>
          <t>Abrazadera larga para malla ciclónica 1 1/2"</t>
        </is>
      </c>
      <c r="C1011" s="7" t="inlineStr">
        <is>
          <t>unidad</t>
        </is>
      </c>
      <c r="D1011" s="8" t="n">
        <v>28.77</v>
      </c>
      <c r="E1011" s="8" t="n"/>
      <c r="F1011" s="8" t="n"/>
      <c r="G1011" s="8" t="n"/>
      <c r="H1011" s="8" t="n"/>
      <c r="I1011" s="8" t="n">
        <v>46</v>
      </c>
      <c r="J1011" s="8" t="n"/>
      <c r="K1011" s="8" t="n">
        <v>33.82</v>
      </c>
      <c r="L1011" s="8" t="n"/>
      <c r="M1011" s="8">
        <f>IF(COUNT(D1011:L1011)=0,"",MIN(D1011:L1011))</f>
        <v/>
      </c>
      <c r="N1011" s="8">
        <f>IF(COUNT(D1011:L1011)=0,"",MEDIAN(D1011:L1011))</f>
        <v/>
      </c>
      <c r="O1011" s="8">
        <f>IF(COUNT(D1011:L1011)=0,"",MAX(D1011:L1011))</f>
        <v/>
      </c>
      <c r="P1011" s="9">
        <f>IF(OR(M1011="",M1011=0),"",(O1011-M1011)/M1011)</f>
        <v/>
      </c>
      <c r="Q1011" s="7">
        <f>IF(COUNT(D1011:L1011)=0,"",INDEX($D$1:$L$1,MATCH(MIN(D1011:L1011),D1011:L1011,0)))</f>
        <v/>
      </c>
      <c r="R1011" s="8" t="n">
        <v>39.91</v>
      </c>
      <c r="S1011" s="10" t="n">
        <v>3</v>
      </c>
    </row>
    <row r="1012">
      <c r="A1012" s="7" t="inlineStr">
        <is>
          <t>MAT-22-033</t>
        </is>
      </c>
      <c r="B1012" s="4" t="inlineStr">
        <is>
          <t>Brazo doble para malla ciclónica 1 1/2" x 1 1/4"</t>
        </is>
      </c>
      <c r="C1012" s="7" t="inlineStr">
        <is>
          <t>unidad</t>
        </is>
      </c>
      <c r="D1012" s="8" t="n">
        <v>187.9</v>
      </c>
      <c r="E1012" s="8" t="n"/>
      <c r="F1012" s="8" t="n"/>
      <c r="G1012" s="8" t="n"/>
      <c r="H1012" s="8" t="n"/>
      <c r="I1012" s="8" t="n">
        <v>277</v>
      </c>
      <c r="J1012" s="8" t="n"/>
      <c r="K1012" s="8" t="n">
        <v>286</v>
      </c>
      <c r="L1012" s="8" t="n"/>
      <c r="M1012" s="8">
        <f>IF(COUNT(D1012:L1012)=0,"",MIN(D1012:L1012))</f>
        <v/>
      </c>
      <c r="N1012" s="8">
        <f>IF(COUNT(D1012:L1012)=0,"",MEDIAN(D1012:L1012))</f>
        <v/>
      </c>
      <c r="O1012" s="8">
        <f>IF(COUNT(D1012:L1012)=0,"",MAX(D1012:L1012))</f>
        <v/>
      </c>
      <c r="P1012" s="9">
        <f>IF(OR(M1012="",M1012=0),"",(O1012-M1012)/M1012)</f>
        <v/>
      </c>
      <c r="Q1012" s="7">
        <f>IF(COUNT(D1012:L1012)=0,"",INDEX($D$1:$L$1,MATCH(MIN(D1012:L1012),D1012:L1012,0)))</f>
        <v/>
      </c>
      <c r="R1012" s="8" t="n">
        <v>277</v>
      </c>
      <c r="S1012" s="10" t="n">
        <v>3</v>
      </c>
    </row>
    <row r="1013">
      <c r="A1013" s="7" t="inlineStr">
        <is>
          <t>MAT-22-034</t>
        </is>
      </c>
      <c r="B1013" s="4" t="inlineStr">
        <is>
          <t>Brazo sencillo para malla ciclónica 1 1/2" x 1 1/4"</t>
        </is>
      </c>
      <c r="C1013" s="7" t="inlineStr">
        <is>
          <t>unidad</t>
        </is>
      </c>
      <c r="D1013" s="8" t="n">
        <v>124.76</v>
      </c>
      <c r="E1013" s="8" t="n"/>
      <c r="F1013" s="8" t="n"/>
      <c r="G1013" s="8" t="n"/>
      <c r="H1013" s="8" t="n"/>
      <c r="I1013" s="8" t="n">
        <v>168</v>
      </c>
      <c r="J1013" s="8" t="n"/>
      <c r="K1013" s="8" t="n">
        <v>218</v>
      </c>
      <c r="L1013" s="8" t="n"/>
      <c r="M1013" s="8">
        <f>IF(COUNT(D1013:L1013)=0,"",MIN(D1013:L1013))</f>
        <v/>
      </c>
      <c r="N1013" s="8">
        <f>IF(COUNT(D1013:L1013)=0,"",MEDIAN(D1013:L1013))</f>
        <v/>
      </c>
      <c r="O1013" s="8">
        <f>IF(COUNT(D1013:L1013)=0,"",MAX(D1013:L1013))</f>
        <v/>
      </c>
      <c r="P1013" s="9">
        <f>IF(OR(M1013="",M1013=0),"",(O1013-M1013)/M1013)</f>
        <v/>
      </c>
      <c r="Q1013" s="7">
        <f>IF(COUNT(D1013:L1013)=0,"",INDEX($D$1:$L$1,MATCH(MIN(D1013:L1013),D1013:L1013,0)))</f>
        <v/>
      </c>
      <c r="R1013" s="8" t="n">
        <v>168</v>
      </c>
      <c r="S1013" s="10" t="n">
        <v>3</v>
      </c>
    </row>
    <row r="1014">
      <c r="A1014" s="7" t="inlineStr">
        <is>
          <t>MAT-22-035</t>
        </is>
      </c>
      <c r="B1014" s="4" t="inlineStr">
        <is>
          <t>Copa pasante para malla ciclónica 1 1/2" x 1 1/2"</t>
        </is>
      </c>
      <c r="C1014" s="7" t="inlineStr">
        <is>
          <t>unidad</t>
        </is>
      </c>
      <c r="D1014" s="8" t="n">
        <v>76.66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>
        <f>IF(COUNT(D1014:L1014)=0,"",MIN(D1014:L1014))</f>
        <v/>
      </c>
      <c r="N1014" s="8">
        <f>IF(COUNT(D1014:L1014)=0,"",MEDIAN(D1014:L1014))</f>
        <v/>
      </c>
      <c r="O1014" s="8">
        <f>IF(COUNT(D1014:L1014)=0,"",MAX(D1014:L1014))</f>
        <v/>
      </c>
      <c r="P1014" s="9">
        <f>IF(OR(M1014="",M1014=0),"",(O1014-M1014)/M1014)</f>
        <v/>
      </c>
      <c r="Q1014" s="7">
        <f>IF(COUNT(D1014:L1014)=0,"",INDEX($D$1:$L$1,MATCH(MIN(D1014:L1014),D1014:L1014,0)))</f>
        <v/>
      </c>
      <c r="R1014" s="8" t="n">
        <v>76.66</v>
      </c>
      <c r="S1014" s="10" t="n">
        <v>1</v>
      </c>
    </row>
    <row r="1015">
      <c r="A1015" s="7" t="inlineStr">
        <is>
          <t>MAT-22-036</t>
        </is>
      </c>
      <c r="B1015" s="4" t="inlineStr">
        <is>
          <t>Copa terminal para malla ciclónica 1 1/2"</t>
        </is>
      </c>
      <c r="C1015" s="7" t="inlineStr">
        <is>
          <t>unidad</t>
        </is>
      </c>
      <c r="D1015" s="8" t="n">
        <v>61.63</v>
      </c>
      <c r="E1015" s="8" t="n"/>
      <c r="F1015" s="8" t="n"/>
      <c r="G1015" s="8" t="n"/>
      <c r="H1015" s="8" t="n"/>
      <c r="I1015" s="8" t="n">
        <v>105</v>
      </c>
      <c r="J1015" s="8" t="n"/>
      <c r="K1015" s="8" t="n">
        <v>81.59999999999999</v>
      </c>
      <c r="L1015" s="8" t="n"/>
      <c r="M1015" s="8">
        <f>IF(COUNT(D1015:L1015)=0,"",MIN(D1015:L1015))</f>
        <v/>
      </c>
      <c r="N1015" s="8">
        <f>IF(COUNT(D1015:L1015)=0,"",MEDIAN(D1015:L1015))</f>
        <v/>
      </c>
      <c r="O1015" s="8">
        <f>IF(COUNT(D1015:L1015)=0,"",MAX(D1015:L1015))</f>
        <v/>
      </c>
      <c r="P1015" s="9">
        <f>IF(OR(M1015="",M1015=0),"",(O1015-M1015)/M1015)</f>
        <v/>
      </c>
      <c r="Q1015" s="7">
        <f>IF(COUNT(D1015:L1015)=0,"",INDEX($D$1:$L$1,MATCH(MIN(D1015:L1015),D1015:L1015,0)))</f>
        <v/>
      </c>
      <c r="R1015" s="8" t="n">
        <v>96.29000000000001</v>
      </c>
      <c r="S1015" s="10" t="n">
        <v>3</v>
      </c>
    </row>
    <row r="1016">
      <c r="A1016" s="7" t="inlineStr">
        <is>
          <t>MAT-22-037</t>
        </is>
      </c>
      <c r="B1016" s="4" t="inlineStr">
        <is>
          <t>Abrazadera corta para malla ciclónica 2"</t>
        </is>
      </c>
      <c r="C1016" s="7" t="inlineStr">
        <is>
          <t>unidad</t>
        </is>
      </c>
      <c r="D1016" s="8" t="n">
        <v>21.04</v>
      </c>
      <c r="E1016" s="8" t="n"/>
      <c r="F1016" s="8" t="n"/>
      <c r="G1016" s="8" t="n"/>
      <c r="H1016" s="8" t="n"/>
      <c r="I1016" s="8" t="n"/>
      <c r="J1016" s="8" t="n"/>
      <c r="K1016" s="8" t="n">
        <v>39.44</v>
      </c>
      <c r="L1016" s="8" t="n"/>
      <c r="M1016" s="8">
        <f>IF(COUNT(D1016:L1016)=0,"",MIN(D1016:L1016))</f>
        <v/>
      </c>
      <c r="N1016" s="8">
        <f>IF(COUNT(D1016:L1016)=0,"",MEDIAN(D1016:L1016))</f>
        <v/>
      </c>
      <c r="O1016" s="8">
        <f>IF(COUNT(D1016:L1016)=0,"",MAX(D1016:L1016))</f>
        <v/>
      </c>
      <c r="P1016" s="9">
        <f>IF(OR(M1016="",M1016=0),"",(O1016-M1016)/M1016)</f>
        <v/>
      </c>
      <c r="Q1016" s="7">
        <f>IF(COUNT(D1016:L1016)=0,"",INDEX($D$1:$L$1,MATCH(MIN(D1016:L1016),D1016:L1016,0)))</f>
        <v/>
      </c>
      <c r="R1016" s="8" t="n">
        <v>33.79</v>
      </c>
      <c r="S1016" s="10" t="n">
        <v>2</v>
      </c>
    </row>
    <row r="1017">
      <c r="A1017" s="7" t="inlineStr">
        <is>
          <t>MAT-22-038</t>
        </is>
      </c>
      <c r="B1017" s="4" t="inlineStr">
        <is>
          <t>Abrazadera larga para malla ciclónica 2"</t>
        </is>
      </c>
      <c r="C1017" s="7" t="inlineStr">
        <is>
          <t>unidad</t>
        </is>
      </c>
      <c r="D1017" s="8" t="n">
        <v>20.38</v>
      </c>
      <c r="E1017" s="8" t="n"/>
      <c r="F1017" s="8" t="n"/>
      <c r="G1017" s="8" t="n"/>
      <c r="H1017" s="8" t="n"/>
      <c r="I1017" s="8" t="n"/>
      <c r="J1017" s="8" t="n"/>
      <c r="K1017" s="8" t="n">
        <v>40.8</v>
      </c>
      <c r="L1017" s="8" t="n"/>
      <c r="M1017" s="8">
        <f>IF(COUNT(D1017:L1017)=0,"",MIN(D1017:L1017))</f>
        <v/>
      </c>
      <c r="N1017" s="8">
        <f>IF(COUNT(D1017:L1017)=0,"",MEDIAN(D1017:L1017))</f>
        <v/>
      </c>
      <c r="O1017" s="8">
        <f>IF(COUNT(D1017:L1017)=0,"",MAX(D1017:L1017))</f>
        <v/>
      </c>
      <c r="P1017" s="9">
        <f>IF(OR(M1017="",M1017=0),"",(O1017-M1017)/M1017)</f>
        <v/>
      </c>
      <c r="Q1017" s="7">
        <f>IF(COUNT(D1017:L1017)=0,"",INDEX($D$1:$L$1,MATCH(MIN(D1017:L1017),D1017:L1017,0)))</f>
        <v/>
      </c>
      <c r="R1017" s="8" t="n">
        <v>34.26</v>
      </c>
      <c r="S1017" s="10" t="n">
        <v>2</v>
      </c>
    </row>
    <row r="1018">
      <c r="A1018" s="7" t="inlineStr">
        <is>
          <t>MAT-22-039</t>
        </is>
      </c>
      <c r="B1018" s="4" t="inlineStr">
        <is>
          <t>Brazo sencillo para malla ciclónica 2" x 1 1/4"</t>
        </is>
      </c>
      <c r="C1018" s="7" t="inlineStr">
        <is>
          <t>unidad</t>
        </is>
      </c>
      <c r="D1018" s="8" t="n">
        <v>187.9</v>
      </c>
      <c r="E1018" s="8" t="n"/>
      <c r="F1018" s="8" t="n"/>
      <c r="G1018" s="8" t="n"/>
      <c r="H1018" s="8" t="n"/>
      <c r="I1018" s="8" t="n"/>
      <c r="J1018" s="8" t="n"/>
      <c r="K1018" s="8" t="n">
        <v>269.5</v>
      </c>
      <c r="L1018" s="8" t="n"/>
      <c r="M1018" s="8">
        <f>IF(COUNT(D1018:L1018)=0,"",MIN(D1018:L1018))</f>
        <v/>
      </c>
      <c r="N1018" s="8">
        <f>IF(COUNT(D1018:L1018)=0,"",MEDIAN(D1018:L1018))</f>
        <v/>
      </c>
      <c r="O1018" s="8">
        <f>IF(COUNT(D1018:L1018)=0,"",MAX(D1018:L1018))</f>
        <v/>
      </c>
      <c r="P1018" s="9">
        <f>IF(OR(M1018="",M1018=0),"",(O1018-M1018)/M1018)</f>
        <v/>
      </c>
      <c r="Q1018" s="7">
        <f>IF(COUNT(D1018:L1018)=0,"",INDEX($D$1:$L$1,MATCH(MIN(D1018:L1018),D1018:L1018,0)))</f>
        <v/>
      </c>
      <c r="R1018" s="8" t="n">
        <v>252.96</v>
      </c>
      <c r="S1018" s="10" t="n">
        <v>2</v>
      </c>
    </row>
    <row r="1019">
      <c r="A1019" s="7" t="inlineStr">
        <is>
          <t>MAT-22-040</t>
        </is>
      </c>
      <c r="B1019" s="4" t="inlineStr">
        <is>
          <t>Brazo doble para malla ciclónica 2" x 1 1/2"</t>
        </is>
      </c>
      <c r="C1019" s="7" t="inlineStr">
        <is>
          <t>unidad</t>
        </is>
      </c>
      <c r="D1019" s="8" t="n">
        <v>373.18</v>
      </c>
      <c r="E1019" s="8" t="n"/>
      <c r="F1019" s="8" t="n"/>
      <c r="G1019" s="8" t="n"/>
      <c r="H1019" s="8" t="n"/>
      <c r="I1019" s="8" t="n"/>
      <c r="J1019" s="8" t="n"/>
      <c r="K1019" s="8" t="n">
        <v>286</v>
      </c>
      <c r="L1019" s="8" t="n"/>
      <c r="M1019" s="8">
        <f>IF(COUNT(D1019:L1019)=0,"",MIN(D1019:L1019))</f>
        <v/>
      </c>
      <c r="N1019" s="8">
        <f>IF(COUNT(D1019:L1019)=0,"",MEDIAN(D1019:L1019))</f>
        <v/>
      </c>
      <c r="O1019" s="8">
        <f>IF(COUNT(D1019:L1019)=0,"",MAX(D1019:L1019))</f>
        <v/>
      </c>
      <c r="P1019" s="9">
        <f>IF(OR(M1019="",M1019=0),"",(O1019-M1019)/M1019)</f>
        <v/>
      </c>
      <c r="Q1019" s="7">
        <f>IF(COUNT(D1019:L1019)=0,"",INDEX($D$1:$L$1,MATCH(MIN(D1019:L1019),D1019:L1019,0)))</f>
        <v/>
      </c>
      <c r="R1019" s="8" t="n">
        <v>355.33</v>
      </c>
      <c r="S1019" s="10" t="n">
        <v>2</v>
      </c>
    </row>
    <row r="1020">
      <c r="A1020" s="7" t="inlineStr">
        <is>
          <t>MAT-22-041</t>
        </is>
      </c>
      <c r="B1020" s="4" t="inlineStr">
        <is>
          <t>Copa terminal para malla ciclónica 2"</t>
        </is>
      </c>
      <c r="C1020" s="7" t="inlineStr">
        <is>
          <t>unidad</t>
        </is>
      </c>
      <c r="D1020" s="8" t="n">
        <v>51.11</v>
      </c>
      <c r="E1020" s="8" t="n"/>
      <c r="F1020" s="8" t="n"/>
      <c r="G1020" s="8" t="n"/>
      <c r="H1020" s="8" t="n"/>
      <c r="I1020" s="8" t="n"/>
      <c r="J1020" s="8" t="n"/>
      <c r="K1020" s="8" t="n">
        <v>88.40000000000001</v>
      </c>
      <c r="L1020" s="8" t="n"/>
      <c r="M1020" s="8">
        <f>IF(COUNT(D1020:L1020)=0,"",MIN(D1020:L1020))</f>
        <v/>
      </c>
      <c r="N1020" s="8">
        <f>IF(COUNT(D1020:L1020)=0,"",MEDIAN(D1020:L1020))</f>
        <v/>
      </c>
      <c r="O1020" s="8">
        <f>IF(COUNT(D1020:L1020)=0,"",MAX(D1020:L1020))</f>
        <v/>
      </c>
      <c r="P1020" s="9">
        <f>IF(OR(M1020="",M1020=0),"",(O1020-M1020)/M1020)</f>
        <v/>
      </c>
      <c r="Q1020" s="7">
        <f>IF(COUNT(D1020:L1020)=0,"",INDEX($D$1:$L$1,MATCH(MIN(D1020:L1020),D1020:L1020,0)))</f>
        <v/>
      </c>
      <c r="R1020" s="8" t="n">
        <v>77.70999999999999</v>
      </c>
      <c r="S1020" s="10" t="n">
        <v>2</v>
      </c>
    </row>
    <row r="1021">
      <c r="A1021" s="7" t="inlineStr">
        <is>
          <t>MAT-22-042</t>
        </is>
      </c>
      <c r="B1021" s="4" t="inlineStr">
        <is>
          <t>Brazo para malla ciclónica 2 3/8" x 1 1/2"</t>
        </is>
      </c>
      <c r="C1021" s="7" t="inlineStr">
        <is>
          <t>unidad</t>
        </is>
      </c>
      <c r="D1021" s="8" t="n">
        <v>300.64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>
        <f>IF(COUNT(D1021:L1021)=0,"",MIN(D1021:L1021))</f>
        <v/>
      </c>
      <c r="N1021" s="8">
        <f>IF(COUNT(D1021:L1021)=0,"",MEDIAN(D1021:L1021))</f>
        <v/>
      </c>
      <c r="O1021" s="8">
        <f>IF(COUNT(D1021:L1021)=0,"",MAX(D1021:L1021))</f>
        <v/>
      </c>
      <c r="P1021" s="9">
        <f>IF(OR(M1021="",M1021=0),"",(O1021-M1021)/M1021)</f>
        <v/>
      </c>
      <c r="Q1021" s="7">
        <f>IF(COUNT(D1021:L1021)=0,"",INDEX($D$1:$L$1,MATCH(MIN(D1021:L1021),D1021:L1021,0)))</f>
        <v/>
      </c>
      <c r="R1021" s="8" t="n">
        <v>300.64</v>
      </c>
      <c r="S1021" s="10" t="n">
        <v>1</v>
      </c>
    </row>
    <row r="1022">
      <c r="A1022" s="7" t="inlineStr">
        <is>
          <t>MAT-22-043</t>
        </is>
      </c>
      <c r="B1022" s="4" t="inlineStr">
        <is>
          <t>Copa terminal para malla ciclónica 3"</t>
        </is>
      </c>
      <c r="C1022" s="7" t="inlineStr">
        <is>
          <t>unidad</t>
        </is>
      </c>
      <c r="D1022" s="8" t="n">
        <v>36.5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>
        <f>IF(COUNT(D1022:L1022)=0,"",MIN(D1022:L1022))</f>
        <v/>
      </c>
      <c r="N1022" s="8">
        <f>IF(COUNT(D1022:L1022)=0,"",MEDIAN(D1022:L1022))</f>
        <v/>
      </c>
      <c r="O1022" s="8">
        <f>IF(COUNT(D1022:L1022)=0,"",MAX(D1022:L1022))</f>
        <v/>
      </c>
      <c r="P1022" s="9">
        <f>IF(OR(M1022="",M1022=0),"",(O1022-M1022)/M1022)</f>
        <v/>
      </c>
      <c r="Q1022" s="7">
        <f>IF(COUNT(D1022:L1022)=0,"",INDEX($D$1:$L$1,MATCH(MIN(D1022:L1022),D1022:L1022,0)))</f>
        <v/>
      </c>
      <c r="R1022" s="8" t="n">
        <v>36.5</v>
      </c>
      <c r="S1022" s="10" t="n">
        <v>1</v>
      </c>
    </row>
    <row r="1023">
      <c r="A1023" s="7" t="inlineStr">
        <is>
          <t>MAT-23-001</t>
        </is>
      </c>
      <c r="B1023" s="4" t="inlineStr">
        <is>
          <t>Tubo redondo de aluminio 3/8" x 19.20 pies</t>
        </is>
      </c>
      <c r="C1023" s="7" t="inlineStr">
        <is>
          <t>unidad</t>
        </is>
      </c>
      <c r="D1023" s="8" t="n">
        <v>299.9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>
        <f>IF(COUNT(D1023:L1023)=0,"",MIN(D1023:L1023))</f>
        <v/>
      </c>
      <c r="N1023" s="8">
        <f>IF(COUNT(D1023:L1023)=0,"",MEDIAN(D1023:L1023))</f>
        <v/>
      </c>
      <c r="O1023" s="8">
        <f>IF(COUNT(D1023:L1023)=0,"",MAX(D1023:L1023))</f>
        <v/>
      </c>
      <c r="P1023" s="9">
        <f>IF(OR(M1023="",M1023=0),"",(O1023-M1023)/M1023)</f>
        <v/>
      </c>
      <c r="Q1023" s="7">
        <f>IF(COUNT(D1023:L1023)=0,"",INDEX($D$1:$L$1,MATCH(MIN(D1023:L1023),D1023:L1023,0)))</f>
        <v/>
      </c>
      <c r="R1023" s="8" t="n">
        <v>299.9</v>
      </c>
      <c r="S1023" s="10" t="n">
        <v>1</v>
      </c>
    </row>
    <row r="1024">
      <c r="A1024" s="7" t="inlineStr">
        <is>
          <t>MAT-23-002</t>
        </is>
      </c>
      <c r="B1024" s="4" t="inlineStr">
        <is>
          <t>Tubo redondo de aluminio 1/2" x 19.20 pies</t>
        </is>
      </c>
      <c r="C1024" s="7" t="inlineStr">
        <is>
          <t>unidad</t>
        </is>
      </c>
      <c r="D1024" s="8" t="n">
        <v>373.61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>
        <f>IF(COUNT(D1024:L1024)=0,"",MIN(D1024:L1024))</f>
        <v/>
      </c>
      <c r="N1024" s="8">
        <f>IF(COUNT(D1024:L1024)=0,"",MEDIAN(D1024:L1024))</f>
        <v/>
      </c>
      <c r="O1024" s="8">
        <f>IF(COUNT(D1024:L1024)=0,"",MAX(D1024:L1024))</f>
        <v/>
      </c>
      <c r="P1024" s="9">
        <f>IF(OR(M1024="",M1024=0),"",(O1024-M1024)/M1024)</f>
        <v/>
      </c>
      <c r="Q1024" s="7">
        <f>IF(COUNT(D1024:L1024)=0,"",INDEX($D$1:$L$1,MATCH(MIN(D1024:L1024),D1024:L1024,0)))</f>
        <v/>
      </c>
      <c r="R1024" s="8" t="n">
        <v>373.61</v>
      </c>
      <c r="S1024" s="10" t="n">
        <v>1</v>
      </c>
    </row>
    <row r="1025">
      <c r="A1025" s="7" t="inlineStr">
        <is>
          <t>MAT-23-003</t>
        </is>
      </c>
      <c r="B1025" s="4" t="inlineStr">
        <is>
          <t>Planchuela de aluminio 1/2" x 1/8" x 19.20 pies</t>
        </is>
      </c>
      <c r="C1025" s="7" t="inlineStr">
        <is>
          <t>unidad</t>
        </is>
      </c>
      <c r="D1025" s="8" t="n">
        <v>452.36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>
        <f>IF(COUNT(D1025:L1025)=0,"",MIN(D1025:L1025))</f>
        <v/>
      </c>
      <c r="N1025" s="8">
        <f>IF(COUNT(D1025:L1025)=0,"",MEDIAN(D1025:L1025))</f>
        <v/>
      </c>
      <c r="O1025" s="8">
        <f>IF(COUNT(D1025:L1025)=0,"",MAX(D1025:L1025))</f>
        <v/>
      </c>
      <c r="P1025" s="9">
        <f>IF(OR(M1025="",M1025=0),"",(O1025-M1025)/M1025)</f>
        <v/>
      </c>
      <c r="Q1025" s="7">
        <f>IF(COUNT(D1025:L1025)=0,"",INDEX($D$1:$L$1,MATCH(MIN(D1025:L1025),D1025:L1025,0)))</f>
        <v/>
      </c>
      <c r="R1025" s="8" t="n">
        <v>452.36</v>
      </c>
      <c r="S1025" s="10" t="n">
        <v>1</v>
      </c>
    </row>
    <row r="1026">
      <c r="A1026" s="7" t="inlineStr">
        <is>
          <t>MAT-23-004</t>
        </is>
      </c>
      <c r="B1026" s="4" t="inlineStr">
        <is>
          <t>Angular de aluminio 1/2" x 1/2" x 19.20 pies</t>
        </is>
      </c>
      <c r="C1026" s="7" t="inlineStr">
        <is>
          <t>unidad</t>
        </is>
      </c>
      <c r="D1026" s="8" t="n">
        <v>394.72</v>
      </c>
      <c r="E1026" s="8" t="n"/>
      <c r="F1026" s="8" t="n"/>
      <c r="G1026" s="8" t="n"/>
      <c r="H1026" s="8" t="n"/>
      <c r="I1026" s="8" t="n">
        <v>295</v>
      </c>
      <c r="J1026" s="8" t="n"/>
      <c r="K1026" s="8" t="n"/>
      <c r="L1026" s="8" t="n"/>
      <c r="M1026" s="8">
        <f>IF(COUNT(D1026:L1026)=0,"",MIN(D1026:L1026))</f>
        <v/>
      </c>
      <c r="N1026" s="8">
        <f>IF(COUNT(D1026:L1026)=0,"",MEDIAN(D1026:L1026))</f>
        <v/>
      </c>
      <c r="O1026" s="8">
        <f>IF(COUNT(D1026:L1026)=0,"",MAX(D1026:L1026))</f>
        <v/>
      </c>
      <c r="P1026" s="9">
        <f>IF(OR(M1026="",M1026=0),"",(O1026-M1026)/M1026)</f>
        <v/>
      </c>
      <c r="Q1026" s="7">
        <f>IF(COUNT(D1026:L1026)=0,"",INDEX($D$1:$L$1,MATCH(MIN(D1026:L1026),D1026:L1026,0)))</f>
        <v/>
      </c>
      <c r="R1026" s="8" t="n">
        <v>344.86</v>
      </c>
      <c r="S1026" s="10" t="n">
        <v>2</v>
      </c>
    </row>
    <row r="1027">
      <c r="A1027" s="7" t="inlineStr">
        <is>
          <t>MAT-23-005</t>
        </is>
      </c>
      <c r="B1027" s="4" t="inlineStr">
        <is>
          <t>Moldura U de aluminio 1/2" x 1/2" x 19.20 pies</t>
        </is>
      </c>
      <c r="C1027" s="7" t="inlineStr">
        <is>
          <t>unidad</t>
        </is>
      </c>
      <c r="D1027" s="8" t="n">
        <v>377.71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>
        <f>IF(COUNT(D1027:L1027)=0,"",MIN(D1027:L1027))</f>
        <v/>
      </c>
      <c r="N1027" s="8">
        <f>IF(COUNT(D1027:L1027)=0,"",MEDIAN(D1027:L1027))</f>
        <v/>
      </c>
      <c r="O1027" s="8">
        <f>IF(COUNT(D1027:L1027)=0,"",MAX(D1027:L1027))</f>
        <v/>
      </c>
      <c r="P1027" s="9">
        <f>IF(OR(M1027="",M1027=0),"",(O1027-M1027)/M1027)</f>
        <v/>
      </c>
      <c r="Q1027" s="7">
        <f>IF(COUNT(D1027:L1027)=0,"",INDEX($D$1:$L$1,MATCH(MIN(D1027:L1027),D1027:L1027,0)))</f>
        <v/>
      </c>
      <c r="R1027" s="8" t="n">
        <v>377.71</v>
      </c>
      <c r="S1027" s="10" t="n">
        <v>1</v>
      </c>
    </row>
    <row r="1028">
      <c r="A1028" s="7" t="inlineStr">
        <is>
          <t>MAT-23-006</t>
        </is>
      </c>
      <c r="B1028" s="4" t="inlineStr">
        <is>
          <t>Moldura U de aluminio 5/8" x 5/8" x 19.20 pies</t>
        </is>
      </c>
      <c r="C1028" s="7" t="inlineStr">
        <is>
          <t>unidad</t>
        </is>
      </c>
      <c r="D1028" s="8" t="n">
        <v>827.9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>
        <f>IF(COUNT(D1028:L1028)=0,"",MIN(D1028:L1028))</f>
        <v/>
      </c>
      <c r="N1028" s="8">
        <f>IF(COUNT(D1028:L1028)=0,"",MEDIAN(D1028:L1028))</f>
        <v/>
      </c>
      <c r="O1028" s="8">
        <f>IF(COUNT(D1028:L1028)=0,"",MAX(D1028:L1028))</f>
        <v/>
      </c>
      <c r="P1028" s="9">
        <f>IF(OR(M1028="",M1028=0),"",(O1028-M1028)/M1028)</f>
        <v/>
      </c>
      <c r="Q1028" s="7">
        <f>IF(COUNT(D1028:L1028)=0,"",INDEX($D$1:$L$1,MATCH(MIN(D1028:L1028),D1028:L1028,0)))</f>
        <v/>
      </c>
      <c r="R1028" s="8" t="n">
        <v>827.9</v>
      </c>
      <c r="S1028" s="10" t="n">
        <v>1</v>
      </c>
    </row>
    <row r="1029">
      <c r="A1029" s="7" t="inlineStr">
        <is>
          <t>MAT-23-007</t>
        </is>
      </c>
      <c r="B1029" s="4" t="inlineStr">
        <is>
          <t>Tubo redondo de aluminio 3/4" x 19.20 pies</t>
        </is>
      </c>
      <c r="C1029" s="7" t="inlineStr">
        <is>
          <t>unidad</t>
        </is>
      </c>
      <c r="D1029" s="8" t="n">
        <v>772.42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>
        <f>IF(COUNT(D1029:L1029)=0,"",MIN(D1029:L1029))</f>
        <v/>
      </c>
      <c r="N1029" s="8">
        <f>IF(COUNT(D1029:L1029)=0,"",MEDIAN(D1029:L1029))</f>
        <v/>
      </c>
      <c r="O1029" s="8">
        <f>IF(COUNT(D1029:L1029)=0,"",MAX(D1029:L1029))</f>
        <v/>
      </c>
      <c r="P1029" s="9">
        <f>IF(OR(M1029="",M1029=0),"",(O1029-M1029)/M1029)</f>
        <v/>
      </c>
      <c r="Q1029" s="7">
        <f>IF(COUNT(D1029:L1029)=0,"",INDEX($D$1:$L$1,MATCH(MIN(D1029:L1029),D1029:L1029,0)))</f>
        <v/>
      </c>
      <c r="R1029" s="8" t="n">
        <v>772.42</v>
      </c>
      <c r="S1029" s="10" t="n">
        <v>1</v>
      </c>
    </row>
    <row r="1030">
      <c r="A1030" s="7" t="inlineStr">
        <is>
          <t>MAT-23-008</t>
        </is>
      </c>
      <c r="B1030" s="4" t="inlineStr">
        <is>
          <t>Angular de aluminio 3/4" x 3/4" x 19.20 pies</t>
        </is>
      </c>
      <c r="C1030" s="7" t="inlineStr">
        <is>
          <t>unidad</t>
        </is>
      </c>
      <c r="D1030" s="8" t="n">
        <v>436.29</v>
      </c>
      <c r="E1030" s="8" t="n"/>
      <c r="F1030" s="8" t="n"/>
      <c r="G1030" s="8" t="n"/>
      <c r="H1030" s="8" t="n"/>
      <c r="I1030" s="8" t="n">
        <v>445</v>
      </c>
      <c r="J1030" s="8" t="n"/>
      <c r="K1030" s="8" t="n"/>
      <c r="L1030" s="8" t="n"/>
      <c r="M1030" s="8">
        <f>IF(COUNT(D1030:L1030)=0,"",MIN(D1030:L1030))</f>
        <v/>
      </c>
      <c r="N1030" s="8">
        <f>IF(COUNT(D1030:L1030)=0,"",MEDIAN(D1030:L1030))</f>
        <v/>
      </c>
      <c r="O1030" s="8">
        <f>IF(COUNT(D1030:L1030)=0,"",MAX(D1030:L1030))</f>
        <v/>
      </c>
      <c r="P1030" s="9">
        <f>IF(OR(M1030="",M1030=0),"",(O1030-M1030)/M1030)</f>
        <v/>
      </c>
      <c r="Q1030" s="7">
        <f>IF(COUNT(D1030:L1030)=0,"",INDEX($D$1:$L$1,MATCH(MIN(D1030:L1030),D1030:L1030,0)))</f>
        <v/>
      </c>
      <c r="R1030" s="8" t="n">
        <v>440.65</v>
      </c>
      <c r="S1030" s="10" t="n">
        <v>2</v>
      </c>
    </row>
    <row r="1031">
      <c r="A1031" s="7" t="inlineStr">
        <is>
          <t>MAT-23-009</t>
        </is>
      </c>
      <c r="B1031" s="4" t="inlineStr">
        <is>
          <t>Tubo redondo de aluminio 1" x 19.20 pies</t>
        </is>
      </c>
      <c r="C1031" s="7" t="inlineStr">
        <is>
          <t>unidad</t>
        </is>
      </c>
      <c r="D1031" s="8" t="n">
        <v>957.33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>
        <f>IF(COUNT(D1031:L1031)=0,"",MIN(D1031:L1031))</f>
        <v/>
      </c>
      <c r="N1031" s="8">
        <f>IF(COUNT(D1031:L1031)=0,"",MEDIAN(D1031:L1031))</f>
        <v/>
      </c>
      <c r="O1031" s="8">
        <f>IF(COUNT(D1031:L1031)=0,"",MAX(D1031:L1031))</f>
        <v/>
      </c>
      <c r="P1031" s="9">
        <f>IF(OR(M1031="",M1031=0),"",(O1031-M1031)/M1031)</f>
        <v/>
      </c>
      <c r="Q1031" s="7">
        <f>IF(COUNT(D1031:L1031)=0,"",INDEX($D$1:$L$1,MATCH(MIN(D1031:L1031),D1031:L1031,0)))</f>
        <v/>
      </c>
      <c r="R1031" s="8" t="n">
        <v>957.33</v>
      </c>
      <c r="S1031" s="10" t="n">
        <v>1</v>
      </c>
    </row>
    <row r="1032">
      <c r="A1032" s="7" t="inlineStr">
        <is>
          <t>MAT-23-010</t>
        </is>
      </c>
      <c r="B1032" s="4" t="inlineStr">
        <is>
          <t>Planchuela de aluminio 1" x 1/4" x 19.20 pies</t>
        </is>
      </c>
      <c r="C1032" s="7" t="inlineStr">
        <is>
          <t>unidad</t>
        </is>
      </c>
      <c r="D1032" s="8" t="n">
        <v>1709.91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>
        <f>IF(COUNT(D1032:L1032)=0,"",MIN(D1032:L1032))</f>
        <v/>
      </c>
      <c r="N1032" s="8">
        <f>IF(COUNT(D1032:L1032)=0,"",MEDIAN(D1032:L1032))</f>
        <v/>
      </c>
      <c r="O1032" s="8">
        <f>IF(COUNT(D1032:L1032)=0,"",MAX(D1032:L1032))</f>
        <v/>
      </c>
      <c r="P1032" s="9">
        <f>IF(OR(M1032="",M1032=0),"",(O1032-M1032)/M1032)</f>
        <v/>
      </c>
      <c r="Q1032" s="7">
        <f>IF(COUNT(D1032:L1032)=0,"",INDEX($D$1:$L$1,MATCH(MIN(D1032:L1032),D1032:L1032,0)))</f>
        <v/>
      </c>
      <c r="R1032" s="8" t="n">
        <v>1709.91</v>
      </c>
      <c r="S1032" s="10" t="n">
        <v>1</v>
      </c>
    </row>
    <row r="1033">
      <c r="A1033" s="7" t="inlineStr">
        <is>
          <t>MAT-23-011</t>
        </is>
      </c>
      <c r="B1033" s="4" t="inlineStr">
        <is>
          <t>Angular de aluminio 1" x 3/4" x 19.20 pies</t>
        </is>
      </c>
      <c r="C1033" s="7" t="inlineStr">
        <is>
          <t>unidad</t>
        </is>
      </c>
      <c r="D1033" s="8" t="n">
        <v>626.5700000000001</v>
      </c>
      <c r="E1033" s="8" t="n"/>
      <c r="F1033" s="8" t="n"/>
      <c r="G1033" s="8" t="n"/>
      <c r="H1033" s="8" t="n"/>
      <c r="I1033" s="8" t="n">
        <v>755</v>
      </c>
      <c r="J1033" s="8" t="n"/>
      <c r="K1033" s="8" t="n"/>
      <c r="L1033" s="8" t="n"/>
      <c r="M1033" s="8">
        <f>IF(COUNT(D1033:L1033)=0,"",MIN(D1033:L1033))</f>
        <v/>
      </c>
      <c r="N1033" s="8">
        <f>IF(COUNT(D1033:L1033)=0,"",MEDIAN(D1033:L1033))</f>
        <v/>
      </c>
      <c r="O1033" s="8">
        <f>IF(COUNT(D1033:L1033)=0,"",MAX(D1033:L1033))</f>
        <v/>
      </c>
      <c r="P1033" s="9">
        <f>IF(OR(M1033="",M1033=0),"",(O1033-M1033)/M1033)</f>
        <v/>
      </c>
      <c r="Q1033" s="7">
        <f>IF(COUNT(D1033:L1033)=0,"",INDEX($D$1:$L$1,MATCH(MIN(D1033:L1033),D1033:L1033,0)))</f>
        <v/>
      </c>
      <c r="R1033" s="8" t="n">
        <v>690.79</v>
      </c>
      <c r="S1033" s="10" t="n">
        <v>2</v>
      </c>
    </row>
    <row r="1034">
      <c r="A1034" s="7" t="inlineStr">
        <is>
          <t>MAT-23-012</t>
        </is>
      </c>
      <c r="B1034" s="4" t="inlineStr">
        <is>
          <t>Perfil de aluminio 1" x 1" x 19.20 pies</t>
        </is>
      </c>
      <c r="C1034" s="7" t="inlineStr">
        <is>
          <t>unidad</t>
        </is>
      </c>
      <c r="D1034" s="8" t="n">
        <v>1336.93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>
        <f>IF(COUNT(D1034:L1034)=0,"",MIN(D1034:L1034))</f>
        <v/>
      </c>
      <c r="N1034" s="8">
        <f>IF(COUNT(D1034:L1034)=0,"",MEDIAN(D1034:L1034))</f>
        <v/>
      </c>
      <c r="O1034" s="8">
        <f>IF(COUNT(D1034:L1034)=0,"",MAX(D1034:L1034))</f>
        <v/>
      </c>
      <c r="P1034" s="9">
        <f>IF(OR(M1034="",M1034=0),"",(O1034-M1034)/M1034)</f>
        <v/>
      </c>
      <c r="Q1034" s="7">
        <f>IF(COUNT(D1034:L1034)=0,"",INDEX($D$1:$L$1,MATCH(MIN(D1034:L1034),D1034:L1034,0)))</f>
        <v/>
      </c>
      <c r="R1034" s="8" t="n">
        <v>1336.93</v>
      </c>
      <c r="S1034" s="10" t="n">
        <v>1</v>
      </c>
    </row>
    <row r="1035">
      <c r="A1035" s="7" t="inlineStr">
        <is>
          <t>MAT-23-013</t>
        </is>
      </c>
      <c r="B1035" s="4" t="inlineStr">
        <is>
          <t>Tubo redondo de aluminio 1 1/4" x 19.20 pies</t>
        </is>
      </c>
      <c r="C1035" s="7" t="inlineStr">
        <is>
          <t>unidad</t>
        </is>
      </c>
      <c r="D1035" s="8" t="n">
        <v>2185.58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>
        <f>IF(COUNT(D1035:L1035)=0,"",MIN(D1035:L1035))</f>
        <v/>
      </c>
      <c r="N1035" s="8">
        <f>IF(COUNT(D1035:L1035)=0,"",MEDIAN(D1035:L1035))</f>
        <v/>
      </c>
      <c r="O1035" s="8">
        <f>IF(COUNT(D1035:L1035)=0,"",MAX(D1035:L1035))</f>
        <v/>
      </c>
      <c r="P1035" s="9">
        <f>IF(OR(M1035="",M1035=0),"",(O1035-M1035)/M1035)</f>
        <v/>
      </c>
      <c r="Q1035" s="7">
        <f>IF(COUNT(D1035:L1035)=0,"",INDEX($D$1:$L$1,MATCH(MIN(D1035:L1035),D1035:L1035,0)))</f>
        <v/>
      </c>
      <c r="R1035" s="8" t="n">
        <v>2185.58</v>
      </c>
      <c r="S1035" s="10" t="n">
        <v>1</v>
      </c>
    </row>
    <row r="1036">
      <c r="A1036" s="7" t="inlineStr">
        <is>
          <t>MAT-23-014</t>
        </is>
      </c>
      <c r="B1036" s="4" t="inlineStr">
        <is>
          <t>Angular de aluminio 1 1/4" x 1 1/4" x 19.20 pies</t>
        </is>
      </c>
      <c r="C1036" s="7" t="inlineStr">
        <is>
          <t>unidad</t>
        </is>
      </c>
      <c r="D1036" s="8" t="n">
        <v>982.22</v>
      </c>
      <c r="E1036" s="8" t="n"/>
      <c r="F1036" s="8" t="n"/>
      <c r="G1036" s="8" t="n"/>
      <c r="H1036" s="8" t="n"/>
      <c r="I1036" s="8" t="n">
        <v>1165</v>
      </c>
      <c r="J1036" s="8" t="n"/>
      <c r="K1036" s="8" t="n"/>
      <c r="L1036" s="8" t="n"/>
      <c r="M1036" s="8">
        <f>IF(COUNT(D1036:L1036)=0,"",MIN(D1036:L1036))</f>
        <v/>
      </c>
      <c r="N1036" s="8">
        <f>IF(COUNT(D1036:L1036)=0,"",MEDIAN(D1036:L1036))</f>
        <v/>
      </c>
      <c r="O1036" s="8">
        <f>IF(COUNT(D1036:L1036)=0,"",MAX(D1036:L1036))</f>
        <v/>
      </c>
      <c r="P1036" s="9">
        <f>IF(OR(M1036="",M1036=0),"",(O1036-M1036)/M1036)</f>
        <v/>
      </c>
      <c r="Q1036" s="7">
        <f>IF(COUNT(D1036:L1036)=0,"",INDEX($D$1:$L$1,MATCH(MIN(D1036:L1036),D1036:L1036,0)))</f>
        <v/>
      </c>
      <c r="R1036" s="8" t="n">
        <v>1073.61</v>
      </c>
      <c r="S1036" s="10" t="n">
        <v>2</v>
      </c>
    </row>
    <row r="1037">
      <c r="A1037" s="7" t="inlineStr">
        <is>
          <t>MAT-23-015</t>
        </is>
      </c>
      <c r="B1037" s="4" t="inlineStr">
        <is>
          <t>Planchuela de aluminio 1 1/2" x 1/4" x 19.20 pies</t>
        </is>
      </c>
      <c r="C1037" s="7" t="inlineStr">
        <is>
          <t>unidad</t>
        </is>
      </c>
      <c r="D1037" s="8" t="n">
        <v>2567.7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>
        <f>IF(COUNT(D1037:L1037)=0,"",MIN(D1037:L1037))</f>
        <v/>
      </c>
      <c r="N1037" s="8">
        <f>IF(COUNT(D1037:L1037)=0,"",MEDIAN(D1037:L1037))</f>
        <v/>
      </c>
      <c r="O1037" s="8">
        <f>IF(COUNT(D1037:L1037)=0,"",MAX(D1037:L1037))</f>
        <v/>
      </c>
      <c r="P1037" s="9">
        <f>IF(OR(M1037="",M1037=0),"",(O1037-M1037)/M1037)</f>
        <v/>
      </c>
      <c r="Q1037" s="7">
        <f>IF(COUNT(D1037:L1037)=0,"",INDEX($D$1:$L$1,MATCH(MIN(D1037:L1037),D1037:L1037,0)))</f>
        <v/>
      </c>
      <c r="R1037" s="8" t="n">
        <v>2567.7</v>
      </c>
      <c r="S1037" s="10" t="n">
        <v>1</v>
      </c>
    </row>
    <row r="1038">
      <c r="A1038" s="7" t="inlineStr">
        <is>
          <t>MAT-23-016</t>
        </is>
      </c>
      <c r="B1038" s="4" t="inlineStr">
        <is>
          <t>Moldura U de aluminio 1 1/2" x 3/4" x 19.20 pies</t>
        </is>
      </c>
      <c r="C1038" s="7" t="inlineStr">
        <is>
          <t>unidad</t>
        </is>
      </c>
      <c r="D1038" s="8" t="n">
        <v>1117.37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>
        <f>IF(COUNT(D1038:L1038)=0,"",MIN(D1038:L1038))</f>
        <v/>
      </c>
      <c r="N1038" s="8">
        <f>IF(COUNT(D1038:L1038)=0,"",MEDIAN(D1038:L1038))</f>
        <v/>
      </c>
      <c r="O1038" s="8">
        <f>IF(COUNT(D1038:L1038)=0,"",MAX(D1038:L1038))</f>
        <v/>
      </c>
      <c r="P1038" s="9">
        <f>IF(OR(M1038="",M1038=0),"",(O1038-M1038)/M1038)</f>
        <v/>
      </c>
      <c r="Q1038" s="7">
        <f>IF(COUNT(D1038:L1038)=0,"",INDEX($D$1:$L$1,MATCH(MIN(D1038:L1038),D1038:L1038,0)))</f>
        <v/>
      </c>
      <c r="R1038" s="8" t="n">
        <v>1117.37</v>
      </c>
      <c r="S1038" s="10" t="n">
        <v>1</v>
      </c>
    </row>
    <row r="1039">
      <c r="A1039" s="7" t="inlineStr">
        <is>
          <t>MAT-23-017</t>
        </is>
      </c>
      <c r="B1039" s="4" t="inlineStr">
        <is>
          <t>Angular de aluminio 1 1/2" x 1 1/2" x 19.20 pies</t>
        </is>
      </c>
      <c r="C1039" s="7" t="inlineStr">
        <is>
          <t>unidad</t>
        </is>
      </c>
      <c r="D1039" s="8" t="n">
        <v>2473.52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>
        <f>IF(COUNT(D1039:L1039)=0,"",MIN(D1039:L1039))</f>
        <v/>
      </c>
      <c r="N1039" s="8">
        <f>IF(COUNT(D1039:L1039)=0,"",MEDIAN(D1039:L1039))</f>
        <v/>
      </c>
      <c r="O1039" s="8">
        <f>IF(COUNT(D1039:L1039)=0,"",MAX(D1039:L1039))</f>
        <v/>
      </c>
      <c r="P1039" s="9">
        <f>IF(OR(M1039="",M1039=0),"",(O1039-M1039)/M1039)</f>
        <v/>
      </c>
      <c r="Q1039" s="7">
        <f>IF(COUNT(D1039:L1039)=0,"",INDEX($D$1:$L$1,MATCH(MIN(D1039:L1039),D1039:L1039,0)))</f>
        <v/>
      </c>
      <c r="R1039" s="8" t="n">
        <v>2473.52</v>
      </c>
      <c r="S1039" s="10" t="n">
        <v>1</v>
      </c>
    </row>
    <row r="1040">
      <c r="A1040" s="7" t="inlineStr">
        <is>
          <t>MAT-23-018</t>
        </is>
      </c>
      <c r="B1040" s="4" t="inlineStr">
        <is>
          <t>Perfil cuadrado de aluminio 1 1/2" x 1 1/2" x 19.20 pies</t>
        </is>
      </c>
      <c r="C1040" s="7" t="inlineStr">
        <is>
          <t>unidad</t>
        </is>
      </c>
      <c r="D1040" s="8" t="n">
        <v>1701.73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>
        <f>IF(COUNT(D1040:L1040)=0,"",MIN(D1040:L1040))</f>
        <v/>
      </c>
      <c r="N1040" s="8">
        <f>IF(COUNT(D1040:L1040)=0,"",MEDIAN(D1040:L1040))</f>
        <v/>
      </c>
      <c r="O1040" s="8">
        <f>IF(COUNT(D1040:L1040)=0,"",MAX(D1040:L1040))</f>
        <v/>
      </c>
      <c r="P1040" s="9">
        <f>IF(OR(M1040="",M1040=0),"",(O1040-M1040)/M1040)</f>
        <v/>
      </c>
      <c r="Q1040" s="7">
        <f>IF(COUNT(D1040:L1040)=0,"",INDEX($D$1:$L$1,MATCH(MIN(D1040:L1040),D1040:L1040,0)))</f>
        <v/>
      </c>
      <c r="R1040" s="8" t="n">
        <v>1701.73</v>
      </c>
      <c r="S1040" s="10" t="n">
        <v>1</v>
      </c>
    </row>
    <row r="1041">
      <c r="A1041" s="7" t="inlineStr">
        <is>
          <t>MAT-23-019</t>
        </is>
      </c>
      <c r="B1041" s="4" t="inlineStr">
        <is>
          <t>Perfil rectangular de aluminio 2" x 1" x 19.20 pies</t>
        </is>
      </c>
      <c r="C1041" s="7" t="inlineStr">
        <is>
          <t>unidad</t>
        </is>
      </c>
      <c r="D1041" s="8" t="n">
        <v>1846.63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>
        <f>IF(COUNT(D1041:L1041)=0,"",MIN(D1041:L1041))</f>
        <v/>
      </c>
      <c r="N1041" s="8">
        <f>IF(COUNT(D1041:L1041)=0,"",MEDIAN(D1041:L1041))</f>
        <v/>
      </c>
      <c r="O1041" s="8">
        <f>IF(COUNT(D1041:L1041)=0,"",MAX(D1041:L1041))</f>
        <v/>
      </c>
      <c r="P1041" s="9">
        <f>IF(OR(M1041="",M1041=0),"",(O1041-M1041)/M1041)</f>
        <v/>
      </c>
      <c r="Q1041" s="7">
        <f>IF(COUNT(D1041:L1041)=0,"",INDEX($D$1:$L$1,MATCH(MIN(D1041:L1041),D1041:L1041,0)))</f>
        <v/>
      </c>
      <c r="R1041" s="8" t="n">
        <v>1846.63</v>
      </c>
      <c r="S1041" s="10" t="n">
        <v>1</v>
      </c>
    </row>
    <row r="1042">
      <c r="A1042" s="7" t="inlineStr">
        <is>
          <t>MAT-23-020</t>
        </is>
      </c>
      <c r="B1042" s="4" t="inlineStr">
        <is>
          <t>Angular de aluminio 2" x 2" x 19.20 pies</t>
        </is>
      </c>
      <c r="C1042" s="7" t="inlineStr">
        <is>
          <t>unidad</t>
        </is>
      </c>
      <c r="D1042" s="8" t="n">
        <v>3334.76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>
        <f>IF(COUNT(D1042:L1042)=0,"",MIN(D1042:L1042))</f>
        <v/>
      </c>
      <c r="N1042" s="8">
        <f>IF(COUNT(D1042:L1042)=0,"",MEDIAN(D1042:L1042))</f>
        <v/>
      </c>
      <c r="O1042" s="8">
        <f>IF(COUNT(D1042:L1042)=0,"",MAX(D1042:L1042))</f>
        <v/>
      </c>
      <c r="P1042" s="9">
        <f>IF(OR(M1042="",M1042=0),"",(O1042-M1042)/M1042)</f>
        <v/>
      </c>
      <c r="Q1042" s="7">
        <f>IF(COUNT(D1042:L1042)=0,"",INDEX($D$1:$L$1,MATCH(MIN(D1042:L1042),D1042:L1042,0)))</f>
        <v/>
      </c>
      <c r="R1042" s="8" t="n">
        <v>3334.76</v>
      </c>
      <c r="S1042" s="10" t="n">
        <v>1</v>
      </c>
    </row>
    <row r="1043">
      <c r="A1043" s="7" t="inlineStr">
        <is>
          <t>MAT-23-021</t>
        </is>
      </c>
      <c r="B1043" s="4" t="inlineStr">
        <is>
          <t>Planchuela de aluminio 3" x 3/16" x 19.20 pies</t>
        </is>
      </c>
      <c r="C1043" s="7" t="inlineStr">
        <is>
          <t>unidad</t>
        </is>
      </c>
      <c r="D1043" s="8" t="n">
        <v>2695.59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>
        <f>IF(COUNT(D1043:L1043)=0,"",MIN(D1043:L1043))</f>
        <v/>
      </c>
      <c r="N1043" s="8">
        <f>IF(COUNT(D1043:L1043)=0,"",MEDIAN(D1043:L1043))</f>
        <v/>
      </c>
      <c r="O1043" s="8">
        <f>IF(COUNT(D1043:L1043)=0,"",MAX(D1043:L1043))</f>
        <v/>
      </c>
      <c r="P1043" s="9">
        <f>IF(OR(M1043="",M1043=0),"",(O1043-M1043)/M1043)</f>
        <v/>
      </c>
      <c r="Q1043" s="7">
        <f>IF(COUNT(D1043:L1043)=0,"",INDEX($D$1:$L$1,MATCH(MIN(D1043:L1043),D1043:L1043,0)))</f>
        <v/>
      </c>
      <c r="R1043" s="8" t="n">
        <v>2695.59</v>
      </c>
      <c r="S1043" s="10" t="n">
        <v>1</v>
      </c>
    </row>
    <row r="1044">
      <c r="A1044" s="7" t="inlineStr">
        <is>
          <t>MAT-23-022</t>
        </is>
      </c>
      <c r="B1044" s="4" t="inlineStr">
        <is>
          <t>Perfil rectangular de aluminio 3" x 1 1/2" x 19.20 pies</t>
        </is>
      </c>
      <c r="C1044" s="7" t="inlineStr">
        <is>
          <t>unidad</t>
        </is>
      </c>
      <c r="D1044" s="8" t="n">
        <v>3956.93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>
        <f>IF(COUNT(D1044:L1044)=0,"",MIN(D1044:L1044))</f>
        <v/>
      </c>
      <c r="N1044" s="8">
        <f>IF(COUNT(D1044:L1044)=0,"",MEDIAN(D1044:L1044))</f>
        <v/>
      </c>
      <c r="O1044" s="8">
        <f>IF(COUNT(D1044:L1044)=0,"",MAX(D1044:L1044))</f>
        <v/>
      </c>
      <c r="P1044" s="9">
        <f>IF(OR(M1044="",M1044=0),"",(O1044-M1044)/M1044)</f>
        <v/>
      </c>
      <c r="Q1044" s="7">
        <f>IF(COUNT(D1044:L1044)=0,"",INDEX($D$1:$L$1,MATCH(MIN(D1044:L1044),D1044:L1044,0)))</f>
        <v/>
      </c>
      <c r="R1044" s="8" t="n">
        <v>3956.93</v>
      </c>
      <c r="S1044" s="10" t="n">
        <v>1</v>
      </c>
    </row>
    <row r="1045">
      <c r="A1045" s="7" t="inlineStr">
        <is>
          <t>MAT-23-023</t>
        </is>
      </c>
      <c r="B1045" s="4" t="inlineStr">
        <is>
          <t>Planchuela de aluminio 4" x 1/8" x 19.20 pies</t>
        </is>
      </c>
      <c r="C1045" s="7" t="inlineStr">
        <is>
          <t>unidad</t>
        </is>
      </c>
      <c r="D1045" s="8" t="n">
        <v>3464.55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>
        <f>IF(COUNT(D1045:L1045)=0,"",MIN(D1045:L1045))</f>
        <v/>
      </c>
      <c r="N1045" s="8">
        <f>IF(COUNT(D1045:L1045)=0,"",MEDIAN(D1045:L1045))</f>
        <v/>
      </c>
      <c r="O1045" s="8">
        <f>IF(COUNT(D1045:L1045)=0,"",MAX(D1045:L1045))</f>
        <v/>
      </c>
      <c r="P1045" s="9">
        <f>IF(OR(M1045="",M1045=0),"",(O1045-M1045)/M1045)</f>
        <v/>
      </c>
      <c r="Q1045" s="7">
        <f>IF(COUNT(D1045:L1045)=0,"",INDEX($D$1:$L$1,MATCH(MIN(D1045:L1045),D1045:L1045,0)))</f>
        <v/>
      </c>
      <c r="R1045" s="8" t="n">
        <v>3464.55</v>
      </c>
      <c r="S1045" s="10" t="n">
        <v>1</v>
      </c>
    </row>
    <row r="1046">
      <c r="A1046" s="7" t="inlineStr">
        <is>
          <t>MAT-23-024</t>
        </is>
      </c>
      <c r="B1046" s="4" t="inlineStr">
        <is>
          <t>Perfil rectangular de aluminio 4" x 1 3/4" x 19.20 pies</t>
        </is>
      </c>
      <c r="C1046" s="7" t="inlineStr">
        <is>
          <t>unidad</t>
        </is>
      </c>
      <c r="D1046" s="8" t="n">
        <v>5142.65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>
        <f>IF(COUNT(D1046:L1046)=0,"",MIN(D1046:L1046))</f>
        <v/>
      </c>
      <c r="N1046" s="8">
        <f>IF(COUNT(D1046:L1046)=0,"",MEDIAN(D1046:L1046))</f>
        <v/>
      </c>
      <c r="O1046" s="8">
        <f>IF(COUNT(D1046:L1046)=0,"",MAX(D1046:L1046))</f>
        <v/>
      </c>
      <c r="P1046" s="9">
        <f>IF(OR(M1046="",M1046=0),"",(O1046-M1046)/M1046)</f>
        <v/>
      </c>
      <c r="Q1046" s="7">
        <f>IF(COUNT(D1046:L1046)=0,"",INDEX($D$1:$L$1,MATCH(MIN(D1046:L1046),D1046:L1046,0)))</f>
        <v/>
      </c>
      <c r="R1046" s="8" t="n">
        <v>5142.65</v>
      </c>
      <c r="S1046" s="10" t="n">
        <v>1</v>
      </c>
    </row>
    <row r="1047">
      <c r="A1047" s="7" t="inlineStr">
        <is>
          <t>MAT-23-025</t>
        </is>
      </c>
      <c r="B1047" s="4" t="inlineStr">
        <is>
          <t>Angular de aluminio, 1X1"X19'</t>
        </is>
      </c>
      <c r="C1047" s="7" t="inlineStr">
        <is>
          <t>unidad</t>
        </is>
      </c>
      <c r="D1047" s="8" t="n"/>
      <c r="E1047" s="8" t="n"/>
      <c r="F1047" s="8" t="n"/>
      <c r="G1047" s="8" t="n"/>
      <c r="H1047" s="8" t="n"/>
      <c r="I1047" s="8" t="n">
        <v>750</v>
      </c>
      <c r="J1047" s="8" t="n"/>
      <c r="K1047" s="8" t="n"/>
      <c r="L1047" s="8" t="n"/>
      <c r="M1047" s="8">
        <f>IF(COUNT(D1047:L1047)=0,"",MIN(D1047:L1047))</f>
        <v/>
      </c>
      <c r="N1047" s="8">
        <f>IF(COUNT(D1047:L1047)=0,"",MEDIAN(D1047:L1047))</f>
        <v/>
      </c>
      <c r="O1047" s="8">
        <f>IF(COUNT(D1047:L1047)=0,"",MAX(D1047:L1047))</f>
        <v/>
      </c>
      <c r="P1047" s="9">
        <f>IF(OR(M1047="",M1047=0),"",(O1047-M1047)/M1047)</f>
        <v/>
      </c>
      <c r="Q1047" s="7">
        <f>IF(COUNT(D1047:L1047)=0,"",INDEX($D$1:$L$1,MATCH(MIN(D1047:L1047),D1047:L1047,0)))</f>
        <v/>
      </c>
      <c r="R1047" s="8" t="n">
        <v>750</v>
      </c>
      <c r="S1047" s="10" t="n">
        <v>1</v>
      </c>
    </row>
    <row r="1048">
      <c r="A1048" s="7" t="inlineStr">
        <is>
          <t>MAT-23-026</t>
        </is>
      </c>
      <c r="B1048" s="4" t="inlineStr">
        <is>
          <t>Angular de aluminio, 3/4X1/2"X19'</t>
        </is>
      </c>
      <c r="C1048" s="7" t="inlineStr">
        <is>
          <t>unidad</t>
        </is>
      </c>
      <c r="D1048" s="8" t="n"/>
      <c r="E1048" s="8" t="n"/>
      <c r="F1048" s="8" t="n"/>
      <c r="G1048" s="8" t="n"/>
      <c r="H1048" s="8" t="n"/>
      <c r="I1048" s="8" t="n">
        <v>398</v>
      </c>
      <c r="J1048" s="8" t="n"/>
      <c r="K1048" s="8" t="n"/>
      <c r="L1048" s="8" t="n"/>
      <c r="M1048" s="8">
        <f>IF(COUNT(D1048:L1048)=0,"",MIN(D1048:L1048))</f>
        <v/>
      </c>
      <c r="N1048" s="8">
        <f>IF(COUNT(D1048:L1048)=0,"",MEDIAN(D1048:L1048))</f>
        <v/>
      </c>
      <c r="O1048" s="8">
        <f>IF(COUNT(D1048:L1048)=0,"",MAX(D1048:L1048))</f>
        <v/>
      </c>
      <c r="P1048" s="9">
        <f>IF(OR(M1048="",M1048=0),"",(O1048-M1048)/M1048)</f>
        <v/>
      </c>
      <c r="Q1048" s="7">
        <f>IF(COUNT(D1048:L1048)=0,"",INDEX($D$1:$L$1,MATCH(MIN(D1048:L1048),D1048:L1048,0)))</f>
        <v/>
      </c>
      <c r="R1048" s="8" t="n">
        <v>398</v>
      </c>
      <c r="S1048" s="10" t="n">
        <v>1</v>
      </c>
    </row>
    <row r="1049">
      <c r="A1049" s="7" t="inlineStr">
        <is>
          <t>MAT-24-001</t>
        </is>
      </c>
      <c r="B1049" s="4" t="inlineStr">
        <is>
          <t>Inodoro de una pieza</t>
        </is>
      </c>
      <c r="C1049" s="7" t="inlineStr">
        <is>
          <t>unidad</t>
        </is>
      </c>
      <c r="D1049" s="8" t="n">
        <v>5981.36</v>
      </c>
      <c r="E1049" s="8" t="n">
        <v>5932.2</v>
      </c>
      <c r="F1049" s="8" t="n">
        <v>9971</v>
      </c>
      <c r="G1049" s="8" t="n">
        <v>5950</v>
      </c>
      <c r="H1049" s="8" t="n"/>
      <c r="I1049" s="8" t="n">
        <v>4225</v>
      </c>
      <c r="J1049" s="8" t="n"/>
      <c r="K1049" s="8" t="n"/>
      <c r="L1049" s="8" t="n"/>
      <c r="M1049" s="8">
        <f>IF(COUNT(D1049:L1049)=0,"",MIN(D1049:L1049))</f>
        <v/>
      </c>
      <c r="N1049" s="8">
        <f>IF(COUNT(D1049:L1049)=0,"",MEDIAN(D1049:L1049))</f>
        <v/>
      </c>
      <c r="O1049" s="8">
        <f>IF(COUNT(D1049:L1049)=0,"",MAX(D1049:L1049))</f>
        <v/>
      </c>
      <c r="P1049" s="9">
        <f>IF(OR(M1049="",M1049=0),"",(O1049-M1049)/M1049)</f>
        <v/>
      </c>
      <c r="Q1049" s="7">
        <f>IF(COUNT(D1049:L1049)=0,"",INDEX($D$1:$L$1,MATCH(MIN(D1049:L1049),D1049:L1049,0)))</f>
        <v/>
      </c>
      <c r="R1049" s="8" t="n">
        <v>10235</v>
      </c>
      <c r="S1049" s="10" t="n">
        <v>5</v>
      </c>
    </row>
    <row r="1050">
      <c r="A1050" s="7" t="inlineStr">
        <is>
          <t>MAT-24-002</t>
        </is>
      </c>
      <c r="B1050" s="4" t="inlineStr">
        <is>
          <t>Inodoro infantil</t>
        </is>
      </c>
      <c r="C1050" s="7" t="inlineStr">
        <is>
          <t>unidad</t>
        </is>
      </c>
      <c r="D1050" s="8" t="n"/>
      <c r="E1050" s="8" t="n">
        <v>6348.02</v>
      </c>
      <c r="F1050" s="8" t="n"/>
      <c r="G1050" s="8" t="n">
        <v>13750</v>
      </c>
      <c r="H1050" s="8" t="n"/>
      <c r="I1050" s="8" t="n"/>
      <c r="J1050" s="8" t="n"/>
      <c r="K1050" s="8" t="n"/>
      <c r="L1050" s="8" t="n"/>
      <c r="M1050" s="8">
        <f>IF(COUNT(D1050:L1050)=0,"",MIN(D1050:L1050))</f>
        <v/>
      </c>
      <c r="N1050" s="8">
        <f>IF(COUNT(D1050:L1050)=0,"",MEDIAN(D1050:L1050))</f>
        <v/>
      </c>
      <c r="O1050" s="8">
        <f>IF(COUNT(D1050:L1050)=0,"",MAX(D1050:L1050))</f>
        <v/>
      </c>
      <c r="P1050" s="9">
        <f>IF(OR(M1050="",M1050=0),"",(O1050-M1050)/M1050)</f>
        <v/>
      </c>
      <c r="Q1050" s="7">
        <f>IF(COUNT(D1050:L1050)=0,"",INDEX($D$1:$L$1,MATCH(MIN(D1050:L1050),D1050:L1050,0)))</f>
        <v/>
      </c>
      <c r="R1050" s="8" t="n">
        <v>10620.33</v>
      </c>
      <c r="S1050" s="10" t="n">
        <v>2</v>
      </c>
    </row>
    <row r="1051">
      <c r="A1051" s="7" t="inlineStr">
        <is>
          <t>MAT-24-003</t>
        </is>
      </c>
      <c r="B1051" s="4" t="inlineStr">
        <is>
          <t>Inodoro suspendido</t>
        </is>
      </c>
      <c r="C1051" s="7" t="inlineStr">
        <is>
          <t>unidad</t>
        </is>
      </c>
      <c r="D1051" s="8" t="n"/>
      <c r="E1051" s="8" t="n">
        <v>5440.14</v>
      </c>
      <c r="F1051" s="8" t="n"/>
      <c r="G1051" s="8" t="n">
        <v>554.97</v>
      </c>
      <c r="H1051" s="8" t="n"/>
      <c r="I1051" s="8" t="n"/>
      <c r="J1051" s="8" t="n"/>
      <c r="K1051" s="8" t="n"/>
      <c r="L1051" s="8" t="n"/>
      <c r="M1051" s="8">
        <f>IF(COUNT(D1051:L1051)=0,"",MIN(D1051:L1051))</f>
        <v/>
      </c>
      <c r="N1051" s="8">
        <f>IF(COUNT(D1051:L1051)=0,"",MEDIAN(D1051:L1051))</f>
        <v/>
      </c>
      <c r="O1051" s="8">
        <f>IF(COUNT(D1051:L1051)=0,"",MAX(D1051:L1051))</f>
        <v/>
      </c>
      <c r="P1051" s="9">
        <f>IF(OR(M1051="",M1051=0),"",(O1051-M1051)/M1051)</f>
        <v/>
      </c>
      <c r="Q1051" s="7">
        <f>IF(COUNT(D1051:L1051)=0,"",INDEX($D$1:$L$1,MATCH(MIN(D1051:L1051),D1051:L1051,0)))</f>
        <v/>
      </c>
      <c r="R1051" s="8" t="n">
        <v>29804.18</v>
      </c>
      <c r="S1051" s="10" t="n">
        <v>2</v>
      </c>
    </row>
    <row r="1052">
      <c r="A1052" s="7" t="inlineStr">
        <is>
          <t>MAT-24-004</t>
        </is>
      </c>
      <c r="B1052" s="4" t="inlineStr">
        <is>
          <t>Inodoro de dos piezas</t>
        </is>
      </c>
      <c r="C1052" s="7" t="inlineStr">
        <is>
          <t>unidad</t>
        </is>
      </c>
      <c r="D1052" s="8" t="n"/>
      <c r="E1052" s="8" t="n">
        <v>6355.93</v>
      </c>
      <c r="F1052" s="8" t="n">
        <v>5320</v>
      </c>
      <c r="G1052" s="8" t="n"/>
      <c r="H1052" s="8" t="n"/>
      <c r="I1052" s="8" t="n"/>
      <c r="J1052" s="8" t="n"/>
      <c r="K1052" s="8" t="n"/>
      <c r="L1052" s="8" t="n"/>
      <c r="M1052" s="8">
        <f>IF(COUNT(D1052:L1052)=0,"",MIN(D1052:L1052))</f>
        <v/>
      </c>
      <c r="N1052" s="8">
        <f>IF(COUNT(D1052:L1052)=0,"",MEDIAN(D1052:L1052))</f>
        <v/>
      </c>
      <c r="O1052" s="8">
        <f>IF(COUNT(D1052:L1052)=0,"",MAX(D1052:L1052))</f>
        <v/>
      </c>
      <c r="P1052" s="9">
        <f>IF(OR(M1052="",M1052=0),"",(O1052-M1052)/M1052)</f>
        <v/>
      </c>
      <c r="Q1052" s="7">
        <f>IF(COUNT(D1052:L1052)=0,"",INDEX($D$1:$L$1,MATCH(MIN(D1052:L1052),D1052:L1052,0)))</f>
        <v/>
      </c>
      <c r="R1052" s="8" t="n">
        <v>10342.97</v>
      </c>
      <c r="S1052" s="10" t="n">
        <v>2</v>
      </c>
    </row>
    <row r="1053">
      <c r="A1053" s="7" t="inlineStr">
        <is>
          <t>MAT-24-005</t>
        </is>
      </c>
      <c r="B1053" s="4" t="inlineStr">
        <is>
          <t>Tanque para inodoro de dos piezas</t>
        </is>
      </c>
      <c r="C1053" s="7" t="inlineStr">
        <is>
          <t>unidad</t>
        </is>
      </c>
      <c r="D1053" s="8" t="n">
        <v>586.47</v>
      </c>
      <c r="E1053" s="8" t="n"/>
      <c r="F1053" s="8" t="n"/>
      <c r="G1053" s="8" t="n"/>
      <c r="H1053" s="8" t="n"/>
      <c r="I1053" s="8" t="n">
        <v>12715</v>
      </c>
      <c r="J1053" s="8" t="n"/>
      <c r="K1053" s="8" t="n"/>
      <c r="L1053" s="8" t="n"/>
      <c r="M1053" s="8">
        <f>IF(COUNT(D1053:L1053)=0,"",MIN(D1053:L1053))</f>
        <v/>
      </c>
      <c r="N1053" s="8">
        <f>IF(COUNT(D1053:L1053)=0,"",MEDIAN(D1053:L1053))</f>
        <v/>
      </c>
      <c r="O1053" s="8">
        <f>IF(COUNT(D1053:L1053)=0,"",MAX(D1053:L1053))</f>
        <v/>
      </c>
      <c r="P1053" s="9">
        <f>IF(OR(M1053="",M1053=0),"",(O1053-M1053)/M1053)</f>
        <v/>
      </c>
      <c r="Q1053" s="7">
        <f>IF(COUNT(D1053:L1053)=0,"",INDEX($D$1:$L$1,MATCH(MIN(D1053:L1053),D1053:L1053,0)))</f>
        <v/>
      </c>
      <c r="R1053" s="8" t="n">
        <v>4050.93</v>
      </c>
      <c r="S1053" s="10" t="n">
        <v>2</v>
      </c>
    </row>
    <row r="1054">
      <c r="A1054" s="7" t="inlineStr">
        <is>
          <t>MAT-24-006</t>
        </is>
      </c>
      <c r="B1054" s="4" t="inlineStr">
        <is>
          <t>Basineta para inodoro de dos piezas</t>
        </is>
      </c>
      <c r="C1054" s="7" t="inlineStr">
        <is>
          <t>unidad</t>
        </is>
      </c>
      <c r="D1054" s="8" t="n">
        <v>2129.12</v>
      </c>
      <c r="E1054" s="8" t="n">
        <v>4225.59</v>
      </c>
      <c r="F1054" s="8" t="n"/>
      <c r="G1054" s="8" t="n"/>
      <c r="H1054" s="8" t="n"/>
      <c r="I1054" s="8" t="n"/>
      <c r="J1054" s="8" t="n"/>
      <c r="K1054" s="8" t="n"/>
      <c r="L1054" s="8" t="n"/>
      <c r="M1054" s="8">
        <f>IF(COUNT(D1054:L1054)=0,"",MIN(D1054:L1054))</f>
        <v/>
      </c>
      <c r="N1054" s="8">
        <f>IF(COUNT(D1054:L1054)=0,"",MEDIAN(D1054:L1054))</f>
        <v/>
      </c>
      <c r="O1054" s="8">
        <f>IF(COUNT(D1054:L1054)=0,"",MAX(D1054:L1054))</f>
        <v/>
      </c>
      <c r="P1054" s="9">
        <f>IF(OR(M1054="",M1054=0),"",(O1054-M1054)/M1054)</f>
        <v/>
      </c>
      <c r="Q1054" s="7">
        <f>IF(COUNT(D1054:L1054)=0,"",INDEX($D$1:$L$1,MATCH(MIN(D1054:L1054),D1054:L1054,0)))</f>
        <v/>
      </c>
      <c r="R1054" s="8" t="n">
        <v>5571.51</v>
      </c>
      <c r="S1054" s="10" t="n">
        <v>2</v>
      </c>
    </row>
    <row r="1055">
      <c r="A1055" s="7" t="inlineStr">
        <is>
          <t>MAT-24-007</t>
        </is>
      </c>
      <c r="B1055" s="4" t="inlineStr">
        <is>
          <t>Taza para fluxómetro</t>
        </is>
      </c>
      <c r="C1055" s="7" t="inlineStr">
        <is>
          <t>unidad</t>
        </is>
      </c>
      <c r="D1055" s="8" t="n"/>
      <c r="E1055" s="8" t="n">
        <v>5857.58</v>
      </c>
      <c r="F1055" s="8" t="n"/>
      <c r="G1055" s="8" t="n">
        <v>8400</v>
      </c>
      <c r="H1055" s="8" t="n"/>
      <c r="I1055" s="8" t="n">
        <v>3925</v>
      </c>
      <c r="J1055" s="8" t="n"/>
      <c r="K1055" s="8" t="n"/>
      <c r="L1055" s="8" t="n"/>
      <c r="M1055" s="8">
        <f>IF(COUNT(D1055:L1055)=0,"",MIN(D1055:L1055))</f>
        <v/>
      </c>
      <c r="N1055" s="8">
        <f>IF(COUNT(D1055:L1055)=0,"",MEDIAN(D1055:L1055))</f>
        <v/>
      </c>
      <c r="O1055" s="8">
        <f>IF(COUNT(D1055:L1055)=0,"",MAX(D1055:L1055))</f>
        <v/>
      </c>
      <c r="P1055" s="9">
        <f>IF(OR(M1055="",M1055=0),"",(O1055-M1055)/M1055)</f>
        <v/>
      </c>
      <c r="Q1055" s="7">
        <f>IF(COUNT(D1055:L1055)=0,"",INDEX($D$1:$L$1,MATCH(MIN(D1055:L1055),D1055:L1055,0)))</f>
        <v/>
      </c>
      <c r="R1055" s="8" t="n">
        <v>9187</v>
      </c>
      <c r="S1055" s="10" t="n">
        <v>3</v>
      </c>
    </row>
    <row r="1056">
      <c r="A1056" s="7" t="inlineStr">
        <is>
          <t>MAT-24-008</t>
        </is>
      </c>
      <c r="B1056" s="4" t="inlineStr">
        <is>
          <t>Urinario de porcelana</t>
        </is>
      </c>
      <c r="C1056" s="7" t="inlineStr">
        <is>
          <t>unidad</t>
        </is>
      </c>
      <c r="D1056" s="8" t="n">
        <v>4422.13</v>
      </c>
      <c r="E1056" s="8" t="n">
        <v>4650</v>
      </c>
      <c r="F1056" s="8" t="n"/>
      <c r="G1056" s="8" t="n">
        <v>6995</v>
      </c>
      <c r="H1056" s="8" t="n"/>
      <c r="I1056" s="8" t="n">
        <v>4362</v>
      </c>
      <c r="J1056" s="8" t="n"/>
      <c r="K1056" s="8" t="n"/>
      <c r="L1056" s="8" t="n"/>
      <c r="M1056" s="8">
        <f>IF(COUNT(D1056:L1056)=0,"",MIN(D1056:L1056))</f>
        <v/>
      </c>
      <c r="N1056" s="8">
        <f>IF(COUNT(D1056:L1056)=0,"",MEDIAN(D1056:L1056))</f>
        <v/>
      </c>
      <c r="O1056" s="8">
        <f>IF(COUNT(D1056:L1056)=0,"",MAX(D1056:L1056))</f>
        <v/>
      </c>
      <c r="P1056" s="9">
        <f>IF(OR(M1056="",M1056=0),"",(O1056-M1056)/M1056)</f>
        <v/>
      </c>
      <c r="Q1056" s="7">
        <f>IF(COUNT(D1056:L1056)=0,"",INDEX($D$1:$L$1,MATCH(MIN(D1056:L1056),D1056:L1056,0)))</f>
        <v/>
      </c>
      <c r="R1056" s="8" t="n">
        <v>9995</v>
      </c>
      <c r="S1056" s="10" t="n">
        <v>4</v>
      </c>
    </row>
    <row r="1057">
      <c r="A1057" s="7" t="inlineStr">
        <is>
          <t>MAT-24-009</t>
        </is>
      </c>
      <c r="B1057" s="4" t="inlineStr">
        <is>
          <t>Bidé</t>
        </is>
      </c>
      <c r="C1057" s="7" t="inlineStr">
        <is>
          <t>unidad</t>
        </is>
      </c>
      <c r="D1057" s="8" t="n"/>
      <c r="E1057" s="8" t="n">
        <v>12574.54</v>
      </c>
      <c r="F1057" s="8" t="n">
        <v>3998</v>
      </c>
      <c r="G1057" s="8" t="n">
        <v>17500</v>
      </c>
      <c r="H1057" s="8" t="n"/>
      <c r="I1057" s="8" t="n">
        <v>5937</v>
      </c>
      <c r="J1057" s="8" t="n"/>
      <c r="K1057" s="8" t="n"/>
      <c r="L1057" s="8" t="n"/>
      <c r="M1057" s="8">
        <f>IF(COUNT(D1057:L1057)=0,"",MIN(D1057:L1057))</f>
        <v/>
      </c>
      <c r="N1057" s="8">
        <f>IF(COUNT(D1057:L1057)=0,"",MEDIAN(D1057:L1057))</f>
        <v/>
      </c>
      <c r="O1057" s="8">
        <f>IF(COUNT(D1057:L1057)=0,"",MAX(D1057:L1057))</f>
        <v/>
      </c>
      <c r="P1057" s="9">
        <f>IF(OR(M1057="",M1057=0),"",(O1057-M1057)/M1057)</f>
        <v/>
      </c>
      <c r="Q1057" s="7">
        <f>IF(COUNT(D1057:L1057)=0,"",INDEX($D$1:$L$1,MATCH(MIN(D1057:L1057),D1057:L1057,0)))</f>
        <v/>
      </c>
      <c r="R1057" s="8" t="n">
        <v>20490</v>
      </c>
      <c r="S1057" s="10" t="n">
        <v>4</v>
      </c>
    </row>
    <row r="1058">
      <c r="A1058" s="7" t="inlineStr">
        <is>
          <t>MAT-24-010</t>
        </is>
      </c>
      <c r="B1058" s="4" t="inlineStr">
        <is>
          <t>Kit de instalación de inodoro</t>
        </is>
      </c>
      <c r="C1058" s="7" t="inlineStr">
        <is>
          <t>juego</t>
        </is>
      </c>
      <c r="D1058" s="8" t="n">
        <v>1773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>
        <f>IF(COUNT(D1058:L1058)=0,"",MIN(D1058:L1058))</f>
        <v/>
      </c>
      <c r="N1058" s="8">
        <f>IF(COUNT(D1058:L1058)=0,"",MEDIAN(D1058:L1058))</f>
        <v/>
      </c>
      <c r="O1058" s="8">
        <f>IF(COUNT(D1058:L1058)=0,"",MAX(D1058:L1058))</f>
        <v/>
      </c>
      <c r="P1058" s="9">
        <f>IF(OR(M1058="",M1058=0),"",(O1058-M1058)/M1058)</f>
        <v/>
      </c>
      <c r="Q1058" s="7">
        <f>IF(COUNT(D1058:L1058)=0,"",INDEX($D$1:$L$1,MATCH(MIN(D1058:L1058),D1058:L1058,0)))</f>
        <v/>
      </c>
      <c r="R1058" s="8" t="n">
        <v>1773</v>
      </c>
      <c r="S1058" s="10" t="n">
        <v>1</v>
      </c>
    </row>
    <row r="1059">
      <c r="A1059" s="7" t="inlineStr">
        <is>
          <t>MAT-25-001</t>
        </is>
      </c>
      <c r="B1059" s="4" t="inlineStr">
        <is>
          <t>Lavamanos</t>
        </is>
      </c>
      <c r="C1059" s="7" t="inlineStr">
        <is>
          <t>unidad</t>
        </is>
      </c>
      <c r="D1059" s="8" t="n">
        <v>5360.96</v>
      </c>
      <c r="E1059" s="8" t="n"/>
      <c r="F1059" s="8" t="n"/>
      <c r="G1059" s="8" t="n">
        <v>1600</v>
      </c>
      <c r="H1059" s="8" t="n">
        <v>910</v>
      </c>
      <c r="I1059" s="8" t="n"/>
      <c r="J1059" s="8" t="n"/>
      <c r="K1059" s="8" t="n"/>
      <c r="L1059" s="8" t="n"/>
      <c r="M1059" s="8">
        <f>IF(COUNT(D1059:L1059)=0,"",MIN(D1059:L1059))</f>
        <v/>
      </c>
      <c r="N1059" s="8">
        <f>IF(COUNT(D1059:L1059)=0,"",MEDIAN(D1059:L1059))</f>
        <v/>
      </c>
      <c r="O1059" s="8">
        <f>IF(COUNT(D1059:L1059)=0,"",MAX(D1059:L1059))</f>
        <v/>
      </c>
      <c r="P1059" s="9">
        <f>IF(OR(M1059="",M1059=0),"",(O1059-M1059)/M1059)</f>
        <v/>
      </c>
      <c r="Q1059" s="7">
        <f>IF(COUNT(D1059:L1059)=0,"",INDEX($D$1:$L$1,MATCH(MIN(D1059:L1059),D1059:L1059,0)))</f>
        <v/>
      </c>
      <c r="R1059" s="8" t="n">
        <v>9590</v>
      </c>
      <c r="S1059" s="10" t="n">
        <v>3</v>
      </c>
    </row>
    <row r="1060">
      <c r="A1060" s="7" t="inlineStr">
        <is>
          <t>MAT-25-002</t>
        </is>
      </c>
      <c r="B1060" s="4" t="inlineStr">
        <is>
          <t>Lavamanos, de empotrar</t>
        </is>
      </c>
      <c r="C1060" s="7" t="inlineStr">
        <is>
          <t>unidad</t>
        </is>
      </c>
      <c r="D1060" s="8" t="n">
        <v>684.67</v>
      </c>
      <c r="E1060" s="8" t="n">
        <v>1763.31</v>
      </c>
      <c r="F1060" s="8" t="n"/>
      <c r="G1060" s="8" t="n">
        <v>3535.4</v>
      </c>
      <c r="H1060" s="8" t="n"/>
      <c r="I1060" s="8" t="n">
        <v>1585</v>
      </c>
      <c r="J1060" s="8" t="n"/>
      <c r="K1060" s="8" t="n"/>
      <c r="L1060" s="8" t="n"/>
      <c r="M1060" s="8">
        <f>IF(COUNT(D1060:L1060)=0,"",MIN(D1060:L1060))</f>
        <v/>
      </c>
      <c r="N1060" s="8">
        <f>IF(COUNT(D1060:L1060)=0,"",MEDIAN(D1060:L1060))</f>
        <v/>
      </c>
      <c r="O1060" s="8">
        <f>IF(COUNT(D1060:L1060)=0,"",MAX(D1060:L1060))</f>
        <v/>
      </c>
      <c r="P1060" s="9">
        <f>IF(OR(M1060="",M1060=0),"",(O1060-M1060)/M1060)</f>
        <v/>
      </c>
      <c r="Q1060" s="7">
        <f>IF(COUNT(D1060:L1060)=0,"",INDEX($D$1:$L$1,MATCH(MIN(D1060:L1060),D1060:L1060,0)))</f>
        <v/>
      </c>
      <c r="R1060" s="8" t="n">
        <v>2937.04</v>
      </c>
      <c r="S1060" s="10" t="n">
        <v>4</v>
      </c>
    </row>
    <row r="1061">
      <c r="A1061" s="7" t="inlineStr">
        <is>
          <t>MAT-25-003</t>
        </is>
      </c>
      <c r="B1061" s="4" t="inlineStr">
        <is>
          <t>Lavamanos, de pared</t>
        </is>
      </c>
      <c r="C1061" s="7" t="inlineStr">
        <is>
          <t>unidad</t>
        </is>
      </c>
      <c r="D1061" s="8" t="n"/>
      <c r="E1061" s="8" t="n">
        <v>3058.2</v>
      </c>
      <c r="F1061" s="8" t="n"/>
      <c r="G1061" s="8" t="n"/>
      <c r="H1061" s="8" t="n"/>
      <c r="I1061" s="8" t="n">
        <v>995</v>
      </c>
      <c r="J1061" s="8" t="n"/>
      <c r="K1061" s="8" t="n"/>
      <c r="L1061" s="8" t="n"/>
      <c r="M1061" s="8">
        <f>IF(COUNT(D1061:L1061)=0,"",MIN(D1061:L1061))</f>
        <v/>
      </c>
      <c r="N1061" s="8">
        <f>IF(COUNT(D1061:L1061)=0,"",MEDIAN(D1061:L1061))</f>
        <v/>
      </c>
      <c r="O1061" s="8">
        <f>IF(COUNT(D1061:L1061)=0,"",MAX(D1061:L1061))</f>
        <v/>
      </c>
      <c r="P1061" s="9">
        <f>IF(OR(M1061="",M1061=0),"",(O1061-M1061)/M1061)</f>
        <v/>
      </c>
      <c r="Q1061" s="7">
        <f>IF(COUNT(D1061:L1061)=0,"",INDEX($D$1:$L$1,MATCH(MIN(D1061:L1061),D1061:L1061,0)))</f>
        <v/>
      </c>
      <c r="R1061" s="8" t="n">
        <v>7875</v>
      </c>
      <c r="S1061" s="10" t="n">
        <v>2</v>
      </c>
    </row>
    <row r="1062">
      <c r="A1062" s="7" t="inlineStr">
        <is>
          <t>MAT-25-004</t>
        </is>
      </c>
      <c r="B1062" s="4" t="inlineStr">
        <is>
          <t>Lavamanos, de pedestal</t>
        </is>
      </c>
      <c r="C1062" s="7" t="inlineStr">
        <is>
          <t>unidad</t>
        </is>
      </c>
      <c r="D1062" s="8" t="n">
        <v>1093</v>
      </c>
      <c r="E1062" s="8" t="n">
        <v>15434.59</v>
      </c>
      <c r="F1062" s="8" t="n">
        <v>3635</v>
      </c>
      <c r="G1062" s="8" t="n">
        <v>1750</v>
      </c>
      <c r="H1062" s="8" t="n"/>
      <c r="I1062" s="8" t="n">
        <v>216</v>
      </c>
      <c r="J1062" s="8" t="n"/>
      <c r="K1062" s="8" t="n"/>
      <c r="L1062" s="8" t="n"/>
      <c r="M1062" s="8">
        <f>IF(COUNT(D1062:L1062)=0,"",MIN(D1062:L1062))</f>
        <v/>
      </c>
      <c r="N1062" s="8">
        <f>IF(COUNT(D1062:L1062)=0,"",MEDIAN(D1062:L1062))</f>
        <v/>
      </c>
      <c r="O1062" s="8">
        <f>IF(COUNT(D1062:L1062)=0,"",MAX(D1062:L1062))</f>
        <v/>
      </c>
      <c r="P1062" s="9">
        <f>IF(OR(M1062="",M1062=0),"",(O1062-M1062)/M1062)</f>
        <v/>
      </c>
      <c r="Q1062" s="7">
        <f>IF(COUNT(D1062:L1062)=0,"",INDEX($D$1:$L$1,MATCH(MIN(D1062:L1062),D1062:L1062,0)))</f>
        <v/>
      </c>
      <c r="R1062" s="8" t="n">
        <v>2892</v>
      </c>
      <c r="S1062" s="10" t="n">
        <v>5</v>
      </c>
    </row>
    <row r="1063">
      <c r="A1063" s="7" t="inlineStr">
        <is>
          <t>MAT-25-005</t>
        </is>
      </c>
      <c r="B1063" s="4" t="inlineStr">
        <is>
          <t>Lavamanos, de sobreponer</t>
        </is>
      </c>
      <c r="C1063" s="7" t="inlineStr">
        <is>
          <t>unidad</t>
        </is>
      </c>
      <c r="D1063" s="8" t="n">
        <v>2085.37</v>
      </c>
      <c r="E1063" s="8" t="n">
        <v>1398.48</v>
      </c>
      <c r="F1063" s="8" t="n">
        <v>1150</v>
      </c>
      <c r="G1063" s="8" t="n">
        <v>5000</v>
      </c>
      <c r="H1063" s="8" t="n"/>
      <c r="I1063" s="8" t="n">
        <v>1495</v>
      </c>
      <c r="J1063" s="8" t="n"/>
      <c r="K1063" s="8" t="n"/>
      <c r="L1063" s="8" t="n"/>
      <c r="M1063" s="8">
        <f>IF(COUNT(D1063:L1063)=0,"",MIN(D1063:L1063))</f>
        <v/>
      </c>
      <c r="N1063" s="8">
        <f>IF(COUNT(D1063:L1063)=0,"",MEDIAN(D1063:L1063))</f>
        <v/>
      </c>
      <c r="O1063" s="8">
        <f>IF(COUNT(D1063:L1063)=0,"",MAX(D1063:L1063))</f>
        <v/>
      </c>
      <c r="P1063" s="9">
        <f>IF(OR(M1063="",M1063=0),"",(O1063-M1063)/M1063)</f>
        <v/>
      </c>
      <c r="Q1063" s="7">
        <f>IF(COUNT(D1063:L1063)=0,"",INDEX($D$1:$L$1,MATCH(MIN(D1063:L1063),D1063:L1063,0)))</f>
        <v/>
      </c>
      <c r="R1063" s="8" t="n">
        <v>4889.67</v>
      </c>
      <c r="S1063" s="10" t="n">
        <v>5</v>
      </c>
    </row>
    <row r="1064">
      <c r="A1064" s="7" t="inlineStr">
        <is>
          <t>MAT-25-006</t>
        </is>
      </c>
      <c r="B1064" s="4" t="inlineStr">
        <is>
          <t>Pedestal para lavamanos</t>
        </is>
      </c>
      <c r="C1064" s="7" t="inlineStr">
        <is>
          <t>unidad</t>
        </is>
      </c>
      <c r="D1064" s="8" t="n">
        <v>891.27</v>
      </c>
      <c r="E1064" s="8" t="n"/>
      <c r="F1064" s="8" t="n"/>
      <c r="G1064" s="8" t="n">
        <v>1100</v>
      </c>
      <c r="H1064" s="8" t="n"/>
      <c r="I1064" s="8" t="n"/>
      <c r="J1064" s="8" t="n"/>
      <c r="K1064" s="8" t="n"/>
      <c r="L1064" s="8" t="n"/>
      <c r="M1064" s="8">
        <f>IF(COUNT(D1064:L1064)=0,"",MIN(D1064:L1064))</f>
        <v/>
      </c>
      <c r="N1064" s="8">
        <f>IF(COUNT(D1064:L1064)=0,"",MEDIAN(D1064:L1064))</f>
        <v/>
      </c>
      <c r="O1064" s="8">
        <f>IF(COUNT(D1064:L1064)=0,"",MAX(D1064:L1064))</f>
        <v/>
      </c>
      <c r="P1064" s="9">
        <f>IF(OR(M1064="",M1064=0),"",(O1064-M1064)/M1064)</f>
        <v/>
      </c>
      <c r="Q1064" s="7">
        <f>IF(COUNT(D1064:L1064)=0,"",INDEX($D$1:$L$1,MATCH(MIN(D1064:L1064),D1064:L1064,0)))</f>
        <v/>
      </c>
      <c r="R1064" s="8" t="n">
        <v>2014.01</v>
      </c>
      <c r="S1064" s="10" t="n">
        <v>2</v>
      </c>
    </row>
    <row r="1065">
      <c r="A1065" s="7" t="inlineStr">
        <is>
          <t>MAT-25-007</t>
        </is>
      </c>
      <c r="B1065" s="4" t="inlineStr">
        <is>
          <t>Palometa para lavamanos</t>
        </is>
      </c>
      <c r="C1065" s="7" t="inlineStr">
        <is>
          <t>unidad</t>
        </is>
      </c>
      <c r="D1065" s="8" t="n">
        <v>57.88</v>
      </c>
      <c r="E1065" s="8" t="n"/>
      <c r="F1065" s="8" t="n">
        <v>141</v>
      </c>
      <c r="G1065" s="8" t="n"/>
      <c r="H1065" s="8" t="n"/>
      <c r="I1065" s="8" t="n"/>
      <c r="J1065" s="8" t="n"/>
      <c r="K1065" s="8" t="n"/>
      <c r="L1065" s="8" t="n"/>
      <c r="M1065" s="8">
        <f>IF(COUNT(D1065:L1065)=0,"",MIN(D1065:L1065))</f>
        <v/>
      </c>
      <c r="N1065" s="8">
        <f>IF(COUNT(D1065:L1065)=0,"",MEDIAN(D1065:L1065))</f>
        <v/>
      </c>
      <c r="O1065" s="8">
        <f>IF(COUNT(D1065:L1065)=0,"",MAX(D1065:L1065))</f>
        <v/>
      </c>
      <c r="P1065" s="9">
        <f>IF(OR(M1065="",M1065=0),"",(O1065-M1065)/M1065)</f>
        <v/>
      </c>
      <c r="Q1065" s="7">
        <f>IF(COUNT(D1065:L1065)=0,"",INDEX($D$1:$L$1,MATCH(MIN(D1065:L1065),D1065:L1065,0)))</f>
        <v/>
      </c>
      <c r="R1065" s="8" t="n">
        <v>80.59</v>
      </c>
      <c r="S1065" s="10" t="n">
        <v>2</v>
      </c>
    </row>
    <row r="1066">
      <c r="A1066" s="7" t="inlineStr">
        <is>
          <t>MAT-25-008</t>
        </is>
      </c>
      <c r="B1066" s="4" t="inlineStr">
        <is>
          <t>Conector de desagüe para lavamanos</t>
        </is>
      </c>
      <c r="C1066" s="7" t="inlineStr">
        <is>
          <t>unidad</t>
        </is>
      </c>
      <c r="D1066" s="8" t="n">
        <v>255.94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>
        <f>IF(COUNT(D1066:L1066)=0,"",MIN(D1066:L1066))</f>
        <v/>
      </c>
      <c r="N1066" s="8">
        <f>IF(COUNT(D1066:L1066)=0,"",MEDIAN(D1066:L1066))</f>
        <v/>
      </c>
      <c r="O1066" s="8">
        <f>IF(COUNT(D1066:L1066)=0,"",MAX(D1066:L1066))</f>
        <v/>
      </c>
      <c r="P1066" s="9">
        <f>IF(OR(M1066="",M1066=0),"",(O1066-M1066)/M1066)</f>
        <v/>
      </c>
      <c r="Q1066" s="7">
        <f>IF(COUNT(D1066:L1066)=0,"",INDEX($D$1:$L$1,MATCH(MIN(D1066:L1066),D1066:L1066,0)))</f>
        <v/>
      </c>
      <c r="R1066" s="8" t="n">
        <v>255.94</v>
      </c>
      <c r="S1066" s="10" t="n">
        <v>1</v>
      </c>
    </row>
    <row r="1067">
      <c r="A1067" s="7" t="inlineStr">
        <is>
          <t>MAT-26-001</t>
        </is>
      </c>
      <c r="B1067" s="4" t="inlineStr">
        <is>
          <t>Mueble de baño</t>
        </is>
      </c>
      <c r="C1067" s="7" t="inlineStr">
        <is>
          <t>unidad</t>
        </is>
      </c>
      <c r="D1067" s="8" t="n">
        <v>8614.57</v>
      </c>
      <c r="E1067" s="8" t="n"/>
      <c r="F1067" s="8" t="n"/>
      <c r="G1067" s="8" t="n"/>
      <c r="H1067" s="8" t="n"/>
      <c r="I1067" s="8" t="n">
        <v>1140</v>
      </c>
      <c r="J1067" s="8" t="n"/>
      <c r="K1067" s="8" t="n"/>
      <c r="L1067" s="8" t="n"/>
      <c r="M1067" s="8">
        <f>IF(COUNT(D1067:L1067)=0,"",MIN(D1067:L1067))</f>
        <v/>
      </c>
      <c r="N1067" s="8">
        <f>IF(COUNT(D1067:L1067)=0,"",MEDIAN(D1067:L1067))</f>
        <v/>
      </c>
      <c r="O1067" s="8">
        <f>IF(COUNT(D1067:L1067)=0,"",MAX(D1067:L1067))</f>
        <v/>
      </c>
      <c r="P1067" s="9">
        <f>IF(OR(M1067="",M1067=0),"",(O1067-M1067)/M1067)</f>
        <v/>
      </c>
      <c r="Q1067" s="7">
        <f>IF(COUNT(D1067:L1067)=0,"",INDEX($D$1:$L$1,MATCH(MIN(D1067:L1067),D1067:L1067,0)))</f>
        <v/>
      </c>
      <c r="R1067" s="8" t="n">
        <v>14668.75</v>
      </c>
      <c r="S1067" s="10" t="n">
        <v>2</v>
      </c>
    </row>
    <row r="1068">
      <c r="A1068" s="7" t="inlineStr">
        <is>
          <t>MAT-26-002</t>
        </is>
      </c>
      <c r="B1068" s="4" t="inlineStr">
        <is>
          <t>Mueble de baño, de pared</t>
        </is>
      </c>
      <c r="C1068" s="7" t="inlineStr">
        <is>
          <t>unidad</t>
        </is>
      </c>
      <c r="D1068" s="8" t="n">
        <v>5433.44</v>
      </c>
      <c r="E1068" s="8" t="n"/>
      <c r="F1068" s="8" t="n"/>
      <c r="G1068" s="8" t="n">
        <v>19500</v>
      </c>
      <c r="H1068" s="8" t="n">
        <v>13150</v>
      </c>
      <c r="I1068" s="8" t="n">
        <v>8120</v>
      </c>
      <c r="J1068" s="8" t="n"/>
      <c r="K1068" s="8" t="n"/>
      <c r="L1068" s="8" t="n"/>
      <c r="M1068" s="8">
        <f>IF(COUNT(D1068:L1068)=0,"",MIN(D1068:L1068))</f>
        <v/>
      </c>
      <c r="N1068" s="8">
        <f>IF(COUNT(D1068:L1068)=0,"",MEDIAN(D1068:L1068))</f>
        <v/>
      </c>
      <c r="O1068" s="8">
        <f>IF(COUNT(D1068:L1068)=0,"",MAX(D1068:L1068))</f>
        <v/>
      </c>
      <c r="P1068" s="9">
        <f>IF(OR(M1068="",M1068=0),"",(O1068-M1068)/M1068)</f>
        <v/>
      </c>
      <c r="Q1068" s="7">
        <f>IF(COUNT(D1068:L1068)=0,"",INDEX($D$1:$L$1,MATCH(MIN(D1068:L1068),D1068:L1068,0)))</f>
        <v/>
      </c>
      <c r="R1068" s="8" t="n">
        <v>19517.62</v>
      </c>
      <c r="S1068" s="10" t="n">
        <v>4</v>
      </c>
    </row>
    <row r="1069">
      <c r="A1069" s="7" t="inlineStr">
        <is>
          <t>MAT-26-003</t>
        </is>
      </c>
      <c r="B1069" s="4" t="inlineStr">
        <is>
          <t>Mueble de baño, de piso</t>
        </is>
      </c>
      <c r="C1069" s="7" t="inlineStr">
        <is>
          <t>unidad</t>
        </is>
      </c>
      <c r="D1069" s="8" t="n"/>
      <c r="E1069" s="8" t="n">
        <v>8141.3</v>
      </c>
      <c r="F1069" s="8" t="n">
        <v>21825</v>
      </c>
      <c r="G1069" s="8" t="n">
        <v>7800</v>
      </c>
      <c r="H1069" s="8" t="n">
        <v>2725</v>
      </c>
      <c r="I1069" s="8" t="n">
        <v>7012.5</v>
      </c>
      <c r="J1069" s="8" t="n"/>
      <c r="K1069" s="8" t="n"/>
      <c r="L1069" s="8" t="n"/>
      <c r="M1069" s="8">
        <f>IF(COUNT(D1069:L1069)=0,"",MIN(D1069:L1069))</f>
        <v/>
      </c>
      <c r="N1069" s="8">
        <f>IF(COUNT(D1069:L1069)=0,"",MEDIAN(D1069:L1069))</f>
        <v/>
      </c>
      <c r="O1069" s="8">
        <f>IF(COUNT(D1069:L1069)=0,"",MAX(D1069:L1069))</f>
        <v/>
      </c>
      <c r="P1069" s="9">
        <f>IF(OR(M1069="",M1069=0),"",(O1069-M1069)/M1069)</f>
        <v/>
      </c>
      <c r="Q1069" s="7">
        <f>IF(COUNT(D1069:L1069)=0,"",INDEX($D$1:$L$1,MATCH(MIN(D1069:L1069),D1069:L1069,0)))</f>
        <v/>
      </c>
      <c r="R1069" s="8" t="n">
        <v>21806.99</v>
      </c>
      <c r="S1069" s="10" t="n">
        <v>5</v>
      </c>
    </row>
    <row r="1070">
      <c r="A1070" s="7" t="inlineStr">
        <is>
          <t>MAT-26-004</t>
        </is>
      </c>
      <c r="B1070" s="4" t="inlineStr">
        <is>
          <t>Botiquín de baño</t>
        </is>
      </c>
      <c r="C1070" s="7" t="inlineStr">
        <is>
          <t>unidad</t>
        </is>
      </c>
      <c r="D1070" s="8" t="n">
        <v>725.87</v>
      </c>
      <c r="E1070" s="8" t="n"/>
      <c r="F1070" s="8" t="n">
        <v>2775</v>
      </c>
      <c r="G1070" s="8" t="n"/>
      <c r="H1070" s="8" t="n"/>
      <c r="I1070" s="8" t="n">
        <v>995</v>
      </c>
      <c r="J1070" s="8" t="n"/>
      <c r="K1070" s="8" t="n"/>
      <c r="L1070" s="8" t="n"/>
      <c r="M1070" s="8">
        <f>IF(COUNT(D1070:L1070)=0,"",MIN(D1070:L1070))</f>
        <v/>
      </c>
      <c r="N1070" s="8">
        <f>IF(COUNT(D1070:L1070)=0,"",MEDIAN(D1070:L1070))</f>
        <v/>
      </c>
      <c r="O1070" s="8">
        <f>IF(COUNT(D1070:L1070)=0,"",MAX(D1070:L1070))</f>
        <v/>
      </c>
      <c r="P1070" s="9">
        <f>IF(OR(M1070="",M1070=0),"",(O1070-M1070)/M1070)</f>
        <v/>
      </c>
      <c r="Q1070" s="7">
        <f>IF(COUNT(D1070:L1070)=0,"",INDEX($D$1:$L$1,MATCH(MIN(D1070:L1070),D1070:L1070,0)))</f>
        <v/>
      </c>
      <c r="R1070" s="8" t="n">
        <v>1547</v>
      </c>
      <c r="S1070" s="10" t="n">
        <v>3</v>
      </c>
    </row>
    <row r="1071">
      <c r="A1071" s="7" t="inlineStr">
        <is>
          <t>MAT-26-005</t>
        </is>
      </c>
      <c r="B1071" s="4" t="inlineStr">
        <is>
          <t>Botiquín de baño, con luz LED</t>
        </is>
      </c>
      <c r="C1071" s="7" t="inlineStr">
        <is>
          <t>unidad</t>
        </is>
      </c>
      <c r="D1071" s="8" t="n">
        <v>10320.96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>
        <f>IF(COUNT(D1071:L1071)=0,"",MIN(D1071:L1071))</f>
        <v/>
      </c>
      <c r="N1071" s="8">
        <f>IF(COUNT(D1071:L1071)=0,"",MEDIAN(D1071:L1071))</f>
        <v/>
      </c>
      <c r="O1071" s="8">
        <f>IF(COUNT(D1071:L1071)=0,"",MAX(D1071:L1071))</f>
        <v/>
      </c>
      <c r="P1071" s="9">
        <f>IF(OR(M1071="",M1071=0),"",(O1071-M1071)/M1071)</f>
        <v/>
      </c>
      <c r="Q1071" s="7">
        <f>IF(COUNT(D1071:L1071)=0,"",INDEX($D$1:$L$1,MATCH(MIN(D1071:L1071),D1071:L1071,0)))</f>
        <v/>
      </c>
      <c r="R1071" s="8" t="n">
        <v>15456.85</v>
      </c>
      <c r="S1071" s="10" t="n">
        <v>1</v>
      </c>
    </row>
    <row r="1072">
      <c r="A1072" s="7" t="inlineStr">
        <is>
          <t>MAT-26-006</t>
        </is>
      </c>
      <c r="B1072" s="4" t="inlineStr">
        <is>
          <t>Espejo de baño</t>
        </is>
      </c>
      <c r="C1072" s="7" t="inlineStr">
        <is>
          <t>unidad</t>
        </is>
      </c>
      <c r="D1072" s="8" t="n">
        <v>1210.04</v>
      </c>
      <c r="E1072" s="8" t="n">
        <v>1351.45</v>
      </c>
      <c r="F1072" s="8" t="n"/>
      <c r="G1072" s="8" t="n">
        <v>1490</v>
      </c>
      <c r="H1072" s="8" t="n"/>
      <c r="I1072" s="8" t="n">
        <v>665</v>
      </c>
      <c r="J1072" s="8" t="n"/>
      <c r="K1072" s="8" t="n"/>
      <c r="L1072" s="8" t="n"/>
      <c r="M1072" s="8">
        <f>IF(COUNT(D1072:L1072)=0,"",MIN(D1072:L1072))</f>
        <v/>
      </c>
      <c r="N1072" s="8">
        <f>IF(COUNT(D1072:L1072)=0,"",MEDIAN(D1072:L1072))</f>
        <v/>
      </c>
      <c r="O1072" s="8">
        <f>IF(COUNT(D1072:L1072)=0,"",MAX(D1072:L1072))</f>
        <v/>
      </c>
      <c r="P1072" s="9">
        <f>IF(OR(M1072="",M1072=0),"",(O1072-M1072)/M1072)</f>
        <v/>
      </c>
      <c r="Q1072" s="7">
        <f>IF(COUNT(D1072:L1072)=0,"",INDEX($D$1:$L$1,MATCH(MIN(D1072:L1072),D1072:L1072,0)))</f>
        <v/>
      </c>
      <c r="R1072" s="8" t="n">
        <v>2267.87</v>
      </c>
      <c r="S1072" s="10" t="n">
        <v>4</v>
      </c>
    </row>
    <row r="1073">
      <c r="A1073" s="7" t="inlineStr">
        <is>
          <t>MAT-26-007</t>
        </is>
      </c>
      <c r="B1073" s="4" t="inlineStr">
        <is>
          <t>Espejo de baño, con luz LED</t>
        </is>
      </c>
      <c r="C1073" s="7" t="inlineStr">
        <is>
          <t>unidad</t>
        </is>
      </c>
      <c r="D1073" s="8" t="n">
        <v>4270.75</v>
      </c>
      <c r="E1073" s="8" t="n">
        <v>5123.51</v>
      </c>
      <c r="F1073" s="8" t="n"/>
      <c r="G1073" s="8" t="n">
        <v>4900</v>
      </c>
      <c r="H1073" s="8" t="n">
        <v>2035</v>
      </c>
      <c r="I1073" s="8" t="n">
        <v>1795</v>
      </c>
      <c r="J1073" s="8" t="n"/>
      <c r="K1073" s="8" t="n"/>
      <c r="L1073" s="8" t="n"/>
      <c r="M1073" s="8">
        <f>IF(COUNT(D1073:L1073)=0,"",MIN(D1073:L1073))</f>
        <v/>
      </c>
      <c r="N1073" s="8">
        <f>IF(COUNT(D1073:L1073)=0,"",MEDIAN(D1073:L1073))</f>
        <v/>
      </c>
      <c r="O1073" s="8">
        <f>IF(COUNT(D1073:L1073)=0,"",MAX(D1073:L1073))</f>
        <v/>
      </c>
      <c r="P1073" s="9">
        <f>IF(OR(M1073="",M1073=0),"",(O1073-M1073)/M1073)</f>
        <v/>
      </c>
      <c r="Q1073" s="7">
        <f>IF(COUNT(D1073:L1073)=0,"",INDEX($D$1:$L$1,MATCH(MIN(D1073:L1073),D1073:L1073,0)))</f>
        <v/>
      </c>
      <c r="R1073" s="8" t="n">
        <v>8534.43</v>
      </c>
      <c r="S1073" s="10" t="n">
        <v>5</v>
      </c>
    </row>
    <row r="1074">
      <c r="A1074" s="7" t="inlineStr">
        <is>
          <t>MAT-26-008</t>
        </is>
      </c>
      <c r="B1074" s="4" t="inlineStr">
        <is>
          <t>Cabina o panel de ducha</t>
        </is>
      </c>
      <c r="C1074" s="7" t="inlineStr">
        <is>
          <t>unidad</t>
        </is>
      </c>
      <c r="D1074" s="8" t="n"/>
      <c r="E1074" s="8" t="n">
        <v>14364.41</v>
      </c>
      <c r="F1074" s="8" t="n"/>
      <c r="G1074" s="8" t="n">
        <v>8900</v>
      </c>
      <c r="H1074" s="8" t="n"/>
      <c r="I1074" s="8" t="n">
        <v>3118.5</v>
      </c>
      <c r="J1074" s="8" t="n"/>
      <c r="K1074" s="8" t="n"/>
      <c r="L1074" s="8" t="n"/>
      <c r="M1074" s="8">
        <f>IF(COUNT(D1074:L1074)=0,"",MIN(D1074:L1074))</f>
        <v/>
      </c>
      <c r="N1074" s="8">
        <f>IF(COUNT(D1074:L1074)=0,"",MEDIAN(D1074:L1074))</f>
        <v/>
      </c>
      <c r="O1074" s="8">
        <f>IF(COUNT(D1074:L1074)=0,"",MAX(D1074:L1074))</f>
        <v/>
      </c>
      <c r="P1074" s="9">
        <f>IF(OR(M1074="",M1074=0),"",(O1074-M1074)/M1074)</f>
        <v/>
      </c>
      <c r="Q1074" s="7">
        <f>IF(COUNT(D1074:L1074)=0,"",INDEX($D$1:$L$1,MATCH(MIN(D1074:L1074),D1074:L1074,0)))</f>
        <v/>
      </c>
      <c r="R1074" s="8" t="n">
        <v>5733</v>
      </c>
      <c r="S1074" s="10" t="n">
        <v>3</v>
      </c>
    </row>
    <row r="1075">
      <c r="A1075" s="7" t="inlineStr">
        <is>
          <t>MAT-26-009</t>
        </is>
      </c>
      <c r="B1075" s="4" t="inlineStr">
        <is>
          <t>Bañera</t>
        </is>
      </c>
      <c r="C1075" s="7" t="inlineStr">
        <is>
          <t>unidad</t>
        </is>
      </c>
      <c r="D1075" s="8" t="n"/>
      <c r="E1075" s="8" t="n">
        <v>43840</v>
      </c>
      <c r="F1075" s="8" t="n"/>
      <c r="G1075" s="8" t="n">
        <v>14250</v>
      </c>
      <c r="H1075" s="8" t="n"/>
      <c r="I1075" s="8" t="n"/>
      <c r="J1075" s="8" t="n"/>
      <c r="K1075" s="8" t="n"/>
      <c r="L1075" s="8" t="n"/>
      <c r="M1075" s="8">
        <f>IF(COUNT(D1075:L1075)=0,"",MIN(D1075:L1075))</f>
        <v/>
      </c>
      <c r="N1075" s="8">
        <f>IF(COUNT(D1075:L1075)=0,"",MEDIAN(D1075:L1075))</f>
        <v/>
      </c>
      <c r="O1075" s="8">
        <f>IF(COUNT(D1075:L1075)=0,"",MAX(D1075:L1075))</f>
        <v/>
      </c>
      <c r="P1075" s="9">
        <f>IF(OR(M1075="",M1075=0),"",(O1075-M1075)/M1075)</f>
        <v/>
      </c>
      <c r="Q1075" s="7">
        <f>IF(COUNT(D1075:L1075)=0,"",INDEX($D$1:$L$1,MATCH(MIN(D1075:L1075),D1075:L1075,0)))</f>
        <v/>
      </c>
      <c r="R1075" s="8" t="n">
        <v>105149.99</v>
      </c>
      <c r="S1075" s="10" t="n">
        <v>2</v>
      </c>
    </row>
    <row r="1076">
      <c r="A1076" s="7" t="inlineStr">
        <is>
          <t>MAT-26-010</t>
        </is>
      </c>
      <c r="B1076" s="4" t="inlineStr">
        <is>
          <t>Plato de ducha</t>
        </is>
      </c>
      <c r="C1076" s="7" t="inlineStr">
        <is>
          <t>unidad</t>
        </is>
      </c>
      <c r="D1076" s="8" t="n"/>
      <c r="E1076" s="8" t="n">
        <v>14956.2</v>
      </c>
      <c r="F1076" s="8" t="n"/>
      <c r="G1076" s="8" t="n">
        <v>14999.99</v>
      </c>
      <c r="H1076" s="8" t="n"/>
      <c r="I1076" s="8" t="n"/>
      <c r="J1076" s="8" t="n"/>
      <c r="K1076" s="8" t="n"/>
      <c r="L1076" s="8" t="n"/>
      <c r="M1076" s="8">
        <f>IF(COUNT(D1076:L1076)=0,"",MIN(D1076:L1076))</f>
        <v/>
      </c>
      <c r="N1076" s="8">
        <f>IF(COUNT(D1076:L1076)=0,"",MEDIAN(D1076:L1076))</f>
        <v/>
      </c>
      <c r="O1076" s="8">
        <f>IF(COUNT(D1076:L1076)=0,"",MAX(D1076:L1076))</f>
        <v/>
      </c>
      <c r="P1076" s="9">
        <f>IF(OR(M1076="",M1076=0),"",(O1076-M1076)/M1076)</f>
        <v/>
      </c>
      <c r="Q1076" s="7">
        <f>IF(COUNT(D1076:L1076)=0,"",INDEX($D$1:$L$1,MATCH(MIN(D1076:L1076),D1076:L1076,0)))</f>
        <v/>
      </c>
      <c r="R1076" s="8" t="n">
        <v>19278.36</v>
      </c>
      <c r="S1076" s="10" t="n">
        <v>2</v>
      </c>
    </row>
    <row r="1077">
      <c r="A1077" s="7" t="inlineStr">
        <is>
          <t>MAT-27-001</t>
        </is>
      </c>
      <c r="B1077" s="4" t="inlineStr">
        <is>
          <t>Barra de seguridad, abatible, 20 cm</t>
        </is>
      </c>
      <c r="C1077" s="7" t="inlineStr">
        <is>
          <t>unidad</t>
        </is>
      </c>
      <c r="D1077" s="8" t="n"/>
      <c r="E1077" s="8" t="n"/>
      <c r="F1077" s="8" t="n"/>
      <c r="G1077" s="8" t="n"/>
      <c r="H1077" s="8" t="n"/>
      <c r="I1077" s="8" t="n">
        <v>2439</v>
      </c>
      <c r="J1077" s="8" t="n"/>
      <c r="K1077" s="8" t="n"/>
      <c r="L1077" s="8" t="n"/>
      <c r="M1077" s="8">
        <f>IF(COUNT(D1077:L1077)=0,"",MIN(D1077:L1077))</f>
        <v/>
      </c>
      <c r="N1077" s="8">
        <f>IF(COUNT(D1077:L1077)=0,"",MEDIAN(D1077:L1077))</f>
        <v/>
      </c>
      <c r="O1077" s="8">
        <f>IF(COUNT(D1077:L1077)=0,"",MAX(D1077:L1077))</f>
        <v/>
      </c>
      <c r="P1077" s="9">
        <f>IF(OR(M1077="",M1077=0),"",(O1077-M1077)/M1077)</f>
        <v/>
      </c>
      <c r="Q1077" s="7">
        <f>IF(COUNT(D1077:L1077)=0,"",INDEX($D$1:$L$1,MATCH(MIN(D1077:L1077),D1077:L1077,0)))</f>
        <v/>
      </c>
      <c r="R1077" s="8" t="n">
        <v>2439</v>
      </c>
      <c r="S1077" s="10" t="n">
        <v>1</v>
      </c>
    </row>
    <row r="1078">
      <c r="A1078" s="7" t="inlineStr">
        <is>
          <t>MAT-27-002</t>
        </is>
      </c>
      <c r="B1078" s="4" t="inlineStr">
        <is>
          <t>Barra de seguridad, curva</t>
        </is>
      </c>
      <c r="C1078" s="7" t="inlineStr">
        <is>
          <t>unidad</t>
        </is>
      </c>
      <c r="D1078" s="8" t="n">
        <v>1416.67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>
        <f>IF(COUNT(D1078:L1078)=0,"",MIN(D1078:L1078))</f>
        <v/>
      </c>
      <c r="N1078" s="8">
        <f>IF(COUNT(D1078:L1078)=0,"",MEDIAN(D1078:L1078))</f>
        <v/>
      </c>
      <c r="O1078" s="8">
        <f>IF(COUNT(D1078:L1078)=0,"",MAX(D1078:L1078))</f>
        <v/>
      </c>
      <c r="P1078" s="9">
        <f>IF(OR(M1078="",M1078=0),"",(O1078-M1078)/M1078)</f>
        <v/>
      </c>
      <c r="Q1078" s="7">
        <f>IF(COUNT(D1078:L1078)=0,"",INDEX($D$1:$L$1,MATCH(MIN(D1078:L1078),D1078:L1078,0)))</f>
        <v/>
      </c>
      <c r="R1078" s="8" t="n">
        <v>1416.67</v>
      </c>
      <c r="S1078" s="10" t="n">
        <v>1</v>
      </c>
    </row>
    <row r="1079">
      <c r="A1079" s="7" t="inlineStr">
        <is>
          <t>MAT-27-003</t>
        </is>
      </c>
      <c r="B1079" s="4" t="inlineStr">
        <is>
          <t>Barra de seguridad, en L, 30 cm</t>
        </is>
      </c>
      <c r="C1079" s="7" t="inlineStr">
        <is>
          <t>unidad</t>
        </is>
      </c>
      <c r="D1079" s="8" t="n"/>
      <c r="E1079" s="8" t="n"/>
      <c r="F1079" s="8" t="n"/>
      <c r="G1079" s="8" t="n"/>
      <c r="H1079" s="8" t="n"/>
      <c r="I1079" s="8" t="n">
        <v>1200</v>
      </c>
      <c r="J1079" s="8" t="n"/>
      <c r="K1079" s="8" t="n"/>
      <c r="L1079" s="8" t="n"/>
      <c r="M1079" s="8">
        <f>IF(COUNT(D1079:L1079)=0,"",MIN(D1079:L1079))</f>
        <v/>
      </c>
      <c r="N1079" s="8">
        <f>IF(COUNT(D1079:L1079)=0,"",MEDIAN(D1079:L1079))</f>
        <v/>
      </c>
      <c r="O1079" s="8">
        <f>IF(COUNT(D1079:L1079)=0,"",MAX(D1079:L1079))</f>
        <v/>
      </c>
      <c r="P1079" s="9">
        <f>IF(OR(M1079="",M1079=0),"",(O1079-M1079)/M1079)</f>
        <v/>
      </c>
      <c r="Q1079" s="7">
        <f>IF(COUNT(D1079:L1079)=0,"",INDEX($D$1:$L$1,MATCH(MIN(D1079:L1079),D1079:L1079,0)))</f>
        <v/>
      </c>
      <c r="R1079" s="8" t="n">
        <v>1200</v>
      </c>
      <c r="S1079" s="10" t="n">
        <v>1</v>
      </c>
    </row>
    <row r="1080">
      <c r="A1080" s="7" t="inlineStr">
        <is>
          <t>MAT-27-004</t>
        </is>
      </c>
      <c r="B1080" s="4" t="inlineStr">
        <is>
          <t>Barra de seguridad, en L, 45 cm</t>
        </is>
      </c>
      <c r="C1080" s="7" t="inlineStr">
        <is>
          <t>unidad</t>
        </is>
      </c>
      <c r="D1080" s="8" t="n"/>
      <c r="E1080" s="8" t="n"/>
      <c r="F1080" s="8" t="n"/>
      <c r="G1080" s="8" t="n"/>
      <c r="H1080" s="8" t="n"/>
      <c r="I1080" s="8" t="n">
        <v>925</v>
      </c>
      <c r="J1080" s="8" t="n"/>
      <c r="K1080" s="8" t="n"/>
      <c r="L1080" s="8" t="n"/>
      <c r="M1080" s="8">
        <f>IF(COUNT(D1080:L1080)=0,"",MIN(D1080:L1080))</f>
        <v/>
      </c>
      <c r="N1080" s="8">
        <f>IF(COUNT(D1080:L1080)=0,"",MEDIAN(D1080:L1080))</f>
        <v/>
      </c>
      <c r="O1080" s="8">
        <f>IF(COUNT(D1080:L1080)=0,"",MAX(D1080:L1080))</f>
        <v/>
      </c>
      <c r="P1080" s="9">
        <f>IF(OR(M1080="",M1080=0),"",(O1080-M1080)/M1080)</f>
        <v/>
      </c>
      <c r="Q1080" s="7">
        <f>IF(COUNT(D1080:L1080)=0,"",INDEX($D$1:$L$1,MATCH(MIN(D1080:L1080),D1080:L1080,0)))</f>
        <v/>
      </c>
      <c r="R1080" s="8" t="n">
        <v>925</v>
      </c>
      <c r="S1080" s="10" t="n">
        <v>1</v>
      </c>
    </row>
    <row r="1081">
      <c r="A1081" s="7" t="inlineStr">
        <is>
          <t>MAT-27-005</t>
        </is>
      </c>
      <c r="B1081" s="4" t="inlineStr">
        <is>
          <t>Barra de seguridad, en L, 55 cm</t>
        </is>
      </c>
      <c r="C1081" s="7" t="inlineStr">
        <is>
          <t>unidad</t>
        </is>
      </c>
      <c r="D1081" s="8" t="n"/>
      <c r="E1081" s="8" t="n"/>
      <c r="F1081" s="8" t="n"/>
      <c r="G1081" s="8" t="n"/>
      <c r="H1081" s="8" t="n"/>
      <c r="I1081" s="8" t="n">
        <v>2619</v>
      </c>
      <c r="J1081" s="8" t="n"/>
      <c r="K1081" s="8" t="n"/>
      <c r="L1081" s="8" t="n"/>
      <c r="M1081" s="8">
        <f>IF(COUNT(D1081:L1081)=0,"",MIN(D1081:L1081))</f>
        <v/>
      </c>
      <c r="N1081" s="8">
        <f>IF(COUNT(D1081:L1081)=0,"",MEDIAN(D1081:L1081))</f>
        <v/>
      </c>
      <c r="O1081" s="8">
        <f>IF(COUNT(D1081:L1081)=0,"",MAX(D1081:L1081))</f>
        <v/>
      </c>
      <c r="P1081" s="9">
        <f>IF(OR(M1081="",M1081=0),"",(O1081-M1081)/M1081)</f>
        <v/>
      </c>
      <c r="Q1081" s="7">
        <f>IF(COUNT(D1081:L1081)=0,"",INDEX($D$1:$L$1,MATCH(MIN(D1081:L1081),D1081:L1081,0)))</f>
        <v/>
      </c>
      <c r="R1081" s="8" t="n">
        <v>2619</v>
      </c>
      <c r="S1081" s="10" t="n">
        <v>1</v>
      </c>
    </row>
    <row r="1082">
      <c r="A1082" s="7" t="inlineStr">
        <is>
          <t>MAT-27-006</t>
        </is>
      </c>
      <c r="B1082" s="4" t="inlineStr">
        <is>
          <t>Barra de seguridad, en L, 75 cm</t>
        </is>
      </c>
      <c r="C1082" s="7" t="inlineStr">
        <is>
          <t>unidad</t>
        </is>
      </c>
      <c r="D1082" s="8" t="n"/>
      <c r="E1082" s="8" t="n">
        <v>4786.74</v>
      </c>
      <c r="F1082" s="8" t="n"/>
      <c r="G1082" s="8" t="n"/>
      <c r="H1082" s="8" t="n"/>
      <c r="I1082" s="8" t="n">
        <v>6294</v>
      </c>
      <c r="J1082" s="8" t="n"/>
      <c r="K1082" s="8" t="n"/>
      <c r="L1082" s="8" t="n"/>
      <c r="M1082" s="8">
        <f>IF(COUNT(D1082:L1082)=0,"",MIN(D1082:L1082))</f>
        <v/>
      </c>
      <c r="N1082" s="8">
        <f>IF(COUNT(D1082:L1082)=0,"",MEDIAN(D1082:L1082))</f>
        <v/>
      </c>
      <c r="O1082" s="8">
        <f>IF(COUNT(D1082:L1082)=0,"",MAX(D1082:L1082))</f>
        <v/>
      </c>
      <c r="P1082" s="9">
        <f>IF(OR(M1082="",M1082=0),"",(O1082-M1082)/M1082)</f>
        <v/>
      </c>
      <c r="Q1082" s="7">
        <f>IF(COUNT(D1082:L1082)=0,"",INDEX($D$1:$L$1,MATCH(MIN(D1082:L1082),D1082:L1082,0)))</f>
        <v/>
      </c>
      <c r="R1082" s="8" t="n">
        <v>5971.18</v>
      </c>
      <c r="S1082" s="10" t="n">
        <v>2</v>
      </c>
    </row>
    <row r="1083">
      <c r="A1083" s="7" t="inlineStr">
        <is>
          <t>MAT-27-007</t>
        </is>
      </c>
      <c r="B1083" s="4" t="inlineStr">
        <is>
          <t>Barra de seguridad, recta</t>
        </is>
      </c>
      <c r="C1083" s="7" t="inlineStr">
        <is>
          <t>unidad</t>
        </is>
      </c>
      <c r="D1083" s="8" t="n">
        <v>3022.13</v>
      </c>
      <c r="E1083" s="8" t="n"/>
      <c r="F1083" s="8" t="n"/>
      <c r="G1083" s="8" t="n"/>
      <c r="H1083" s="8" t="n">
        <v>1615</v>
      </c>
      <c r="I1083" s="8" t="n"/>
      <c r="J1083" s="8" t="n"/>
      <c r="K1083" s="8" t="n"/>
      <c r="L1083" s="8" t="n"/>
      <c r="M1083" s="8">
        <f>IF(COUNT(D1083:L1083)=0,"",MIN(D1083:L1083))</f>
        <v/>
      </c>
      <c r="N1083" s="8">
        <f>IF(COUNT(D1083:L1083)=0,"",MEDIAN(D1083:L1083))</f>
        <v/>
      </c>
      <c r="O1083" s="8">
        <f>IF(COUNT(D1083:L1083)=0,"",MAX(D1083:L1083))</f>
        <v/>
      </c>
      <c r="P1083" s="9">
        <f>IF(OR(M1083="",M1083=0),"",(O1083-M1083)/M1083)</f>
        <v/>
      </c>
      <c r="Q1083" s="7">
        <f>IF(COUNT(D1083:L1083)=0,"",INDEX($D$1:$L$1,MATCH(MIN(D1083:L1083),D1083:L1083,0)))</f>
        <v/>
      </c>
      <c r="R1083" s="8" t="n">
        <v>1940</v>
      </c>
      <c r="S1083" s="10" t="n">
        <v>2</v>
      </c>
    </row>
    <row r="1084">
      <c r="A1084" s="7" t="inlineStr">
        <is>
          <t>MAT-27-008</t>
        </is>
      </c>
      <c r="B1084" s="4" t="inlineStr">
        <is>
          <t>Barra de seguridad, recta, 105 cm</t>
        </is>
      </c>
      <c r="C1084" s="7" t="inlineStr">
        <is>
          <t>unidad</t>
        </is>
      </c>
      <c r="D1084" s="8" t="n"/>
      <c r="E1084" s="8" t="n"/>
      <c r="F1084" s="8" t="n"/>
      <c r="G1084" s="8" t="n"/>
      <c r="H1084" s="8" t="n"/>
      <c r="I1084" s="8" t="n">
        <v>2750</v>
      </c>
      <c r="J1084" s="8" t="n"/>
      <c r="K1084" s="8" t="n"/>
      <c r="L1084" s="8" t="n"/>
      <c r="M1084" s="8">
        <f>IF(COUNT(D1084:L1084)=0,"",MIN(D1084:L1084))</f>
        <v/>
      </c>
      <c r="N1084" s="8">
        <f>IF(COUNT(D1084:L1084)=0,"",MEDIAN(D1084:L1084))</f>
        <v/>
      </c>
      <c r="O1084" s="8">
        <f>IF(COUNT(D1084:L1084)=0,"",MAX(D1084:L1084))</f>
        <v/>
      </c>
      <c r="P1084" s="9">
        <f>IF(OR(M1084="",M1084=0),"",(O1084-M1084)/M1084)</f>
        <v/>
      </c>
      <c r="Q1084" s="7">
        <f>IF(COUNT(D1084:L1084)=0,"",INDEX($D$1:$L$1,MATCH(MIN(D1084:L1084),D1084:L1084,0)))</f>
        <v/>
      </c>
      <c r="R1084" s="8" t="n">
        <v>2750</v>
      </c>
      <c r="S1084" s="10" t="n">
        <v>1</v>
      </c>
    </row>
    <row r="1085">
      <c r="A1085" s="7" t="inlineStr">
        <is>
          <t>MAT-27-009</t>
        </is>
      </c>
      <c r="B1085" s="4" t="inlineStr">
        <is>
          <t>Barra de seguridad, recta, 120 cm</t>
        </is>
      </c>
      <c r="C1085" s="7" t="inlineStr">
        <is>
          <t>unidad</t>
        </is>
      </c>
      <c r="D1085" s="8" t="n"/>
      <c r="E1085" s="8" t="n"/>
      <c r="F1085" s="8" t="n"/>
      <c r="G1085" s="8" t="n"/>
      <c r="H1085" s="8" t="n"/>
      <c r="I1085" s="8" t="n">
        <v>3092</v>
      </c>
      <c r="J1085" s="8" t="n"/>
      <c r="K1085" s="8" t="n"/>
      <c r="L1085" s="8" t="n"/>
      <c r="M1085" s="8">
        <f>IF(COUNT(D1085:L1085)=0,"",MIN(D1085:L1085))</f>
        <v/>
      </c>
      <c r="N1085" s="8">
        <f>IF(COUNT(D1085:L1085)=0,"",MEDIAN(D1085:L1085))</f>
        <v/>
      </c>
      <c r="O1085" s="8">
        <f>IF(COUNT(D1085:L1085)=0,"",MAX(D1085:L1085))</f>
        <v/>
      </c>
      <c r="P1085" s="9">
        <f>IF(OR(M1085="",M1085=0),"",(O1085-M1085)/M1085)</f>
        <v/>
      </c>
      <c r="Q1085" s="7">
        <f>IF(COUNT(D1085:L1085)=0,"",INDEX($D$1:$L$1,MATCH(MIN(D1085:L1085),D1085:L1085,0)))</f>
        <v/>
      </c>
      <c r="R1085" s="8" t="n">
        <v>3092</v>
      </c>
      <c r="S1085" s="10" t="n">
        <v>1</v>
      </c>
    </row>
    <row r="1086">
      <c r="A1086" s="7" t="inlineStr">
        <is>
          <t>MAT-27-010</t>
        </is>
      </c>
      <c r="B1086" s="4" t="inlineStr">
        <is>
          <t>Barra de seguridad, recta, 30 cm</t>
        </is>
      </c>
      <c r="C1086" s="7" t="inlineStr">
        <is>
          <t>unidad</t>
        </is>
      </c>
      <c r="D1086" s="8" t="n">
        <v>3007.09</v>
      </c>
      <c r="E1086" s="8" t="n">
        <v>1530</v>
      </c>
      <c r="F1086" s="8" t="n"/>
      <c r="G1086" s="8" t="n"/>
      <c r="H1086" s="8" t="n"/>
      <c r="I1086" s="8" t="n">
        <v>1200</v>
      </c>
      <c r="J1086" s="8" t="n"/>
      <c r="K1086" s="8" t="n"/>
      <c r="L1086" s="8" t="n"/>
      <c r="M1086" s="8">
        <f>IF(COUNT(D1086:L1086)=0,"",MIN(D1086:L1086))</f>
        <v/>
      </c>
      <c r="N1086" s="8">
        <f>IF(COUNT(D1086:L1086)=0,"",MEDIAN(D1086:L1086))</f>
        <v/>
      </c>
      <c r="O1086" s="8">
        <f>IF(COUNT(D1086:L1086)=0,"",MAX(D1086:L1086))</f>
        <v/>
      </c>
      <c r="P1086" s="9">
        <f>IF(OR(M1086="",M1086=0),"",(O1086-M1086)/M1086)</f>
        <v/>
      </c>
      <c r="Q1086" s="7">
        <f>IF(COUNT(D1086:L1086)=0,"",INDEX($D$1:$L$1,MATCH(MIN(D1086:L1086),D1086:L1086,0)))</f>
        <v/>
      </c>
      <c r="R1086" s="8" t="n">
        <v>1805.4</v>
      </c>
      <c r="S1086" s="10" t="n">
        <v>3</v>
      </c>
    </row>
    <row r="1087">
      <c r="A1087" s="7" t="inlineStr">
        <is>
          <t>MAT-27-011</t>
        </is>
      </c>
      <c r="B1087" s="4" t="inlineStr">
        <is>
          <t>Barra de seguridad, recta, 40 cm</t>
        </is>
      </c>
      <c r="C1087" s="7" t="inlineStr">
        <is>
          <t>unidad</t>
        </is>
      </c>
      <c r="D1087" s="8" t="n">
        <v>1176.96</v>
      </c>
      <c r="E1087" s="8" t="n"/>
      <c r="F1087" s="8" t="n"/>
      <c r="G1087" s="8" t="n"/>
      <c r="H1087" s="8" t="n"/>
      <c r="I1087" s="8" t="n">
        <v>675</v>
      </c>
      <c r="J1087" s="8" t="n"/>
      <c r="K1087" s="8" t="n"/>
      <c r="L1087" s="8" t="n"/>
      <c r="M1087" s="8">
        <f>IF(COUNT(D1087:L1087)=0,"",MIN(D1087:L1087))</f>
        <v/>
      </c>
      <c r="N1087" s="8">
        <f>IF(COUNT(D1087:L1087)=0,"",MEDIAN(D1087:L1087))</f>
        <v/>
      </c>
      <c r="O1087" s="8">
        <f>IF(COUNT(D1087:L1087)=0,"",MAX(D1087:L1087))</f>
        <v/>
      </c>
      <c r="P1087" s="9">
        <f>IF(OR(M1087="",M1087=0),"",(O1087-M1087)/M1087)</f>
        <v/>
      </c>
      <c r="Q1087" s="7">
        <f>IF(COUNT(D1087:L1087)=0,"",INDEX($D$1:$L$1,MATCH(MIN(D1087:L1087),D1087:L1087,0)))</f>
        <v/>
      </c>
      <c r="R1087" s="8" t="n">
        <v>925.98</v>
      </c>
      <c r="S1087" s="10" t="n">
        <v>2</v>
      </c>
    </row>
    <row r="1088">
      <c r="A1088" s="7" t="inlineStr">
        <is>
          <t>MAT-27-012</t>
        </is>
      </c>
      <c r="B1088" s="4" t="inlineStr">
        <is>
          <t>Barra de seguridad, recta, 45 cm</t>
        </is>
      </c>
      <c r="C1088" s="7" t="inlineStr">
        <is>
          <t>unidad</t>
        </is>
      </c>
      <c r="D1088" s="8" t="n"/>
      <c r="E1088" s="8" t="n"/>
      <c r="F1088" s="8" t="n"/>
      <c r="G1088" s="8" t="n"/>
      <c r="H1088" s="8" t="n"/>
      <c r="I1088" s="8" t="n">
        <v>1595</v>
      </c>
      <c r="J1088" s="8" t="n"/>
      <c r="K1088" s="8" t="n"/>
      <c r="L1088" s="8" t="n"/>
      <c r="M1088" s="8">
        <f>IF(COUNT(D1088:L1088)=0,"",MIN(D1088:L1088))</f>
        <v/>
      </c>
      <c r="N1088" s="8">
        <f>IF(COUNT(D1088:L1088)=0,"",MEDIAN(D1088:L1088))</f>
        <v/>
      </c>
      <c r="O1088" s="8">
        <f>IF(COUNT(D1088:L1088)=0,"",MAX(D1088:L1088))</f>
        <v/>
      </c>
      <c r="P1088" s="9">
        <f>IF(OR(M1088="",M1088=0),"",(O1088-M1088)/M1088)</f>
        <v/>
      </c>
      <c r="Q1088" s="7">
        <f>IF(COUNT(D1088:L1088)=0,"",INDEX($D$1:$L$1,MATCH(MIN(D1088:L1088),D1088:L1088,0)))</f>
        <v/>
      </c>
      <c r="R1088" s="8" t="n">
        <v>1665</v>
      </c>
      <c r="S1088" s="10" t="n">
        <v>1</v>
      </c>
    </row>
    <row r="1089">
      <c r="A1089" s="7" t="inlineStr">
        <is>
          <t>MAT-27-013</t>
        </is>
      </c>
      <c r="B1089" s="4" t="inlineStr">
        <is>
          <t>Barra de seguridad, recta, 50 cm</t>
        </is>
      </c>
      <c r="C1089" s="7" t="inlineStr">
        <is>
          <t>unidad</t>
        </is>
      </c>
      <c r="D1089" s="8" t="n">
        <v>1522.47</v>
      </c>
      <c r="E1089" s="8" t="n"/>
      <c r="F1089" s="8" t="n"/>
      <c r="G1089" s="8" t="n"/>
      <c r="H1089" s="8" t="n"/>
      <c r="I1089" s="8" t="n">
        <v>745</v>
      </c>
      <c r="J1089" s="8" t="n"/>
      <c r="K1089" s="8" t="n"/>
      <c r="L1089" s="8" t="n"/>
      <c r="M1089" s="8">
        <f>IF(COUNT(D1089:L1089)=0,"",MIN(D1089:L1089))</f>
        <v/>
      </c>
      <c r="N1089" s="8">
        <f>IF(COUNT(D1089:L1089)=0,"",MEDIAN(D1089:L1089))</f>
        <v/>
      </c>
      <c r="O1089" s="8">
        <f>IF(COUNT(D1089:L1089)=0,"",MAX(D1089:L1089))</f>
        <v/>
      </c>
      <c r="P1089" s="9">
        <f>IF(OR(M1089="",M1089=0),"",(O1089-M1089)/M1089)</f>
        <v/>
      </c>
      <c r="Q1089" s="7">
        <f>IF(COUNT(D1089:L1089)=0,"",INDEX($D$1:$L$1,MATCH(MIN(D1089:L1089),D1089:L1089,0)))</f>
        <v/>
      </c>
      <c r="R1089" s="8" t="n">
        <v>1195</v>
      </c>
      <c r="S1089" s="10" t="n">
        <v>2</v>
      </c>
    </row>
    <row r="1090">
      <c r="A1090" s="7" t="inlineStr">
        <is>
          <t>MAT-27-014</t>
        </is>
      </c>
      <c r="B1090" s="4" t="inlineStr">
        <is>
          <t>Barra de seguridad, recta, 60 cm</t>
        </is>
      </c>
      <c r="C1090" s="7" t="inlineStr">
        <is>
          <t>unidad</t>
        </is>
      </c>
      <c r="D1090" s="8" t="n">
        <v>3297.37</v>
      </c>
      <c r="E1090" s="8" t="n"/>
      <c r="F1090" s="8" t="n"/>
      <c r="G1090" s="8" t="n"/>
      <c r="H1090" s="8" t="n"/>
      <c r="I1090" s="8" t="n">
        <v>1869</v>
      </c>
      <c r="J1090" s="8" t="n"/>
      <c r="K1090" s="8" t="n"/>
      <c r="L1090" s="8" t="n"/>
      <c r="M1090" s="8">
        <f>IF(COUNT(D1090:L1090)=0,"",MIN(D1090:L1090))</f>
        <v/>
      </c>
      <c r="N1090" s="8">
        <f>IF(COUNT(D1090:L1090)=0,"",MEDIAN(D1090:L1090))</f>
        <v/>
      </c>
      <c r="O1090" s="8">
        <f>IF(COUNT(D1090:L1090)=0,"",MAX(D1090:L1090))</f>
        <v/>
      </c>
      <c r="P1090" s="9">
        <f>IF(OR(M1090="",M1090=0),"",(O1090-M1090)/M1090)</f>
        <v/>
      </c>
      <c r="Q1090" s="7">
        <f>IF(COUNT(D1090:L1090)=0,"",INDEX($D$1:$L$1,MATCH(MIN(D1090:L1090),D1090:L1090,0)))</f>
        <v/>
      </c>
      <c r="R1090" s="8" t="n">
        <v>1995</v>
      </c>
      <c r="S1090" s="10" t="n">
        <v>2</v>
      </c>
    </row>
    <row r="1091">
      <c r="A1091" s="7" t="inlineStr">
        <is>
          <t>MAT-27-015</t>
        </is>
      </c>
      <c r="B1091" s="4" t="inlineStr">
        <is>
          <t>Barra de seguridad, recta, 70 cm</t>
        </is>
      </c>
      <c r="C1091" s="7" t="inlineStr">
        <is>
          <t>unidad</t>
        </is>
      </c>
      <c r="D1091" s="8" t="n">
        <v>3271.81</v>
      </c>
      <c r="E1091" s="8" t="n"/>
      <c r="F1091" s="8" t="n"/>
      <c r="G1091" s="8" t="n"/>
      <c r="H1091" s="8" t="n"/>
      <c r="I1091" s="8" t="n">
        <v>4695</v>
      </c>
      <c r="J1091" s="8" t="n"/>
      <c r="K1091" s="8" t="n"/>
      <c r="L1091" s="8" t="n"/>
      <c r="M1091" s="8">
        <f>IF(COUNT(D1091:L1091)=0,"",MIN(D1091:L1091))</f>
        <v/>
      </c>
      <c r="N1091" s="8">
        <f>IF(COUNT(D1091:L1091)=0,"",MEDIAN(D1091:L1091))</f>
        <v/>
      </c>
      <c r="O1091" s="8">
        <f>IF(COUNT(D1091:L1091)=0,"",MAX(D1091:L1091))</f>
        <v/>
      </c>
      <c r="P1091" s="9">
        <f>IF(OR(M1091="",M1091=0),"",(O1091-M1091)/M1091)</f>
        <v/>
      </c>
      <c r="Q1091" s="7">
        <f>IF(COUNT(D1091:L1091)=0,"",INDEX($D$1:$L$1,MATCH(MIN(D1091:L1091),D1091:L1091,0)))</f>
        <v/>
      </c>
      <c r="R1091" s="8" t="n">
        <v>3983.41</v>
      </c>
      <c r="S1091" s="10" t="n">
        <v>2</v>
      </c>
    </row>
    <row r="1092">
      <c r="A1092" s="7" t="inlineStr">
        <is>
          <t>MAT-27-016</t>
        </is>
      </c>
      <c r="B1092" s="4" t="inlineStr">
        <is>
          <t>Barra de seguridad, recta, 75 cm</t>
        </is>
      </c>
      <c r="C1092" s="7" t="inlineStr">
        <is>
          <t>unidad</t>
        </is>
      </c>
      <c r="D1092" s="8" t="n"/>
      <c r="E1092" s="8" t="n"/>
      <c r="F1092" s="8" t="n"/>
      <c r="G1092" s="8" t="n"/>
      <c r="H1092" s="8" t="n"/>
      <c r="I1092" s="8" t="n">
        <v>2185</v>
      </c>
      <c r="J1092" s="8" t="n"/>
      <c r="K1092" s="8" t="n"/>
      <c r="L1092" s="8" t="n"/>
      <c r="M1092" s="8">
        <f>IF(COUNT(D1092:L1092)=0,"",MIN(D1092:L1092))</f>
        <v/>
      </c>
      <c r="N1092" s="8">
        <f>IF(COUNT(D1092:L1092)=0,"",MEDIAN(D1092:L1092))</f>
        <v/>
      </c>
      <c r="O1092" s="8">
        <f>IF(COUNT(D1092:L1092)=0,"",MAX(D1092:L1092))</f>
        <v/>
      </c>
      <c r="P1092" s="9">
        <f>IF(OR(M1092="",M1092=0),"",(O1092-M1092)/M1092)</f>
        <v/>
      </c>
      <c r="Q1092" s="7">
        <f>IF(COUNT(D1092:L1092)=0,"",INDEX($D$1:$L$1,MATCH(MIN(D1092:L1092),D1092:L1092,0)))</f>
        <v/>
      </c>
      <c r="R1092" s="8" t="n">
        <v>2185</v>
      </c>
      <c r="S1092" s="10" t="n">
        <v>1</v>
      </c>
    </row>
    <row r="1093">
      <c r="A1093" s="7" t="inlineStr">
        <is>
          <t>MAT-27-017</t>
        </is>
      </c>
      <c r="B1093" s="4" t="inlineStr">
        <is>
          <t>Barra de seguridad, recta, 90 cm</t>
        </is>
      </c>
      <c r="C1093" s="7" t="inlineStr">
        <is>
          <t>unidad</t>
        </is>
      </c>
      <c r="D1093" s="8" t="n">
        <v>6226.47</v>
      </c>
      <c r="E1093" s="8" t="n"/>
      <c r="F1093" s="8" t="n"/>
      <c r="G1093" s="8" t="n"/>
      <c r="H1093" s="8" t="n"/>
      <c r="I1093" s="8" t="n">
        <v>2395</v>
      </c>
      <c r="J1093" s="8" t="n"/>
      <c r="K1093" s="8" t="n"/>
      <c r="L1093" s="8" t="n"/>
      <c r="M1093" s="8">
        <f>IF(COUNT(D1093:L1093)=0,"",MIN(D1093:L1093))</f>
        <v/>
      </c>
      <c r="N1093" s="8">
        <f>IF(COUNT(D1093:L1093)=0,"",MEDIAN(D1093:L1093))</f>
        <v/>
      </c>
      <c r="O1093" s="8">
        <f>IF(COUNT(D1093:L1093)=0,"",MAX(D1093:L1093))</f>
        <v/>
      </c>
      <c r="P1093" s="9">
        <f>IF(OR(M1093="",M1093=0),"",(O1093-M1093)/M1093)</f>
        <v/>
      </c>
      <c r="Q1093" s="7">
        <f>IF(COUNT(D1093:L1093)=0,"",INDEX($D$1:$L$1,MATCH(MIN(D1093:L1093),D1093:L1093,0)))</f>
        <v/>
      </c>
      <c r="R1093" s="8" t="n">
        <v>2439</v>
      </c>
      <c r="S1093" s="10" t="n">
        <v>2</v>
      </c>
    </row>
    <row r="1094">
      <c r="A1094" s="7" t="inlineStr">
        <is>
          <t>MAT-27-018</t>
        </is>
      </c>
      <c r="B1094" s="4" t="inlineStr">
        <is>
          <t>Juego de accesorios de baño</t>
        </is>
      </c>
      <c r="C1094" s="7" t="inlineStr">
        <is>
          <t>juego</t>
        </is>
      </c>
      <c r="D1094" s="8" t="n">
        <v>345.39</v>
      </c>
      <c r="E1094" s="8" t="n">
        <v>4992.44</v>
      </c>
      <c r="F1094" s="8" t="n"/>
      <c r="G1094" s="8" t="n"/>
      <c r="H1094" s="8" t="n">
        <v>345</v>
      </c>
      <c r="I1094" s="8" t="n"/>
      <c r="J1094" s="8" t="n"/>
      <c r="K1094" s="8" t="n"/>
      <c r="L1094" s="8" t="n"/>
      <c r="M1094" s="8">
        <f>IF(COUNT(D1094:L1094)=0,"",MIN(D1094:L1094))</f>
        <v/>
      </c>
      <c r="N1094" s="8">
        <f>IF(COUNT(D1094:L1094)=0,"",MEDIAN(D1094:L1094))</f>
        <v/>
      </c>
      <c r="O1094" s="8">
        <f>IF(COUNT(D1094:L1094)=0,"",MAX(D1094:L1094))</f>
        <v/>
      </c>
      <c r="P1094" s="9">
        <f>IF(OR(M1094="",M1094=0),"",(O1094-M1094)/M1094)</f>
        <v/>
      </c>
      <c r="Q1094" s="7">
        <f>IF(COUNT(D1094:L1094)=0,"",INDEX($D$1:$L$1,MATCH(MIN(D1094:L1094),D1094:L1094,0)))</f>
        <v/>
      </c>
      <c r="R1094" s="8" t="n">
        <v>2327.23</v>
      </c>
      <c r="S1094" s="10" t="n">
        <v>3</v>
      </c>
    </row>
    <row r="1095">
      <c r="A1095" s="7" t="inlineStr">
        <is>
          <t>MAT-27-019</t>
        </is>
      </c>
      <c r="B1095" s="4" t="inlineStr">
        <is>
          <t>Juego de accesorios de baño, 3 piezas</t>
        </is>
      </c>
      <c r="C1095" s="7" t="inlineStr">
        <is>
          <t>juego</t>
        </is>
      </c>
      <c r="D1095" s="8" t="n">
        <v>1081.92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>
        <f>IF(COUNT(D1095:L1095)=0,"",MIN(D1095:L1095))</f>
        <v/>
      </c>
      <c r="N1095" s="8">
        <f>IF(COUNT(D1095:L1095)=0,"",MEDIAN(D1095:L1095))</f>
        <v/>
      </c>
      <c r="O1095" s="8">
        <f>IF(COUNT(D1095:L1095)=0,"",MAX(D1095:L1095))</f>
        <v/>
      </c>
      <c r="P1095" s="9">
        <f>IF(OR(M1095="",M1095=0),"",(O1095-M1095)/M1095)</f>
        <v/>
      </c>
      <c r="Q1095" s="7">
        <f>IF(COUNT(D1095:L1095)=0,"",INDEX($D$1:$L$1,MATCH(MIN(D1095:L1095),D1095:L1095,0)))</f>
        <v/>
      </c>
      <c r="R1095" s="8" t="n">
        <v>1377.76</v>
      </c>
      <c r="S1095" s="10" t="n">
        <v>1</v>
      </c>
    </row>
    <row r="1096">
      <c r="A1096" s="7" t="inlineStr">
        <is>
          <t>MAT-27-020</t>
        </is>
      </c>
      <c r="B1096" s="4" t="inlineStr">
        <is>
          <t>Juego de accesorios de baño, 4 piezas</t>
        </is>
      </c>
      <c r="C1096" s="7" t="inlineStr">
        <is>
          <t>juego</t>
        </is>
      </c>
      <c r="D1096" s="8" t="n">
        <v>1605.2</v>
      </c>
      <c r="E1096" s="8" t="n"/>
      <c r="F1096" s="8" t="n"/>
      <c r="G1096" s="8" t="n"/>
      <c r="H1096" s="8" t="n"/>
      <c r="I1096" s="8" t="n">
        <v>2790</v>
      </c>
      <c r="J1096" s="8" t="n"/>
      <c r="K1096" s="8" t="n"/>
      <c r="L1096" s="8" t="n"/>
      <c r="M1096" s="8">
        <f>IF(COUNT(D1096:L1096)=0,"",MIN(D1096:L1096))</f>
        <v/>
      </c>
      <c r="N1096" s="8">
        <f>IF(COUNT(D1096:L1096)=0,"",MEDIAN(D1096:L1096))</f>
        <v/>
      </c>
      <c r="O1096" s="8">
        <f>IF(COUNT(D1096:L1096)=0,"",MAX(D1096:L1096))</f>
        <v/>
      </c>
      <c r="P1096" s="9">
        <f>IF(OR(M1096="",M1096=0),"",(O1096-M1096)/M1096)</f>
        <v/>
      </c>
      <c r="Q1096" s="7">
        <f>IF(COUNT(D1096:L1096)=0,"",INDEX($D$1:$L$1,MATCH(MIN(D1096:L1096),D1096:L1096,0)))</f>
        <v/>
      </c>
      <c r="R1096" s="8" t="n">
        <v>2927.39</v>
      </c>
      <c r="S1096" s="10" t="n">
        <v>2</v>
      </c>
    </row>
    <row r="1097">
      <c r="A1097" s="7" t="inlineStr">
        <is>
          <t>MAT-27-021</t>
        </is>
      </c>
      <c r="B1097" s="4" t="inlineStr">
        <is>
          <t>Juego de accesorios de baño, 5 piezas</t>
        </is>
      </c>
      <c r="C1097" s="7" t="inlineStr">
        <is>
          <t>juego</t>
        </is>
      </c>
      <c r="D1097" s="8" t="n">
        <v>940.91</v>
      </c>
      <c r="E1097" s="8" t="n"/>
      <c r="F1097" s="8" t="n">
        <v>1139</v>
      </c>
      <c r="G1097" s="8" t="n"/>
      <c r="H1097" s="8" t="n"/>
      <c r="I1097" s="8" t="n">
        <v>394</v>
      </c>
      <c r="J1097" s="8" t="n"/>
      <c r="K1097" s="8" t="n"/>
      <c r="L1097" s="8" t="n"/>
      <c r="M1097" s="8">
        <f>IF(COUNT(D1097:L1097)=0,"",MIN(D1097:L1097))</f>
        <v/>
      </c>
      <c r="N1097" s="8">
        <f>IF(COUNT(D1097:L1097)=0,"",MEDIAN(D1097:L1097))</f>
        <v/>
      </c>
      <c r="O1097" s="8">
        <f>IF(COUNT(D1097:L1097)=0,"",MAX(D1097:L1097))</f>
        <v/>
      </c>
      <c r="P1097" s="9">
        <f>IF(OR(M1097="",M1097=0),"",(O1097-M1097)/M1097)</f>
        <v/>
      </c>
      <c r="Q1097" s="7">
        <f>IF(COUNT(D1097:L1097)=0,"",INDEX($D$1:$L$1,MATCH(MIN(D1097:L1097),D1097:L1097,0)))</f>
        <v/>
      </c>
      <c r="R1097" s="8" t="n">
        <v>1139</v>
      </c>
      <c r="S1097" s="10" t="n">
        <v>3</v>
      </c>
    </row>
    <row r="1098">
      <c r="A1098" s="7" t="inlineStr">
        <is>
          <t>MAT-27-022</t>
        </is>
      </c>
      <c r="B1098" s="4" t="inlineStr">
        <is>
          <t>Juego de accesorios de baño, 6 piezas</t>
        </is>
      </c>
      <c r="C1098" s="7" t="inlineStr">
        <is>
          <t>juego</t>
        </is>
      </c>
      <c r="D1098" s="8" t="n">
        <v>1342.61</v>
      </c>
      <c r="E1098" s="8" t="n"/>
      <c r="F1098" s="8" t="n">
        <v>2306</v>
      </c>
      <c r="G1098" s="8" t="n"/>
      <c r="H1098" s="8" t="n"/>
      <c r="I1098" s="8" t="n">
        <v>1545</v>
      </c>
      <c r="J1098" s="8" t="n"/>
      <c r="K1098" s="8" t="n"/>
      <c r="L1098" s="8" t="n"/>
      <c r="M1098" s="8">
        <f>IF(COUNT(D1098:L1098)=0,"",MIN(D1098:L1098))</f>
        <v/>
      </c>
      <c r="N1098" s="8">
        <f>IF(COUNT(D1098:L1098)=0,"",MEDIAN(D1098:L1098))</f>
        <v/>
      </c>
      <c r="O1098" s="8">
        <f>IF(COUNT(D1098:L1098)=0,"",MAX(D1098:L1098))</f>
        <v/>
      </c>
      <c r="P1098" s="9">
        <f>IF(OR(M1098="",M1098=0),"",(O1098-M1098)/M1098)</f>
        <v/>
      </c>
      <c r="Q1098" s="7">
        <f>IF(COUNT(D1098:L1098)=0,"",INDEX($D$1:$L$1,MATCH(MIN(D1098:L1098),D1098:L1098,0)))</f>
        <v/>
      </c>
      <c r="R1098" s="8" t="n">
        <v>3070.44</v>
      </c>
      <c r="S1098" s="10" t="n">
        <v>3</v>
      </c>
    </row>
    <row r="1099">
      <c r="A1099" s="7" t="inlineStr">
        <is>
          <t>MAT-27-023</t>
        </is>
      </c>
      <c r="B1099" s="4" t="inlineStr">
        <is>
          <t>Secador de manos</t>
        </is>
      </c>
      <c r="C1099" s="7" t="inlineStr">
        <is>
          <t>unidad</t>
        </is>
      </c>
      <c r="D1099" s="8" t="n">
        <v>27487.14</v>
      </c>
      <c r="E1099" s="8" t="n">
        <v>33447.06</v>
      </c>
      <c r="F1099" s="8" t="n"/>
      <c r="G1099" s="8" t="n"/>
      <c r="H1099" s="8" t="n">
        <v>849</v>
      </c>
      <c r="I1099" s="8" t="n">
        <v>3335</v>
      </c>
      <c r="J1099" s="8" t="n"/>
      <c r="K1099" s="8" t="n"/>
      <c r="L1099" s="8" t="n"/>
      <c r="M1099" s="8">
        <f>IF(COUNT(D1099:L1099)=0,"",MIN(D1099:L1099))</f>
        <v/>
      </c>
      <c r="N1099" s="8">
        <f>IF(COUNT(D1099:L1099)=0,"",MEDIAN(D1099:L1099))</f>
        <v/>
      </c>
      <c r="O1099" s="8">
        <f>IF(COUNT(D1099:L1099)=0,"",MAX(D1099:L1099))</f>
        <v/>
      </c>
      <c r="P1099" s="9">
        <f>IF(OR(M1099="",M1099=0),"",(O1099-M1099)/M1099)</f>
        <v/>
      </c>
      <c r="Q1099" s="7">
        <f>IF(COUNT(D1099:L1099)=0,"",INDEX($D$1:$L$1,MATCH(MIN(D1099:L1099),D1099:L1099,0)))</f>
        <v/>
      </c>
      <c r="R1099" s="8" t="n">
        <v>3600</v>
      </c>
      <c r="S1099" s="10" t="n">
        <v>4</v>
      </c>
    </row>
    <row r="1100">
      <c r="A1100" s="7" t="inlineStr">
        <is>
          <t>MAT-27-024</t>
        </is>
      </c>
      <c r="B1100" s="4" t="inlineStr">
        <is>
          <t>Secador de manos, de botón</t>
        </is>
      </c>
      <c r="C1100" s="7" t="inlineStr">
        <is>
          <t>unidad</t>
        </is>
      </c>
      <c r="D1100" s="8" t="n">
        <v>16368.74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>
        <f>IF(COUNT(D1100:L1100)=0,"",MIN(D1100:L1100))</f>
        <v/>
      </c>
      <c r="N1100" s="8">
        <f>IF(COUNT(D1100:L1100)=0,"",MEDIAN(D1100:L1100))</f>
        <v/>
      </c>
      <c r="O1100" s="8">
        <f>IF(COUNT(D1100:L1100)=0,"",MAX(D1100:L1100))</f>
        <v/>
      </c>
      <c r="P1100" s="9">
        <f>IF(OR(M1100="",M1100=0),"",(O1100-M1100)/M1100)</f>
        <v/>
      </c>
      <c r="Q1100" s="7">
        <f>IF(COUNT(D1100:L1100)=0,"",INDEX($D$1:$L$1,MATCH(MIN(D1100:L1100),D1100:L1100,0)))</f>
        <v/>
      </c>
      <c r="R1100" s="8" t="n">
        <v>16368.74</v>
      </c>
      <c r="S1100" s="10" t="n">
        <v>1</v>
      </c>
    </row>
    <row r="1101">
      <c r="A1101" s="7" t="inlineStr">
        <is>
          <t>MAT-27-025</t>
        </is>
      </c>
      <c r="B1101" s="4" t="inlineStr">
        <is>
          <t>Secador de manos, con sensor</t>
        </is>
      </c>
      <c r="C1101" s="7" t="inlineStr">
        <is>
          <t>unidad</t>
        </is>
      </c>
      <c r="D1101" s="8" t="n">
        <v>18390.47</v>
      </c>
      <c r="E1101" s="8" t="n"/>
      <c r="F1101" s="8" t="n"/>
      <c r="G1101" s="8" t="n"/>
      <c r="H1101" s="8" t="n">
        <v>16755</v>
      </c>
      <c r="I1101" s="8" t="n">
        <v>12495</v>
      </c>
      <c r="J1101" s="8" t="n"/>
      <c r="K1101" s="8" t="n"/>
      <c r="L1101" s="8" t="n"/>
      <c r="M1101" s="8">
        <f>IF(COUNT(D1101:L1101)=0,"",MIN(D1101:L1101))</f>
        <v/>
      </c>
      <c r="N1101" s="8">
        <f>IF(COUNT(D1101:L1101)=0,"",MEDIAN(D1101:L1101))</f>
        <v/>
      </c>
      <c r="O1101" s="8">
        <f>IF(COUNT(D1101:L1101)=0,"",MAX(D1101:L1101))</f>
        <v/>
      </c>
      <c r="P1101" s="9">
        <f>IF(OR(M1101="",M1101=0),"",(O1101-M1101)/M1101)</f>
        <v/>
      </c>
      <c r="Q1101" s="7">
        <f>IF(COUNT(D1101:L1101)=0,"",INDEX($D$1:$L$1,MATCH(MIN(D1101:L1101),D1101:L1101,0)))</f>
        <v/>
      </c>
      <c r="R1101" s="8" t="n">
        <v>17572.74</v>
      </c>
      <c r="S1101" s="10" t="n">
        <v>3</v>
      </c>
    </row>
    <row r="1102">
      <c r="A1102" s="7" t="inlineStr">
        <is>
          <t>MAT-27-026</t>
        </is>
      </c>
      <c r="B1102" s="4" t="inlineStr">
        <is>
          <t>Dispensador de jabón</t>
        </is>
      </c>
      <c r="C1102" s="7" t="inlineStr">
        <is>
          <t>unidad</t>
        </is>
      </c>
      <c r="D1102" s="8" t="n">
        <v>14903.09</v>
      </c>
      <c r="E1102" s="8" t="n">
        <v>20817.8</v>
      </c>
      <c r="F1102" s="8" t="n"/>
      <c r="G1102" s="8" t="n"/>
      <c r="H1102" s="8" t="n">
        <v>899</v>
      </c>
      <c r="I1102" s="8" t="n">
        <v>156</v>
      </c>
      <c r="J1102" s="8" t="n"/>
      <c r="K1102" s="8" t="n"/>
      <c r="L1102" s="8" t="n"/>
      <c r="M1102" s="8">
        <f>IF(COUNT(D1102:L1102)=0,"",MIN(D1102:L1102))</f>
        <v/>
      </c>
      <c r="N1102" s="8">
        <f>IF(COUNT(D1102:L1102)=0,"",MEDIAN(D1102:L1102))</f>
        <v/>
      </c>
      <c r="O1102" s="8">
        <f>IF(COUNT(D1102:L1102)=0,"",MAX(D1102:L1102))</f>
        <v/>
      </c>
      <c r="P1102" s="9">
        <f>IF(OR(M1102="",M1102=0),"",(O1102-M1102)/M1102)</f>
        <v/>
      </c>
      <c r="Q1102" s="7">
        <f>IF(COUNT(D1102:L1102)=0,"",INDEX($D$1:$L$1,MATCH(MIN(D1102:L1102),D1102:L1102,0)))</f>
        <v/>
      </c>
      <c r="R1102" s="8" t="n">
        <v>899</v>
      </c>
      <c r="S1102" s="10" t="n">
        <v>4</v>
      </c>
    </row>
    <row r="1103">
      <c r="A1103" s="7" t="inlineStr">
        <is>
          <t>MAT-27-027</t>
        </is>
      </c>
      <c r="B1103" s="4" t="inlineStr">
        <is>
          <t>Dispensador de jabón, con sensor</t>
        </is>
      </c>
      <c r="C1103" s="7" t="inlineStr">
        <is>
          <t>unidad</t>
        </is>
      </c>
      <c r="D1103" s="8" t="n"/>
      <c r="E1103" s="8" t="n">
        <v>28704.01</v>
      </c>
      <c r="F1103" s="8" t="n"/>
      <c r="G1103" s="8" t="n"/>
      <c r="H1103" s="8" t="n"/>
      <c r="I1103" s="8" t="n"/>
      <c r="J1103" s="8" t="n"/>
      <c r="K1103" s="8" t="n"/>
      <c r="L1103" s="8" t="n"/>
      <c r="M1103" s="8">
        <f>IF(COUNT(D1103:L1103)=0,"",MIN(D1103:L1103))</f>
        <v/>
      </c>
      <c r="N1103" s="8">
        <f>IF(COUNT(D1103:L1103)=0,"",MEDIAN(D1103:L1103))</f>
        <v/>
      </c>
      <c r="O1103" s="8">
        <f>IF(COUNT(D1103:L1103)=0,"",MAX(D1103:L1103))</f>
        <v/>
      </c>
      <c r="P1103" s="9">
        <f>IF(OR(M1103="",M1103=0),"",(O1103-M1103)/M1103)</f>
        <v/>
      </c>
      <c r="Q1103" s="7">
        <f>IF(COUNT(D1103:L1103)=0,"",INDEX($D$1:$L$1,MATCH(MIN(D1103:L1103),D1103:L1103,0)))</f>
        <v/>
      </c>
      <c r="R1103" s="8" t="n">
        <v>33870.73</v>
      </c>
      <c r="S1103" s="10" t="n">
        <v>1</v>
      </c>
    </row>
    <row r="1104">
      <c r="A1104" s="7" t="inlineStr">
        <is>
          <t>MAT-27-028</t>
        </is>
      </c>
      <c r="B1104" s="4" t="inlineStr">
        <is>
          <t>Dispensador de papel, de papel higiénico</t>
        </is>
      </c>
      <c r="C1104" s="7" t="inlineStr">
        <is>
          <t>unidad</t>
        </is>
      </c>
      <c r="D1104" s="8" t="n"/>
      <c r="E1104" s="8" t="n"/>
      <c r="F1104" s="8" t="n"/>
      <c r="G1104" s="8" t="n"/>
      <c r="H1104" s="8" t="n"/>
      <c r="I1104" s="8" t="n">
        <v>485</v>
      </c>
      <c r="J1104" s="8" t="n"/>
      <c r="K1104" s="8" t="n"/>
      <c r="L1104" s="8" t="n"/>
      <c r="M1104" s="8">
        <f>IF(COUNT(D1104:L1104)=0,"",MIN(D1104:L1104))</f>
        <v/>
      </c>
      <c r="N1104" s="8">
        <f>IF(COUNT(D1104:L1104)=0,"",MEDIAN(D1104:L1104))</f>
        <v/>
      </c>
      <c r="O1104" s="8">
        <f>IF(COUNT(D1104:L1104)=0,"",MAX(D1104:L1104))</f>
        <v/>
      </c>
      <c r="P1104" s="9">
        <f>IF(OR(M1104="",M1104=0),"",(O1104-M1104)/M1104)</f>
        <v/>
      </c>
      <c r="Q1104" s="7">
        <f>IF(COUNT(D1104:L1104)=0,"",INDEX($D$1:$L$1,MATCH(MIN(D1104:L1104),D1104:L1104,0)))</f>
        <v/>
      </c>
      <c r="R1104" s="8" t="n">
        <v>1850</v>
      </c>
      <c r="S1104" s="10" t="n">
        <v>1</v>
      </c>
    </row>
    <row r="1105">
      <c r="A1105" s="7" t="inlineStr">
        <is>
          <t>MAT-27-029</t>
        </is>
      </c>
      <c r="B1105" s="4" t="inlineStr">
        <is>
          <t>Dispensador de papel, de toalla</t>
        </is>
      </c>
      <c r="C1105" s="7" t="inlineStr">
        <is>
          <t>unidad</t>
        </is>
      </c>
      <c r="D1105" s="8" t="n">
        <v>4472.06</v>
      </c>
      <c r="E1105" s="8" t="n"/>
      <c r="F1105" s="8" t="n"/>
      <c r="G1105" s="8" t="n"/>
      <c r="H1105" s="8" t="n"/>
      <c r="I1105" s="8" t="n">
        <v>274</v>
      </c>
      <c r="J1105" s="8" t="n"/>
      <c r="K1105" s="8" t="n"/>
      <c r="L1105" s="8" t="n"/>
      <c r="M1105" s="8">
        <f>IF(COUNT(D1105:L1105)=0,"",MIN(D1105:L1105))</f>
        <v/>
      </c>
      <c r="N1105" s="8">
        <f>IF(COUNT(D1105:L1105)=0,"",MEDIAN(D1105:L1105))</f>
        <v/>
      </c>
      <c r="O1105" s="8">
        <f>IF(COUNT(D1105:L1105)=0,"",MAX(D1105:L1105))</f>
        <v/>
      </c>
      <c r="P1105" s="9">
        <f>IF(OR(M1105="",M1105=0),"",(O1105-M1105)/M1105)</f>
        <v/>
      </c>
      <c r="Q1105" s="7">
        <f>IF(COUNT(D1105:L1105)=0,"",INDEX($D$1:$L$1,MATCH(MIN(D1105:L1105),D1105:L1105,0)))</f>
        <v/>
      </c>
      <c r="R1105" s="8" t="n">
        <v>2695</v>
      </c>
      <c r="S1105" s="10" t="n">
        <v>2</v>
      </c>
    </row>
    <row r="1106">
      <c r="A1106" s="7" t="inlineStr">
        <is>
          <t>MAT-27-030</t>
        </is>
      </c>
      <c r="B1106" s="4" t="inlineStr">
        <is>
          <t>Cambiador de bebés de pared</t>
        </is>
      </c>
      <c r="C1106" s="7" t="inlineStr">
        <is>
          <t>unidad</t>
        </is>
      </c>
      <c r="D1106" s="8" t="n"/>
      <c r="E1106" s="8" t="n"/>
      <c r="F1106" s="8" t="n"/>
      <c r="G1106" s="8" t="n"/>
      <c r="H1106" s="8" t="n"/>
      <c r="I1106" s="8" t="n">
        <v>8705</v>
      </c>
      <c r="J1106" s="8" t="n"/>
      <c r="K1106" s="8" t="n"/>
      <c r="L1106" s="8" t="n"/>
      <c r="M1106" s="8">
        <f>IF(COUNT(D1106:L1106)=0,"",MIN(D1106:L1106))</f>
        <v/>
      </c>
      <c r="N1106" s="8">
        <f>IF(COUNT(D1106:L1106)=0,"",MEDIAN(D1106:L1106))</f>
        <v/>
      </c>
      <c r="O1106" s="8">
        <f>IF(COUNT(D1106:L1106)=0,"",MAX(D1106:L1106))</f>
        <v/>
      </c>
      <c r="P1106" s="9">
        <f>IF(OR(M1106="",M1106=0),"",(O1106-M1106)/M1106)</f>
        <v/>
      </c>
      <c r="Q1106" s="7">
        <f>IF(COUNT(D1106:L1106)=0,"",INDEX($D$1:$L$1,MATCH(MIN(D1106:L1106),D1106:L1106,0)))</f>
        <v/>
      </c>
      <c r="R1106" s="8" t="n">
        <v>8705</v>
      </c>
      <c r="S1106" s="10" t="n">
        <v>1</v>
      </c>
    </row>
    <row r="1107">
      <c r="A1107" s="7" t="inlineStr">
        <is>
          <t>MAT-28-001</t>
        </is>
      </c>
      <c r="B1107" s="4" t="inlineStr">
        <is>
          <t>Kit de alarma</t>
        </is>
      </c>
      <c r="C1107" s="7" t="inlineStr">
        <is>
          <t>juego</t>
        </is>
      </c>
      <c r="D1107" s="8" t="n">
        <v>7107.67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>
        <f>IF(COUNT(D1107:L1107)=0,"",MIN(D1107:L1107))</f>
        <v/>
      </c>
      <c r="N1107" s="8">
        <f>IF(COUNT(D1107:L1107)=0,"",MEDIAN(D1107:L1107))</f>
        <v/>
      </c>
      <c r="O1107" s="8">
        <f>IF(COUNT(D1107:L1107)=0,"",MAX(D1107:L1107))</f>
        <v/>
      </c>
      <c r="P1107" s="9">
        <f>IF(OR(M1107="",M1107=0),"",(O1107-M1107)/M1107)</f>
        <v/>
      </c>
      <c r="Q1107" s="7">
        <f>IF(COUNT(D1107:L1107)=0,"",INDEX($D$1:$L$1,MATCH(MIN(D1107:L1107),D1107:L1107,0)))</f>
        <v/>
      </c>
      <c r="R1107" s="8" t="n">
        <v>7107.67</v>
      </c>
      <c r="S1107" s="10" t="n">
        <v>1</v>
      </c>
    </row>
    <row r="1108">
      <c r="A1108" s="7" t="inlineStr">
        <is>
          <t>MAT-28-002</t>
        </is>
      </c>
      <c r="B1108" s="4" t="inlineStr">
        <is>
          <t>Panel de alarma</t>
        </is>
      </c>
      <c r="C1108" s="7" t="inlineStr">
        <is>
          <t>unidad</t>
        </is>
      </c>
      <c r="D1108" s="8" t="n">
        <v>3536.16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>
        <f>IF(COUNT(D1108:L1108)=0,"",MIN(D1108:L1108))</f>
        <v/>
      </c>
      <c r="N1108" s="8">
        <f>IF(COUNT(D1108:L1108)=0,"",MEDIAN(D1108:L1108))</f>
        <v/>
      </c>
      <c r="O1108" s="8">
        <f>IF(COUNT(D1108:L1108)=0,"",MAX(D1108:L1108))</f>
        <v/>
      </c>
      <c r="P1108" s="9">
        <f>IF(OR(M1108="",M1108=0),"",(O1108-M1108)/M1108)</f>
        <v/>
      </c>
      <c r="Q1108" s="7">
        <f>IF(COUNT(D1108:L1108)=0,"",INDEX($D$1:$L$1,MATCH(MIN(D1108:L1108),D1108:L1108,0)))</f>
        <v/>
      </c>
      <c r="R1108" s="8" t="n">
        <v>15771.4</v>
      </c>
      <c r="S1108" s="10" t="n">
        <v>1</v>
      </c>
    </row>
    <row r="1109">
      <c r="A1109" s="7" t="inlineStr">
        <is>
          <t>MAT-28-003</t>
        </is>
      </c>
      <c r="B1109" s="4" t="inlineStr">
        <is>
          <t>Panel de alarma 28 zonas</t>
        </is>
      </c>
      <c r="C1109" s="7" t="inlineStr">
        <is>
          <t>unidad</t>
        </is>
      </c>
      <c r="D1109" s="8" t="n">
        <v>7194.58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>
        <f>IF(COUNT(D1109:L1109)=0,"",MIN(D1109:L1109))</f>
        <v/>
      </c>
      <c r="N1109" s="8">
        <f>IF(COUNT(D1109:L1109)=0,"",MEDIAN(D1109:L1109))</f>
        <v/>
      </c>
      <c r="O1109" s="8">
        <f>IF(COUNT(D1109:L1109)=0,"",MAX(D1109:L1109))</f>
        <v/>
      </c>
      <c r="P1109" s="9">
        <f>IF(OR(M1109="",M1109=0),"",(O1109-M1109)/M1109)</f>
        <v/>
      </c>
      <c r="Q1109" s="7">
        <f>IF(COUNT(D1109:L1109)=0,"",INDEX($D$1:$L$1,MATCH(MIN(D1109:L1109),D1109:L1109,0)))</f>
        <v/>
      </c>
      <c r="R1109" s="8" t="n">
        <v>7194.58</v>
      </c>
      <c r="S1109" s="10" t="n">
        <v>1</v>
      </c>
    </row>
    <row r="1110">
      <c r="A1110" s="7" t="inlineStr">
        <is>
          <t>MAT-28-004</t>
        </is>
      </c>
      <c r="B1110" s="4" t="inlineStr">
        <is>
          <t>Panel de alarma 320 zonas</t>
        </is>
      </c>
      <c r="C1110" s="7" t="inlineStr">
        <is>
          <t>unidad</t>
        </is>
      </c>
      <c r="D1110" s="8" t="n">
        <v>13889.31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>
        <f>IF(COUNT(D1110:L1110)=0,"",MIN(D1110:L1110))</f>
        <v/>
      </c>
      <c r="N1110" s="8">
        <f>IF(COUNT(D1110:L1110)=0,"",MEDIAN(D1110:L1110))</f>
        <v/>
      </c>
      <c r="O1110" s="8">
        <f>IF(COUNT(D1110:L1110)=0,"",MAX(D1110:L1110))</f>
        <v/>
      </c>
      <c r="P1110" s="9">
        <f>IF(OR(M1110="",M1110=0),"",(O1110-M1110)/M1110)</f>
        <v/>
      </c>
      <c r="Q1110" s="7">
        <f>IF(COUNT(D1110:L1110)=0,"",INDEX($D$1:$L$1,MATCH(MIN(D1110:L1110),D1110:L1110,0)))</f>
        <v/>
      </c>
      <c r="R1110" s="8" t="n">
        <v>16552.7</v>
      </c>
      <c r="S1110" s="10" t="n">
        <v>1</v>
      </c>
    </row>
    <row r="1111">
      <c r="A1111" s="7" t="inlineStr">
        <is>
          <t>MAT-28-005</t>
        </is>
      </c>
      <c r="B1111" s="4" t="inlineStr">
        <is>
          <t>Panel de alarma 4 zonas</t>
        </is>
      </c>
      <c r="C1111" s="7" t="inlineStr">
        <is>
          <t>unidad</t>
        </is>
      </c>
      <c r="D1111" s="8" t="n">
        <v>18682.71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>
        <f>IF(COUNT(D1111:L1111)=0,"",MIN(D1111:L1111))</f>
        <v/>
      </c>
      <c r="N1111" s="8">
        <f>IF(COUNT(D1111:L1111)=0,"",MEDIAN(D1111:L1111))</f>
        <v/>
      </c>
      <c r="O1111" s="8">
        <f>IF(COUNT(D1111:L1111)=0,"",MAX(D1111:L1111))</f>
        <v/>
      </c>
      <c r="P1111" s="9">
        <f>IF(OR(M1111="",M1111=0),"",(O1111-M1111)/M1111)</f>
        <v/>
      </c>
      <c r="Q1111" s="7">
        <f>IF(COUNT(D1111:L1111)=0,"",INDEX($D$1:$L$1,MATCH(MIN(D1111:L1111),D1111:L1111,0)))</f>
        <v/>
      </c>
      <c r="R1111" s="8" t="n">
        <v>18682.71</v>
      </c>
      <c r="S1111" s="10" t="n">
        <v>1</v>
      </c>
    </row>
    <row r="1112">
      <c r="A1112" s="7" t="inlineStr">
        <is>
          <t>MAT-28-006</t>
        </is>
      </c>
      <c r="B1112" s="4" t="inlineStr">
        <is>
          <t>Panel de alarma 48 zonas</t>
        </is>
      </c>
      <c r="C1112" s="7" t="inlineStr">
        <is>
          <t>unidad</t>
        </is>
      </c>
      <c r="D1112" s="8" t="n">
        <v>8277.66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>
        <f>IF(COUNT(D1112:L1112)=0,"",MIN(D1112:L1112))</f>
        <v/>
      </c>
      <c r="N1112" s="8">
        <f>IF(COUNT(D1112:L1112)=0,"",MEDIAN(D1112:L1112))</f>
        <v/>
      </c>
      <c r="O1112" s="8">
        <f>IF(COUNT(D1112:L1112)=0,"",MAX(D1112:L1112))</f>
        <v/>
      </c>
      <c r="P1112" s="9">
        <f>IF(OR(M1112="",M1112=0),"",(O1112-M1112)/M1112)</f>
        <v/>
      </c>
      <c r="Q1112" s="7">
        <f>IF(COUNT(D1112:L1112)=0,"",INDEX($D$1:$L$1,MATCH(MIN(D1112:L1112),D1112:L1112,0)))</f>
        <v/>
      </c>
      <c r="R1112" s="8" t="n">
        <v>8277.66</v>
      </c>
      <c r="S1112" s="10" t="n">
        <v>1</v>
      </c>
    </row>
    <row r="1113">
      <c r="A1113" s="7" t="inlineStr">
        <is>
          <t>MAT-28-007</t>
        </is>
      </c>
      <c r="B1113" s="4" t="inlineStr">
        <is>
          <t>Panel de alarma 8 zonas</t>
        </is>
      </c>
      <c r="C1113" s="7" t="inlineStr">
        <is>
          <t>unidad</t>
        </is>
      </c>
      <c r="D1113" s="8" t="n">
        <v>11668.57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>
        <f>IF(COUNT(D1113:L1113)=0,"",MIN(D1113:L1113))</f>
        <v/>
      </c>
      <c r="N1113" s="8">
        <f>IF(COUNT(D1113:L1113)=0,"",MEDIAN(D1113:L1113))</f>
        <v/>
      </c>
      <c r="O1113" s="8">
        <f>IF(COUNT(D1113:L1113)=0,"",MAX(D1113:L1113))</f>
        <v/>
      </c>
      <c r="P1113" s="9">
        <f>IF(OR(M1113="",M1113=0),"",(O1113-M1113)/M1113)</f>
        <v/>
      </c>
      <c r="Q1113" s="7">
        <f>IF(COUNT(D1113:L1113)=0,"",INDEX($D$1:$L$1,MATCH(MIN(D1113:L1113),D1113:L1113,0)))</f>
        <v/>
      </c>
      <c r="R1113" s="8" t="n">
        <v>11668.57</v>
      </c>
      <c r="S1113" s="10" t="n">
        <v>1</v>
      </c>
    </row>
    <row r="1114">
      <c r="A1114" s="7" t="inlineStr">
        <is>
          <t>MAT-28-008</t>
        </is>
      </c>
      <c r="B1114" s="4" t="inlineStr">
        <is>
          <t>Teclado para alarma</t>
        </is>
      </c>
      <c r="C1114" s="7" t="inlineStr">
        <is>
          <t>unidad</t>
        </is>
      </c>
      <c r="D1114" s="8" t="n">
        <v>3449.44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>
        <f>IF(COUNT(D1114:L1114)=0,"",MIN(D1114:L1114))</f>
        <v/>
      </c>
      <c r="N1114" s="8">
        <f>IF(COUNT(D1114:L1114)=0,"",MEDIAN(D1114:L1114))</f>
        <v/>
      </c>
      <c r="O1114" s="8">
        <f>IF(COUNT(D1114:L1114)=0,"",MAX(D1114:L1114))</f>
        <v/>
      </c>
      <c r="P1114" s="9">
        <f>IF(OR(M1114="",M1114=0),"",(O1114-M1114)/M1114)</f>
        <v/>
      </c>
      <c r="Q1114" s="7">
        <f>IF(COUNT(D1114:L1114)=0,"",INDEX($D$1:$L$1,MATCH(MIN(D1114:L1114),D1114:L1114,0)))</f>
        <v/>
      </c>
      <c r="R1114" s="8" t="n">
        <v>7211.08</v>
      </c>
      <c r="S1114" s="10" t="n">
        <v>1</v>
      </c>
    </row>
    <row r="1115">
      <c r="A1115" s="7" t="inlineStr">
        <is>
          <t>MAT-28-009</t>
        </is>
      </c>
      <c r="B1115" s="4" t="inlineStr">
        <is>
          <t>Detector de movimiento</t>
        </is>
      </c>
      <c r="C1115" s="7" t="inlineStr">
        <is>
          <t>unidad</t>
        </is>
      </c>
      <c r="D1115" s="8" t="n">
        <v>266.05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>
        <f>IF(COUNT(D1115:L1115)=0,"",MIN(D1115:L1115))</f>
        <v/>
      </c>
      <c r="N1115" s="8">
        <f>IF(COUNT(D1115:L1115)=0,"",MEDIAN(D1115:L1115))</f>
        <v/>
      </c>
      <c r="O1115" s="8">
        <f>IF(COUNT(D1115:L1115)=0,"",MAX(D1115:L1115))</f>
        <v/>
      </c>
      <c r="P1115" s="9">
        <f>IF(OR(M1115="",M1115=0),"",(O1115-M1115)/M1115)</f>
        <v/>
      </c>
      <c r="Q1115" s="7">
        <f>IF(COUNT(D1115:L1115)=0,"",INDEX($D$1:$L$1,MATCH(MIN(D1115:L1115),D1115:L1115,0)))</f>
        <v/>
      </c>
      <c r="R1115" s="8" t="n">
        <v>1486.93</v>
      </c>
      <c r="S1115" s="10" t="n">
        <v>1</v>
      </c>
    </row>
    <row r="1116">
      <c r="A1116" s="7" t="inlineStr">
        <is>
          <t>MAT-28-010</t>
        </is>
      </c>
      <c r="B1116" s="4" t="inlineStr">
        <is>
          <t>Detector de movimiento alcance 10 m</t>
        </is>
      </c>
      <c r="C1116" s="7" t="inlineStr">
        <is>
          <t>unidad</t>
        </is>
      </c>
      <c r="D1116" s="8" t="n">
        <v>7135.36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>
        <f>IF(COUNT(D1116:L1116)=0,"",MIN(D1116:L1116))</f>
        <v/>
      </c>
      <c r="N1116" s="8">
        <f>IF(COUNT(D1116:L1116)=0,"",MEDIAN(D1116:L1116))</f>
        <v/>
      </c>
      <c r="O1116" s="8">
        <f>IF(COUNT(D1116:L1116)=0,"",MAX(D1116:L1116))</f>
        <v/>
      </c>
      <c r="P1116" s="9">
        <f>IF(OR(M1116="",M1116=0),"",(O1116-M1116)/M1116)</f>
        <v/>
      </c>
      <c r="Q1116" s="7">
        <f>IF(COUNT(D1116:L1116)=0,"",INDEX($D$1:$L$1,MATCH(MIN(D1116:L1116),D1116:L1116,0)))</f>
        <v/>
      </c>
      <c r="R1116" s="8" t="n">
        <v>7135.36</v>
      </c>
      <c r="S1116" s="10" t="n">
        <v>1</v>
      </c>
    </row>
    <row r="1117">
      <c r="A1117" s="7" t="inlineStr">
        <is>
          <t>MAT-28-011</t>
        </is>
      </c>
      <c r="B1117" s="4" t="inlineStr">
        <is>
          <t>Detector de movimiento alcance 11 m</t>
        </is>
      </c>
      <c r="C1117" s="7" t="inlineStr">
        <is>
          <t>unidad</t>
        </is>
      </c>
      <c r="D1117" s="8" t="n">
        <v>5567.22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>
        <f>IF(COUNT(D1117:L1117)=0,"",MIN(D1117:L1117))</f>
        <v/>
      </c>
      <c r="N1117" s="8">
        <f>IF(COUNT(D1117:L1117)=0,"",MEDIAN(D1117:L1117))</f>
        <v/>
      </c>
      <c r="O1117" s="8">
        <f>IF(COUNT(D1117:L1117)=0,"",MAX(D1117:L1117))</f>
        <v/>
      </c>
      <c r="P1117" s="9">
        <f>IF(OR(M1117="",M1117=0),"",(O1117-M1117)/M1117)</f>
        <v/>
      </c>
      <c r="Q1117" s="7">
        <f>IF(COUNT(D1117:L1117)=0,"",INDEX($D$1:$L$1,MATCH(MIN(D1117:L1117),D1117:L1117,0)))</f>
        <v/>
      </c>
      <c r="R1117" s="8" t="n">
        <v>5567.22</v>
      </c>
      <c r="S1117" s="10" t="n">
        <v>1</v>
      </c>
    </row>
    <row r="1118">
      <c r="A1118" s="7" t="inlineStr">
        <is>
          <t>MAT-28-012</t>
        </is>
      </c>
      <c r="B1118" s="4" t="inlineStr">
        <is>
          <t>Detector de movimiento alcance 12 m</t>
        </is>
      </c>
      <c r="C1118" s="7" t="inlineStr">
        <is>
          <t>unidad</t>
        </is>
      </c>
      <c r="D1118" s="8" t="n">
        <v>820.3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>
        <f>IF(COUNT(D1118:L1118)=0,"",MIN(D1118:L1118))</f>
        <v/>
      </c>
      <c r="N1118" s="8">
        <f>IF(COUNT(D1118:L1118)=0,"",MEDIAN(D1118:L1118))</f>
        <v/>
      </c>
      <c r="O1118" s="8">
        <f>IF(COUNT(D1118:L1118)=0,"",MAX(D1118:L1118))</f>
        <v/>
      </c>
      <c r="P1118" s="9">
        <f>IF(OR(M1118="",M1118=0),"",(O1118-M1118)/M1118)</f>
        <v/>
      </c>
      <c r="Q1118" s="7">
        <f>IF(COUNT(D1118:L1118)=0,"",INDEX($D$1:$L$1,MATCH(MIN(D1118:L1118),D1118:L1118,0)))</f>
        <v/>
      </c>
      <c r="R1118" s="8" t="n">
        <v>2831.47</v>
      </c>
      <c r="S1118" s="10" t="n">
        <v>1</v>
      </c>
    </row>
    <row r="1119">
      <c r="A1119" s="7" t="inlineStr">
        <is>
          <t>MAT-28-013</t>
        </is>
      </c>
      <c r="B1119" s="4" t="inlineStr">
        <is>
          <t>Detector de movimiento alcance 15 m</t>
        </is>
      </c>
      <c r="C1119" s="7" t="inlineStr">
        <is>
          <t>unidad</t>
        </is>
      </c>
      <c r="D1119" s="8" t="n">
        <v>2675.69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>
        <f>IF(COUNT(D1119:L1119)=0,"",MIN(D1119:L1119))</f>
        <v/>
      </c>
      <c r="N1119" s="8">
        <f>IF(COUNT(D1119:L1119)=0,"",MEDIAN(D1119:L1119))</f>
        <v/>
      </c>
      <c r="O1119" s="8">
        <f>IF(COUNT(D1119:L1119)=0,"",MAX(D1119:L1119))</f>
        <v/>
      </c>
      <c r="P1119" s="9">
        <f>IF(OR(M1119="",M1119=0),"",(O1119-M1119)/M1119)</f>
        <v/>
      </c>
      <c r="Q1119" s="7">
        <f>IF(COUNT(D1119:L1119)=0,"",INDEX($D$1:$L$1,MATCH(MIN(D1119:L1119),D1119:L1119,0)))</f>
        <v/>
      </c>
      <c r="R1119" s="8" t="n">
        <v>2675.69</v>
      </c>
      <c r="S1119" s="10" t="n">
        <v>1</v>
      </c>
    </row>
    <row r="1120">
      <c r="A1120" s="7" t="inlineStr">
        <is>
          <t>MAT-28-014</t>
        </is>
      </c>
      <c r="B1120" s="4" t="inlineStr">
        <is>
          <t>Detector de movimiento alcance 16 m</t>
        </is>
      </c>
      <c r="C1120" s="7" t="inlineStr">
        <is>
          <t>unidad</t>
        </is>
      </c>
      <c r="D1120" s="8" t="n">
        <v>2944.96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>
        <f>IF(COUNT(D1120:L1120)=0,"",MIN(D1120:L1120))</f>
        <v/>
      </c>
      <c r="N1120" s="8">
        <f>IF(COUNT(D1120:L1120)=0,"",MEDIAN(D1120:L1120))</f>
        <v/>
      </c>
      <c r="O1120" s="8">
        <f>IF(COUNT(D1120:L1120)=0,"",MAX(D1120:L1120))</f>
        <v/>
      </c>
      <c r="P1120" s="9">
        <f>IF(OR(M1120="",M1120=0),"",(O1120-M1120)/M1120)</f>
        <v/>
      </c>
      <c r="Q1120" s="7">
        <f>IF(COUNT(D1120:L1120)=0,"",INDEX($D$1:$L$1,MATCH(MIN(D1120:L1120),D1120:L1120,0)))</f>
        <v/>
      </c>
      <c r="R1120" s="8" t="n">
        <v>2944.96</v>
      </c>
      <c r="S1120" s="10" t="n">
        <v>1</v>
      </c>
    </row>
    <row r="1121">
      <c r="A1121" s="7" t="inlineStr">
        <is>
          <t>MAT-28-015</t>
        </is>
      </c>
      <c r="B1121" s="4" t="inlineStr">
        <is>
          <t>Contacto magnético para puerta o ventana</t>
        </is>
      </c>
      <c r="C1121" s="7" t="inlineStr">
        <is>
          <t>unidad</t>
        </is>
      </c>
      <c r="D1121" s="8" t="n">
        <v>506.24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>
        <f>IF(COUNT(D1121:L1121)=0,"",MIN(D1121:L1121))</f>
        <v/>
      </c>
      <c r="N1121" s="8">
        <f>IF(COUNT(D1121:L1121)=0,"",MEDIAN(D1121:L1121))</f>
        <v/>
      </c>
      <c r="O1121" s="8">
        <f>IF(COUNT(D1121:L1121)=0,"",MAX(D1121:L1121))</f>
        <v/>
      </c>
      <c r="P1121" s="9">
        <f>IF(OR(M1121="",M1121=0),"",(O1121-M1121)/M1121)</f>
        <v/>
      </c>
      <c r="Q1121" s="7">
        <f>IF(COUNT(D1121:L1121)=0,"",INDEX($D$1:$L$1,MATCH(MIN(D1121:L1121),D1121:L1121,0)))</f>
        <v/>
      </c>
      <c r="R1121" s="8" t="n">
        <v>1673.26</v>
      </c>
      <c r="S1121" s="10" t="n">
        <v>1</v>
      </c>
    </row>
    <row r="1122">
      <c r="A1122" s="7" t="inlineStr">
        <is>
          <t>MAT-28-016</t>
        </is>
      </c>
      <c r="B1122" s="4" t="inlineStr">
        <is>
          <t>Sirena de alarma</t>
        </is>
      </c>
      <c r="C1122" s="7" t="inlineStr">
        <is>
          <t>unidad</t>
        </is>
      </c>
      <c r="D1122" s="8" t="n">
        <v>713.99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>
        <f>IF(COUNT(D1122:L1122)=0,"",MIN(D1122:L1122))</f>
        <v/>
      </c>
      <c r="N1122" s="8">
        <f>IF(COUNT(D1122:L1122)=0,"",MEDIAN(D1122:L1122))</f>
        <v/>
      </c>
      <c r="O1122" s="8">
        <f>IF(COUNT(D1122:L1122)=0,"",MAX(D1122:L1122))</f>
        <v/>
      </c>
      <c r="P1122" s="9">
        <f>IF(OR(M1122="",M1122=0),"",(O1122-M1122)/M1122)</f>
        <v/>
      </c>
      <c r="Q1122" s="7">
        <f>IF(COUNT(D1122:L1122)=0,"",INDEX($D$1:$L$1,MATCH(MIN(D1122:L1122),D1122:L1122,0)))</f>
        <v/>
      </c>
      <c r="R1122" s="8" t="n">
        <v>12406.5</v>
      </c>
      <c r="S1122" s="10" t="n">
        <v>1</v>
      </c>
    </row>
    <row r="1123">
      <c r="A1123" s="7" t="inlineStr">
        <is>
          <t>MAT-28-017</t>
        </is>
      </c>
      <c r="B1123" s="4" t="inlineStr">
        <is>
          <t>Sirena de alarma de exterior</t>
        </is>
      </c>
      <c r="C1123" s="7" t="inlineStr">
        <is>
          <t>unidad</t>
        </is>
      </c>
      <c r="D1123" s="8" t="n">
        <v>5053.69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>
        <f>IF(COUNT(D1123:L1123)=0,"",MIN(D1123:L1123))</f>
        <v/>
      </c>
      <c r="N1123" s="8">
        <f>IF(COUNT(D1123:L1123)=0,"",MEDIAN(D1123:L1123))</f>
        <v/>
      </c>
      <c r="O1123" s="8">
        <f>IF(COUNT(D1123:L1123)=0,"",MAX(D1123:L1123))</f>
        <v/>
      </c>
      <c r="P1123" s="9">
        <f>IF(OR(M1123="",M1123=0),"",(O1123-M1123)/M1123)</f>
        <v/>
      </c>
      <c r="Q1123" s="7">
        <f>IF(COUNT(D1123:L1123)=0,"",INDEX($D$1:$L$1,MATCH(MIN(D1123:L1123),D1123:L1123,0)))</f>
        <v/>
      </c>
      <c r="R1123" s="8" t="n">
        <v>5053.69</v>
      </c>
      <c r="S1123" s="10" t="n">
        <v>1</v>
      </c>
    </row>
    <row r="1124">
      <c r="A1124" s="7" t="inlineStr">
        <is>
          <t>MAT-28-018</t>
        </is>
      </c>
      <c r="B1124" s="4" t="inlineStr">
        <is>
          <t>Sirena de alarma de interior</t>
        </is>
      </c>
      <c r="C1124" s="7" t="inlineStr">
        <is>
          <t>unidad</t>
        </is>
      </c>
      <c r="D1124" s="8" t="n">
        <v>3381.4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>
        <f>IF(COUNT(D1124:L1124)=0,"",MIN(D1124:L1124))</f>
        <v/>
      </c>
      <c r="N1124" s="8">
        <f>IF(COUNT(D1124:L1124)=0,"",MEDIAN(D1124:L1124))</f>
        <v/>
      </c>
      <c r="O1124" s="8">
        <f>IF(COUNT(D1124:L1124)=0,"",MAX(D1124:L1124))</f>
        <v/>
      </c>
      <c r="P1124" s="9">
        <f>IF(OR(M1124="",M1124=0),"",(O1124-M1124)/M1124)</f>
        <v/>
      </c>
      <c r="Q1124" s="7">
        <f>IF(COUNT(D1124:L1124)=0,"",INDEX($D$1:$L$1,MATCH(MIN(D1124:L1124),D1124:L1124,0)))</f>
        <v/>
      </c>
      <c r="R1124" s="8" t="n">
        <v>3381.4</v>
      </c>
      <c r="S1124" s="10" t="n">
        <v>1</v>
      </c>
    </row>
    <row r="1125">
      <c r="A1125" s="7" t="inlineStr">
        <is>
          <t>MAT-28-019</t>
        </is>
      </c>
      <c r="B1125" s="4" t="inlineStr">
        <is>
          <t>Control de acceso</t>
        </is>
      </c>
      <c r="C1125" s="7" t="inlineStr">
        <is>
          <t>unidad</t>
        </is>
      </c>
      <c r="D1125" s="8" t="n">
        <v>5063.11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>
        <f>IF(COUNT(D1125:L1125)=0,"",MIN(D1125:L1125))</f>
        <v/>
      </c>
      <c r="N1125" s="8">
        <f>IF(COUNT(D1125:L1125)=0,"",MEDIAN(D1125:L1125))</f>
        <v/>
      </c>
      <c r="O1125" s="8">
        <f>IF(COUNT(D1125:L1125)=0,"",MAX(D1125:L1125))</f>
        <v/>
      </c>
      <c r="P1125" s="9">
        <f>IF(OR(M1125="",M1125=0),"",(O1125-M1125)/M1125)</f>
        <v/>
      </c>
      <c r="Q1125" s="7">
        <f>IF(COUNT(D1125:L1125)=0,"",INDEX($D$1:$L$1,MATCH(MIN(D1125:L1125),D1125:L1125,0)))</f>
        <v/>
      </c>
      <c r="R1125" s="8" t="n">
        <v>14529.44</v>
      </c>
      <c r="S1125" s="10" t="n">
        <v>1</v>
      </c>
    </row>
    <row r="1126">
      <c r="A1126" s="7" t="inlineStr">
        <is>
          <t>MAT-28-020</t>
        </is>
      </c>
      <c r="B1126" s="4" t="inlineStr">
        <is>
          <t>Control de acceso huella</t>
        </is>
      </c>
      <c r="C1126" s="7" t="inlineStr">
        <is>
          <t>unidad</t>
        </is>
      </c>
      <c r="D1126" s="8" t="n">
        <v>10930.42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>
        <f>IF(COUNT(D1126:L1126)=0,"",MIN(D1126:L1126))</f>
        <v/>
      </c>
      <c r="N1126" s="8">
        <f>IF(COUNT(D1126:L1126)=0,"",MEDIAN(D1126:L1126))</f>
        <v/>
      </c>
      <c r="O1126" s="8">
        <f>IF(COUNT(D1126:L1126)=0,"",MAX(D1126:L1126))</f>
        <v/>
      </c>
      <c r="P1126" s="9">
        <f>IF(OR(M1126="",M1126=0),"",(O1126-M1126)/M1126)</f>
        <v/>
      </c>
      <c r="Q1126" s="7">
        <f>IF(COUNT(D1126:L1126)=0,"",INDEX($D$1:$L$1,MATCH(MIN(D1126:L1126),D1126:L1126,0)))</f>
        <v/>
      </c>
      <c r="R1126" s="8" t="n">
        <v>16289.94</v>
      </c>
      <c r="S1126" s="10" t="n">
        <v>1</v>
      </c>
    </row>
    <row r="1127">
      <c r="A1127" s="7" t="inlineStr">
        <is>
          <t>MAT-28-021</t>
        </is>
      </c>
      <c r="B1127" s="4" t="inlineStr">
        <is>
          <t>Control de acceso proximidad</t>
        </is>
      </c>
      <c r="C1127" s="7" t="inlineStr">
        <is>
          <t>unidad</t>
        </is>
      </c>
      <c r="D1127" s="8" t="n">
        <v>8365.110000000001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>
        <f>IF(COUNT(D1127:L1127)=0,"",MIN(D1127:L1127))</f>
        <v/>
      </c>
      <c r="N1127" s="8">
        <f>IF(COUNT(D1127:L1127)=0,"",MEDIAN(D1127:L1127))</f>
        <v/>
      </c>
      <c r="O1127" s="8">
        <f>IF(COUNT(D1127:L1127)=0,"",MAX(D1127:L1127))</f>
        <v/>
      </c>
      <c r="P1127" s="9">
        <f>IF(OR(M1127="",M1127=0),"",(O1127-M1127)/M1127)</f>
        <v/>
      </c>
      <c r="Q1127" s="7">
        <f>IF(COUNT(D1127:L1127)=0,"",INDEX($D$1:$L$1,MATCH(MIN(D1127:L1127),D1127:L1127,0)))</f>
        <v/>
      </c>
      <c r="R1127" s="8" t="n">
        <v>9465.780000000001</v>
      </c>
      <c r="S1127" s="10" t="n">
        <v>1</v>
      </c>
    </row>
    <row r="1128">
      <c r="A1128" s="7" t="inlineStr">
        <is>
          <t>MAT-28-022</t>
        </is>
      </c>
      <c r="B1128" s="4" t="inlineStr">
        <is>
          <t>Control de acceso teclado</t>
        </is>
      </c>
      <c r="C1128" s="7" t="inlineStr">
        <is>
          <t>unidad</t>
        </is>
      </c>
      <c r="D1128" s="8" t="n">
        <v>12767.79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>
        <f>IF(COUNT(D1128:L1128)=0,"",MIN(D1128:L1128))</f>
        <v/>
      </c>
      <c r="N1128" s="8">
        <f>IF(COUNT(D1128:L1128)=0,"",MEDIAN(D1128:L1128))</f>
        <v/>
      </c>
      <c r="O1128" s="8">
        <f>IF(COUNT(D1128:L1128)=0,"",MAX(D1128:L1128))</f>
        <v/>
      </c>
      <c r="P1128" s="9">
        <f>IF(OR(M1128="",M1128=0),"",(O1128-M1128)/M1128)</f>
        <v/>
      </c>
      <c r="Q1128" s="7">
        <f>IF(COUNT(D1128:L1128)=0,"",INDEX($D$1:$L$1,MATCH(MIN(D1128:L1128),D1128:L1128,0)))</f>
        <v/>
      </c>
      <c r="R1128" s="8" t="n">
        <v>12767.79</v>
      </c>
      <c r="S1128" s="10" t="n">
        <v>1</v>
      </c>
    </row>
    <row r="1129">
      <c r="A1129" s="7" t="inlineStr">
        <is>
          <t>MAT-28-023</t>
        </is>
      </c>
      <c r="B1129" s="4" t="inlineStr">
        <is>
          <t>Equipo de cerco eléctrico</t>
        </is>
      </c>
      <c r="C1129" s="7" t="inlineStr">
        <is>
          <t>unidad</t>
        </is>
      </c>
      <c r="D1129" s="8" t="n">
        <v>10.19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>
        <f>IF(COUNT(D1129:L1129)=0,"",MIN(D1129:L1129))</f>
        <v/>
      </c>
      <c r="N1129" s="8">
        <f>IF(COUNT(D1129:L1129)=0,"",MEDIAN(D1129:L1129))</f>
        <v/>
      </c>
      <c r="O1129" s="8">
        <f>IF(COUNT(D1129:L1129)=0,"",MAX(D1129:L1129))</f>
        <v/>
      </c>
      <c r="P1129" s="9">
        <f>IF(OR(M1129="",M1129=0),"",(O1129-M1129)/M1129)</f>
        <v/>
      </c>
      <c r="Q1129" s="7">
        <f>IF(COUNT(D1129:L1129)=0,"",INDEX($D$1:$L$1,MATCH(MIN(D1129:L1129),D1129:L1129,0)))</f>
        <v/>
      </c>
      <c r="R1129" s="8" t="n">
        <v>1207.19</v>
      </c>
      <c r="S1129" s="10" t="n">
        <v>1</v>
      </c>
    </row>
    <row r="1130">
      <c r="A1130" s="7" t="inlineStr">
        <is>
          <t>MAT-28-024</t>
        </is>
      </c>
      <c r="B1130" s="4" t="inlineStr">
        <is>
          <t>Accesorio de sistema de alarma</t>
        </is>
      </c>
      <c r="C1130" s="7" t="inlineStr">
        <is>
          <t>unidad</t>
        </is>
      </c>
      <c r="D1130" s="8" t="n">
        <v>146.83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>
        <f>IF(COUNT(D1130:L1130)=0,"",MIN(D1130:L1130))</f>
        <v/>
      </c>
      <c r="N1130" s="8">
        <f>IF(COUNT(D1130:L1130)=0,"",MEDIAN(D1130:L1130))</f>
        <v/>
      </c>
      <c r="O1130" s="8">
        <f>IF(COUNT(D1130:L1130)=0,"",MAX(D1130:L1130))</f>
        <v/>
      </c>
      <c r="P1130" s="9">
        <f>IF(OR(M1130="",M1130=0),"",(O1130-M1130)/M1130)</f>
        <v/>
      </c>
      <c r="Q1130" s="7">
        <f>IF(COUNT(D1130:L1130)=0,"",INDEX($D$1:$L$1,MATCH(MIN(D1130:L1130),D1130:L1130,0)))</f>
        <v/>
      </c>
      <c r="R1130" s="8" t="n">
        <v>1912.8</v>
      </c>
      <c r="S1130" s="10" t="n">
        <v>1</v>
      </c>
    </row>
    <row r="1131">
      <c r="A1131" s="7" t="inlineStr">
        <is>
          <t>MAT-29-003</t>
        </is>
      </c>
      <c r="B1131" s="4" t="inlineStr">
        <is>
          <t>Detector para sistema de incendio de calor</t>
        </is>
      </c>
      <c r="C1131" s="7" t="inlineStr">
        <is>
          <t>unidad</t>
        </is>
      </c>
      <c r="D1131" s="8" t="n">
        <v>1508.54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>
        <f>IF(COUNT(D1131:L1131)=0,"",MIN(D1131:L1131))</f>
        <v/>
      </c>
      <c r="N1131" s="8">
        <f>IF(COUNT(D1131:L1131)=0,"",MEDIAN(D1131:L1131))</f>
        <v/>
      </c>
      <c r="O1131" s="8">
        <f>IF(COUNT(D1131:L1131)=0,"",MAX(D1131:L1131))</f>
        <v/>
      </c>
      <c r="P1131" s="9">
        <f>IF(OR(M1131="",M1131=0),"",(O1131-M1131)/M1131)</f>
        <v/>
      </c>
      <c r="Q1131" s="7">
        <f>IF(COUNT(D1131:L1131)=0,"",INDEX($D$1:$L$1,MATCH(MIN(D1131:L1131),D1131:L1131,0)))</f>
        <v/>
      </c>
      <c r="R1131" s="8" t="n">
        <v>1780.89</v>
      </c>
      <c r="S1131" s="10" t="n">
        <v>1</v>
      </c>
    </row>
    <row r="1132">
      <c r="A1132" s="7" t="inlineStr">
        <is>
          <t>MAT-29-004</t>
        </is>
      </c>
      <c r="B1132" s="4" t="inlineStr">
        <is>
          <t>Detector para sistema de incendio de humo</t>
        </is>
      </c>
      <c r="C1132" s="7" t="inlineStr">
        <is>
          <t>unidad</t>
        </is>
      </c>
      <c r="D1132" s="8" t="n">
        <v>1934.03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>
        <f>IF(COUNT(D1132:L1132)=0,"",MIN(D1132:L1132))</f>
        <v/>
      </c>
      <c r="N1132" s="8">
        <f>IF(COUNT(D1132:L1132)=0,"",MEDIAN(D1132:L1132))</f>
        <v/>
      </c>
      <c r="O1132" s="8">
        <f>IF(COUNT(D1132:L1132)=0,"",MAX(D1132:L1132))</f>
        <v/>
      </c>
      <c r="P1132" s="9">
        <f>IF(OR(M1132="",M1132=0),"",(O1132-M1132)/M1132)</f>
        <v/>
      </c>
      <c r="Q1132" s="7">
        <f>IF(COUNT(D1132:L1132)=0,"",INDEX($D$1:$L$1,MATCH(MIN(D1132:L1132),D1132:L1132,0)))</f>
        <v/>
      </c>
      <c r="R1132" s="8" t="n">
        <v>2135.37</v>
      </c>
      <c r="S1132" s="10" t="n">
        <v>1</v>
      </c>
    </row>
    <row r="1133">
      <c r="A1133" s="7" t="inlineStr">
        <is>
          <t>MAT-29-005</t>
        </is>
      </c>
      <c r="B1133" s="4" t="inlineStr">
        <is>
          <t>Detector para sistema de incendio de humo y calor</t>
        </is>
      </c>
      <c r="C1133" s="7" t="inlineStr">
        <is>
          <t>unidad</t>
        </is>
      </c>
      <c r="D1133" s="8" t="n">
        <v>1657.72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>
        <f>IF(COUNT(D1133:L1133)=0,"",MIN(D1133:L1133))</f>
        <v/>
      </c>
      <c r="N1133" s="8">
        <f>IF(COUNT(D1133:L1133)=0,"",MEDIAN(D1133:L1133))</f>
        <v/>
      </c>
      <c r="O1133" s="8">
        <f>IF(COUNT(D1133:L1133)=0,"",MAX(D1133:L1133))</f>
        <v/>
      </c>
      <c r="P1133" s="9">
        <f>IF(OR(M1133="",M1133=0),"",(O1133-M1133)/M1133)</f>
        <v/>
      </c>
      <c r="Q1133" s="7">
        <f>IF(COUNT(D1133:L1133)=0,"",INDEX($D$1:$L$1,MATCH(MIN(D1133:L1133),D1133:L1133,0)))</f>
        <v/>
      </c>
      <c r="R1133" s="8" t="n">
        <v>1657.72</v>
      </c>
      <c r="S1133" s="10" t="n">
        <v>1</v>
      </c>
    </row>
    <row r="1134">
      <c r="A1134" s="7" t="inlineStr">
        <is>
          <t>MAT-29-006</t>
        </is>
      </c>
      <c r="B1134" s="4" t="inlineStr">
        <is>
          <t>Estación manual de incendio</t>
        </is>
      </c>
      <c r="C1134" s="7" t="inlineStr">
        <is>
          <t>unidad</t>
        </is>
      </c>
      <c r="D1134" s="8" t="n">
        <v>870.3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>
        <f>IF(COUNT(D1134:L1134)=0,"",MIN(D1134:L1134))</f>
        <v/>
      </c>
      <c r="N1134" s="8">
        <f>IF(COUNT(D1134:L1134)=0,"",MEDIAN(D1134:L1134))</f>
        <v/>
      </c>
      <c r="O1134" s="8">
        <f>IF(COUNT(D1134:L1134)=0,"",MAX(D1134:L1134))</f>
        <v/>
      </c>
      <c r="P1134" s="9">
        <f>IF(OR(M1134="",M1134=0),"",(O1134-M1134)/M1134)</f>
        <v/>
      </c>
      <c r="Q1134" s="7">
        <f>IF(COUNT(D1134:L1134)=0,"",INDEX($D$1:$L$1,MATCH(MIN(D1134:L1134),D1134:L1134,0)))</f>
        <v/>
      </c>
      <c r="R1134" s="8" t="n">
        <v>2358.36</v>
      </c>
      <c r="S1134" s="10" t="n">
        <v>1</v>
      </c>
    </row>
    <row r="1135">
      <c r="A1135" s="7" t="inlineStr">
        <is>
          <t>MAT-29-007</t>
        </is>
      </c>
      <c r="B1135" s="4" t="inlineStr">
        <is>
          <t>Sirena o estrobo de incendio</t>
        </is>
      </c>
      <c r="C1135" s="7" t="inlineStr">
        <is>
          <t>unidad</t>
        </is>
      </c>
      <c r="D1135" s="8" t="n">
        <v>3502.55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>
        <f>IF(COUNT(D1135:L1135)=0,"",MIN(D1135:L1135))</f>
        <v/>
      </c>
      <c r="N1135" s="8">
        <f>IF(COUNT(D1135:L1135)=0,"",MEDIAN(D1135:L1135))</f>
        <v/>
      </c>
      <c r="O1135" s="8">
        <f>IF(COUNT(D1135:L1135)=0,"",MAX(D1135:L1135))</f>
        <v/>
      </c>
      <c r="P1135" s="9">
        <f>IF(OR(M1135="",M1135=0),"",(O1135-M1135)/M1135)</f>
        <v/>
      </c>
      <c r="Q1135" s="7">
        <f>IF(COUNT(D1135:L1135)=0,"",INDEX($D$1:$L$1,MATCH(MIN(D1135:L1135),D1135:L1135,0)))</f>
        <v/>
      </c>
      <c r="R1135" s="8" t="n">
        <v>3502.55</v>
      </c>
      <c r="S1135" s="10" t="n">
        <v>1</v>
      </c>
    </row>
    <row r="1136">
      <c r="A1136" s="7" t="inlineStr">
        <is>
          <t>MAT-29-008</t>
        </is>
      </c>
      <c r="B1136" s="4" t="inlineStr">
        <is>
          <t>Accesorio de sistema de incendio</t>
        </is>
      </c>
      <c r="C1136" s="7" t="inlineStr">
        <is>
          <t>unidad</t>
        </is>
      </c>
      <c r="D1136" s="8" t="n">
        <v>232.07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>
        <f>IF(COUNT(D1136:L1136)=0,"",MIN(D1136:L1136))</f>
        <v/>
      </c>
      <c r="N1136" s="8">
        <f>IF(COUNT(D1136:L1136)=0,"",MEDIAN(D1136:L1136))</f>
        <v/>
      </c>
      <c r="O1136" s="8">
        <f>IF(COUNT(D1136:L1136)=0,"",MAX(D1136:L1136))</f>
        <v/>
      </c>
      <c r="P1136" s="9">
        <f>IF(OR(M1136="",M1136=0),"",(O1136-M1136)/M1136)</f>
        <v/>
      </c>
      <c r="Q1136" s="7">
        <f>IF(COUNT(D1136:L1136)=0,"",INDEX($D$1:$L$1,MATCH(MIN(D1136:L1136),D1136:L1136,0)))</f>
        <v/>
      </c>
      <c r="R1136" s="8" t="n">
        <v>270.76</v>
      </c>
      <c r="S1136" s="10" t="n">
        <v>1</v>
      </c>
    </row>
    <row r="1137">
      <c r="A1137" s="7" t="inlineStr">
        <is>
          <t>MAT-30-002</t>
        </is>
      </c>
      <c r="B1137" s="4" t="inlineStr">
        <is>
          <t>Cable de red</t>
        </is>
      </c>
      <c r="C1137" s="7" t="inlineStr">
        <is>
          <t>rollo</t>
        </is>
      </c>
      <c r="D1137" s="8" t="n">
        <v>5.11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>
        <f>IF(COUNT(D1137:L1137)=0,"",MIN(D1137:L1137))</f>
        <v/>
      </c>
      <c r="N1137" s="8">
        <f>IF(COUNT(D1137:L1137)=0,"",MEDIAN(D1137:L1137))</f>
        <v/>
      </c>
      <c r="O1137" s="8">
        <f>IF(COUNT(D1137:L1137)=0,"",MAX(D1137:L1137))</f>
        <v/>
      </c>
      <c r="P1137" s="9">
        <f>IF(OR(M1137="",M1137=0),"",(O1137-M1137)/M1137)</f>
        <v/>
      </c>
      <c r="Q1137" s="7">
        <f>IF(COUNT(D1137:L1137)=0,"",INDEX($D$1:$L$1,MATCH(MIN(D1137:L1137),D1137:L1137,0)))</f>
        <v/>
      </c>
      <c r="R1137" s="8" t="n">
        <v>433.97</v>
      </c>
      <c r="S1137" s="10" t="n">
        <v>1</v>
      </c>
    </row>
    <row r="1138">
      <c r="A1138" s="7" t="inlineStr">
        <is>
          <t>MAT-30-003</t>
        </is>
      </c>
      <c r="B1138" s="4" t="inlineStr">
        <is>
          <t>Cable de red blindado</t>
        </is>
      </c>
      <c r="C1138" s="7" t="inlineStr">
        <is>
          <t>rollo</t>
        </is>
      </c>
      <c r="D1138" s="8" t="n">
        <v>1675.6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>
        <f>IF(COUNT(D1138:L1138)=0,"",MIN(D1138:L1138))</f>
        <v/>
      </c>
      <c r="N1138" s="8">
        <f>IF(COUNT(D1138:L1138)=0,"",MEDIAN(D1138:L1138))</f>
        <v/>
      </c>
      <c r="O1138" s="8">
        <f>IF(COUNT(D1138:L1138)=0,"",MAX(D1138:L1138))</f>
        <v/>
      </c>
      <c r="P1138" s="9">
        <f>IF(OR(M1138="",M1138=0),"",(O1138-M1138)/M1138)</f>
        <v/>
      </c>
      <c r="Q1138" s="7">
        <f>IF(COUNT(D1138:L1138)=0,"",INDEX($D$1:$L$1,MATCH(MIN(D1138:L1138),D1138:L1138,0)))</f>
        <v/>
      </c>
      <c r="R1138" s="8" t="n">
        <v>1675.6</v>
      </c>
      <c r="S1138" s="10" t="n">
        <v>1</v>
      </c>
    </row>
    <row r="1139">
      <c r="A1139" s="7" t="inlineStr">
        <is>
          <t>MAT-30-004</t>
        </is>
      </c>
      <c r="B1139" s="4" t="inlineStr">
        <is>
          <t>Cable de red Cat 5</t>
        </is>
      </c>
      <c r="C1139" s="7" t="inlineStr">
        <is>
          <t>rollo</t>
        </is>
      </c>
      <c r="D1139" s="8" t="n">
        <v>72.59999999999999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>
        <f>IF(COUNT(D1139:L1139)=0,"",MIN(D1139:L1139))</f>
        <v/>
      </c>
      <c r="N1139" s="8">
        <f>IF(COUNT(D1139:L1139)=0,"",MEDIAN(D1139:L1139))</f>
        <v/>
      </c>
      <c r="O1139" s="8">
        <f>IF(COUNT(D1139:L1139)=0,"",MAX(D1139:L1139))</f>
        <v/>
      </c>
      <c r="P1139" s="9">
        <f>IF(OR(M1139="",M1139=0),"",(O1139-M1139)/M1139)</f>
        <v/>
      </c>
      <c r="Q1139" s="7">
        <f>IF(COUNT(D1139:L1139)=0,"",INDEX($D$1:$L$1,MATCH(MIN(D1139:L1139),D1139:L1139,0)))</f>
        <v/>
      </c>
      <c r="R1139" s="8" t="n">
        <v>106.6</v>
      </c>
      <c r="S1139" s="10" t="n">
        <v>1</v>
      </c>
    </row>
    <row r="1140">
      <c r="A1140" s="7" t="inlineStr">
        <is>
          <t>MAT-30-005</t>
        </is>
      </c>
      <c r="B1140" s="4" t="inlineStr">
        <is>
          <t>Cable de red Cat 5 blindado</t>
        </is>
      </c>
      <c r="C1140" s="7" t="inlineStr">
        <is>
          <t>rollo</t>
        </is>
      </c>
      <c r="D1140" s="8" t="n">
        <v>813.6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>
        <f>IF(COUNT(D1140:L1140)=0,"",MIN(D1140:L1140))</f>
        <v/>
      </c>
      <c r="N1140" s="8">
        <f>IF(COUNT(D1140:L1140)=0,"",MEDIAN(D1140:L1140))</f>
        <v/>
      </c>
      <c r="O1140" s="8">
        <f>IF(COUNT(D1140:L1140)=0,"",MAX(D1140:L1140))</f>
        <v/>
      </c>
      <c r="P1140" s="9">
        <f>IF(OR(M1140="",M1140=0),"",(O1140-M1140)/M1140)</f>
        <v/>
      </c>
      <c r="Q1140" s="7">
        <f>IF(COUNT(D1140:L1140)=0,"",INDEX($D$1:$L$1,MATCH(MIN(D1140:L1140),D1140:L1140,0)))</f>
        <v/>
      </c>
      <c r="R1140" s="8" t="n">
        <v>813.6</v>
      </c>
      <c r="S1140" s="10" t="n">
        <v>1</v>
      </c>
    </row>
    <row r="1141">
      <c r="A1141" s="7" t="inlineStr">
        <is>
          <t>MAT-30-006</t>
        </is>
      </c>
      <c r="B1141" s="4" t="inlineStr">
        <is>
          <t>Cable de red Cat 6</t>
        </is>
      </c>
      <c r="C1141" s="7" t="inlineStr">
        <is>
          <t>rollo</t>
        </is>
      </c>
      <c r="D1141" s="8" t="n">
        <v>97.2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>
        <f>IF(COUNT(D1141:L1141)=0,"",MIN(D1141:L1141))</f>
        <v/>
      </c>
      <c r="N1141" s="8">
        <f>IF(COUNT(D1141:L1141)=0,"",MEDIAN(D1141:L1141))</f>
        <v/>
      </c>
      <c r="O1141" s="8">
        <f>IF(COUNT(D1141:L1141)=0,"",MAX(D1141:L1141))</f>
        <v/>
      </c>
      <c r="P1141" s="9">
        <f>IF(OR(M1141="",M1141=0),"",(O1141-M1141)/M1141)</f>
        <v/>
      </c>
      <c r="Q1141" s="7">
        <f>IF(COUNT(D1141:L1141)=0,"",INDEX($D$1:$L$1,MATCH(MIN(D1141:L1141),D1141:L1141,0)))</f>
        <v/>
      </c>
      <c r="R1141" s="8" t="n">
        <v>248.83</v>
      </c>
      <c r="S1141" s="10" t="n">
        <v>1</v>
      </c>
    </row>
    <row r="1142">
      <c r="A1142" s="7" t="inlineStr">
        <is>
          <t>MAT-30-007</t>
        </is>
      </c>
      <c r="B1142" s="4" t="inlineStr">
        <is>
          <t>Cable de red Cat 6A</t>
        </is>
      </c>
      <c r="C1142" s="7" t="inlineStr">
        <is>
          <t>rollo</t>
        </is>
      </c>
      <c r="D1142" s="8" t="n">
        <v>215.59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>
        <f>IF(COUNT(D1142:L1142)=0,"",MIN(D1142:L1142))</f>
        <v/>
      </c>
      <c r="N1142" s="8">
        <f>IF(COUNT(D1142:L1142)=0,"",MEDIAN(D1142:L1142))</f>
        <v/>
      </c>
      <c r="O1142" s="8">
        <f>IF(COUNT(D1142:L1142)=0,"",MAX(D1142:L1142))</f>
        <v/>
      </c>
      <c r="P1142" s="9">
        <f>IF(OR(M1142="",M1142=0),"",(O1142-M1142)/M1142)</f>
        <v/>
      </c>
      <c r="Q1142" s="7">
        <f>IF(COUNT(D1142:L1142)=0,"",INDEX($D$1:$L$1,MATCH(MIN(D1142:L1142),D1142:L1142,0)))</f>
        <v/>
      </c>
      <c r="R1142" s="8" t="n">
        <v>363.57</v>
      </c>
      <c r="S1142" s="10" t="n">
        <v>1</v>
      </c>
    </row>
    <row r="1143">
      <c r="A1143" s="7" t="inlineStr">
        <is>
          <t>MAT-30-008</t>
        </is>
      </c>
      <c r="B1143" s="4" t="inlineStr">
        <is>
          <t>Jack RJ45</t>
        </is>
      </c>
      <c r="C1143" s="7" t="inlineStr">
        <is>
          <t>unidad</t>
        </is>
      </c>
      <c r="D1143" s="8" t="n">
        <v>1.31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>
        <f>IF(COUNT(D1143:L1143)=0,"",MIN(D1143:L1143))</f>
        <v/>
      </c>
      <c r="N1143" s="8">
        <f>IF(COUNT(D1143:L1143)=0,"",MEDIAN(D1143:L1143))</f>
        <v/>
      </c>
      <c r="O1143" s="8">
        <f>IF(COUNT(D1143:L1143)=0,"",MAX(D1143:L1143))</f>
        <v/>
      </c>
      <c r="P1143" s="9">
        <f>IF(OR(M1143="",M1143=0),"",(O1143-M1143)/M1143)</f>
        <v/>
      </c>
      <c r="Q1143" s="7">
        <f>IF(COUNT(D1143:L1143)=0,"",INDEX($D$1:$L$1,MATCH(MIN(D1143:L1143),D1143:L1143,0)))</f>
        <v/>
      </c>
      <c r="R1143" s="8" t="n">
        <v>83.73</v>
      </c>
      <c r="S1143" s="10" t="n">
        <v>1</v>
      </c>
    </row>
    <row r="1144">
      <c r="A1144" s="7" t="inlineStr">
        <is>
          <t>MAT-30-009</t>
        </is>
      </c>
      <c r="B1144" s="4" t="inlineStr">
        <is>
          <t>Jack RJ45 Cat 5</t>
        </is>
      </c>
      <c r="C1144" s="7" t="inlineStr">
        <is>
          <t>unidad</t>
        </is>
      </c>
      <c r="D1144" s="8" t="n">
        <v>106.97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>
        <f>IF(COUNT(D1144:L1144)=0,"",MIN(D1144:L1144))</f>
        <v/>
      </c>
      <c r="N1144" s="8">
        <f>IF(COUNT(D1144:L1144)=0,"",MEDIAN(D1144:L1144))</f>
        <v/>
      </c>
      <c r="O1144" s="8">
        <f>IF(COUNT(D1144:L1144)=0,"",MAX(D1144:L1144))</f>
        <v/>
      </c>
      <c r="P1144" s="9">
        <f>IF(OR(M1144="",M1144=0),"",(O1144-M1144)/M1144)</f>
        <v/>
      </c>
      <c r="Q1144" s="7">
        <f>IF(COUNT(D1144:L1144)=0,"",INDEX($D$1:$L$1,MATCH(MIN(D1144:L1144),D1144:L1144,0)))</f>
        <v/>
      </c>
      <c r="R1144" s="8" t="n">
        <v>106.97</v>
      </c>
      <c r="S1144" s="10" t="n">
        <v>1</v>
      </c>
    </row>
    <row r="1145">
      <c r="A1145" s="7" t="inlineStr">
        <is>
          <t>MAT-30-010</t>
        </is>
      </c>
      <c r="B1145" s="4" t="inlineStr">
        <is>
          <t>Jack RJ45 Cat 6</t>
        </is>
      </c>
      <c r="C1145" s="7" t="inlineStr">
        <is>
          <t>unidad</t>
        </is>
      </c>
      <c r="D1145" s="8" t="n">
        <v>189.16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>
        <f>IF(COUNT(D1145:L1145)=0,"",MIN(D1145:L1145))</f>
        <v/>
      </c>
      <c r="N1145" s="8">
        <f>IF(COUNT(D1145:L1145)=0,"",MEDIAN(D1145:L1145))</f>
        <v/>
      </c>
      <c r="O1145" s="8">
        <f>IF(COUNT(D1145:L1145)=0,"",MAX(D1145:L1145))</f>
        <v/>
      </c>
      <c r="P1145" s="9">
        <f>IF(OR(M1145="",M1145=0),"",(O1145-M1145)/M1145)</f>
        <v/>
      </c>
      <c r="Q1145" s="7">
        <f>IF(COUNT(D1145:L1145)=0,"",INDEX($D$1:$L$1,MATCH(MIN(D1145:L1145),D1145:L1145,0)))</f>
        <v/>
      </c>
      <c r="R1145" s="8" t="n">
        <v>254.97</v>
      </c>
      <c r="S1145" s="10" t="n">
        <v>1</v>
      </c>
    </row>
    <row r="1146">
      <c r="A1146" s="7" t="inlineStr">
        <is>
          <t>MAT-30-011</t>
        </is>
      </c>
      <c r="B1146" s="4" t="inlineStr">
        <is>
          <t>Jack RJ45 Cat 6A</t>
        </is>
      </c>
      <c r="C1146" s="7" t="inlineStr">
        <is>
          <t>unidad</t>
        </is>
      </c>
      <c r="D1146" s="8" t="n">
        <v>256.97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>
        <f>IF(COUNT(D1146:L1146)=0,"",MIN(D1146:L1146))</f>
        <v/>
      </c>
      <c r="N1146" s="8">
        <f>IF(COUNT(D1146:L1146)=0,"",MEDIAN(D1146:L1146))</f>
        <v/>
      </c>
      <c r="O1146" s="8">
        <f>IF(COUNT(D1146:L1146)=0,"",MAX(D1146:L1146))</f>
        <v/>
      </c>
      <c r="P1146" s="9">
        <f>IF(OR(M1146="",M1146=0),"",(O1146-M1146)/M1146)</f>
        <v/>
      </c>
      <c r="Q1146" s="7">
        <f>IF(COUNT(D1146:L1146)=0,"",INDEX($D$1:$L$1,MATCH(MIN(D1146:L1146),D1146:L1146,0)))</f>
        <v/>
      </c>
      <c r="R1146" s="8" t="n">
        <v>256.97</v>
      </c>
      <c r="S1146" s="10" t="n">
        <v>1</v>
      </c>
    </row>
    <row r="1147">
      <c r="A1147" s="7" t="inlineStr">
        <is>
          <t>MAT-30-012</t>
        </is>
      </c>
      <c r="B1147" s="4" t="inlineStr">
        <is>
          <t>Jack RJ45 Cat 6A blindado</t>
        </is>
      </c>
      <c r="C1147" s="7" t="inlineStr">
        <is>
          <t>unidad</t>
        </is>
      </c>
      <c r="D1147" s="8" t="n">
        <v>275.76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>
        <f>IF(COUNT(D1147:L1147)=0,"",MIN(D1147:L1147))</f>
        <v/>
      </c>
      <c r="N1147" s="8">
        <f>IF(COUNT(D1147:L1147)=0,"",MEDIAN(D1147:L1147))</f>
        <v/>
      </c>
      <c r="O1147" s="8">
        <f>IF(COUNT(D1147:L1147)=0,"",MAX(D1147:L1147))</f>
        <v/>
      </c>
      <c r="P1147" s="9">
        <f>IF(OR(M1147="",M1147=0),"",(O1147-M1147)/M1147)</f>
        <v/>
      </c>
      <c r="Q1147" s="7">
        <f>IF(COUNT(D1147:L1147)=0,"",INDEX($D$1:$L$1,MATCH(MIN(D1147:L1147),D1147:L1147,0)))</f>
        <v/>
      </c>
      <c r="R1147" s="8" t="n">
        <v>337.87</v>
      </c>
      <c r="S1147" s="10" t="n">
        <v>1</v>
      </c>
    </row>
    <row r="1148">
      <c r="A1148" s="7" t="inlineStr">
        <is>
          <t>MAT-30-013</t>
        </is>
      </c>
      <c r="B1148" s="4" t="inlineStr">
        <is>
          <t>Patch panel</t>
        </is>
      </c>
      <c r="C1148" s="7" t="inlineStr">
        <is>
          <t>unidad</t>
        </is>
      </c>
      <c r="D1148" s="8" t="n">
        <v>192.87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>
        <f>IF(COUNT(D1148:L1148)=0,"",MIN(D1148:L1148))</f>
        <v/>
      </c>
      <c r="N1148" s="8">
        <f>IF(COUNT(D1148:L1148)=0,"",MEDIAN(D1148:L1148))</f>
        <v/>
      </c>
      <c r="O1148" s="8">
        <f>IF(COUNT(D1148:L1148)=0,"",MAX(D1148:L1148))</f>
        <v/>
      </c>
      <c r="P1148" s="9">
        <f>IF(OR(M1148="",M1148=0),"",(O1148-M1148)/M1148)</f>
        <v/>
      </c>
      <c r="Q1148" s="7">
        <f>IF(COUNT(D1148:L1148)=0,"",INDEX($D$1:$L$1,MATCH(MIN(D1148:L1148),D1148:L1148,0)))</f>
        <v/>
      </c>
      <c r="R1148" s="8" t="n">
        <v>1305.12</v>
      </c>
      <c r="S1148" s="10" t="n">
        <v>1</v>
      </c>
    </row>
    <row r="1149">
      <c r="A1149" s="7" t="inlineStr">
        <is>
          <t>MAT-30-014</t>
        </is>
      </c>
      <c r="B1149" s="4" t="inlineStr">
        <is>
          <t>Patch panel 24 puertos</t>
        </is>
      </c>
      <c r="C1149" s="7" t="inlineStr">
        <is>
          <t>unidad</t>
        </is>
      </c>
      <c r="D1149" s="8" t="n">
        <v>5568.67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>
        <f>IF(COUNT(D1149:L1149)=0,"",MIN(D1149:L1149))</f>
        <v/>
      </c>
      <c r="N1149" s="8">
        <f>IF(COUNT(D1149:L1149)=0,"",MEDIAN(D1149:L1149))</f>
        <v/>
      </c>
      <c r="O1149" s="8">
        <f>IF(COUNT(D1149:L1149)=0,"",MAX(D1149:L1149))</f>
        <v/>
      </c>
      <c r="P1149" s="9">
        <f>IF(OR(M1149="",M1149=0),"",(O1149-M1149)/M1149)</f>
        <v/>
      </c>
      <c r="Q1149" s="7">
        <f>IF(COUNT(D1149:L1149)=0,"",INDEX($D$1:$L$1,MATCH(MIN(D1149:L1149),D1149:L1149,0)))</f>
        <v/>
      </c>
      <c r="R1149" s="8" t="n">
        <v>5568.67</v>
      </c>
      <c r="S1149" s="10" t="n">
        <v>1</v>
      </c>
    </row>
    <row r="1150">
      <c r="A1150" s="7" t="inlineStr">
        <is>
          <t>MAT-30-015</t>
        </is>
      </c>
      <c r="B1150" s="4" t="inlineStr">
        <is>
          <t>Patch panel 48 puertos</t>
        </is>
      </c>
      <c r="C1150" s="7" t="inlineStr">
        <is>
          <t>unidad</t>
        </is>
      </c>
      <c r="D1150" s="8" t="n">
        <v>1782.28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>
        <f>IF(COUNT(D1150:L1150)=0,"",MIN(D1150:L1150))</f>
        <v/>
      </c>
      <c r="N1150" s="8">
        <f>IF(COUNT(D1150:L1150)=0,"",MEDIAN(D1150:L1150))</f>
        <v/>
      </c>
      <c r="O1150" s="8">
        <f>IF(COUNT(D1150:L1150)=0,"",MAX(D1150:L1150))</f>
        <v/>
      </c>
      <c r="P1150" s="9">
        <f>IF(OR(M1150="",M1150=0),"",(O1150-M1150)/M1150)</f>
        <v/>
      </c>
      <c r="Q1150" s="7">
        <f>IF(COUNT(D1150:L1150)=0,"",INDEX($D$1:$L$1,MATCH(MIN(D1150:L1150),D1150:L1150,0)))</f>
        <v/>
      </c>
      <c r="R1150" s="8" t="n">
        <v>1782.28</v>
      </c>
      <c r="S1150" s="10" t="n">
        <v>1</v>
      </c>
    </row>
    <row r="1151">
      <c r="A1151" s="7" t="inlineStr">
        <is>
          <t>MAT-30-016</t>
        </is>
      </c>
      <c r="B1151" s="4" t="inlineStr">
        <is>
          <t>Placa de pared para datos</t>
        </is>
      </c>
      <c r="C1151" s="7" t="inlineStr">
        <is>
          <t>unidad</t>
        </is>
      </c>
      <c r="D1151" s="8" t="n">
        <v>77.06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>
        <f>IF(COUNT(D1151:L1151)=0,"",MIN(D1151:L1151))</f>
        <v/>
      </c>
      <c r="N1151" s="8">
        <f>IF(COUNT(D1151:L1151)=0,"",MEDIAN(D1151:L1151))</f>
        <v/>
      </c>
      <c r="O1151" s="8">
        <f>IF(COUNT(D1151:L1151)=0,"",MAX(D1151:L1151))</f>
        <v/>
      </c>
      <c r="P1151" s="9">
        <f>IF(OR(M1151="",M1151=0),"",(O1151-M1151)/M1151)</f>
        <v/>
      </c>
      <c r="Q1151" s="7">
        <f>IF(COUNT(D1151:L1151)=0,"",INDEX($D$1:$L$1,MATCH(MIN(D1151:L1151),D1151:L1151,0)))</f>
        <v/>
      </c>
      <c r="R1151" s="8" t="n">
        <v>102.17</v>
      </c>
      <c r="S1151" s="10" t="n">
        <v>1</v>
      </c>
    </row>
    <row r="1152">
      <c r="A1152" s="7" t="inlineStr">
        <is>
          <t>MAT-30-017</t>
        </is>
      </c>
      <c r="B1152" s="4" t="inlineStr">
        <is>
          <t>Placa de pared para datos 1 puertos</t>
        </is>
      </c>
      <c r="C1152" s="7" t="inlineStr">
        <is>
          <t>unidad</t>
        </is>
      </c>
      <c r="D1152" s="8" t="n">
        <v>101.21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>
        <f>IF(COUNT(D1152:L1152)=0,"",MIN(D1152:L1152))</f>
        <v/>
      </c>
      <c r="N1152" s="8">
        <f>IF(COUNT(D1152:L1152)=0,"",MEDIAN(D1152:L1152))</f>
        <v/>
      </c>
      <c r="O1152" s="8">
        <f>IF(COUNT(D1152:L1152)=0,"",MAX(D1152:L1152))</f>
        <v/>
      </c>
      <c r="P1152" s="9">
        <f>IF(OR(M1152="",M1152=0),"",(O1152-M1152)/M1152)</f>
        <v/>
      </c>
      <c r="Q1152" s="7">
        <f>IF(COUNT(D1152:L1152)=0,"",INDEX($D$1:$L$1,MATCH(MIN(D1152:L1152),D1152:L1152,0)))</f>
        <v/>
      </c>
      <c r="R1152" s="8" t="n">
        <v>492.5</v>
      </c>
      <c r="S1152" s="10" t="n">
        <v>1</v>
      </c>
    </row>
    <row r="1153">
      <c r="A1153" s="7" t="inlineStr">
        <is>
          <t>MAT-30-018</t>
        </is>
      </c>
      <c r="B1153" s="4" t="inlineStr">
        <is>
          <t>Placa de pared para datos 2 puertos</t>
        </is>
      </c>
      <c r="C1153" s="7" t="inlineStr">
        <is>
          <t>unidad</t>
        </is>
      </c>
      <c r="D1153" s="8" t="n">
        <v>101.21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>
        <f>IF(COUNT(D1153:L1153)=0,"",MIN(D1153:L1153))</f>
        <v/>
      </c>
      <c r="N1153" s="8">
        <f>IF(COUNT(D1153:L1153)=0,"",MEDIAN(D1153:L1153))</f>
        <v/>
      </c>
      <c r="O1153" s="8">
        <f>IF(COUNT(D1153:L1153)=0,"",MAX(D1153:L1153))</f>
        <v/>
      </c>
      <c r="P1153" s="9">
        <f>IF(OR(M1153="",M1153=0),"",(O1153-M1153)/M1153)</f>
        <v/>
      </c>
      <c r="Q1153" s="7">
        <f>IF(COUNT(D1153:L1153)=0,"",INDEX($D$1:$L$1,MATCH(MIN(D1153:L1153),D1153:L1153,0)))</f>
        <v/>
      </c>
      <c r="R1153" s="8" t="n">
        <v>492.5</v>
      </c>
      <c r="S1153" s="10" t="n">
        <v>1</v>
      </c>
    </row>
    <row r="1154">
      <c r="A1154" s="7" t="inlineStr">
        <is>
          <t>MAT-30-019</t>
        </is>
      </c>
      <c r="B1154" s="4" t="inlineStr">
        <is>
          <t>Placa de pared para datos 3 puertos</t>
        </is>
      </c>
      <c r="C1154" s="7" t="inlineStr">
        <is>
          <t>unidad</t>
        </is>
      </c>
      <c r="D1154" s="8" t="n">
        <v>1196.92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>
        <f>IF(COUNT(D1154:L1154)=0,"",MIN(D1154:L1154))</f>
        <v/>
      </c>
      <c r="N1154" s="8">
        <f>IF(COUNT(D1154:L1154)=0,"",MEDIAN(D1154:L1154))</f>
        <v/>
      </c>
      <c r="O1154" s="8">
        <f>IF(COUNT(D1154:L1154)=0,"",MAX(D1154:L1154))</f>
        <v/>
      </c>
      <c r="P1154" s="9">
        <f>IF(OR(M1154="",M1154=0),"",(O1154-M1154)/M1154)</f>
        <v/>
      </c>
      <c r="Q1154" s="7">
        <f>IF(COUNT(D1154:L1154)=0,"",INDEX($D$1:$L$1,MATCH(MIN(D1154:L1154),D1154:L1154,0)))</f>
        <v/>
      </c>
      <c r="R1154" s="8" t="n">
        <v>1196.92</v>
      </c>
      <c r="S1154" s="10" t="n">
        <v>1</v>
      </c>
    </row>
    <row r="1155">
      <c r="A1155" s="7" t="inlineStr">
        <is>
          <t>MAT-30-020</t>
        </is>
      </c>
      <c r="B1155" s="4" t="inlineStr">
        <is>
          <t>Rack y accesorios de gabinete</t>
        </is>
      </c>
      <c r="C1155" s="7" t="inlineStr">
        <is>
          <t>unidad</t>
        </is>
      </c>
      <c r="D1155" s="8" t="n">
        <v>26.88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>
        <f>IF(COUNT(D1155:L1155)=0,"",MIN(D1155:L1155))</f>
        <v/>
      </c>
      <c r="N1155" s="8">
        <f>IF(COUNT(D1155:L1155)=0,"",MEDIAN(D1155:L1155))</f>
        <v/>
      </c>
      <c r="O1155" s="8">
        <f>IF(COUNT(D1155:L1155)=0,"",MAX(D1155:L1155))</f>
        <v/>
      </c>
      <c r="P1155" s="9">
        <f>IF(OR(M1155="",M1155=0),"",(O1155-M1155)/M1155)</f>
        <v/>
      </c>
      <c r="Q1155" s="7">
        <f>IF(COUNT(D1155:L1155)=0,"",INDEX($D$1:$L$1,MATCH(MIN(D1155:L1155),D1155:L1155,0)))</f>
        <v/>
      </c>
      <c r="R1155" s="8" t="n">
        <v>1834.9</v>
      </c>
      <c r="S1155" s="10" t="n">
        <v>1</v>
      </c>
    </row>
    <row r="1156">
      <c r="A1156" s="7" t="inlineStr">
        <is>
          <t>MAT-30-021</t>
        </is>
      </c>
      <c r="B1156" s="4" t="inlineStr">
        <is>
          <t>Equipo de red</t>
        </is>
      </c>
      <c r="C1156" s="7" t="inlineStr">
        <is>
          <t>unidad</t>
        </is>
      </c>
      <c r="D1156" s="8" t="n">
        <v>587.39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>
        <f>IF(COUNT(D1156:L1156)=0,"",MIN(D1156:L1156))</f>
        <v/>
      </c>
      <c r="N1156" s="8">
        <f>IF(COUNT(D1156:L1156)=0,"",MEDIAN(D1156:L1156))</f>
        <v/>
      </c>
      <c r="O1156" s="8">
        <f>IF(COUNT(D1156:L1156)=0,"",MAX(D1156:L1156))</f>
        <v/>
      </c>
      <c r="P1156" s="9">
        <f>IF(OR(M1156="",M1156=0),"",(O1156-M1156)/M1156)</f>
        <v/>
      </c>
      <c r="Q1156" s="7">
        <f>IF(COUNT(D1156:L1156)=0,"",INDEX($D$1:$L$1,MATCH(MIN(D1156:L1156),D1156:L1156,0)))</f>
        <v/>
      </c>
      <c r="R1156" s="8" t="n">
        <v>4902.12</v>
      </c>
      <c r="S1156" s="10" t="n">
        <v>1</v>
      </c>
    </row>
    <row r="1157">
      <c r="A1157" s="7" t="inlineStr">
        <is>
          <t>MAT-30-022</t>
        </is>
      </c>
      <c r="B1157" s="4" t="inlineStr">
        <is>
          <t>Equipo de red 24 puertos</t>
        </is>
      </c>
      <c r="C1157" s="7" t="inlineStr">
        <is>
          <t>unidad</t>
        </is>
      </c>
      <c r="D1157" s="8" t="n">
        <v>16692.67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>
        <f>IF(COUNT(D1157:L1157)=0,"",MIN(D1157:L1157))</f>
        <v/>
      </c>
      <c r="N1157" s="8">
        <f>IF(COUNT(D1157:L1157)=0,"",MEDIAN(D1157:L1157))</f>
        <v/>
      </c>
      <c r="O1157" s="8">
        <f>IF(COUNT(D1157:L1157)=0,"",MAX(D1157:L1157))</f>
        <v/>
      </c>
      <c r="P1157" s="9">
        <f>IF(OR(M1157="",M1157=0),"",(O1157-M1157)/M1157)</f>
        <v/>
      </c>
      <c r="Q1157" s="7">
        <f>IF(COUNT(D1157:L1157)=0,"",INDEX($D$1:$L$1,MATCH(MIN(D1157:L1157),D1157:L1157,0)))</f>
        <v/>
      </c>
      <c r="R1157" s="8" t="n">
        <v>16692.67</v>
      </c>
      <c r="S1157" s="10" t="n">
        <v>1</v>
      </c>
    </row>
    <row r="1158">
      <c r="A1158" s="7" t="inlineStr">
        <is>
          <t>MAT-30-023</t>
        </is>
      </c>
      <c r="B1158" s="4" t="inlineStr">
        <is>
          <t>Equipo de red 8 puertos</t>
        </is>
      </c>
      <c r="C1158" s="7" t="inlineStr">
        <is>
          <t>unidad</t>
        </is>
      </c>
      <c r="D1158" s="8" t="n">
        <v>500.98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>
        <f>IF(COUNT(D1158:L1158)=0,"",MIN(D1158:L1158))</f>
        <v/>
      </c>
      <c r="N1158" s="8">
        <f>IF(COUNT(D1158:L1158)=0,"",MEDIAN(D1158:L1158))</f>
        <v/>
      </c>
      <c r="O1158" s="8">
        <f>IF(COUNT(D1158:L1158)=0,"",MAX(D1158:L1158))</f>
        <v/>
      </c>
      <c r="P1158" s="9">
        <f>IF(OR(M1158="",M1158=0),"",(O1158-M1158)/M1158)</f>
        <v/>
      </c>
      <c r="Q1158" s="7">
        <f>IF(COUNT(D1158:L1158)=0,"",INDEX($D$1:$L$1,MATCH(MIN(D1158:L1158),D1158:L1158,0)))</f>
        <v/>
      </c>
      <c r="R1158" s="8" t="n">
        <v>7097.73</v>
      </c>
      <c r="S1158" s="10" t="n">
        <v>1</v>
      </c>
    </row>
    <row r="1159">
      <c r="A1159" s="7" t="inlineStr">
        <is>
          <t>MAT-30-024</t>
        </is>
      </c>
      <c r="B1159" s="4" t="inlineStr">
        <is>
          <t>Conector y accesorio de cableado</t>
        </is>
      </c>
      <c r="C1159" s="7" t="inlineStr">
        <is>
          <t>unidad</t>
        </is>
      </c>
      <c r="D1159" s="8" t="n">
        <v>0.41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>
        <f>IF(COUNT(D1159:L1159)=0,"",MIN(D1159:L1159))</f>
        <v/>
      </c>
      <c r="N1159" s="8">
        <f>IF(COUNT(D1159:L1159)=0,"",MEDIAN(D1159:L1159))</f>
        <v/>
      </c>
      <c r="O1159" s="8">
        <f>IF(COUNT(D1159:L1159)=0,"",MAX(D1159:L1159))</f>
        <v/>
      </c>
      <c r="P1159" s="9">
        <f>IF(OR(M1159="",M1159=0),"",(O1159-M1159)/M1159)</f>
        <v/>
      </c>
      <c r="Q1159" s="7">
        <f>IF(COUNT(D1159:L1159)=0,"",INDEX($D$1:$L$1,MATCH(MIN(D1159:L1159),D1159:L1159,0)))</f>
        <v/>
      </c>
      <c r="R1159" s="8" t="n">
        <v>67.08</v>
      </c>
      <c r="S1159" s="10" t="n">
        <v>1</v>
      </c>
    </row>
    <row r="1160">
      <c r="A1160" s="7" t="inlineStr">
        <is>
          <t>MAT-30-025</t>
        </is>
      </c>
      <c r="B1160" s="4" t="inlineStr">
        <is>
          <t>Parlante o amplificador de voceo</t>
        </is>
      </c>
      <c r="C1160" s="7" t="inlineStr">
        <is>
          <t>unidad</t>
        </is>
      </c>
      <c r="D1160" s="8" t="n">
        <v>104.5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>
        <f>IF(COUNT(D1160:L1160)=0,"",MIN(D1160:L1160))</f>
        <v/>
      </c>
      <c r="N1160" s="8">
        <f>IF(COUNT(D1160:L1160)=0,"",MEDIAN(D1160:L1160))</f>
        <v/>
      </c>
      <c r="O1160" s="8">
        <f>IF(COUNT(D1160:L1160)=0,"",MAX(D1160:L1160))</f>
        <v/>
      </c>
      <c r="P1160" s="9">
        <f>IF(OR(M1160="",M1160=0),"",(O1160-M1160)/M1160)</f>
        <v/>
      </c>
      <c r="Q1160" s="7">
        <f>IF(COUNT(D1160:L1160)=0,"",INDEX($D$1:$L$1,MATCH(MIN(D1160:L1160),D1160:L1160,0)))</f>
        <v/>
      </c>
      <c r="R1160" s="8" t="n">
        <v>39743.82</v>
      </c>
      <c r="S1160" s="10" t="n">
        <v>1</v>
      </c>
    </row>
    <row r="1161">
      <c r="A1161" s="7" t="inlineStr">
        <is>
          <t>MAT-30-026</t>
        </is>
      </c>
      <c r="B1161" s="4" t="inlineStr">
        <is>
          <t>Fuente de alimentación para sistemas</t>
        </is>
      </c>
      <c r="C1161" s="7" t="inlineStr">
        <is>
          <t>unidad</t>
        </is>
      </c>
      <c r="D1161" s="8" t="n">
        <v>1.21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>
        <f>IF(COUNT(D1161:L1161)=0,"",MIN(D1161:L1161))</f>
        <v/>
      </c>
      <c r="N1161" s="8">
        <f>IF(COUNT(D1161:L1161)=0,"",MEDIAN(D1161:L1161))</f>
        <v/>
      </c>
      <c r="O1161" s="8">
        <f>IF(COUNT(D1161:L1161)=0,"",MAX(D1161:L1161))</f>
        <v/>
      </c>
      <c r="P1161" s="9">
        <f>IF(OR(M1161="",M1161=0),"",(O1161-M1161)/M1161)</f>
        <v/>
      </c>
      <c r="Q1161" s="7">
        <f>IF(COUNT(D1161:L1161)=0,"",INDEX($D$1:$L$1,MATCH(MIN(D1161:L1161),D1161:L1161,0)))</f>
        <v/>
      </c>
      <c r="R1161" s="8" t="n">
        <v>4801.16</v>
      </c>
      <c r="S1161" s="10" t="n">
        <v>1</v>
      </c>
    </row>
    <row r="1162">
      <c r="A1162" s="7" t="inlineStr">
        <is>
          <t>MAT-30-027</t>
        </is>
      </c>
      <c r="B1162" s="4" t="inlineStr">
        <is>
          <t>Fuente de alimentación para sistemas 12 V</t>
        </is>
      </c>
      <c r="C1162" s="7" t="inlineStr">
        <is>
          <t>unidad</t>
        </is>
      </c>
      <c r="D1162" s="8" t="n">
        <v>1111.78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>
        <f>IF(COUNT(D1162:L1162)=0,"",MIN(D1162:L1162))</f>
        <v/>
      </c>
      <c r="N1162" s="8">
        <f>IF(COUNT(D1162:L1162)=0,"",MEDIAN(D1162:L1162))</f>
        <v/>
      </c>
      <c r="O1162" s="8">
        <f>IF(COUNT(D1162:L1162)=0,"",MAX(D1162:L1162))</f>
        <v/>
      </c>
      <c r="P1162" s="9">
        <f>IF(OR(M1162="",M1162=0),"",(O1162-M1162)/M1162)</f>
        <v/>
      </c>
      <c r="Q1162" s="7">
        <f>IF(COUNT(D1162:L1162)=0,"",INDEX($D$1:$L$1,MATCH(MIN(D1162:L1162),D1162:L1162,0)))</f>
        <v/>
      </c>
      <c r="R1162" s="8" t="n">
        <v>2813.06</v>
      </c>
      <c r="S1162" s="10" t="n">
        <v>1</v>
      </c>
    </row>
    <row r="1163">
      <c r="A1163" s="7" t="inlineStr">
        <is>
          <t>MAT-30-028</t>
        </is>
      </c>
      <c r="B1163" s="4" t="inlineStr">
        <is>
          <t>Fuente de alimentación para sistemas 120 V</t>
        </is>
      </c>
      <c r="C1163" s="7" t="inlineStr">
        <is>
          <t>unidad</t>
        </is>
      </c>
      <c r="D1163" s="8" t="n">
        <v>906.34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>
        <f>IF(COUNT(D1163:L1163)=0,"",MIN(D1163:L1163))</f>
        <v/>
      </c>
      <c r="N1163" s="8">
        <f>IF(COUNT(D1163:L1163)=0,"",MEDIAN(D1163:L1163))</f>
        <v/>
      </c>
      <c r="O1163" s="8">
        <f>IF(COUNT(D1163:L1163)=0,"",MAX(D1163:L1163))</f>
        <v/>
      </c>
      <c r="P1163" s="9">
        <f>IF(OR(M1163="",M1163=0),"",(O1163-M1163)/M1163)</f>
        <v/>
      </c>
      <c r="Q1163" s="7">
        <f>IF(COUNT(D1163:L1163)=0,"",INDEX($D$1:$L$1,MATCH(MIN(D1163:L1163),D1163:L1163,0)))</f>
        <v/>
      </c>
      <c r="R1163" s="8" t="n">
        <v>1031.86</v>
      </c>
      <c r="S1163" s="10" t="n">
        <v>1</v>
      </c>
    </row>
    <row r="1164">
      <c r="A1164" s="7" t="inlineStr">
        <is>
          <t>MAT-30-029</t>
        </is>
      </c>
      <c r="B1164" s="4" t="inlineStr">
        <is>
          <t>Fuente de alimentación para sistemas 24 V</t>
        </is>
      </c>
      <c r="C1164" s="7" t="inlineStr">
        <is>
          <t>unidad</t>
        </is>
      </c>
      <c r="D1164" s="8" t="n">
        <v>11089.49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>
        <f>IF(COUNT(D1164:L1164)=0,"",MIN(D1164:L1164))</f>
        <v/>
      </c>
      <c r="N1164" s="8">
        <f>IF(COUNT(D1164:L1164)=0,"",MEDIAN(D1164:L1164))</f>
        <v/>
      </c>
      <c r="O1164" s="8">
        <f>IF(COUNT(D1164:L1164)=0,"",MAX(D1164:L1164))</f>
        <v/>
      </c>
      <c r="P1164" s="9">
        <f>IF(OR(M1164="",M1164=0),"",(O1164-M1164)/M1164)</f>
        <v/>
      </c>
      <c r="Q1164" s="7">
        <f>IF(COUNT(D1164:L1164)=0,"",INDEX($D$1:$L$1,MATCH(MIN(D1164:L1164),D1164:L1164,0)))</f>
        <v/>
      </c>
      <c r="R1164" s="8" t="n">
        <v>13861.06</v>
      </c>
      <c r="S1164" s="10" t="n">
        <v>1</v>
      </c>
    </row>
    <row r="1165">
      <c r="A1165" s="7" t="inlineStr">
        <is>
          <t>MAT-30-030</t>
        </is>
      </c>
      <c r="B1165" s="4" t="inlineStr">
        <is>
          <t>Fuente de alimentación para sistemas 275 V</t>
        </is>
      </c>
      <c r="C1165" s="7" t="inlineStr">
        <is>
          <t>unidad</t>
        </is>
      </c>
      <c r="D1165" s="8" t="n">
        <v>28.95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>
        <f>IF(COUNT(D1165:L1165)=0,"",MIN(D1165:L1165))</f>
        <v/>
      </c>
      <c r="N1165" s="8">
        <f>IF(COUNT(D1165:L1165)=0,"",MEDIAN(D1165:L1165))</f>
        <v/>
      </c>
      <c r="O1165" s="8">
        <f>IF(COUNT(D1165:L1165)=0,"",MAX(D1165:L1165))</f>
        <v/>
      </c>
      <c r="P1165" s="9">
        <f>IF(OR(M1165="",M1165=0),"",(O1165-M1165)/M1165)</f>
        <v/>
      </c>
      <c r="Q1165" s="7">
        <f>IF(COUNT(D1165:L1165)=0,"",INDEX($D$1:$L$1,MATCH(MIN(D1165:L1165),D1165:L1165,0)))</f>
        <v/>
      </c>
      <c r="R1165" s="8" t="n">
        <v>28.95</v>
      </c>
      <c r="S1165" s="10" t="n">
        <v>1</v>
      </c>
    </row>
    <row r="1166">
      <c r="A1166" s="7" t="inlineStr">
        <is>
          <t>MAT-30-031</t>
        </is>
      </c>
      <c r="B1166" s="4" t="inlineStr">
        <is>
          <t>Fuente de alimentación para sistemas 277 V</t>
        </is>
      </c>
      <c r="C1166" s="7" t="inlineStr">
        <is>
          <t>unidad</t>
        </is>
      </c>
      <c r="D1166" s="8" t="n">
        <v>2150.5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>
        <f>IF(COUNT(D1166:L1166)=0,"",MIN(D1166:L1166))</f>
        <v/>
      </c>
      <c r="N1166" s="8">
        <f>IF(COUNT(D1166:L1166)=0,"",MEDIAN(D1166:L1166))</f>
        <v/>
      </c>
      <c r="O1166" s="8">
        <f>IF(COUNT(D1166:L1166)=0,"",MAX(D1166:L1166))</f>
        <v/>
      </c>
      <c r="P1166" s="9">
        <f>IF(OR(M1166="",M1166=0),"",(O1166-M1166)/M1166)</f>
        <v/>
      </c>
      <c r="Q1166" s="7">
        <f>IF(COUNT(D1166:L1166)=0,"",INDEX($D$1:$L$1,MATCH(MIN(D1166:L1166),D1166:L1166,0)))</f>
        <v/>
      </c>
      <c r="R1166" s="8" t="n">
        <v>2150.5</v>
      </c>
      <c r="S1166" s="10" t="n">
        <v>1</v>
      </c>
    </row>
    <row r="1167">
      <c r="A1167" s="7" t="inlineStr">
        <is>
          <t>MAT-31-002</t>
        </is>
      </c>
      <c r="B1167" s="4" t="inlineStr">
        <is>
          <t>Interruptor inteligente</t>
        </is>
      </c>
      <c r="C1167" s="7" t="inlineStr">
        <is>
          <t>unidad</t>
        </is>
      </c>
      <c r="D1167" s="8" t="n">
        <v>101.11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>
        <f>IF(COUNT(D1167:L1167)=0,"",MIN(D1167:L1167))</f>
        <v/>
      </c>
      <c r="N1167" s="8">
        <f>IF(COUNT(D1167:L1167)=0,"",MEDIAN(D1167:L1167))</f>
        <v/>
      </c>
      <c r="O1167" s="8">
        <f>IF(COUNT(D1167:L1167)=0,"",MAX(D1167:L1167))</f>
        <v/>
      </c>
      <c r="P1167" s="9">
        <f>IF(OR(M1167="",M1167=0),"",(O1167-M1167)/M1167)</f>
        <v/>
      </c>
      <c r="Q1167" s="7">
        <f>IF(COUNT(D1167:L1167)=0,"",INDEX($D$1:$L$1,MATCH(MIN(D1167:L1167),D1167:L1167,0)))</f>
        <v/>
      </c>
      <c r="R1167" s="8" t="n">
        <v>1630.25</v>
      </c>
      <c r="S1167" s="10" t="n">
        <v>1</v>
      </c>
    </row>
    <row r="1168">
      <c r="A1168" s="7" t="inlineStr">
        <is>
          <t>MAT-31-003</t>
        </is>
      </c>
      <c r="B1168" s="4" t="inlineStr">
        <is>
          <t>Interruptor inteligente 1 canales</t>
        </is>
      </c>
      <c r="C1168" s="7" t="inlineStr">
        <is>
          <t>unidad</t>
        </is>
      </c>
      <c r="D1168" s="8" t="n">
        <v>1089.61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>
        <f>IF(COUNT(D1168:L1168)=0,"",MIN(D1168:L1168))</f>
        <v/>
      </c>
      <c r="N1168" s="8">
        <f>IF(COUNT(D1168:L1168)=0,"",MEDIAN(D1168:L1168))</f>
        <v/>
      </c>
      <c r="O1168" s="8">
        <f>IF(COUNT(D1168:L1168)=0,"",MAX(D1168:L1168))</f>
        <v/>
      </c>
      <c r="P1168" s="9">
        <f>IF(OR(M1168="",M1168=0),"",(O1168-M1168)/M1168)</f>
        <v/>
      </c>
      <c r="Q1168" s="7">
        <f>IF(COUNT(D1168:L1168)=0,"",INDEX($D$1:$L$1,MATCH(MIN(D1168:L1168),D1168:L1168,0)))</f>
        <v/>
      </c>
      <c r="R1168" s="8" t="n">
        <v>1549.16</v>
      </c>
      <c r="S1168" s="10" t="n">
        <v>1</v>
      </c>
    </row>
    <row r="1169">
      <c r="A1169" s="7" t="inlineStr">
        <is>
          <t>MAT-31-004</t>
        </is>
      </c>
      <c r="B1169" s="4" t="inlineStr">
        <is>
          <t>Interruptor inteligente 1 canales con neutro</t>
        </is>
      </c>
      <c r="C1169" s="7" t="inlineStr">
        <is>
          <t>unidad</t>
        </is>
      </c>
      <c r="D1169" s="8" t="n">
        <v>2892.27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>
        <f>IF(COUNT(D1169:L1169)=0,"",MIN(D1169:L1169))</f>
        <v/>
      </c>
      <c r="N1169" s="8">
        <f>IF(COUNT(D1169:L1169)=0,"",MEDIAN(D1169:L1169))</f>
        <v/>
      </c>
      <c r="O1169" s="8">
        <f>IF(COUNT(D1169:L1169)=0,"",MAX(D1169:L1169))</f>
        <v/>
      </c>
      <c r="P1169" s="9">
        <f>IF(OR(M1169="",M1169=0),"",(O1169-M1169)/M1169)</f>
        <v/>
      </c>
      <c r="Q1169" s="7">
        <f>IF(COUNT(D1169:L1169)=0,"",INDEX($D$1:$L$1,MATCH(MIN(D1169:L1169),D1169:L1169,0)))</f>
        <v/>
      </c>
      <c r="R1169" s="8" t="n">
        <v>2892.27</v>
      </c>
      <c r="S1169" s="10" t="n">
        <v>1</v>
      </c>
    </row>
    <row r="1170">
      <c r="A1170" s="7" t="inlineStr">
        <is>
          <t>MAT-31-005</t>
        </is>
      </c>
      <c r="B1170" s="4" t="inlineStr">
        <is>
          <t>Interruptor inteligente 1 canales sin neutro</t>
        </is>
      </c>
      <c r="C1170" s="7" t="inlineStr">
        <is>
          <t>unidad</t>
        </is>
      </c>
      <c r="D1170" s="8" t="n">
        <v>2958.46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>
        <f>IF(COUNT(D1170:L1170)=0,"",MIN(D1170:L1170))</f>
        <v/>
      </c>
      <c r="N1170" s="8">
        <f>IF(COUNT(D1170:L1170)=0,"",MEDIAN(D1170:L1170))</f>
        <v/>
      </c>
      <c r="O1170" s="8">
        <f>IF(COUNT(D1170:L1170)=0,"",MAX(D1170:L1170))</f>
        <v/>
      </c>
      <c r="P1170" s="9">
        <f>IF(OR(M1170="",M1170=0),"",(O1170-M1170)/M1170)</f>
        <v/>
      </c>
      <c r="Q1170" s="7">
        <f>IF(COUNT(D1170:L1170)=0,"",INDEX($D$1:$L$1,MATCH(MIN(D1170:L1170),D1170:L1170,0)))</f>
        <v/>
      </c>
      <c r="R1170" s="8" t="n">
        <v>2958.46</v>
      </c>
      <c r="S1170" s="10" t="n">
        <v>1</v>
      </c>
    </row>
    <row r="1171">
      <c r="A1171" s="7" t="inlineStr">
        <is>
          <t>MAT-31-006</t>
        </is>
      </c>
      <c r="B1171" s="4" t="inlineStr">
        <is>
          <t>Interruptor inteligente 2 canales</t>
        </is>
      </c>
      <c r="C1171" s="7" t="inlineStr">
        <is>
          <t>unidad</t>
        </is>
      </c>
      <c r="D1171" s="8" t="n">
        <v>1210.31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>
        <f>IF(COUNT(D1171:L1171)=0,"",MIN(D1171:L1171))</f>
        <v/>
      </c>
      <c r="N1171" s="8">
        <f>IF(COUNT(D1171:L1171)=0,"",MEDIAN(D1171:L1171))</f>
        <v/>
      </c>
      <c r="O1171" s="8">
        <f>IF(COUNT(D1171:L1171)=0,"",MAX(D1171:L1171))</f>
        <v/>
      </c>
      <c r="P1171" s="9">
        <f>IF(OR(M1171="",M1171=0),"",(O1171-M1171)/M1171)</f>
        <v/>
      </c>
      <c r="Q1171" s="7">
        <f>IF(COUNT(D1171:L1171)=0,"",INDEX($D$1:$L$1,MATCH(MIN(D1171:L1171),D1171:L1171,0)))</f>
        <v/>
      </c>
      <c r="R1171" s="8" t="n">
        <v>1632.51</v>
      </c>
      <c r="S1171" s="10" t="n">
        <v>1</v>
      </c>
    </row>
    <row r="1172">
      <c r="A1172" s="7" t="inlineStr">
        <is>
          <t>MAT-31-007</t>
        </is>
      </c>
      <c r="B1172" s="4" t="inlineStr">
        <is>
          <t>Interruptor inteligente 2 canales con neutro</t>
        </is>
      </c>
      <c r="C1172" s="7" t="inlineStr">
        <is>
          <t>unidad</t>
        </is>
      </c>
      <c r="D1172" s="8" t="n">
        <v>2743.31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>
        <f>IF(COUNT(D1172:L1172)=0,"",MIN(D1172:L1172))</f>
        <v/>
      </c>
      <c r="N1172" s="8">
        <f>IF(COUNT(D1172:L1172)=0,"",MEDIAN(D1172:L1172))</f>
        <v/>
      </c>
      <c r="O1172" s="8">
        <f>IF(COUNT(D1172:L1172)=0,"",MAX(D1172:L1172))</f>
        <v/>
      </c>
      <c r="P1172" s="9">
        <f>IF(OR(M1172="",M1172=0),"",(O1172-M1172)/M1172)</f>
        <v/>
      </c>
      <c r="Q1172" s="7">
        <f>IF(COUNT(D1172:L1172)=0,"",INDEX($D$1:$L$1,MATCH(MIN(D1172:L1172),D1172:L1172,0)))</f>
        <v/>
      </c>
      <c r="R1172" s="8" t="n">
        <v>2743.31</v>
      </c>
      <c r="S1172" s="10" t="n">
        <v>1</v>
      </c>
    </row>
    <row r="1173">
      <c r="A1173" s="7" t="inlineStr">
        <is>
          <t>MAT-31-008</t>
        </is>
      </c>
      <c r="B1173" s="4" t="inlineStr">
        <is>
          <t>Interruptor inteligente 2 canales sin neutro</t>
        </is>
      </c>
      <c r="C1173" s="7" t="inlineStr">
        <is>
          <t>unidad</t>
        </is>
      </c>
      <c r="D1173" s="8" t="n">
        <v>2743.31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>
        <f>IF(COUNT(D1173:L1173)=0,"",MIN(D1173:L1173))</f>
        <v/>
      </c>
      <c r="N1173" s="8">
        <f>IF(COUNT(D1173:L1173)=0,"",MEDIAN(D1173:L1173))</f>
        <v/>
      </c>
      <c r="O1173" s="8">
        <f>IF(COUNT(D1173:L1173)=0,"",MAX(D1173:L1173))</f>
        <v/>
      </c>
      <c r="P1173" s="9">
        <f>IF(OR(M1173="",M1173=0),"",(O1173-M1173)/M1173)</f>
        <v/>
      </c>
      <c r="Q1173" s="7">
        <f>IF(COUNT(D1173:L1173)=0,"",INDEX($D$1:$L$1,MATCH(MIN(D1173:L1173),D1173:L1173,0)))</f>
        <v/>
      </c>
      <c r="R1173" s="8" t="n">
        <v>2743.31</v>
      </c>
      <c r="S1173" s="10" t="n">
        <v>1</v>
      </c>
    </row>
    <row r="1174">
      <c r="A1174" s="7" t="inlineStr">
        <is>
          <t>MAT-31-009</t>
        </is>
      </c>
      <c r="B1174" s="4" t="inlineStr">
        <is>
          <t>Interruptor inteligente 3 canales</t>
        </is>
      </c>
      <c r="C1174" s="7" t="inlineStr">
        <is>
          <t>unidad</t>
        </is>
      </c>
      <c r="D1174" s="8" t="n">
        <v>1497.83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>
        <f>IF(COUNT(D1174:L1174)=0,"",MIN(D1174:L1174))</f>
        <v/>
      </c>
      <c r="N1174" s="8">
        <f>IF(COUNT(D1174:L1174)=0,"",MEDIAN(D1174:L1174))</f>
        <v/>
      </c>
      <c r="O1174" s="8">
        <f>IF(COUNT(D1174:L1174)=0,"",MAX(D1174:L1174))</f>
        <v/>
      </c>
      <c r="P1174" s="9">
        <f>IF(OR(M1174="",M1174=0),"",(O1174-M1174)/M1174)</f>
        <v/>
      </c>
      <c r="Q1174" s="7">
        <f>IF(COUNT(D1174:L1174)=0,"",INDEX($D$1:$L$1,MATCH(MIN(D1174:L1174),D1174:L1174,0)))</f>
        <v/>
      </c>
      <c r="R1174" s="8" t="n">
        <v>4577.22</v>
      </c>
      <c r="S1174" s="10" t="n">
        <v>1</v>
      </c>
    </row>
    <row r="1175">
      <c r="A1175" s="7" t="inlineStr">
        <is>
          <t>MAT-31-010</t>
        </is>
      </c>
      <c r="B1175" s="4" t="inlineStr">
        <is>
          <t>Tomacorriente inteligente</t>
        </is>
      </c>
      <c r="C1175" s="7" t="inlineStr">
        <is>
          <t>unidad</t>
        </is>
      </c>
      <c r="D1175" s="8" t="n">
        <v>294.14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>
        <f>IF(COUNT(D1175:L1175)=0,"",MIN(D1175:L1175))</f>
        <v/>
      </c>
      <c r="N1175" s="8">
        <f>IF(COUNT(D1175:L1175)=0,"",MEDIAN(D1175:L1175))</f>
        <v/>
      </c>
      <c r="O1175" s="8">
        <f>IF(COUNT(D1175:L1175)=0,"",MAX(D1175:L1175))</f>
        <v/>
      </c>
      <c r="P1175" s="9">
        <f>IF(OR(M1175="",M1175=0),"",(O1175-M1175)/M1175)</f>
        <v/>
      </c>
      <c r="Q1175" s="7">
        <f>IF(COUNT(D1175:L1175)=0,"",INDEX($D$1:$L$1,MATCH(MIN(D1175:L1175),D1175:L1175,0)))</f>
        <v/>
      </c>
      <c r="R1175" s="8" t="n">
        <v>2368.55</v>
      </c>
      <c r="S1175" s="10" t="n">
        <v>1</v>
      </c>
    </row>
    <row r="1176">
      <c r="A1176" s="7" t="inlineStr">
        <is>
          <t>MAT-31-011</t>
        </is>
      </c>
      <c r="B1176" s="4" t="inlineStr">
        <is>
          <t>Central de domótica</t>
        </is>
      </c>
      <c r="C1176" s="7" t="inlineStr">
        <is>
          <t>unidad</t>
        </is>
      </c>
      <c r="D1176" s="8" t="n">
        <v>1143.26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>
        <f>IF(COUNT(D1176:L1176)=0,"",MIN(D1176:L1176))</f>
        <v/>
      </c>
      <c r="N1176" s="8">
        <f>IF(COUNT(D1176:L1176)=0,"",MEDIAN(D1176:L1176))</f>
        <v/>
      </c>
      <c r="O1176" s="8">
        <f>IF(COUNT(D1176:L1176)=0,"",MAX(D1176:L1176))</f>
        <v/>
      </c>
      <c r="P1176" s="9">
        <f>IF(OR(M1176="",M1176=0),"",(O1176-M1176)/M1176)</f>
        <v/>
      </c>
      <c r="Q1176" s="7">
        <f>IF(COUNT(D1176:L1176)=0,"",INDEX($D$1:$L$1,MATCH(MIN(D1176:L1176),D1176:L1176,0)))</f>
        <v/>
      </c>
      <c r="R1176" s="8" t="n">
        <v>4457.57</v>
      </c>
      <c r="S1176" s="10" t="n">
        <v>1</v>
      </c>
    </row>
    <row r="1177">
      <c r="A1177" s="7" t="inlineStr">
        <is>
          <t>MAT-31-012</t>
        </is>
      </c>
      <c r="B1177" s="4" t="inlineStr">
        <is>
          <t>Kit de intercomunicador 4 apartamentos con video</t>
        </is>
      </c>
      <c r="C1177" s="7" t="inlineStr">
        <is>
          <t>juego</t>
        </is>
      </c>
      <c r="D1177" s="8" t="n">
        <v>32009.7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>
        <f>IF(COUNT(D1177:L1177)=0,"",MIN(D1177:L1177))</f>
        <v/>
      </c>
      <c r="N1177" s="8">
        <f>IF(COUNT(D1177:L1177)=0,"",MEDIAN(D1177:L1177))</f>
        <v/>
      </c>
      <c r="O1177" s="8">
        <f>IF(COUNT(D1177:L1177)=0,"",MAX(D1177:L1177))</f>
        <v/>
      </c>
      <c r="P1177" s="9">
        <f>IF(OR(M1177="",M1177=0),"",(O1177-M1177)/M1177)</f>
        <v/>
      </c>
      <c r="Q1177" s="7">
        <f>IF(COUNT(D1177:L1177)=0,"",INDEX($D$1:$L$1,MATCH(MIN(D1177:L1177),D1177:L1177,0)))</f>
        <v/>
      </c>
      <c r="R1177" s="8" t="n">
        <v>32009.7</v>
      </c>
      <c r="S1177" s="10" t="n">
        <v>1</v>
      </c>
    </row>
    <row r="1178">
      <c r="A1178" s="7" t="inlineStr">
        <is>
          <t>MAT-31-013</t>
        </is>
      </c>
      <c r="B1178" s="4" t="inlineStr">
        <is>
          <t>Kit de intercomunicador 6 apartamentos con video</t>
        </is>
      </c>
      <c r="C1178" s="7" t="inlineStr">
        <is>
          <t>juego</t>
        </is>
      </c>
      <c r="D1178" s="8" t="n">
        <v>41504.58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>
        <f>IF(COUNT(D1178:L1178)=0,"",MIN(D1178:L1178))</f>
        <v/>
      </c>
      <c r="N1178" s="8">
        <f>IF(COUNT(D1178:L1178)=0,"",MEDIAN(D1178:L1178))</f>
        <v/>
      </c>
      <c r="O1178" s="8">
        <f>IF(COUNT(D1178:L1178)=0,"",MAX(D1178:L1178))</f>
        <v/>
      </c>
      <c r="P1178" s="9">
        <f>IF(OR(M1178="",M1178=0),"",(O1178-M1178)/M1178)</f>
        <v/>
      </c>
      <c r="Q1178" s="7">
        <f>IF(COUNT(D1178:L1178)=0,"",INDEX($D$1:$L$1,MATCH(MIN(D1178:L1178),D1178:L1178,0)))</f>
        <v/>
      </c>
      <c r="R1178" s="8" t="n">
        <v>41504.58</v>
      </c>
      <c r="S1178" s="10" t="n">
        <v>1</v>
      </c>
    </row>
    <row r="1179">
      <c r="A1179" s="7" t="inlineStr">
        <is>
          <t>MAT-31-014</t>
        </is>
      </c>
      <c r="B1179" s="4" t="inlineStr">
        <is>
          <t>Kit de intercomunicador 8 apartamentos solo audio</t>
        </is>
      </c>
      <c r="C1179" s="7" t="inlineStr">
        <is>
          <t>juego</t>
        </is>
      </c>
      <c r="D1179" s="8" t="n">
        <v>16951.2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>
        <f>IF(COUNT(D1179:L1179)=0,"",MIN(D1179:L1179))</f>
        <v/>
      </c>
      <c r="N1179" s="8">
        <f>IF(COUNT(D1179:L1179)=0,"",MEDIAN(D1179:L1179))</f>
        <v/>
      </c>
      <c r="O1179" s="8">
        <f>IF(COUNT(D1179:L1179)=0,"",MAX(D1179:L1179))</f>
        <v/>
      </c>
      <c r="P1179" s="9">
        <f>IF(OR(M1179="",M1179=0),"",(O1179-M1179)/M1179)</f>
        <v/>
      </c>
      <c r="Q1179" s="7">
        <f>IF(COUNT(D1179:L1179)=0,"",INDEX($D$1:$L$1,MATCH(MIN(D1179:L1179),D1179:L1179,0)))</f>
        <v/>
      </c>
      <c r="R1179" s="8" t="n">
        <v>16951.2</v>
      </c>
      <c r="S1179" s="10" t="n">
        <v>1</v>
      </c>
    </row>
    <row r="1180">
      <c r="A1180" s="7" t="inlineStr">
        <is>
          <t>MAT-31-015</t>
        </is>
      </c>
      <c r="B1180" s="4" t="inlineStr">
        <is>
          <t>Kit de intercomunicador 8 apartamentos con video</t>
        </is>
      </c>
      <c r="C1180" s="7" t="inlineStr">
        <is>
          <t>juego</t>
        </is>
      </c>
      <c r="D1180" s="8" t="n">
        <v>50715.2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>
        <f>IF(COUNT(D1180:L1180)=0,"",MIN(D1180:L1180))</f>
        <v/>
      </c>
      <c r="N1180" s="8">
        <f>IF(COUNT(D1180:L1180)=0,"",MEDIAN(D1180:L1180))</f>
        <v/>
      </c>
      <c r="O1180" s="8">
        <f>IF(COUNT(D1180:L1180)=0,"",MAX(D1180:L1180))</f>
        <v/>
      </c>
      <c r="P1180" s="9">
        <f>IF(OR(M1180="",M1180=0),"",(O1180-M1180)/M1180)</f>
        <v/>
      </c>
      <c r="Q1180" s="7">
        <f>IF(COUNT(D1180:L1180)=0,"",INDEX($D$1:$L$1,MATCH(MIN(D1180:L1180),D1180:L1180,0)))</f>
        <v/>
      </c>
      <c r="R1180" s="8" t="n">
        <v>50715.2</v>
      </c>
      <c r="S1180" s="10" t="n">
        <v>1</v>
      </c>
    </row>
    <row r="1181">
      <c r="A1181" s="7" t="inlineStr">
        <is>
          <t>MAT-31-016</t>
        </is>
      </c>
      <c r="B1181" s="4" t="inlineStr">
        <is>
          <t>Kit de intercomunicador con video</t>
        </is>
      </c>
      <c r="C1181" s="7" t="inlineStr">
        <is>
          <t>juego</t>
        </is>
      </c>
      <c r="D1181" s="8" t="n">
        <v>8802.870000000001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>
        <f>IF(COUNT(D1181:L1181)=0,"",MIN(D1181:L1181))</f>
        <v/>
      </c>
      <c r="N1181" s="8">
        <f>IF(COUNT(D1181:L1181)=0,"",MEDIAN(D1181:L1181))</f>
        <v/>
      </c>
      <c r="O1181" s="8">
        <f>IF(COUNT(D1181:L1181)=0,"",MAX(D1181:L1181))</f>
        <v/>
      </c>
      <c r="P1181" s="9">
        <f>IF(OR(M1181="",M1181=0),"",(O1181-M1181)/M1181)</f>
        <v/>
      </c>
      <c r="Q1181" s="7">
        <f>IF(COUNT(D1181:L1181)=0,"",INDEX($D$1:$L$1,MATCH(MIN(D1181:L1181),D1181:L1181,0)))</f>
        <v/>
      </c>
      <c r="R1181" s="8" t="n">
        <v>12858.25</v>
      </c>
      <c r="S1181" s="10" t="n">
        <v>1</v>
      </c>
    </row>
    <row r="1182">
      <c r="A1182" s="7" t="inlineStr">
        <is>
          <t>MAT-31-017</t>
        </is>
      </c>
      <c r="B1182" s="4" t="inlineStr">
        <is>
          <t>Estación de intercomunicador</t>
        </is>
      </c>
      <c r="C1182" s="7" t="inlineStr">
        <is>
          <t>unidad</t>
        </is>
      </c>
      <c r="D1182" s="8" t="n">
        <v>9200.34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>
        <f>IF(COUNT(D1182:L1182)=0,"",MIN(D1182:L1182))</f>
        <v/>
      </c>
      <c r="N1182" s="8">
        <f>IF(COUNT(D1182:L1182)=0,"",MEDIAN(D1182:L1182))</f>
        <v/>
      </c>
      <c r="O1182" s="8">
        <f>IF(COUNT(D1182:L1182)=0,"",MAX(D1182:L1182))</f>
        <v/>
      </c>
      <c r="P1182" s="9">
        <f>IF(OR(M1182="",M1182=0),"",(O1182-M1182)/M1182)</f>
        <v/>
      </c>
      <c r="Q1182" s="7">
        <f>IF(COUNT(D1182:L1182)=0,"",INDEX($D$1:$L$1,MATCH(MIN(D1182:L1182),D1182:L1182,0)))</f>
        <v/>
      </c>
      <c r="R1182" s="8" t="n">
        <v>9200.34</v>
      </c>
      <c r="S1182" s="10" t="n">
        <v>1</v>
      </c>
    </row>
    <row r="1183">
      <c r="A1183" s="7" t="inlineStr">
        <is>
          <t>MAT-31-018</t>
        </is>
      </c>
      <c r="B1183" s="4" t="inlineStr">
        <is>
          <t>Estación de intercomunicador 7"</t>
        </is>
      </c>
      <c r="C1183" s="7" t="inlineStr">
        <is>
          <t>unidad</t>
        </is>
      </c>
      <c r="D1183" s="8" t="n">
        <v>14861.01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>
        <f>IF(COUNT(D1183:L1183)=0,"",MIN(D1183:L1183))</f>
        <v/>
      </c>
      <c r="N1183" s="8">
        <f>IF(COUNT(D1183:L1183)=0,"",MEDIAN(D1183:L1183))</f>
        <v/>
      </c>
      <c r="O1183" s="8">
        <f>IF(COUNT(D1183:L1183)=0,"",MAX(D1183:L1183))</f>
        <v/>
      </c>
      <c r="P1183" s="9">
        <f>IF(OR(M1183="",M1183=0),"",(O1183-M1183)/M1183)</f>
        <v/>
      </c>
      <c r="Q1183" s="7">
        <f>IF(COUNT(D1183:L1183)=0,"",INDEX($D$1:$L$1,MATCH(MIN(D1183:L1183),D1183:L1183,0)))</f>
        <v/>
      </c>
      <c r="R1183" s="8" t="n">
        <v>14861.01</v>
      </c>
      <c r="S1183" s="10" t="n">
        <v>1</v>
      </c>
    </row>
    <row r="1184">
      <c r="A1184" s="7" t="inlineStr">
        <is>
          <t>MAT-31-019</t>
        </is>
      </c>
      <c r="B1184" s="4" t="inlineStr">
        <is>
          <t>Accesorio de intercomunicador</t>
        </is>
      </c>
      <c r="C1184" s="7" t="inlineStr">
        <is>
          <t>unidad</t>
        </is>
      </c>
      <c r="D1184" s="8" t="n">
        <v>305.08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>
        <f>IF(COUNT(D1184:L1184)=0,"",MIN(D1184:L1184))</f>
        <v/>
      </c>
      <c r="N1184" s="8">
        <f>IF(COUNT(D1184:L1184)=0,"",MEDIAN(D1184:L1184))</f>
        <v/>
      </c>
      <c r="O1184" s="8">
        <f>IF(COUNT(D1184:L1184)=0,"",MAX(D1184:L1184))</f>
        <v/>
      </c>
      <c r="P1184" s="9">
        <f>IF(OR(M1184="",M1184=0),"",(O1184-M1184)/M1184)</f>
        <v/>
      </c>
      <c r="Q1184" s="7">
        <f>IF(COUNT(D1184:L1184)=0,"",INDEX($D$1:$L$1,MATCH(MIN(D1184:L1184),D1184:L1184,0)))</f>
        <v/>
      </c>
      <c r="R1184" s="8" t="n">
        <v>1765.47</v>
      </c>
      <c r="S1184" s="10" t="n">
        <v>1</v>
      </c>
    </row>
    <row r="1185">
      <c r="A1185" s="7" t="inlineStr">
        <is>
          <t>MAT-32-008</t>
        </is>
      </c>
      <c r="B1185" s="4" t="inlineStr">
        <is>
          <t>Tubo PVC DRENAJE 3" x 19 pies</t>
        </is>
      </c>
      <c r="C1185" s="7" t="inlineStr">
        <is>
          <t>tubo</t>
        </is>
      </c>
      <c r="D1185" s="8" t="n"/>
      <c r="E1185" s="8" t="n"/>
      <c r="F1185" s="8" t="n">
        <v>967</v>
      </c>
      <c r="G1185" s="8" t="n"/>
      <c r="H1185" s="8" t="n"/>
      <c r="I1185" s="8" t="n"/>
      <c r="J1185" s="8" t="n"/>
      <c r="K1185" s="8" t="n"/>
      <c r="L1185" s="8" t="n"/>
      <c r="M1185" s="8">
        <f>IF(COUNT(D1185:L1185)=0,"",MIN(D1185:L1185))</f>
        <v/>
      </c>
      <c r="N1185" s="8">
        <f>IF(COUNT(D1185:L1185)=0,"",MEDIAN(D1185:L1185))</f>
        <v/>
      </c>
      <c r="O1185" s="8">
        <f>IF(COUNT(D1185:L1185)=0,"",MAX(D1185:L1185))</f>
        <v/>
      </c>
      <c r="P1185" s="9">
        <f>IF(OR(M1185="",M1185=0),"",(O1185-M1185)/M1185)</f>
        <v/>
      </c>
      <c r="Q1185" s="7">
        <f>IF(COUNT(D1185:L1185)=0,"",INDEX($D$1:$L$1,MATCH(MIN(D1185:L1185),D1185:L1185,0)))</f>
        <v/>
      </c>
      <c r="R1185" s="8" t="n">
        <v>967</v>
      </c>
      <c r="S1185" s="10" t="n">
        <v>1</v>
      </c>
    </row>
    <row r="1186">
      <c r="A1186" s="7" t="inlineStr">
        <is>
          <t>MAT-32-009</t>
        </is>
      </c>
      <c r="B1186" s="4" t="inlineStr">
        <is>
          <t>Tubo PVC DRENAJE 4" x 19 pies</t>
        </is>
      </c>
      <c r="C1186" s="7" t="inlineStr">
        <is>
          <t>tubo</t>
        </is>
      </c>
      <c r="D1186" s="8" t="n"/>
      <c r="E1186" s="8" t="n"/>
      <c r="F1186" s="8" t="n">
        <v>1001</v>
      </c>
      <c r="G1186" s="8" t="n"/>
      <c r="H1186" s="8" t="n"/>
      <c r="I1186" s="8" t="n"/>
      <c r="J1186" s="8" t="n"/>
      <c r="K1186" s="8" t="n"/>
      <c r="L1186" s="8" t="n"/>
      <c r="M1186" s="8">
        <f>IF(COUNT(D1186:L1186)=0,"",MIN(D1186:L1186))</f>
        <v/>
      </c>
      <c r="N1186" s="8">
        <f>IF(COUNT(D1186:L1186)=0,"",MEDIAN(D1186:L1186))</f>
        <v/>
      </c>
      <c r="O1186" s="8">
        <f>IF(COUNT(D1186:L1186)=0,"",MAX(D1186:L1186))</f>
        <v/>
      </c>
      <c r="P1186" s="9">
        <f>IF(OR(M1186="",M1186=0),"",(O1186-M1186)/M1186)</f>
        <v/>
      </c>
      <c r="Q1186" s="7">
        <f>IF(COUNT(D1186:L1186)=0,"",INDEX($D$1:$L$1,MATCH(MIN(D1186:L1186),D1186:L1186,0)))</f>
        <v/>
      </c>
      <c r="R1186" s="8" t="n">
        <v>1001</v>
      </c>
      <c r="S1186" s="10" t="n">
        <v>1</v>
      </c>
    </row>
    <row r="1187">
      <c r="A1187" s="7" t="inlineStr">
        <is>
          <t>MAT-32-010</t>
        </is>
      </c>
      <c r="B1187" s="4" t="inlineStr">
        <is>
          <t>Tubo PVC SCH-40 1 1/2" x 19 pies</t>
        </is>
      </c>
      <c r="C1187" s="7" t="inlineStr">
        <is>
          <t>tubo</t>
        </is>
      </c>
      <c r="D1187" s="8" t="n"/>
      <c r="E1187" s="8" t="n"/>
      <c r="F1187" s="8" t="n">
        <v>944</v>
      </c>
      <c r="G1187" s="8" t="n"/>
      <c r="H1187" s="8" t="n"/>
      <c r="I1187" s="8" t="n"/>
      <c r="J1187" s="8" t="n">
        <v>535</v>
      </c>
      <c r="K1187" s="8" t="n">
        <v>898</v>
      </c>
      <c r="L1187" s="8" t="n"/>
      <c r="M1187" s="8">
        <f>IF(COUNT(D1187:L1187)=0,"",MIN(D1187:L1187))</f>
        <v/>
      </c>
      <c r="N1187" s="8">
        <f>IF(COUNT(D1187:L1187)=0,"",MEDIAN(D1187:L1187))</f>
        <v/>
      </c>
      <c r="O1187" s="8">
        <f>IF(COUNT(D1187:L1187)=0,"",MAX(D1187:L1187))</f>
        <v/>
      </c>
      <c r="P1187" s="9">
        <f>IF(OR(M1187="",M1187=0),"",(O1187-M1187)/M1187)</f>
        <v/>
      </c>
      <c r="Q1187" s="7">
        <f>IF(COUNT(D1187:L1187)=0,"",INDEX($D$1:$L$1,MATCH(MIN(D1187:L1187),D1187:L1187,0)))</f>
        <v/>
      </c>
      <c r="R1187" s="8" t="n">
        <v>944</v>
      </c>
      <c r="S1187" s="10" t="n">
        <v>3</v>
      </c>
    </row>
    <row r="1188">
      <c r="A1188" s="7" t="inlineStr">
        <is>
          <t>MAT-32-011</t>
        </is>
      </c>
      <c r="B1188" s="4" t="inlineStr">
        <is>
          <t>Tubo PVC SCH-40 1/2" x 19 pies</t>
        </is>
      </c>
      <c r="C1188" s="7" t="inlineStr">
        <is>
          <t>tubo</t>
        </is>
      </c>
      <c r="D1188" s="8" t="n"/>
      <c r="E1188" s="8" t="n"/>
      <c r="F1188" s="8" t="n"/>
      <c r="G1188" s="8" t="n"/>
      <c r="H1188" s="8" t="n"/>
      <c r="I1188" s="8" t="n"/>
      <c r="J1188" s="8" t="n"/>
      <c r="K1188" s="8" t="n">
        <v>253.2</v>
      </c>
      <c r="L1188" s="8" t="n"/>
      <c r="M1188" s="8">
        <f>IF(COUNT(D1188:L1188)=0,"",MIN(D1188:L1188))</f>
        <v/>
      </c>
      <c r="N1188" s="8">
        <f>IF(COUNT(D1188:L1188)=0,"",MEDIAN(D1188:L1188))</f>
        <v/>
      </c>
      <c r="O1188" s="8">
        <f>IF(COUNT(D1188:L1188)=0,"",MAX(D1188:L1188))</f>
        <v/>
      </c>
      <c r="P1188" s="9">
        <f>IF(OR(M1188="",M1188=0),"",(O1188-M1188)/M1188)</f>
        <v/>
      </c>
      <c r="Q1188" s="7">
        <f>IF(COUNT(D1188:L1188)=0,"",INDEX($D$1:$L$1,MATCH(MIN(D1188:L1188),D1188:L1188,0)))</f>
        <v/>
      </c>
      <c r="R1188" s="8" t="n">
        <v>298.78</v>
      </c>
      <c r="S1188" s="10" t="n">
        <v>1</v>
      </c>
    </row>
    <row r="1189">
      <c r="A1189" s="7" t="inlineStr">
        <is>
          <t>MAT-32-012</t>
        </is>
      </c>
      <c r="B1189" s="4" t="inlineStr">
        <is>
          <t>Tubo PVC SCH-40 1" x 19 pies</t>
        </is>
      </c>
      <c r="C1189" s="7" t="inlineStr">
        <is>
          <t>tubo</t>
        </is>
      </c>
      <c r="D1189" s="8" t="n"/>
      <c r="E1189" s="8" t="n"/>
      <c r="F1189" s="8" t="n">
        <v>570</v>
      </c>
      <c r="G1189" s="8" t="n"/>
      <c r="H1189" s="8" t="n"/>
      <c r="I1189" s="8" t="n"/>
      <c r="J1189" s="8" t="n">
        <v>315</v>
      </c>
      <c r="K1189" s="8" t="n">
        <v>531.4</v>
      </c>
      <c r="L1189" s="8" t="n"/>
      <c r="M1189" s="8">
        <f>IF(COUNT(D1189:L1189)=0,"",MIN(D1189:L1189))</f>
        <v/>
      </c>
      <c r="N1189" s="8">
        <f>IF(COUNT(D1189:L1189)=0,"",MEDIAN(D1189:L1189))</f>
        <v/>
      </c>
      <c r="O1189" s="8">
        <f>IF(COUNT(D1189:L1189)=0,"",MAX(D1189:L1189))</f>
        <v/>
      </c>
      <c r="P1189" s="9">
        <f>IF(OR(M1189="",M1189=0),"",(O1189-M1189)/M1189)</f>
        <v/>
      </c>
      <c r="Q1189" s="7">
        <f>IF(COUNT(D1189:L1189)=0,"",INDEX($D$1:$L$1,MATCH(MIN(D1189:L1189),D1189:L1189,0)))</f>
        <v/>
      </c>
      <c r="R1189" s="8" t="n">
        <v>570</v>
      </c>
      <c r="S1189" s="10" t="n">
        <v>3</v>
      </c>
    </row>
    <row r="1190">
      <c r="A1190" s="7" t="inlineStr">
        <is>
          <t>MAT-32-013</t>
        </is>
      </c>
      <c r="B1190" s="4" t="inlineStr">
        <is>
          <t>Tubo PVC SCH-40 2" x 19 pies</t>
        </is>
      </c>
      <c r="C1190" s="7" t="inlineStr">
        <is>
          <t>tubo</t>
        </is>
      </c>
      <c r="D1190" s="8" t="n"/>
      <c r="E1190" s="8" t="n"/>
      <c r="F1190" s="8" t="n"/>
      <c r="G1190" s="8" t="n"/>
      <c r="H1190" s="8" t="n"/>
      <c r="I1190" s="8" t="n"/>
      <c r="J1190" s="8" t="n">
        <v>745</v>
      </c>
      <c r="K1190" s="8" t="n">
        <v>1207.6</v>
      </c>
      <c r="L1190" s="8" t="n"/>
      <c r="M1190" s="8">
        <f>IF(COUNT(D1190:L1190)=0,"",MIN(D1190:L1190))</f>
        <v/>
      </c>
      <c r="N1190" s="8">
        <f>IF(COUNT(D1190:L1190)=0,"",MEDIAN(D1190:L1190))</f>
        <v/>
      </c>
      <c r="O1190" s="8">
        <f>IF(COUNT(D1190:L1190)=0,"",MAX(D1190:L1190))</f>
        <v/>
      </c>
      <c r="P1190" s="9">
        <f>IF(OR(M1190="",M1190=0),"",(O1190-M1190)/M1190)</f>
        <v/>
      </c>
      <c r="Q1190" s="7">
        <f>IF(COUNT(D1190:L1190)=0,"",INDEX($D$1:$L$1,MATCH(MIN(D1190:L1190),D1190:L1190,0)))</f>
        <v/>
      </c>
      <c r="R1190" s="8" t="n">
        <v>1084.98</v>
      </c>
      <c r="S1190" s="10" t="n">
        <v>2</v>
      </c>
    </row>
    <row r="1191">
      <c r="A1191" s="7" t="inlineStr">
        <is>
          <t>MAT-32-014</t>
        </is>
      </c>
      <c r="B1191" s="4" t="inlineStr">
        <is>
          <t>Tubo PVC SCH-40 3/4" x 19 pies</t>
        </is>
      </c>
      <c r="C1191" s="7" t="inlineStr">
        <is>
          <t>tubo</t>
        </is>
      </c>
      <c r="D1191" s="8" t="n"/>
      <c r="E1191" s="8" t="n"/>
      <c r="F1191" s="8" t="n">
        <v>388</v>
      </c>
      <c r="G1191" s="8" t="n"/>
      <c r="H1191" s="8" t="n"/>
      <c r="I1191" s="8" t="n"/>
      <c r="J1191" s="8" t="n">
        <v>235</v>
      </c>
      <c r="K1191" s="8" t="n">
        <v>358.9</v>
      </c>
      <c r="L1191" s="8" t="n"/>
      <c r="M1191" s="8">
        <f>IF(COUNT(D1191:L1191)=0,"",MIN(D1191:L1191))</f>
        <v/>
      </c>
      <c r="N1191" s="8">
        <f>IF(COUNT(D1191:L1191)=0,"",MEDIAN(D1191:L1191))</f>
        <v/>
      </c>
      <c r="O1191" s="8">
        <f>IF(COUNT(D1191:L1191)=0,"",MAX(D1191:L1191))</f>
        <v/>
      </c>
      <c r="P1191" s="9">
        <f>IF(OR(M1191="",M1191=0),"",(O1191-M1191)/M1191)</f>
        <v/>
      </c>
      <c r="Q1191" s="7">
        <f>IF(COUNT(D1191:L1191)=0,"",INDEX($D$1:$L$1,MATCH(MIN(D1191:L1191),D1191:L1191,0)))</f>
        <v/>
      </c>
      <c r="R1191" s="8" t="n">
        <v>388</v>
      </c>
      <c r="S1191" s="10" t="n">
        <v>3</v>
      </c>
    </row>
    <row r="1192">
      <c r="A1192" s="7" t="inlineStr">
        <is>
          <t>MAT-32-015</t>
        </is>
      </c>
      <c r="B1192" s="4" t="inlineStr">
        <is>
          <t>Tubo PVC SCH-40 3" x 19 pies</t>
        </is>
      </c>
      <c r="C1192" s="7" t="inlineStr">
        <is>
          <t>tubo</t>
        </is>
      </c>
      <c r="D1192" s="8" t="n"/>
      <c r="E1192" s="8" t="n"/>
      <c r="F1192" s="8" t="n"/>
      <c r="G1192" s="8" t="n"/>
      <c r="H1192" s="8" t="n"/>
      <c r="I1192" s="8" t="n"/>
      <c r="J1192" s="8" t="n"/>
      <c r="K1192" s="8" t="n">
        <v>2507.1</v>
      </c>
      <c r="L1192" s="8" t="n"/>
      <c r="M1192" s="8">
        <f>IF(COUNT(D1192:L1192)=0,"",MIN(D1192:L1192))</f>
        <v/>
      </c>
      <c r="N1192" s="8">
        <f>IF(COUNT(D1192:L1192)=0,"",MEDIAN(D1192:L1192))</f>
        <v/>
      </c>
      <c r="O1192" s="8">
        <f>IF(COUNT(D1192:L1192)=0,"",MAX(D1192:L1192))</f>
        <v/>
      </c>
      <c r="P1192" s="9">
        <f>IF(OR(M1192="",M1192=0),"",(O1192-M1192)/M1192)</f>
        <v/>
      </c>
      <c r="Q1192" s="7">
        <f>IF(COUNT(D1192:L1192)=0,"",INDEX($D$1:$L$1,MATCH(MIN(D1192:L1192),D1192:L1192,0)))</f>
        <v/>
      </c>
      <c r="R1192" s="8" t="n">
        <v>2958.38</v>
      </c>
      <c r="S1192" s="10" t="n">
        <v>1</v>
      </c>
    </row>
    <row r="1193">
      <c r="A1193" s="7" t="inlineStr">
        <is>
          <t>MAT-32-016</t>
        </is>
      </c>
      <c r="B1193" s="4" t="inlineStr">
        <is>
          <t>Tubo PVC SCH-40 4" x 19 pies</t>
        </is>
      </c>
      <c r="C1193" s="7" t="inlineStr">
        <is>
          <t>tubo</t>
        </is>
      </c>
      <c r="D1193" s="8" t="n"/>
      <c r="E1193" s="8" t="n"/>
      <c r="F1193" s="8" t="n"/>
      <c r="G1193" s="8" t="n"/>
      <c r="H1193" s="8" t="n"/>
      <c r="I1193" s="8" t="n"/>
      <c r="J1193" s="8" t="n"/>
      <c r="K1193" s="8" t="n">
        <v>3571.1</v>
      </c>
      <c r="L1193" s="8" t="n"/>
      <c r="M1193" s="8">
        <f>IF(COUNT(D1193:L1193)=0,"",MIN(D1193:L1193))</f>
        <v/>
      </c>
      <c r="N1193" s="8">
        <f>IF(COUNT(D1193:L1193)=0,"",MEDIAN(D1193:L1193))</f>
        <v/>
      </c>
      <c r="O1193" s="8">
        <f>IF(COUNT(D1193:L1193)=0,"",MAX(D1193:L1193))</f>
        <v/>
      </c>
      <c r="P1193" s="9">
        <f>IF(OR(M1193="",M1193=0),"",(O1193-M1193)/M1193)</f>
        <v/>
      </c>
      <c r="Q1193" s="7">
        <f>IF(COUNT(D1193:L1193)=0,"",INDEX($D$1:$L$1,MATCH(MIN(D1193:L1193),D1193:L1193,0)))</f>
        <v/>
      </c>
      <c r="R1193" s="8" t="n">
        <v>4213.9</v>
      </c>
      <c r="S1193" s="10" t="n">
        <v>1</v>
      </c>
    </row>
    <row r="1194">
      <c r="A1194" s="7" t="inlineStr">
        <is>
          <t>MAT-32-017</t>
        </is>
      </c>
      <c r="B1194" s="4" t="inlineStr">
        <is>
          <t>Tubo PVC SCH-40 6"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6907.8</v>
      </c>
      <c r="L1194" s="8" t="n"/>
      <c r="M1194" s="8">
        <f>IF(COUNT(D1194:L1194)=0,"",MIN(D1194:L1194))</f>
        <v/>
      </c>
      <c r="N1194" s="8">
        <f>IF(COUNT(D1194:L1194)=0,"",MEDIAN(D1194:L1194))</f>
        <v/>
      </c>
      <c r="O1194" s="8">
        <f>IF(COUNT(D1194:L1194)=0,"",MAX(D1194:L1194))</f>
        <v/>
      </c>
      <c r="P1194" s="9">
        <f>IF(OR(M1194="",M1194=0),"",(O1194-M1194)/M1194)</f>
        <v/>
      </c>
      <c r="Q1194" s="7">
        <f>IF(COUNT(D1194:L1194)=0,"",INDEX($D$1:$L$1,MATCH(MIN(D1194:L1194),D1194:L1194,0)))</f>
        <v/>
      </c>
      <c r="R1194" s="8" t="n">
        <v>8151.2</v>
      </c>
      <c r="S1194" s="10" t="n">
        <v>1</v>
      </c>
    </row>
    <row r="1195">
      <c r="A1195" s="7" t="inlineStr">
        <is>
          <t>MAT-32-018</t>
        </is>
      </c>
      <c r="B1195" s="4" t="inlineStr">
        <is>
          <t>Tubo PVC SCH-40 8" x 19 pies</t>
        </is>
      </c>
      <c r="C1195" s="7" t="inlineStr">
        <is>
          <t>tubo</t>
        </is>
      </c>
      <c r="D1195" s="8" t="n"/>
      <c r="E1195" s="8" t="n"/>
      <c r="F1195" s="8" t="n"/>
      <c r="G1195" s="8" t="n"/>
      <c r="H1195" s="8" t="n"/>
      <c r="I1195" s="8" t="n"/>
      <c r="J1195" s="8" t="n"/>
      <c r="K1195" s="8" t="n">
        <v>10374.3</v>
      </c>
      <c r="L1195" s="8" t="n"/>
      <c r="M1195" s="8">
        <f>IF(COUNT(D1195:L1195)=0,"",MIN(D1195:L1195))</f>
        <v/>
      </c>
      <c r="N1195" s="8">
        <f>IF(COUNT(D1195:L1195)=0,"",MEDIAN(D1195:L1195))</f>
        <v/>
      </c>
      <c r="O1195" s="8">
        <f>IF(COUNT(D1195:L1195)=0,"",MAX(D1195:L1195))</f>
        <v/>
      </c>
      <c r="P1195" s="9">
        <f>IF(OR(M1195="",M1195=0),"",(O1195-M1195)/M1195)</f>
        <v/>
      </c>
      <c r="Q1195" s="7">
        <f>IF(COUNT(D1195:L1195)=0,"",INDEX($D$1:$L$1,MATCH(MIN(D1195:L1195),D1195:L1195,0)))</f>
        <v/>
      </c>
      <c r="R1195" s="8" t="n">
        <v>12241.67</v>
      </c>
      <c r="S1195" s="10" t="n">
        <v>1</v>
      </c>
    </row>
    <row r="1196">
      <c r="A1196" s="7" t="inlineStr">
        <is>
          <t>MAT-32-019</t>
        </is>
      </c>
      <c r="B1196" s="4" t="inlineStr">
        <is>
          <t>Tubo PVC SDR-26 1 1/2" x 19 pies</t>
        </is>
      </c>
      <c r="C1196" s="7" t="inlineStr">
        <is>
          <t>tubo</t>
        </is>
      </c>
      <c r="D1196" s="8" t="n"/>
      <c r="E1196" s="8" t="n"/>
      <c r="F1196" s="8" t="n"/>
      <c r="G1196" s="8" t="n"/>
      <c r="H1196" s="8" t="n"/>
      <c r="I1196" s="8" t="n"/>
      <c r="J1196" s="8" t="n"/>
      <c r="K1196" s="8" t="n">
        <v>496.6</v>
      </c>
      <c r="L1196" s="8" t="n"/>
      <c r="M1196" s="8">
        <f>IF(COUNT(D1196:L1196)=0,"",MIN(D1196:L1196))</f>
        <v/>
      </c>
      <c r="N1196" s="8">
        <f>IF(COUNT(D1196:L1196)=0,"",MEDIAN(D1196:L1196))</f>
        <v/>
      </c>
      <c r="O1196" s="8">
        <f>IF(COUNT(D1196:L1196)=0,"",MAX(D1196:L1196))</f>
        <v/>
      </c>
      <c r="P1196" s="9">
        <f>IF(OR(M1196="",M1196=0),"",(O1196-M1196)/M1196)</f>
        <v/>
      </c>
      <c r="Q1196" s="7">
        <f>IF(COUNT(D1196:L1196)=0,"",INDEX($D$1:$L$1,MATCH(MIN(D1196:L1196),D1196:L1196,0)))</f>
        <v/>
      </c>
      <c r="R1196" s="8" t="n">
        <v>585.99</v>
      </c>
      <c r="S1196" s="10" t="n">
        <v>1</v>
      </c>
    </row>
    <row r="1197">
      <c r="A1197" s="7" t="inlineStr">
        <is>
          <t>MAT-32-020</t>
        </is>
      </c>
      <c r="B1197" s="4" t="inlineStr">
        <is>
          <t>Tubo PVC SDR-26 1/2" x 19 pies</t>
        </is>
      </c>
      <c r="C1197" s="7" t="inlineStr">
        <is>
          <t>tubo</t>
        </is>
      </c>
      <c r="D1197" s="8" t="n"/>
      <c r="E1197" s="8" t="n"/>
      <c r="F1197" s="8" t="n">
        <v>135</v>
      </c>
      <c r="G1197" s="8" t="n"/>
      <c r="H1197" s="8" t="n"/>
      <c r="I1197" s="8" t="n"/>
      <c r="J1197" s="8" t="n"/>
      <c r="K1197" s="8" t="n">
        <v>96.51000000000001</v>
      </c>
      <c r="L1197" s="8" t="n"/>
      <c r="M1197" s="8">
        <f>IF(COUNT(D1197:L1197)=0,"",MIN(D1197:L1197))</f>
        <v/>
      </c>
      <c r="N1197" s="8">
        <f>IF(COUNT(D1197:L1197)=0,"",MEDIAN(D1197:L1197))</f>
        <v/>
      </c>
      <c r="O1197" s="8">
        <f>IF(COUNT(D1197:L1197)=0,"",MAX(D1197:L1197))</f>
        <v/>
      </c>
      <c r="P1197" s="9">
        <f>IF(OR(M1197="",M1197=0),"",(O1197-M1197)/M1197)</f>
        <v/>
      </c>
      <c r="Q1197" s="7">
        <f>IF(COUNT(D1197:L1197)=0,"",INDEX($D$1:$L$1,MATCH(MIN(D1197:L1197),D1197:L1197,0)))</f>
        <v/>
      </c>
      <c r="R1197" s="8" t="n">
        <v>124.44</v>
      </c>
      <c r="S1197" s="10" t="n">
        <v>2</v>
      </c>
    </row>
    <row r="1198">
      <c r="A1198" s="7" t="inlineStr">
        <is>
          <t>MAT-32-021</t>
        </is>
      </c>
      <c r="B1198" s="4" t="inlineStr">
        <is>
          <t>Tubo PVC SDR-26 1" x 19 pies</t>
        </is>
      </c>
      <c r="C1198" s="7" t="inlineStr">
        <is>
          <t>tubo</t>
        </is>
      </c>
      <c r="D1198" s="8" t="n"/>
      <c r="E1198" s="8" t="n"/>
      <c r="F1198" s="8" t="n">
        <v>305</v>
      </c>
      <c r="G1198" s="8" t="n"/>
      <c r="H1198" s="8" t="n"/>
      <c r="I1198" s="8" t="n"/>
      <c r="J1198" s="8" t="n"/>
      <c r="K1198" s="8" t="n">
        <v>249.2</v>
      </c>
      <c r="L1198" s="8" t="n"/>
      <c r="M1198" s="8">
        <f>IF(COUNT(D1198:L1198)=0,"",MIN(D1198:L1198))</f>
        <v/>
      </c>
      <c r="N1198" s="8">
        <f>IF(COUNT(D1198:L1198)=0,"",MEDIAN(D1198:L1198))</f>
        <v/>
      </c>
      <c r="O1198" s="8">
        <f>IF(COUNT(D1198:L1198)=0,"",MAX(D1198:L1198))</f>
        <v/>
      </c>
      <c r="P1198" s="9">
        <f>IF(OR(M1198="",M1198=0),"",(O1198-M1198)/M1198)</f>
        <v/>
      </c>
      <c r="Q1198" s="7">
        <f>IF(COUNT(D1198:L1198)=0,"",INDEX($D$1:$L$1,MATCH(MIN(D1198:L1198),D1198:L1198,0)))</f>
        <v/>
      </c>
      <c r="R1198" s="8" t="n">
        <v>299.53</v>
      </c>
      <c r="S1198" s="10" t="n">
        <v>2</v>
      </c>
    </row>
    <row r="1199">
      <c r="A1199" s="7" t="inlineStr">
        <is>
          <t>MAT-32-022</t>
        </is>
      </c>
      <c r="B1199" s="4" t="inlineStr">
        <is>
          <t>Tubo PVC SDR-26 2" x 19 pies</t>
        </is>
      </c>
      <c r="C1199" s="7" t="inlineStr">
        <is>
          <t>tubo</t>
        </is>
      </c>
      <c r="D1199" s="8" t="n"/>
      <c r="E1199" s="8" t="n"/>
      <c r="F1199" s="8" t="n"/>
      <c r="G1199" s="8" t="n"/>
      <c r="H1199" s="8" t="n"/>
      <c r="I1199" s="8" t="n"/>
      <c r="J1199" s="8" t="n"/>
      <c r="K1199" s="8" t="n">
        <v>774</v>
      </c>
      <c r="L1199" s="8" t="n"/>
      <c r="M1199" s="8">
        <f>IF(COUNT(D1199:L1199)=0,"",MIN(D1199:L1199))</f>
        <v/>
      </c>
      <c r="N1199" s="8">
        <f>IF(COUNT(D1199:L1199)=0,"",MEDIAN(D1199:L1199))</f>
        <v/>
      </c>
      <c r="O1199" s="8">
        <f>IF(COUNT(D1199:L1199)=0,"",MAX(D1199:L1199))</f>
        <v/>
      </c>
      <c r="P1199" s="9">
        <f>IF(OR(M1199="",M1199=0),"",(O1199-M1199)/M1199)</f>
        <v/>
      </c>
      <c r="Q1199" s="7">
        <f>IF(COUNT(D1199:L1199)=0,"",INDEX($D$1:$L$1,MATCH(MIN(D1199:L1199),D1199:L1199,0)))</f>
        <v/>
      </c>
      <c r="R1199" s="8" t="n">
        <v>913.3200000000001</v>
      </c>
      <c r="S1199" s="10" t="n">
        <v>1</v>
      </c>
    </row>
    <row r="1200">
      <c r="A1200" s="7" t="inlineStr">
        <is>
          <t>MAT-32-023</t>
        </is>
      </c>
      <c r="B1200" s="4" t="inlineStr">
        <is>
          <t>Tubo PVC SDR-26 3/4" x 19 pies</t>
        </is>
      </c>
      <c r="C1200" s="7" t="inlineStr">
        <is>
          <t>tubo</t>
        </is>
      </c>
      <c r="D1200" s="8" t="n"/>
      <c r="E1200" s="8" t="n"/>
      <c r="F1200" s="8" t="n">
        <v>175</v>
      </c>
      <c r="G1200" s="8" t="n"/>
      <c r="H1200" s="8" t="n"/>
      <c r="I1200" s="8" t="n"/>
      <c r="J1200" s="8" t="n">
        <v>90</v>
      </c>
      <c r="K1200" s="8" t="n">
        <v>153.5</v>
      </c>
      <c r="L1200" s="8" t="n"/>
      <c r="M1200" s="8">
        <f>IF(COUNT(D1200:L1200)=0,"",MIN(D1200:L1200))</f>
        <v/>
      </c>
      <c r="N1200" s="8">
        <f>IF(COUNT(D1200:L1200)=0,"",MEDIAN(D1200:L1200))</f>
        <v/>
      </c>
      <c r="O1200" s="8">
        <f>IF(COUNT(D1200:L1200)=0,"",MAX(D1200:L1200))</f>
        <v/>
      </c>
      <c r="P1200" s="9">
        <f>IF(OR(M1200="",M1200=0),"",(O1200-M1200)/M1200)</f>
        <v/>
      </c>
      <c r="Q1200" s="7">
        <f>IF(COUNT(D1200:L1200)=0,"",INDEX($D$1:$L$1,MATCH(MIN(D1200:L1200),D1200:L1200,0)))</f>
        <v/>
      </c>
      <c r="R1200" s="8" t="n">
        <v>175</v>
      </c>
      <c r="S1200" s="10" t="n">
        <v>3</v>
      </c>
    </row>
    <row r="1201">
      <c r="A1201" s="7" t="inlineStr">
        <is>
          <t>MAT-32-024</t>
        </is>
      </c>
      <c r="B1201" s="4" t="inlineStr">
        <is>
          <t>Tubo PVC SDR-26 3" x 19 pies</t>
        </is>
      </c>
      <c r="C1201" s="7" t="inlineStr">
        <is>
          <t>tubo</t>
        </is>
      </c>
      <c r="D1201" s="8" t="n"/>
      <c r="E1201" s="8" t="n"/>
      <c r="F1201" s="8" t="n">
        <v>2172</v>
      </c>
      <c r="G1201" s="8" t="n"/>
      <c r="H1201" s="8" t="n"/>
      <c r="I1201" s="8" t="n"/>
      <c r="J1201" s="8" t="n"/>
      <c r="K1201" s="8" t="n">
        <v>1693.3</v>
      </c>
      <c r="L1201" s="8" t="n"/>
      <c r="M1201" s="8">
        <f>IF(COUNT(D1201:L1201)=0,"",MIN(D1201:L1201))</f>
        <v/>
      </c>
      <c r="N1201" s="8">
        <f>IF(COUNT(D1201:L1201)=0,"",MEDIAN(D1201:L1201))</f>
        <v/>
      </c>
      <c r="O1201" s="8">
        <f>IF(COUNT(D1201:L1201)=0,"",MAX(D1201:L1201))</f>
        <v/>
      </c>
      <c r="P1201" s="9">
        <f>IF(OR(M1201="",M1201=0),"",(O1201-M1201)/M1201)</f>
        <v/>
      </c>
      <c r="Q1201" s="7">
        <f>IF(COUNT(D1201:L1201)=0,"",INDEX($D$1:$L$1,MATCH(MIN(D1201:L1201),D1201:L1201,0)))</f>
        <v/>
      </c>
      <c r="R1201" s="8" t="n">
        <v>2085.05</v>
      </c>
      <c r="S1201" s="10" t="n">
        <v>2</v>
      </c>
    </row>
    <row r="1202">
      <c r="A1202" s="7" t="inlineStr">
        <is>
          <t>MAT-32-025</t>
        </is>
      </c>
      <c r="B1202" s="4" t="inlineStr">
        <is>
          <t>Tubo PVC SDR-26 4" x 19 pies</t>
        </is>
      </c>
      <c r="C1202" s="7" t="inlineStr">
        <is>
          <t>tubo</t>
        </is>
      </c>
      <c r="D1202" s="8" t="n"/>
      <c r="E1202" s="8" t="n"/>
      <c r="F1202" s="8" t="n"/>
      <c r="G1202" s="8" t="n"/>
      <c r="H1202" s="8" t="n"/>
      <c r="I1202" s="8" t="n"/>
      <c r="J1202" s="8" t="n"/>
      <c r="K1202" s="8" t="n">
        <v>2781</v>
      </c>
      <c r="L1202" s="8" t="n"/>
      <c r="M1202" s="8">
        <f>IF(COUNT(D1202:L1202)=0,"",MIN(D1202:L1202))</f>
        <v/>
      </c>
      <c r="N1202" s="8">
        <f>IF(COUNT(D1202:L1202)=0,"",MEDIAN(D1202:L1202))</f>
        <v/>
      </c>
      <c r="O1202" s="8">
        <f>IF(COUNT(D1202:L1202)=0,"",MAX(D1202:L1202))</f>
        <v/>
      </c>
      <c r="P1202" s="9">
        <f>IF(OR(M1202="",M1202=0),"",(O1202-M1202)/M1202)</f>
        <v/>
      </c>
      <c r="Q1202" s="7">
        <f>IF(COUNT(D1202:L1202)=0,"",INDEX($D$1:$L$1,MATCH(MIN(D1202:L1202),D1202:L1202,0)))</f>
        <v/>
      </c>
      <c r="R1202" s="8" t="n">
        <v>3281.58</v>
      </c>
      <c r="S1202" s="10" t="n">
        <v>1</v>
      </c>
    </row>
    <row r="1203">
      <c r="A1203" s="7" t="inlineStr">
        <is>
          <t>MAT-32-026</t>
        </is>
      </c>
      <c r="B1203" s="4" t="inlineStr">
        <is>
          <t>Tubo PVC SDR-26 6" x 19 pies</t>
        </is>
      </c>
      <c r="C1203" s="7" t="inlineStr">
        <is>
          <t>tubo</t>
        </is>
      </c>
      <c r="D1203" s="8" t="n"/>
      <c r="E1203" s="8" t="n"/>
      <c r="F1203" s="8" t="n"/>
      <c r="G1203" s="8" t="n"/>
      <c r="H1203" s="8" t="n"/>
      <c r="I1203" s="8" t="n"/>
      <c r="J1203" s="8" t="n"/>
      <c r="K1203" s="8" t="n">
        <v>6031</v>
      </c>
      <c r="L1203" s="8" t="n"/>
      <c r="M1203" s="8">
        <f>IF(COUNT(D1203:L1203)=0,"",MIN(D1203:L1203))</f>
        <v/>
      </c>
      <c r="N1203" s="8">
        <f>IF(COUNT(D1203:L1203)=0,"",MEDIAN(D1203:L1203))</f>
        <v/>
      </c>
      <c r="O1203" s="8">
        <f>IF(COUNT(D1203:L1203)=0,"",MAX(D1203:L1203))</f>
        <v/>
      </c>
      <c r="P1203" s="9">
        <f>IF(OR(M1203="",M1203=0),"",(O1203-M1203)/M1203)</f>
        <v/>
      </c>
      <c r="Q1203" s="7">
        <f>IF(COUNT(D1203:L1203)=0,"",INDEX($D$1:$L$1,MATCH(MIN(D1203:L1203),D1203:L1203,0)))</f>
        <v/>
      </c>
      <c r="R1203" s="8" t="n">
        <v>7116.58</v>
      </c>
      <c r="S1203" s="10" t="n">
        <v>1</v>
      </c>
    </row>
    <row r="1204">
      <c r="A1204" s="7" t="inlineStr">
        <is>
          <t>MAT-32-027</t>
        </is>
      </c>
      <c r="B1204" s="4" t="inlineStr">
        <is>
          <t>Tubo PVC SDR-26 8" x 19 pies</t>
        </is>
      </c>
      <c r="C1204" s="7" t="inlineStr">
        <is>
          <t>tubo</t>
        </is>
      </c>
      <c r="D1204" s="8" t="n"/>
      <c r="E1204" s="8" t="n"/>
      <c r="F1204" s="8" t="n"/>
      <c r="G1204" s="8" t="n"/>
      <c r="H1204" s="8" t="n"/>
      <c r="I1204" s="8" t="n"/>
      <c r="J1204" s="8" t="n">
        <v>10360</v>
      </c>
      <c r="K1204" s="8" t="n">
        <v>10110.1</v>
      </c>
      <c r="L1204" s="8" t="n"/>
      <c r="M1204" s="8">
        <f>IF(COUNT(D1204:L1204)=0,"",MIN(D1204:L1204))</f>
        <v/>
      </c>
      <c r="N1204" s="8">
        <f>IF(COUNT(D1204:L1204)=0,"",MEDIAN(D1204:L1204))</f>
        <v/>
      </c>
      <c r="O1204" s="8">
        <f>IF(COUNT(D1204:L1204)=0,"",MAX(D1204:L1204))</f>
        <v/>
      </c>
      <c r="P1204" s="9">
        <f>IF(OR(M1204="",M1204=0),"",(O1204-M1204)/M1204)</f>
        <v/>
      </c>
      <c r="Q1204" s="7">
        <f>IF(COUNT(D1204:L1204)=0,"",INDEX($D$1:$L$1,MATCH(MIN(D1204:L1204),D1204:L1204,0)))</f>
        <v/>
      </c>
      <c r="R1204" s="8" t="n">
        <v>11144.96</v>
      </c>
      <c r="S1204" s="10" t="n">
        <v>2</v>
      </c>
    </row>
    <row r="1205">
      <c r="A1205" s="7" t="inlineStr">
        <is>
          <t>MAT-32-028</t>
        </is>
      </c>
      <c r="B1205" s="4" t="inlineStr">
        <is>
          <t>Tubo PVC SDR-41 1 1/2" x 19 pies</t>
        </is>
      </c>
      <c r="C1205" s="7" t="inlineStr">
        <is>
          <t>tubo</t>
        </is>
      </c>
      <c r="D1205" s="8" t="n"/>
      <c r="E1205" s="8" t="n"/>
      <c r="F1205" s="8" t="n">
        <v>453</v>
      </c>
      <c r="G1205" s="8" t="n"/>
      <c r="H1205" s="8" t="n"/>
      <c r="I1205" s="8" t="n"/>
      <c r="J1205" s="8" t="n"/>
      <c r="K1205" s="8" t="n">
        <v>337.8</v>
      </c>
      <c r="L1205" s="8" t="n"/>
      <c r="M1205" s="8">
        <f>IF(COUNT(D1205:L1205)=0,"",MIN(D1205:L1205))</f>
        <v/>
      </c>
      <c r="N1205" s="8">
        <f>IF(COUNT(D1205:L1205)=0,"",MEDIAN(D1205:L1205))</f>
        <v/>
      </c>
      <c r="O1205" s="8">
        <f>IF(COUNT(D1205:L1205)=0,"",MAX(D1205:L1205))</f>
        <v/>
      </c>
      <c r="P1205" s="9">
        <f>IF(OR(M1205="",M1205=0),"",(O1205-M1205)/M1205)</f>
        <v/>
      </c>
      <c r="Q1205" s="7">
        <f>IF(COUNT(D1205:L1205)=0,"",INDEX($D$1:$L$1,MATCH(MIN(D1205:L1205),D1205:L1205,0)))</f>
        <v/>
      </c>
      <c r="R1205" s="8" t="n">
        <v>425.8</v>
      </c>
      <c r="S1205" s="10" t="n">
        <v>2</v>
      </c>
    </row>
    <row r="1206">
      <c r="A1206" s="7" t="inlineStr">
        <is>
          <t>MAT-32-029</t>
        </is>
      </c>
      <c r="B1206" s="4" t="inlineStr">
        <is>
          <t>Tubo PVC SDR-41 2" x 19 pies</t>
        </is>
      </c>
      <c r="C1206" s="7" t="inlineStr">
        <is>
          <t>tubo</t>
        </is>
      </c>
      <c r="D1206" s="8" t="n"/>
      <c r="E1206" s="8" t="n"/>
      <c r="F1206" s="8" t="n"/>
      <c r="G1206" s="8" t="n"/>
      <c r="H1206" s="8" t="n"/>
      <c r="I1206" s="8" t="n"/>
      <c r="J1206" s="8" t="n"/>
      <c r="K1206" s="8" t="n">
        <v>496.9</v>
      </c>
      <c r="L1206" s="8" t="n"/>
      <c r="M1206" s="8">
        <f>IF(COUNT(D1206:L1206)=0,"",MIN(D1206:L1206))</f>
        <v/>
      </c>
      <c r="N1206" s="8">
        <f>IF(COUNT(D1206:L1206)=0,"",MEDIAN(D1206:L1206))</f>
        <v/>
      </c>
      <c r="O1206" s="8">
        <f>IF(COUNT(D1206:L1206)=0,"",MAX(D1206:L1206))</f>
        <v/>
      </c>
      <c r="P1206" s="9">
        <f>IF(OR(M1206="",M1206=0),"",(O1206-M1206)/M1206)</f>
        <v/>
      </c>
      <c r="Q1206" s="7">
        <f>IF(COUNT(D1206:L1206)=0,"",INDEX($D$1:$L$1,MATCH(MIN(D1206:L1206),D1206:L1206,0)))</f>
        <v/>
      </c>
      <c r="R1206" s="8" t="n">
        <v>586.34</v>
      </c>
      <c r="S1206" s="10" t="n">
        <v>1</v>
      </c>
    </row>
    <row r="1207">
      <c r="A1207" s="7" t="inlineStr">
        <is>
          <t>MAT-32-030</t>
        </is>
      </c>
      <c r="B1207" s="4" t="inlineStr">
        <is>
          <t>Tubo PVC SDR-41 3" x 19 pies</t>
        </is>
      </c>
      <c r="C1207" s="7" t="inlineStr">
        <is>
          <t>tubo</t>
        </is>
      </c>
      <c r="D1207" s="8" t="n"/>
      <c r="E1207" s="8" t="n"/>
      <c r="F1207" s="8" t="n">
        <v>1150</v>
      </c>
      <c r="G1207" s="8" t="n"/>
      <c r="H1207" s="8" t="n"/>
      <c r="I1207" s="8" t="n"/>
      <c r="J1207" s="8" t="n">
        <v>670</v>
      </c>
      <c r="K1207" s="8" t="n">
        <v>918.5</v>
      </c>
      <c r="L1207" s="8" t="n"/>
      <c r="M1207" s="8">
        <f>IF(COUNT(D1207:L1207)=0,"",MIN(D1207:L1207))</f>
        <v/>
      </c>
      <c r="N1207" s="8">
        <f>IF(COUNT(D1207:L1207)=0,"",MEDIAN(D1207:L1207))</f>
        <v/>
      </c>
      <c r="O1207" s="8">
        <f>IF(COUNT(D1207:L1207)=0,"",MAX(D1207:L1207))</f>
        <v/>
      </c>
      <c r="P1207" s="9">
        <f>IF(OR(M1207="",M1207=0),"",(O1207-M1207)/M1207)</f>
        <v/>
      </c>
      <c r="Q1207" s="7">
        <f>IF(COUNT(D1207:L1207)=0,"",INDEX($D$1:$L$1,MATCH(MIN(D1207:L1207),D1207:L1207,0)))</f>
        <v/>
      </c>
      <c r="R1207" s="8" t="n">
        <v>1083.83</v>
      </c>
      <c r="S1207" s="10" t="n">
        <v>3</v>
      </c>
    </row>
    <row r="1208">
      <c r="A1208" s="7" t="inlineStr">
        <is>
          <t>MAT-32-031</t>
        </is>
      </c>
      <c r="B1208" s="4" t="inlineStr">
        <is>
          <t>Tubo PVC SDR-41 4" x 19 pies</t>
        </is>
      </c>
      <c r="C1208" s="7" t="inlineStr">
        <is>
          <t>tubo</t>
        </is>
      </c>
      <c r="D1208" s="8" t="n"/>
      <c r="E1208" s="8" t="n"/>
      <c r="F1208" s="8" t="n"/>
      <c r="G1208" s="8" t="n"/>
      <c r="H1208" s="8" t="n"/>
      <c r="I1208" s="8" t="n"/>
      <c r="J1208" s="8" t="n"/>
      <c r="K1208" s="8" t="n">
        <v>1527</v>
      </c>
      <c r="L1208" s="8" t="n"/>
      <c r="M1208" s="8">
        <f>IF(COUNT(D1208:L1208)=0,"",MIN(D1208:L1208))</f>
        <v/>
      </c>
      <c r="N1208" s="8">
        <f>IF(COUNT(D1208:L1208)=0,"",MEDIAN(D1208:L1208))</f>
        <v/>
      </c>
      <c r="O1208" s="8">
        <f>IF(COUNT(D1208:L1208)=0,"",MAX(D1208:L1208))</f>
        <v/>
      </c>
      <c r="P1208" s="9">
        <f>IF(OR(M1208="",M1208=0),"",(O1208-M1208)/M1208)</f>
        <v/>
      </c>
      <c r="Q1208" s="7">
        <f>IF(COUNT(D1208:L1208)=0,"",INDEX($D$1:$L$1,MATCH(MIN(D1208:L1208),D1208:L1208,0)))</f>
        <v/>
      </c>
      <c r="R1208" s="8" t="n">
        <v>1801.86</v>
      </c>
      <c r="S1208" s="10" t="n">
        <v>1</v>
      </c>
    </row>
    <row r="1209">
      <c r="A1209" s="7" t="inlineStr">
        <is>
          <t>MAT-32-032</t>
        </is>
      </c>
      <c r="B1209" s="4" t="inlineStr">
        <is>
          <t>Tubo PVC SDR-41 6" x 19 pies</t>
        </is>
      </c>
      <c r="C1209" s="7" t="inlineStr">
        <is>
          <t>tubo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>
        <v>4322</v>
      </c>
      <c r="L1209" s="8" t="n"/>
      <c r="M1209" s="8">
        <f>IF(COUNT(D1209:L1209)=0,"",MIN(D1209:L1209))</f>
        <v/>
      </c>
      <c r="N1209" s="8">
        <f>IF(COUNT(D1209:L1209)=0,"",MEDIAN(D1209:L1209))</f>
        <v/>
      </c>
      <c r="O1209" s="8">
        <f>IF(COUNT(D1209:L1209)=0,"",MAX(D1209:L1209))</f>
        <v/>
      </c>
      <c r="P1209" s="9">
        <f>IF(OR(M1209="",M1209=0),"",(O1209-M1209)/M1209)</f>
        <v/>
      </c>
      <c r="Q1209" s="7">
        <f>IF(COUNT(D1209:L1209)=0,"",INDEX($D$1:$L$1,MATCH(MIN(D1209:L1209),D1209:L1209,0)))</f>
        <v/>
      </c>
      <c r="R1209" s="8" t="n">
        <v>5099.96</v>
      </c>
      <c r="S1209" s="10" t="n">
        <v>1</v>
      </c>
    </row>
    <row r="1210">
      <c r="A1210" s="7" t="inlineStr">
        <is>
          <t>MAT-32-033</t>
        </is>
      </c>
      <c r="B1210" s="4" t="inlineStr">
        <is>
          <t>Tubo PVC SDR-41 8" x 19 pies</t>
        </is>
      </c>
      <c r="C1210" s="7" t="inlineStr">
        <is>
          <t>tubo</t>
        </is>
      </c>
      <c r="D1210" s="8" t="n"/>
      <c r="E1210" s="8" t="n"/>
      <c r="F1210" s="8" t="n"/>
      <c r="G1210" s="8" t="n"/>
      <c r="H1210" s="8" t="n"/>
      <c r="I1210" s="8" t="n"/>
      <c r="J1210" s="8" t="n">
        <v>4819.99</v>
      </c>
      <c r="K1210" s="8" t="n">
        <v>6720.9</v>
      </c>
      <c r="L1210" s="8" t="n"/>
      <c r="M1210" s="8">
        <f>IF(COUNT(D1210:L1210)=0,"",MIN(D1210:L1210))</f>
        <v/>
      </c>
      <c r="N1210" s="8">
        <f>IF(COUNT(D1210:L1210)=0,"",MEDIAN(D1210:L1210))</f>
        <v/>
      </c>
      <c r="O1210" s="8">
        <f>IF(COUNT(D1210:L1210)=0,"",MAX(D1210:L1210))</f>
        <v/>
      </c>
      <c r="P1210" s="9">
        <f>IF(OR(M1210="",M1210=0),"",(O1210-M1210)/M1210)</f>
        <v/>
      </c>
      <c r="Q1210" s="7">
        <f>IF(COUNT(D1210:L1210)=0,"",INDEX($D$1:$L$1,MATCH(MIN(D1210:L1210),D1210:L1210,0)))</f>
        <v/>
      </c>
      <c r="R1210" s="8" t="n">
        <v>6375.33</v>
      </c>
      <c r="S1210" s="10" t="n">
        <v>2</v>
      </c>
    </row>
    <row r="1211">
      <c r="A1211" s="7" t="inlineStr">
        <is>
          <t>MAT-32-034</t>
        </is>
      </c>
      <c r="B1211" s="4" t="inlineStr">
        <is>
          <t>Abrazadera de manguera 1 1/2"</t>
        </is>
      </c>
      <c r="C1211" s="7" t="inlineStr">
        <is>
          <t>unidad</t>
        </is>
      </c>
      <c r="D1211" s="8" t="n"/>
      <c r="E1211" s="8" t="n"/>
      <c r="F1211" s="8" t="n">
        <v>39</v>
      </c>
      <c r="G1211" s="8" t="n"/>
      <c r="H1211" s="8" t="n"/>
      <c r="I1211" s="8" t="n"/>
      <c r="J1211" s="8" t="n"/>
      <c r="K1211" s="8" t="n"/>
      <c r="L1211" s="8" t="n"/>
      <c r="M1211" s="8">
        <f>IF(COUNT(D1211:L1211)=0,"",MIN(D1211:L1211))</f>
        <v/>
      </c>
      <c r="N1211" s="8">
        <f>IF(COUNT(D1211:L1211)=0,"",MEDIAN(D1211:L1211))</f>
        <v/>
      </c>
      <c r="O1211" s="8">
        <f>IF(COUNT(D1211:L1211)=0,"",MAX(D1211:L1211))</f>
        <v/>
      </c>
      <c r="P1211" s="9">
        <f>IF(OR(M1211="",M1211=0),"",(O1211-M1211)/M1211)</f>
        <v/>
      </c>
      <c r="Q1211" s="7">
        <f>IF(COUNT(D1211:L1211)=0,"",INDEX($D$1:$L$1,MATCH(MIN(D1211:L1211),D1211:L1211,0)))</f>
        <v/>
      </c>
      <c r="R1211" s="8" t="n">
        <v>53</v>
      </c>
      <c r="S1211" s="10" t="n">
        <v>1</v>
      </c>
    </row>
    <row r="1212">
      <c r="A1212" s="7" t="inlineStr">
        <is>
          <t>MAT-32-035</t>
        </is>
      </c>
      <c r="B1212" s="4" t="inlineStr">
        <is>
          <t>Abrazadera de manguera 1/2"</t>
        </is>
      </c>
      <c r="C1212" s="7" t="inlineStr">
        <is>
          <t>unidad</t>
        </is>
      </c>
      <c r="D1212" s="8" t="n"/>
      <c r="E1212" s="8" t="n"/>
      <c r="F1212" s="8" t="n">
        <v>53</v>
      </c>
      <c r="G1212" s="8" t="n"/>
      <c r="H1212" s="8" t="n"/>
      <c r="I1212" s="8" t="n"/>
      <c r="J1212" s="8" t="n"/>
      <c r="K1212" s="8" t="n"/>
      <c r="L1212" s="8" t="n"/>
      <c r="M1212" s="8">
        <f>IF(COUNT(D1212:L1212)=0,"",MIN(D1212:L1212))</f>
        <v/>
      </c>
      <c r="N1212" s="8">
        <f>IF(COUNT(D1212:L1212)=0,"",MEDIAN(D1212:L1212))</f>
        <v/>
      </c>
      <c r="O1212" s="8">
        <f>IF(COUNT(D1212:L1212)=0,"",MAX(D1212:L1212))</f>
        <v/>
      </c>
      <c r="P1212" s="9">
        <f>IF(OR(M1212="",M1212=0),"",(O1212-M1212)/M1212)</f>
        <v/>
      </c>
      <c r="Q1212" s="7">
        <f>IF(COUNT(D1212:L1212)=0,"",INDEX($D$1:$L$1,MATCH(MIN(D1212:L1212),D1212:L1212,0)))</f>
        <v/>
      </c>
      <c r="R1212" s="8" t="n">
        <v>53</v>
      </c>
      <c r="S1212" s="10" t="n">
        <v>1</v>
      </c>
    </row>
    <row r="1213">
      <c r="A1213" s="7" t="inlineStr">
        <is>
          <t>MAT-32-036</t>
        </is>
      </c>
      <c r="B1213" s="4" t="inlineStr">
        <is>
          <t>Abrazadera de manguera 1"</t>
        </is>
      </c>
      <c r="C1213" s="7" t="inlineStr">
        <is>
          <t>unidad</t>
        </is>
      </c>
      <c r="D1213" s="8" t="n"/>
      <c r="E1213" s="8" t="n"/>
      <c r="F1213" s="8" t="n">
        <v>56</v>
      </c>
      <c r="G1213" s="8" t="n"/>
      <c r="H1213" s="8" t="n"/>
      <c r="I1213" s="8" t="n"/>
      <c r="J1213" s="8" t="n"/>
      <c r="K1213" s="8" t="n"/>
      <c r="L1213" s="8" t="n"/>
      <c r="M1213" s="8">
        <f>IF(COUNT(D1213:L1213)=0,"",MIN(D1213:L1213))</f>
        <v/>
      </c>
      <c r="N1213" s="8">
        <f>IF(COUNT(D1213:L1213)=0,"",MEDIAN(D1213:L1213))</f>
        <v/>
      </c>
      <c r="O1213" s="8">
        <f>IF(COUNT(D1213:L1213)=0,"",MAX(D1213:L1213))</f>
        <v/>
      </c>
      <c r="P1213" s="9">
        <f>IF(OR(M1213="",M1213=0),"",(O1213-M1213)/M1213)</f>
        <v/>
      </c>
      <c r="Q1213" s="7">
        <f>IF(COUNT(D1213:L1213)=0,"",INDEX($D$1:$L$1,MATCH(MIN(D1213:L1213),D1213:L1213,0)))</f>
        <v/>
      </c>
      <c r="R1213" s="8" t="n">
        <v>56</v>
      </c>
      <c r="S1213" s="10" t="n">
        <v>1</v>
      </c>
    </row>
    <row r="1214">
      <c r="A1214" s="7" t="inlineStr">
        <is>
          <t>MAT-32-037</t>
        </is>
      </c>
      <c r="B1214" s="4" t="inlineStr">
        <is>
          <t>Abrazadera de manguera 2"</t>
        </is>
      </c>
      <c r="C1214" s="7" t="inlineStr">
        <is>
          <t>unidad</t>
        </is>
      </c>
      <c r="D1214" s="8" t="n"/>
      <c r="E1214" s="8" t="n"/>
      <c r="F1214" s="8" t="n">
        <v>68</v>
      </c>
      <c r="G1214" s="8" t="n"/>
      <c r="H1214" s="8" t="n"/>
      <c r="I1214" s="8" t="n"/>
      <c r="J1214" s="8" t="n"/>
      <c r="K1214" s="8" t="n"/>
      <c r="L1214" s="8" t="n"/>
      <c r="M1214" s="8">
        <f>IF(COUNT(D1214:L1214)=0,"",MIN(D1214:L1214))</f>
        <v/>
      </c>
      <c r="N1214" s="8">
        <f>IF(COUNT(D1214:L1214)=0,"",MEDIAN(D1214:L1214))</f>
        <v/>
      </c>
      <c r="O1214" s="8">
        <f>IF(COUNT(D1214:L1214)=0,"",MAX(D1214:L1214))</f>
        <v/>
      </c>
      <c r="P1214" s="9">
        <f>IF(OR(M1214="",M1214=0),"",(O1214-M1214)/M1214)</f>
        <v/>
      </c>
      <c r="Q1214" s="7">
        <f>IF(COUNT(D1214:L1214)=0,"",INDEX($D$1:$L$1,MATCH(MIN(D1214:L1214),D1214:L1214,0)))</f>
        <v/>
      </c>
      <c r="R1214" s="8" t="n">
        <v>68</v>
      </c>
      <c r="S1214" s="10" t="n">
        <v>1</v>
      </c>
    </row>
    <row r="1215">
      <c r="A1215" s="7" t="inlineStr">
        <is>
          <t>MAT-32-038</t>
        </is>
      </c>
      <c r="B1215" s="4" t="inlineStr">
        <is>
          <t>Abrazadera de manguera 3/4"</t>
        </is>
      </c>
      <c r="C1215" s="7" t="inlineStr">
        <is>
          <t>unidad</t>
        </is>
      </c>
      <c r="D1215" s="8" t="n"/>
      <c r="E1215" s="8" t="n"/>
      <c r="F1215" s="8" t="n">
        <v>65</v>
      </c>
      <c r="G1215" s="8" t="n"/>
      <c r="H1215" s="8" t="n"/>
      <c r="I1215" s="8" t="n"/>
      <c r="J1215" s="8" t="n"/>
      <c r="K1215" s="8" t="n"/>
      <c r="L1215" s="8" t="n"/>
      <c r="M1215" s="8">
        <f>IF(COUNT(D1215:L1215)=0,"",MIN(D1215:L1215))</f>
        <v/>
      </c>
      <c r="N1215" s="8">
        <f>IF(COUNT(D1215:L1215)=0,"",MEDIAN(D1215:L1215))</f>
        <v/>
      </c>
      <c r="O1215" s="8">
        <f>IF(COUNT(D1215:L1215)=0,"",MAX(D1215:L1215))</f>
        <v/>
      </c>
      <c r="P1215" s="9">
        <f>IF(OR(M1215="",M1215=0),"",(O1215-M1215)/M1215)</f>
        <v/>
      </c>
      <c r="Q1215" s="7">
        <f>IF(COUNT(D1215:L1215)=0,"",INDEX($D$1:$L$1,MATCH(MIN(D1215:L1215),D1215:L1215,0)))</f>
        <v/>
      </c>
      <c r="R1215" s="8" t="n">
        <v>65</v>
      </c>
      <c r="S1215" s="10" t="n">
        <v>1</v>
      </c>
    </row>
    <row r="1216">
      <c r="A1216" s="7" t="inlineStr">
        <is>
          <t>MAT-32-039</t>
        </is>
      </c>
      <c r="B1216" s="4" t="inlineStr">
        <is>
          <t>Adaptador hembra de PPR 20 mm</t>
        </is>
      </c>
      <c r="C1216" s="7" t="inlineStr">
        <is>
          <t>unidad</t>
        </is>
      </c>
      <c r="D1216" s="8" t="n"/>
      <c r="E1216" s="8" t="n"/>
      <c r="F1216" s="8" t="n">
        <v>172</v>
      </c>
      <c r="G1216" s="8" t="n"/>
      <c r="H1216" s="8" t="n"/>
      <c r="I1216" s="8" t="n"/>
      <c r="J1216" s="8" t="n"/>
      <c r="K1216" s="8" t="n"/>
      <c r="L1216" s="8" t="n"/>
      <c r="M1216" s="8">
        <f>IF(COUNT(D1216:L1216)=0,"",MIN(D1216:L1216))</f>
        <v/>
      </c>
      <c r="N1216" s="8">
        <f>IF(COUNT(D1216:L1216)=0,"",MEDIAN(D1216:L1216))</f>
        <v/>
      </c>
      <c r="O1216" s="8">
        <f>IF(COUNT(D1216:L1216)=0,"",MAX(D1216:L1216))</f>
        <v/>
      </c>
      <c r="P1216" s="9">
        <f>IF(OR(M1216="",M1216=0),"",(O1216-M1216)/M1216)</f>
        <v/>
      </c>
      <c r="Q1216" s="7">
        <f>IF(COUNT(D1216:L1216)=0,"",INDEX($D$1:$L$1,MATCH(MIN(D1216:L1216),D1216:L1216,0)))</f>
        <v/>
      </c>
      <c r="R1216" s="8" t="n">
        <v>172</v>
      </c>
      <c r="S1216" s="10" t="n">
        <v>1</v>
      </c>
    </row>
    <row r="1217">
      <c r="A1217" s="7" t="inlineStr">
        <is>
          <t>MAT-32-040</t>
        </is>
      </c>
      <c r="B1217" s="4" t="inlineStr">
        <is>
          <t>Adaptador hembra de PVC 1 1/2"</t>
        </is>
      </c>
      <c r="C1217" s="7" t="inlineStr">
        <is>
          <t>unidad</t>
        </is>
      </c>
      <c r="D1217" s="8" t="n"/>
      <c r="E1217" s="8" t="n"/>
      <c r="F1217" s="8" t="n">
        <v>75</v>
      </c>
      <c r="G1217" s="8" t="n"/>
      <c r="H1217" s="8" t="n"/>
      <c r="I1217" s="8" t="n"/>
      <c r="J1217" s="8" t="n"/>
      <c r="K1217" s="8" t="n"/>
      <c r="L1217" s="8" t="n"/>
      <c r="M1217" s="8">
        <f>IF(COUNT(D1217:L1217)=0,"",MIN(D1217:L1217))</f>
        <v/>
      </c>
      <c r="N1217" s="8">
        <f>IF(COUNT(D1217:L1217)=0,"",MEDIAN(D1217:L1217))</f>
        <v/>
      </c>
      <c r="O1217" s="8">
        <f>IF(COUNT(D1217:L1217)=0,"",MAX(D1217:L1217))</f>
        <v/>
      </c>
      <c r="P1217" s="9">
        <f>IF(OR(M1217="",M1217=0),"",(O1217-M1217)/M1217)</f>
        <v/>
      </c>
      <c r="Q1217" s="7">
        <f>IF(COUNT(D1217:L1217)=0,"",INDEX($D$1:$L$1,MATCH(MIN(D1217:L1217),D1217:L1217,0)))</f>
        <v/>
      </c>
      <c r="R1217" s="8" t="n">
        <v>75</v>
      </c>
      <c r="S1217" s="10" t="n">
        <v>1</v>
      </c>
    </row>
    <row r="1218">
      <c r="A1218" s="7" t="inlineStr">
        <is>
          <t>MAT-32-041</t>
        </is>
      </c>
      <c r="B1218" s="4" t="inlineStr">
        <is>
          <t>Adaptador hembra de PVC 1/2"</t>
        </is>
      </c>
      <c r="C1218" s="7" t="inlineStr">
        <is>
          <t>unidad</t>
        </is>
      </c>
      <c r="D1218" s="8" t="n"/>
      <c r="E1218" s="8" t="n"/>
      <c r="F1218" s="8" t="n">
        <v>20</v>
      </c>
      <c r="G1218" s="8" t="n"/>
      <c r="H1218" s="8" t="n"/>
      <c r="I1218" s="8" t="n"/>
      <c r="J1218" s="8" t="n"/>
      <c r="K1218" s="8" t="n"/>
      <c r="L1218" s="8" t="n"/>
      <c r="M1218" s="8">
        <f>IF(COUNT(D1218:L1218)=0,"",MIN(D1218:L1218))</f>
        <v/>
      </c>
      <c r="N1218" s="8">
        <f>IF(COUNT(D1218:L1218)=0,"",MEDIAN(D1218:L1218))</f>
        <v/>
      </c>
      <c r="O1218" s="8">
        <f>IF(COUNT(D1218:L1218)=0,"",MAX(D1218:L1218))</f>
        <v/>
      </c>
      <c r="P1218" s="9">
        <f>IF(OR(M1218="",M1218=0),"",(O1218-M1218)/M1218)</f>
        <v/>
      </c>
      <c r="Q1218" s="7">
        <f>IF(COUNT(D1218:L1218)=0,"",INDEX($D$1:$L$1,MATCH(MIN(D1218:L1218),D1218:L1218,0)))</f>
        <v/>
      </c>
      <c r="R1218" s="8" t="n">
        <v>20</v>
      </c>
      <c r="S1218" s="10" t="n">
        <v>1</v>
      </c>
    </row>
    <row r="1219">
      <c r="A1219" s="7" t="inlineStr">
        <is>
          <t>MAT-32-042</t>
        </is>
      </c>
      <c r="B1219" s="4" t="inlineStr">
        <is>
          <t>Adaptador hembra de PVC 1"</t>
        </is>
      </c>
      <c r="C1219" s="7" t="inlineStr">
        <is>
          <t>unidad</t>
        </is>
      </c>
      <c r="D1219" s="8" t="n"/>
      <c r="E1219" s="8" t="n"/>
      <c r="F1219" s="8" t="n">
        <v>45</v>
      </c>
      <c r="G1219" s="8" t="n"/>
      <c r="H1219" s="8" t="n"/>
      <c r="I1219" s="8" t="n"/>
      <c r="J1219" s="8" t="n"/>
      <c r="K1219" s="8" t="n"/>
      <c r="L1219" s="8" t="n"/>
      <c r="M1219" s="8">
        <f>IF(COUNT(D1219:L1219)=0,"",MIN(D1219:L1219))</f>
        <v/>
      </c>
      <c r="N1219" s="8">
        <f>IF(COUNT(D1219:L1219)=0,"",MEDIAN(D1219:L1219))</f>
        <v/>
      </c>
      <c r="O1219" s="8">
        <f>IF(COUNT(D1219:L1219)=0,"",MAX(D1219:L1219))</f>
        <v/>
      </c>
      <c r="P1219" s="9">
        <f>IF(OR(M1219="",M1219=0),"",(O1219-M1219)/M1219)</f>
        <v/>
      </c>
      <c r="Q1219" s="7">
        <f>IF(COUNT(D1219:L1219)=0,"",INDEX($D$1:$L$1,MATCH(MIN(D1219:L1219),D1219:L1219,0)))</f>
        <v/>
      </c>
      <c r="R1219" s="8" t="n">
        <v>45</v>
      </c>
      <c r="S1219" s="10" t="n">
        <v>1</v>
      </c>
    </row>
    <row r="1220">
      <c r="A1220" s="7" t="inlineStr">
        <is>
          <t>MAT-32-043</t>
        </is>
      </c>
      <c r="B1220" s="4" t="inlineStr">
        <is>
          <t>Adaptador hembra de PVC 2"</t>
        </is>
      </c>
      <c r="C1220" s="7" t="inlineStr">
        <is>
          <t>unidad</t>
        </is>
      </c>
      <c r="D1220" s="8" t="n"/>
      <c r="E1220" s="8" t="n"/>
      <c r="F1220" s="8" t="n">
        <v>130</v>
      </c>
      <c r="G1220" s="8" t="n"/>
      <c r="H1220" s="8" t="n"/>
      <c r="I1220" s="8" t="n"/>
      <c r="J1220" s="8" t="n"/>
      <c r="K1220" s="8" t="n"/>
      <c r="L1220" s="8" t="n"/>
      <c r="M1220" s="8">
        <f>IF(COUNT(D1220:L1220)=0,"",MIN(D1220:L1220))</f>
        <v/>
      </c>
      <c r="N1220" s="8">
        <f>IF(COUNT(D1220:L1220)=0,"",MEDIAN(D1220:L1220))</f>
        <v/>
      </c>
      <c r="O1220" s="8">
        <f>IF(COUNT(D1220:L1220)=0,"",MAX(D1220:L1220))</f>
        <v/>
      </c>
      <c r="P1220" s="9">
        <f>IF(OR(M1220="",M1220=0),"",(O1220-M1220)/M1220)</f>
        <v/>
      </c>
      <c r="Q1220" s="7">
        <f>IF(COUNT(D1220:L1220)=0,"",INDEX($D$1:$L$1,MATCH(MIN(D1220:L1220),D1220:L1220,0)))</f>
        <v/>
      </c>
      <c r="R1220" s="8" t="n">
        <v>130</v>
      </c>
      <c r="S1220" s="10" t="n">
        <v>1</v>
      </c>
    </row>
    <row r="1221">
      <c r="A1221" s="7" t="inlineStr">
        <is>
          <t>MAT-32-044</t>
        </is>
      </c>
      <c r="B1221" s="4" t="inlineStr">
        <is>
          <t>Adaptador hembra de PVC 3/4"</t>
        </is>
      </c>
      <c r="C1221" s="7" t="inlineStr">
        <is>
          <t>unidad</t>
        </is>
      </c>
      <c r="D1221" s="8" t="n"/>
      <c r="E1221" s="8" t="n"/>
      <c r="F1221" s="8" t="n">
        <v>26</v>
      </c>
      <c r="G1221" s="8" t="n"/>
      <c r="H1221" s="8" t="n"/>
      <c r="I1221" s="8" t="n"/>
      <c r="J1221" s="8" t="n"/>
      <c r="K1221" s="8" t="n"/>
      <c r="L1221" s="8" t="n"/>
      <c r="M1221" s="8">
        <f>IF(COUNT(D1221:L1221)=0,"",MIN(D1221:L1221))</f>
        <v/>
      </c>
      <c r="N1221" s="8">
        <f>IF(COUNT(D1221:L1221)=0,"",MEDIAN(D1221:L1221))</f>
        <v/>
      </c>
      <c r="O1221" s="8">
        <f>IF(COUNT(D1221:L1221)=0,"",MAX(D1221:L1221))</f>
        <v/>
      </c>
      <c r="P1221" s="9">
        <f>IF(OR(M1221="",M1221=0),"",(O1221-M1221)/M1221)</f>
        <v/>
      </c>
      <c r="Q1221" s="7">
        <f>IF(COUNT(D1221:L1221)=0,"",INDEX($D$1:$L$1,MATCH(MIN(D1221:L1221),D1221:L1221,0)))</f>
        <v/>
      </c>
      <c r="R1221" s="8" t="n">
        <v>26</v>
      </c>
      <c r="S1221" s="10" t="n">
        <v>1</v>
      </c>
    </row>
    <row r="1222">
      <c r="A1222" s="7" t="inlineStr">
        <is>
          <t>MAT-32-045</t>
        </is>
      </c>
      <c r="B1222" s="4" t="inlineStr">
        <is>
          <t>Adaptador hembra de PVC 3"</t>
        </is>
      </c>
      <c r="C1222" s="7" t="inlineStr">
        <is>
          <t>unidad</t>
        </is>
      </c>
      <c r="D1222" s="8" t="n"/>
      <c r="E1222" s="8" t="n"/>
      <c r="F1222" s="8" t="n">
        <v>177</v>
      </c>
      <c r="G1222" s="8" t="n"/>
      <c r="H1222" s="8" t="n"/>
      <c r="I1222" s="8" t="n"/>
      <c r="J1222" s="8" t="n"/>
      <c r="K1222" s="8" t="n"/>
      <c r="L1222" s="8" t="n"/>
      <c r="M1222" s="8">
        <f>IF(COUNT(D1222:L1222)=0,"",MIN(D1222:L1222))</f>
        <v/>
      </c>
      <c r="N1222" s="8">
        <f>IF(COUNT(D1222:L1222)=0,"",MEDIAN(D1222:L1222))</f>
        <v/>
      </c>
      <c r="O1222" s="8">
        <f>IF(COUNT(D1222:L1222)=0,"",MAX(D1222:L1222))</f>
        <v/>
      </c>
      <c r="P1222" s="9">
        <f>IF(OR(M1222="",M1222=0),"",(O1222-M1222)/M1222)</f>
        <v/>
      </c>
      <c r="Q1222" s="7">
        <f>IF(COUNT(D1222:L1222)=0,"",INDEX($D$1:$L$1,MATCH(MIN(D1222:L1222),D1222:L1222,0)))</f>
        <v/>
      </c>
      <c r="R1222" s="8" t="n">
        <v>177</v>
      </c>
      <c r="S1222" s="10" t="n">
        <v>1</v>
      </c>
    </row>
    <row r="1223">
      <c r="A1223" s="7" t="inlineStr">
        <is>
          <t>MAT-32-046</t>
        </is>
      </c>
      <c r="B1223" s="4" t="inlineStr">
        <is>
          <t>Adaptador hembra de PVC 4"</t>
        </is>
      </c>
      <c r="C1223" s="7" t="inlineStr">
        <is>
          <t>unidad</t>
        </is>
      </c>
      <c r="D1223" s="8" t="n"/>
      <c r="E1223" s="8" t="n"/>
      <c r="F1223" s="8" t="n">
        <v>172</v>
      </c>
      <c r="G1223" s="8" t="n"/>
      <c r="H1223" s="8" t="n"/>
      <c r="I1223" s="8" t="n"/>
      <c r="J1223" s="8" t="n"/>
      <c r="K1223" s="8" t="n"/>
      <c r="L1223" s="8" t="n"/>
      <c r="M1223" s="8">
        <f>IF(COUNT(D1223:L1223)=0,"",MIN(D1223:L1223))</f>
        <v/>
      </c>
      <c r="N1223" s="8">
        <f>IF(COUNT(D1223:L1223)=0,"",MEDIAN(D1223:L1223))</f>
        <v/>
      </c>
      <c r="O1223" s="8">
        <f>IF(COUNT(D1223:L1223)=0,"",MAX(D1223:L1223))</f>
        <v/>
      </c>
      <c r="P1223" s="9">
        <f>IF(OR(M1223="",M1223=0),"",(O1223-M1223)/M1223)</f>
        <v/>
      </c>
      <c r="Q1223" s="7">
        <f>IF(COUNT(D1223:L1223)=0,"",INDEX($D$1:$L$1,MATCH(MIN(D1223:L1223),D1223:L1223,0)))</f>
        <v/>
      </c>
      <c r="R1223" s="8" t="n">
        <v>172</v>
      </c>
      <c r="S1223" s="10" t="n">
        <v>1</v>
      </c>
    </row>
    <row r="1224">
      <c r="A1224" s="7" t="inlineStr">
        <is>
          <t>MAT-32-047</t>
        </is>
      </c>
      <c r="B1224" s="4" t="inlineStr">
        <is>
          <t>Adaptador macho de PPR 20 mm</t>
        </is>
      </c>
      <c r="C1224" s="7" t="inlineStr">
        <is>
          <t>unidad</t>
        </is>
      </c>
      <c r="D1224" s="8" t="n"/>
      <c r="E1224" s="8" t="n"/>
      <c r="F1224" s="8" t="n">
        <v>188</v>
      </c>
      <c r="G1224" s="8" t="n"/>
      <c r="H1224" s="8" t="n"/>
      <c r="I1224" s="8" t="n"/>
      <c r="J1224" s="8" t="n"/>
      <c r="K1224" s="8" t="n"/>
      <c r="L1224" s="8" t="n"/>
      <c r="M1224" s="8">
        <f>IF(COUNT(D1224:L1224)=0,"",MIN(D1224:L1224))</f>
        <v/>
      </c>
      <c r="N1224" s="8">
        <f>IF(COUNT(D1224:L1224)=0,"",MEDIAN(D1224:L1224))</f>
        <v/>
      </c>
      <c r="O1224" s="8">
        <f>IF(COUNT(D1224:L1224)=0,"",MAX(D1224:L1224))</f>
        <v/>
      </c>
      <c r="P1224" s="9">
        <f>IF(OR(M1224="",M1224=0),"",(O1224-M1224)/M1224)</f>
        <v/>
      </c>
      <c r="Q1224" s="7">
        <f>IF(COUNT(D1224:L1224)=0,"",INDEX($D$1:$L$1,MATCH(MIN(D1224:L1224),D1224:L1224,0)))</f>
        <v/>
      </c>
      <c r="R1224" s="8" t="n">
        <v>196.5</v>
      </c>
      <c r="S1224" s="10" t="n">
        <v>1</v>
      </c>
    </row>
    <row r="1225">
      <c r="A1225" s="7" t="inlineStr">
        <is>
          <t>MAT-32-048</t>
        </is>
      </c>
      <c r="B1225" s="4" t="inlineStr">
        <is>
          <t>Adaptador macho de PPR 25 mm</t>
        </is>
      </c>
      <c r="C1225" s="7" t="inlineStr">
        <is>
          <t>unidad</t>
        </is>
      </c>
      <c r="D1225" s="8" t="n"/>
      <c r="E1225" s="8" t="n"/>
      <c r="F1225" s="8" t="n">
        <v>253</v>
      </c>
      <c r="G1225" s="8" t="n"/>
      <c r="H1225" s="8" t="n"/>
      <c r="I1225" s="8" t="n"/>
      <c r="J1225" s="8" t="n"/>
      <c r="K1225" s="8" t="n"/>
      <c r="L1225" s="8" t="n"/>
      <c r="M1225" s="8">
        <f>IF(COUNT(D1225:L1225)=0,"",MIN(D1225:L1225))</f>
        <v/>
      </c>
      <c r="N1225" s="8">
        <f>IF(COUNT(D1225:L1225)=0,"",MEDIAN(D1225:L1225))</f>
        <v/>
      </c>
      <c r="O1225" s="8">
        <f>IF(COUNT(D1225:L1225)=0,"",MAX(D1225:L1225))</f>
        <v/>
      </c>
      <c r="P1225" s="9">
        <f>IF(OR(M1225="",M1225=0),"",(O1225-M1225)/M1225)</f>
        <v/>
      </c>
      <c r="Q1225" s="7">
        <f>IF(COUNT(D1225:L1225)=0,"",INDEX($D$1:$L$1,MATCH(MIN(D1225:L1225),D1225:L1225,0)))</f>
        <v/>
      </c>
      <c r="R1225" s="8" t="n">
        <v>253</v>
      </c>
      <c r="S1225" s="10" t="n">
        <v>1</v>
      </c>
    </row>
    <row r="1226">
      <c r="A1226" s="7" t="inlineStr">
        <is>
          <t>MAT-32-049</t>
        </is>
      </c>
      <c r="B1226" s="4" t="inlineStr">
        <is>
          <t>Adaptador macho de PVC 1 1/2"</t>
        </is>
      </c>
      <c r="C1226" s="7" t="inlineStr">
        <is>
          <t>unidad</t>
        </is>
      </c>
      <c r="D1226" s="8" t="n"/>
      <c r="E1226" s="8" t="n"/>
      <c r="F1226" s="8" t="n">
        <v>95</v>
      </c>
      <c r="G1226" s="8" t="n"/>
      <c r="H1226" s="8" t="n"/>
      <c r="I1226" s="8" t="n"/>
      <c r="J1226" s="8" t="n"/>
      <c r="K1226" s="8" t="n"/>
      <c r="L1226" s="8" t="n"/>
      <c r="M1226" s="8">
        <f>IF(COUNT(D1226:L1226)=0,"",MIN(D1226:L1226))</f>
        <v/>
      </c>
      <c r="N1226" s="8">
        <f>IF(COUNT(D1226:L1226)=0,"",MEDIAN(D1226:L1226))</f>
        <v/>
      </c>
      <c r="O1226" s="8">
        <f>IF(COUNT(D1226:L1226)=0,"",MAX(D1226:L1226))</f>
        <v/>
      </c>
      <c r="P1226" s="9">
        <f>IF(OR(M1226="",M1226=0),"",(O1226-M1226)/M1226)</f>
        <v/>
      </c>
      <c r="Q1226" s="7">
        <f>IF(COUNT(D1226:L1226)=0,"",INDEX($D$1:$L$1,MATCH(MIN(D1226:L1226),D1226:L1226,0)))</f>
        <v/>
      </c>
      <c r="R1226" s="8" t="n">
        <v>95</v>
      </c>
      <c r="S1226" s="10" t="n">
        <v>1</v>
      </c>
    </row>
    <row r="1227">
      <c r="A1227" s="7" t="inlineStr">
        <is>
          <t>MAT-32-050</t>
        </is>
      </c>
      <c r="B1227" s="4" t="inlineStr">
        <is>
          <t>Adaptador macho de PVC 1/2"</t>
        </is>
      </c>
      <c r="C1227" s="7" t="inlineStr">
        <is>
          <t>unidad</t>
        </is>
      </c>
      <c r="D1227" s="8" t="n"/>
      <c r="E1227" s="8" t="n"/>
      <c r="F1227" s="8" t="n">
        <v>26</v>
      </c>
      <c r="G1227" s="8" t="n"/>
      <c r="H1227" s="8" t="n"/>
      <c r="I1227" s="8" t="n"/>
      <c r="J1227" s="8" t="n"/>
      <c r="K1227" s="8" t="n"/>
      <c r="L1227" s="8" t="n"/>
      <c r="M1227" s="8">
        <f>IF(COUNT(D1227:L1227)=0,"",MIN(D1227:L1227))</f>
        <v/>
      </c>
      <c r="N1227" s="8">
        <f>IF(COUNT(D1227:L1227)=0,"",MEDIAN(D1227:L1227))</f>
        <v/>
      </c>
      <c r="O1227" s="8">
        <f>IF(COUNT(D1227:L1227)=0,"",MAX(D1227:L1227))</f>
        <v/>
      </c>
      <c r="P1227" s="9">
        <f>IF(OR(M1227="",M1227=0),"",(O1227-M1227)/M1227)</f>
        <v/>
      </c>
      <c r="Q1227" s="7">
        <f>IF(COUNT(D1227:L1227)=0,"",INDEX($D$1:$L$1,MATCH(MIN(D1227:L1227),D1227:L1227,0)))</f>
        <v/>
      </c>
      <c r="R1227" s="8" t="n">
        <v>26</v>
      </c>
      <c r="S1227" s="10" t="n">
        <v>1</v>
      </c>
    </row>
    <row r="1228">
      <c r="A1228" s="7" t="inlineStr">
        <is>
          <t>MAT-32-051</t>
        </is>
      </c>
      <c r="B1228" s="4" t="inlineStr">
        <is>
          <t>Adaptador macho de PVC 1"</t>
        </is>
      </c>
      <c r="C1228" s="7" t="inlineStr">
        <is>
          <t>unidad</t>
        </is>
      </c>
      <c r="D1228" s="8" t="n"/>
      <c r="E1228" s="8" t="n"/>
      <c r="F1228" s="8" t="n">
        <v>40</v>
      </c>
      <c r="G1228" s="8" t="n"/>
      <c r="H1228" s="8" t="n"/>
      <c r="I1228" s="8" t="n"/>
      <c r="J1228" s="8" t="n"/>
      <c r="K1228" s="8" t="n"/>
      <c r="L1228" s="8" t="n"/>
      <c r="M1228" s="8">
        <f>IF(COUNT(D1228:L1228)=0,"",MIN(D1228:L1228))</f>
        <v/>
      </c>
      <c r="N1228" s="8">
        <f>IF(COUNT(D1228:L1228)=0,"",MEDIAN(D1228:L1228))</f>
        <v/>
      </c>
      <c r="O1228" s="8">
        <f>IF(COUNT(D1228:L1228)=0,"",MAX(D1228:L1228))</f>
        <v/>
      </c>
      <c r="P1228" s="9">
        <f>IF(OR(M1228="",M1228=0),"",(O1228-M1228)/M1228)</f>
        <v/>
      </c>
      <c r="Q1228" s="7">
        <f>IF(COUNT(D1228:L1228)=0,"",INDEX($D$1:$L$1,MATCH(MIN(D1228:L1228),D1228:L1228,0)))</f>
        <v/>
      </c>
      <c r="R1228" s="8" t="n">
        <v>40</v>
      </c>
      <c r="S1228" s="10" t="n">
        <v>1</v>
      </c>
    </row>
    <row r="1229">
      <c r="A1229" s="7" t="inlineStr">
        <is>
          <t>MAT-32-052</t>
        </is>
      </c>
      <c r="B1229" s="4" t="inlineStr">
        <is>
          <t>Adaptador macho de PVC 2"</t>
        </is>
      </c>
      <c r="C1229" s="7" t="inlineStr">
        <is>
          <t>unidad</t>
        </is>
      </c>
      <c r="D1229" s="8" t="n"/>
      <c r="E1229" s="8" t="n"/>
      <c r="F1229" s="8" t="n">
        <v>105</v>
      </c>
      <c r="G1229" s="8" t="n"/>
      <c r="H1229" s="8" t="n"/>
      <c r="I1229" s="8" t="n"/>
      <c r="J1229" s="8" t="n"/>
      <c r="K1229" s="8" t="n"/>
      <c r="L1229" s="8" t="n"/>
      <c r="M1229" s="8">
        <f>IF(COUNT(D1229:L1229)=0,"",MIN(D1229:L1229))</f>
        <v/>
      </c>
      <c r="N1229" s="8">
        <f>IF(COUNT(D1229:L1229)=0,"",MEDIAN(D1229:L1229))</f>
        <v/>
      </c>
      <c r="O1229" s="8">
        <f>IF(COUNT(D1229:L1229)=0,"",MAX(D1229:L1229))</f>
        <v/>
      </c>
      <c r="P1229" s="9">
        <f>IF(OR(M1229="",M1229=0),"",(O1229-M1229)/M1229)</f>
        <v/>
      </c>
      <c r="Q1229" s="7">
        <f>IF(COUNT(D1229:L1229)=0,"",INDEX($D$1:$L$1,MATCH(MIN(D1229:L1229),D1229:L1229,0)))</f>
        <v/>
      </c>
      <c r="R1229" s="8" t="n">
        <v>105</v>
      </c>
      <c r="S1229" s="10" t="n">
        <v>1</v>
      </c>
    </row>
    <row r="1230">
      <c r="A1230" s="7" t="inlineStr">
        <is>
          <t>MAT-32-053</t>
        </is>
      </c>
      <c r="B1230" s="4" t="inlineStr">
        <is>
          <t>Adaptador macho de PVC 3/4"</t>
        </is>
      </c>
      <c r="C1230" s="7" t="inlineStr">
        <is>
          <t>unidad</t>
        </is>
      </c>
      <c r="D1230" s="8" t="n"/>
      <c r="E1230" s="8" t="n"/>
      <c r="F1230" s="8" t="n">
        <v>26</v>
      </c>
      <c r="G1230" s="8" t="n"/>
      <c r="H1230" s="8" t="n"/>
      <c r="I1230" s="8" t="n"/>
      <c r="J1230" s="8" t="n"/>
      <c r="K1230" s="8" t="n"/>
      <c r="L1230" s="8" t="n"/>
      <c r="M1230" s="8">
        <f>IF(COUNT(D1230:L1230)=0,"",MIN(D1230:L1230))</f>
        <v/>
      </c>
      <c r="N1230" s="8">
        <f>IF(COUNT(D1230:L1230)=0,"",MEDIAN(D1230:L1230))</f>
        <v/>
      </c>
      <c r="O1230" s="8">
        <f>IF(COUNT(D1230:L1230)=0,"",MAX(D1230:L1230))</f>
        <v/>
      </c>
      <c r="P1230" s="9">
        <f>IF(OR(M1230="",M1230=0),"",(O1230-M1230)/M1230)</f>
        <v/>
      </c>
      <c r="Q1230" s="7">
        <f>IF(COUNT(D1230:L1230)=0,"",INDEX($D$1:$L$1,MATCH(MIN(D1230:L1230),D1230:L1230,0)))</f>
        <v/>
      </c>
      <c r="R1230" s="8" t="n">
        <v>26</v>
      </c>
      <c r="S1230" s="10" t="n">
        <v>1</v>
      </c>
    </row>
    <row r="1231">
      <c r="A1231" s="7" t="inlineStr">
        <is>
          <t>MAT-32-054</t>
        </is>
      </c>
      <c r="B1231" s="4" t="inlineStr">
        <is>
          <t>Adaptador macho de PVC 3"</t>
        </is>
      </c>
      <c r="C1231" s="7" t="inlineStr">
        <is>
          <t>unidad</t>
        </is>
      </c>
      <c r="D1231" s="8" t="n"/>
      <c r="E1231" s="8" t="n"/>
      <c r="F1231" s="8" t="n">
        <v>271</v>
      </c>
      <c r="G1231" s="8" t="n"/>
      <c r="H1231" s="8" t="n"/>
      <c r="I1231" s="8" t="n"/>
      <c r="J1231" s="8" t="n"/>
      <c r="K1231" s="8" t="n"/>
      <c r="L1231" s="8" t="n"/>
      <c r="M1231" s="8">
        <f>IF(COUNT(D1231:L1231)=0,"",MIN(D1231:L1231))</f>
        <v/>
      </c>
      <c r="N1231" s="8">
        <f>IF(COUNT(D1231:L1231)=0,"",MEDIAN(D1231:L1231))</f>
        <v/>
      </c>
      <c r="O1231" s="8">
        <f>IF(COUNT(D1231:L1231)=0,"",MAX(D1231:L1231))</f>
        <v/>
      </c>
      <c r="P1231" s="9">
        <f>IF(OR(M1231="",M1231=0),"",(O1231-M1231)/M1231)</f>
        <v/>
      </c>
      <c r="Q1231" s="7">
        <f>IF(COUNT(D1231:L1231)=0,"",INDEX($D$1:$L$1,MATCH(MIN(D1231:L1231),D1231:L1231,0)))</f>
        <v/>
      </c>
      <c r="R1231" s="8" t="n">
        <v>271</v>
      </c>
      <c r="S1231" s="10" t="n">
        <v>1</v>
      </c>
    </row>
    <row r="1232">
      <c r="A1232" s="7" t="inlineStr">
        <is>
          <t>MAT-32-055</t>
        </is>
      </c>
      <c r="B1232" s="4" t="inlineStr">
        <is>
          <t>Adaptador macho de PVC 4"</t>
        </is>
      </c>
      <c r="C1232" s="7" t="inlineStr">
        <is>
          <t>unidad</t>
        </is>
      </c>
      <c r="D1232" s="8" t="n"/>
      <c r="E1232" s="8" t="n"/>
      <c r="F1232" s="8" t="n">
        <v>291</v>
      </c>
      <c r="G1232" s="8" t="n"/>
      <c r="H1232" s="8" t="n"/>
      <c r="I1232" s="8" t="n"/>
      <c r="J1232" s="8" t="n"/>
      <c r="K1232" s="8" t="n"/>
      <c r="L1232" s="8" t="n"/>
      <c r="M1232" s="8">
        <f>IF(COUNT(D1232:L1232)=0,"",MIN(D1232:L1232))</f>
        <v/>
      </c>
      <c r="N1232" s="8">
        <f>IF(COUNT(D1232:L1232)=0,"",MEDIAN(D1232:L1232))</f>
        <v/>
      </c>
      <c r="O1232" s="8">
        <f>IF(COUNT(D1232:L1232)=0,"",MAX(D1232:L1232))</f>
        <v/>
      </c>
      <c r="P1232" s="9">
        <f>IF(OR(M1232="",M1232=0),"",(O1232-M1232)/M1232)</f>
        <v/>
      </c>
      <c r="Q1232" s="7">
        <f>IF(COUNT(D1232:L1232)=0,"",INDEX($D$1:$L$1,MATCH(MIN(D1232:L1232),D1232:L1232,0)))</f>
        <v/>
      </c>
      <c r="R1232" s="8" t="n">
        <v>291</v>
      </c>
      <c r="S1232" s="10" t="n">
        <v>1</v>
      </c>
    </row>
    <row r="1233">
      <c r="A1233" s="7" t="inlineStr">
        <is>
          <t>MAT-32-056</t>
        </is>
      </c>
      <c r="B1233" s="4" t="inlineStr">
        <is>
          <t>Anilla de cobre 0.19"</t>
        </is>
      </c>
      <c r="C1233" s="7" t="inlineStr">
        <is>
          <t>unidad</t>
        </is>
      </c>
      <c r="D1233" s="8" t="n"/>
      <c r="E1233" s="8" t="n"/>
      <c r="F1233" s="8" t="n">
        <v>31</v>
      </c>
      <c r="G1233" s="8" t="n"/>
      <c r="H1233" s="8" t="n"/>
      <c r="I1233" s="8" t="n"/>
      <c r="J1233" s="8" t="n"/>
      <c r="K1233" s="8" t="n"/>
      <c r="L1233" s="8" t="n"/>
      <c r="M1233" s="8">
        <f>IF(COUNT(D1233:L1233)=0,"",MIN(D1233:L1233))</f>
        <v/>
      </c>
      <c r="N1233" s="8">
        <f>IF(COUNT(D1233:L1233)=0,"",MEDIAN(D1233:L1233))</f>
        <v/>
      </c>
      <c r="O1233" s="8">
        <f>IF(COUNT(D1233:L1233)=0,"",MAX(D1233:L1233))</f>
        <v/>
      </c>
      <c r="P1233" s="9">
        <f>IF(OR(M1233="",M1233=0),"",(O1233-M1233)/M1233)</f>
        <v/>
      </c>
      <c r="Q1233" s="7">
        <f>IF(COUNT(D1233:L1233)=0,"",INDEX($D$1:$L$1,MATCH(MIN(D1233:L1233),D1233:L1233,0)))</f>
        <v/>
      </c>
      <c r="R1233" s="8" t="n">
        <v>31</v>
      </c>
      <c r="S1233" s="10" t="n">
        <v>1</v>
      </c>
    </row>
    <row r="1234">
      <c r="A1234" s="7" t="inlineStr">
        <is>
          <t>MAT-32-057</t>
        </is>
      </c>
      <c r="B1234" s="4" t="inlineStr">
        <is>
          <t>Anilla de cobre 0.31"</t>
        </is>
      </c>
      <c r="C1234" s="7" t="inlineStr">
        <is>
          <t>unidad</t>
        </is>
      </c>
      <c r="D1234" s="8" t="n"/>
      <c r="E1234" s="8" t="n"/>
      <c r="F1234" s="8" t="n">
        <v>19</v>
      </c>
      <c r="G1234" s="8" t="n"/>
      <c r="H1234" s="8" t="n"/>
      <c r="I1234" s="8" t="n"/>
      <c r="J1234" s="8" t="n"/>
      <c r="K1234" s="8" t="n"/>
      <c r="L1234" s="8" t="n"/>
      <c r="M1234" s="8">
        <f>IF(COUNT(D1234:L1234)=0,"",MIN(D1234:L1234))</f>
        <v/>
      </c>
      <c r="N1234" s="8">
        <f>IF(COUNT(D1234:L1234)=0,"",MEDIAN(D1234:L1234))</f>
        <v/>
      </c>
      <c r="O1234" s="8">
        <f>IF(COUNT(D1234:L1234)=0,"",MAX(D1234:L1234))</f>
        <v/>
      </c>
      <c r="P1234" s="9">
        <f>IF(OR(M1234="",M1234=0),"",(O1234-M1234)/M1234)</f>
        <v/>
      </c>
      <c r="Q1234" s="7">
        <f>IF(COUNT(D1234:L1234)=0,"",INDEX($D$1:$L$1,MATCH(MIN(D1234:L1234),D1234:L1234,0)))</f>
        <v/>
      </c>
      <c r="R1234" s="8" t="n">
        <v>19</v>
      </c>
      <c r="S1234" s="10" t="n">
        <v>1</v>
      </c>
    </row>
    <row r="1235">
      <c r="A1235" s="7" t="inlineStr">
        <is>
          <t>MAT-32-058</t>
        </is>
      </c>
      <c r="B1235" s="4" t="inlineStr">
        <is>
          <t>Anilla de cobre 1/2"</t>
        </is>
      </c>
      <c r="C1235" s="7" t="inlineStr">
        <is>
          <t>unidad</t>
        </is>
      </c>
      <c r="D1235" s="8" t="n"/>
      <c r="E1235" s="8" t="n"/>
      <c r="F1235" s="8" t="n">
        <v>32</v>
      </c>
      <c r="G1235" s="8" t="n"/>
      <c r="H1235" s="8" t="n"/>
      <c r="I1235" s="8" t="n"/>
      <c r="J1235" s="8" t="n"/>
      <c r="K1235" s="8" t="n"/>
      <c r="L1235" s="8" t="n"/>
      <c r="M1235" s="8">
        <f>IF(COUNT(D1235:L1235)=0,"",MIN(D1235:L1235))</f>
        <v/>
      </c>
      <c r="N1235" s="8">
        <f>IF(COUNT(D1235:L1235)=0,"",MEDIAN(D1235:L1235))</f>
        <v/>
      </c>
      <c r="O1235" s="8">
        <f>IF(COUNT(D1235:L1235)=0,"",MAX(D1235:L1235))</f>
        <v/>
      </c>
      <c r="P1235" s="9">
        <f>IF(OR(M1235="",M1235=0),"",(O1235-M1235)/M1235)</f>
        <v/>
      </c>
      <c r="Q1235" s="7">
        <f>IF(COUNT(D1235:L1235)=0,"",INDEX($D$1:$L$1,MATCH(MIN(D1235:L1235),D1235:L1235,0)))</f>
        <v/>
      </c>
      <c r="R1235" s="8" t="n">
        <v>32</v>
      </c>
      <c r="S1235" s="10" t="n">
        <v>1</v>
      </c>
    </row>
    <row r="1236">
      <c r="A1236" s="7" t="inlineStr">
        <is>
          <t>MAT-32-059</t>
        </is>
      </c>
      <c r="B1236" s="4" t="inlineStr">
        <is>
          <t>Anilla de cobre 1/4"</t>
        </is>
      </c>
      <c r="C1236" s="7" t="inlineStr">
        <is>
          <t>unidad</t>
        </is>
      </c>
      <c r="D1236" s="8" t="n"/>
      <c r="E1236" s="8" t="n"/>
      <c r="F1236" s="8" t="n">
        <v>31</v>
      </c>
      <c r="G1236" s="8" t="n"/>
      <c r="H1236" s="8" t="n"/>
      <c r="I1236" s="8" t="n"/>
      <c r="J1236" s="8" t="n"/>
      <c r="K1236" s="8" t="n"/>
      <c r="L1236" s="8" t="n"/>
      <c r="M1236" s="8">
        <f>IF(COUNT(D1236:L1236)=0,"",MIN(D1236:L1236))</f>
        <v/>
      </c>
      <c r="N1236" s="8">
        <f>IF(COUNT(D1236:L1236)=0,"",MEDIAN(D1236:L1236))</f>
        <v/>
      </c>
      <c r="O1236" s="8">
        <f>IF(COUNT(D1236:L1236)=0,"",MAX(D1236:L1236))</f>
        <v/>
      </c>
      <c r="P1236" s="9">
        <f>IF(OR(M1236="",M1236=0),"",(O1236-M1236)/M1236)</f>
        <v/>
      </c>
      <c r="Q1236" s="7">
        <f>IF(COUNT(D1236:L1236)=0,"",INDEX($D$1:$L$1,MATCH(MIN(D1236:L1236),D1236:L1236,0)))</f>
        <v/>
      </c>
      <c r="R1236" s="8" t="n">
        <v>31</v>
      </c>
      <c r="S1236" s="10" t="n">
        <v>1</v>
      </c>
    </row>
    <row r="1237">
      <c r="A1237" s="7" t="inlineStr">
        <is>
          <t>MAT-32-060</t>
        </is>
      </c>
      <c r="B1237" s="4" t="inlineStr">
        <is>
          <t>Anilla de cobre 3/8"</t>
        </is>
      </c>
      <c r="C1237" s="7" t="inlineStr">
        <is>
          <t>unidad</t>
        </is>
      </c>
      <c r="D1237" s="8" t="n"/>
      <c r="E1237" s="8" t="n"/>
      <c r="F1237" s="8" t="n">
        <v>31</v>
      </c>
      <c r="G1237" s="8" t="n"/>
      <c r="H1237" s="8" t="n"/>
      <c r="I1237" s="8" t="n"/>
      <c r="J1237" s="8" t="n"/>
      <c r="K1237" s="8" t="n"/>
      <c r="L1237" s="8" t="n"/>
      <c r="M1237" s="8">
        <f>IF(COUNT(D1237:L1237)=0,"",MIN(D1237:L1237))</f>
        <v/>
      </c>
      <c r="N1237" s="8">
        <f>IF(COUNT(D1237:L1237)=0,"",MEDIAN(D1237:L1237))</f>
        <v/>
      </c>
      <c r="O1237" s="8">
        <f>IF(COUNT(D1237:L1237)=0,"",MAX(D1237:L1237))</f>
        <v/>
      </c>
      <c r="P1237" s="9">
        <f>IF(OR(M1237="",M1237=0),"",(O1237-M1237)/M1237)</f>
        <v/>
      </c>
      <c r="Q1237" s="7">
        <f>IF(COUNT(D1237:L1237)=0,"",INDEX($D$1:$L$1,MATCH(MIN(D1237:L1237),D1237:L1237,0)))</f>
        <v/>
      </c>
      <c r="R1237" s="8" t="n">
        <v>31</v>
      </c>
      <c r="S1237" s="10" t="n">
        <v>1</v>
      </c>
    </row>
    <row r="1238">
      <c r="A1238" s="7" t="inlineStr">
        <is>
          <t>MAT-32-061</t>
        </is>
      </c>
      <c r="B1238" s="4" t="inlineStr">
        <is>
          <t>Codo de 45° de PPR 25 mm</t>
        </is>
      </c>
      <c r="C1238" s="7" t="inlineStr">
        <is>
          <t>unidad</t>
        </is>
      </c>
      <c r="D1238" s="8" t="n"/>
      <c r="E1238" s="8" t="n"/>
      <c r="F1238" s="8" t="n">
        <v>37</v>
      </c>
      <c r="G1238" s="8" t="n"/>
      <c r="H1238" s="8" t="n"/>
      <c r="I1238" s="8" t="n"/>
      <c r="J1238" s="8" t="n"/>
      <c r="K1238" s="8" t="n"/>
      <c r="L1238" s="8" t="n"/>
      <c r="M1238" s="8">
        <f>IF(COUNT(D1238:L1238)=0,"",MIN(D1238:L1238))</f>
        <v/>
      </c>
      <c r="N1238" s="8">
        <f>IF(COUNT(D1238:L1238)=0,"",MEDIAN(D1238:L1238))</f>
        <v/>
      </c>
      <c r="O1238" s="8">
        <f>IF(COUNT(D1238:L1238)=0,"",MAX(D1238:L1238))</f>
        <v/>
      </c>
      <c r="P1238" s="9">
        <f>IF(OR(M1238="",M1238=0),"",(O1238-M1238)/M1238)</f>
        <v/>
      </c>
      <c r="Q1238" s="7">
        <f>IF(COUNT(D1238:L1238)=0,"",INDEX($D$1:$L$1,MATCH(MIN(D1238:L1238),D1238:L1238,0)))</f>
        <v/>
      </c>
      <c r="R1238" s="8" t="n">
        <v>37</v>
      </c>
      <c r="S1238" s="10" t="n">
        <v>1</v>
      </c>
    </row>
    <row r="1239">
      <c r="A1239" s="7" t="inlineStr">
        <is>
          <t>MAT-32-062</t>
        </is>
      </c>
      <c r="B1239" s="4" t="inlineStr">
        <is>
          <t>Codo de 45° de PVC drenaje 1 1/2"</t>
        </is>
      </c>
      <c r="C1239" s="7" t="inlineStr">
        <is>
          <t>unidad</t>
        </is>
      </c>
      <c r="D1239" s="8" t="n"/>
      <c r="E1239" s="8" t="n"/>
      <c r="F1239" s="8" t="n">
        <v>45</v>
      </c>
      <c r="G1239" s="8" t="n"/>
      <c r="H1239" s="8" t="n"/>
      <c r="I1239" s="8" t="n"/>
      <c r="J1239" s="8" t="n"/>
      <c r="K1239" s="8" t="n"/>
      <c r="L1239" s="8" t="n"/>
      <c r="M1239" s="8">
        <f>IF(COUNT(D1239:L1239)=0,"",MIN(D1239:L1239))</f>
        <v/>
      </c>
      <c r="N1239" s="8">
        <f>IF(COUNT(D1239:L1239)=0,"",MEDIAN(D1239:L1239))</f>
        <v/>
      </c>
      <c r="O1239" s="8">
        <f>IF(COUNT(D1239:L1239)=0,"",MAX(D1239:L1239))</f>
        <v/>
      </c>
      <c r="P1239" s="9">
        <f>IF(OR(M1239="",M1239=0),"",(O1239-M1239)/M1239)</f>
        <v/>
      </c>
      <c r="Q1239" s="7">
        <f>IF(COUNT(D1239:L1239)=0,"",INDEX($D$1:$L$1,MATCH(MIN(D1239:L1239),D1239:L1239,0)))</f>
        <v/>
      </c>
      <c r="R1239" s="8" t="n">
        <v>45</v>
      </c>
      <c r="S1239" s="10" t="n">
        <v>1</v>
      </c>
    </row>
    <row r="1240">
      <c r="A1240" s="7" t="inlineStr">
        <is>
          <t>MAT-32-063</t>
        </is>
      </c>
      <c r="B1240" s="4" t="inlineStr">
        <is>
          <t>Codo de 45° de PVC drenaje 2"</t>
        </is>
      </c>
      <c r="C1240" s="7" t="inlineStr">
        <is>
          <t>unidad</t>
        </is>
      </c>
      <c r="D1240" s="8" t="n"/>
      <c r="E1240" s="8" t="n"/>
      <c r="F1240" s="8" t="n">
        <v>55</v>
      </c>
      <c r="G1240" s="8" t="n"/>
      <c r="H1240" s="8" t="n"/>
      <c r="I1240" s="8" t="n"/>
      <c r="J1240" s="8" t="n"/>
      <c r="K1240" s="8" t="n"/>
      <c r="L1240" s="8" t="n"/>
      <c r="M1240" s="8">
        <f>IF(COUNT(D1240:L1240)=0,"",MIN(D1240:L1240))</f>
        <v/>
      </c>
      <c r="N1240" s="8">
        <f>IF(COUNT(D1240:L1240)=0,"",MEDIAN(D1240:L1240))</f>
        <v/>
      </c>
      <c r="O1240" s="8">
        <f>IF(COUNT(D1240:L1240)=0,"",MAX(D1240:L1240))</f>
        <v/>
      </c>
      <c r="P1240" s="9">
        <f>IF(OR(M1240="",M1240=0),"",(O1240-M1240)/M1240)</f>
        <v/>
      </c>
      <c r="Q1240" s="7">
        <f>IF(COUNT(D1240:L1240)=0,"",INDEX($D$1:$L$1,MATCH(MIN(D1240:L1240),D1240:L1240,0)))</f>
        <v/>
      </c>
      <c r="R1240" s="8" t="n">
        <v>55</v>
      </c>
      <c r="S1240" s="10" t="n">
        <v>1</v>
      </c>
    </row>
    <row r="1241">
      <c r="A1241" s="7" t="inlineStr">
        <is>
          <t>MAT-32-064</t>
        </is>
      </c>
      <c r="B1241" s="4" t="inlineStr">
        <is>
          <t>Codo de 45° de PVC drenaje 3"</t>
        </is>
      </c>
      <c r="C1241" s="7" t="inlineStr">
        <is>
          <t>unidad</t>
        </is>
      </c>
      <c r="D1241" s="8" t="n"/>
      <c r="E1241" s="8" t="n"/>
      <c r="F1241" s="8" t="n">
        <v>85</v>
      </c>
      <c r="G1241" s="8" t="n"/>
      <c r="H1241" s="8" t="n"/>
      <c r="I1241" s="8" t="n"/>
      <c r="J1241" s="8" t="n"/>
      <c r="K1241" s="8" t="n"/>
      <c r="L1241" s="8" t="n"/>
      <c r="M1241" s="8">
        <f>IF(COUNT(D1241:L1241)=0,"",MIN(D1241:L1241))</f>
        <v/>
      </c>
      <c r="N1241" s="8">
        <f>IF(COUNT(D1241:L1241)=0,"",MEDIAN(D1241:L1241))</f>
        <v/>
      </c>
      <c r="O1241" s="8">
        <f>IF(COUNT(D1241:L1241)=0,"",MAX(D1241:L1241))</f>
        <v/>
      </c>
      <c r="P1241" s="9">
        <f>IF(OR(M1241="",M1241=0),"",(O1241-M1241)/M1241)</f>
        <v/>
      </c>
      <c r="Q1241" s="7">
        <f>IF(COUNT(D1241:L1241)=0,"",INDEX($D$1:$L$1,MATCH(MIN(D1241:L1241),D1241:L1241,0)))</f>
        <v/>
      </c>
      <c r="R1241" s="8" t="n">
        <v>85</v>
      </c>
      <c r="S1241" s="10" t="n">
        <v>1</v>
      </c>
    </row>
    <row r="1242">
      <c r="A1242" s="7" t="inlineStr">
        <is>
          <t>MAT-32-065</t>
        </is>
      </c>
      <c r="B1242" s="4" t="inlineStr">
        <is>
          <t>Codo de 45° de PVC drenaje 4"</t>
        </is>
      </c>
      <c r="C1242" s="7" t="inlineStr">
        <is>
          <t>unidad</t>
        </is>
      </c>
      <c r="D1242" s="8" t="n"/>
      <c r="E1242" s="8" t="n"/>
      <c r="F1242" s="8" t="n">
        <v>135</v>
      </c>
      <c r="G1242" s="8" t="n"/>
      <c r="H1242" s="8" t="n"/>
      <c r="I1242" s="8" t="n"/>
      <c r="J1242" s="8" t="n"/>
      <c r="K1242" s="8" t="n"/>
      <c r="L1242" s="8" t="n"/>
      <c r="M1242" s="8">
        <f>IF(COUNT(D1242:L1242)=0,"",MIN(D1242:L1242))</f>
        <v/>
      </c>
      <c r="N1242" s="8">
        <f>IF(COUNT(D1242:L1242)=0,"",MEDIAN(D1242:L1242))</f>
        <v/>
      </c>
      <c r="O1242" s="8">
        <f>IF(COUNT(D1242:L1242)=0,"",MAX(D1242:L1242))</f>
        <v/>
      </c>
      <c r="P1242" s="9">
        <f>IF(OR(M1242="",M1242=0),"",(O1242-M1242)/M1242)</f>
        <v/>
      </c>
      <c r="Q1242" s="7">
        <f>IF(COUNT(D1242:L1242)=0,"",INDEX($D$1:$L$1,MATCH(MIN(D1242:L1242),D1242:L1242,0)))</f>
        <v/>
      </c>
      <c r="R1242" s="8" t="n">
        <v>135</v>
      </c>
      <c r="S1242" s="10" t="n">
        <v>1</v>
      </c>
    </row>
    <row r="1243">
      <c r="A1243" s="7" t="inlineStr">
        <is>
          <t>MAT-32-066</t>
        </is>
      </c>
      <c r="B1243" s="4" t="inlineStr">
        <is>
          <t>Codo de 45° de PVC drenaje 6"</t>
        </is>
      </c>
      <c r="C1243" s="7" t="inlineStr">
        <is>
          <t>unidad</t>
        </is>
      </c>
      <c r="D1243" s="8" t="n"/>
      <c r="E1243" s="8" t="n"/>
      <c r="F1243" s="8" t="n">
        <v>612</v>
      </c>
      <c r="G1243" s="8" t="n"/>
      <c r="H1243" s="8" t="n"/>
      <c r="I1243" s="8" t="n"/>
      <c r="J1243" s="8" t="n"/>
      <c r="K1243" s="8" t="n"/>
      <c r="L1243" s="8" t="n"/>
      <c r="M1243" s="8">
        <f>IF(COUNT(D1243:L1243)=0,"",MIN(D1243:L1243))</f>
        <v/>
      </c>
      <c r="N1243" s="8">
        <f>IF(COUNT(D1243:L1243)=0,"",MEDIAN(D1243:L1243))</f>
        <v/>
      </c>
      <c r="O1243" s="8">
        <f>IF(COUNT(D1243:L1243)=0,"",MAX(D1243:L1243))</f>
        <v/>
      </c>
      <c r="P1243" s="9">
        <f>IF(OR(M1243="",M1243=0),"",(O1243-M1243)/M1243)</f>
        <v/>
      </c>
      <c r="Q1243" s="7">
        <f>IF(COUNT(D1243:L1243)=0,"",INDEX($D$1:$L$1,MATCH(MIN(D1243:L1243),D1243:L1243,0)))</f>
        <v/>
      </c>
      <c r="R1243" s="8" t="n">
        <v>612</v>
      </c>
      <c r="S1243" s="10" t="n">
        <v>1</v>
      </c>
    </row>
    <row r="1244">
      <c r="A1244" s="7" t="inlineStr">
        <is>
          <t>MAT-32-067</t>
        </is>
      </c>
      <c r="B1244" s="4" t="inlineStr">
        <is>
          <t>Codo de 45° de PVC presión 1 1/2"</t>
        </is>
      </c>
      <c r="C1244" s="7" t="inlineStr">
        <is>
          <t>unidad</t>
        </is>
      </c>
      <c r="D1244" s="8" t="n"/>
      <c r="E1244" s="8" t="n"/>
      <c r="F1244" s="8" t="n">
        <v>65</v>
      </c>
      <c r="G1244" s="8" t="n"/>
      <c r="H1244" s="8" t="n"/>
      <c r="I1244" s="8" t="n"/>
      <c r="J1244" s="8" t="n"/>
      <c r="K1244" s="8" t="n"/>
      <c r="L1244" s="8" t="n"/>
      <c r="M1244" s="8">
        <f>IF(COUNT(D1244:L1244)=0,"",MIN(D1244:L1244))</f>
        <v/>
      </c>
      <c r="N1244" s="8">
        <f>IF(COUNT(D1244:L1244)=0,"",MEDIAN(D1244:L1244))</f>
        <v/>
      </c>
      <c r="O1244" s="8">
        <f>IF(COUNT(D1244:L1244)=0,"",MAX(D1244:L1244))</f>
        <v/>
      </c>
      <c r="P1244" s="9">
        <f>IF(OR(M1244="",M1244=0),"",(O1244-M1244)/M1244)</f>
        <v/>
      </c>
      <c r="Q1244" s="7">
        <f>IF(COUNT(D1244:L1244)=0,"",INDEX($D$1:$L$1,MATCH(MIN(D1244:L1244),D1244:L1244,0)))</f>
        <v/>
      </c>
      <c r="R1244" s="8" t="n">
        <v>65</v>
      </c>
      <c r="S1244" s="10" t="n">
        <v>1</v>
      </c>
    </row>
    <row r="1245">
      <c r="A1245" s="7" t="inlineStr">
        <is>
          <t>MAT-32-068</t>
        </is>
      </c>
      <c r="B1245" s="4" t="inlineStr">
        <is>
          <t>Codo de 45° de PVC presión 1/2"</t>
        </is>
      </c>
      <c r="C1245" s="7" t="inlineStr">
        <is>
          <t>unidad</t>
        </is>
      </c>
      <c r="D1245" s="8" t="n"/>
      <c r="E1245" s="8" t="n"/>
      <c r="F1245" s="8" t="n">
        <v>35</v>
      </c>
      <c r="G1245" s="8" t="n"/>
      <c r="H1245" s="8" t="n"/>
      <c r="I1245" s="8" t="n"/>
      <c r="J1245" s="8" t="n"/>
      <c r="K1245" s="8" t="n"/>
      <c r="L1245" s="8" t="n"/>
      <c r="M1245" s="8">
        <f>IF(COUNT(D1245:L1245)=0,"",MIN(D1245:L1245))</f>
        <v/>
      </c>
      <c r="N1245" s="8">
        <f>IF(COUNT(D1245:L1245)=0,"",MEDIAN(D1245:L1245))</f>
        <v/>
      </c>
      <c r="O1245" s="8">
        <f>IF(COUNT(D1245:L1245)=0,"",MAX(D1245:L1245))</f>
        <v/>
      </c>
      <c r="P1245" s="9">
        <f>IF(OR(M1245="",M1245=0),"",(O1245-M1245)/M1245)</f>
        <v/>
      </c>
      <c r="Q1245" s="7">
        <f>IF(COUNT(D1245:L1245)=0,"",INDEX($D$1:$L$1,MATCH(MIN(D1245:L1245),D1245:L1245,0)))</f>
        <v/>
      </c>
      <c r="R1245" s="8" t="n">
        <v>35</v>
      </c>
      <c r="S1245" s="10" t="n">
        <v>1</v>
      </c>
    </row>
    <row r="1246">
      <c r="A1246" s="7" t="inlineStr">
        <is>
          <t>MAT-32-069</t>
        </is>
      </c>
      <c r="B1246" s="4" t="inlineStr">
        <is>
          <t>Codo de 45° de PVC presión 1"</t>
        </is>
      </c>
      <c r="C1246" s="7" t="inlineStr">
        <is>
          <t>unidad</t>
        </is>
      </c>
      <c r="D1246" s="8" t="n"/>
      <c r="E1246" s="8" t="n"/>
      <c r="F1246" s="8" t="n">
        <v>90</v>
      </c>
      <c r="G1246" s="8" t="n"/>
      <c r="H1246" s="8" t="n"/>
      <c r="I1246" s="8" t="n"/>
      <c r="J1246" s="8" t="n"/>
      <c r="K1246" s="8" t="n"/>
      <c r="L1246" s="8" t="n"/>
      <c r="M1246" s="8">
        <f>IF(COUNT(D1246:L1246)=0,"",MIN(D1246:L1246))</f>
        <v/>
      </c>
      <c r="N1246" s="8">
        <f>IF(COUNT(D1246:L1246)=0,"",MEDIAN(D1246:L1246))</f>
        <v/>
      </c>
      <c r="O1246" s="8">
        <f>IF(COUNT(D1246:L1246)=0,"",MAX(D1246:L1246))</f>
        <v/>
      </c>
      <c r="P1246" s="9">
        <f>IF(OR(M1246="",M1246=0),"",(O1246-M1246)/M1246)</f>
        <v/>
      </c>
      <c r="Q1246" s="7">
        <f>IF(COUNT(D1246:L1246)=0,"",INDEX($D$1:$L$1,MATCH(MIN(D1246:L1246),D1246:L1246,0)))</f>
        <v/>
      </c>
      <c r="R1246" s="8" t="n">
        <v>90</v>
      </c>
      <c r="S1246" s="10" t="n">
        <v>1</v>
      </c>
    </row>
    <row r="1247">
      <c r="A1247" s="7" t="inlineStr">
        <is>
          <t>MAT-32-070</t>
        </is>
      </c>
      <c r="B1247" s="4" t="inlineStr">
        <is>
          <t>Codo de 45° de PVC presión 3/4"</t>
        </is>
      </c>
      <c r="C1247" s="7" t="inlineStr">
        <is>
          <t>unidad</t>
        </is>
      </c>
      <c r="D1247" s="8" t="n"/>
      <c r="E1247" s="8" t="n"/>
      <c r="F1247" s="8" t="n">
        <v>25</v>
      </c>
      <c r="G1247" s="8" t="n"/>
      <c r="H1247" s="8" t="n"/>
      <c r="I1247" s="8" t="n"/>
      <c r="J1247" s="8" t="n"/>
      <c r="K1247" s="8" t="n"/>
      <c r="L1247" s="8" t="n"/>
      <c r="M1247" s="8">
        <f>IF(COUNT(D1247:L1247)=0,"",MIN(D1247:L1247))</f>
        <v/>
      </c>
      <c r="N1247" s="8">
        <f>IF(COUNT(D1247:L1247)=0,"",MEDIAN(D1247:L1247))</f>
        <v/>
      </c>
      <c r="O1247" s="8">
        <f>IF(COUNT(D1247:L1247)=0,"",MAX(D1247:L1247))</f>
        <v/>
      </c>
      <c r="P1247" s="9">
        <f>IF(OR(M1247="",M1247=0),"",(O1247-M1247)/M1247)</f>
        <v/>
      </c>
      <c r="Q1247" s="7">
        <f>IF(COUNT(D1247:L1247)=0,"",INDEX($D$1:$L$1,MATCH(MIN(D1247:L1247),D1247:L1247,0)))</f>
        <v/>
      </c>
      <c r="R1247" s="8" t="n">
        <v>25</v>
      </c>
      <c r="S1247" s="10" t="n">
        <v>1</v>
      </c>
    </row>
    <row r="1248">
      <c r="A1248" s="7" t="inlineStr">
        <is>
          <t>MAT-32-071</t>
        </is>
      </c>
      <c r="B1248" s="4" t="inlineStr">
        <is>
          <t>Codo de 90° de PPR 20 mm</t>
        </is>
      </c>
      <c r="C1248" s="7" t="inlineStr">
        <is>
          <t>unidad</t>
        </is>
      </c>
      <c r="D1248" s="8" t="n"/>
      <c r="E1248" s="8" t="n"/>
      <c r="F1248" s="8" t="n">
        <v>33</v>
      </c>
      <c r="G1248" s="8" t="n"/>
      <c r="H1248" s="8" t="n"/>
      <c r="I1248" s="8" t="n"/>
      <c r="J1248" s="8" t="n"/>
      <c r="K1248" s="8" t="n"/>
      <c r="L1248" s="8" t="n"/>
      <c r="M1248" s="8">
        <f>IF(COUNT(D1248:L1248)=0,"",MIN(D1248:L1248))</f>
        <v/>
      </c>
      <c r="N1248" s="8">
        <f>IF(COUNT(D1248:L1248)=0,"",MEDIAN(D1248:L1248))</f>
        <v/>
      </c>
      <c r="O1248" s="8">
        <f>IF(COUNT(D1248:L1248)=0,"",MAX(D1248:L1248))</f>
        <v/>
      </c>
      <c r="P1248" s="9">
        <f>IF(OR(M1248="",M1248=0),"",(O1248-M1248)/M1248)</f>
        <v/>
      </c>
      <c r="Q1248" s="7">
        <f>IF(COUNT(D1248:L1248)=0,"",INDEX($D$1:$L$1,MATCH(MIN(D1248:L1248),D1248:L1248,0)))</f>
        <v/>
      </c>
      <c r="R1248" s="8" t="n">
        <v>33</v>
      </c>
      <c r="S1248" s="10" t="n">
        <v>1</v>
      </c>
    </row>
    <row r="1249">
      <c r="A1249" s="7" t="inlineStr">
        <is>
          <t>MAT-32-072</t>
        </is>
      </c>
      <c r="B1249" s="4" t="inlineStr">
        <is>
          <t>Codo de 90° de PPR 25 mm</t>
        </is>
      </c>
      <c r="C1249" s="7" t="inlineStr">
        <is>
          <t>unidad</t>
        </is>
      </c>
      <c r="D1249" s="8" t="n"/>
      <c r="E1249" s="8" t="n"/>
      <c r="F1249" s="8" t="n">
        <v>40</v>
      </c>
      <c r="G1249" s="8" t="n"/>
      <c r="H1249" s="8" t="n"/>
      <c r="I1249" s="8" t="n"/>
      <c r="J1249" s="8" t="n"/>
      <c r="K1249" s="8" t="n"/>
      <c r="L1249" s="8" t="n"/>
      <c r="M1249" s="8">
        <f>IF(COUNT(D1249:L1249)=0,"",MIN(D1249:L1249))</f>
        <v/>
      </c>
      <c r="N1249" s="8">
        <f>IF(COUNT(D1249:L1249)=0,"",MEDIAN(D1249:L1249))</f>
        <v/>
      </c>
      <c r="O1249" s="8">
        <f>IF(COUNT(D1249:L1249)=0,"",MAX(D1249:L1249))</f>
        <v/>
      </c>
      <c r="P1249" s="9">
        <f>IF(OR(M1249="",M1249=0),"",(O1249-M1249)/M1249)</f>
        <v/>
      </c>
      <c r="Q1249" s="7">
        <f>IF(COUNT(D1249:L1249)=0,"",INDEX($D$1:$L$1,MATCH(MIN(D1249:L1249),D1249:L1249,0)))</f>
        <v/>
      </c>
      <c r="R1249" s="8" t="n">
        <v>40</v>
      </c>
      <c r="S1249" s="10" t="n">
        <v>1</v>
      </c>
    </row>
    <row r="1250">
      <c r="A1250" s="7" t="inlineStr">
        <is>
          <t>MAT-32-073</t>
        </is>
      </c>
      <c r="B1250" s="4" t="inlineStr">
        <is>
          <t>Codo de 90° de PVC drenaje 1 1/2"</t>
        </is>
      </c>
      <c r="C1250" s="7" t="inlineStr">
        <is>
          <t>unidad</t>
        </is>
      </c>
      <c r="D1250" s="8" t="n"/>
      <c r="E1250" s="8" t="n"/>
      <c r="F1250" s="8" t="n">
        <v>30</v>
      </c>
      <c r="G1250" s="8" t="n"/>
      <c r="H1250" s="8" t="n"/>
      <c r="I1250" s="8" t="n"/>
      <c r="J1250" s="8" t="n"/>
      <c r="K1250" s="8" t="n"/>
      <c r="L1250" s="8" t="n"/>
      <c r="M1250" s="8">
        <f>IF(COUNT(D1250:L1250)=0,"",MIN(D1250:L1250))</f>
        <v/>
      </c>
      <c r="N1250" s="8">
        <f>IF(COUNT(D1250:L1250)=0,"",MEDIAN(D1250:L1250))</f>
        <v/>
      </c>
      <c r="O1250" s="8">
        <f>IF(COUNT(D1250:L1250)=0,"",MAX(D1250:L1250))</f>
        <v/>
      </c>
      <c r="P1250" s="9">
        <f>IF(OR(M1250="",M1250=0),"",(O1250-M1250)/M1250)</f>
        <v/>
      </c>
      <c r="Q1250" s="7">
        <f>IF(COUNT(D1250:L1250)=0,"",INDEX($D$1:$L$1,MATCH(MIN(D1250:L1250),D1250:L1250,0)))</f>
        <v/>
      </c>
      <c r="R1250" s="8" t="n">
        <v>30</v>
      </c>
      <c r="S1250" s="10" t="n">
        <v>1</v>
      </c>
    </row>
    <row r="1251">
      <c r="A1251" s="7" t="inlineStr">
        <is>
          <t>MAT-32-074</t>
        </is>
      </c>
      <c r="B1251" s="4" t="inlineStr">
        <is>
          <t>Codo de 90° de PVC drenaje 2"</t>
        </is>
      </c>
      <c r="C1251" s="7" t="inlineStr">
        <is>
          <t>unidad</t>
        </is>
      </c>
      <c r="D1251" s="8" t="n"/>
      <c r="E1251" s="8" t="n"/>
      <c r="F1251" s="8" t="n">
        <v>35</v>
      </c>
      <c r="G1251" s="8" t="n"/>
      <c r="H1251" s="8" t="n"/>
      <c r="I1251" s="8" t="n"/>
      <c r="J1251" s="8" t="n"/>
      <c r="K1251" s="8" t="n"/>
      <c r="L1251" s="8" t="n"/>
      <c r="M1251" s="8">
        <f>IF(COUNT(D1251:L1251)=0,"",MIN(D1251:L1251))</f>
        <v/>
      </c>
      <c r="N1251" s="8">
        <f>IF(COUNT(D1251:L1251)=0,"",MEDIAN(D1251:L1251))</f>
        <v/>
      </c>
      <c r="O1251" s="8">
        <f>IF(COUNT(D1251:L1251)=0,"",MAX(D1251:L1251))</f>
        <v/>
      </c>
      <c r="P1251" s="9">
        <f>IF(OR(M1251="",M1251=0),"",(O1251-M1251)/M1251)</f>
        <v/>
      </c>
      <c r="Q1251" s="7">
        <f>IF(COUNT(D1251:L1251)=0,"",INDEX($D$1:$L$1,MATCH(MIN(D1251:L1251),D1251:L1251,0)))</f>
        <v/>
      </c>
      <c r="R1251" s="8" t="n">
        <v>35</v>
      </c>
      <c r="S1251" s="10" t="n">
        <v>1</v>
      </c>
    </row>
    <row r="1252">
      <c r="A1252" s="7" t="inlineStr">
        <is>
          <t>MAT-32-075</t>
        </is>
      </c>
      <c r="B1252" s="4" t="inlineStr">
        <is>
          <t>Codo de 90° de PVC drenaje 3"</t>
        </is>
      </c>
      <c r="C1252" s="7" t="inlineStr">
        <is>
          <t>unidad</t>
        </is>
      </c>
      <c r="D1252" s="8" t="n"/>
      <c r="E1252" s="8" t="n"/>
      <c r="F1252" s="8" t="n">
        <v>95</v>
      </c>
      <c r="G1252" s="8" t="n"/>
      <c r="H1252" s="8" t="n"/>
      <c r="I1252" s="8" t="n"/>
      <c r="J1252" s="8" t="n"/>
      <c r="K1252" s="8" t="n"/>
      <c r="L1252" s="8" t="n"/>
      <c r="M1252" s="8">
        <f>IF(COUNT(D1252:L1252)=0,"",MIN(D1252:L1252))</f>
        <v/>
      </c>
      <c r="N1252" s="8">
        <f>IF(COUNT(D1252:L1252)=0,"",MEDIAN(D1252:L1252))</f>
        <v/>
      </c>
      <c r="O1252" s="8">
        <f>IF(COUNT(D1252:L1252)=0,"",MAX(D1252:L1252))</f>
        <v/>
      </c>
      <c r="P1252" s="9">
        <f>IF(OR(M1252="",M1252=0),"",(O1252-M1252)/M1252)</f>
        <v/>
      </c>
      <c r="Q1252" s="7">
        <f>IF(COUNT(D1252:L1252)=0,"",INDEX($D$1:$L$1,MATCH(MIN(D1252:L1252),D1252:L1252,0)))</f>
        <v/>
      </c>
      <c r="R1252" s="8" t="n">
        <v>95</v>
      </c>
      <c r="S1252" s="10" t="n">
        <v>1</v>
      </c>
    </row>
    <row r="1253">
      <c r="A1253" s="7" t="inlineStr">
        <is>
          <t>MAT-32-076</t>
        </is>
      </c>
      <c r="B1253" s="4" t="inlineStr">
        <is>
          <t>Codo de 90° de PVC presión 1 1/2"</t>
        </is>
      </c>
      <c r="C1253" s="7" t="inlineStr">
        <is>
          <t>unidad</t>
        </is>
      </c>
      <c r="D1253" s="8" t="n"/>
      <c r="E1253" s="8" t="n"/>
      <c r="F1253" s="8" t="n">
        <v>55</v>
      </c>
      <c r="G1253" s="8" t="n"/>
      <c r="H1253" s="8" t="n"/>
      <c r="I1253" s="8" t="n"/>
      <c r="J1253" s="8" t="n"/>
      <c r="K1253" s="8" t="n"/>
      <c r="L1253" s="8" t="n"/>
      <c r="M1253" s="8">
        <f>IF(COUNT(D1253:L1253)=0,"",MIN(D1253:L1253))</f>
        <v/>
      </c>
      <c r="N1253" s="8">
        <f>IF(COUNT(D1253:L1253)=0,"",MEDIAN(D1253:L1253))</f>
        <v/>
      </c>
      <c r="O1253" s="8">
        <f>IF(COUNT(D1253:L1253)=0,"",MAX(D1253:L1253))</f>
        <v/>
      </c>
      <c r="P1253" s="9">
        <f>IF(OR(M1253="",M1253=0),"",(O1253-M1253)/M1253)</f>
        <v/>
      </c>
      <c r="Q1253" s="7">
        <f>IF(COUNT(D1253:L1253)=0,"",INDEX($D$1:$L$1,MATCH(MIN(D1253:L1253),D1253:L1253,0)))</f>
        <v/>
      </c>
      <c r="R1253" s="8" t="n">
        <v>55</v>
      </c>
      <c r="S1253" s="10" t="n">
        <v>1</v>
      </c>
    </row>
    <row r="1254">
      <c r="A1254" s="7" t="inlineStr">
        <is>
          <t>MAT-32-077</t>
        </is>
      </c>
      <c r="B1254" s="4" t="inlineStr">
        <is>
          <t>Codo de 90° de PVC presión 1/2"</t>
        </is>
      </c>
      <c r="C1254" s="7" t="inlineStr">
        <is>
          <t>unidad</t>
        </is>
      </c>
      <c r="D1254" s="8" t="n"/>
      <c r="E1254" s="8" t="n"/>
      <c r="F1254" s="8" t="n">
        <v>15</v>
      </c>
      <c r="G1254" s="8" t="n"/>
      <c r="H1254" s="8" t="n"/>
      <c r="I1254" s="8" t="n"/>
      <c r="J1254" s="8" t="n"/>
      <c r="K1254" s="8" t="n"/>
      <c r="L1254" s="8" t="n"/>
      <c r="M1254" s="8">
        <f>IF(COUNT(D1254:L1254)=0,"",MIN(D1254:L1254))</f>
        <v/>
      </c>
      <c r="N1254" s="8">
        <f>IF(COUNT(D1254:L1254)=0,"",MEDIAN(D1254:L1254))</f>
        <v/>
      </c>
      <c r="O1254" s="8">
        <f>IF(COUNT(D1254:L1254)=0,"",MAX(D1254:L1254))</f>
        <v/>
      </c>
      <c r="P1254" s="9">
        <f>IF(OR(M1254="",M1254=0),"",(O1254-M1254)/M1254)</f>
        <v/>
      </c>
      <c r="Q1254" s="7">
        <f>IF(COUNT(D1254:L1254)=0,"",INDEX($D$1:$L$1,MATCH(MIN(D1254:L1254),D1254:L1254,0)))</f>
        <v/>
      </c>
      <c r="R1254" s="8" t="n">
        <v>15</v>
      </c>
      <c r="S1254" s="10" t="n">
        <v>1</v>
      </c>
    </row>
    <row r="1255">
      <c r="A1255" s="7" t="inlineStr">
        <is>
          <t>MAT-32-078</t>
        </is>
      </c>
      <c r="B1255" s="4" t="inlineStr">
        <is>
          <t>Codo de 90° de PVC presión 1"</t>
        </is>
      </c>
      <c r="C1255" s="7" t="inlineStr">
        <is>
          <t>unidad</t>
        </is>
      </c>
      <c r="D1255" s="8" t="n"/>
      <c r="E1255" s="8" t="n"/>
      <c r="F1255" s="8" t="n">
        <v>27</v>
      </c>
      <c r="G1255" s="8" t="n"/>
      <c r="H1255" s="8" t="n"/>
      <c r="I1255" s="8" t="n"/>
      <c r="J1255" s="8" t="n"/>
      <c r="K1255" s="8" t="n"/>
      <c r="L1255" s="8" t="n"/>
      <c r="M1255" s="8">
        <f>IF(COUNT(D1255:L1255)=0,"",MIN(D1255:L1255))</f>
        <v/>
      </c>
      <c r="N1255" s="8">
        <f>IF(COUNT(D1255:L1255)=0,"",MEDIAN(D1255:L1255))</f>
        <v/>
      </c>
      <c r="O1255" s="8">
        <f>IF(COUNT(D1255:L1255)=0,"",MAX(D1255:L1255))</f>
        <v/>
      </c>
      <c r="P1255" s="9">
        <f>IF(OR(M1255="",M1255=0),"",(O1255-M1255)/M1255)</f>
        <v/>
      </c>
      <c r="Q1255" s="7">
        <f>IF(COUNT(D1255:L1255)=0,"",INDEX($D$1:$L$1,MATCH(MIN(D1255:L1255),D1255:L1255,0)))</f>
        <v/>
      </c>
      <c r="R1255" s="8" t="n">
        <v>27</v>
      </c>
      <c r="S1255" s="10" t="n">
        <v>1</v>
      </c>
    </row>
    <row r="1256">
      <c r="A1256" s="7" t="inlineStr">
        <is>
          <t>MAT-32-079</t>
        </is>
      </c>
      <c r="B1256" s="4" t="inlineStr">
        <is>
          <t>Codo de 90° de PVC presión 2"</t>
        </is>
      </c>
      <c r="C1256" s="7" t="inlineStr">
        <is>
          <t>unidad</t>
        </is>
      </c>
      <c r="D1256" s="8" t="n"/>
      <c r="E1256" s="8" t="n"/>
      <c r="F1256" s="8" t="n">
        <v>145</v>
      </c>
      <c r="G1256" s="8" t="n"/>
      <c r="H1256" s="8" t="n"/>
      <c r="I1256" s="8" t="n"/>
      <c r="J1256" s="8" t="n"/>
      <c r="K1256" s="8" t="n"/>
      <c r="L1256" s="8" t="n"/>
      <c r="M1256" s="8">
        <f>IF(COUNT(D1256:L1256)=0,"",MIN(D1256:L1256))</f>
        <v/>
      </c>
      <c r="N1256" s="8">
        <f>IF(COUNT(D1256:L1256)=0,"",MEDIAN(D1256:L1256))</f>
        <v/>
      </c>
      <c r="O1256" s="8">
        <f>IF(COUNT(D1256:L1256)=0,"",MAX(D1256:L1256))</f>
        <v/>
      </c>
      <c r="P1256" s="9">
        <f>IF(OR(M1256="",M1256=0),"",(O1256-M1256)/M1256)</f>
        <v/>
      </c>
      <c r="Q1256" s="7">
        <f>IF(COUNT(D1256:L1256)=0,"",INDEX($D$1:$L$1,MATCH(MIN(D1256:L1256),D1256:L1256,0)))</f>
        <v/>
      </c>
      <c r="R1256" s="8" t="n">
        <v>145</v>
      </c>
      <c r="S1256" s="10" t="n">
        <v>1</v>
      </c>
    </row>
    <row r="1257">
      <c r="A1257" s="7" t="inlineStr">
        <is>
          <t>MAT-32-080</t>
        </is>
      </c>
      <c r="B1257" s="4" t="inlineStr">
        <is>
          <t>Codo de 90° de PVC presión 3/4"</t>
        </is>
      </c>
      <c r="C1257" s="7" t="inlineStr">
        <is>
          <t>unidad</t>
        </is>
      </c>
      <c r="D1257" s="8" t="n"/>
      <c r="E1257" s="8" t="n"/>
      <c r="F1257" s="8" t="n">
        <v>15</v>
      </c>
      <c r="G1257" s="8" t="n"/>
      <c r="H1257" s="8" t="n"/>
      <c r="I1257" s="8" t="n"/>
      <c r="J1257" s="8" t="n"/>
      <c r="K1257" s="8" t="n"/>
      <c r="L1257" s="8" t="n"/>
      <c r="M1257" s="8">
        <f>IF(COUNT(D1257:L1257)=0,"",MIN(D1257:L1257))</f>
        <v/>
      </c>
      <c r="N1257" s="8">
        <f>IF(COUNT(D1257:L1257)=0,"",MEDIAN(D1257:L1257))</f>
        <v/>
      </c>
      <c r="O1257" s="8">
        <f>IF(COUNT(D1257:L1257)=0,"",MAX(D1257:L1257))</f>
        <v/>
      </c>
      <c r="P1257" s="9">
        <f>IF(OR(M1257="",M1257=0),"",(O1257-M1257)/M1257)</f>
        <v/>
      </c>
      <c r="Q1257" s="7">
        <f>IF(COUNT(D1257:L1257)=0,"",INDEX($D$1:$L$1,MATCH(MIN(D1257:L1257),D1257:L1257,0)))</f>
        <v/>
      </c>
      <c r="R1257" s="8" t="n">
        <v>15</v>
      </c>
      <c r="S1257" s="10" t="n">
        <v>1</v>
      </c>
    </row>
    <row r="1258">
      <c r="A1258" s="7" t="inlineStr">
        <is>
          <t>MAT-32-081</t>
        </is>
      </c>
      <c r="B1258" s="4" t="inlineStr">
        <is>
          <t>Codo de 90° de PVC presión 3"</t>
        </is>
      </c>
      <c r="C1258" s="7" t="inlineStr">
        <is>
          <t>unidad</t>
        </is>
      </c>
      <c r="D1258" s="8" t="n"/>
      <c r="E1258" s="8" t="n"/>
      <c r="F1258" s="8" t="n">
        <v>233</v>
      </c>
      <c r="G1258" s="8" t="n"/>
      <c r="H1258" s="8" t="n"/>
      <c r="I1258" s="8" t="n"/>
      <c r="J1258" s="8" t="n"/>
      <c r="K1258" s="8" t="n"/>
      <c r="L1258" s="8" t="n"/>
      <c r="M1258" s="8">
        <f>IF(COUNT(D1258:L1258)=0,"",MIN(D1258:L1258))</f>
        <v/>
      </c>
      <c r="N1258" s="8">
        <f>IF(COUNT(D1258:L1258)=0,"",MEDIAN(D1258:L1258))</f>
        <v/>
      </c>
      <c r="O1258" s="8">
        <f>IF(COUNT(D1258:L1258)=0,"",MAX(D1258:L1258))</f>
        <v/>
      </c>
      <c r="P1258" s="9">
        <f>IF(OR(M1258="",M1258=0),"",(O1258-M1258)/M1258)</f>
        <v/>
      </c>
      <c r="Q1258" s="7">
        <f>IF(COUNT(D1258:L1258)=0,"",INDEX($D$1:$L$1,MATCH(MIN(D1258:L1258),D1258:L1258,0)))</f>
        <v/>
      </c>
      <c r="R1258" s="8" t="n">
        <v>233</v>
      </c>
      <c r="S1258" s="10" t="n">
        <v>1</v>
      </c>
    </row>
    <row r="1259">
      <c r="A1259" s="7" t="inlineStr">
        <is>
          <t>MAT-32-082</t>
        </is>
      </c>
      <c r="B1259" s="4" t="inlineStr">
        <is>
          <t>Codo de 90° de PVC presión 4"</t>
        </is>
      </c>
      <c r="C1259" s="7" t="inlineStr">
        <is>
          <t>unidad</t>
        </is>
      </c>
      <c r="D1259" s="8" t="n"/>
      <c r="E1259" s="8" t="n"/>
      <c r="F1259" s="8" t="n">
        <v>370</v>
      </c>
      <c r="G1259" s="8" t="n"/>
      <c r="H1259" s="8" t="n"/>
      <c r="I1259" s="8" t="n"/>
      <c r="J1259" s="8" t="n"/>
      <c r="K1259" s="8" t="n"/>
      <c r="L1259" s="8" t="n"/>
      <c r="M1259" s="8">
        <f>IF(COUNT(D1259:L1259)=0,"",MIN(D1259:L1259))</f>
        <v/>
      </c>
      <c r="N1259" s="8">
        <f>IF(COUNT(D1259:L1259)=0,"",MEDIAN(D1259:L1259))</f>
        <v/>
      </c>
      <c r="O1259" s="8">
        <f>IF(COUNT(D1259:L1259)=0,"",MAX(D1259:L1259))</f>
        <v/>
      </c>
      <c r="P1259" s="9">
        <f>IF(OR(M1259="",M1259=0),"",(O1259-M1259)/M1259)</f>
        <v/>
      </c>
      <c r="Q1259" s="7">
        <f>IF(COUNT(D1259:L1259)=0,"",INDEX($D$1:$L$1,MATCH(MIN(D1259:L1259),D1259:L1259,0)))</f>
        <v/>
      </c>
      <c r="R1259" s="8" t="n">
        <v>370</v>
      </c>
      <c r="S1259" s="10" t="n">
        <v>1</v>
      </c>
    </row>
    <row r="1260">
      <c r="A1260" s="7" t="inlineStr">
        <is>
          <t>MAT-32-083</t>
        </is>
      </c>
      <c r="B1260" s="4" t="inlineStr">
        <is>
          <t>Codo de HG 1 1/2"</t>
        </is>
      </c>
      <c r="C1260" s="7" t="inlineStr">
        <is>
          <t>unidad</t>
        </is>
      </c>
      <c r="D1260" s="8" t="n"/>
      <c r="E1260" s="8" t="n"/>
      <c r="F1260" s="8" t="n">
        <v>234</v>
      </c>
      <c r="G1260" s="8" t="n"/>
      <c r="H1260" s="8" t="n"/>
      <c r="I1260" s="8" t="n"/>
      <c r="J1260" s="8" t="n"/>
      <c r="K1260" s="8" t="n"/>
      <c r="L1260" s="8" t="n"/>
      <c r="M1260" s="8">
        <f>IF(COUNT(D1260:L1260)=0,"",MIN(D1260:L1260))</f>
        <v/>
      </c>
      <c r="N1260" s="8">
        <f>IF(COUNT(D1260:L1260)=0,"",MEDIAN(D1260:L1260))</f>
        <v/>
      </c>
      <c r="O1260" s="8">
        <f>IF(COUNT(D1260:L1260)=0,"",MAX(D1260:L1260))</f>
        <v/>
      </c>
      <c r="P1260" s="9">
        <f>IF(OR(M1260="",M1260=0),"",(O1260-M1260)/M1260)</f>
        <v/>
      </c>
      <c r="Q1260" s="7">
        <f>IF(COUNT(D1260:L1260)=0,"",INDEX($D$1:$L$1,MATCH(MIN(D1260:L1260),D1260:L1260,0)))</f>
        <v/>
      </c>
      <c r="R1260" s="8" t="n">
        <v>234</v>
      </c>
      <c r="S1260" s="10" t="n">
        <v>1</v>
      </c>
    </row>
    <row r="1261">
      <c r="A1261" s="7" t="inlineStr">
        <is>
          <t>MAT-32-084</t>
        </is>
      </c>
      <c r="B1261" s="4" t="inlineStr">
        <is>
          <t>Codo de HG 1 1/4"</t>
        </is>
      </c>
      <c r="C1261" s="7" t="inlineStr">
        <is>
          <t>unidad</t>
        </is>
      </c>
      <c r="D1261" s="8" t="n"/>
      <c r="E1261" s="8" t="n"/>
      <c r="F1261" s="8" t="n">
        <v>130</v>
      </c>
      <c r="G1261" s="8" t="n"/>
      <c r="H1261" s="8" t="n"/>
      <c r="I1261" s="8" t="n"/>
      <c r="J1261" s="8" t="n"/>
      <c r="K1261" s="8" t="n"/>
      <c r="L1261" s="8" t="n"/>
      <c r="M1261" s="8">
        <f>IF(COUNT(D1261:L1261)=0,"",MIN(D1261:L1261))</f>
        <v/>
      </c>
      <c r="N1261" s="8">
        <f>IF(COUNT(D1261:L1261)=0,"",MEDIAN(D1261:L1261))</f>
        <v/>
      </c>
      <c r="O1261" s="8">
        <f>IF(COUNT(D1261:L1261)=0,"",MAX(D1261:L1261))</f>
        <v/>
      </c>
      <c r="P1261" s="9">
        <f>IF(OR(M1261="",M1261=0),"",(O1261-M1261)/M1261)</f>
        <v/>
      </c>
      <c r="Q1261" s="7">
        <f>IF(COUNT(D1261:L1261)=0,"",INDEX($D$1:$L$1,MATCH(MIN(D1261:L1261),D1261:L1261,0)))</f>
        <v/>
      </c>
      <c r="R1261" s="8" t="n">
        <v>130</v>
      </c>
      <c r="S1261" s="10" t="n">
        <v>1</v>
      </c>
    </row>
    <row r="1262">
      <c r="A1262" s="7" t="inlineStr">
        <is>
          <t>MAT-32-085</t>
        </is>
      </c>
      <c r="B1262" s="4" t="inlineStr">
        <is>
          <t>Codo de HG 1/2"</t>
        </is>
      </c>
      <c r="C1262" s="7" t="inlineStr">
        <is>
          <t>unidad</t>
        </is>
      </c>
      <c r="D1262" s="8" t="n"/>
      <c r="E1262" s="8" t="n"/>
      <c r="F1262" s="8" t="n">
        <v>30</v>
      </c>
      <c r="G1262" s="8" t="n"/>
      <c r="H1262" s="8" t="n"/>
      <c r="I1262" s="8" t="n"/>
      <c r="J1262" s="8" t="n"/>
      <c r="K1262" s="8" t="n"/>
      <c r="L1262" s="8" t="n"/>
      <c r="M1262" s="8">
        <f>IF(COUNT(D1262:L1262)=0,"",MIN(D1262:L1262))</f>
        <v/>
      </c>
      <c r="N1262" s="8">
        <f>IF(COUNT(D1262:L1262)=0,"",MEDIAN(D1262:L1262))</f>
        <v/>
      </c>
      <c r="O1262" s="8">
        <f>IF(COUNT(D1262:L1262)=0,"",MAX(D1262:L1262))</f>
        <v/>
      </c>
      <c r="P1262" s="9">
        <f>IF(OR(M1262="",M1262=0),"",(O1262-M1262)/M1262)</f>
        <v/>
      </c>
      <c r="Q1262" s="7">
        <f>IF(COUNT(D1262:L1262)=0,"",INDEX($D$1:$L$1,MATCH(MIN(D1262:L1262),D1262:L1262,0)))</f>
        <v/>
      </c>
      <c r="R1262" s="8" t="n">
        <v>30</v>
      </c>
      <c r="S1262" s="10" t="n">
        <v>1</v>
      </c>
    </row>
    <row r="1263">
      <c r="A1263" s="7" t="inlineStr">
        <is>
          <t>MAT-32-086</t>
        </is>
      </c>
      <c r="B1263" s="4" t="inlineStr">
        <is>
          <t>Codo de HG 1/4"</t>
        </is>
      </c>
      <c r="C1263" s="7" t="inlineStr">
        <is>
          <t>unidad</t>
        </is>
      </c>
      <c r="D1263" s="8" t="n"/>
      <c r="E1263" s="8" t="n"/>
      <c r="F1263" s="8" t="n">
        <v>75</v>
      </c>
      <c r="G1263" s="8" t="n"/>
      <c r="H1263" s="8" t="n"/>
      <c r="I1263" s="8" t="n"/>
      <c r="J1263" s="8" t="n"/>
      <c r="K1263" s="8" t="n"/>
      <c r="L1263" s="8" t="n"/>
      <c r="M1263" s="8">
        <f>IF(COUNT(D1263:L1263)=0,"",MIN(D1263:L1263))</f>
        <v/>
      </c>
      <c r="N1263" s="8">
        <f>IF(COUNT(D1263:L1263)=0,"",MEDIAN(D1263:L1263))</f>
        <v/>
      </c>
      <c r="O1263" s="8">
        <f>IF(COUNT(D1263:L1263)=0,"",MAX(D1263:L1263))</f>
        <v/>
      </c>
      <c r="P1263" s="9">
        <f>IF(OR(M1263="",M1263=0),"",(O1263-M1263)/M1263)</f>
        <v/>
      </c>
      <c r="Q1263" s="7">
        <f>IF(COUNT(D1263:L1263)=0,"",INDEX($D$1:$L$1,MATCH(MIN(D1263:L1263),D1263:L1263,0)))</f>
        <v/>
      </c>
      <c r="R1263" s="8" t="n">
        <v>75</v>
      </c>
      <c r="S1263" s="10" t="n">
        <v>1</v>
      </c>
    </row>
    <row r="1264">
      <c r="A1264" s="7" t="inlineStr">
        <is>
          <t>MAT-32-087</t>
        </is>
      </c>
      <c r="B1264" s="4" t="inlineStr">
        <is>
          <t>Codo de HG 1"</t>
        </is>
      </c>
      <c r="C1264" s="7" t="inlineStr">
        <is>
          <t>unidad</t>
        </is>
      </c>
      <c r="D1264" s="8" t="n"/>
      <c r="E1264" s="8" t="n"/>
      <c r="F1264" s="8" t="n">
        <v>65</v>
      </c>
      <c r="G1264" s="8" t="n"/>
      <c r="H1264" s="8" t="n"/>
      <c r="I1264" s="8" t="n"/>
      <c r="J1264" s="8" t="n"/>
      <c r="K1264" s="8" t="n"/>
      <c r="L1264" s="8" t="n"/>
      <c r="M1264" s="8">
        <f>IF(COUNT(D1264:L1264)=0,"",MIN(D1264:L1264))</f>
        <v/>
      </c>
      <c r="N1264" s="8">
        <f>IF(COUNT(D1264:L1264)=0,"",MEDIAN(D1264:L1264))</f>
        <v/>
      </c>
      <c r="O1264" s="8">
        <f>IF(COUNT(D1264:L1264)=0,"",MAX(D1264:L1264))</f>
        <v/>
      </c>
      <c r="P1264" s="9">
        <f>IF(OR(M1264="",M1264=0),"",(O1264-M1264)/M1264)</f>
        <v/>
      </c>
      <c r="Q1264" s="7">
        <f>IF(COUNT(D1264:L1264)=0,"",INDEX($D$1:$L$1,MATCH(MIN(D1264:L1264),D1264:L1264,0)))</f>
        <v/>
      </c>
      <c r="R1264" s="8" t="n">
        <v>65</v>
      </c>
      <c r="S1264" s="10" t="n">
        <v>1</v>
      </c>
    </row>
    <row r="1265">
      <c r="A1265" s="7" t="inlineStr">
        <is>
          <t>MAT-32-088</t>
        </is>
      </c>
      <c r="B1265" s="4" t="inlineStr">
        <is>
          <t>Codo de HG 2"</t>
        </is>
      </c>
      <c r="C1265" s="7" t="inlineStr">
        <is>
          <t>unidad</t>
        </is>
      </c>
      <c r="D1265" s="8" t="n"/>
      <c r="E1265" s="8" t="n"/>
      <c r="F1265" s="8" t="n">
        <v>291</v>
      </c>
      <c r="G1265" s="8" t="n"/>
      <c r="H1265" s="8" t="n"/>
      <c r="I1265" s="8" t="n"/>
      <c r="J1265" s="8" t="n"/>
      <c r="K1265" s="8" t="n"/>
      <c r="L1265" s="8" t="n"/>
      <c r="M1265" s="8">
        <f>IF(COUNT(D1265:L1265)=0,"",MIN(D1265:L1265))</f>
        <v/>
      </c>
      <c r="N1265" s="8">
        <f>IF(COUNT(D1265:L1265)=0,"",MEDIAN(D1265:L1265))</f>
        <v/>
      </c>
      <c r="O1265" s="8">
        <f>IF(COUNT(D1265:L1265)=0,"",MAX(D1265:L1265))</f>
        <v/>
      </c>
      <c r="P1265" s="9">
        <f>IF(OR(M1265="",M1265=0),"",(O1265-M1265)/M1265)</f>
        <v/>
      </c>
      <c r="Q1265" s="7">
        <f>IF(COUNT(D1265:L1265)=0,"",INDEX($D$1:$L$1,MATCH(MIN(D1265:L1265),D1265:L1265,0)))</f>
        <v/>
      </c>
      <c r="R1265" s="8" t="n">
        <v>291</v>
      </c>
      <c r="S1265" s="10" t="n">
        <v>1</v>
      </c>
    </row>
    <row r="1266">
      <c r="A1266" s="7" t="inlineStr">
        <is>
          <t>MAT-32-089</t>
        </is>
      </c>
      <c r="B1266" s="4" t="inlineStr">
        <is>
          <t>Codo de HG 3/4"</t>
        </is>
      </c>
      <c r="C1266" s="7" t="inlineStr">
        <is>
          <t>unidad</t>
        </is>
      </c>
      <c r="D1266" s="8" t="n"/>
      <c r="E1266" s="8" t="n"/>
      <c r="F1266" s="8" t="n">
        <v>51</v>
      </c>
      <c r="G1266" s="8" t="n"/>
      <c r="H1266" s="8" t="n"/>
      <c r="I1266" s="8" t="n"/>
      <c r="J1266" s="8" t="n"/>
      <c r="K1266" s="8" t="n"/>
      <c r="L1266" s="8" t="n"/>
      <c r="M1266" s="8">
        <f>IF(COUNT(D1266:L1266)=0,"",MIN(D1266:L1266))</f>
        <v/>
      </c>
      <c r="N1266" s="8">
        <f>IF(COUNT(D1266:L1266)=0,"",MEDIAN(D1266:L1266))</f>
        <v/>
      </c>
      <c r="O1266" s="8">
        <f>IF(COUNT(D1266:L1266)=0,"",MAX(D1266:L1266))</f>
        <v/>
      </c>
      <c r="P1266" s="9">
        <f>IF(OR(M1266="",M1266=0),"",(O1266-M1266)/M1266)</f>
        <v/>
      </c>
      <c r="Q1266" s="7">
        <f>IF(COUNT(D1266:L1266)=0,"",INDEX($D$1:$L$1,MATCH(MIN(D1266:L1266),D1266:L1266,0)))</f>
        <v/>
      </c>
      <c r="R1266" s="8" t="n">
        <v>51</v>
      </c>
      <c r="S1266" s="10" t="n">
        <v>1</v>
      </c>
    </row>
    <row r="1267">
      <c r="A1267" s="7" t="inlineStr">
        <is>
          <t>MAT-32-090</t>
        </is>
      </c>
      <c r="B1267" s="4" t="inlineStr">
        <is>
          <t>Codo de HG 3/8"</t>
        </is>
      </c>
      <c r="C1267" s="7" t="inlineStr">
        <is>
          <t>unidad</t>
        </is>
      </c>
      <c r="D1267" s="8" t="n"/>
      <c r="E1267" s="8" t="n"/>
      <c r="F1267" s="8" t="n">
        <v>50</v>
      </c>
      <c r="G1267" s="8" t="n"/>
      <c r="H1267" s="8" t="n"/>
      <c r="I1267" s="8" t="n"/>
      <c r="J1267" s="8" t="n"/>
      <c r="K1267" s="8" t="n"/>
      <c r="L1267" s="8" t="n"/>
      <c r="M1267" s="8">
        <f>IF(COUNT(D1267:L1267)=0,"",MIN(D1267:L1267))</f>
        <v/>
      </c>
      <c r="N1267" s="8">
        <f>IF(COUNT(D1267:L1267)=0,"",MEDIAN(D1267:L1267))</f>
        <v/>
      </c>
      <c r="O1267" s="8">
        <f>IF(COUNT(D1267:L1267)=0,"",MAX(D1267:L1267))</f>
        <v/>
      </c>
      <c r="P1267" s="9">
        <f>IF(OR(M1267="",M1267=0),"",(O1267-M1267)/M1267)</f>
        <v/>
      </c>
      <c r="Q1267" s="7">
        <f>IF(COUNT(D1267:L1267)=0,"",INDEX($D$1:$L$1,MATCH(MIN(D1267:L1267),D1267:L1267,0)))</f>
        <v/>
      </c>
      <c r="R1267" s="8" t="n">
        <v>50</v>
      </c>
      <c r="S1267" s="10" t="n">
        <v>1</v>
      </c>
    </row>
    <row r="1268">
      <c r="A1268" s="7" t="inlineStr">
        <is>
          <t>MAT-32-091</t>
        </is>
      </c>
      <c r="B1268" s="4" t="inlineStr">
        <is>
          <t>Codo de niquelado 1/2"</t>
        </is>
      </c>
      <c r="C1268" s="7" t="inlineStr">
        <is>
          <t>unidad</t>
        </is>
      </c>
      <c r="D1268" s="8" t="n"/>
      <c r="E1268" s="8" t="n"/>
      <c r="F1268" s="8" t="n">
        <v>363</v>
      </c>
      <c r="G1268" s="8" t="n"/>
      <c r="H1268" s="8" t="n"/>
      <c r="I1268" s="8" t="n"/>
      <c r="J1268" s="8" t="n"/>
      <c r="K1268" s="8" t="n"/>
      <c r="L1268" s="8" t="n"/>
      <c r="M1268" s="8">
        <f>IF(COUNT(D1268:L1268)=0,"",MIN(D1268:L1268))</f>
        <v/>
      </c>
      <c r="N1268" s="8">
        <f>IF(COUNT(D1268:L1268)=0,"",MEDIAN(D1268:L1268))</f>
        <v/>
      </c>
      <c r="O1268" s="8">
        <f>IF(COUNT(D1268:L1268)=0,"",MAX(D1268:L1268))</f>
        <v/>
      </c>
      <c r="P1268" s="9">
        <f>IF(OR(M1268="",M1268=0),"",(O1268-M1268)/M1268)</f>
        <v/>
      </c>
      <c r="Q1268" s="7">
        <f>IF(COUNT(D1268:L1268)=0,"",INDEX($D$1:$L$1,MATCH(MIN(D1268:L1268),D1268:L1268,0)))</f>
        <v/>
      </c>
      <c r="R1268" s="8" t="n">
        <v>363</v>
      </c>
      <c r="S1268" s="10" t="n">
        <v>1</v>
      </c>
    </row>
    <row r="1269">
      <c r="A1269" s="7" t="inlineStr">
        <is>
          <t>MAT-32-092</t>
        </is>
      </c>
      <c r="B1269" s="4" t="inlineStr">
        <is>
          <t>Codo niple de bronce 3/8"</t>
        </is>
      </c>
      <c r="C1269" s="7" t="inlineStr">
        <is>
          <t>unidad</t>
        </is>
      </c>
      <c r="D1269" s="8" t="n"/>
      <c r="E1269" s="8" t="n"/>
      <c r="F1269" s="8" t="n">
        <v>179</v>
      </c>
      <c r="G1269" s="8" t="n"/>
      <c r="H1269" s="8" t="n"/>
      <c r="I1269" s="8" t="n"/>
      <c r="J1269" s="8" t="n"/>
      <c r="K1269" s="8" t="n"/>
      <c r="L1269" s="8" t="n"/>
      <c r="M1269" s="8">
        <f>IF(COUNT(D1269:L1269)=0,"",MIN(D1269:L1269))</f>
        <v/>
      </c>
      <c r="N1269" s="8">
        <f>IF(COUNT(D1269:L1269)=0,"",MEDIAN(D1269:L1269))</f>
        <v/>
      </c>
      <c r="O1269" s="8">
        <f>IF(COUNT(D1269:L1269)=0,"",MAX(D1269:L1269))</f>
        <v/>
      </c>
      <c r="P1269" s="9">
        <f>IF(OR(M1269="",M1269=0),"",(O1269-M1269)/M1269)</f>
        <v/>
      </c>
      <c r="Q1269" s="7">
        <f>IF(COUNT(D1269:L1269)=0,"",INDEX($D$1:$L$1,MATCH(MIN(D1269:L1269),D1269:L1269,0)))</f>
        <v/>
      </c>
      <c r="R1269" s="8" t="n">
        <v>179</v>
      </c>
      <c r="S1269" s="10" t="n">
        <v>1</v>
      </c>
    </row>
    <row r="1270">
      <c r="A1270" s="7" t="inlineStr">
        <is>
          <t>MAT-32-093</t>
        </is>
      </c>
      <c r="B1270" s="4" t="inlineStr">
        <is>
          <t>Codo niple de HG 1 1/2"</t>
        </is>
      </c>
      <c r="C1270" s="7" t="inlineStr">
        <is>
          <t>unidad</t>
        </is>
      </c>
      <c r="D1270" s="8" t="n"/>
      <c r="E1270" s="8" t="n"/>
      <c r="F1270" s="8" t="n">
        <v>215</v>
      </c>
      <c r="G1270" s="8" t="n"/>
      <c r="H1270" s="8" t="n"/>
      <c r="I1270" s="8" t="n"/>
      <c r="J1270" s="8" t="n"/>
      <c r="K1270" s="8" t="n"/>
      <c r="L1270" s="8" t="n"/>
      <c r="M1270" s="8">
        <f>IF(COUNT(D1270:L1270)=0,"",MIN(D1270:L1270))</f>
        <v/>
      </c>
      <c r="N1270" s="8">
        <f>IF(COUNT(D1270:L1270)=0,"",MEDIAN(D1270:L1270))</f>
        <v/>
      </c>
      <c r="O1270" s="8">
        <f>IF(COUNT(D1270:L1270)=0,"",MAX(D1270:L1270))</f>
        <v/>
      </c>
      <c r="P1270" s="9">
        <f>IF(OR(M1270="",M1270=0),"",(O1270-M1270)/M1270)</f>
        <v/>
      </c>
      <c r="Q1270" s="7">
        <f>IF(COUNT(D1270:L1270)=0,"",INDEX($D$1:$L$1,MATCH(MIN(D1270:L1270),D1270:L1270,0)))</f>
        <v/>
      </c>
      <c r="R1270" s="8" t="n">
        <v>215</v>
      </c>
      <c r="S1270" s="10" t="n">
        <v>1</v>
      </c>
    </row>
    <row r="1271">
      <c r="A1271" s="7" t="inlineStr">
        <is>
          <t>MAT-32-094</t>
        </is>
      </c>
      <c r="B1271" s="4" t="inlineStr">
        <is>
          <t>Codo niple de HG 1 1/4"</t>
        </is>
      </c>
      <c r="C1271" s="7" t="inlineStr">
        <is>
          <t>unidad</t>
        </is>
      </c>
      <c r="D1271" s="8" t="n"/>
      <c r="E1271" s="8" t="n"/>
      <c r="F1271" s="8" t="n">
        <v>160</v>
      </c>
      <c r="G1271" s="8" t="n"/>
      <c r="H1271" s="8" t="n"/>
      <c r="I1271" s="8" t="n"/>
      <c r="J1271" s="8" t="n"/>
      <c r="K1271" s="8" t="n"/>
      <c r="L1271" s="8" t="n"/>
      <c r="M1271" s="8">
        <f>IF(COUNT(D1271:L1271)=0,"",MIN(D1271:L1271))</f>
        <v/>
      </c>
      <c r="N1271" s="8">
        <f>IF(COUNT(D1271:L1271)=0,"",MEDIAN(D1271:L1271))</f>
        <v/>
      </c>
      <c r="O1271" s="8">
        <f>IF(COUNT(D1271:L1271)=0,"",MAX(D1271:L1271))</f>
        <v/>
      </c>
      <c r="P1271" s="9">
        <f>IF(OR(M1271="",M1271=0),"",(O1271-M1271)/M1271)</f>
        <v/>
      </c>
      <c r="Q1271" s="7">
        <f>IF(COUNT(D1271:L1271)=0,"",INDEX($D$1:$L$1,MATCH(MIN(D1271:L1271),D1271:L1271,0)))</f>
        <v/>
      </c>
      <c r="R1271" s="8" t="n">
        <v>160</v>
      </c>
      <c r="S1271" s="10" t="n">
        <v>1</v>
      </c>
    </row>
    <row r="1272">
      <c r="A1272" s="7" t="inlineStr">
        <is>
          <t>MAT-32-095</t>
        </is>
      </c>
      <c r="B1272" s="4" t="inlineStr">
        <is>
          <t>Codo niple de HG 1/2"</t>
        </is>
      </c>
      <c r="C1272" s="7" t="inlineStr">
        <is>
          <t>unidad</t>
        </is>
      </c>
      <c r="D1272" s="8" t="n"/>
      <c r="E1272" s="8" t="n"/>
      <c r="F1272" s="8" t="n">
        <v>45</v>
      </c>
      <c r="G1272" s="8" t="n"/>
      <c r="H1272" s="8" t="n"/>
      <c r="I1272" s="8" t="n"/>
      <c r="J1272" s="8" t="n"/>
      <c r="K1272" s="8" t="n"/>
      <c r="L1272" s="8" t="n"/>
      <c r="M1272" s="8">
        <f>IF(COUNT(D1272:L1272)=0,"",MIN(D1272:L1272))</f>
        <v/>
      </c>
      <c r="N1272" s="8">
        <f>IF(COUNT(D1272:L1272)=0,"",MEDIAN(D1272:L1272))</f>
        <v/>
      </c>
      <c r="O1272" s="8">
        <f>IF(COUNT(D1272:L1272)=0,"",MAX(D1272:L1272))</f>
        <v/>
      </c>
      <c r="P1272" s="9">
        <f>IF(OR(M1272="",M1272=0),"",(O1272-M1272)/M1272)</f>
        <v/>
      </c>
      <c r="Q1272" s="7">
        <f>IF(COUNT(D1272:L1272)=0,"",INDEX($D$1:$L$1,MATCH(MIN(D1272:L1272),D1272:L1272,0)))</f>
        <v/>
      </c>
      <c r="R1272" s="8" t="n">
        <v>45</v>
      </c>
      <c r="S1272" s="10" t="n">
        <v>1</v>
      </c>
    </row>
    <row r="1273">
      <c r="A1273" s="7" t="inlineStr">
        <is>
          <t>MAT-32-096</t>
        </is>
      </c>
      <c r="B1273" s="4" t="inlineStr">
        <is>
          <t>Codo niple de HG 1/4"</t>
        </is>
      </c>
      <c r="C1273" s="7" t="inlineStr">
        <is>
          <t>unidad</t>
        </is>
      </c>
      <c r="D1273" s="8" t="n"/>
      <c r="E1273" s="8" t="n"/>
      <c r="F1273" s="8" t="n">
        <v>39</v>
      </c>
      <c r="G1273" s="8" t="n"/>
      <c r="H1273" s="8" t="n"/>
      <c r="I1273" s="8" t="n"/>
      <c r="J1273" s="8" t="n"/>
      <c r="K1273" s="8" t="n"/>
      <c r="L1273" s="8" t="n"/>
      <c r="M1273" s="8">
        <f>IF(COUNT(D1273:L1273)=0,"",MIN(D1273:L1273))</f>
        <v/>
      </c>
      <c r="N1273" s="8">
        <f>IF(COUNT(D1273:L1273)=0,"",MEDIAN(D1273:L1273))</f>
        <v/>
      </c>
      <c r="O1273" s="8">
        <f>IF(COUNT(D1273:L1273)=0,"",MAX(D1273:L1273))</f>
        <v/>
      </c>
      <c r="P1273" s="9">
        <f>IF(OR(M1273="",M1273=0),"",(O1273-M1273)/M1273)</f>
        <v/>
      </c>
      <c r="Q1273" s="7">
        <f>IF(COUNT(D1273:L1273)=0,"",INDEX($D$1:$L$1,MATCH(MIN(D1273:L1273),D1273:L1273,0)))</f>
        <v/>
      </c>
      <c r="R1273" s="8" t="n">
        <v>39</v>
      </c>
      <c r="S1273" s="10" t="n">
        <v>1</v>
      </c>
    </row>
    <row r="1274">
      <c r="A1274" s="7" t="inlineStr">
        <is>
          <t>MAT-32-097</t>
        </is>
      </c>
      <c r="B1274" s="4" t="inlineStr">
        <is>
          <t>Codo niple de HG 1"</t>
        </is>
      </c>
      <c r="C1274" s="7" t="inlineStr">
        <is>
          <t>unidad</t>
        </is>
      </c>
      <c r="D1274" s="8" t="n"/>
      <c r="E1274" s="8" t="n"/>
      <c r="F1274" s="8" t="n">
        <v>149</v>
      </c>
      <c r="G1274" s="8" t="n"/>
      <c r="H1274" s="8" t="n"/>
      <c r="I1274" s="8" t="n"/>
      <c r="J1274" s="8" t="n"/>
      <c r="K1274" s="8" t="n"/>
      <c r="L1274" s="8" t="n"/>
      <c r="M1274" s="8">
        <f>IF(COUNT(D1274:L1274)=0,"",MIN(D1274:L1274))</f>
        <v/>
      </c>
      <c r="N1274" s="8">
        <f>IF(COUNT(D1274:L1274)=0,"",MEDIAN(D1274:L1274))</f>
        <v/>
      </c>
      <c r="O1274" s="8">
        <f>IF(COUNT(D1274:L1274)=0,"",MAX(D1274:L1274))</f>
        <v/>
      </c>
      <c r="P1274" s="9">
        <f>IF(OR(M1274="",M1274=0),"",(O1274-M1274)/M1274)</f>
        <v/>
      </c>
      <c r="Q1274" s="7">
        <f>IF(COUNT(D1274:L1274)=0,"",INDEX($D$1:$L$1,MATCH(MIN(D1274:L1274),D1274:L1274,0)))</f>
        <v/>
      </c>
      <c r="R1274" s="8" t="n">
        <v>149</v>
      </c>
      <c r="S1274" s="10" t="n">
        <v>1</v>
      </c>
    </row>
    <row r="1275">
      <c r="A1275" s="7" t="inlineStr">
        <is>
          <t>MAT-32-098</t>
        </is>
      </c>
      <c r="B1275" s="4" t="inlineStr">
        <is>
          <t>Codo niple de HG 2"</t>
        </is>
      </c>
      <c r="C1275" s="7" t="inlineStr">
        <is>
          <t>unidad</t>
        </is>
      </c>
      <c r="D1275" s="8" t="n"/>
      <c r="E1275" s="8" t="n"/>
      <c r="F1275" s="8" t="n">
        <v>266</v>
      </c>
      <c r="G1275" s="8" t="n"/>
      <c r="H1275" s="8" t="n"/>
      <c r="I1275" s="8" t="n"/>
      <c r="J1275" s="8" t="n"/>
      <c r="K1275" s="8" t="n"/>
      <c r="L1275" s="8" t="n"/>
      <c r="M1275" s="8">
        <f>IF(COUNT(D1275:L1275)=0,"",MIN(D1275:L1275))</f>
        <v/>
      </c>
      <c r="N1275" s="8">
        <f>IF(COUNT(D1275:L1275)=0,"",MEDIAN(D1275:L1275))</f>
        <v/>
      </c>
      <c r="O1275" s="8">
        <f>IF(COUNT(D1275:L1275)=0,"",MAX(D1275:L1275))</f>
        <v/>
      </c>
      <c r="P1275" s="9">
        <f>IF(OR(M1275="",M1275=0),"",(O1275-M1275)/M1275)</f>
        <v/>
      </c>
      <c r="Q1275" s="7">
        <f>IF(COUNT(D1275:L1275)=0,"",INDEX($D$1:$L$1,MATCH(MIN(D1275:L1275),D1275:L1275,0)))</f>
        <v/>
      </c>
      <c r="R1275" s="8" t="n">
        <v>266</v>
      </c>
      <c r="S1275" s="10" t="n">
        <v>1</v>
      </c>
    </row>
    <row r="1276">
      <c r="A1276" s="7" t="inlineStr">
        <is>
          <t>MAT-32-099</t>
        </is>
      </c>
      <c r="B1276" s="4" t="inlineStr">
        <is>
          <t>Codo niple de HG 3/4"</t>
        </is>
      </c>
      <c r="C1276" s="7" t="inlineStr">
        <is>
          <t>unidad</t>
        </is>
      </c>
      <c r="D1276" s="8" t="n"/>
      <c r="E1276" s="8" t="n"/>
      <c r="F1276" s="8" t="n">
        <v>92</v>
      </c>
      <c r="G1276" s="8" t="n"/>
      <c r="H1276" s="8" t="n"/>
      <c r="I1276" s="8" t="n"/>
      <c r="J1276" s="8" t="n"/>
      <c r="K1276" s="8" t="n"/>
      <c r="L1276" s="8" t="n"/>
      <c r="M1276" s="8">
        <f>IF(COUNT(D1276:L1276)=0,"",MIN(D1276:L1276))</f>
        <v/>
      </c>
      <c r="N1276" s="8">
        <f>IF(COUNT(D1276:L1276)=0,"",MEDIAN(D1276:L1276))</f>
        <v/>
      </c>
      <c r="O1276" s="8">
        <f>IF(COUNT(D1276:L1276)=0,"",MAX(D1276:L1276))</f>
        <v/>
      </c>
      <c r="P1276" s="9">
        <f>IF(OR(M1276="",M1276=0),"",(O1276-M1276)/M1276)</f>
        <v/>
      </c>
      <c r="Q1276" s="7">
        <f>IF(COUNT(D1276:L1276)=0,"",INDEX($D$1:$L$1,MATCH(MIN(D1276:L1276),D1276:L1276,0)))</f>
        <v/>
      </c>
      <c r="R1276" s="8" t="n">
        <v>92</v>
      </c>
      <c r="S1276" s="10" t="n">
        <v>1</v>
      </c>
    </row>
    <row r="1277">
      <c r="A1277" s="7" t="inlineStr">
        <is>
          <t>MAT-32-100</t>
        </is>
      </c>
      <c r="B1277" s="4" t="inlineStr">
        <is>
          <t>Codo niple de niquelado 1/2"</t>
        </is>
      </c>
      <c r="C1277" s="7" t="inlineStr">
        <is>
          <t>unidad</t>
        </is>
      </c>
      <c r="D1277" s="8" t="n"/>
      <c r="E1277" s="8" t="n"/>
      <c r="F1277" s="8" t="n">
        <v>333</v>
      </c>
      <c r="G1277" s="8" t="n"/>
      <c r="H1277" s="8" t="n"/>
      <c r="I1277" s="8" t="n"/>
      <c r="J1277" s="8" t="n"/>
      <c r="K1277" s="8" t="n"/>
      <c r="L1277" s="8" t="n"/>
      <c r="M1277" s="8">
        <f>IF(COUNT(D1277:L1277)=0,"",MIN(D1277:L1277))</f>
        <v/>
      </c>
      <c r="N1277" s="8">
        <f>IF(COUNT(D1277:L1277)=0,"",MEDIAN(D1277:L1277))</f>
        <v/>
      </c>
      <c r="O1277" s="8">
        <f>IF(COUNT(D1277:L1277)=0,"",MAX(D1277:L1277))</f>
        <v/>
      </c>
      <c r="P1277" s="9">
        <f>IF(OR(M1277="",M1277=0),"",(O1277-M1277)/M1277)</f>
        <v/>
      </c>
      <c r="Q1277" s="7">
        <f>IF(COUNT(D1277:L1277)=0,"",INDEX($D$1:$L$1,MATCH(MIN(D1277:L1277),D1277:L1277,0)))</f>
        <v/>
      </c>
      <c r="R1277" s="8" t="n">
        <v>333</v>
      </c>
      <c r="S1277" s="10" t="n">
        <v>1</v>
      </c>
    </row>
    <row r="1278">
      <c r="A1278" s="7" t="inlineStr">
        <is>
          <t>MAT-32-101</t>
        </is>
      </c>
      <c r="B1278" s="4" t="inlineStr">
        <is>
          <t>Coupling de HG 1 1/2"</t>
        </is>
      </c>
      <c r="C1278" s="7" t="inlineStr">
        <is>
          <t>unidad</t>
        </is>
      </c>
      <c r="D1278" s="8" t="n"/>
      <c r="E1278" s="8" t="n"/>
      <c r="F1278" s="8" t="n">
        <v>199</v>
      </c>
      <c r="G1278" s="8" t="n"/>
      <c r="H1278" s="8" t="n"/>
      <c r="I1278" s="8" t="n"/>
      <c r="J1278" s="8" t="n"/>
      <c r="K1278" s="8" t="n"/>
      <c r="L1278" s="8" t="n"/>
      <c r="M1278" s="8">
        <f>IF(COUNT(D1278:L1278)=0,"",MIN(D1278:L1278))</f>
        <v/>
      </c>
      <c r="N1278" s="8">
        <f>IF(COUNT(D1278:L1278)=0,"",MEDIAN(D1278:L1278))</f>
        <v/>
      </c>
      <c r="O1278" s="8">
        <f>IF(COUNT(D1278:L1278)=0,"",MAX(D1278:L1278))</f>
        <v/>
      </c>
      <c r="P1278" s="9">
        <f>IF(OR(M1278="",M1278=0),"",(O1278-M1278)/M1278)</f>
        <v/>
      </c>
      <c r="Q1278" s="7">
        <f>IF(COUNT(D1278:L1278)=0,"",INDEX($D$1:$L$1,MATCH(MIN(D1278:L1278),D1278:L1278,0)))</f>
        <v/>
      </c>
      <c r="R1278" s="8" t="n">
        <v>199</v>
      </c>
      <c r="S1278" s="10" t="n">
        <v>1</v>
      </c>
    </row>
    <row r="1279">
      <c r="A1279" s="7" t="inlineStr">
        <is>
          <t>MAT-32-102</t>
        </is>
      </c>
      <c r="B1279" s="4" t="inlineStr">
        <is>
          <t>Coupling de HG 1 1/4"</t>
        </is>
      </c>
      <c r="C1279" s="7" t="inlineStr">
        <is>
          <t>unidad</t>
        </is>
      </c>
      <c r="D1279" s="8" t="n"/>
      <c r="E1279" s="8" t="n"/>
      <c r="F1279" s="8" t="n">
        <v>141</v>
      </c>
      <c r="G1279" s="8" t="n"/>
      <c r="H1279" s="8" t="n"/>
      <c r="I1279" s="8" t="n"/>
      <c r="J1279" s="8" t="n"/>
      <c r="K1279" s="8" t="n"/>
      <c r="L1279" s="8" t="n"/>
      <c r="M1279" s="8">
        <f>IF(COUNT(D1279:L1279)=0,"",MIN(D1279:L1279))</f>
        <v/>
      </c>
      <c r="N1279" s="8">
        <f>IF(COUNT(D1279:L1279)=0,"",MEDIAN(D1279:L1279))</f>
        <v/>
      </c>
      <c r="O1279" s="8">
        <f>IF(COUNT(D1279:L1279)=0,"",MAX(D1279:L1279))</f>
        <v/>
      </c>
      <c r="P1279" s="9">
        <f>IF(OR(M1279="",M1279=0),"",(O1279-M1279)/M1279)</f>
        <v/>
      </c>
      <c r="Q1279" s="7">
        <f>IF(COUNT(D1279:L1279)=0,"",INDEX($D$1:$L$1,MATCH(MIN(D1279:L1279),D1279:L1279,0)))</f>
        <v/>
      </c>
      <c r="R1279" s="8" t="n">
        <v>141</v>
      </c>
      <c r="S1279" s="10" t="n">
        <v>1</v>
      </c>
    </row>
    <row r="1280">
      <c r="A1280" s="7" t="inlineStr">
        <is>
          <t>MAT-32-103</t>
        </is>
      </c>
      <c r="B1280" s="4" t="inlineStr">
        <is>
          <t>Coupling de HG 1/2"</t>
        </is>
      </c>
      <c r="C1280" s="7" t="inlineStr">
        <is>
          <t>unidad</t>
        </is>
      </c>
      <c r="D1280" s="8" t="n"/>
      <c r="E1280" s="8" t="n"/>
      <c r="F1280" s="8" t="n">
        <v>25</v>
      </c>
      <c r="G1280" s="8" t="n"/>
      <c r="H1280" s="8" t="n"/>
      <c r="I1280" s="8" t="n"/>
      <c r="J1280" s="8" t="n"/>
      <c r="K1280" s="8" t="n"/>
      <c r="L1280" s="8" t="n"/>
      <c r="M1280" s="8">
        <f>IF(COUNT(D1280:L1280)=0,"",MIN(D1280:L1280))</f>
        <v/>
      </c>
      <c r="N1280" s="8">
        <f>IF(COUNT(D1280:L1280)=0,"",MEDIAN(D1280:L1280))</f>
        <v/>
      </c>
      <c r="O1280" s="8">
        <f>IF(COUNT(D1280:L1280)=0,"",MAX(D1280:L1280))</f>
        <v/>
      </c>
      <c r="P1280" s="9">
        <f>IF(OR(M1280="",M1280=0),"",(O1280-M1280)/M1280)</f>
        <v/>
      </c>
      <c r="Q1280" s="7">
        <f>IF(COUNT(D1280:L1280)=0,"",INDEX($D$1:$L$1,MATCH(MIN(D1280:L1280),D1280:L1280,0)))</f>
        <v/>
      </c>
      <c r="R1280" s="8" t="n">
        <v>25</v>
      </c>
      <c r="S1280" s="10" t="n">
        <v>1</v>
      </c>
    </row>
    <row r="1281">
      <c r="A1281" s="7" t="inlineStr">
        <is>
          <t>MAT-32-104</t>
        </is>
      </c>
      <c r="B1281" s="4" t="inlineStr">
        <is>
          <t>Coupling de HG 1"</t>
        </is>
      </c>
      <c r="C1281" s="7" t="inlineStr">
        <is>
          <t>unidad</t>
        </is>
      </c>
      <c r="D1281" s="8" t="n"/>
      <c r="E1281" s="8" t="n"/>
      <c r="F1281" s="8" t="n">
        <v>65</v>
      </c>
      <c r="G1281" s="8" t="n"/>
      <c r="H1281" s="8" t="n"/>
      <c r="I1281" s="8" t="n"/>
      <c r="J1281" s="8" t="n"/>
      <c r="K1281" s="8" t="n"/>
      <c r="L1281" s="8" t="n"/>
      <c r="M1281" s="8">
        <f>IF(COUNT(D1281:L1281)=0,"",MIN(D1281:L1281))</f>
        <v/>
      </c>
      <c r="N1281" s="8">
        <f>IF(COUNT(D1281:L1281)=0,"",MEDIAN(D1281:L1281))</f>
        <v/>
      </c>
      <c r="O1281" s="8">
        <f>IF(COUNT(D1281:L1281)=0,"",MAX(D1281:L1281))</f>
        <v/>
      </c>
      <c r="P1281" s="9">
        <f>IF(OR(M1281="",M1281=0),"",(O1281-M1281)/M1281)</f>
        <v/>
      </c>
      <c r="Q1281" s="7">
        <f>IF(COUNT(D1281:L1281)=0,"",INDEX($D$1:$L$1,MATCH(MIN(D1281:L1281),D1281:L1281,0)))</f>
        <v/>
      </c>
      <c r="R1281" s="8" t="n">
        <v>65</v>
      </c>
      <c r="S1281" s="10" t="n">
        <v>1</v>
      </c>
    </row>
    <row r="1282">
      <c r="A1282" s="7" t="inlineStr">
        <is>
          <t>MAT-32-105</t>
        </is>
      </c>
      <c r="B1282" s="4" t="inlineStr">
        <is>
          <t>Coupling de HG 2"</t>
        </is>
      </c>
      <c r="C1282" s="7" t="inlineStr">
        <is>
          <t>unidad</t>
        </is>
      </c>
      <c r="D1282" s="8" t="n"/>
      <c r="E1282" s="8" t="n"/>
      <c r="F1282" s="8" t="n">
        <v>237</v>
      </c>
      <c r="G1282" s="8" t="n"/>
      <c r="H1282" s="8" t="n"/>
      <c r="I1282" s="8" t="n"/>
      <c r="J1282" s="8" t="n"/>
      <c r="K1282" s="8" t="n"/>
      <c r="L1282" s="8" t="n"/>
      <c r="M1282" s="8">
        <f>IF(COUNT(D1282:L1282)=0,"",MIN(D1282:L1282))</f>
        <v/>
      </c>
      <c r="N1282" s="8">
        <f>IF(COUNT(D1282:L1282)=0,"",MEDIAN(D1282:L1282))</f>
        <v/>
      </c>
      <c r="O1282" s="8">
        <f>IF(COUNT(D1282:L1282)=0,"",MAX(D1282:L1282))</f>
        <v/>
      </c>
      <c r="P1282" s="9">
        <f>IF(OR(M1282="",M1282=0),"",(O1282-M1282)/M1282)</f>
        <v/>
      </c>
      <c r="Q1282" s="7">
        <f>IF(COUNT(D1282:L1282)=0,"",INDEX($D$1:$L$1,MATCH(MIN(D1282:L1282),D1282:L1282,0)))</f>
        <v/>
      </c>
      <c r="R1282" s="8" t="n">
        <v>237</v>
      </c>
      <c r="S1282" s="10" t="n">
        <v>1</v>
      </c>
    </row>
    <row r="1283">
      <c r="A1283" s="7" t="inlineStr">
        <is>
          <t>MAT-32-106</t>
        </is>
      </c>
      <c r="B1283" s="4" t="inlineStr">
        <is>
          <t>Coupling de HG 3/4"</t>
        </is>
      </c>
      <c r="C1283" s="7" t="inlineStr">
        <is>
          <t>unidad</t>
        </is>
      </c>
      <c r="D1283" s="8" t="n"/>
      <c r="E1283" s="8" t="n"/>
      <c r="F1283" s="8" t="n">
        <v>35</v>
      </c>
      <c r="G1283" s="8" t="n"/>
      <c r="H1283" s="8" t="n"/>
      <c r="I1283" s="8" t="n"/>
      <c r="J1283" s="8" t="n"/>
      <c r="K1283" s="8" t="n"/>
      <c r="L1283" s="8" t="n"/>
      <c r="M1283" s="8">
        <f>IF(COUNT(D1283:L1283)=0,"",MIN(D1283:L1283))</f>
        <v/>
      </c>
      <c r="N1283" s="8">
        <f>IF(COUNT(D1283:L1283)=0,"",MEDIAN(D1283:L1283))</f>
        <v/>
      </c>
      <c r="O1283" s="8">
        <f>IF(COUNT(D1283:L1283)=0,"",MAX(D1283:L1283))</f>
        <v/>
      </c>
      <c r="P1283" s="9">
        <f>IF(OR(M1283="",M1283=0),"",(O1283-M1283)/M1283)</f>
        <v/>
      </c>
      <c r="Q1283" s="7">
        <f>IF(COUNT(D1283:L1283)=0,"",INDEX($D$1:$L$1,MATCH(MIN(D1283:L1283),D1283:L1283,0)))</f>
        <v/>
      </c>
      <c r="R1283" s="8" t="n">
        <v>35</v>
      </c>
      <c r="S1283" s="10" t="n">
        <v>1</v>
      </c>
    </row>
    <row r="1284">
      <c r="A1284" s="7" t="inlineStr">
        <is>
          <t>MAT-32-107</t>
        </is>
      </c>
      <c r="B1284" s="4" t="inlineStr">
        <is>
          <t>Coupling de HG 3/8"</t>
        </is>
      </c>
      <c r="C1284" s="7" t="inlineStr">
        <is>
          <t>unidad</t>
        </is>
      </c>
      <c r="D1284" s="8" t="n"/>
      <c r="E1284" s="8" t="n"/>
      <c r="F1284" s="8" t="n">
        <v>42</v>
      </c>
      <c r="G1284" s="8" t="n"/>
      <c r="H1284" s="8" t="n"/>
      <c r="I1284" s="8" t="n"/>
      <c r="J1284" s="8" t="n"/>
      <c r="K1284" s="8" t="n"/>
      <c r="L1284" s="8" t="n"/>
      <c r="M1284" s="8">
        <f>IF(COUNT(D1284:L1284)=0,"",MIN(D1284:L1284))</f>
        <v/>
      </c>
      <c r="N1284" s="8">
        <f>IF(COUNT(D1284:L1284)=0,"",MEDIAN(D1284:L1284))</f>
        <v/>
      </c>
      <c r="O1284" s="8">
        <f>IF(COUNT(D1284:L1284)=0,"",MAX(D1284:L1284))</f>
        <v/>
      </c>
      <c r="P1284" s="9">
        <f>IF(OR(M1284="",M1284=0),"",(O1284-M1284)/M1284)</f>
        <v/>
      </c>
      <c r="Q1284" s="7">
        <f>IF(COUNT(D1284:L1284)=0,"",INDEX($D$1:$L$1,MATCH(MIN(D1284:L1284),D1284:L1284,0)))</f>
        <v/>
      </c>
      <c r="R1284" s="8" t="n">
        <v>42</v>
      </c>
      <c r="S1284" s="10" t="n">
        <v>1</v>
      </c>
    </row>
    <row r="1285">
      <c r="A1285" s="7" t="inlineStr">
        <is>
          <t>MAT-32-108</t>
        </is>
      </c>
      <c r="B1285" s="4" t="inlineStr">
        <is>
          <t>Coupling de niquelado 1/2"</t>
        </is>
      </c>
      <c r="C1285" s="7" t="inlineStr">
        <is>
          <t>unidad</t>
        </is>
      </c>
      <c r="D1285" s="8" t="n"/>
      <c r="E1285" s="8" t="n"/>
      <c r="F1285" s="8" t="n">
        <v>247</v>
      </c>
      <c r="G1285" s="8" t="n"/>
      <c r="H1285" s="8" t="n"/>
      <c r="I1285" s="8" t="n"/>
      <c r="J1285" s="8" t="n"/>
      <c r="K1285" s="8" t="n"/>
      <c r="L1285" s="8" t="n"/>
      <c r="M1285" s="8">
        <f>IF(COUNT(D1285:L1285)=0,"",MIN(D1285:L1285))</f>
        <v/>
      </c>
      <c r="N1285" s="8">
        <f>IF(COUNT(D1285:L1285)=0,"",MEDIAN(D1285:L1285))</f>
        <v/>
      </c>
      <c r="O1285" s="8">
        <f>IF(COUNT(D1285:L1285)=0,"",MAX(D1285:L1285))</f>
        <v/>
      </c>
      <c r="P1285" s="9">
        <f>IF(OR(M1285="",M1285=0),"",(O1285-M1285)/M1285)</f>
        <v/>
      </c>
      <c r="Q1285" s="7">
        <f>IF(COUNT(D1285:L1285)=0,"",INDEX($D$1:$L$1,MATCH(MIN(D1285:L1285),D1285:L1285,0)))</f>
        <v/>
      </c>
      <c r="R1285" s="8" t="n">
        <v>247</v>
      </c>
      <c r="S1285" s="10" t="n">
        <v>1</v>
      </c>
    </row>
    <row r="1286">
      <c r="A1286" s="7" t="inlineStr">
        <is>
          <t>MAT-32-109</t>
        </is>
      </c>
      <c r="B1286" s="4" t="inlineStr">
        <is>
          <t>Coupling de PPR 25 mm</t>
        </is>
      </c>
      <c r="C1286" s="7" t="inlineStr">
        <is>
          <t>unidad</t>
        </is>
      </c>
      <c r="D1286" s="8" t="n"/>
      <c r="E1286" s="8" t="n"/>
      <c r="F1286" s="8" t="n">
        <v>40</v>
      </c>
      <c r="G1286" s="8" t="n"/>
      <c r="H1286" s="8" t="n"/>
      <c r="I1286" s="8" t="n"/>
      <c r="J1286" s="8" t="n"/>
      <c r="K1286" s="8" t="n"/>
      <c r="L1286" s="8" t="n"/>
      <c r="M1286" s="8">
        <f>IF(COUNT(D1286:L1286)=0,"",MIN(D1286:L1286))</f>
        <v/>
      </c>
      <c r="N1286" s="8">
        <f>IF(COUNT(D1286:L1286)=0,"",MEDIAN(D1286:L1286))</f>
        <v/>
      </c>
      <c r="O1286" s="8">
        <f>IF(COUNT(D1286:L1286)=0,"",MAX(D1286:L1286))</f>
        <v/>
      </c>
      <c r="P1286" s="9">
        <f>IF(OR(M1286="",M1286=0),"",(O1286-M1286)/M1286)</f>
        <v/>
      </c>
      <c r="Q1286" s="7">
        <f>IF(COUNT(D1286:L1286)=0,"",INDEX($D$1:$L$1,MATCH(MIN(D1286:L1286),D1286:L1286,0)))</f>
        <v/>
      </c>
      <c r="R1286" s="8" t="n">
        <v>40</v>
      </c>
      <c r="S1286" s="10" t="n">
        <v>1</v>
      </c>
    </row>
    <row r="1287">
      <c r="A1287" s="7" t="inlineStr">
        <is>
          <t>MAT-32-110</t>
        </is>
      </c>
      <c r="B1287" s="4" t="inlineStr">
        <is>
          <t>Coupling de PPR 32 mm</t>
        </is>
      </c>
      <c r="C1287" s="7" t="inlineStr">
        <is>
          <t>unidad</t>
        </is>
      </c>
      <c r="D1287" s="8" t="n"/>
      <c r="E1287" s="8" t="n"/>
      <c r="F1287" s="8" t="n">
        <v>35</v>
      </c>
      <c r="G1287" s="8" t="n"/>
      <c r="H1287" s="8" t="n"/>
      <c r="I1287" s="8" t="n"/>
      <c r="J1287" s="8" t="n"/>
      <c r="K1287" s="8" t="n"/>
      <c r="L1287" s="8" t="n"/>
      <c r="M1287" s="8">
        <f>IF(COUNT(D1287:L1287)=0,"",MIN(D1287:L1287))</f>
        <v/>
      </c>
      <c r="N1287" s="8">
        <f>IF(COUNT(D1287:L1287)=0,"",MEDIAN(D1287:L1287))</f>
        <v/>
      </c>
      <c r="O1287" s="8">
        <f>IF(COUNT(D1287:L1287)=0,"",MAX(D1287:L1287))</f>
        <v/>
      </c>
      <c r="P1287" s="9">
        <f>IF(OR(M1287="",M1287=0),"",(O1287-M1287)/M1287)</f>
        <v/>
      </c>
      <c r="Q1287" s="7">
        <f>IF(COUNT(D1287:L1287)=0,"",INDEX($D$1:$L$1,MATCH(MIN(D1287:L1287),D1287:L1287,0)))</f>
        <v/>
      </c>
      <c r="R1287" s="8" t="n">
        <v>35</v>
      </c>
      <c r="S1287" s="10" t="n">
        <v>1</v>
      </c>
    </row>
    <row r="1288">
      <c r="A1288" s="7" t="inlineStr">
        <is>
          <t>MAT-32-111</t>
        </is>
      </c>
      <c r="B1288" s="4" t="inlineStr">
        <is>
          <t>Coupling de PVC presión 1 1/2"</t>
        </is>
      </c>
      <c r="C1288" s="7" t="inlineStr">
        <is>
          <t>unidad</t>
        </is>
      </c>
      <c r="D1288" s="8" t="n"/>
      <c r="E1288" s="8" t="n"/>
      <c r="F1288" s="8" t="n">
        <v>65</v>
      </c>
      <c r="G1288" s="8" t="n"/>
      <c r="H1288" s="8" t="n"/>
      <c r="I1288" s="8" t="n"/>
      <c r="J1288" s="8" t="n"/>
      <c r="K1288" s="8" t="n"/>
      <c r="L1288" s="8" t="n"/>
      <c r="M1288" s="8">
        <f>IF(COUNT(D1288:L1288)=0,"",MIN(D1288:L1288))</f>
        <v/>
      </c>
      <c r="N1288" s="8">
        <f>IF(COUNT(D1288:L1288)=0,"",MEDIAN(D1288:L1288))</f>
        <v/>
      </c>
      <c r="O1288" s="8">
        <f>IF(COUNT(D1288:L1288)=0,"",MAX(D1288:L1288))</f>
        <v/>
      </c>
      <c r="P1288" s="9">
        <f>IF(OR(M1288="",M1288=0),"",(O1288-M1288)/M1288)</f>
        <v/>
      </c>
      <c r="Q1288" s="7">
        <f>IF(COUNT(D1288:L1288)=0,"",INDEX($D$1:$L$1,MATCH(MIN(D1288:L1288),D1288:L1288,0)))</f>
        <v/>
      </c>
      <c r="R1288" s="8" t="n">
        <v>65</v>
      </c>
      <c r="S1288" s="10" t="n">
        <v>1</v>
      </c>
    </row>
    <row r="1289">
      <c r="A1289" s="7" t="inlineStr">
        <is>
          <t>MAT-32-112</t>
        </is>
      </c>
      <c r="B1289" s="4" t="inlineStr">
        <is>
          <t>Coupling de PVC presión 1/2"</t>
        </is>
      </c>
      <c r="C1289" s="7" t="inlineStr">
        <is>
          <t>unidad</t>
        </is>
      </c>
      <c r="D1289" s="8" t="n"/>
      <c r="E1289" s="8" t="n"/>
      <c r="F1289" s="8" t="n">
        <v>27</v>
      </c>
      <c r="G1289" s="8" t="n"/>
      <c r="H1289" s="8" t="n"/>
      <c r="I1289" s="8" t="n"/>
      <c r="J1289" s="8" t="n"/>
      <c r="K1289" s="8" t="n"/>
      <c r="L1289" s="8" t="n"/>
      <c r="M1289" s="8">
        <f>IF(COUNT(D1289:L1289)=0,"",MIN(D1289:L1289))</f>
        <v/>
      </c>
      <c r="N1289" s="8">
        <f>IF(COUNT(D1289:L1289)=0,"",MEDIAN(D1289:L1289))</f>
        <v/>
      </c>
      <c r="O1289" s="8">
        <f>IF(COUNT(D1289:L1289)=0,"",MAX(D1289:L1289))</f>
        <v/>
      </c>
      <c r="P1289" s="9">
        <f>IF(OR(M1289="",M1289=0),"",(O1289-M1289)/M1289)</f>
        <v/>
      </c>
      <c r="Q1289" s="7">
        <f>IF(COUNT(D1289:L1289)=0,"",INDEX($D$1:$L$1,MATCH(MIN(D1289:L1289),D1289:L1289,0)))</f>
        <v/>
      </c>
      <c r="R1289" s="8" t="n">
        <v>27</v>
      </c>
      <c r="S1289" s="10" t="n">
        <v>1</v>
      </c>
    </row>
    <row r="1290">
      <c r="A1290" s="7" t="inlineStr">
        <is>
          <t>MAT-32-113</t>
        </is>
      </c>
      <c r="B1290" s="4" t="inlineStr">
        <is>
          <t>Coupling de PVC presión 1"</t>
        </is>
      </c>
      <c r="C1290" s="7" t="inlineStr">
        <is>
          <t>unidad</t>
        </is>
      </c>
      <c r="D1290" s="8" t="n"/>
      <c r="E1290" s="8" t="n"/>
      <c r="F1290" s="8" t="n">
        <v>41</v>
      </c>
      <c r="G1290" s="8" t="n"/>
      <c r="H1290" s="8" t="n"/>
      <c r="I1290" s="8" t="n"/>
      <c r="J1290" s="8" t="n"/>
      <c r="K1290" s="8" t="n"/>
      <c r="L1290" s="8" t="n"/>
      <c r="M1290" s="8">
        <f>IF(COUNT(D1290:L1290)=0,"",MIN(D1290:L1290))</f>
        <v/>
      </c>
      <c r="N1290" s="8">
        <f>IF(COUNT(D1290:L1290)=0,"",MEDIAN(D1290:L1290))</f>
        <v/>
      </c>
      <c r="O1290" s="8">
        <f>IF(COUNT(D1290:L1290)=0,"",MAX(D1290:L1290))</f>
        <v/>
      </c>
      <c r="P1290" s="9">
        <f>IF(OR(M1290="",M1290=0),"",(O1290-M1290)/M1290)</f>
        <v/>
      </c>
      <c r="Q1290" s="7">
        <f>IF(COUNT(D1290:L1290)=0,"",INDEX($D$1:$L$1,MATCH(MIN(D1290:L1290),D1290:L1290,0)))</f>
        <v/>
      </c>
      <c r="R1290" s="8" t="n">
        <v>41</v>
      </c>
      <c r="S1290" s="10" t="n">
        <v>1</v>
      </c>
    </row>
    <row r="1291">
      <c r="A1291" s="7" t="inlineStr">
        <is>
          <t>MAT-32-114</t>
        </is>
      </c>
      <c r="B1291" s="4" t="inlineStr">
        <is>
          <t>Coupling de PVC presión 2"</t>
        </is>
      </c>
      <c r="C1291" s="7" t="inlineStr">
        <is>
          <t>unidad</t>
        </is>
      </c>
      <c r="D1291" s="8" t="n"/>
      <c r="E1291" s="8" t="n"/>
      <c r="F1291" s="8" t="n">
        <v>95</v>
      </c>
      <c r="G1291" s="8" t="n"/>
      <c r="H1291" s="8" t="n"/>
      <c r="I1291" s="8" t="n"/>
      <c r="J1291" s="8" t="n"/>
      <c r="K1291" s="8" t="n"/>
      <c r="L1291" s="8" t="n"/>
      <c r="M1291" s="8">
        <f>IF(COUNT(D1291:L1291)=0,"",MIN(D1291:L1291))</f>
        <v/>
      </c>
      <c r="N1291" s="8">
        <f>IF(COUNT(D1291:L1291)=0,"",MEDIAN(D1291:L1291))</f>
        <v/>
      </c>
      <c r="O1291" s="8">
        <f>IF(COUNT(D1291:L1291)=0,"",MAX(D1291:L1291))</f>
        <v/>
      </c>
      <c r="P1291" s="9">
        <f>IF(OR(M1291="",M1291=0),"",(O1291-M1291)/M1291)</f>
        <v/>
      </c>
      <c r="Q1291" s="7">
        <f>IF(COUNT(D1291:L1291)=0,"",INDEX($D$1:$L$1,MATCH(MIN(D1291:L1291),D1291:L1291,0)))</f>
        <v/>
      </c>
      <c r="R1291" s="8" t="n">
        <v>95</v>
      </c>
      <c r="S1291" s="10" t="n">
        <v>1</v>
      </c>
    </row>
    <row r="1292">
      <c r="A1292" s="7" t="inlineStr">
        <is>
          <t>MAT-32-115</t>
        </is>
      </c>
      <c r="B1292" s="4" t="inlineStr">
        <is>
          <t>Coupling de PVC presión 3/4"</t>
        </is>
      </c>
      <c r="C1292" s="7" t="inlineStr">
        <is>
          <t>unidad</t>
        </is>
      </c>
      <c r="D1292" s="8" t="n"/>
      <c r="E1292" s="8" t="n"/>
      <c r="F1292" s="8" t="n">
        <v>26</v>
      </c>
      <c r="G1292" s="8" t="n"/>
      <c r="H1292" s="8" t="n"/>
      <c r="I1292" s="8" t="n"/>
      <c r="J1292" s="8" t="n"/>
      <c r="K1292" s="8" t="n"/>
      <c r="L1292" s="8" t="n"/>
      <c r="M1292" s="8">
        <f>IF(COUNT(D1292:L1292)=0,"",MIN(D1292:L1292))</f>
        <v/>
      </c>
      <c r="N1292" s="8">
        <f>IF(COUNT(D1292:L1292)=0,"",MEDIAN(D1292:L1292))</f>
        <v/>
      </c>
      <c r="O1292" s="8">
        <f>IF(COUNT(D1292:L1292)=0,"",MAX(D1292:L1292))</f>
        <v/>
      </c>
      <c r="P1292" s="9">
        <f>IF(OR(M1292="",M1292=0),"",(O1292-M1292)/M1292)</f>
        <v/>
      </c>
      <c r="Q1292" s="7">
        <f>IF(COUNT(D1292:L1292)=0,"",INDEX($D$1:$L$1,MATCH(MIN(D1292:L1292),D1292:L1292,0)))</f>
        <v/>
      </c>
      <c r="R1292" s="8" t="n">
        <v>26</v>
      </c>
      <c r="S1292" s="10" t="n">
        <v>1</v>
      </c>
    </row>
    <row r="1293">
      <c r="A1293" s="7" t="inlineStr">
        <is>
          <t>MAT-32-116</t>
        </is>
      </c>
      <c r="B1293" s="4" t="inlineStr">
        <is>
          <t>Coupling de PVC presión 3"</t>
        </is>
      </c>
      <c r="C1293" s="7" t="inlineStr">
        <is>
          <t>unidad</t>
        </is>
      </c>
      <c r="D1293" s="8" t="n"/>
      <c r="E1293" s="8" t="n"/>
      <c r="F1293" s="8" t="n">
        <v>215</v>
      </c>
      <c r="G1293" s="8" t="n"/>
      <c r="H1293" s="8" t="n"/>
      <c r="I1293" s="8" t="n"/>
      <c r="J1293" s="8" t="n"/>
      <c r="K1293" s="8" t="n"/>
      <c r="L1293" s="8" t="n"/>
      <c r="M1293" s="8">
        <f>IF(COUNT(D1293:L1293)=0,"",MIN(D1293:L1293))</f>
        <v/>
      </c>
      <c r="N1293" s="8">
        <f>IF(COUNT(D1293:L1293)=0,"",MEDIAN(D1293:L1293))</f>
        <v/>
      </c>
      <c r="O1293" s="8">
        <f>IF(COUNT(D1293:L1293)=0,"",MAX(D1293:L1293))</f>
        <v/>
      </c>
      <c r="P1293" s="9">
        <f>IF(OR(M1293="",M1293=0),"",(O1293-M1293)/M1293)</f>
        <v/>
      </c>
      <c r="Q1293" s="7">
        <f>IF(COUNT(D1293:L1293)=0,"",INDEX($D$1:$L$1,MATCH(MIN(D1293:L1293),D1293:L1293,0)))</f>
        <v/>
      </c>
      <c r="R1293" s="8" t="n">
        <v>215</v>
      </c>
      <c r="S1293" s="10" t="n">
        <v>1</v>
      </c>
    </row>
    <row r="1294">
      <c r="A1294" s="7" t="inlineStr">
        <is>
          <t>MAT-32-117</t>
        </is>
      </c>
      <c r="B1294" s="4" t="inlineStr">
        <is>
          <t>Coupling de PVC presión 4"</t>
        </is>
      </c>
      <c r="C1294" s="7" t="inlineStr">
        <is>
          <t>unidad</t>
        </is>
      </c>
      <c r="D1294" s="8" t="n"/>
      <c r="E1294" s="8" t="n"/>
      <c r="F1294" s="8" t="n">
        <v>335</v>
      </c>
      <c r="G1294" s="8" t="n"/>
      <c r="H1294" s="8" t="n"/>
      <c r="I1294" s="8" t="n"/>
      <c r="J1294" s="8" t="n"/>
      <c r="K1294" s="8" t="n"/>
      <c r="L1294" s="8" t="n"/>
      <c r="M1294" s="8">
        <f>IF(COUNT(D1294:L1294)=0,"",MIN(D1294:L1294))</f>
        <v/>
      </c>
      <c r="N1294" s="8">
        <f>IF(COUNT(D1294:L1294)=0,"",MEDIAN(D1294:L1294))</f>
        <v/>
      </c>
      <c r="O1294" s="8">
        <f>IF(COUNT(D1294:L1294)=0,"",MAX(D1294:L1294))</f>
        <v/>
      </c>
      <c r="P1294" s="9">
        <f>IF(OR(M1294="",M1294=0),"",(O1294-M1294)/M1294)</f>
        <v/>
      </c>
      <c r="Q1294" s="7">
        <f>IF(COUNT(D1294:L1294)=0,"",INDEX($D$1:$L$1,MATCH(MIN(D1294:L1294),D1294:L1294,0)))</f>
        <v/>
      </c>
      <c r="R1294" s="8" t="n">
        <v>335</v>
      </c>
      <c r="S1294" s="10" t="n">
        <v>1</v>
      </c>
    </row>
    <row r="1295">
      <c r="A1295" s="7" t="inlineStr">
        <is>
          <t>MAT-32-118</t>
        </is>
      </c>
      <c r="B1295" s="4" t="inlineStr">
        <is>
          <t>Cruz de PVC presión 1"</t>
        </is>
      </c>
      <c r="C1295" s="7" t="inlineStr">
        <is>
          <t>unidad</t>
        </is>
      </c>
      <c r="D1295" s="8" t="n"/>
      <c r="E1295" s="8" t="n"/>
      <c r="F1295" s="8" t="n">
        <v>136</v>
      </c>
      <c r="G1295" s="8" t="n"/>
      <c r="H1295" s="8" t="n"/>
      <c r="I1295" s="8" t="n"/>
      <c r="J1295" s="8" t="n"/>
      <c r="K1295" s="8" t="n"/>
      <c r="L1295" s="8" t="n"/>
      <c r="M1295" s="8">
        <f>IF(COUNT(D1295:L1295)=0,"",MIN(D1295:L1295))</f>
        <v/>
      </c>
      <c r="N1295" s="8">
        <f>IF(COUNT(D1295:L1295)=0,"",MEDIAN(D1295:L1295))</f>
        <v/>
      </c>
      <c r="O1295" s="8">
        <f>IF(COUNT(D1295:L1295)=0,"",MAX(D1295:L1295))</f>
        <v/>
      </c>
      <c r="P1295" s="9">
        <f>IF(OR(M1295="",M1295=0),"",(O1295-M1295)/M1295)</f>
        <v/>
      </c>
      <c r="Q1295" s="7">
        <f>IF(COUNT(D1295:L1295)=0,"",INDEX($D$1:$L$1,MATCH(MIN(D1295:L1295),D1295:L1295,0)))</f>
        <v/>
      </c>
      <c r="R1295" s="8" t="n">
        <v>136</v>
      </c>
      <c r="S1295" s="10" t="n">
        <v>1</v>
      </c>
    </row>
    <row r="1296">
      <c r="A1296" s="7" t="inlineStr">
        <is>
          <t>MAT-32-119</t>
        </is>
      </c>
      <c r="B1296" s="4" t="inlineStr">
        <is>
          <t>Fitting de manguera 1/2" x 1/4"</t>
        </is>
      </c>
      <c r="C1296" s="7" t="inlineStr">
        <is>
          <t>unidad</t>
        </is>
      </c>
      <c r="D1296" s="8" t="n"/>
      <c r="E1296" s="8" t="n"/>
      <c r="F1296" s="8" t="n">
        <v>165</v>
      </c>
      <c r="G1296" s="8" t="n"/>
      <c r="H1296" s="8" t="n"/>
      <c r="I1296" s="8" t="n"/>
      <c r="J1296" s="8" t="n"/>
      <c r="K1296" s="8" t="n"/>
      <c r="L1296" s="8" t="n"/>
      <c r="M1296" s="8">
        <f>IF(COUNT(D1296:L1296)=0,"",MIN(D1296:L1296))</f>
        <v/>
      </c>
      <c r="N1296" s="8">
        <f>IF(COUNT(D1296:L1296)=0,"",MEDIAN(D1296:L1296))</f>
        <v/>
      </c>
      <c r="O1296" s="8">
        <f>IF(COUNT(D1296:L1296)=0,"",MAX(D1296:L1296))</f>
        <v/>
      </c>
      <c r="P1296" s="9">
        <f>IF(OR(M1296="",M1296=0),"",(O1296-M1296)/M1296)</f>
        <v/>
      </c>
      <c r="Q1296" s="7">
        <f>IF(COUNT(D1296:L1296)=0,"",INDEX($D$1:$L$1,MATCH(MIN(D1296:L1296),D1296:L1296,0)))</f>
        <v/>
      </c>
      <c r="R1296" s="8" t="n">
        <v>165</v>
      </c>
      <c r="S1296" s="10" t="n">
        <v>1</v>
      </c>
    </row>
    <row r="1297">
      <c r="A1297" s="7" t="inlineStr">
        <is>
          <t>MAT-32-120</t>
        </is>
      </c>
      <c r="B1297" s="4" t="inlineStr">
        <is>
          <t>Fitting de manguera 1/2" x 3/8"</t>
        </is>
      </c>
      <c r="C1297" s="7" t="inlineStr">
        <is>
          <t>unidad</t>
        </is>
      </c>
      <c r="D1297" s="8" t="n"/>
      <c r="E1297" s="8" t="n"/>
      <c r="F1297" s="8" t="n">
        <v>205</v>
      </c>
      <c r="G1297" s="8" t="n"/>
      <c r="H1297" s="8" t="n"/>
      <c r="I1297" s="8" t="n"/>
      <c r="J1297" s="8" t="n"/>
      <c r="K1297" s="8" t="n"/>
      <c r="L1297" s="8" t="n"/>
      <c r="M1297" s="8">
        <f>IF(COUNT(D1297:L1297)=0,"",MIN(D1297:L1297))</f>
        <v/>
      </c>
      <c r="N1297" s="8">
        <f>IF(COUNT(D1297:L1297)=0,"",MEDIAN(D1297:L1297))</f>
        <v/>
      </c>
      <c r="O1297" s="8">
        <f>IF(COUNT(D1297:L1297)=0,"",MAX(D1297:L1297))</f>
        <v/>
      </c>
      <c r="P1297" s="9">
        <f>IF(OR(M1297="",M1297=0),"",(O1297-M1297)/M1297)</f>
        <v/>
      </c>
      <c r="Q1297" s="7">
        <f>IF(COUNT(D1297:L1297)=0,"",INDEX($D$1:$L$1,MATCH(MIN(D1297:L1297),D1297:L1297,0)))</f>
        <v/>
      </c>
      <c r="R1297" s="8" t="n">
        <v>205</v>
      </c>
      <c r="S1297" s="10" t="n">
        <v>1</v>
      </c>
    </row>
    <row r="1298">
      <c r="A1298" s="7" t="inlineStr">
        <is>
          <t>MAT-32-121</t>
        </is>
      </c>
      <c r="B1298" s="4" t="inlineStr">
        <is>
          <t>Fitting de manguera 1/4" x 3/8"</t>
        </is>
      </c>
      <c r="C1298" s="7" t="inlineStr">
        <is>
          <t>unidad</t>
        </is>
      </c>
      <c r="D1298" s="8" t="n"/>
      <c r="E1298" s="8" t="n"/>
      <c r="F1298" s="8" t="n">
        <v>122</v>
      </c>
      <c r="G1298" s="8" t="n"/>
      <c r="H1298" s="8" t="n"/>
      <c r="I1298" s="8" t="n"/>
      <c r="J1298" s="8" t="n"/>
      <c r="K1298" s="8" t="n"/>
      <c r="L1298" s="8" t="n"/>
      <c r="M1298" s="8">
        <f>IF(COUNT(D1298:L1298)=0,"",MIN(D1298:L1298))</f>
        <v/>
      </c>
      <c r="N1298" s="8">
        <f>IF(COUNT(D1298:L1298)=0,"",MEDIAN(D1298:L1298))</f>
        <v/>
      </c>
      <c r="O1298" s="8">
        <f>IF(COUNT(D1298:L1298)=0,"",MAX(D1298:L1298))</f>
        <v/>
      </c>
      <c r="P1298" s="9">
        <f>IF(OR(M1298="",M1298=0),"",(O1298-M1298)/M1298)</f>
        <v/>
      </c>
      <c r="Q1298" s="7">
        <f>IF(COUNT(D1298:L1298)=0,"",INDEX($D$1:$L$1,MATCH(MIN(D1298:L1298),D1298:L1298,0)))</f>
        <v/>
      </c>
      <c r="R1298" s="8" t="n">
        <v>122</v>
      </c>
      <c r="S1298" s="10" t="n">
        <v>1</v>
      </c>
    </row>
    <row r="1299">
      <c r="A1299" s="7" t="inlineStr">
        <is>
          <t>MAT-32-122</t>
        </is>
      </c>
      <c r="B1299" s="4" t="inlineStr">
        <is>
          <t>Fitting de manguera 3/8" x 1/4"</t>
        </is>
      </c>
      <c r="C1299" s="7" t="inlineStr">
        <is>
          <t>unidad</t>
        </is>
      </c>
      <c r="D1299" s="8" t="n"/>
      <c r="E1299" s="8" t="n"/>
      <c r="F1299" s="8" t="n">
        <v>102</v>
      </c>
      <c r="G1299" s="8" t="n"/>
      <c r="H1299" s="8" t="n"/>
      <c r="I1299" s="8" t="n"/>
      <c r="J1299" s="8" t="n"/>
      <c r="K1299" s="8" t="n"/>
      <c r="L1299" s="8" t="n"/>
      <c r="M1299" s="8">
        <f>IF(COUNT(D1299:L1299)=0,"",MIN(D1299:L1299))</f>
        <v/>
      </c>
      <c r="N1299" s="8">
        <f>IF(COUNT(D1299:L1299)=0,"",MEDIAN(D1299:L1299))</f>
        <v/>
      </c>
      <c r="O1299" s="8">
        <f>IF(COUNT(D1299:L1299)=0,"",MAX(D1299:L1299))</f>
        <v/>
      </c>
      <c r="P1299" s="9">
        <f>IF(OR(M1299="",M1299=0),"",(O1299-M1299)/M1299)</f>
        <v/>
      </c>
      <c r="Q1299" s="7">
        <f>IF(COUNT(D1299:L1299)=0,"",INDEX($D$1:$L$1,MATCH(MIN(D1299:L1299),D1299:L1299,0)))</f>
        <v/>
      </c>
      <c r="R1299" s="8" t="n">
        <v>102</v>
      </c>
      <c r="S1299" s="10" t="n">
        <v>1</v>
      </c>
    </row>
    <row r="1300">
      <c r="A1300" s="7" t="inlineStr">
        <is>
          <t>MAT-32-123</t>
        </is>
      </c>
      <c r="B1300" s="4" t="inlineStr">
        <is>
          <t>Junta de PVC 1 1/2"</t>
        </is>
      </c>
      <c r="C1300" s="7" t="inlineStr">
        <is>
          <t>unidad</t>
        </is>
      </c>
      <c r="D1300" s="8" t="n"/>
      <c r="E1300" s="8" t="n"/>
      <c r="F1300" s="8" t="n">
        <v>308</v>
      </c>
      <c r="G1300" s="8" t="n"/>
      <c r="H1300" s="8" t="n"/>
      <c r="I1300" s="8" t="n"/>
      <c r="J1300" s="8" t="n"/>
      <c r="K1300" s="8" t="n"/>
      <c r="L1300" s="8" t="n"/>
      <c r="M1300" s="8">
        <f>IF(COUNT(D1300:L1300)=0,"",MIN(D1300:L1300))</f>
        <v/>
      </c>
      <c r="N1300" s="8">
        <f>IF(COUNT(D1300:L1300)=0,"",MEDIAN(D1300:L1300))</f>
        <v/>
      </c>
      <c r="O1300" s="8">
        <f>IF(COUNT(D1300:L1300)=0,"",MAX(D1300:L1300))</f>
        <v/>
      </c>
      <c r="P1300" s="9">
        <f>IF(OR(M1300="",M1300=0),"",(O1300-M1300)/M1300)</f>
        <v/>
      </c>
      <c r="Q1300" s="7">
        <f>IF(COUNT(D1300:L1300)=0,"",INDEX($D$1:$L$1,MATCH(MIN(D1300:L1300),D1300:L1300,0)))</f>
        <v/>
      </c>
      <c r="R1300" s="8" t="n">
        <v>308</v>
      </c>
      <c r="S1300" s="10" t="n">
        <v>1</v>
      </c>
    </row>
    <row r="1301">
      <c r="A1301" s="7" t="inlineStr">
        <is>
          <t>MAT-32-124</t>
        </is>
      </c>
      <c r="B1301" s="4" t="inlineStr">
        <is>
          <t>Junta de PVC 1/2"</t>
        </is>
      </c>
      <c r="C1301" s="7" t="inlineStr">
        <is>
          <t>unidad</t>
        </is>
      </c>
      <c r="D1301" s="8" t="n"/>
      <c r="E1301" s="8" t="n"/>
      <c r="F1301" s="8" t="n">
        <v>86</v>
      </c>
      <c r="G1301" s="8" t="n"/>
      <c r="H1301" s="8" t="n"/>
      <c r="I1301" s="8" t="n"/>
      <c r="J1301" s="8" t="n"/>
      <c r="K1301" s="8" t="n"/>
      <c r="L1301" s="8" t="n"/>
      <c r="M1301" s="8">
        <f>IF(COUNT(D1301:L1301)=0,"",MIN(D1301:L1301))</f>
        <v/>
      </c>
      <c r="N1301" s="8">
        <f>IF(COUNT(D1301:L1301)=0,"",MEDIAN(D1301:L1301))</f>
        <v/>
      </c>
      <c r="O1301" s="8">
        <f>IF(COUNT(D1301:L1301)=0,"",MAX(D1301:L1301))</f>
        <v/>
      </c>
      <c r="P1301" s="9">
        <f>IF(OR(M1301="",M1301=0),"",(O1301-M1301)/M1301)</f>
        <v/>
      </c>
      <c r="Q1301" s="7">
        <f>IF(COUNT(D1301:L1301)=0,"",INDEX($D$1:$L$1,MATCH(MIN(D1301:L1301),D1301:L1301,0)))</f>
        <v/>
      </c>
      <c r="R1301" s="8" t="n">
        <v>86</v>
      </c>
      <c r="S1301" s="10" t="n">
        <v>1</v>
      </c>
    </row>
    <row r="1302">
      <c r="A1302" s="7" t="inlineStr">
        <is>
          <t>MAT-32-125</t>
        </is>
      </c>
      <c r="B1302" s="4" t="inlineStr">
        <is>
          <t>Junta de PVC 1"</t>
        </is>
      </c>
      <c r="C1302" s="7" t="inlineStr">
        <is>
          <t>unidad</t>
        </is>
      </c>
      <c r="D1302" s="8" t="n"/>
      <c r="E1302" s="8" t="n"/>
      <c r="F1302" s="8" t="n">
        <v>160</v>
      </c>
      <c r="G1302" s="8" t="n"/>
      <c r="H1302" s="8" t="n"/>
      <c r="I1302" s="8" t="n"/>
      <c r="J1302" s="8" t="n"/>
      <c r="K1302" s="8" t="n"/>
      <c r="L1302" s="8" t="n"/>
      <c r="M1302" s="8">
        <f>IF(COUNT(D1302:L1302)=0,"",MIN(D1302:L1302))</f>
        <v/>
      </c>
      <c r="N1302" s="8">
        <f>IF(COUNT(D1302:L1302)=0,"",MEDIAN(D1302:L1302))</f>
        <v/>
      </c>
      <c r="O1302" s="8">
        <f>IF(COUNT(D1302:L1302)=0,"",MAX(D1302:L1302))</f>
        <v/>
      </c>
      <c r="P1302" s="9">
        <f>IF(OR(M1302="",M1302=0),"",(O1302-M1302)/M1302)</f>
        <v/>
      </c>
      <c r="Q1302" s="7">
        <f>IF(COUNT(D1302:L1302)=0,"",INDEX($D$1:$L$1,MATCH(MIN(D1302:L1302),D1302:L1302,0)))</f>
        <v/>
      </c>
      <c r="R1302" s="8" t="n">
        <v>160</v>
      </c>
      <c r="S1302" s="10" t="n">
        <v>1</v>
      </c>
    </row>
    <row r="1303">
      <c r="A1303" s="7" t="inlineStr">
        <is>
          <t>MAT-32-126</t>
        </is>
      </c>
      <c r="B1303" s="4" t="inlineStr">
        <is>
          <t>Junta de PVC 3/4"</t>
        </is>
      </c>
      <c r="C1303" s="7" t="inlineStr">
        <is>
          <t>unidad</t>
        </is>
      </c>
      <c r="D1303" s="8" t="n"/>
      <c r="E1303" s="8" t="n"/>
      <c r="F1303" s="8" t="n">
        <v>135</v>
      </c>
      <c r="G1303" s="8" t="n"/>
      <c r="H1303" s="8" t="n"/>
      <c r="I1303" s="8" t="n"/>
      <c r="J1303" s="8" t="n"/>
      <c r="K1303" s="8" t="n"/>
      <c r="L1303" s="8" t="n"/>
      <c r="M1303" s="8">
        <f>IF(COUNT(D1303:L1303)=0,"",MIN(D1303:L1303))</f>
        <v/>
      </c>
      <c r="N1303" s="8">
        <f>IF(COUNT(D1303:L1303)=0,"",MEDIAN(D1303:L1303))</f>
        <v/>
      </c>
      <c r="O1303" s="8">
        <f>IF(COUNT(D1303:L1303)=0,"",MAX(D1303:L1303))</f>
        <v/>
      </c>
      <c r="P1303" s="9">
        <f>IF(OR(M1303="",M1303=0),"",(O1303-M1303)/M1303)</f>
        <v/>
      </c>
      <c r="Q1303" s="7">
        <f>IF(COUNT(D1303:L1303)=0,"",INDEX($D$1:$L$1,MATCH(MIN(D1303:L1303),D1303:L1303,0)))</f>
        <v/>
      </c>
      <c r="R1303" s="8" t="n">
        <v>135</v>
      </c>
      <c r="S1303" s="10" t="n">
        <v>1</v>
      </c>
    </row>
    <row r="1304">
      <c r="A1304" s="7" t="inlineStr">
        <is>
          <t>MAT-32-127</t>
        </is>
      </c>
      <c r="B1304" s="4" t="inlineStr">
        <is>
          <t>Niple de cobre 1/4" x 1 1/2"</t>
        </is>
      </c>
      <c r="C1304" s="7" t="inlineStr">
        <is>
          <t>unidad</t>
        </is>
      </c>
      <c r="D1304" s="8" t="n"/>
      <c r="E1304" s="8" t="n"/>
      <c r="F1304" s="8" t="n">
        <v>121</v>
      </c>
      <c r="G1304" s="8" t="n"/>
      <c r="H1304" s="8" t="n"/>
      <c r="I1304" s="8" t="n"/>
      <c r="J1304" s="8" t="n"/>
      <c r="K1304" s="8" t="n"/>
      <c r="L1304" s="8" t="n"/>
      <c r="M1304" s="8">
        <f>IF(COUNT(D1304:L1304)=0,"",MIN(D1304:L1304))</f>
        <v/>
      </c>
      <c r="N1304" s="8">
        <f>IF(COUNT(D1304:L1304)=0,"",MEDIAN(D1304:L1304))</f>
        <v/>
      </c>
      <c r="O1304" s="8">
        <f>IF(COUNT(D1304:L1304)=0,"",MAX(D1304:L1304))</f>
        <v/>
      </c>
      <c r="P1304" s="9">
        <f>IF(OR(M1304="",M1304=0),"",(O1304-M1304)/M1304)</f>
        <v/>
      </c>
      <c r="Q1304" s="7">
        <f>IF(COUNT(D1304:L1304)=0,"",INDEX($D$1:$L$1,MATCH(MIN(D1304:L1304),D1304:L1304,0)))</f>
        <v/>
      </c>
      <c r="R1304" s="8" t="n">
        <v>121</v>
      </c>
      <c r="S1304" s="10" t="n">
        <v>1</v>
      </c>
    </row>
    <row r="1305">
      <c r="A1305" s="7" t="inlineStr">
        <is>
          <t>MAT-32-128</t>
        </is>
      </c>
      <c r="B1305" s="4" t="inlineStr">
        <is>
          <t>Niple de cobre 3/4" x 3"</t>
        </is>
      </c>
      <c r="C1305" s="7" t="inlineStr">
        <is>
          <t>unidad</t>
        </is>
      </c>
      <c r="D1305" s="8" t="n"/>
      <c r="E1305" s="8" t="n"/>
      <c r="F1305" s="8" t="n">
        <v>230</v>
      </c>
      <c r="G1305" s="8" t="n"/>
      <c r="H1305" s="8" t="n"/>
      <c r="I1305" s="8" t="n"/>
      <c r="J1305" s="8" t="n"/>
      <c r="K1305" s="8" t="n"/>
      <c r="L1305" s="8" t="n"/>
      <c r="M1305" s="8">
        <f>IF(COUNT(D1305:L1305)=0,"",MIN(D1305:L1305))</f>
        <v/>
      </c>
      <c r="N1305" s="8">
        <f>IF(COUNT(D1305:L1305)=0,"",MEDIAN(D1305:L1305))</f>
        <v/>
      </c>
      <c r="O1305" s="8">
        <f>IF(COUNT(D1305:L1305)=0,"",MAX(D1305:L1305))</f>
        <v/>
      </c>
      <c r="P1305" s="9">
        <f>IF(OR(M1305="",M1305=0),"",(O1305-M1305)/M1305)</f>
        <v/>
      </c>
      <c r="Q1305" s="7">
        <f>IF(COUNT(D1305:L1305)=0,"",INDEX($D$1:$L$1,MATCH(MIN(D1305:L1305),D1305:L1305,0)))</f>
        <v/>
      </c>
      <c r="R1305" s="8" t="n">
        <v>230</v>
      </c>
      <c r="S1305" s="10" t="n">
        <v>1</v>
      </c>
    </row>
    <row r="1306">
      <c r="A1306" s="7" t="inlineStr">
        <is>
          <t>MAT-32-129</t>
        </is>
      </c>
      <c r="B1306" s="4" t="inlineStr">
        <is>
          <t>Niple de cobre 3/8" x 1 1/2"</t>
        </is>
      </c>
      <c r="C1306" s="7" t="inlineStr">
        <is>
          <t>unidad</t>
        </is>
      </c>
      <c r="D1306" s="8" t="n"/>
      <c r="E1306" s="8" t="n"/>
      <c r="F1306" s="8" t="n">
        <v>193</v>
      </c>
      <c r="G1306" s="8" t="n"/>
      <c r="H1306" s="8" t="n"/>
      <c r="I1306" s="8" t="n"/>
      <c r="J1306" s="8" t="n"/>
      <c r="K1306" s="8" t="n"/>
      <c r="L1306" s="8" t="n"/>
      <c r="M1306" s="8">
        <f>IF(COUNT(D1306:L1306)=0,"",MIN(D1306:L1306))</f>
        <v/>
      </c>
      <c r="N1306" s="8">
        <f>IF(COUNT(D1306:L1306)=0,"",MEDIAN(D1306:L1306))</f>
        <v/>
      </c>
      <c r="O1306" s="8">
        <f>IF(COUNT(D1306:L1306)=0,"",MAX(D1306:L1306))</f>
        <v/>
      </c>
      <c r="P1306" s="9">
        <f>IF(OR(M1306="",M1306=0),"",(O1306-M1306)/M1306)</f>
        <v/>
      </c>
      <c r="Q1306" s="7">
        <f>IF(COUNT(D1306:L1306)=0,"",INDEX($D$1:$L$1,MATCH(MIN(D1306:L1306),D1306:L1306,0)))</f>
        <v/>
      </c>
      <c r="R1306" s="8" t="n">
        <v>193</v>
      </c>
      <c r="S1306" s="10" t="n">
        <v>1</v>
      </c>
    </row>
    <row r="1307">
      <c r="A1307" s="7" t="inlineStr">
        <is>
          <t>MAT-32-130</t>
        </is>
      </c>
      <c r="B1307" s="4" t="inlineStr">
        <is>
          <t>Niple de cobre 3/8" x 1"</t>
        </is>
      </c>
      <c r="C1307" s="7" t="inlineStr">
        <is>
          <t>unidad</t>
        </is>
      </c>
      <c r="D1307" s="8" t="n"/>
      <c r="E1307" s="8" t="n"/>
      <c r="F1307" s="8" t="n">
        <v>177</v>
      </c>
      <c r="G1307" s="8" t="n"/>
      <c r="H1307" s="8" t="n"/>
      <c r="I1307" s="8" t="n"/>
      <c r="J1307" s="8" t="n"/>
      <c r="K1307" s="8" t="n"/>
      <c r="L1307" s="8" t="n"/>
      <c r="M1307" s="8">
        <f>IF(COUNT(D1307:L1307)=0,"",MIN(D1307:L1307))</f>
        <v/>
      </c>
      <c r="N1307" s="8">
        <f>IF(COUNT(D1307:L1307)=0,"",MEDIAN(D1307:L1307))</f>
        <v/>
      </c>
      <c r="O1307" s="8">
        <f>IF(COUNT(D1307:L1307)=0,"",MAX(D1307:L1307))</f>
        <v/>
      </c>
      <c r="P1307" s="9">
        <f>IF(OR(M1307="",M1307=0),"",(O1307-M1307)/M1307)</f>
        <v/>
      </c>
      <c r="Q1307" s="7">
        <f>IF(COUNT(D1307:L1307)=0,"",INDEX($D$1:$L$1,MATCH(MIN(D1307:L1307),D1307:L1307,0)))</f>
        <v/>
      </c>
      <c r="R1307" s="8" t="n">
        <v>177</v>
      </c>
      <c r="S1307" s="10" t="n">
        <v>1</v>
      </c>
    </row>
    <row r="1308">
      <c r="A1308" s="7" t="inlineStr">
        <is>
          <t>MAT-32-131</t>
        </is>
      </c>
      <c r="B1308" s="4" t="inlineStr">
        <is>
          <t>Niple de cobre 3/8" x 2"</t>
        </is>
      </c>
      <c r="C1308" s="7" t="inlineStr">
        <is>
          <t>unidad</t>
        </is>
      </c>
      <c r="D1308" s="8" t="n"/>
      <c r="E1308" s="8" t="n"/>
      <c r="F1308" s="8" t="n">
        <v>189</v>
      </c>
      <c r="G1308" s="8" t="n"/>
      <c r="H1308" s="8" t="n"/>
      <c r="I1308" s="8" t="n"/>
      <c r="J1308" s="8" t="n"/>
      <c r="K1308" s="8" t="n"/>
      <c r="L1308" s="8" t="n"/>
      <c r="M1308" s="8">
        <f>IF(COUNT(D1308:L1308)=0,"",MIN(D1308:L1308))</f>
        <v/>
      </c>
      <c r="N1308" s="8">
        <f>IF(COUNT(D1308:L1308)=0,"",MEDIAN(D1308:L1308))</f>
        <v/>
      </c>
      <c r="O1308" s="8">
        <f>IF(COUNT(D1308:L1308)=0,"",MAX(D1308:L1308))</f>
        <v/>
      </c>
      <c r="P1308" s="9">
        <f>IF(OR(M1308="",M1308=0),"",(O1308-M1308)/M1308)</f>
        <v/>
      </c>
      <c r="Q1308" s="7">
        <f>IF(COUNT(D1308:L1308)=0,"",INDEX($D$1:$L$1,MATCH(MIN(D1308:L1308),D1308:L1308,0)))</f>
        <v/>
      </c>
      <c r="R1308" s="8" t="n">
        <v>189</v>
      </c>
      <c r="S1308" s="10" t="n">
        <v>1</v>
      </c>
    </row>
    <row r="1309">
      <c r="A1309" s="7" t="inlineStr">
        <is>
          <t>MAT-32-132</t>
        </is>
      </c>
      <c r="B1309" s="4" t="inlineStr">
        <is>
          <t>Niple de HG 1 1/2" x 10"</t>
        </is>
      </c>
      <c r="C1309" s="7" t="inlineStr">
        <is>
          <t>unidad</t>
        </is>
      </c>
      <c r="D1309" s="8" t="n"/>
      <c r="E1309" s="8" t="n"/>
      <c r="F1309" s="8" t="n">
        <v>372</v>
      </c>
      <c r="G1309" s="8" t="n"/>
      <c r="H1309" s="8" t="n"/>
      <c r="I1309" s="8" t="n"/>
      <c r="J1309" s="8" t="n"/>
      <c r="K1309" s="8" t="n"/>
      <c r="L1309" s="8" t="n"/>
      <c r="M1309" s="8">
        <f>IF(COUNT(D1309:L1309)=0,"",MIN(D1309:L1309))</f>
        <v/>
      </c>
      <c r="N1309" s="8">
        <f>IF(COUNT(D1309:L1309)=0,"",MEDIAN(D1309:L1309))</f>
        <v/>
      </c>
      <c r="O1309" s="8">
        <f>IF(COUNT(D1309:L1309)=0,"",MAX(D1309:L1309))</f>
        <v/>
      </c>
      <c r="P1309" s="9">
        <f>IF(OR(M1309="",M1309=0),"",(O1309-M1309)/M1309)</f>
        <v/>
      </c>
      <c r="Q1309" s="7">
        <f>IF(COUNT(D1309:L1309)=0,"",INDEX($D$1:$L$1,MATCH(MIN(D1309:L1309),D1309:L1309,0)))</f>
        <v/>
      </c>
      <c r="R1309" s="8" t="n">
        <v>372</v>
      </c>
      <c r="S1309" s="10" t="n">
        <v>1</v>
      </c>
    </row>
    <row r="1310">
      <c r="A1310" s="7" t="inlineStr">
        <is>
          <t>MAT-32-133</t>
        </is>
      </c>
      <c r="B1310" s="4" t="inlineStr">
        <is>
          <t>Niple de HG 1 1/2" x 3"</t>
        </is>
      </c>
      <c r="C1310" s="7" t="inlineStr">
        <is>
          <t>unidad</t>
        </is>
      </c>
      <c r="D1310" s="8" t="n"/>
      <c r="E1310" s="8" t="n"/>
      <c r="F1310" s="8" t="n">
        <v>187</v>
      </c>
      <c r="G1310" s="8" t="n"/>
      <c r="H1310" s="8" t="n"/>
      <c r="I1310" s="8" t="n"/>
      <c r="J1310" s="8" t="n"/>
      <c r="K1310" s="8" t="n"/>
      <c r="L1310" s="8" t="n"/>
      <c r="M1310" s="8">
        <f>IF(COUNT(D1310:L1310)=0,"",MIN(D1310:L1310))</f>
        <v/>
      </c>
      <c r="N1310" s="8">
        <f>IF(COUNT(D1310:L1310)=0,"",MEDIAN(D1310:L1310))</f>
        <v/>
      </c>
      <c r="O1310" s="8">
        <f>IF(COUNT(D1310:L1310)=0,"",MAX(D1310:L1310))</f>
        <v/>
      </c>
      <c r="P1310" s="9">
        <f>IF(OR(M1310="",M1310=0),"",(O1310-M1310)/M1310)</f>
        <v/>
      </c>
      <c r="Q1310" s="7">
        <f>IF(COUNT(D1310:L1310)=0,"",INDEX($D$1:$L$1,MATCH(MIN(D1310:L1310),D1310:L1310,0)))</f>
        <v/>
      </c>
      <c r="R1310" s="8" t="n">
        <v>187</v>
      </c>
      <c r="S1310" s="10" t="n">
        <v>1</v>
      </c>
    </row>
    <row r="1311">
      <c r="A1311" s="7" t="inlineStr">
        <is>
          <t>MAT-32-134</t>
        </is>
      </c>
      <c r="B1311" s="4" t="inlineStr">
        <is>
          <t>Niple de HG 1 1/2" x 4"</t>
        </is>
      </c>
      <c r="C1311" s="7" t="inlineStr">
        <is>
          <t>unidad</t>
        </is>
      </c>
      <c r="D1311" s="8" t="n"/>
      <c r="E1311" s="8" t="n"/>
      <c r="F1311" s="8" t="n">
        <v>257</v>
      </c>
      <c r="G1311" s="8" t="n"/>
      <c r="H1311" s="8" t="n"/>
      <c r="I1311" s="8" t="n"/>
      <c r="J1311" s="8" t="n"/>
      <c r="K1311" s="8" t="n"/>
      <c r="L1311" s="8" t="n"/>
      <c r="M1311" s="8">
        <f>IF(COUNT(D1311:L1311)=0,"",MIN(D1311:L1311))</f>
        <v/>
      </c>
      <c r="N1311" s="8">
        <f>IF(COUNT(D1311:L1311)=0,"",MEDIAN(D1311:L1311))</f>
        <v/>
      </c>
      <c r="O1311" s="8">
        <f>IF(COUNT(D1311:L1311)=0,"",MAX(D1311:L1311))</f>
        <v/>
      </c>
      <c r="P1311" s="9">
        <f>IF(OR(M1311="",M1311=0),"",(O1311-M1311)/M1311)</f>
        <v/>
      </c>
      <c r="Q1311" s="7">
        <f>IF(COUNT(D1311:L1311)=0,"",INDEX($D$1:$L$1,MATCH(MIN(D1311:L1311),D1311:L1311,0)))</f>
        <v/>
      </c>
      <c r="R1311" s="8" t="n">
        <v>257</v>
      </c>
      <c r="S1311" s="10" t="n">
        <v>1</v>
      </c>
    </row>
    <row r="1312">
      <c r="A1312" s="7" t="inlineStr">
        <is>
          <t>MAT-32-135</t>
        </is>
      </c>
      <c r="B1312" s="4" t="inlineStr">
        <is>
          <t>Niple de HG 1 1/2" x 6"</t>
        </is>
      </c>
      <c r="C1312" s="7" t="inlineStr">
        <is>
          <t>unidad</t>
        </is>
      </c>
      <c r="D1312" s="8" t="n"/>
      <c r="E1312" s="8" t="n"/>
      <c r="F1312" s="8" t="n">
        <v>379</v>
      </c>
      <c r="G1312" s="8" t="n"/>
      <c r="H1312" s="8" t="n"/>
      <c r="I1312" s="8" t="n"/>
      <c r="J1312" s="8" t="n"/>
      <c r="K1312" s="8" t="n"/>
      <c r="L1312" s="8" t="n"/>
      <c r="M1312" s="8">
        <f>IF(COUNT(D1312:L1312)=0,"",MIN(D1312:L1312))</f>
        <v/>
      </c>
      <c r="N1312" s="8">
        <f>IF(COUNT(D1312:L1312)=0,"",MEDIAN(D1312:L1312))</f>
        <v/>
      </c>
      <c r="O1312" s="8">
        <f>IF(COUNT(D1312:L1312)=0,"",MAX(D1312:L1312))</f>
        <v/>
      </c>
      <c r="P1312" s="9">
        <f>IF(OR(M1312="",M1312=0),"",(O1312-M1312)/M1312)</f>
        <v/>
      </c>
      <c r="Q1312" s="7">
        <f>IF(COUNT(D1312:L1312)=0,"",INDEX($D$1:$L$1,MATCH(MIN(D1312:L1312),D1312:L1312,0)))</f>
        <v/>
      </c>
      <c r="R1312" s="8" t="n">
        <v>379</v>
      </c>
      <c r="S1312" s="10" t="n">
        <v>1</v>
      </c>
    </row>
    <row r="1313">
      <c r="A1313" s="7" t="inlineStr">
        <is>
          <t>MAT-32-136</t>
        </is>
      </c>
      <c r="B1313" s="4" t="inlineStr">
        <is>
          <t>Niple de HG 1 1/4" x 2"</t>
        </is>
      </c>
      <c r="C1313" s="7" t="inlineStr">
        <is>
          <t>unidad</t>
        </is>
      </c>
      <c r="D1313" s="8" t="n"/>
      <c r="E1313" s="8" t="n"/>
      <c r="F1313" s="8" t="n">
        <v>170</v>
      </c>
      <c r="G1313" s="8" t="n"/>
      <c r="H1313" s="8" t="n"/>
      <c r="I1313" s="8" t="n"/>
      <c r="J1313" s="8" t="n"/>
      <c r="K1313" s="8" t="n"/>
      <c r="L1313" s="8" t="n"/>
      <c r="M1313" s="8">
        <f>IF(COUNT(D1313:L1313)=0,"",MIN(D1313:L1313))</f>
        <v/>
      </c>
      <c r="N1313" s="8">
        <f>IF(COUNT(D1313:L1313)=0,"",MEDIAN(D1313:L1313))</f>
        <v/>
      </c>
      <c r="O1313" s="8">
        <f>IF(COUNT(D1313:L1313)=0,"",MAX(D1313:L1313))</f>
        <v/>
      </c>
      <c r="P1313" s="9">
        <f>IF(OR(M1313="",M1313=0),"",(O1313-M1313)/M1313)</f>
        <v/>
      </c>
      <c r="Q1313" s="7">
        <f>IF(COUNT(D1313:L1313)=0,"",INDEX($D$1:$L$1,MATCH(MIN(D1313:L1313),D1313:L1313,0)))</f>
        <v/>
      </c>
      <c r="R1313" s="8" t="n">
        <v>170</v>
      </c>
      <c r="S1313" s="10" t="n">
        <v>1</v>
      </c>
    </row>
    <row r="1314">
      <c r="A1314" s="7" t="inlineStr">
        <is>
          <t>MAT-32-137</t>
        </is>
      </c>
      <c r="B1314" s="4" t="inlineStr">
        <is>
          <t>Niple de HG 1 1/4" x 3"</t>
        </is>
      </c>
      <c r="C1314" s="7" t="inlineStr">
        <is>
          <t>unidad</t>
        </is>
      </c>
      <c r="D1314" s="8" t="n"/>
      <c r="E1314" s="8" t="n"/>
      <c r="F1314" s="8" t="n">
        <v>174</v>
      </c>
      <c r="G1314" s="8" t="n"/>
      <c r="H1314" s="8" t="n"/>
      <c r="I1314" s="8" t="n"/>
      <c r="J1314" s="8" t="n"/>
      <c r="K1314" s="8" t="n"/>
      <c r="L1314" s="8" t="n"/>
      <c r="M1314" s="8">
        <f>IF(COUNT(D1314:L1314)=0,"",MIN(D1314:L1314))</f>
        <v/>
      </c>
      <c r="N1314" s="8">
        <f>IF(COUNT(D1314:L1314)=0,"",MEDIAN(D1314:L1314))</f>
        <v/>
      </c>
      <c r="O1314" s="8">
        <f>IF(COUNT(D1314:L1314)=0,"",MAX(D1314:L1314))</f>
        <v/>
      </c>
      <c r="P1314" s="9">
        <f>IF(OR(M1314="",M1314=0),"",(O1314-M1314)/M1314)</f>
        <v/>
      </c>
      <c r="Q1314" s="7">
        <f>IF(COUNT(D1314:L1314)=0,"",INDEX($D$1:$L$1,MATCH(MIN(D1314:L1314),D1314:L1314,0)))</f>
        <v/>
      </c>
      <c r="R1314" s="8" t="n">
        <v>174</v>
      </c>
      <c r="S1314" s="10" t="n">
        <v>1</v>
      </c>
    </row>
    <row r="1315">
      <c r="A1315" s="7" t="inlineStr">
        <is>
          <t>MAT-32-138</t>
        </is>
      </c>
      <c r="B1315" s="4" t="inlineStr">
        <is>
          <t>Niple de HG 1 1/4" x 4"</t>
        </is>
      </c>
      <c r="C1315" s="7" t="inlineStr">
        <is>
          <t>unidad</t>
        </is>
      </c>
      <c r="D1315" s="8" t="n"/>
      <c r="E1315" s="8" t="n"/>
      <c r="F1315" s="8" t="n">
        <v>191</v>
      </c>
      <c r="G1315" s="8" t="n"/>
      <c r="H1315" s="8" t="n"/>
      <c r="I1315" s="8" t="n"/>
      <c r="J1315" s="8" t="n"/>
      <c r="K1315" s="8" t="n"/>
      <c r="L1315" s="8" t="n"/>
      <c r="M1315" s="8">
        <f>IF(COUNT(D1315:L1315)=0,"",MIN(D1315:L1315))</f>
        <v/>
      </c>
      <c r="N1315" s="8">
        <f>IF(COUNT(D1315:L1315)=0,"",MEDIAN(D1315:L1315))</f>
        <v/>
      </c>
      <c r="O1315" s="8">
        <f>IF(COUNT(D1315:L1315)=0,"",MAX(D1315:L1315))</f>
        <v/>
      </c>
      <c r="P1315" s="9">
        <f>IF(OR(M1315="",M1315=0),"",(O1315-M1315)/M1315)</f>
        <v/>
      </c>
      <c r="Q1315" s="7">
        <f>IF(COUNT(D1315:L1315)=0,"",INDEX($D$1:$L$1,MATCH(MIN(D1315:L1315),D1315:L1315,0)))</f>
        <v/>
      </c>
      <c r="R1315" s="8" t="n">
        <v>191</v>
      </c>
      <c r="S1315" s="10" t="n">
        <v>1</v>
      </c>
    </row>
    <row r="1316">
      <c r="A1316" s="7" t="inlineStr">
        <is>
          <t>MAT-32-139</t>
        </is>
      </c>
      <c r="B1316" s="4" t="inlineStr">
        <is>
          <t>Niple de HG 1 1/4" x 6"</t>
        </is>
      </c>
      <c r="C1316" s="7" t="inlineStr">
        <is>
          <t>unidad</t>
        </is>
      </c>
      <c r="D1316" s="8" t="n"/>
      <c r="E1316" s="8" t="n"/>
      <c r="F1316" s="8" t="n">
        <v>236</v>
      </c>
      <c r="G1316" s="8" t="n"/>
      <c r="H1316" s="8" t="n"/>
      <c r="I1316" s="8" t="n"/>
      <c r="J1316" s="8" t="n"/>
      <c r="K1316" s="8" t="n"/>
      <c r="L1316" s="8" t="n"/>
      <c r="M1316" s="8">
        <f>IF(COUNT(D1316:L1316)=0,"",MIN(D1316:L1316))</f>
        <v/>
      </c>
      <c r="N1316" s="8">
        <f>IF(COUNT(D1316:L1316)=0,"",MEDIAN(D1316:L1316))</f>
        <v/>
      </c>
      <c r="O1316" s="8">
        <f>IF(COUNT(D1316:L1316)=0,"",MAX(D1316:L1316))</f>
        <v/>
      </c>
      <c r="P1316" s="9">
        <f>IF(OR(M1316="",M1316=0),"",(O1316-M1316)/M1316)</f>
        <v/>
      </c>
      <c r="Q1316" s="7">
        <f>IF(COUNT(D1316:L1316)=0,"",INDEX($D$1:$L$1,MATCH(MIN(D1316:L1316),D1316:L1316,0)))</f>
        <v/>
      </c>
      <c r="R1316" s="8" t="n">
        <v>236</v>
      </c>
      <c r="S1316" s="10" t="n">
        <v>1</v>
      </c>
    </row>
    <row r="1317">
      <c r="A1317" s="7" t="inlineStr">
        <is>
          <t>MAT-32-140</t>
        </is>
      </c>
      <c r="B1317" s="4" t="inlineStr">
        <is>
          <t>Niple de HG 1/2" x 1 1/2"</t>
        </is>
      </c>
      <c r="C1317" s="7" t="inlineStr">
        <is>
          <t>unidad</t>
        </is>
      </c>
      <c r="D1317" s="8" t="n"/>
      <c r="E1317" s="8" t="n"/>
      <c r="F1317" s="8" t="n">
        <v>75</v>
      </c>
      <c r="G1317" s="8" t="n"/>
      <c r="H1317" s="8" t="n"/>
      <c r="I1317" s="8" t="n"/>
      <c r="J1317" s="8" t="n"/>
      <c r="K1317" s="8" t="n"/>
      <c r="L1317" s="8" t="n"/>
      <c r="M1317" s="8">
        <f>IF(COUNT(D1317:L1317)=0,"",MIN(D1317:L1317))</f>
        <v/>
      </c>
      <c r="N1317" s="8">
        <f>IF(COUNT(D1317:L1317)=0,"",MEDIAN(D1317:L1317))</f>
        <v/>
      </c>
      <c r="O1317" s="8">
        <f>IF(COUNT(D1317:L1317)=0,"",MAX(D1317:L1317))</f>
        <v/>
      </c>
      <c r="P1317" s="9">
        <f>IF(OR(M1317="",M1317=0),"",(O1317-M1317)/M1317)</f>
        <v/>
      </c>
      <c r="Q1317" s="7">
        <f>IF(COUNT(D1317:L1317)=0,"",INDEX($D$1:$L$1,MATCH(MIN(D1317:L1317),D1317:L1317,0)))</f>
        <v/>
      </c>
      <c r="R1317" s="8" t="n">
        <v>75</v>
      </c>
      <c r="S1317" s="10" t="n">
        <v>1</v>
      </c>
    </row>
    <row r="1318">
      <c r="A1318" s="7" t="inlineStr">
        <is>
          <t>MAT-32-141</t>
        </is>
      </c>
      <c r="B1318" s="4" t="inlineStr">
        <is>
          <t>Niple de HG 1/2" x 10"</t>
        </is>
      </c>
      <c r="C1318" s="7" t="inlineStr">
        <is>
          <t>unidad</t>
        </is>
      </c>
      <c r="D1318" s="8" t="n"/>
      <c r="E1318" s="8" t="n"/>
      <c r="F1318" s="8" t="n">
        <v>199</v>
      </c>
      <c r="G1318" s="8" t="n"/>
      <c r="H1318" s="8" t="n"/>
      <c r="I1318" s="8" t="n"/>
      <c r="J1318" s="8" t="n"/>
      <c r="K1318" s="8" t="n"/>
      <c r="L1318" s="8" t="n"/>
      <c r="M1318" s="8">
        <f>IF(COUNT(D1318:L1318)=0,"",MIN(D1318:L1318))</f>
        <v/>
      </c>
      <c r="N1318" s="8">
        <f>IF(COUNT(D1318:L1318)=0,"",MEDIAN(D1318:L1318))</f>
        <v/>
      </c>
      <c r="O1318" s="8">
        <f>IF(COUNT(D1318:L1318)=0,"",MAX(D1318:L1318))</f>
        <v/>
      </c>
      <c r="P1318" s="9">
        <f>IF(OR(M1318="",M1318=0),"",(O1318-M1318)/M1318)</f>
        <v/>
      </c>
      <c r="Q1318" s="7">
        <f>IF(COUNT(D1318:L1318)=0,"",INDEX($D$1:$L$1,MATCH(MIN(D1318:L1318),D1318:L1318,0)))</f>
        <v/>
      </c>
      <c r="R1318" s="8" t="n">
        <v>199</v>
      </c>
      <c r="S1318" s="10" t="n">
        <v>1</v>
      </c>
    </row>
    <row r="1319">
      <c r="A1319" s="7" t="inlineStr">
        <is>
          <t>MAT-32-142</t>
        </is>
      </c>
      <c r="B1319" s="4" t="inlineStr">
        <is>
          <t>Niple de HG 1/2" x 12"</t>
        </is>
      </c>
      <c r="C1319" s="7" t="inlineStr">
        <is>
          <t>unidad</t>
        </is>
      </c>
      <c r="D1319" s="8" t="n"/>
      <c r="E1319" s="8" t="n"/>
      <c r="F1319" s="8" t="n">
        <v>259</v>
      </c>
      <c r="G1319" s="8" t="n"/>
      <c r="H1319" s="8" t="n"/>
      <c r="I1319" s="8" t="n"/>
      <c r="J1319" s="8" t="n"/>
      <c r="K1319" s="8" t="n"/>
      <c r="L1319" s="8" t="n"/>
      <c r="M1319" s="8">
        <f>IF(COUNT(D1319:L1319)=0,"",MIN(D1319:L1319))</f>
        <v/>
      </c>
      <c r="N1319" s="8">
        <f>IF(COUNT(D1319:L1319)=0,"",MEDIAN(D1319:L1319))</f>
        <v/>
      </c>
      <c r="O1319" s="8">
        <f>IF(COUNT(D1319:L1319)=0,"",MAX(D1319:L1319))</f>
        <v/>
      </c>
      <c r="P1319" s="9">
        <f>IF(OR(M1319="",M1319=0),"",(O1319-M1319)/M1319)</f>
        <v/>
      </c>
      <c r="Q1319" s="7">
        <f>IF(COUNT(D1319:L1319)=0,"",INDEX($D$1:$L$1,MATCH(MIN(D1319:L1319),D1319:L1319,0)))</f>
        <v/>
      </c>
      <c r="R1319" s="8" t="n">
        <v>259</v>
      </c>
      <c r="S1319" s="10" t="n">
        <v>1</v>
      </c>
    </row>
    <row r="1320">
      <c r="A1320" s="7" t="inlineStr">
        <is>
          <t>MAT-32-143</t>
        </is>
      </c>
      <c r="B1320" s="4" t="inlineStr">
        <is>
          <t>Niple de HG 1/2" x 1"</t>
        </is>
      </c>
      <c r="C1320" s="7" t="inlineStr">
        <is>
          <t>unidad</t>
        </is>
      </c>
      <c r="D1320" s="8" t="n"/>
      <c r="E1320" s="8" t="n"/>
      <c r="F1320" s="8" t="n">
        <v>67</v>
      </c>
      <c r="G1320" s="8" t="n"/>
      <c r="H1320" s="8" t="n"/>
      <c r="I1320" s="8" t="n"/>
      <c r="J1320" s="8" t="n"/>
      <c r="K1320" s="8" t="n"/>
      <c r="L1320" s="8" t="n"/>
      <c r="M1320" s="8">
        <f>IF(COUNT(D1320:L1320)=0,"",MIN(D1320:L1320))</f>
        <v/>
      </c>
      <c r="N1320" s="8">
        <f>IF(COUNT(D1320:L1320)=0,"",MEDIAN(D1320:L1320))</f>
        <v/>
      </c>
      <c r="O1320" s="8">
        <f>IF(COUNT(D1320:L1320)=0,"",MAX(D1320:L1320))</f>
        <v/>
      </c>
      <c r="P1320" s="9">
        <f>IF(OR(M1320="",M1320=0),"",(O1320-M1320)/M1320)</f>
        <v/>
      </c>
      <c r="Q1320" s="7">
        <f>IF(COUNT(D1320:L1320)=0,"",INDEX($D$1:$L$1,MATCH(MIN(D1320:L1320),D1320:L1320,0)))</f>
        <v/>
      </c>
      <c r="R1320" s="8" t="n">
        <v>67</v>
      </c>
      <c r="S1320" s="10" t="n">
        <v>1</v>
      </c>
    </row>
    <row r="1321">
      <c r="A1321" s="7" t="inlineStr">
        <is>
          <t>MAT-32-144</t>
        </is>
      </c>
      <c r="B1321" s="4" t="inlineStr">
        <is>
          <t>Niple de HG 1/2" x 2 1/2"</t>
        </is>
      </c>
      <c r="C1321" s="7" t="inlineStr">
        <is>
          <t>unidad</t>
        </is>
      </c>
      <c r="D1321" s="8" t="n"/>
      <c r="E1321" s="8" t="n"/>
      <c r="F1321" s="8" t="n">
        <v>65</v>
      </c>
      <c r="G1321" s="8" t="n"/>
      <c r="H1321" s="8" t="n"/>
      <c r="I1321" s="8" t="n"/>
      <c r="J1321" s="8" t="n"/>
      <c r="K1321" s="8" t="n"/>
      <c r="L1321" s="8" t="n"/>
      <c r="M1321" s="8">
        <f>IF(COUNT(D1321:L1321)=0,"",MIN(D1321:L1321))</f>
        <v/>
      </c>
      <c r="N1321" s="8">
        <f>IF(COUNT(D1321:L1321)=0,"",MEDIAN(D1321:L1321))</f>
        <v/>
      </c>
      <c r="O1321" s="8">
        <f>IF(COUNT(D1321:L1321)=0,"",MAX(D1321:L1321))</f>
        <v/>
      </c>
      <c r="P1321" s="9">
        <f>IF(OR(M1321="",M1321=0),"",(O1321-M1321)/M1321)</f>
        <v/>
      </c>
      <c r="Q1321" s="7">
        <f>IF(COUNT(D1321:L1321)=0,"",INDEX($D$1:$L$1,MATCH(MIN(D1321:L1321),D1321:L1321,0)))</f>
        <v/>
      </c>
      <c r="R1321" s="8" t="n">
        <v>65</v>
      </c>
      <c r="S1321" s="10" t="n">
        <v>1</v>
      </c>
    </row>
    <row r="1322">
      <c r="A1322" s="7" t="inlineStr">
        <is>
          <t>MAT-32-145</t>
        </is>
      </c>
      <c r="B1322" s="4" t="inlineStr">
        <is>
          <t>Niple de HG 1/2" x 2"</t>
        </is>
      </c>
      <c r="C1322" s="7" t="inlineStr">
        <is>
          <t>unidad</t>
        </is>
      </c>
      <c r="D1322" s="8" t="n"/>
      <c r="E1322" s="8" t="n"/>
      <c r="F1322" s="8" t="n">
        <v>65</v>
      </c>
      <c r="G1322" s="8" t="n"/>
      <c r="H1322" s="8" t="n"/>
      <c r="I1322" s="8" t="n"/>
      <c r="J1322" s="8" t="n"/>
      <c r="K1322" s="8" t="n"/>
      <c r="L1322" s="8" t="n"/>
      <c r="M1322" s="8">
        <f>IF(COUNT(D1322:L1322)=0,"",MIN(D1322:L1322))</f>
        <v/>
      </c>
      <c r="N1322" s="8">
        <f>IF(COUNT(D1322:L1322)=0,"",MEDIAN(D1322:L1322))</f>
        <v/>
      </c>
      <c r="O1322" s="8">
        <f>IF(COUNT(D1322:L1322)=0,"",MAX(D1322:L1322))</f>
        <v/>
      </c>
      <c r="P1322" s="9">
        <f>IF(OR(M1322="",M1322=0),"",(O1322-M1322)/M1322)</f>
        <v/>
      </c>
      <c r="Q1322" s="7">
        <f>IF(COUNT(D1322:L1322)=0,"",INDEX($D$1:$L$1,MATCH(MIN(D1322:L1322),D1322:L1322,0)))</f>
        <v/>
      </c>
      <c r="R1322" s="8" t="n">
        <v>65</v>
      </c>
      <c r="S1322" s="10" t="n">
        <v>1</v>
      </c>
    </row>
    <row r="1323">
      <c r="A1323" s="7" t="inlineStr">
        <is>
          <t>MAT-32-146</t>
        </is>
      </c>
      <c r="B1323" s="4" t="inlineStr">
        <is>
          <t>Niple de HG 1/2" x 3"</t>
        </is>
      </c>
      <c r="C1323" s="7" t="inlineStr">
        <is>
          <t>unidad</t>
        </is>
      </c>
      <c r="D1323" s="8" t="n"/>
      <c r="E1323" s="8" t="n"/>
      <c r="F1323" s="8" t="n">
        <v>65</v>
      </c>
      <c r="G1323" s="8" t="n"/>
      <c r="H1323" s="8" t="n"/>
      <c r="I1323" s="8" t="n"/>
      <c r="J1323" s="8" t="n"/>
      <c r="K1323" s="8" t="n"/>
      <c r="L1323" s="8" t="n"/>
      <c r="M1323" s="8">
        <f>IF(COUNT(D1323:L1323)=0,"",MIN(D1323:L1323))</f>
        <v/>
      </c>
      <c r="N1323" s="8">
        <f>IF(COUNT(D1323:L1323)=0,"",MEDIAN(D1323:L1323))</f>
        <v/>
      </c>
      <c r="O1323" s="8">
        <f>IF(COUNT(D1323:L1323)=0,"",MAX(D1323:L1323))</f>
        <v/>
      </c>
      <c r="P1323" s="9">
        <f>IF(OR(M1323="",M1323=0),"",(O1323-M1323)/M1323)</f>
        <v/>
      </c>
      <c r="Q1323" s="7">
        <f>IF(COUNT(D1323:L1323)=0,"",INDEX($D$1:$L$1,MATCH(MIN(D1323:L1323),D1323:L1323,0)))</f>
        <v/>
      </c>
      <c r="R1323" s="8" t="n">
        <v>65</v>
      </c>
      <c r="S1323" s="10" t="n">
        <v>1</v>
      </c>
    </row>
    <row r="1324">
      <c r="A1324" s="7" t="inlineStr">
        <is>
          <t>MAT-32-147</t>
        </is>
      </c>
      <c r="B1324" s="4" t="inlineStr">
        <is>
          <t>Niple de HG 1/2" x 4"</t>
        </is>
      </c>
      <c r="C1324" s="7" t="inlineStr">
        <is>
          <t>unidad</t>
        </is>
      </c>
      <c r="D1324" s="8" t="n"/>
      <c r="E1324" s="8" t="n"/>
      <c r="F1324" s="8" t="n">
        <v>155</v>
      </c>
      <c r="G1324" s="8" t="n"/>
      <c r="H1324" s="8" t="n"/>
      <c r="I1324" s="8" t="n"/>
      <c r="J1324" s="8" t="n"/>
      <c r="K1324" s="8" t="n"/>
      <c r="L1324" s="8" t="n"/>
      <c r="M1324" s="8">
        <f>IF(COUNT(D1324:L1324)=0,"",MIN(D1324:L1324))</f>
        <v/>
      </c>
      <c r="N1324" s="8">
        <f>IF(COUNT(D1324:L1324)=0,"",MEDIAN(D1324:L1324))</f>
        <v/>
      </c>
      <c r="O1324" s="8">
        <f>IF(COUNT(D1324:L1324)=0,"",MAX(D1324:L1324))</f>
        <v/>
      </c>
      <c r="P1324" s="9">
        <f>IF(OR(M1324="",M1324=0),"",(O1324-M1324)/M1324)</f>
        <v/>
      </c>
      <c r="Q1324" s="7">
        <f>IF(COUNT(D1324:L1324)=0,"",INDEX($D$1:$L$1,MATCH(MIN(D1324:L1324),D1324:L1324,0)))</f>
        <v/>
      </c>
      <c r="R1324" s="8" t="n">
        <v>155</v>
      </c>
      <c r="S1324" s="10" t="n">
        <v>1</v>
      </c>
    </row>
    <row r="1325">
      <c r="A1325" s="7" t="inlineStr">
        <is>
          <t>MAT-32-148</t>
        </is>
      </c>
      <c r="B1325" s="4" t="inlineStr">
        <is>
          <t>Niple de HG 1/2" x 5"</t>
        </is>
      </c>
      <c r="C1325" s="7" t="inlineStr">
        <is>
          <t>unidad</t>
        </is>
      </c>
      <c r="D1325" s="8" t="n"/>
      <c r="E1325" s="8" t="n"/>
      <c r="F1325" s="8" t="n">
        <v>182</v>
      </c>
      <c r="G1325" s="8" t="n"/>
      <c r="H1325" s="8" t="n"/>
      <c r="I1325" s="8" t="n"/>
      <c r="J1325" s="8" t="n"/>
      <c r="K1325" s="8" t="n"/>
      <c r="L1325" s="8" t="n"/>
      <c r="M1325" s="8">
        <f>IF(COUNT(D1325:L1325)=0,"",MIN(D1325:L1325))</f>
        <v/>
      </c>
      <c r="N1325" s="8">
        <f>IF(COUNT(D1325:L1325)=0,"",MEDIAN(D1325:L1325))</f>
        <v/>
      </c>
      <c r="O1325" s="8">
        <f>IF(COUNT(D1325:L1325)=0,"",MAX(D1325:L1325))</f>
        <v/>
      </c>
      <c r="P1325" s="9">
        <f>IF(OR(M1325="",M1325=0),"",(O1325-M1325)/M1325)</f>
        <v/>
      </c>
      <c r="Q1325" s="7">
        <f>IF(COUNT(D1325:L1325)=0,"",INDEX($D$1:$L$1,MATCH(MIN(D1325:L1325),D1325:L1325,0)))</f>
        <v/>
      </c>
      <c r="R1325" s="8" t="n">
        <v>182</v>
      </c>
      <c r="S1325" s="10" t="n">
        <v>1</v>
      </c>
    </row>
    <row r="1326">
      <c r="A1326" s="7" t="inlineStr">
        <is>
          <t>MAT-32-149</t>
        </is>
      </c>
      <c r="B1326" s="4" t="inlineStr">
        <is>
          <t>Niple de HG 1/2" x 6"</t>
        </is>
      </c>
      <c r="C1326" s="7" t="inlineStr">
        <is>
          <t>unidad</t>
        </is>
      </c>
      <c r="D1326" s="8" t="n"/>
      <c r="E1326" s="8" t="n"/>
      <c r="F1326" s="8" t="n">
        <v>49</v>
      </c>
      <c r="G1326" s="8" t="n"/>
      <c r="H1326" s="8" t="n"/>
      <c r="I1326" s="8" t="n"/>
      <c r="J1326" s="8" t="n"/>
      <c r="K1326" s="8" t="n"/>
      <c r="L1326" s="8" t="n"/>
      <c r="M1326" s="8">
        <f>IF(COUNT(D1326:L1326)=0,"",MIN(D1326:L1326))</f>
        <v/>
      </c>
      <c r="N1326" s="8">
        <f>IF(COUNT(D1326:L1326)=0,"",MEDIAN(D1326:L1326))</f>
        <v/>
      </c>
      <c r="O1326" s="8">
        <f>IF(COUNT(D1326:L1326)=0,"",MAX(D1326:L1326))</f>
        <v/>
      </c>
      <c r="P1326" s="9">
        <f>IF(OR(M1326="",M1326=0),"",(O1326-M1326)/M1326)</f>
        <v/>
      </c>
      <c r="Q1326" s="7">
        <f>IF(COUNT(D1326:L1326)=0,"",INDEX($D$1:$L$1,MATCH(MIN(D1326:L1326),D1326:L1326,0)))</f>
        <v/>
      </c>
      <c r="R1326" s="8" t="n">
        <v>49</v>
      </c>
      <c r="S1326" s="10" t="n">
        <v>1</v>
      </c>
    </row>
    <row r="1327">
      <c r="A1327" s="7" t="inlineStr">
        <is>
          <t>MAT-32-150</t>
        </is>
      </c>
      <c r="B1327" s="4" t="inlineStr">
        <is>
          <t>Niple de HG 1/2" x 8"</t>
        </is>
      </c>
      <c r="C1327" s="7" t="inlineStr">
        <is>
          <t>unidad</t>
        </is>
      </c>
      <c r="D1327" s="8" t="n"/>
      <c r="E1327" s="8" t="n"/>
      <c r="F1327" s="8" t="n">
        <v>187</v>
      </c>
      <c r="G1327" s="8" t="n"/>
      <c r="H1327" s="8" t="n"/>
      <c r="I1327" s="8" t="n"/>
      <c r="J1327" s="8" t="n"/>
      <c r="K1327" s="8" t="n"/>
      <c r="L1327" s="8" t="n"/>
      <c r="M1327" s="8">
        <f>IF(COUNT(D1327:L1327)=0,"",MIN(D1327:L1327))</f>
        <v/>
      </c>
      <c r="N1327" s="8">
        <f>IF(COUNT(D1327:L1327)=0,"",MEDIAN(D1327:L1327))</f>
        <v/>
      </c>
      <c r="O1327" s="8">
        <f>IF(COUNT(D1327:L1327)=0,"",MAX(D1327:L1327))</f>
        <v/>
      </c>
      <c r="P1327" s="9">
        <f>IF(OR(M1327="",M1327=0),"",(O1327-M1327)/M1327)</f>
        <v/>
      </c>
      <c r="Q1327" s="7">
        <f>IF(COUNT(D1327:L1327)=0,"",INDEX($D$1:$L$1,MATCH(MIN(D1327:L1327),D1327:L1327,0)))</f>
        <v/>
      </c>
      <c r="R1327" s="8" t="n">
        <v>187</v>
      </c>
      <c r="S1327" s="10" t="n">
        <v>1</v>
      </c>
    </row>
    <row r="1328">
      <c r="A1328" s="7" t="inlineStr">
        <is>
          <t>MAT-32-151</t>
        </is>
      </c>
      <c r="B1328" s="4" t="inlineStr">
        <is>
          <t>Niple de HG 1/4" x 2"</t>
        </is>
      </c>
      <c r="C1328" s="7" t="inlineStr">
        <is>
          <t>unidad</t>
        </is>
      </c>
      <c r="D1328" s="8" t="n"/>
      <c r="E1328" s="8" t="n"/>
      <c r="F1328" s="8" t="n">
        <v>170</v>
      </c>
      <c r="G1328" s="8" t="n"/>
      <c r="H1328" s="8" t="n"/>
      <c r="I1328" s="8" t="n"/>
      <c r="J1328" s="8" t="n"/>
      <c r="K1328" s="8" t="n"/>
      <c r="L1328" s="8" t="n"/>
      <c r="M1328" s="8">
        <f>IF(COUNT(D1328:L1328)=0,"",MIN(D1328:L1328))</f>
        <v/>
      </c>
      <c r="N1328" s="8">
        <f>IF(COUNT(D1328:L1328)=0,"",MEDIAN(D1328:L1328))</f>
        <v/>
      </c>
      <c r="O1328" s="8">
        <f>IF(COUNT(D1328:L1328)=0,"",MAX(D1328:L1328))</f>
        <v/>
      </c>
      <c r="P1328" s="9">
        <f>IF(OR(M1328="",M1328=0),"",(O1328-M1328)/M1328)</f>
        <v/>
      </c>
      <c r="Q1328" s="7">
        <f>IF(COUNT(D1328:L1328)=0,"",INDEX($D$1:$L$1,MATCH(MIN(D1328:L1328),D1328:L1328,0)))</f>
        <v/>
      </c>
      <c r="R1328" s="8" t="n">
        <v>170</v>
      </c>
      <c r="S1328" s="10" t="n">
        <v>1</v>
      </c>
    </row>
    <row r="1329">
      <c r="A1329" s="7" t="inlineStr">
        <is>
          <t>MAT-32-152</t>
        </is>
      </c>
      <c r="B1329" s="4" t="inlineStr">
        <is>
          <t>Niple de HG 1/4" x 4"</t>
        </is>
      </c>
      <c r="C1329" s="7" t="inlineStr">
        <is>
          <t>unidad</t>
        </is>
      </c>
      <c r="D1329" s="8" t="n"/>
      <c r="E1329" s="8" t="n"/>
      <c r="F1329" s="8" t="n">
        <v>204</v>
      </c>
      <c r="G1329" s="8" t="n"/>
      <c r="H1329" s="8" t="n"/>
      <c r="I1329" s="8" t="n"/>
      <c r="J1329" s="8" t="n"/>
      <c r="K1329" s="8" t="n"/>
      <c r="L1329" s="8" t="n"/>
      <c r="M1329" s="8">
        <f>IF(COUNT(D1329:L1329)=0,"",MIN(D1329:L1329))</f>
        <v/>
      </c>
      <c r="N1329" s="8">
        <f>IF(COUNT(D1329:L1329)=0,"",MEDIAN(D1329:L1329))</f>
        <v/>
      </c>
      <c r="O1329" s="8">
        <f>IF(COUNT(D1329:L1329)=0,"",MAX(D1329:L1329))</f>
        <v/>
      </c>
      <c r="P1329" s="9">
        <f>IF(OR(M1329="",M1329=0),"",(O1329-M1329)/M1329)</f>
        <v/>
      </c>
      <c r="Q1329" s="7">
        <f>IF(COUNT(D1329:L1329)=0,"",INDEX($D$1:$L$1,MATCH(MIN(D1329:L1329),D1329:L1329,0)))</f>
        <v/>
      </c>
      <c r="R1329" s="8" t="n">
        <v>204</v>
      </c>
      <c r="S1329" s="10" t="n">
        <v>1</v>
      </c>
    </row>
    <row r="1330">
      <c r="A1330" s="7" t="inlineStr">
        <is>
          <t>MAT-32-153</t>
        </is>
      </c>
      <c r="B1330" s="4" t="inlineStr">
        <is>
          <t>Niple de HG 1" x 10"</t>
        </is>
      </c>
      <c r="C1330" s="7" t="inlineStr">
        <is>
          <t>unidad</t>
        </is>
      </c>
      <c r="D1330" s="8" t="n"/>
      <c r="E1330" s="8" t="n"/>
      <c r="F1330" s="8" t="n">
        <v>344</v>
      </c>
      <c r="G1330" s="8" t="n"/>
      <c r="H1330" s="8" t="n"/>
      <c r="I1330" s="8" t="n"/>
      <c r="J1330" s="8" t="n"/>
      <c r="K1330" s="8" t="n"/>
      <c r="L1330" s="8" t="n"/>
      <c r="M1330" s="8">
        <f>IF(COUNT(D1330:L1330)=0,"",MIN(D1330:L1330))</f>
        <v/>
      </c>
      <c r="N1330" s="8">
        <f>IF(COUNT(D1330:L1330)=0,"",MEDIAN(D1330:L1330))</f>
        <v/>
      </c>
      <c r="O1330" s="8">
        <f>IF(COUNT(D1330:L1330)=0,"",MAX(D1330:L1330))</f>
        <v/>
      </c>
      <c r="P1330" s="9">
        <f>IF(OR(M1330="",M1330=0),"",(O1330-M1330)/M1330)</f>
        <v/>
      </c>
      <c r="Q1330" s="7">
        <f>IF(COUNT(D1330:L1330)=0,"",INDEX($D$1:$L$1,MATCH(MIN(D1330:L1330),D1330:L1330,0)))</f>
        <v/>
      </c>
      <c r="R1330" s="8" t="n">
        <v>344</v>
      </c>
      <c r="S1330" s="10" t="n">
        <v>1</v>
      </c>
    </row>
    <row r="1331">
      <c r="A1331" s="7" t="inlineStr">
        <is>
          <t>MAT-32-154</t>
        </is>
      </c>
      <c r="B1331" s="4" t="inlineStr">
        <is>
          <t>Niple de HG 1" x 2 1/2"</t>
        </is>
      </c>
      <c r="C1331" s="7" t="inlineStr">
        <is>
          <t>unidad</t>
        </is>
      </c>
      <c r="D1331" s="8" t="n"/>
      <c r="E1331" s="8" t="n"/>
      <c r="F1331" s="8" t="n">
        <v>130</v>
      </c>
      <c r="G1331" s="8" t="n"/>
      <c r="H1331" s="8" t="n"/>
      <c r="I1331" s="8" t="n"/>
      <c r="J1331" s="8" t="n"/>
      <c r="K1331" s="8" t="n"/>
      <c r="L1331" s="8" t="n"/>
      <c r="M1331" s="8">
        <f>IF(COUNT(D1331:L1331)=0,"",MIN(D1331:L1331))</f>
        <v/>
      </c>
      <c r="N1331" s="8">
        <f>IF(COUNT(D1331:L1331)=0,"",MEDIAN(D1331:L1331))</f>
        <v/>
      </c>
      <c r="O1331" s="8">
        <f>IF(COUNT(D1331:L1331)=0,"",MAX(D1331:L1331))</f>
        <v/>
      </c>
      <c r="P1331" s="9">
        <f>IF(OR(M1331="",M1331=0),"",(O1331-M1331)/M1331)</f>
        <v/>
      </c>
      <c r="Q1331" s="7">
        <f>IF(COUNT(D1331:L1331)=0,"",INDEX($D$1:$L$1,MATCH(MIN(D1331:L1331),D1331:L1331,0)))</f>
        <v/>
      </c>
      <c r="R1331" s="8" t="n">
        <v>130</v>
      </c>
      <c r="S1331" s="10" t="n">
        <v>1</v>
      </c>
    </row>
    <row r="1332">
      <c r="A1332" s="7" t="inlineStr">
        <is>
          <t>MAT-32-155</t>
        </is>
      </c>
      <c r="B1332" s="4" t="inlineStr">
        <is>
          <t>Niple de HG 1" x 2"</t>
        </is>
      </c>
      <c r="C1332" s="7" t="inlineStr">
        <is>
          <t>unidad</t>
        </is>
      </c>
      <c r="D1332" s="8" t="n"/>
      <c r="E1332" s="8" t="n"/>
      <c r="F1332" s="8" t="n">
        <v>53</v>
      </c>
      <c r="G1332" s="8" t="n"/>
      <c r="H1332" s="8" t="n"/>
      <c r="I1332" s="8" t="n"/>
      <c r="J1332" s="8" t="n"/>
      <c r="K1332" s="8" t="n"/>
      <c r="L1332" s="8" t="n"/>
      <c r="M1332" s="8">
        <f>IF(COUNT(D1332:L1332)=0,"",MIN(D1332:L1332))</f>
        <v/>
      </c>
      <c r="N1332" s="8">
        <f>IF(COUNT(D1332:L1332)=0,"",MEDIAN(D1332:L1332))</f>
        <v/>
      </c>
      <c r="O1332" s="8">
        <f>IF(COUNT(D1332:L1332)=0,"",MAX(D1332:L1332))</f>
        <v/>
      </c>
      <c r="P1332" s="9">
        <f>IF(OR(M1332="",M1332=0),"",(O1332-M1332)/M1332)</f>
        <v/>
      </c>
      <c r="Q1332" s="7">
        <f>IF(COUNT(D1332:L1332)=0,"",INDEX($D$1:$L$1,MATCH(MIN(D1332:L1332),D1332:L1332,0)))</f>
        <v/>
      </c>
      <c r="R1332" s="8" t="n">
        <v>53</v>
      </c>
      <c r="S1332" s="10" t="n">
        <v>1</v>
      </c>
    </row>
    <row r="1333">
      <c r="A1333" s="7" t="inlineStr">
        <is>
          <t>MAT-32-156</t>
        </is>
      </c>
      <c r="B1333" s="4" t="inlineStr">
        <is>
          <t>Niple de HG 1" x 3"</t>
        </is>
      </c>
      <c r="C1333" s="7" t="inlineStr">
        <is>
          <t>unidad</t>
        </is>
      </c>
      <c r="D1333" s="8" t="n"/>
      <c r="E1333" s="8" t="n"/>
      <c r="F1333" s="8" t="n">
        <v>63</v>
      </c>
      <c r="G1333" s="8" t="n"/>
      <c r="H1333" s="8" t="n"/>
      <c r="I1333" s="8" t="n"/>
      <c r="J1333" s="8" t="n"/>
      <c r="K1333" s="8" t="n"/>
      <c r="L1333" s="8" t="n"/>
      <c r="M1333" s="8">
        <f>IF(COUNT(D1333:L1333)=0,"",MIN(D1333:L1333))</f>
        <v/>
      </c>
      <c r="N1333" s="8">
        <f>IF(COUNT(D1333:L1333)=0,"",MEDIAN(D1333:L1333))</f>
        <v/>
      </c>
      <c r="O1333" s="8">
        <f>IF(COUNT(D1333:L1333)=0,"",MAX(D1333:L1333))</f>
        <v/>
      </c>
      <c r="P1333" s="9">
        <f>IF(OR(M1333="",M1333=0),"",(O1333-M1333)/M1333)</f>
        <v/>
      </c>
      <c r="Q1333" s="7">
        <f>IF(COUNT(D1333:L1333)=0,"",INDEX($D$1:$L$1,MATCH(MIN(D1333:L1333),D1333:L1333,0)))</f>
        <v/>
      </c>
      <c r="R1333" s="8" t="n">
        <v>63</v>
      </c>
      <c r="S1333" s="10" t="n">
        <v>1</v>
      </c>
    </row>
    <row r="1334">
      <c r="A1334" s="7" t="inlineStr">
        <is>
          <t>MAT-32-157</t>
        </is>
      </c>
      <c r="B1334" s="4" t="inlineStr">
        <is>
          <t>Niple de HG 1" x 4"</t>
        </is>
      </c>
      <c r="C1334" s="7" t="inlineStr">
        <is>
          <t>unidad</t>
        </is>
      </c>
      <c r="D1334" s="8" t="n"/>
      <c r="E1334" s="8" t="n"/>
      <c r="F1334" s="8" t="n">
        <v>65</v>
      </c>
      <c r="G1334" s="8" t="n"/>
      <c r="H1334" s="8" t="n"/>
      <c r="I1334" s="8" t="n"/>
      <c r="J1334" s="8" t="n"/>
      <c r="K1334" s="8" t="n"/>
      <c r="L1334" s="8" t="n"/>
      <c r="M1334" s="8">
        <f>IF(COUNT(D1334:L1334)=0,"",MIN(D1334:L1334))</f>
        <v/>
      </c>
      <c r="N1334" s="8">
        <f>IF(COUNT(D1334:L1334)=0,"",MEDIAN(D1334:L1334))</f>
        <v/>
      </c>
      <c r="O1334" s="8">
        <f>IF(COUNT(D1334:L1334)=0,"",MAX(D1334:L1334))</f>
        <v/>
      </c>
      <c r="P1334" s="9">
        <f>IF(OR(M1334="",M1334=0),"",(O1334-M1334)/M1334)</f>
        <v/>
      </c>
      <c r="Q1334" s="7">
        <f>IF(COUNT(D1334:L1334)=0,"",INDEX($D$1:$L$1,MATCH(MIN(D1334:L1334),D1334:L1334,0)))</f>
        <v/>
      </c>
      <c r="R1334" s="8" t="n">
        <v>65</v>
      </c>
      <c r="S1334" s="10" t="n">
        <v>1</v>
      </c>
    </row>
    <row r="1335">
      <c r="A1335" s="7" t="inlineStr">
        <is>
          <t>MAT-32-158</t>
        </is>
      </c>
      <c r="B1335" s="4" t="inlineStr">
        <is>
          <t>Niple de HG 1" x 5"</t>
        </is>
      </c>
      <c r="C1335" s="7" t="inlineStr">
        <is>
          <t>unidad</t>
        </is>
      </c>
      <c r="D1335" s="8" t="n"/>
      <c r="E1335" s="8" t="n"/>
      <c r="F1335" s="8" t="n">
        <v>31</v>
      </c>
      <c r="G1335" s="8" t="n"/>
      <c r="H1335" s="8" t="n"/>
      <c r="I1335" s="8" t="n"/>
      <c r="J1335" s="8" t="n"/>
      <c r="K1335" s="8" t="n"/>
      <c r="L1335" s="8" t="n"/>
      <c r="M1335" s="8">
        <f>IF(COUNT(D1335:L1335)=0,"",MIN(D1335:L1335))</f>
        <v/>
      </c>
      <c r="N1335" s="8">
        <f>IF(COUNT(D1335:L1335)=0,"",MEDIAN(D1335:L1335))</f>
        <v/>
      </c>
      <c r="O1335" s="8">
        <f>IF(COUNT(D1335:L1335)=0,"",MAX(D1335:L1335))</f>
        <v/>
      </c>
      <c r="P1335" s="9">
        <f>IF(OR(M1335="",M1335=0),"",(O1335-M1335)/M1335)</f>
        <v/>
      </c>
      <c r="Q1335" s="7">
        <f>IF(COUNT(D1335:L1335)=0,"",INDEX($D$1:$L$1,MATCH(MIN(D1335:L1335),D1335:L1335,0)))</f>
        <v/>
      </c>
      <c r="R1335" s="8" t="n">
        <v>31</v>
      </c>
      <c r="S1335" s="10" t="n">
        <v>1</v>
      </c>
    </row>
    <row r="1336">
      <c r="A1336" s="7" t="inlineStr">
        <is>
          <t>MAT-32-159</t>
        </is>
      </c>
      <c r="B1336" s="4" t="inlineStr">
        <is>
          <t>Niple de HG 1" x 6"</t>
        </is>
      </c>
      <c r="C1336" s="7" t="inlineStr">
        <is>
          <t>unidad</t>
        </is>
      </c>
      <c r="D1336" s="8" t="n"/>
      <c r="E1336" s="8" t="n"/>
      <c r="F1336" s="8" t="n">
        <v>86</v>
      </c>
      <c r="G1336" s="8" t="n"/>
      <c r="H1336" s="8" t="n"/>
      <c r="I1336" s="8" t="n"/>
      <c r="J1336" s="8" t="n"/>
      <c r="K1336" s="8" t="n"/>
      <c r="L1336" s="8" t="n"/>
      <c r="M1336" s="8">
        <f>IF(COUNT(D1336:L1336)=0,"",MIN(D1336:L1336))</f>
        <v/>
      </c>
      <c r="N1336" s="8">
        <f>IF(COUNT(D1336:L1336)=0,"",MEDIAN(D1336:L1336))</f>
        <v/>
      </c>
      <c r="O1336" s="8">
        <f>IF(COUNT(D1336:L1336)=0,"",MAX(D1336:L1336))</f>
        <v/>
      </c>
      <c r="P1336" s="9">
        <f>IF(OR(M1336="",M1336=0),"",(O1336-M1336)/M1336)</f>
        <v/>
      </c>
      <c r="Q1336" s="7">
        <f>IF(COUNT(D1336:L1336)=0,"",INDEX($D$1:$L$1,MATCH(MIN(D1336:L1336),D1336:L1336,0)))</f>
        <v/>
      </c>
      <c r="R1336" s="8" t="n">
        <v>86</v>
      </c>
      <c r="S1336" s="10" t="n">
        <v>1</v>
      </c>
    </row>
    <row r="1337">
      <c r="A1337" s="7" t="inlineStr">
        <is>
          <t>MAT-32-160</t>
        </is>
      </c>
      <c r="B1337" s="4" t="inlineStr">
        <is>
          <t>Niple de HG 2" x 3"</t>
        </is>
      </c>
      <c r="C1337" s="7" t="inlineStr">
        <is>
          <t>unidad</t>
        </is>
      </c>
      <c r="D1337" s="8" t="n"/>
      <c r="E1337" s="8" t="n"/>
      <c r="F1337" s="8" t="n">
        <v>338</v>
      </c>
      <c r="G1337" s="8" t="n"/>
      <c r="H1337" s="8" t="n"/>
      <c r="I1337" s="8" t="n"/>
      <c r="J1337" s="8" t="n"/>
      <c r="K1337" s="8" t="n"/>
      <c r="L1337" s="8" t="n"/>
      <c r="M1337" s="8">
        <f>IF(COUNT(D1337:L1337)=0,"",MIN(D1337:L1337))</f>
        <v/>
      </c>
      <c r="N1337" s="8">
        <f>IF(COUNT(D1337:L1337)=0,"",MEDIAN(D1337:L1337))</f>
        <v/>
      </c>
      <c r="O1337" s="8">
        <f>IF(COUNT(D1337:L1337)=0,"",MAX(D1337:L1337))</f>
        <v/>
      </c>
      <c r="P1337" s="9">
        <f>IF(OR(M1337="",M1337=0),"",(O1337-M1337)/M1337)</f>
        <v/>
      </c>
      <c r="Q1337" s="7">
        <f>IF(COUNT(D1337:L1337)=0,"",INDEX($D$1:$L$1,MATCH(MIN(D1337:L1337),D1337:L1337,0)))</f>
        <v/>
      </c>
      <c r="R1337" s="8" t="n">
        <v>338</v>
      </c>
      <c r="S1337" s="10" t="n">
        <v>1</v>
      </c>
    </row>
    <row r="1338">
      <c r="A1338" s="7" t="inlineStr">
        <is>
          <t>MAT-32-161</t>
        </is>
      </c>
      <c r="B1338" s="4" t="inlineStr">
        <is>
          <t>Niple de HG 2" x 4"</t>
        </is>
      </c>
      <c r="C1338" s="7" t="inlineStr">
        <is>
          <t>unidad</t>
        </is>
      </c>
      <c r="D1338" s="8" t="n"/>
      <c r="E1338" s="8" t="n"/>
      <c r="F1338" s="8" t="n">
        <v>368</v>
      </c>
      <c r="G1338" s="8" t="n"/>
      <c r="H1338" s="8" t="n"/>
      <c r="I1338" s="8" t="n"/>
      <c r="J1338" s="8" t="n"/>
      <c r="K1338" s="8" t="n"/>
      <c r="L1338" s="8" t="n"/>
      <c r="M1338" s="8">
        <f>IF(COUNT(D1338:L1338)=0,"",MIN(D1338:L1338))</f>
        <v/>
      </c>
      <c r="N1338" s="8">
        <f>IF(COUNT(D1338:L1338)=0,"",MEDIAN(D1338:L1338))</f>
        <v/>
      </c>
      <c r="O1338" s="8">
        <f>IF(COUNT(D1338:L1338)=0,"",MAX(D1338:L1338))</f>
        <v/>
      </c>
      <c r="P1338" s="9">
        <f>IF(OR(M1338="",M1338=0),"",(O1338-M1338)/M1338)</f>
        <v/>
      </c>
      <c r="Q1338" s="7">
        <f>IF(COUNT(D1338:L1338)=0,"",INDEX($D$1:$L$1,MATCH(MIN(D1338:L1338),D1338:L1338,0)))</f>
        <v/>
      </c>
      <c r="R1338" s="8" t="n">
        <v>368</v>
      </c>
      <c r="S1338" s="10" t="n">
        <v>1</v>
      </c>
    </row>
    <row r="1339">
      <c r="A1339" s="7" t="inlineStr">
        <is>
          <t>MAT-32-162</t>
        </is>
      </c>
      <c r="B1339" s="4" t="inlineStr">
        <is>
          <t>Niple de HG 2" x 5"</t>
        </is>
      </c>
      <c r="C1339" s="7" t="inlineStr">
        <is>
          <t>unidad</t>
        </is>
      </c>
      <c r="D1339" s="8" t="n"/>
      <c r="E1339" s="8" t="n"/>
      <c r="F1339" s="8" t="n">
        <v>257</v>
      </c>
      <c r="G1339" s="8" t="n"/>
      <c r="H1339" s="8" t="n"/>
      <c r="I1339" s="8" t="n"/>
      <c r="J1339" s="8" t="n"/>
      <c r="K1339" s="8" t="n"/>
      <c r="L1339" s="8" t="n"/>
      <c r="M1339" s="8">
        <f>IF(COUNT(D1339:L1339)=0,"",MIN(D1339:L1339))</f>
        <v/>
      </c>
      <c r="N1339" s="8">
        <f>IF(COUNT(D1339:L1339)=0,"",MEDIAN(D1339:L1339))</f>
        <v/>
      </c>
      <c r="O1339" s="8">
        <f>IF(COUNT(D1339:L1339)=0,"",MAX(D1339:L1339))</f>
        <v/>
      </c>
      <c r="P1339" s="9">
        <f>IF(OR(M1339="",M1339=0),"",(O1339-M1339)/M1339)</f>
        <v/>
      </c>
      <c r="Q1339" s="7">
        <f>IF(COUNT(D1339:L1339)=0,"",INDEX($D$1:$L$1,MATCH(MIN(D1339:L1339),D1339:L1339,0)))</f>
        <v/>
      </c>
      <c r="R1339" s="8" t="n">
        <v>257</v>
      </c>
      <c r="S1339" s="10" t="n">
        <v>1</v>
      </c>
    </row>
    <row r="1340">
      <c r="A1340" s="7" t="inlineStr">
        <is>
          <t>MAT-32-163</t>
        </is>
      </c>
      <c r="B1340" s="4" t="inlineStr">
        <is>
          <t>Niple de HG 3/4" x 1 1/2"</t>
        </is>
      </c>
      <c r="C1340" s="7" t="inlineStr">
        <is>
          <t>unidad</t>
        </is>
      </c>
      <c r="D1340" s="8" t="n"/>
      <c r="E1340" s="8" t="n"/>
      <c r="F1340" s="8" t="n">
        <v>77</v>
      </c>
      <c r="G1340" s="8" t="n"/>
      <c r="H1340" s="8" t="n"/>
      <c r="I1340" s="8" t="n"/>
      <c r="J1340" s="8" t="n"/>
      <c r="K1340" s="8" t="n"/>
      <c r="L1340" s="8" t="n"/>
      <c r="M1340" s="8">
        <f>IF(COUNT(D1340:L1340)=0,"",MIN(D1340:L1340))</f>
        <v/>
      </c>
      <c r="N1340" s="8">
        <f>IF(COUNT(D1340:L1340)=0,"",MEDIAN(D1340:L1340))</f>
        <v/>
      </c>
      <c r="O1340" s="8">
        <f>IF(COUNT(D1340:L1340)=0,"",MAX(D1340:L1340))</f>
        <v/>
      </c>
      <c r="P1340" s="9">
        <f>IF(OR(M1340="",M1340=0),"",(O1340-M1340)/M1340)</f>
        <v/>
      </c>
      <c r="Q1340" s="7">
        <f>IF(COUNT(D1340:L1340)=0,"",INDEX($D$1:$L$1,MATCH(MIN(D1340:L1340),D1340:L1340,0)))</f>
        <v/>
      </c>
      <c r="R1340" s="8" t="n">
        <v>77</v>
      </c>
      <c r="S1340" s="10" t="n">
        <v>1</v>
      </c>
    </row>
    <row r="1341">
      <c r="A1341" s="7" t="inlineStr">
        <is>
          <t>MAT-32-164</t>
        </is>
      </c>
      <c r="B1341" s="4" t="inlineStr">
        <is>
          <t>Niple de HG 3/4" x 1"</t>
        </is>
      </c>
      <c r="C1341" s="7" t="inlineStr">
        <is>
          <t>unidad</t>
        </is>
      </c>
      <c r="D1341" s="8" t="n"/>
      <c r="E1341" s="8" t="n"/>
      <c r="F1341" s="8" t="n">
        <v>62</v>
      </c>
      <c r="G1341" s="8" t="n"/>
      <c r="H1341" s="8" t="n"/>
      <c r="I1341" s="8" t="n"/>
      <c r="J1341" s="8" t="n"/>
      <c r="K1341" s="8" t="n"/>
      <c r="L1341" s="8" t="n"/>
      <c r="M1341" s="8">
        <f>IF(COUNT(D1341:L1341)=0,"",MIN(D1341:L1341))</f>
        <v/>
      </c>
      <c r="N1341" s="8">
        <f>IF(COUNT(D1341:L1341)=0,"",MEDIAN(D1341:L1341))</f>
        <v/>
      </c>
      <c r="O1341" s="8">
        <f>IF(COUNT(D1341:L1341)=0,"",MAX(D1341:L1341))</f>
        <v/>
      </c>
      <c r="P1341" s="9">
        <f>IF(OR(M1341="",M1341=0),"",(O1341-M1341)/M1341)</f>
        <v/>
      </c>
      <c r="Q1341" s="7">
        <f>IF(COUNT(D1341:L1341)=0,"",INDEX($D$1:$L$1,MATCH(MIN(D1341:L1341),D1341:L1341,0)))</f>
        <v/>
      </c>
      <c r="R1341" s="8" t="n">
        <v>62</v>
      </c>
      <c r="S1341" s="10" t="n">
        <v>1</v>
      </c>
    </row>
    <row r="1342">
      <c r="A1342" s="7" t="inlineStr">
        <is>
          <t>MAT-32-165</t>
        </is>
      </c>
      <c r="B1342" s="4" t="inlineStr">
        <is>
          <t>Niple de HG 3/4" x 2 1/2"</t>
        </is>
      </c>
      <c r="C1342" s="7" t="inlineStr">
        <is>
          <t>unidad</t>
        </is>
      </c>
      <c r="D1342" s="8" t="n"/>
      <c r="E1342" s="8" t="n"/>
      <c r="F1342" s="8" t="n">
        <v>131</v>
      </c>
      <c r="G1342" s="8" t="n"/>
      <c r="H1342" s="8" t="n"/>
      <c r="I1342" s="8" t="n"/>
      <c r="J1342" s="8" t="n"/>
      <c r="K1342" s="8" t="n"/>
      <c r="L1342" s="8" t="n"/>
      <c r="M1342" s="8">
        <f>IF(COUNT(D1342:L1342)=0,"",MIN(D1342:L1342))</f>
        <v/>
      </c>
      <c r="N1342" s="8">
        <f>IF(COUNT(D1342:L1342)=0,"",MEDIAN(D1342:L1342))</f>
        <v/>
      </c>
      <c r="O1342" s="8">
        <f>IF(COUNT(D1342:L1342)=0,"",MAX(D1342:L1342))</f>
        <v/>
      </c>
      <c r="P1342" s="9">
        <f>IF(OR(M1342="",M1342=0),"",(O1342-M1342)/M1342)</f>
        <v/>
      </c>
      <c r="Q1342" s="7">
        <f>IF(COUNT(D1342:L1342)=0,"",INDEX($D$1:$L$1,MATCH(MIN(D1342:L1342),D1342:L1342,0)))</f>
        <v/>
      </c>
      <c r="R1342" s="8" t="n">
        <v>131</v>
      </c>
      <c r="S1342" s="10" t="n">
        <v>1</v>
      </c>
    </row>
    <row r="1343">
      <c r="A1343" s="7" t="inlineStr">
        <is>
          <t>MAT-32-166</t>
        </is>
      </c>
      <c r="B1343" s="4" t="inlineStr">
        <is>
          <t>Niple de HG 3/4" x 2"</t>
        </is>
      </c>
      <c r="C1343" s="7" t="inlineStr">
        <is>
          <t>unidad</t>
        </is>
      </c>
      <c r="D1343" s="8" t="n"/>
      <c r="E1343" s="8" t="n"/>
      <c r="F1343" s="8" t="n">
        <v>120</v>
      </c>
      <c r="G1343" s="8" t="n"/>
      <c r="H1343" s="8" t="n"/>
      <c r="I1343" s="8" t="n"/>
      <c r="J1343" s="8" t="n"/>
      <c r="K1343" s="8" t="n"/>
      <c r="L1343" s="8" t="n"/>
      <c r="M1343" s="8">
        <f>IF(COUNT(D1343:L1343)=0,"",MIN(D1343:L1343))</f>
        <v/>
      </c>
      <c r="N1343" s="8">
        <f>IF(COUNT(D1343:L1343)=0,"",MEDIAN(D1343:L1343))</f>
        <v/>
      </c>
      <c r="O1343" s="8">
        <f>IF(COUNT(D1343:L1343)=0,"",MAX(D1343:L1343))</f>
        <v/>
      </c>
      <c r="P1343" s="9">
        <f>IF(OR(M1343="",M1343=0),"",(O1343-M1343)/M1343)</f>
        <v/>
      </c>
      <c r="Q1343" s="7">
        <f>IF(COUNT(D1343:L1343)=0,"",INDEX($D$1:$L$1,MATCH(MIN(D1343:L1343),D1343:L1343,0)))</f>
        <v/>
      </c>
      <c r="R1343" s="8" t="n">
        <v>120</v>
      </c>
      <c r="S1343" s="10" t="n">
        <v>1</v>
      </c>
    </row>
    <row r="1344">
      <c r="A1344" s="7" t="inlineStr">
        <is>
          <t>MAT-32-167</t>
        </is>
      </c>
      <c r="B1344" s="4" t="inlineStr">
        <is>
          <t>Niple de HG 3/4" x 3"</t>
        </is>
      </c>
      <c r="C1344" s="7" t="inlineStr">
        <is>
          <t>unidad</t>
        </is>
      </c>
      <c r="D1344" s="8" t="n"/>
      <c r="E1344" s="8" t="n"/>
      <c r="F1344" s="8" t="n">
        <v>149</v>
      </c>
      <c r="G1344" s="8" t="n"/>
      <c r="H1344" s="8" t="n"/>
      <c r="I1344" s="8" t="n"/>
      <c r="J1344" s="8" t="n"/>
      <c r="K1344" s="8" t="n"/>
      <c r="L1344" s="8" t="n"/>
      <c r="M1344" s="8">
        <f>IF(COUNT(D1344:L1344)=0,"",MIN(D1344:L1344))</f>
        <v/>
      </c>
      <c r="N1344" s="8">
        <f>IF(COUNT(D1344:L1344)=0,"",MEDIAN(D1344:L1344))</f>
        <v/>
      </c>
      <c r="O1344" s="8">
        <f>IF(COUNT(D1344:L1344)=0,"",MAX(D1344:L1344))</f>
        <v/>
      </c>
      <c r="P1344" s="9">
        <f>IF(OR(M1344="",M1344=0),"",(O1344-M1344)/M1344)</f>
        <v/>
      </c>
      <c r="Q1344" s="7">
        <f>IF(COUNT(D1344:L1344)=0,"",INDEX($D$1:$L$1,MATCH(MIN(D1344:L1344),D1344:L1344,0)))</f>
        <v/>
      </c>
      <c r="R1344" s="8" t="n">
        <v>149</v>
      </c>
      <c r="S1344" s="10" t="n">
        <v>1</v>
      </c>
    </row>
    <row r="1345">
      <c r="A1345" s="7" t="inlineStr">
        <is>
          <t>MAT-32-168</t>
        </is>
      </c>
      <c r="B1345" s="4" t="inlineStr">
        <is>
          <t>Niple de HG 3/4" x 4"</t>
        </is>
      </c>
      <c r="C1345" s="7" t="inlineStr">
        <is>
          <t>unidad</t>
        </is>
      </c>
      <c r="D1345" s="8" t="n"/>
      <c r="E1345" s="8" t="n"/>
      <c r="F1345" s="8" t="n">
        <v>160</v>
      </c>
      <c r="G1345" s="8" t="n"/>
      <c r="H1345" s="8" t="n"/>
      <c r="I1345" s="8" t="n"/>
      <c r="J1345" s="8" t="n"/>
      <c r="K1345" s="8" t="n"/>
      <c r="L1345" s="8" t="n"/>
      <c r="M1345" s="8">
        <f>IF(COUNT(D1345:L1345)=0,"",MIN(D1345:L1345))</f>
        <v/>
      </c>
      <c r="N1345" s="8">
        <f>IF(COUNT(D1345:L1345)=0,"",MEDIAN(D1345:L1345))</f>
        <v/>
      </c>
      <c r="O1345" s="8">
        <f>IF(COUNT(D1345:L1345)=0,"",MAX(D1345:L1345))</f>
        <v/>
      </c>
      <c r="P1345" s="9">
        <f>IF(OR(M1345="",M1345=0),"",(O1345-M1345)/M1345)</f>
        <v/>
      </c>
      <c r="Q1345" s="7">
        <f>IF(COUNT(D1345:L1345)=0,"",INDEX($D$1:$L$1,MATCH(MIN(D1345:L1345),D1345:L1345,0)))</f>
        <v/>
      </c>
      <c r="R1345" s="8" t="n">
        <v>160</v>
      </c>
      <c r="S1345" s="10" t="n">
        <v>1</v>
      </c>
    </row>
    <row r="1346">
      <c r="A1346" s="7" t="inlineStr">
        <is>
          <t>MAT-32-169</t>
        </is>
      </c>
      <c r="B1346" s="4" t="inlineStr">
        <is>
          <t>Niple de HG 3/4" x 5"</t>
        </is>
      </c>
      <c r="C1346" s="7" t="inlineStr">
        <is>
          <t>unidad</t>
        </is>
      </c>
      <c r="D1346" s="8" t="n"/>
      <c r="E1346" s="8" t="n"/>
      <c r="F1346" s="8" t="n">
        <v>194</v>
      </c>
      <c r="G1346" s="8" t="n"/>
      <c r="H1346" s="8" t="n"/>
      <c r="I1346" s="8" t="n"/>
      <c r="J1346" s="8" t="n"/>
      <c r="K1346" s="8" t="n"/>
      <c r="L1346" s="8" t="n"/>
      <c r="M1346" s="8">
        <f>IF(COUNT(D1346:L1346)=0,"",MIN(D1346:L1346))</f>
        <v/>
      </c>
      <c r="N1346" s="8">
        <f>IF(COUNT(D1346:L1346)=0,"",MEDIAN(D1346:L1346))</f>
        <v/>
      </c>
      <c r="O1346" s="8">
        <f>IF(COUNT(D1346:L1346)=0,"",MAX(D1346:L1346))</f>
        <v/>
      </c>
      <c r="P1346" s="9">
        <f>IF(OR(M1346="",M1346=0),"",(O1346-M1346)/M1346)</f>
        <v/>
      </c>
      <c r="Q1346" s="7">
        <f>IF(COUNT(D1346:L1346)=0,"",INDEX($D$1:$L$1,MATCH(MIN(D1346:L1346),D1346:L1346,0)))</f>
        <v/>
      </c>
      <c r="R1346" s="8" t="n">
        <v>194</v>
      </c>
      <c r="S1346" s="10" t="n">
        <v>1</v>
      </c>
    </row>
    <row r="1347">
      <c r="A1347" s="7" t="inlineStr">
        <is>
          <t>MAT-32-170</t>
        </is>
      </c>
      <c r="B1347" s="4" t="inlineStr">
        <is>
          <t>Niple de HG 3/4" x 6"</t>
        </is>
      </c>
      <c r="C1347" s="7" t="inlineStr">
        <is>
          <t>unidad</t>
        </is>
      </c>
      <c r="D1347" s="8" t="n"/>
      <c r="E1347" s="8" t="n"/>
      <c r="F1347" s="8" t="n">
        <v>248</v>
      </c>
      <c r="G1347" s="8" t="n"/>
      <c r="H1347" s="8" t="n"/>
      <c r="I1347" s="8" t="n"/>
      <c r="J1347" s="8" t="n"/>
      <c r="K1347" s="8" t="n"/>
      <c r="L1347" s="8" t="n"/>
      <c r="M1347" s="8">
        <f>IF(COUNT(D1347:L1347)=0,"",MIN(D1347:L1347))</f>
        <v/>
      </c>
      <c r="N1347" s="8">
        <f>IF(COUNT(D1347:L1347)=0,"",MEDIAN(D1347:L1347))</f>
        <v/>
      </c>
      <c r="O1347" s="8">
        <f>IF(COUNT(D1347:L1347)=0,"",MAX(D1347:L1347))</f>
        <v/>
      </c>
      <c r="P1347" s="9">
        <f>IF(OR(M1347="",M1347=0),"",(O1347-M1347)/M1347)</f>
        <v/>
      </c>
      <c r="Q1347" s="7">
        <f>IF(COUNT(D1347:L1347)=0,"",INDEX($D$1:$L$1,MATCH(MIN(D1347:L1347),D1347:L1347,0)))</f>
        <v/>
      </c>
      <c r="R1347" s="8" t="n">
        <v>248</v>
      </c>
      <c r="S1347" s="10" t="n">
        <v>1</v>
      </c>
    </row>
    <row r="1348">
      <c r="A1348" s="7" t="inlineStr">
        <is>
          <t>MAT-32-171</t>
        </is>
      </c>
      <c r="B1348" s="4" t="inlineStr">
        <is>
          <t>Niple de HG 3/8" x 2 1/2"</t>
        </is>
      </c>
      <c r="C1348" s="7" t="inlineStr">
        <is>
          <t>unidad</t>
        </is>
      </c>
      <c r="D1348" s="8" t="n"/>
      <c r="E1348" s="8" t="n"/>
      <c r="F1348" s="8" t="n">
        <v>155</v>
      </c>
      <c r="G1348" s="8" t="n"/>
      <c r="H1348" s="8" t="n"/>
      <c r="I1348" s="8" t="n"/>
      <c r="J1348" s="8" t="n"/>
      <c r="K1348" s="8" t="n"/>
      <c r="L1348" s="8" t="n"/>
      <c r="M1348" s="8">
        <f>IF(COUNT(D1348:L1348)=0,"",MIN(D1348:L1348))</f>
        <v/>
      </c>
      <c r="N1348" s="8">
        <f>IF(COUNT(D1348:L1348)=0,"",MEDIAN(D1348:L1348))</f>
        <v/>
      </c>
      <c r="O1348" s="8">
        <f>IF(COUNT(D1348:L1348)=0,"",MAX(D1348:L1348))</f>
        <v/>
      </c>
      <c r="P1348" s="9">
        <f>IF(OR(M1348="",M1348=0),"",(O1348-M1348)/M1348)</f>
        <v/>
      </c>
      <c r="Q1348" s="7">
        <f>IF(COUNT(D1348:L1348)=0,"",INDEX($D$1:$L$1,MATCH(MIN(D1348:L1348),D1348:L1348,0)))</f>
        <v/>
      </c>
      <c r="R1348" s="8" t="n">
        <v>155</v>
      </c>
      <c r="S1348" s="10" t="n">
        <v>1</v>
      </c>
    </row>
    <row r="1349">
      <c r="A1349" s="7" t="inlineStr">
        <is>
          <t>MAT-32-172</t>
        </is>
      </c>
      <c r="B1349" s="4" t="inlineStr">
        <is>
          <t>Niple de HG 3/8" x 2"</t>
        </is>
      </c>
      <c r="C1349" s="7" t="inlineStr">
        <is>
          <t>unidad</t>
        </is>
      </c>
      <c r="D1349" s="8" t="n"/>
      <c r="E1349" s="8" t="n"/>
      <c r="F1349" s="8" t="n">
        <v>160</v>
      </c>
      <c r="G1349" s="8" t="n"/>
      <c r="H1349" s="8" t="n"/>
      <c r="I1349" s="8" t="n"/>
      <c r="J1349" s="8" t="n"/>
      <c r="K1349" s="8" t="n"/>
      <c r="L1349" s="8" t="n"/>
      <c r="M1349" s="8">
        <f>IF(COUNT(D1349:L1349)=0,"",MIN(D1349:L1349))</f>
        <v/>
      </c>
      <c r="N1349" s="8">
        <f>IF(COUNT(D1349:L1349)=0,"",MEDIAN(D1349:L1349))</f>
        <v/>
      </c>
      <c r="O1349" s="8">
        <f>IF(COUNT(D1349:L1349)=0,"",MAX(D1349:L1349))</f>
        <v/>
      </c>
      <c r="P1349" s="9">
        <f>IF(OR(M1349="",M1349=0),"",(O1349-M1349)/M1349)</f>
        <v/>
      </c>
      <c r="Q1349" s="7">
        <f>IF(COUNT(D1349:L1349)=0,"",INDEX($D$1:$L$1,MATCH(MIN(D1349:L1349),D1349:L1349,0)))</f>
        <v/>
      </c>
      <c r="R1349" s="8" t="n">
        <v>160</v>
      </c>
      <c r="S1349" s="10" t="n">
        <v>1</v>
      </c>
    </row>
    <row r="1350">
      <c r="A1350" s="7" t="inlineStr">
        <is>
          <t>MAT-32-173</t>
        </is>
      </c>
      <c r="B1350" s="4" t="inlineStr">
        <is>
          <t>Niple de HG 3/8" x 3 1/2"</t>
        </is>
      </c>
      <c r="C1350" s="7" t="inlineStr">
        <is>
          <t>unidad</t>
        </is>
      </c>
      <c r="D1350" s="8" t="n"/>
      <c r="E1350" s="8" t="n"/>
      <c r="F1350" s="8" t="n">
        <v>194</v>
      </c>
      <c r="G1350" s="8" t="n"/>
      <c r="H1350" s="8" t="n"/>
      <c r="I1350" s="8" t="n"/>
      <c r="J1350" s="8" t="n"/>
      <c r="K1350" s="8" t="n"/>
      <c r="L1350" s="8" t="n"/>
      <c r="M1350" s="8">
        <f>IF(COUNT(D1350:L1350)=0,"",MIN(D1350:L1350))</f>
        <v/>
      </c>
      <c r="N1350" s="8">
        <f>IF(COUNT(D1350:L1350)=0,"",MEDIAN(D1350:L1350))</f>
        <v/>
      </c>
      <c r="O1350" s="8">
        <f>IF(COUNT(D1350:L1350)=0,"",MAX(D1350:L1350))</f>
        <v/>
      </c>
      <c r="P1350" s="9">
        <f>IF(OR(M1350="",M1350=0),"",(O1350-M1350)/M1350)</f>
        <v/>
      </c>
      <c r="Q1350" s="7">
        <f>IF(COUNT(D1350:L1350)=0,"",INDEX($D$1:$L$1,MATCH(MIN(D1350:L1350),D1350:L1350,0)))</f>
        <v/>
      </c>
      <c r="R1350" s="8" t="n">
        <v>194</v>
      </c>
      <c r="S1350" s="10" t="n">
        <v>1</v>
      </c>
    </row>
    <row r="1351">
      <c r="A1351" s="7" t="inlineStr">
        <is>
          <t>MAT-32-174</t>
        </is>
      </c>
      <c r="B1351" s="4" t="inlineStr">
        <is>
          <t>Niple de HG 3/8" x 3"</t>
        </is>
      </c>
      <c r="C1351" s="7" t="inlineStr">
        <is>
          <t>unidad</t>
        </is>
      </c>
      <c r="D1351" s="8" t="n"/>
      <c r="E1351" s="8" t="n"/>
      <c r="F1351" s="8" t="n">
        <v>185</v>
      </c>
      <c r="G1351" s="8" t="n"/>
      <c r="H1351" s="8" t="n"/>
      <c r="I1351" s="8" t="n"/>
      <c r="J1351" s="8" t="n"/>
      <c r="K1351" s="8" t="n"/>
      <c r="L1351" s="8" t="n"/>
      <c r="M1351" s="8">
        <f>IF(COUNT(D1351:L1351)=0,"",MIN(D1351:L1351))</f>
        <v/>
      </c>
      <c r="N1351" s="8">
        <f>IF(COUNT(D1351:L1351)=0,"",MEDIAN(D1351:L1351))</f>
        <v/>
      </c>
      <c r="O1351" s="8">
        <f>IF(COUNT(D1351:L1351)=0,"",MAX(D1351:L1351))</f>
        <v/>
      </c>
      <c r="P1351" s="9">
        <f>IF(OR(M1351="",M1351=0),"",(O1351-M1351)/M1351)</f>
        <v/>
      </c>
      <c r="Q1351" s="7">
        <f>IF(COUNT(D1351:L1351)=0,"",INDEX($D$1:$L$1,MATCH(MIN(D1351:L1351),D1351:L1351,0)))</f>
        <v/>
      </c>
      <c r="R1351" s="8" t="n">
        <v>185</v>
      </c>
      <c r="S1351" s="10" t="n">
        <v>1</v>
      </c>
    </row>
    <row r="1352">
      <c r="A1352" s="7" t="inlineStr">
        <is>
          <t>MAT-32-175</t>
        </is>
      </c>
      <c r="B1352" s="4" t="inlineStr">
        <is>
          <t>Niple de HG 3/8" x 4 1/2"</t>
        </is>
      </c>
      <c r="C1352" s="7" t="inlineStr">
        <is>
          <t>unidad</t>
        </is>
      </c>
      <c r="D1352" s="8" t="n"/>
      <c r="E1352" s="8" t="n"/>
      <c r="F1352" s="8" t="n">
        <v>194</v>
      </c>
      <c r="G1352" s="8" t="n"/>
      <c r="H1352" s="8" t="n"/>
      <c r="I1352" s="8" t="n"/>
      <c r="J1352" s="8" t="n"/>
      <c r="K1352" s="8" t="n"/>
      <c r="L1352" s="8" t="n"/>
      <c r="M1352" s="8">
        <f>IF(COUNT(D1352:L1352)=0,"",MIN(D1352:L1352))</f>
        <v/>
      </c>
      <c r="N1352" s="8">
        <f>IF(COUNT(D1352:L1352)=0,"",MEDIAN(D1352:L1352))</f>
        <v/>
      </c>
      <c r="O1352" s="8">
        <f>IF(COUNT(D1352:L1352)=0,"",MAX(D1352:L1352))</f>
        <v/>
      </c>
      <c r="P1352" s="9">
        <f>IF(OR(M1352="",M1352=0),"",(O1352-M1352)/M1352)</f>
        <v/>
      </c>
      <c r="Q1352" s="7">
        <f>IF(COUNT(D1352:L1352)=0,"",INDEX($D$1:$L$1,MATCH(MIN(D1352:L1352),D1352:L1352,0)))</f>
        <v/>
      </c>
      <c r="R1352" s="8" t="n">
        <v>194</v>
      </c>
      <c r="S1352" s="10" t="n">
        <v>1</v>
      </c>
    </row>
    <row r="1353">
      <c r="A1353" s="7" t="inlineStr">
        <is>
          <t>MAT-32-176</t>
        </is>
      </c>
      <c r="B1353" s="4" t="inlineStr">
        <is>
          <t>Niple de HG 3/8" x 4"</t>
        </is>
      </c>
      <c r="C1353" s="7" t="inlineStr">
        <is>
          <t>unidad</t>
        </is>
      </c>
      <c r="D1353" s="8" t="n"/>
      <c r="E1353" s="8" t="n"/>
      <c r="F1353" s="8" t="n">
        <v>249</v>
      </c>
      <c r="G1353" s="8" t="n"/>
      <c r="H1353" s="8" t="n"/>
      <c r="I1353" s="8" t="n"/>
      <c r="J1353" s="8" t="n"/>
      <c r="K1353" s="8" t="n"/>
      <c r="L1353" s="8" t="n"/>
      <c r="M1353" s="8">
        <f>IF(COUNT(D1353:L1353)=0,"",MIN(D1353:L1353))</f>
        <v/>
      </c>
      <c r="N1353" s="8">
        <f>IF(COUNT(D1353:L1353)=0,"",MEDIAN(D1353:L1353))</f>
        <v/>
      </c>
      <c r="O1353" s="8">
        <f>IF(COUNT(D1353:L1353)=0,"",MAX(D1353:L1353))</f>
        <v/>
      </c>
      <c r="P1353" s="9">
        <f>IF(OR(M1353="",M1353=0),"",(O1353-M1353)/M1353)</f>
        <v/>
      </c>
      <c r="Q1353" s="7">
        <f>IF(COUNT(D1353:L1353)=0,"",INDEX($D$1:$L$1,MATCH(MIN(D1353:L1353),D1353:L1353,0)))</f>
        <v/>
      </c>
      <c r="R1353" s="8" t="n">
        <v>249</v>
      </c>
      <c r="S1353" s="10" t="n">
        <v>1</v>
      </c>
    </row>
    <row r="1354">
      <c r="A1354" s="7" t="inlineStr">
        <is>
          <t>MAT-32-177</t>
        </is>
      </c>
      <c r="B1354" s="4" t="inlineStr">
        <is>
          <t>Niple de HG 3/8" x 5 1/2"</t>
        </is>
      </c>
      <c r="C1354" s="7" t="inlineStr">
        <is>
          <t>unidad</t>
        </is>
      </c>
      <c r="D1354" s="8" t="n"/>
      <c r="E1354" s="8" t="n"/>
      <c r="F1354" s="8" t="n">
        <v>229</v>
      </c>
      <c r="G1354" s="8" t="n"/>
      <c r="H1354" s="8" t="n"/>
      <c r="I1354" s="8" t="n"/>
      <c r="J1354" s="8" t="n"/>
      <c r="K1354" s="8" t="n"/>
      <c r="L1354" s="8" t="n"/>
      <c r="M1354" s="8">
        <f>IF(COUNT(D1354:L1354)=0,"",MIN(D1354:L1354))</f>
        <v/>
      </c>
      <c r="N1354" s="8">
        <f>IF(COUNT(D1354:L1354)=0,"",MEDIAN(D1354:L1354))</f>
        <v/>
      </c>
      <c r="O1354" s="8">
        <f>IF(COUNT(D1354:L1354)=0,"",MAX(D1354:L1354))</f>
        <v/>
      </c>
      <c r="P1354" s="9">
        <f>IF(OR(M1354="",M1354=0),"",(O1354-M1354)/M1354)</f>
        <v/>
      </c>
      <c r="Q1354" s="7">
        <f>IF(COUNT(D1354:L1354)=0,"",INDEX($D$1:$L$1,MATCH(MIN(D1354:L1354),D1354:L1354,0)))</f>
        <v/>
      </c>
      <c r="R1354" s="8" t="n">
        <v>229</v>
      </c>
      <c r="S1354" s="10" t="n">
        <v>1</v>
      </c>
    </row>
    <row r="1355">
      <c r="A1355" s="7" t="inlineStr">
        <is>
          <t>MAT-32-178</t>
        </is>
      </c>
      <c r="B1355" s="4" t="inlineStr">
        <is>
          <t>Niple de HG 3/8" x 5"</t>
        </is>
      </c>
      <c r="C1355" s="7" t="inlineStr">
        <is>
          <t>unidad</t>
        </is>
      </c>
      <c r="D1355" s="8" t="n"/>
      <c r="E1355" s="8" t="n"/>
      <c r="F1355" s="8" t="n">
        <v>255</v>
      </c>
      <c r="G1355" s="8" t="n"/>
      <c r="H1355" s="8" t="n"/>
      <c r="I1355" s="8" t="n"/>
      <c r="J1355" s="8" t="n"/>
      <c r="K1355" s="8" t="n"/>
      <c r="L1355" s="8" t="n"/>
      <c r="M1355" s="8">
        <f>IF(COUNT(D1355:L1355)=0,"",MIN(D1355:L1355))</f>
        <v/>
      </c>
      <c r="N1355" s="8">
        <f>IF(COUNT(D1355:L1355)=0,"",MEDIAN(D1355:L1355))</f>
        <v/>
      </c>
      <c r="O1355" s="8">
        <f>IF(COUNT(D1355:L1355)=0,"",MAX(D1355:L1355))</f>
        <v/>
      </c>
      <c r="P1355" s="9">
        <f>IF(OR(M1355="",M1355=0),"",(O1355-M1355)/M1355)</f>
        <v/>
      </c>
      <c r="Q1355" s="7">
        <f>IF(COUNT(D1355:L1355)=0,"",INDEX($D$1:$L$1,MATCH(MIN(D1355:L1355),D1355:L1355,0)))</f>
        <v/>
      </c>
      <c r="R1355" s="8" t="n">
        <v>255</v>
      </c>
      <c r="S1355" s="10" t="n">
        <v>1</v>
      </c>
    </row>
    <row r="1356">
      <c r="A1356" s="7" t="inlineStr">
        <is>
          <t>MAT-32-179</t>
        </is>
      </c>
      <c r="B1356" s="4" t="inlineStr">
        <is>
          <t>Niple de HG 3/8" x 6"</t>
        </is>
      </c>
      <c r="C1356" s="7" t="inlineStr">
        <is>
          <t>unidad</t>
        </is>
      </c>
      <c r="D1356" s="8" t="n"/>
      <c r="E1356" s="8" t="n"/>
      <c r="F1356" s="8" t="n">
        <v>327</v>
      </c>
      <c r="G1356" s="8" t="n"/>
      <c r="H1356" s="8" t="n"/>
      <c r="I1356" s="8" t="n"/>
      <c r="J1356" s="8" t="n"/>
      <c r="K1356" s="8" t="n"/>
      <c r="L1356" s="8" t="n"/>
      <c r="M1356" s="8">
        <f>IF(COUNT(D1356:L1356)=0,"",MIN(D1356:L1356))</f>
        <v/>
      </c>
      <c r="N1356" s="8">
        <f>IF(COUNT(D1356:L1356)=0,"",MEDIAN(D1356:L1356))</f>
        <v/>
      </c>
      <c r="O1356" s="8">
        <f>IF(COUNT(D1356:L1356)=0,"",MAX(D1356:L1356))</f>
        <v/>
      </c>
      <c r="P1356" s="9">
        <f>IF(OR(M1356="",M1356=0),"",(O1356-M1356)/M1356)</f>
        <v/>
      </c>
      <c r="Q1356" s="7">
        <f>IF(COUNT(D1356:L1356)=0,"",INDEX($D$1:$L$1,MATCH(MIN(D1356:L1356),D1356:L1356,0)))</f>
        <v/>
      </c>
      <c r="R1356" s="8" t="n">
        <v>327</v>
      </c>
      <c r="S1356" s="10" t="n">
        <v>1</v>
      </c>
    </row>
    <row r="1357">
      <c r="A1357" s="7" t="inlineStr">
        <is>
          <t>MAT-32-180</t>
        </is>
      </c>
      <c r="B1357" s="4" t="inlineStr">
        <is>
          <t>Niple de niquelado 1/2" x 2 1/2"</t>
        </is>
      </c>
      <c r="C1357" s="7" t="inlineStr">
        <is>
          <t>unidad</t>
        </is>
      </c>
      <c r="D1357" s="8" t="n"/>
      <c r="E1357" s="8" t="n"/>
      <c r="F1357" s="8" t="n">
        <v>59</v>
      </c>
      <c r="G1357" s="8" t="n"/>
      <c r="H1357" s="8" t="n"/>
      <c r="I1357" s="8" t="n"/>
      <c r="J1357" s="8" t="n"/>
      <c r="K1357" s="8" t="n"/>
      <c r="L1357" s="8" t="n"/>
      <c r="M1357" s="8">
        <f>IF(COUNT(D1357:L1357)=0,"",MIN(D1357:L1357))</f>
        <v/>
      </c>
      <c r="N1357" s="8">
        <f>IF(COUNT(D1357:L1357)=0,"",MEDIAN(D1357:L1357))</f>
        <v/>
      </c>
      <c r="O1357" s="8">
        <f>IF(COUNT(D1357:L1357)=0,"",MAX(D1357:L1357))</f>
        <v/>
      </c>
      <c r="P1357" s="9">
        <f>IF(OR(M1357="",M1357=0),"",(O1357-M1357)/M1357)</f>
        <v/>
      </c>
      <c r="Q1357" s="7">
        <f>IF(COUNT(D1357:L1357)=0,"",INDEX($D$1:$L$1,MATCH(MIN(D1357:L1357),D1357:L1357,0)))</f>
        <v/>
      </c>
      <c r="R1357" s="8" t="n">
        <v>192.5</v>
      </c>
      <c r="S1357" s="10" t="n">
        <v>1</v>
      </c>
    </row>
    <row r="1358">
      <c r="A1358" s="7" t="inlineStr">
        <is>
          <t>MAT-32-181</t>
        </is>
      </c>
      <c r="B1358" s="4" t="inlineStr">
        <is>
          <t>Niple de niquelado 1/2" x 2"</t>
        </is>
      </c>
      <c r="C1358" s="7" t="inlineStr">
        <is>
          <t>unidad</t>
        </is>
      </c>
      <c r="D1358" s="8" t="n"/>
      <c r="E1358" s="8" t="n"/>
      <c r="F1358" s="8" t="n">
        <v>52</v>
      </c>
      <c r="G1358" s="8" t="n"/>
      <c r="H1358" s="8" t="n"/>
      <c r="I1358" s="8" t="n"/>
      <c r="J1358" s="8" t="n"/>
      <c r="K1358" s="8" t="n"/>
      <c r="L1358" s="8" t="n"/>
      <c r="M1358" s="8">
        <f>IF(COUNT(D1358:L1358)=0,"",MIN(D1358:L1358))</f>
        <v/>
      </c>
      <c r="N1358" s="8">
        <f>IF(COUNT(D1358:L1358)=0,"",MEDIAN(D1358:L1358))</f>
        <v/>
      </c>
      <c r="O1358" s="8">
        <f>IF(COUNT(D1358:L1358)=0,"",MAX(D1358:L1358))</f>
        <v/>
      </c>
      <c r="P1358" s="9">
        <f>IF(OR(M1358="",M1358=0),"",(O1358-M1358)/M1358)</f>
        <v/>
      </c>
      <c r="Q1358" s="7">
        <f>IF(COUNT(D1358:L1358)=0,"",INDEX($D$1:$L$1,MATCH(MIN(D1358:L1358),D1358:L1358,0)))</f>
        <v/>
      </c>
      <c r="R1358" s="8" t="n">
        <v>138</v>
      </c>
      <c r="S1358" s="10" t="n">
        <v>1</v>
      </c>
    </row>
    <row r="1359">
      <c r="A1359" s="7" t="inlineStr">
        <is>
          <t>MAT-32-182</t>
        </is>
      </c>
      <c r="B1359" s="4" t="inlineStr">
        <is>
          <t>Niple de niquelado 1/2" x 3"</t>
        </is>
      </c>
      <c r="C1359" s="7" t="inlineStr">
        <is>
          <t>unidad</t>
        </is>
      </c>
      <c r="D1359" s="8" t="n"/>
      <c r="E1359" s="8" t="n"/>
      <c r="F1359" s="8" t="n">
        <v>388</v>
      </c>
      <c r="G1359" s="8" t="n"/>
      <c r="H1359" s="8" t="n"/>
      <c r="I1359" s="8" t="n"/>
      <c r="J1359" s="8" t="n"/>
      <c r="K1359" s="8" t="n"/>
      <c r="L1359" s="8" t="n"/>
      <c r="M1359" s="8">
        <f>IF(COUNT(D1359:L1359)=0,"",MIN(D1359:L1359))</f>
        <v/>
      </c>
      <c r="N1359" s="8">
        <f>IF(COUNT(D1359:L1359)=0,"",MEDIAN(D1359:L1359))</f>
        <v/>
      </c>
      <c r="O1359" s="8">
        <f>IF(COUNT(D1359:L1359)=0,"",MAX(D1359:L1359))</f>
        <v/>
      </c>
      <c r="P1359" s="9">
        <f>IF(OR(M1359="",M1359=0),"",(O1359-M1359)/M1359)</f>
        <v/>
      </c>
      <c r="Q1359" s="7">
        <f>IF(COUNT(D1359:L1359)=0,"",INDEX($D$1:$L$1,MATCH(MIN(D1359:L1359),D1359:L1359,0)))</f>
        <v/>
      </c>
      <c r="R1359" s="8" t="n">
        <v>388</v>
      </c>
      <c r="S1359" s="10" t="n">
        <v>1</v>
      </c>
    </row>
    <row r="1360">
      <c r="A1360" s="7" t="inlineStr">
        <is>
          <t>MAT-32-183</t>
        </is>
      </c>
      <c r="B1360" s="4" t="inlineStr">
        <is>
          <t>Niple de niquelado 3/8" x 2"</t>
        </is>
      </c>
      <c r="C1360" s="7" t="inlineStr">
        <is>
          <t>unidad</t>
        </is>
      </c>
      <c r="D1360" s="8" t="n"/>
      <c r="E1360" s="8" t="n"/>
      <c r="F1360" s="8" t="n">
        <v>47</v>
      </c>
      <c r="G1360" s="8" t="n"/>
      <c r="H1360" s="8" t="n"/>
      <c r="I1360" s="8" t="n"/>
      <c r="J1360" s="8" t="n"/>
      <c r="K1360" s="8" t="n"/>
      <c r="L1360" s="8" t="n"/>
      <c r="M1360" s="8">
        <f>IF(COUNT(D1360:L1360)=0,"",MIN(D1360:L1360))</f>
        <v/>
      </c>
      <c r="N1360" s="8">
        <f>IF(COUNT(D1360:L1360)=0,"",MEDIAN(D1360:L1360))</f>
        <v/>
      </c>
      <c r="O1360" s="8">
        <f>IF(COUNT(D1360:L1360)=0,"",MAX(D1360:L1360))</f>
        <v/>
      </c>
      <c r="P1360" s="9">
        <f>IF(OR(M1360="",M1360=0),"",(O1360-M1360)/M1360)</f>
        <v/>
      </c>
      <c r="Q1360" s="7">
        <f>IF(COUNT(D1360:L1360)=0,"",INDEX($D$1:$L$1,MATCH(MIN(D1360:L1360),D1360:L1360,0)))</f>
        <v/>
      </c>
      <c r="R1360" s="8" t="n">
        <v>47</v>
      </c>
      <c r="S1360" s="10" t="n">
        <v>1</v>
      </c>
    </row>
    <row r="1361">
      <c r="A1361" s="7" t="inlineStr">
        <is>
          <t>MAT-32-184</t>
        </is>
      </c>
      <c r="B1361" s="4" t="inlineStr">
        <is>
          <t>Niple de niquelado 3/8" x 3"</t>
        </is>
      </c>
      <c r="C1361" s="7" t="inlineStr">
        <is>
          <t>unidad</t>
        </is>
      </c>
      <c r="D1361" s="8" t="n"/>
      <c r="E1361" s="8" t="n"/>
      <c r="F1361" s="8" t="n">
        <v>59</v>
      </c>
      <c r="G1361" s="8" t="n"/>
      <c r="H1361" s="8" t="n"/>
      <c r="I1361" s="8" t="n"/>
      <c r="J1361" s="8" t="n"/>
      <c r="K1361" s="8" t="n"/>
      <c r="L1361" s="8" t="n"/>
      <c r="M1361" s="8">
        <f>IF(COUNT(D1361:L1361)=0,"",MIN(D1361:L1361))</f>
        <v/>
      </c>
      <c r="N1361" s="8">
        <f>IF(COUNT(D1361:L1361)=0,"",MEDIAN(D1361:L1361))</f>
        <v/>
      </c>
      <c r="O1361" s="8">
        <f>IF(COUNT(D1361:L1361)=0,"",MAX(D1361:L1361))</f>
        <v/>
      </c>
      <c r="P1361" s="9">
        <f>IF(OR(M1361="",M1361=0),"",(O1361-M1361)/M1361)</f>
        <v/>
      </c>
      <c r="Q1361" s="7">
        <f>IF(COUNT(D1361:L1361)=0,"",INDEX($D$1:$L$1,MATCH(MIN(D1361:L1361),D1361:L1361,0)))</f>
        <v/>
      </c>
      <c r="R1361" s="8" t="n">
        <v>59</v>
      </c>
      <c r="S1361" s="10" t="n">
        <v>1</v>
      </c>
    </row>
    <row r="1362">
      <c r="A1362" s="7" t="inlineStr">
        <is>
          <t>MAT-32-185</t>
        </is>
      </c>
      <c r="B1362" s="4" t="inlineStr">
        <is>
          <t>Reducción bushing de bronce 1/4" x 3/8"</t>
        </is>
      </c>
      <c r="C1362" s="7" t="inlineStr">
        <is>
          <t>unidad</t>
        </is>
      </c>
      <c r="D1362" s="8" t="n"/>
      <c r="E1362" s="8" t="n"/>
      <c r="F1362" s="8" t="n">
        <v>132</v>
      </c>
      <c r="G1362" s="8" t="n"/>
      <c r="H1362" s="8" t="n"/>
      <c r="I1362" s="8" t="n"/>
      <c r="J1362" s="8" t="n"/>
      <c r="K1362" s="8" t="n"/>
      <c r="L1362" s="8" t="n"/>
      <c r="M1362" s="8">
        <f>IF(COUNT(D1362:L1362)=0,"",MIN(D1362:L1362))</f>
        <v/>
      </c>
      <c r="N1362" s="8">
        <f>IF(COUNT(D1362:L1362)=0,"",MEDIAN(D1362:L1362))</f>
        <v/>
      </c>
      <c r="O1362" s="8">
        <f>IF(COUNT(D1362:L1362)=0,"",MAX(D1362:L1362))</f>
        <v/>
      </c>
      <c r="P1362" s="9">
        <f>IF(OR(M1362="",M1362=0),"",(O1362-M1362)/M1362)</f>
        <v/>
      </c>
      <c r="Q1362" s="7">
        <f>IF(COUNT(D1362:L1362)=0,"",INDEX($D$1:$L$1,MATCH(MIN(D1362:L1362),D1362:L1362,0)))</f>
        <v/>
      </c>
      <c r="R1362" s="8" t="n">
        <v>132</v>
      </c>
      <c r="S1362" s="10" t="n">
        <v>1</v>
      </c>
    </row>
    <row r="1363">
      <c r="A1363" s="7" t="inlineStr">
        <is>
          <t>MAT-32-186</t>
        </is>
      </c>
      <c r="B1363" s="4" t="inlineStr">
        <is>
          <t>Reducción bushing de bronce 1/8" x 1/4"</t>
        </is>
      </c>
      <c r="C1363" s="7" t="inlineStr">
        <is>
          <t>unidad</t>
        </is>
      </c>
      <c r="D1363" s="8" t="n"/>
      <c r="E1363" s="8" t="n"/>
      <c r="F1363" s="8" t="n">
        <v>101</v>
      </c>
      <c r="G1363" s="8" t="n"/>
      <c r="H1363" s="8" t="n"/>
      <c r="I1363" s="8" t="n"/>
      <c r="J1363" s="8" t="n"/>
      <c r="K1363" s="8" t="n"/>
      <c r="L1363" s="8" t="n"/>
      <c r="M1363" s="8">
        <f>IF(COUNT(D1363:L1363)=0,"",MIN(D1363:L1363))</f>
        <v/>
      </c>
      <c r="N1363" s="8">
        <f>IF(COUNT(D1363:L1363)=0,"",MEDIAN(D1363:L1363))</f>
        <v/>
      </c>
      <c r="O1363" s="8">
        <f>IF(COUNT(D1363:L1363)=0,"",MAX(D1363:L1363))</f>
        <v/>
      </c>
      <c r="P1363" s="9">
        <f>IF(OR(M1363="",M1363=0),"",(O1363-M1363)/M1363)</f>
        <v/>
      </c>
      <c r="Q1363" s="7">
        <f>IF(COUNT(D1363:L1363)=0,"",INDEX($D$1:$L$1,MATCH(MIN(D1363:L1363),D1363:L1363,0)))</f>
        <v/>
      </c>
      <c r="R1363" s="8" t="n">
        <v>101</v>
      </c>
      <c r="S1363" s="10" t="n">
        <v>1</v>
      </c>
    </row>
    <row r="1364">
      <c r="A1364" s="7" t="inlineStr">
        <is>
          <t>MAT-32-187</t>
        </is>
      </c>
      <c r="B1364" s="4" t="inlineStr">
        <is>
          <t>Reducción bushing de bronce 1/8" x 3/8"</t>
        </is>
      </c>
      <c r="C1364" s="7" t="inlineStr">
        <is>
          <t>unidad</t>
        </is>
      </c>
      <c r="D1364" s="8" t="n"/>
      <c r="E1364" s="8" t="n"/>
      <c r="F1364" s="8" t="n">
        <v>77</v>
      </c>
      <c r="G1364" s="8" t="n"/>
      <c r="H1364" s="8" t="n"/>
      <c r="I1364" s="8" t="n"/>
      <c r="J1364" s="8" t="n"/>
      <c r="K1364" s="8" t="n"/>
      <c r="L1364" s="8" t="n"/>
      <c r="M1364" s="8">
        <f>IF(COUNT(D1364:L1364)=0,"",MIN(D1364:L1364))</f>
        <v/>
      </c>
      <c r="N1364" s="8">
        <f>IF(COUNT(D1364:L1364)=0,"",MEDIAN(D1364:L1364))</f>
        <v/>
      </c>
      <c r="O1364" s="8">
        <f>IF(COUNT(D1364:L1364)=0,"",MAX(D1364:L1364))</f>
        <v/>
      </c>
      <c r="P1364" s="9">
        <f>IF(OR(M1364="",M1364=0),"",(O1364-M1364)/M1364)</f>
        <v/>
      </c>
      <c r="Q1364" s="7">
        <f>IF(COUNT(D1364:L1364)=0,"",INDEX($D$1:$L$1,MATCH(MIN(D1364:L1364),D1364:L1364,0)))</f>
        <v/>
      </c>
      <c r="R1364" s="8" t="n">
        <v>77</v>
      </c>
      <c r="S1364" s="10" t="n">
        <v>1</v>
      </c>
    </row>
    <row r="1365">
      <c r="A1365" s="7" t="inlineStr">
        <is>
          <t>MAT-32-188</t>
        </is>
      </c>
      <c r="B1365" s="4" t="inlineStr">
        <is>
          <t>Reducción bushing de HG 1 1/2" x 1 1/4"</t>
        </is>
      </c>
      <c r="C1365" s="7" t="inlineStr">
        <is>
          <t>unidad</t>
        </is>
      </c>
      <c r="D1365" s="8" t="n"/>
      <c r="E1365" s="8" t="n"/>
      <c r="F1365" s="8" t="n">
        <v>247</v>
      </c>
      <c r="G1365" s="8" t="n"/>
      <c r="H1365" s="8" t="n"/>
      <c r="I1365" s="8" t="n"/>
      <c r="J1365" s="8" t="n"/>
      <c r="K1365" s="8" t="n"/>
      <c r="L1365" s="8" t="n"/>
      <c r="M1365" s="8">
        <f>IF(COUNT(D1365:L1365)=0,"",MIN(D1365:L1365))</f>
        <v/>
      </c>
      <c r="N1365" s="8">
        <f>IF(COUNT(D1365:L1365)=0,"",MEDIAN(D1365:L1365))</f>
        <v/>
      </c>
      <c r="O1365" s="8">
        <f>IF(COUNT(D1365:L1365)=0,"",MAX(D1365:L1365))</f>
        <v/>
      </c>
      <c r="P1365" s="9">
        <f>IF(OR(M1365="",M1365=0),"",(O1365-M1365)/M1365)</f>
        <v/>
      </c>
      <c r="Q1365" s="7">
        <f>IF(COUNT(D1365:L1365)=0,"",INDEX($D$1:$L$1,MATCH(MIN(D1365:L1365),D1365:L1365,0)))</f>
        <v/>
      </c>
      <c r="R1365" s="8" t="n">
        <v>247</v>
      </c>
      <c r="S1365" s="10" t="n">
        <v>1</v>
      </c>
    </row>
    <row r="1366">
      <c r="A1366" s="7" t="inlineStr">
        <is>
          <t>MAT-32-189</t>
        </is>
      </c>
      <c r="B1366" s="4" t="inlineStr">
        <is>
          <t>Reducción bushing de HG 1 1/2" x 1/2"</t>
        </is>
      </c>
      <c r="C1366" s="7" t="inlineStr">
        <is>
          <t>unidad</t>
        </is>
      </c>
      <c r="D1366" s="8" t="n"/>
      <c r="E1366" s="8" t="n"/>
      <c r="F1366" s="8" t="n">
        <v>103</v>
      </c>
      <c r="G1366" s="8" t="n"/>
      <c r="H1366" s="8" t="n"/>
      <c r="I1366" s="8" t="n"/>
      <c r="J1366" s="8" t="n"/>
      <c r="K1366" s="8" t="n"/>
      <c r="L1366" s="8" t="n"/>
      <c r="M1366" s="8">
        <f>IF(COUNT(D1366:L1366)=0,"",MIN(D1366:L1366))</f>
        <v/>
      </c>
      <c r="N1366" s="8">
        <f>IF(COUNT(D1366:L1366)=0,"",MEDIAN(D1366:L1366))</f>
        <v/>
      </c>
      <c r="O1366" s="8">
        <f>IF(COUNT(D1366:L1366)=0,"",MAX(D1366:L1366))</f>
        <v/>
      </c>
      <c r="P1366" s="9">
        <f>IF(OR(M1366="",M1366=0),"",(O1366-M1366)/M1366)</f>
        <v/>
      </c>
      <c r="Q1366" s="7">
        <f>IF(COUNT(D1366:L1366)=0,"",INDEX($D$1:$L$1,MATCH(MIN(D1366:L1366),D1366:L1366,0)))</f>
        <v/>
      </c>
      <c r="R1366" s="8" t="n">
        <v>103</v>
      </c>
      <c r="S1366" s="10" t="n">
        <v>1</v>
      </c>
    </row>
    <row r="1367">
      <c r="A1367" s="7" t="inlineStr">
        <is>
          <t>MAT-32-190</t>
        </is>
      </c>
      <c r="B1367" s="4" t="inlineStr">
        <is>
          <t>Reducción bushing de HG 1 1/2" x 1"</t>
        </is>
      </c>
      <c r="C1367" s="7" t="inlineStr">
        <is>
          <t>unidad</t>
        </is>
      </c>
      <c r="D1367" s="8" t="n"/>
      <c r="E1367" s="8" t="n"/>
      <c r="F1367" s="8" t="n">
        <v>214</v>
      </c>
      <c r="G1367" s="8" t="n"/>
      <c r="H1367" s="8" t="n"/>
      <c r="I1367" s="8" t="n"/>
      <c r="J1367" s="8" t="n"/>
      <c r="K1367" s="8" t="n"/>
      <c r="L1367" s="8" t="n"/>
      <c r="M1367" s="8">
        <f>IF(COUNT(D1367:L1367)=0,"",MIN(D1367:L1367))</f>
        <v/>
      </c>
      <c r="N1367" s="8">
        <f>IF(COUNT(D1367:L1367)=0,"",MEDIAN(D1367:L1367))</f>
        <v/>
      </c>
      <c r="O1367" s="8">
        <f>IF(COUNT(D1367:L1367)=0,"",MAX(D1367:L1367))</f>
        <v/>
      </c>
      <c r="P1367" s="9">
        <f>IF(OR(M1367="",M1367=0),"",(O1367-M1367)/M1367)</f>
        <v/>
      </c>
      <c r="Q1367" s="7">
        <f>IF(COUNT(D1367:L1367)=0,"",INDEX($D$1:$L$1,MATCH(MIN(D1367:L1367),D1367:L1367,0)))</f>
        <v/>
      </c>
      <c r="R1367" s="8" t="n">
        <v>214</v>
      </c>
      <c r="S1367" s="10" t="n">
        <v>1</v>
      </c>
    </row>
    <row r="1368">
      <c r="A1368" s="7" t="inlineStr">
        <is>
          <t>MAT-32-191</t>
        </is>
      </c>
      <c r="B1368" s="4" t="inlineStr">
        <is>
          <t>Reducción bushing de HG 1 1/2" x 3/4"</t>
        </is>
      </c>
      <c r="C1368" s="7" t="inlineStr">
        <is>
          <t>unidad</t>
        </is>
      </c>
      <c r="D1368" s="8" t="n"/>
      <c r="E1368" s="8" t="n"/>
      <c r="F1368" s="8" t="n">
        <v>87</v>
      </c>
      <c r="G1368" s="8" t="n"/>
      <c r="H1368" s="8" t="n"/>
      <c r="I1368" s="8" t="n"/>
      <c r="J1368" s="8" t="n"/>
      <c r="K1368" s="8" t="n"/>
      <c r="L1368" s="8" t="n"/>
      <c r="M1368" s="8">
        <f>IF(COUNT(D1368:L1368)=0,"",MIN(D1368:L1368))</f>
        <v/>
      </c>
      <c r="N1368" s="8">
        <f>IF(COUNT(D1368:L1368)=0,"",MEDIAN(D1368:L1368))</f>
        <v/>
      </c>
      <c r="O1368" s="8">
        <f>IF(COUNT(D1368:L1368)=0,"",MAX(D1368:L1368))</f>
        <v/>
      </c>
      <c r="P1368" s="9">
        <f>IF(OR(M1368="",M1368=0),"",(O1368-M1368)/M1368)</f>
        <v/>
      </c>
      <c r="Q1368" s="7">
        <f>IF(COUNT(D1368:L1368)=0,"",INDEX($D$1:$L$1,MATCH(MIN(D1368:L1368),D1368:L1368,0)))</f>
        <v/>
      </c>
      <c r="R1368" s="8" t="n">
        <v>87</v>
      </c>
      <c r="S1368" s="10" t="n">
        <v>1</v>
      </c>
    </row>
    <row r="1369">
      <c r="A1369" s="7" t="inlineStr">
        <is>
          <t>MAT-32-192</t>
        </is>
      </c>
      <c r="B1369" s="4" t="inlineStr">
        <is>
          <t>Reducción bushing de HG 1 1/4" x 1/2"</t>
        </is>
      </c>
      <c r="C1369" s="7" t="inlineStr">
        <is>
          <t>unidad</t>
        </is>
      </c>
      <c r="D1369" s="8" t="n"/>
      <c r="E1369" s="8" t="n"/>
      <c r="F1369" s="8" t="n">
        <v>61</v>
      </c>
      <c r="G1369" s="8" t="n"/>
      <c r="H1369" s="8" t="n"/>
      <c r="I1369" s="8" t="n"/>
      <c r="J1369" s="8" t="n"/>
      <c r="K1369" s="8" t="n"/>
      <c r="L1369" s="8" t="n"/>
      <c r="M1369" s="8">
        <f>IF(COUNT(D1369:L1369)=0,"",MIN(D1369:L1369))</f>
        <v/>
      </c>
      <c r="N1369" s="8">
        <f>IF(COUNT(D1369:L1369)=0,"",MEDIAN(D1369:L1369))</f>
        <v/>
      </c>
      <c r="O1369" s="8">
        <f>IF(COUNT(D1369:L1369)=0,"",MAX(D1369:L1369))</f>
        <v/>
      </c>
      <c r="P1369" s="9">
        <f>IF(OR(M1369="",M1369=0),"",(O1369-M1369)/M1369)</f>
        <v/>
      </c>
      <c r="Q1369" s="7">
        <f>IF(COUNT(D1369:L1369)=0,"",INDEX($D$1:$L$1,MATCH(MIN(D1369:L1369),D1369:L1369,0)))</f>
        <v/>
      </c>
      <c r="R1369" s="8" t="n">
        <v>61</v>
      </c>
      <c r="S1369" s="10" t="n">
        <v>1</v>
      </c>
    </row>
    <row r="1370">
      <c r="A1370" s="7" t="inlineStr">
        <is>
          <t>MAT-32-193</t>
        </is>
      </c>
      <c r="B1370" s="4" t="inlineStr">
        <is>
          <t>Reducción bushing de HG 1 1/4" x 1"</t>
        </is>
      </c>
      <c r="C1370" s="7" t="inlineStr">
        <is>
          <t>unidad</t>
        </is>
      </c>
      <c r="D1370" s="8" t="n"/>
      <c r="E1370" s="8" t="n"/>
      <c r="F1370" s="8" t="n">
        <v>198</v>
      </c>
      <c r="G1370" s="8" t="n"/>
      <c r="H1370" s="8" t="n"/>
      <c r="I1370" s="8" t="n"/>
      <c r="J1370" s="8" t="n"/>
      <c r="K1370" s="8" t="n"/>
      <c r="L1370" s="8" t="n"/>
      <c r="M1370" s="8">
        <f>IF(COUNT(D1370:L1370)=0,"",MIN(D1370:L1370))</f>
        <v/>
      </c>
      <c r="N1370" s="8">
        <f>IF(COUNT(D1370:L1370)=0,"",MEDIAN(D1370:L1370))</f>
        <v/>
      </c>
      <c r="O1370" s="8">
        <f>IF(COUNT(D1370:L1370)=0,"",MAX(D1370:L1370))</f>
        <v/>
      </c>
      <c r="P1370" s="9">
        <f>IF(OR(M1370="",M1370=0),"",(O1370-M1370)/M1370)</f>
        <v/>
      </c>
      <c r="Q1370" s="7">
        <f>IF(COUNT(D1370:L1370)=0,"",INDEX($D$1:$L$1,MATCH(MIN(D1370:L1370),D1370:L1370,0)))</f>
        <v/>
      </c>
      <c r="R1370" s="8" t="n">
        <v>198</v>
      </c>
      <c r="S1370" s="10" t="n">
        <v>1</v>
      </c>
    </row>
    <row r="1371">
      <c r="A1371" s="7" t="inlineStr">
        <is>
          <t>MAT-32-194</t>
        </is>
      </c>
      <c r="B1371" s="4" t="inlineStr">
        <is>
          <t>Reducción bushing de HG 1/2" x 1/4"</t>
        </is>
      </c>
      <c r="C1371" s="7" t="inlineStr">
        <is>
          <t>unidad</t>
        </is>
      </c>
      <c r="D1371" s="8" t="n"/>
      <c r="E1371" s="8" t="n"/>
      <c r="F1371" s="8" t="n">
        <v>80</v>
      </c>
      <c r="G1371" s="8" t="n"/>
      <c r="H1371" s="8" t="n"/>
      <c r="I1371" s="8" t="n"/>
      <c r="J1371" s="8" t="n"/>
      <c r="K1371" s="8" t="n"/>
      <c r="L1371" s="8" t="n"/>
      <c r="M1371" s="8">
        <f>IF(COUNT(D1371:L1371)=0,"",MIN(D1371:L1371))</f>
        <v/>
      </c>
      <c r="N1371" s="8">
        <f>IF(COUNT(D1371:L1371)=0,"",MEDIAN(D1371:L1371))</f>
        <v/>
      </c>
      <c r="O1371" s="8">
        <f>IF(COUNT(D1371:L1371)=0,"",MAX(D1371:L1371))</f>
        <v/>
      </c>
      <c r="P1371" s="9">
        <f>IF(OR(M1371="",M1371=0),"",(O1371-M1371)/M1371)</f>
        <v/>
      </c>
      <c r="Q1371" s="7">
        <f>IF(COUNT(D1371:L1371)=0,"",INDEX($D$1:$L$1,MATCH(MIN(D1371:L1371),D1371:L1371,0)))</f>
        <v/>
      </c>
      <c r="R1371" s="8" t="n">
        <v>80</v>
      </c>
      <c r="S1371" s="10" t="n">
        <v>1</v>
      </c>
    </row>
    <row r="1372">
      <c r="A1372" s="7" t="inlineStr">
        <is>
          <t>MAT-32-195</t>
        </is>
      </c>
      <c r="B1372" s="4" t="inlineStr">
        <is>
          <t>Reducción bushing de HG 1/2" x 3/8"</t>
        </is>
      </c>
      <c r="C1372" s="7" t="inlineStr">
        <is>
          <t>unidad</t>
        </is>
      </c>
      <c r="D1372" s="8" t="n"/>
      <c r="E1372" s="8" t="n"/>
      <c r="F1372" s="8" t="n">
        <v>65</v>
      </c>
      <c r="G1372" s="8" t="n"/>
      <c r="H1372" s="8" t="n"/>
      <c r="I1372" s="8" t="n"/>
      <c r="J1372" s="8" t="n"/>
      <c r="K1372" s="8" t="n"/>
      <c r="L1372" s="8" t="n"/>
      <c r="M1372" s="8">
        <f>IF(COUNT(D1372:L1372)=0,"",MIN(D1372:L1372))</f>
        <v/>
      </c>
      <c r="N1372" s="8">
        <f>IF(COUNT(D1372:L1372)=0,"",MEDIAN(D1372:L1372))</f>
        <v/>
      </c>
      <c r="O1372" s="8">
        <f>IF(COUNT(D1372:L1372)=0,"",MAX(D1372:L1372))</f>
        <v/>
      </c>
      <c r="P1372" s="9">
        <f>IF(OR(M1372="",M1372=0),"",(O1372-M1372)/M1372)</f>
        <v/>
      </c>
      <c r="Q1372" s="7">
        <f>IF(COUNT(D1372:L1372)=0,"",INDEX($D$1:$L$1,MATCH(MIN(D1372:L1372),D1372:L1372,0)))</f>
        <v/>
      </c>
      <c r="R1372" s="8" t="n">
        <v>65</v>
      </c>
      <c r="S1372" s="10" t="n">
        <v>1</v>
      </c>
    </row>
    <row r="1373">
      <c r="A1373" s="7" t="inlineStr">
        <is>
          <t>MAT-32-196</t>
        </is>
      </c>
      <c r="B1373" s="4" t="inlineStr">
        <is>
          <t>Reducción bushing de HG 1" x 1/2"</t>
        </is>
      </c>
      <c r="C1373" s="7" t="inlineStr">
        <is>
          <t>unidad</t>
        </is>
      </c>
      <c r="D1373" s="8" t="n"/>
      <c r="E1373" s="8" t="n"/>
      <c r="F1373" s="8" t="n">
        <v>92</v>
      </c>
      <c r="G1373" s="8" t="n"/>
      <c r="H1373" s="8" t="n"/>
      <c r="I1373" s="8" t="n"/>
      <c r="J1373" s="8" t="n"/>
      <c r="K1373" s="8" t="n"/>
      <c r="L1373" s="8" t="n"/>
      <c r="M1373" s="8">
        <f>IF(COUNT(D1373:L1373)=0,"",MIN(D1373:L1373))</f>
        <v/>
      </c>
      <c r="N1373" s="8">
        <f>IF(COUNT(D1373:L1373)=0,"",MEDIAN(D1373:L1373))</f>
        <v/>
      </c>
      <c r="O1373" s="8">
        <f>IF(COUNT(D1373:L1373)=0,"",MAX(D1373:L1373))</f>
        <v/>
      </c>
      <c r="P1373" s="9">
        <f>IF(OR(M1373="",M1373=0),"",(O1373-M1373)/M1373)</f>
        <v/>
      </c>
      <c r="Q1373" s="7">
        <f>IF(COUNT(D1373:L1373)=0,"",INDEX($D$1:$L$1,MATCH(MIN(D1373:L1373),D1373:L1373,0)))</f>
        <v/>
      </c>
      <c r="R1373" s="8" t="n">
        <v>92</v>
      </c>
      <c r="S1373" s="10" t="n">
        <v>1</v>
      </c>
    </row>
    <row r="1374">
      <c r="A1374" s="7" t="inlineStr">
        <is>
          <t>MAT-32-197</t>
        </is>
      </c>
      <c r="B1374" s="4" t="inlineStr">
        <is>
          <t>Reducción bushing de HG 1" x 3/4"</t>
        </is>
      </c>
      <c r="C1374" s="7" t="inlineStr">
        <is>
          <t>unidad</t>
        </is>
      </c>
      <c r="D1374" s="8" t="n"/>
      <c r="E1374" s="8" t="n"/>
      <c r="F1374" s="8" t="n">
        <v>97</v>
      </c>
      <c r="G1374" s="8" t="n"/>
      <c r="H1374" s="8" t="n"/>
      <c r="I1374" s="8" t="n"/>
      <c r="J1374" s="8" t="n"/>
      <c r="K1374" s="8" t="n"/>
      <c r="L1374" s="8" t="n"/>
      <c r="M1374" s="8">
        <f>IF(COUNT(D1374:L1374)=0,"",MIN(D1374:L1374))</f>
        <v/>
      </c>
      <c r="N1374" s="8">
        <f>IF(COUNT(D1374:L1374)=0,"",MEDIAN(D1374:L1374))</f>
        <v/>
      </c>
      <c r="O1374" s="8">
        <f>IF(COUNT(D1374:L1374)=0,"",MAX(D1374:L1374))</f>
        <v/>
      </c>
      <c r="P1374" s="9">
        <f>IF(OR(M1374="",M1374=0),"",(O1374-M1374)/M1374)</f>
        <v/>
      </c>
      <c r="Q1374" s="7">
        <f>IF(COUNT(D1374:L1374)=0,"",INDEX($D$1:$L$1,MATCH(MIN(D1374:L1374),D1374:L1374,0)))</f>
        <v/>
      </c>
      <c r="R1374" s="8" t="n">
        <v>97</v>
      </c>
      <c r="S1374" s="10" t="n">
        <v>1</v>
      </c>
    </row>
    <row r="1375">
      <c r="A1375" s="7" t="inlineStr">
        <is>
          <t>MAT-32-198</t>
        </is>
      </c>
      <c r="B1375" s="4" t="inlineStr">
        <is>
          <t>Reducción bushing de HG 2" x 1 1/2"</t>
        </is>
      </c>
      <c r="C1375" s="7" t="inlineStr">
        <is>
          <t>unidad</t>
        </is>
      </c>
      <c r="D1375" s="8" t="n"/>
      <c r="E1375" s="8" t="n"/>
      <c r="F1375" s="8" t="n">
        <v>189</v>
      </c>
      <c r="G1375" s="8" t="n"/>
      <c r="H1375" s="8" t="n"/>
      <c r="I1375" s="8" t="n"/>
      <c r="J1375" s="8" t="n"/>
      <c r="K1375" s="8" t="n"/>
      <c r="L1375" s="8" t="n"/>
      <c r="M1375" s="8">
        <f>IF(COUNT(D1375:L1375)=0,"",MIN(D1375:L1375))</f>
        <v/>
      </c>
      <c r="N1375" s="8">
        <f>IF(COUNT(D1375:L1375)=0,"",MEDIAN(D1375:L1375))</f>
        <v/>
      </c>
      <c r="O1375" s="8">
        <f>IF(COUNT(D1375:L1375)=0,"",MAX(D1375:L1375))</f>
        <v/>
      </c>
      <c r="P1375" s="9">
        <f>IF(OR(M1375="",M1375=0),"",(O1375-M1375)/M1375)</f>
        <v/>
      </c>
      <c r="Q1375" s="7">
        <f>IF(COUNT(D1375:L1375)=0,"",INDEX($D$1:$L$1,MATCH(MIN(D1375:L1375),D1375:L1375,0)))</f>
        <v/>
      </c>
      <c r="R1375" s="8" t="n">
        <v>189</v>
      </c>
      <c r="S1375" s="10" t="n">
        <v>1</v>
      </c>
    </row>
    <row r="1376">
      <c r="A1376" s="7" t="inlineStr">
        <is>
          <t>MAT-32-199</t>
        </is>
      </c>
      <c r="B1376" s="4" t="inlineStr">
        <is>
          <t>Reducción bushing de HG 3/4" x 1/2"</t>
        </is>
      </c>
      <c r="C1376" s="7" t="inlineStr">
        <is>
          <t>unidad</t>
        </is>
      </c>
      <c r="D1376" s="8" t="n"/>
      <c r="E1376" s="8" t="n"/>
      <c r="F1376" s="8" t="n">
        <v>75</v>
      </c>
      <c r="G1376" s="8" t="n"/>
      <c r="H1376" s="8" t="n"/>
      <c r="I1376" s="8" t="n"/>
      <c r="J1376" s="8" t="n"/>
      <c r="K1376" s="8" t="n"/>
      <c r="L1376" s="8" t="n"/>
      <c r="M1376" s="8">
        <f>IF(COUNT(D1376:L1376)=0,"",MIN(D1376:L1376))</f>
        <v/>
      </c>
      <c r="N1376" s="8">
        <f>IF(COUNT(D1376:L1376)=0,"",MEDIAN(D1376:L1376))</f>
        <v/>
      </c>
      <c r="O1376" s="8">
        <f>IF(COUNT(D1376:L1376)=0,"",MAX(D1376:L1376))</f>
        <v/>
      </c>
      <c r="P1376" s="9">
        <f>IF(OR(M1376="",M1376=0),"",(O1376-M1376)/M1376)</f>
        <v/>
      </c>
      <c r="Q1376" s="7">
        <f>IF(COUNT(D1376:L1376)=0,"",INDEX($D$1:$L$1,MATCH(MIN(D1376:L1376),D1376:L1376,0)))</f>
        <v/>
      </c>
      <c r="R1376" s="8" t="n">
        <v>75</v>
      </c>
      <c r="S1376" s="10" t="n">
        <v>1</v>
      </c>
    </row>
    <row r="1377">
      <c r="A1377" s="7" t="inlineStr">
        <is>
          <t>MAT-32-200</t>
        </is>
      </c>
      <c r="B1377" s="4" t="inlineStr">
        <is>
          <t>Reducción bushing de PVC drenaje 2" x 1/2"</t>
        </is>
      </c>
      <c r="C1377" s="7" t="inlineStr">
        <is>
          <t>unidad</t>
        </is>
      </c>
      <c r="D1377" s="8" t="n"/>
      <c r="E1377" s="8" t="n"/>
      <c r="F1377" s="8" t="n">
        <v>64</v>
      </c>
      <c r="G1377" s="8" t="n"/>
      <c r="H1377" s="8" t="n"/>
      <c r="I1377" s="8" t="n"/>
      <c r="J1377" s="8" t="n"/>
      <c r="K1377" s="8" t="n">
        <v>12.26</v>
      </c>
      <c r="L1377" s="8" t="n"/>
      <c r="M1377" s="8">
        <f>IF(COUNT(D1377:L1377)=0,"",MIN(D1377:L1377))</f>
        <v/>
      </c>
      <c r="N1377" s="8">
        <f>IF(COUNT(D1377:L1377)=0,"",MEDIAN(D1377:L1377))</f>
        <v/>
      </c>
      <c r="O1377" s="8">
        <f>IF(COUNT(D1377:L1377)=0,"",MAX(D1377:L1377))</f>
        <v/>
      </c>
      <c r="P1377" s="9">
        <f>IF(OR(M1377="",M1377=0),"",(O1377-M1377)/M1377)</f>
        <v/>
      </c>
      <c r="Q1377" s="7">
        <f>IF(COUNT(D1377:L1377)=0,"",INDEX($D$1:$L$1,MATCH(MIN(D1377:L1377),D1377:L1377,0)))</f>
        <v/>
      </c>
      <c r="R1377" s="8" t="n">
        <v>39.23</v>
      </c>
      <c r="S1377" s="10" t="n">
        <v>2</v>
      </c>
    </row>
    <row r="1378">
      <c r="A1378" s="7" t="inlineStr">
        <is>
          <t>MAT-32-201</t>
        </is>
      </c>
      <c r="B1378" s="4" t="inlineStr">
        <is>
          <t>Reducción bushing de PVC drenaje 2" x 1"</t>
        </is>
      </c>
      <c r="C1378" s="7" t="inlineStr">
        <is>
          <t>unidad</t>
        </is>
      </c>
      <c r="D1378" s="8" t="n"/>
      <c r="E1378" s="8" t="n"/>
      <c r="F1378" s="8" t="n"/>
      <c r="G1378" s="8" t="n"/>
      <c r="H1378" s="8" t="n"/>
      <c r="I1378" s="8" t="n"/>
      <c r="J1378" s="8" t="n"/>
      <c r="K1378" s="8" t="n">
        <v>14.24</v>
      </c>
      <c r="L1378" s="8" t="n"/>
      <c r="M1378" s="8">
        <f>IF(COUNT(D1378:L1378)=0,"",MIN(D1378:L1378))</f>
        <v/>
      </c>
      <c r="N1378" s="8">
        <f>IF(COUNT(D1378:L1378)=0,"",MEDIAN(D1378:L1378))</f>
        <v/>
      </c>
      <c r="O1378" s="8">
        <f>IF(COUNT(D1378:L1378)=0,"",MAX(D1378:L1378))</f>
        <v/>
      </c>
      <c r="P1378" s="9">
        <f>IF(OR(M1378="",M1378=0),"",(O1378-M1378)/M1378)</f>
        <v/>
      </c>
      <c r="Q1378" s="7">
        <f>IF(COUNT(D1378:L1378)=0,"",INDEX($D$1:$L$1,MATCH(MIN(D1378:L1378),D1378:L1378,0)))</f>
        <v/>
      </c>
      <c r="R1378" s="8" t="n">
        <v>16.8</v>
      </c>
      <c r="S1378" s="10" t="n">
        <v>1</v>
      </c>
    </row>
    <row r="1379">
      <c r="A1379" s="7" t="inlineStr">
        <is>
          <t>MAT-32-202</t>
        </is>
      </c>
      <c r="B1379" s="4" t="inlineStr">
        <is>
          <t>Reducción bushing de PVC drenaje 2" x 3/4"</t>
        </is>
      </c>
      <c r="C1379" s="7" t="inlineStr">
        <is>
          <t>unidad</t>
        </is>
      </c>
      <c r="D1379" s="8" t="n"/>
      <c r="E1379" s="8" t="n"/>
      <c r="F1379" s="8" t="n"/>
      <c r="G1379" s="8" t="n"/>
      <c r="H1379" s="8" t="n"/>
      <c r="I1379" s="8" t="n"/>
      <c r="J1379" s="8" t="n"/>
      <c r="K1379" s="8" t="n">
        <v>13.83</v>
      </c>
      <c r="L1379" s="8" t="n"/>
      <c r="M1379" s="8">
        <f>IF(COUNT(D1379:L1379)=0,"",MIN(D1379:L1379))</f>
        <v/>
      </c>
      <c r="N1379" s="8">
        <f>IF(COUNT(D1379:L1379)=0,"",MEDIAN(D1379:L1379))</f>
        <v/>
      </c>
      <c r="O1379" s="8">
        <f>IF(COUNT(D1379:L1379)=0,"",MAX(D1379:L1379))</f>
        <v/>
      </c>
      <c r="P1379" s="9">
        <f>IF(OR(M1379="",M1379=0),"",(O1379-M1379)/M1379)</f>
        <v/>
      </c>
      <c r="Q1379" s="7">
        <f>IF(COUNT(D1379:L1379)=0,"",INDEX($D$1:$L$1,MATCH(MIN(D1379:L1379),D1379:L1379,0)))</f>
        <v/>
      </c>
      <c r="R1379" s="8" t="n">
        <v>16.32</v>
      </c>
      <c r="S1379" s="10" t="n">
        <v>1</v>
      </c>
    </row>
    <row r="1380">
      <c r="A1380" s="7" t="inlineStr">
        <is>
          <t>MAT-32-203</t>
        </is>
      </c>
      <c r="B1380" s="4" t="inlineStr">
        <is>
          <t>Reducción bushing de PVC drenaje 3" x 2"</t>
        </is>
      </c>
      <c r="C1380" s="7" t="inlineStr">
        <is>
          <t>unidad</t>
        </is>
      </c>
      <c r="D1380" s="8" t="n"/>
      <c r="E1380" s="8" t="n"/>
      <c r="F1380" s="8" t="n"/>
      <c r="G1380" s="8" t="n"/>
      <c r="H1380" s="8" t="n"/>
      <c r="I1380" s="8" t="n"/>
      <c r="J1380" s="8" t="n"/>
      <c r="K1380" s="8" t="n">
        <v>33.21</v>
      </c>
      <c r="L1380" s="8" t="n"/>
      <c r="M1380" s="8">
        <f>IF(COUNT(D1380:L1380)=0,"",MIN(D1380:L1380))</f>
        <v/>
      </c>
      <c r="N1380" s="8">
        <f>IF(COUNT(D1380:L1380)=0,"",MEDIAN(D1380:L1380))</f>
        <v/>
      </c>
      <c r="O1380" s="8">
        <f>IF(COUNT(D1380:L1380)=0,"",MAX(D1380:L1380))</f>
        <v/>
      </c>
      <c r="P1380" s="9">
        <f>IF(OR(M1380="",M1380=0),"",(O1380-M1380)/M1380)</f>
        <v/>
      </c>
      <c r="Q1380" s="7">
        <f>IF(COUNT(D1380:L1380)=0,"",INDEX($D$1:$L$1,MATCH(MIN(D1380:L1380),D1380:L1380,0)))</f>
        <v/>
      </c>
      <c r="R1380" s="8" t="n">
        <v>39.19</v>
      </c>
      <c r="S1380" s="10" t="n">
        <v>1</v>
      </c>
    </row>
    <row r="1381">
      <c r="A1381" s="7" t="inlineStr">
        <is>
          <t>MAT-32-204</t>
        </is>
      </c>
      <c r="B1381" s="4" t="inlineStr">
        <is>
          <t>Reducción bushing de PVC drenaje 4" x 2"</t>
        </is>
      </c>
      <c r="C1381" s="7" t="inlineStr">
        <is>
          <t>unidad</t>
        </is>
      </c>
      <c r="D1381" s="8" t="n"/>
      <c r="E1381" s="8" t="n"/>
      <c r="F1381" s="8" t="n"/>
      <c r="G1381" s="8" t="n"/>
      <c r="H1381" s="8" t="n"/>
      <c r="I1381" s="8" t="n"/>
      <c r="J1381" s="8" t="n"/>
      <c r="K1381" s="8" t="n">
        <v>64.3</v>
      </c>
      <c r="L1381" s="8" t="n"/>
      <c r="M1381" s="8">
        <f>IF(COUNT(D1381:L1381)=0,"",MIN(D1381:L1381))</f>
        <v/>
      </c>
      <c r="N1381" s="8">
        <f>IF(COUNT(D1381:L1381)=0,"",MEDIAN(D1381:L1381))</f>
        <v/>
      </c>
      <c r="O1381" s="8">
        <f>IF(COUNT(D1381:L1381)=0,"",MAX(D1381:L1381))</f>
        <v/>
      </c>
      <c r="P1381" s="9">
        <f>IF(OR(M1381="",M1381=0),"",(O1381-M1381)/M1381)</f>
        <v/>
      </c>
      <c r="Q1381" s="7">
        <f>IF(COUNT(D1381:L1381)=0,"",INDEX($D$1:$L$1,MATCH(MIN(D1381:L1381),D1381:L1381,0)))</f>
        <v/>
      </c>
      <c r="R1381" s="8" t="n">
        <v>75.87</v>
      </c>
      <c r="S1381" s="10" t="n">
        <v>1</v>
      </c>
    </row>
    <row r="1382">
      <c r="A1382" s="7" t="inlineStr">
        <is>
          <t>MAT-32-205</t>
        </is>
      </c>
      <c r="B1382" s="4" t="inlineStr">
        <is>
          <t>Reducción bushing de PVC drenaje 4" x 3"</t>
        </is>
      </c>
      <c r="C1382" s="7" t="inlineStr">
        <is>
          <t>unidad</t>
        </is>
      </c>
      <c r="D1382" s="8" t="n"/>
      <c r="E1382" s="8" t="n"/>
      <c r="F1382" s="8" t="n"/>
      <c r="G1382" s="8" t="n"/>
      <c r="H1382" s="8" t="n"/>
      <c r="I1382" s="8" t="n"/>
      <c r="J1382" s="8" t="n"/>
      <c r="K1382" s="8" t="n">
        <v>63.9</v>
      </c>
      <c r="L1382" s="8" t="n"/>
      <c r="M1382" s="8">
        <f>IF(COUNT(D1382:L1382)=0,"",MIN(D1382:L1382))</f>
        <v/>
      </c>
      <c r="N1382" s="8">
        <f>IF(COUNT(D1382:L1382)=0,"",MEDIAN(D1382:L1382))</f>
        <v/>
      </c>
      <c r="O1382" s="8">
        <f>IF(COUNT(D1382:L1382)=0,"",MAX(D1382:L1382))</f>
        <v/>
      </c>
      <c r="P1382" s="9">
        <f>IF(OR(M1382="",M1382=0),"",(O1382-M1382)/M1382)</f>
        <v/>
      </c>
      <c r="Q1382" s="7">
        <f>IF(COUNT(D1382:L1382)=0,"",INDEX($D$1:$L$1,MATCH(MIN(D1382:L1382),D1382:L1382,0)))</f>
        <v/>
      </c>
      <c r="R1382" s="8" t="n">
        <v>75.40000000000001</v>
      </c>
      <c r="S1382" s="10" t="n">
        <v>1</v>
      </c>
    </row>
    <row r="1383">
      <c r="A1383" s="7" t="inlineStr">
        <is>
          <t>MAT-32-206</t>
        </is>
      </c>
      <c r="B1383" s="4" t="inlineStr">
        <is>
          <t>Reducción bushing de PVC drenaje 6" x 4"</t>
        </is>
      </c>
      <c r="C1383" s="7" t="inlineStr">
        <is>
          <t>unidad</t>
        </is>
      </c>
      <c r="D1383" s="8" t="n"/>
      <c r="E1383" s="8" t="n"/>
      <c r="F1383" s="8" t="n"/>
      <c r="G1383" s="8" t="n"/>
      <c r="H1383" s="8" t="n"/>
      <c r="I1383" s="8" t="n"/>
      <c r="J1383" s="8" t="n"/>
      <c r="K1383" s="8" t="n">
        <v>237.3</v>
      </c>
      <c r="L1383" s="8" t="n"/>
      <c r="M1383" s="8">
        <f>IF(COUNT(D1383:L1383)=0,"",MIN(D1383:L1383))</f>
        <v/>
      </c>
      <c r="N1383" s="8">
        <f>IF(COUNT(D1383:L1383)=0,"",MEDIAN(D1383:L1383))</f>
        <v/>
      </c>
      <c r="O1383" s="8">
        <f>IF(COUNT(D1383:L1383)=0,"",MAX(D1383:L1383))</f>
        <v/>
      </c>
      <c r="P1383" s="9">
        <f>IF(OR(M1383="",M1383=0),"",(O1383-M1383)/M1383)</f>
        <v/>
      </c>
      <c r="Q1383" s="7">
        <f>IF(COUNT(D1383:L1383)=0,"",INDEX($D$1:$L$1,MATCH(MIN(D1383:L1383),D1383:L1383,0)))</f>
        <v/>
      </c>
      <c r="R1383" s="8" t="n">
        <v>280.01</v>
      </c>
      <c r="S1383" s="10" t="n">
        <v>1</v>
      </c>
    </row>
    <row r="1384">
      <c r="A1384" s="7" t="inlineStr">
        <is>
          <t>MAT-32-207</t>
        </is>
      </c>
      <c r="B1384" s="4" t="inlineStr">
        <is>
          <t>Reducción bushing de PVC drenaje 8" x 4"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/>
      <c r="I1384" s="8" t="n"/>
      <c r="J1384" s="8" t="n"/>
      <c r="K1384" s="8" t="n">
        <v>2126.7</v>
      </c>
      <c r="L1384" s="8" t="n"/>
      <c r="M1384" s="8">
        <f>IF(COUNT(D1384:L1384)=0,"",MIN(D1384:L1384))</f>
        <v/>
      </c>
      <c r="N1384" s="8">
        <f>IF(COUNT(D1384:L1384)=0,"",MEDIAN(D1384:L1384))</f>
        <v/>
      </c>
      <c r="O1384" s="8">
        <f>IF(COUNT(D1384:L1384)=0,"",MAX(D1384:L1384))</f>
        <v/>
      </c>
      <c r="P1384" s="9">
        <f>IF(OR(M1384="",M1384=0),"",(O1384-M1384)/M1384)</f>
        <v/>
      </c>
      <c r="Q1384" s="7">
        <f>IF(COUNT(D1384:L1384)=0,"",INDEX($D$1:$L$1,MATCH(MIN(D1384:L1384),D1384:L1384,0)))</f>
        <v/>
      </c>
      <c r="R1384" s="8" t="n">
        <v>2509.51</v>
      </c>
      <c r="S1384" s="10" t="n">
        <v>1</v>
      </c>
    </row>
    <row r="1385">
      <c r="A1385" s="7" t="inlineStr">
        <is>
          <t>MAT-32-208</t>
        </is>
      </c>
      <c r="B1385" s="4" t="inlineStr">
        <is>
          <t>Reducción bushing de PVC drenaje 8" x 6"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/>
      <c r="I1385" s="8" t="n"/>
      <c r="J1385" s="8" t="n"/>
      <c r="K1385" s="8" t="n">
        <v>1626</v>
      </c>
      <c r="L1385" s="8" t="n"/>
      <c r="M1385" s="8">
        <f>IF(COUNT(D1385:L1385)=0,"",MIN(D1385:L1385))</f>
        <v/>
      </c>
      <c r="N1385" s="8">
        <f>IF(COUNT(D1385:L1385)=0,"",MEDIAN(D1385:L1385))</f>
        <v/>
      </c>
      <c r="O1385" s="8">
        <f>IF(COUNT(D1385:L1385)=0,"",MAX(D1385:L1385))</f>
        <v/>
      </c>
      <c r="P1385" s="9">
        <f>IF(OR(M1385="",M1385=0),"",(O1385-M1385)/M1385)</f>
        <v/>
      </c>
      <c r="Q1385" s="7">
        <f>IF(COUNT(D1385:L1385)=0,"",INDEX($D$1:$L$1,MATCH(MIN(D1385:L1385),D1385:L1385,0)))</f>
        <v/>
      </c>
      <c r="R1385" s="8" t="n">
        <v>1918.68</v>
      </c>
      <c r="S1385" s="10" t="n">
        <v>1</v>
      </c>
    </row>
    <row r="1386">
      <c r="A1386" s="7" t="inlineStr">
        <is>
          <t>MAT-32-209</t>
        </is>
      </c>
      <c r="B1386" s="4" t="inlineStr">
        <is>
          <t>Reducción bushing de PVC 1 1/2" x 1"</t>
        </is>
      </c>
      <c r="C1386" s="7" t="inlineStr">
        <is>
          <t>unidad</t>
        </is>
      </c>
      <c r="D1386" s="8" t="n"/>
      <c r="E1386" s="8" t="n"/>
      <c r="F1386" s="8" t="n">
        <v>87</v>
      </c>
      <c r="G1386" s="8" t="n"/>
      <c r="H1386" s="8" t="n"/>
      <c r="I1386" s="8" t="n"/>
      <c r="J1386" s="8" t="n"/>
      <c r="K1386" s="8" t="n"/>
      <c r="L1386" s="8" t="n"/>
      <c r="M1386" s="8">
        <f>IF(COUNT(D1386:L1386)=0,"",MIN(D1386:L1386))</f>
        <v/>
      </c>
      <c r="N1386" s="8">
        <f>IF(COUNT(D1386:L1386)=0,"",MEDIAN(D1386:L1386))</f>
        <v/>
      </c>
      <c r="O1386" s="8">
        <f>IF(COUNT(D1386:L1386)=0,"",MAX(D1386:L1386))</f>
        <v/>
      </c>
      <c r="P1386" s="9">
        <f>IF(OR(M1386="",M1386=0),"",(O1386-M1386)/M1386)</f>
        <v/>
      </c>
      <c r="Q1386" s="7">
        <f>IF(COUNT(D1386:L1386)=0,"",INDEX($D$1:$L$1,MATCH(MIN(D1386:L1386),D1386:L1386,0)))</f>
        <v/>
      </c>
      <c r="R1386" s="8" t="n">
        <v>87</v>
      </c>
      <c r="S1386" s="10" t="n">
        <v>1</v>
      </c>
    </row>
    <row r="1387">
      <c r="A1387" s="7" t="inlineStr">
        <is>
          <t>MAT-32-210</t>
        </is>
      </c>
      <c r="B1387" s="4" t="inlineStr">
        <is>
          <t>Reducción bushing de PVC 1 1/2" x 3/4"</t>
        </is>
      </c>
      <c r="C1387" s="7" t="inlineStr">
        <is>
          <t>unidad</t>
        </is>
      </c>
      <c r="D1387" s="8" t="n"/>
      <c r="E1387" s="8" t="n"/>
      <c r="F1387" s="8" t="n">
        <v>85</v>
      </c>
      <c r="G1387" s="8" t="n"/>
      <c r="H1387" s="8" t="n"/>
      <c r="I1387" s="8" t="n"/>
      <c r="J1387" s="8" t="n"/>
      <c r="K1387" s="8" t="n"/>
      <c r="L1387" s="8" t="n"/>
      <c r="M1387" s="8">
        <f>IF(COUNT(D1387:L1387)=0,"",MIN(D1387:L1387))</f>
        <v/>
      </c>
      <c r="N1387" s="8">
        <f>IF(COUNT(D1387:L1387)=0,"",MEDIAN(D1387:L1387))</f>
        <v/>
      </c>
      <c r="O1387" s="8">
        <f>IF(COUNT(D1387:L1387)=0,"",MAX(D1387:L1387))</f>
        <v/>
      </c>
      <c r="P1387" s="9">
        <f>IF(OR(M1387="",M1387=0),"",(O1387-M1387)/M1387)</f>
        <v/>
      </c>
      <c r="Q1387" s="7">
        <f>IF(COUNT(D1387:L1387)=0,"",INDEX($D$1:$L$1,MATCH(MIN(D1387:L1387),D1387:L1387,0)))</f>
        <v/>
      </c>
      <c r="R1387" s="8" t="n">
        <v>85</v>
      </c>
      <c r="S1387" s="10" t="n">
        <v>1</v>
      </c>
    </row>
    <row r="1388">
      <c r="A1388" s="7" t="inlineStr">
        <is>
          <t>MAT-32-211</t>
        </is>
      </c>
      <c r="B1388" s="4" t="inlineStr">
        <is>
          <t>Reducción bushing de PVC 1" x 1/2"</t>
        </is>
      </c>
      <c r="C1388" s="7" t="inlineStr">
        <is>
          <t>unidad</t>
        </is>
      </c>
      <c r="D1388" s="8" t="n"/>
      <c r="E1388" s="8" t="n"/>
      <c r="F1388" s="8" t="n">
        <v>35</v>
      </c>
      <c r="G1388" s="8" t="n"/>
      <c r="H1388" s="8" t="n"/>
      <c r="I1388" s="8" t="n"/>
      <c r="J1388" s="8" t="n"/>
      <c r="K1388" s="8" t="n"/>
      <c r="L1388" s="8" t="n"/>
      <c r="M1388" s="8">
        <f>IF(COUNT(D1388:L1388)=0,"",MIN(D1388:L1388))</f>
        <v/>
      </c>
      <c r="N1388" s="8">
        <f>IF(COUNT(D1388:L1388)=0,"",MEDIAN(D1388:L1388))</f>
        <v/>
      </c>
      <c r="O1388" s="8">
        <f>IF(COUNT(D1388:L1388)=0,"",MAX(D1388:L1388))</f>
        <v/>
      </c>
      <c r="P1388" s="9">
        <f>IF(OR(M1388="",M1388=0),"",(O1388-M1388)/M1388)</f>
        <v/>
      </c>
      <c r="Q1388" s="7">
        <f>IF(COUNT(D1388:L1388)=0,"",INDEX($D$1:$L$1,MATCH(MIN(D1388:L1388),D1388:L1388,0)))</f>
        <v/>
      </c>
      <c r="R1388" s="8" t="n">
        <v>35</v>
      </c>
      <c r="S1388" s="10" t="n">
        <v>1</v>
      </c>
    </row>
    <row r="1389">
      <c r="A1389" s="7" t="inlineStr">
        <is>
          <t>MAT-32-212</t>
        </is>
      </c>
      <c r="B1389" s="4" t="inlineStr">
        <is>
          <t>Reducción bushing de PVC 1" x 3/4"</t>
        </is>
      </c>
      <c r="C1389" s="7" t="inlineStr">
        <is>
          <t>unidad</t>
        </is>
      </c>
      <c r="D1389" s="8" t="n"/>
      <c r="E1389" s="8" t="n"/>
      <c r="F1389" s="8" t="n">
        <v>26</v>
      </c>
      <c r="G1389" s="8" t="n"/>
      <c r="H1389" s="8" t="n"/>
      <c r="I1389" s="8" t="n"/>
      <c r="J1389" s="8" t="n"/>
      <c r="K1389" s="8" t="n"/>
      <c r="L1389" s="8" t="n"/>
      <c r="M1389" s="8">
        <f>IF(COUNT(D1389:L1389)=0,"",MIN(D1389:L1389))</f>
        <v/>
      </c>
      <c r="N1389" s="8">
        <f>IF(COUNT(D1389:L1389)=0,"",MEDIAN(D1389:L1389))</f>
        <v/>
      </c>
      <c r="O1389" s="8">
        <f>IF(COUNT(D1389:L1389)=0,"",MAX(D1389:L1389))</f>
        <v/>
      </c>
      <c r="P1389" s="9">
        <f>IF(OR(M1389="",M1389=0),"",(O1389-M1389)/M1389)</f>
        <v/>
      </c>
      <c r="Q1389" s="7">
        <f>IF(COUNT(D1389:L1389)=0,"",INDEX($D$1:$L$1,MATCH(MIN(D1389:L1389),D1389:L1389,0)))</f>
        <v/>
      </c>
      <c r="R1389" s="8" t="n">
        <v>26</v>
      </c>
      <c r="S1389" s="10" t="n">
        <v>1</v>
      </c>
    </row>
    <row r="1390">
      <c r="A1390" s="7" t="inlineStr">
        <is>
          <t>MAT-32-213</t>
        </is>
      </c>
      <c r="B1390" s="4" t="inlineStr">
        <is>
          <t>Reducción bushing de PVC 2" x 1 1/2"</t>
        </is>
      </c>
      <c r="C1390" s="7" t="inlineStr">
        <is>
          <t>unidad</t>
        </is>
      </c>
      <c r="D1390" s="8" t="n"/>
      <c r="E1390" s="8" t="n"/>
      <c r="F1390" s="8" t="n">
        <v>65</v>
      </c>
      <c r="G1390" s="8" t="n"/>
      <c r="H1390" s="8" t="n"/>
      <c r="I1390" s="8" t="n"/>
      <c r="J1390" s="8" t="n"/>
      <c r="K1390" s="8" t="n"/>
      <c r="L1390" s="8" t="n"/>
      <c r="M1390" s="8">
        <f>IF(COUNT(D1390:L1390)=0,"",MIN(D1390:L1390))</f>
        <v/>
      </c>
      <c r="N1390" s="8">
        <f>IF(COUNT(D1390:L1390)=0,"",MEDIAN(D1390:L1390))</f>
        <v/>
      </c>
      <c r="O1390" s="8">
        <f>IF(COUNT(D1390:L1390)=0,"",MAX(D1390:L1390))</f>
        <v/>
      </c>
      <c r="P1390" s="9">
        <f>IF(OR(M1390="",M1390=0),"",(O1390-M1390)/M1390)</f>
        <v/>
      </c>
      <c r="Q1390" s="7">
        <f>IF(COUNT(D1390:L1390)=0,"",INDEX($D$1:$L$1,MATCH(MIN(D1390:L1390),D1390:L1390,0)))</f>
        <v/>
      </c>
      <c r="R1390" s="8" t="n">
        <v>65</v>
      </c>
      <c r="S1390" s="10" t="n">
        <v>1</v>
      </c>
    </row>
    <row r="1391">
      <c r="A1391" s="7" t="inlineStr">
        <is>
          <t>MAT-32-214</t>
        </is>
      </c>
      <c r="B1391" s="4" t="inlineStr">
        <is>
          <t>Reducción bushing de PVC 2" x 1"</t>
        </is>
      </c>
      <c r="C1391" s="7" t="inlineStr">
        <is>
          <t>unidad</t>
        </is>
      </c>
      <c r="D1391" s="8" t="n"/>
      <c r="E1391" s="8" t="n"/>
      <c r="F1391" s="8" t="n">
        <v>64</v>
      </c>
      <c r="G1391" s="8" t="n"/>
      <c r="H1391" s="8" t="n"/>
      <c r="I1391" s="8" t="n"/>
      <c r="J1391" s="8" t="n"/>
      <c r="K1391" s="8" t="n"/>
      <c r="L1391" s="8" t="n"/>
      <c r="M1391" s="8">
        <f>IF(COUNT(D1391:L1391)=0,"",MIN(D1391:L1391))</f>
        <v/>
      </c>
      <c r="N1391" s="8">
        <f>IF(COUNT(D1391:L1391)=0,"",MEDIAN(D1391:L1391))</f>
        <v/>
      </c>
      <c r="O1391" s="8">
        <f>IF(COUNT(D1391:L1391)=0,"",MAX(D1391:L1391))</f>
        <v/>
      </c>
      <c r="P1391" s="9">
        <f>IF(OR(M1391="",M1391=0),"",(O1391-M1391)/M1391)</f>
        <v/>
      </c>
      <c r="Q1391" s="7">
        <f>IF(COUNT(D1391:L1391)=0,"",INDEX($D$1:$L$1,MATCH(MIN(D1391:L1391),D1391:L1391,0)))</f>
        <v/>
      </c>
      <c r="R1391" s="8" t="n">
        <v>64</v>
      </c>
      <c r="S1391" s="10" t="n">
        <v>1</v>
      </c>
    </row>
    <row r="1392">
      <c r="A1392" s="7" t="inlineStr">
        <is>
          <t>MAT-32-215</t>
        </is>
      </c>
      <c r="B1392" s="4" t="inlineStr">
        <is>
          <t>Reducción bushing de PVC 2" x 3/4"</t>
        </is>
      </c>
      <c r="C1392" s="7" t="inlineStr">
        <is>
          <t>unidad</t>
        </is>
      </c>
      <c r="D1392" s="8" t="n"/>
      <c r="E1392" s="8" t="n"/>
      <c r="F1392" s="8" t="n">
        <v>41</v>
      </c>
      <c r="G1392" s="8" t="n"/>
      <c r="H1392" s="8" t="n"/>
      <c r="I1392" s="8" t="n"/>
      <c r="J1392" s="8" t="n"/>
      <c r="K1392" s="8" t="n"/>
      <c r="L1392" s="8" t="n"/>
      <c r="M1392" s="8">
        <f>IF(COUNT(D1392:L1392)=0,"",MIN(D1392:L1392))</f>
        <v/>
      </c>
      <c r="N1392" s="8">
        <f>IF(COUNT(D1392:L1392)=0,"",MEDIAN(D1392:L1392))</f>
        <v/>
      </c>
      <c r="O1392" s="8">
        <f>IF(COUNT(D1392:L1392)=0,"",MAX(D1392:L1392))</f>
        <v/>
      </c>
      <c r="P1392" s="9">
        <f>IF(OR(M1392="",M1392=0),"",(O1392-M1392)/M1392)</f>
        <v/>
      </c>
      <c r="Q1392" s="7">
        <f>IF(COUNT(D1392:L1392)=0,"",INDEX($D$1:$L$1,MATCH(MIN(D1392:L1392),D1392:L1392,0)))</f>
        <v/>
      </c>
      <c r="R1392" s="8" t="n">
        <v>41</v>
      </c>
      <c r="S1392" s="10" t="n">
        <v>1</v>
      </c>
    </row>
    <row r="1393">
      <c r="A1393" s="7" t="inlineStr">
        <is>
          <t>MAT-32-216</t>
        </is>
      </c>
      <c r="B1393" s="4" t="inlineStr">
        <is>
          <t>Reducción bushing de PVC 3/4" x 1/2"</t>
        </is>
      </c>
      <c r="C1393" s="7" t="inlineStr">
        <is>
          <t>unidad</t>
        </is>
      </c>
      <c r="D1393" s="8" t="n"/>
      <c r="E1393" s="8" t="n"/>
      <c r="F1393" s="8" t="n">
        <v>20</v>
      </c>
      <c r="G1393" s="8" t="n"/>
      <c r="H1393" s="8" t="n"/>
      <c r="I1393" s="8" t="n"/>
      <c r="J1393" s="8" t="n"/>
      <c r="K1393" s="8" t="n"/>
      <c r="L1393" s="8" t="n"/>
      <c r="M1393" s="8">
        <f>IF(COUNT(D1393:L1393)=0,"",MIN(D1393:L1393))</f>
        <v/>
      </c>
      <c r="N1393" s="8">
        <f>IF(COUNT(D1393:L1393)=0,"",MEDIAN(D1393:L1393))</f>
        <v/>
      </c>
      <c r="O1393" s="8">
        <f>IF(COUNT(D1393:L1393)=0,"",MAX(D1393:L1393))</f>
        <v/>
      </c>
      <c r="P1393" s="9">
        <f>IF(OR(M1393="",M1393=0),"",(O1393-M1393)/M1393)</f>
        <v/>
      </c>
      <c r="Q1393" s="7">
        <f>IF(COUNT(D1393:L1393)=0,"",INDEX($D$1:$L$1,MATCH(MIN(D1393:L1393),D1393:L1393,0)))</f>
        <v/>
      </c>
      <c r="R1393" s="8" t="n">
        <v>20</v>
      </c>
      <c r="S1393" s="10" t="n">
        <v>1</v>
      </c>
    </row>
    <row r="1394">
      <c r="A1394" s="7" t="inlineStr">
        <is>
          <t>MAT-32-217</t>
        </is>
      </c>
      <c r="B1394" s="4" t="inlineStr">
        <is>
          <t>Reducción bushing de PVC 3" x 2"</t>
        </is>
      </c>
      <c r="C1394" s="7" t="inlineStr">
        <is>
          <t>unidad</t>
        </is>
      </c>
      <c r="D1394" s="8" t="n"/>
      <c r="E1394" s="8" t="n"/>
      <c r="F1394" s="8" t="n">
        <v>210</v>
      </c>
      <c r="G1394" s="8" t="n"/>
      <c r="H1394" s="8" t="n"/>
      <c r="I1394" s="8" t="n"/>
      <c r="J1394" s="8" t="n"/>
      <c r="K1394" s="8" t="n"/>
      <c r="L1394" s="8" t="n"/>
      <c r="M1394" s="8">
        <f>IF(COUNT(D1394:L1394)=0,"",MIN(D1394:L1394))</f>
        <v/>
      </c>
      <c r="N1394" s="8">
        <f>IF(COUNT(D1394:L1394)=0,"",MEDIAN(D1394:L1394))</f>
        <v/>
      </c>
      <c r="O1394" s="8">
        <f>IF(COUNT(D1394:L1394)=0,"",MAX(D1394:L1394))</f>
        <v/>
      </c>
      <c r="P1394" s="9">
        <f>IF(OR(M1394="",M1394=0),"",(O1394-M1394)/M1394)</f>
        <v/>
      </c>
      <c r="Q1394" s="7">
        <f>IF(COUNT(D1394:L1394)=0,"",INDEX($D$1:$L$1,MATCH(MIN(D1394:L1394),D1394:L1394,0)))</f>
        <v/>
      </c>
      <c r="R1394" s="8" t="n">
        <v>210</v>
      </c>
      <c r="S1394" s="10" t="n">
        <v>1</v>
      </c>
    </row>
    <row r="1395">
      <c r="A1395" s="7" t="inlineStr">
        <is>
          <t>MAT-32-218</t>
        </is>
      </c>
      <c r="B1395" s="4" t="inlineStr">
        <is>
          <t>Reducción bushing de PVC 4" x 2"</t>
        </is>
      </c>
      <c r="C1395" s="7" t="inlineStr">
        <is>
          <t>unidad</t>
        </is>
      </c>
      <c r="D1395" s="8" t="n"/>
      <c r="E1395" s="8" t="n"/>
      <c r="F1395" s="8" t="n">
        <v>175</v>
      </c>
      <c r="G1395" s="8" t="n"/>
      <c r="H1395" s="8" t="n"/>
      <c r="I1395" s="8" t="n"/>
      <c r="J1395" s="8" t="n"/>
      <c r="K1395" s="8" t="n"/>
      <c r="L1395" s="8" t="n"/>
      <c r="M1395" s="8">
        <f>IF(COUNT(D1395:L1395)=0,"",MIN(D1395:L1395))</f>
        <v/>
      </c>
      <c r="N1395" s="8">
        <f>IF(COUNT(D1395:L1395)=0,"",MEDIAN(D1395:L1395))</f>
        <v/>
      </c>
      <c r="O1395" s="8">
        <f>IF(COUNT(D1395:L1395)=0,"",MAX(D1395:L1395))</f>
        <v/>
      </c>
      <c r="P1395" s="9">
        <f>IF(OR(M1395="",M1395=0),"",(O1395-M1395)/M1395)</f>
        <v/>
      </c>
      <c r="Q1395" s="7">
        <f>IF(COUNT(D1395:L1395)=0,"",INDEX($D$1:$L$1,MATCH(MIN(D1395:L1395),D1395:L1395,0)))</f>
        <v/>
      </c>
      <c r="R1395" s="8" t="n">
        <v>175</v>
      </c>
      <c r="S1395" s="10" t="n">
        <v>1</v>
      </c>
    </row>
    <row r="1396">
      <c r="A1396" s="7" t="inlineStr">
        <is>
          <t>MAT-32-219</t>
        </is>
      </c>
      <c r="B1396" s="4" t="inlineStr">
        <is>
          <t>Reducción bushing de PVC 4" x 3"</t>
        </is>
      </c>
      <c r="C1396" s="7" t="inlineStr">
        <is>
          <t>unidad</t>
        </is>
      </c>
      <c r="D1396" s="8" t="n"/>
      <c r="E1396" s="8" t="n"/>
      <c r="F1396" s="8" t="n">
        <v>195</v>
      </c>
      <c r="G1396" s="8" t="n"/>
      <c r="H1396" s="8" t="n"/>
      <c r="I1396" s="8" t="n"/>
      <c r="J1396" s="8" t="n"/>
      <c r="K1396" s="8" t="n"/>
      <c r="L1396" s="8" t="n"/>
      <c r="M1396" s="8">
        <f>IF(COUNT(D1396:L1396)=0,"",MIN(D1396:L1396))</f>
        <v/>
      </c>
      <c r="N1396" s="8">
        <f>IF(COUNT(D1396:L1396)=0,"",MEDIAN(D1396:L1396))</f>
        <v/>
      </c>
      <c r="O1396" s="8">
        <f>IF(COUNT(D1396:L1396)=0,"",MAX(D1396:L1396))</f>
        <v/>
      </c>
      <c r="P1396" s="9">
        <f>IF(OR(M1396="",M1396=0),"",(O1396-M1396)/M1396)</f>
        <v/>
      </c>
      <c r="Q1396" s="7">
        <f>IF(COUNT(D1396:L1396)=0,"",INDEX($D$1:$L$1,MATCH(MIN(D1396:L1396),D1396:L1396,0)))</f>
        <v/>
      </c>
      <c r="R1396" s="8" t="n">
        <v>195</v>
      </c>
      <c r="S1396" s="10" t="n">
        <v>1</v>
      </c>
    </row>
    <row r="1397">
      <c r="A1397" s="7" t="inlineStr">
        <is>
          <t>MAT-32-220</t>
        </is>
      </c>
      <c r="B1397" s="4" t="inlineStr">
        <is>
          <t>Reducción bushing de PVC 6" x 4"</t>
        </is>
      </c>
      <c r="C1397" s="7" t="inlineStr">
        <is>
          <t>unidad</t>
        </is>
      </c>
      <c r="D1397" s="8" t="n"/>
      <c r="E1397" s="8" t="n"/>
      <c r="F1397" s="8" t="n">
        <v>702</v>
      </c>
      <c r="G1397" s="8" t="n"/>
      <c r="H1397" s="8" t="n"/>
      <c r="I1397" s="8" t="n"/>
      <c r="J1397" s="8" t="n"/>
      <c r="K1397" s="8" t="n"/>
      <c r="L1397" s="8" t="n"/>
      <c r="M1397" s="8">
        <f>IF(COUNT(D1397:L1397)=0,"",MIN(D1397:L1397))</f>
        <v/>
      </c>
      <c r="N1397" s="8">
        <f>IF(COUNT(D1397:L1397)=0,"",MEDIAN(D1397:L1397))</f>
        <v/>
      </c>
      <c r="O1397" s="8">
        <f>IF(COUNT(D1397:L1397)=0,"",MAX(D1397:L1397))</f>
        <v/>
      </c>
      <c r="P1397" s="9">
        <f>IF(OR(M1397="",M1397=0),"",(O1397-M1397)/M1397)</f>
        <v/>
      </c>
      <c r="Q1397" s="7">
        <f>IF(COUNT(D1397:L1397)=0,"",INDEX($D$1:$L$1,MATCH(MIN(D1397:L1397),D1397:L1397,0)))</f>
        <v/>
      </c>
      <c r="R1397" s="8" t="n">
        <v>702</v>
      </c>
      <c r="S1397" s="10" t="n">
        <v>1</v>
      </c>
    </row>
    <row r="1398">
      <c r="A1398" s="7" t="inlineStr">
        <is>
          <t>MAT-32-221</t>
        </is>
      </c>
      <c r="B1398" s="4" t="inlineStr">
        <is>
          <t>Reducción bushing de PVC presión 1 1/2" x 1/2"</t>
        </is>
      </c>
      <c r="C1398" s="7" t="inlineStr">
        <is>
          <t>unidad</t>
        </is>
      </c>
      <c r="D1398" s="8" t="n"/>
      <c r="E1398" s="8" t="n"/>
      <c r="F1398" s="8" t="n"/>
      <c r="G1398" s="8" t="n"/>
      <c r="H1398" s="8" t="n"/>
      <c r="I1398" s="8" t="n"/>
      <c r="J1398" s="8" t="n"/>
      <c r="K1398" s="8" t="n">
        <v>22.75</v>
      </c>
      <c r="L1398" s="8" t="n"/>
      <c r="M1398" s="8">
        <f>IF(COUNT(D1398:L1398)=0,"",MIN(D1398:L1398))</f>
        <v/>
      </c>
      <c r="N1398" s="8">
        <f>IF(COUNT(D1398:L1398)=0,"",MEDIAN(D1398:L1398))</f>
        <v/>
      </c>
      <c r="O1398" s="8">
        <f>IF(COUNT(D1398:L1398)=0,"",MAX(D1398:L1398))</f>
        <v/>
      </c>
      <c r="P1398" s="9">
        <f>IF(OR(M1398="",M1398=0),"",(O1398-M1398)/M1398)</f>
        <v/>
      </c>
      <c r="Q1398" s="7">
        <f>IF(COUNT(D1398:L1398)=0,"",INDEX($D$1:$L$1,MATCH(MIN(D1398:L1398),D1398:L1398,0)))</f>
        <v/>
      </c>
      <c r="R1398" s="8" t="n">
        <v>26.85</v>
      </c>
      <c r="S1398" s="10" t="n">
        <v>1</v>
      </c>
    </row>
    <row r="1399">
      <c r="A1399" s="7" t="inlineStr">
        <is>
          <t>MAT-32-222</t>
        </is>
      </c>
      <c r="B1399" s="4" t="inlineStr">
        <is>
          <t>Reducción bushing de PVC presión 1 1/2" x 1"</t>
        </is>
      </c>
      <c r="C1399" s="7" t="inlineStr">
        <is>
          <t>unidad</t>
        </is>
      </c>
      <c r="D1399" s="8" t="n"/>
      <c r="E1399" s="8" t="n"/>
      <c r="F1399" s="8" t="n"/>
      <c r="G1399" s="8" t="n"/>
      <c r="H1399" s="8" t="n"/>
      <c r="I1399" s="8" t="n"/>
      <c r="J1399" s="8" t="n"/>
      <c r="K1399" s="8" t="n">
        <v>22.38</v>
      </c>
      <c r="L1399" s="8" t="n"/>
      <c r="M1399" s="8">
        <f>IF(COUNT(D1399:L1399)=0,"",MIN(D1399:L1399))</f>
        <v/>
      </c>
      <c r="N1399" s="8">
        <f>IF(COUNT(D1399:L1399)=0,"",MEDIAN(D1399:L1399))</f>
        <v/>
      </c>
      <c r="O1399" s="8">
        <f>IF(COUNT(D1399:L1399)=0,"",MAX(D1399:L1399))</f>
        <v/>
      </c>
      <c r="P1399" s="9">
        <f>IF(OR(M1399="",M1399=0),"",(O1399-M1399)/M1399)</f>
        <v/>
      </c>
      <c r="Q1399" s="7">
        <f>IF(COUNT(D1399:L1399)=0,"",INDEX($D$1:$L$1,MATCH(MIN(D1399:L1399),D1399:L1399,0)))</f>
        <v/>
      </c>
      <c r="R1399" s="8" t="n">
        <v>26.41</v>
      </c>
      <c r="S1399" s="10" t="n">
        <v>1</v>
      </c>
    </row>
    <row r="1400">
      <c r="A1400" s="7" t="inlineStr">
        <is>
          <t>MAT-32-223</t>
        </is>
      </c>
      <c r="B1400" s="4" t="inlineStr">
        <is>
          <t>Reducción bushing de PVC presión 1 1/2" x 3/4"</t>
        </is>
      </c>
      <c r="C1400" s="7" t="inlineStr">
        <is>
          <t>unidad</t>
        </is>
      </c>
      <c r="D1400" s="8" t="n"/>
      <c r="E1400" s="8" t="n"/>
      <c r="F1400" s="8" t="n"/>
      <c r="G1400" s="8" t="n"/>
      <c r="H1400" s="8" t="n"/>
      <c r="I1400" s="8" t="n"/>
      <c r="J1400" s="8" t="n"/>
      <c r="K1400" s="8" t="n">
        <v>18.1</v>
      </c>
      <c r="L1400" s="8" t="n"/>
      <c r="M1400" s="8">
        <f>IF(COUNT(D1400:L1400)=0,"",MIN(D1400:L1400))</f>
        <v/>
      </c>
      <c r="N1400" s="8">
        <f>IF(COUNT(D1400:L1400)=0,"",MEDIAN(D1400:L1400))</f>
        <v/>
      </c>
      <c r="O1400" s="8">
        <f>IF(COUNT(D1400:L1400)=0,"",MAX(D1400:L1400))</f>
        <v/>
      </c>
      <c r="P1400" s="9">
        <f>IF(OR(M1400="",M1400=0),"",(O1400-M1400)/M1400)</f>
        <v/>
      </c>
      <c r="Q1400" s="7">
        <f>IF(COUNT(D1400:L1400)=0,"",INDEX($D$1:$L$1,MATCH(MIN(D1400:L1400),D1400:L1400,0)))</f>
        <v/>
      </c>
      <c r="R1400" s="8" t="n">
        <v>21.36</v>
      </c>
      <c r="S1400" s="10" t="n">
        <v>1</v>
      </c>
    </row>
    <row r="1401">
      <c r="A1401" s="7" t="inlineStr">
        <is>
          <t>MAT-32-224</t>
        </is>
      </c>
      <c r="B1401" s="4" t="inlineStr">
        <is>
          <t>Reducción bushing de PVC presión 1" x 1/2"</t>
        </is>
      </c>
      <c r="C1401" s="7" t="inlineStr">
        <is>
          <t>unidad</t>
        </is>
      </c>
      <c r="D1401" s="8" t="n"/>
      <c r="E1401" s="8" t="n"/>
      <c r="F1401" s="8" t="n"/>
      <c r="G1401" s="8" t="n"/>
      <c r="H1401" s="8" t="n"/>
      <c r="I1401" s="8" t="n"/>
      <c r="J1401" s="8" t="n"/>
      <c r="K1401" s="8" t="n">
        <v>8.949999999999999</v>
      </c>
      <c r="L1401" s="8" t="n"/>
      <c r="M1401" s="8">
        <f>IF(COUNT(D1401:L1401)=0,"",MIN(D1401:L1401))</f>
        <v/>
      </c>
      <c r="N1401" s="8">
        <f>IF(COUNT(D1401:L1401)=0,"",MEDIAN(D1401:L1401))</f>
        <v/>
      </c>
      <c r="O1401" s="8">
        <f>IF(COUNT(D1401:L1401)=0,"",MAX(D1401:L1401))</f>
        <v/>
      </c>
      <c r="P1401" s="9">
        <f>IF(OR(M1401="",M1401=0),"",(O1401-M1401)/M1401)</f>
        <v/>
      </c>
      <c r="Q1401" s="7">
        <f>IF(COUNT(D1401:L1401)=0,"",INDEX($D$1:$L$1,MATCH(MIN(D1401:L1401),D1401:L1401,0)))</f>
        <v/>
      </c>
      <c r="R1401" s="8" t="n">
        <v>10.56</v>
      </c>
      <c r="S1401" s="10" t="n">
        <v>1</v>
      </c>
    </row>
    <row r="1402">
      <c r="A1402" s="7" t="inlineStr">
        <is>
          <t>MAT-32-225</t>
        </is>
      </c>
      <c r="B1402" s="4" t="inlineStr">
        <is>
          <t>Reducción bushing de PVC presión 1" x 3/4"</t>
        </is>
      </c>
      <c r="C1402" s="7" t="inlineStr">
        <is>
          <t>unidad</t>
        </is>
      </c>
      <c r="D1402" s="8" t="n"/>
      <c r="E1402" s="8" t="n"/>
      <c r="F1402" s="8" t="n"/>
      <c r="G1402" s="8" t="n"/>
      <c r="H1402" s="8" t="n"/>
      <c r="I1402" s="8" t="n"/>
      <c r="J1402" s="8" t="n"/>
      <c r="K1402" s="8" t="n">
        <v>7.03</v>
      </c>
      <c r="L1402" s="8" t="n"/>
      <c r="M1402" s="8">
        <f>IF(COUNT(D1402:L1402)=0,"",MIN(D1402:L1402))</f>
        <v/>
      </c>
      <c r="N1402" s="8">
        <f>IF(COUNT(D1402:L1402)=0,"",MEDIAN(D1402:L1402))</f>
        <v/>
      </c>
      <c r="O1402" s="8">
        <f>IF(COUNT(D1402:L1402)=0,"",MAX(D1402:L1402))</f>
        <v/>
      </c>
      <c r="P1402" s="9">
        <f>IF(OR(M1402="",M1402=0),"",(O1402-M1402)/M1402)</f>
        <v/>
      </c>
      <c r="Q1402" s="7">
        <f>IF(COUNT(D1402:L1402)=0,"",INDEX($D$1:$L$1,MATCH(MIN(D1402:L1402),D1402:L1402,0)))</f>
        <v/>
      </c>
      <c r="R1402" s="8" t="n">
        <v>8.300000000000001</v>
      </c>
      <c r="S1402" s="10" t="n">
        <v>1</v>
      </c>
    </row>
    <row r="1403">
      <c r="A1403" s="7" t="inlineStr">
        <is>
          <t>MAT-32-226</t>
        </is>
      </c>
      <c r="B1403" s="4" t="inlineStr">
        <is>
          <t>Reducción bushing de PVC presión 2" x 1 1/2"</t>
        </is>
      </c>
      <c r="C1403" s="7" t="inlineStr">
        <is>
          <t>unidad</t>
        </is>
      </c>
      <c r="D1403" s="8" t="n"/>
      <c r="E1403" s="8" t="n"/>
      <c r="F1403" s="8" t="n"/>
      <c r="G1403" s="8" t="n"/>
      <c r="H1403" s="8" t="n"/>
      <c r="I1403" s="8" t="n"/>
      <c r="J1403" s="8" t="n"/>
      <c r="K1403" s="8" t="n">
        <v>19.43</v>
      </c>
      <c r="L1403" s="8" t="n"/>
      <c r="M1403" s="8">
        <f>IF(COUNT(D1403:L1403)=0,"",MIN(D1403:L1403))</f>
        <v/>
      </c>
      <c r="N1403" s="8">
        <f>IF(COUNT(D1403:L1403)=0,"",MEDIAN(D1403:L1403))</f>
        <v/>
      </c>
      <c r="O1403" s="8">
        <f>IF(COUNT(D1403:L1403)=0,"",MAX(D1403:L1403))</f>
        <v/>
      </c>
      <c r="P1403" s="9">
        <f>IF(OR(M1403="",M1403=0),"",(O1403-M1403)/M1403)</f>
        <v/>
      </c>
      <c r="Q1403" s="7">
        <f>IF(COUNT(D1403:L1403)=0,"",INDEX($D$1:$L$1,MATCH(MIN(D1403:L1403),D1403:L1403,0)))</f>
        <v/>
      </c>
      <c r="R1403" s="8" t="n">
        <v>22.93</v>
      </c>
      <c r="S1403" s="10" t="n">
        <v>1</v>
      </c>
    </row>
    <row r="1404">
      <c r="A1404" s="7" t="inlineStr">
        <is>
          <t>MAT-32-227</t>
        </is>
      </c>
      <c r="B1404" s="4" t="inlineStr">
        <is>
          <t>Reducción bushing de PVC presión 2" x 1/2"</t>
        </is>
      </c>
      <c r="C1404" s="7" t="inlineStr">
        <is>
          <t>unidad</t>
        </is>
      </c>
      <c r="D1404" s="8" t="n"/>
      <c r="E1404" s="8" t="n"/>
      <c r="F1404" s="8" t="n"/>
      <c r="G1404" s="8" t="n"/>
      <c r="H1404" s="8" t="n"/>
      <c r="I1404" s="8" t="n"/>
      <c r="J1404" s="8" t="n"/>
      <c r="K1404" s="8" t="n">
        <v>26.14</v>
      </c>
      <c r="L1404" s="8" t="n"/>
      <c r="M1404" s="8">
        <f>IF(COUNT(D1404:L1404)=0,"",MIN(D1404:L1404))</f>
        <v/>
      </c>
      <c r="N1404" s="8">
        <f>IF(COUNT(D1404:L1404)=0,"",MEDIAN(D1404:L1404))</f>
        <v/>
      </c>
      <c r="O1404" s="8">
        <f>IF(COUNT(D1404:L1404)=0,"",MAX(D1404:L1404))</f>
        <v/>
      </c>
      <c r="P1404" s="9">
        <f>IF(OR(M1404="",M1404=0),"",(O1404-M1404)/M1404)</f>
        <v/>
      </c>
      <c r="Q1404" s="7">
        <f>IF(COUNT(D1404:L1404)=0,"",INDEX($D$1:$L$1,MATCH(MIN(D1404:L1404),D1404:L1404,0)))</f>
        <v/>
      </c>
      <c r="R1404" s="8" t="n">
        <v>30.85</v>
      </c>
      <c r="S1404" s="10" t="n">
        <v>1</v>
      </c>
    </row>
    <row r="1405">
      <c r="A1405" s="7" t="inlineStr">
        <is>
          <t>MAT-32-228</t>
        </is>
      </c>
      <c r="B1405" s="4" t="inlineStr">
        <is>
          <t>Reducción bushing de PVC presión 2" x 1"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28.15</v>
      </c>
      <c r="L1405" s="8" t="n"/>
      <c r="M1405" s="8">
        <f>IF(COUNT(D1405:L1405)=0,"",MIN(D1405:L1405))</f>
        <v/>
      </c>
      <c r="N1405" s="8">
        <f>IF(COUNT(D1405:L1405)=0,"",MEDIAN(D1405:L1405))</f>
        <v/>
      </c>
      <c r="O1405" s="8">
        <f>IF(COUNT(D1405:L1405)=0,"",MAX(D1405:L1405))</f>
        <v/>
      </c>
      <c r="P1405" s="9">
        <f>IF(OR(M1405="",M1405=0),"",(O1405-M1405)/M1405)</f>
        <v/>
      </c>
      <c r="Q1405" s="7">
        <f>IF(COUNT(D1405:L1405)=0,"",INDEX($D$1:$L$1,MATCH(MIN(D1405:L1405),D1405:L1405,0)))</f>
        <v/>
      </c>
      <c r="R1405" s="8" t="n">
        <v>33.22</v>
      </c>
      <c r="S1405" s="10" t="n">
        <v>1</v>
      </c>
    </row>
    <row r="1406">
      <c r="A1406" s="7" t="inlineStr">
        <is>
          <t>MAT-32-229</t>
        </is>
      </c>
      <c r="B1406" s="4" t="inlineStr">
        <is>
          <t>Reducción bushing de PVC presión 2" x 3/4"</t>
        </is>
      </c>
      <c r="C1406" s="7" t="inlineStr">
        <is>
          <t>unidad</t>
        </is>
      </c>
      <c r="D1406" s="8" t="n"/>
      <c r="E1406" s="8" t="n"/>
      <c r="F1406" s="8" t="n"/>
      <c r="G1406" s="8" t="n"/>
      <c r="H1406" s="8" t="n"/>
      <c r="I1406" s="8" t="n"/>
      <c r="J1406" s="8" t="n"/>
      <c r="K1406" s="8" t="n">
        <v>34.19</v>
      </c>
      <c r="L1406" s="8" t="n"/>
      <c r="M1406" s="8">
        <f>IF(COUNT(D1406:L1406)=0,"",MIN(D1406:L1406))</f>
        <v/>
      </c>
      <c r="N1406" s="8">
        <f>IF(COUNT(D1406:L1406)=0,"",MEDIAN(D1406:L1406))</f>
        <v/>
      </c>
      <c r="O1406" s="8">
        <f>IF(COUNT(D1406:L1406)=0,"",MAX(D1406:L1406))</f>
        <v/>
      </c>
      <c r="P1406" s="9">
        <f>IF(OR(M1406="",M1406=0),"",(O1406-M1406)/M1406)</f>
        <v/>
      </c>
      <c r="Q1406" s="7">
        <f>IF(COUNT(D1406:L1406)=0,"",INDEX($D$1:$L$1,MATCH(MIN(D1406:L1406),D1406:L1406,0)))</f>
        <v/>
      </c>
      <c r="R1406" s="8" t="n">
        <v>40.34</v>
      </c>
      <c r="S1406" s="10" t="n">
        <v>1</v>
      </c>
    </row>
    <row r="1407">
      <c r="A1407" s="7" t="inlineStr">
        <is>
          <t>MAT-32-230</t>
        </is>
      </c>
      <c r="B1407" s="4" t="inlineStr">
        <is>
          <t>Reducción bushing de PVC presión 3/4" x 1/2"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4.2</v>
      </c>
      <c r="L1407" s="8" t="n"/>
      <c r="M1407" s="8">
        <f>IF(COUNT(D1407:L1407)=0,"",MIN(D1407:L1407))</f>
        <v/>
      </c>
      <c r="N1407" s="8">
        <f>IF(COUNT(D1407:L1407)=0,"",MEDIAN(D1407:L1407))</f>
        <v/>
      </c>
      <c r="O1407" s="8">
        <f>IF(COUNT(D1407:L1407)=0,"",MAX(D1407:L1407))</f>
        <v/>
      </c>
      <c r="P1407" s="9">
        <f>IF(OR(M1407="",M1407=0),"",(O1407-M1407)/M1407)</f>
        <v/>
      </c>
      <c r="Q1407" s="7">
        <f>IF(COUNT(D1407:L1407)=0,"",INDEX($D$1:$L$1,MATCH(MIN(D1407:L1407),D1407:L1407,0)))</f>
        <v/>
      </c>
      <c r="R1407" s="8" t="n">
        <v>4.96</v>
      </c>
      <c r="S1407" s="10" t="n">
        <v>1</v>
      </c>
    </row>
    <row r="1408">
      <c r="A1408" s="7" t="inlineStr">
        <is>
          <t>MAT-32-231</t>
        </is>
      </c>
      <c r="B1408" s="4" t="inlineStr">
        <is>
          <t>Reducción de HG 1 1/2" x 1"</t>
        </is>
      </c>
      <c r="C1408" s="7" t="inlineStr">
        <is>
          <t>unidad</t>
        </is>
      </c>
      <c r="D1408" s="8" t="n"/>
      <c r="E1408" s="8" t="n"/>
      <c r="F1408" s="8" t="n">
        <v>237</v>
      </c>
      <c r="G1408" s="8" t="n"/>
      <c r="H1408" s="8" t="n"/>
      <c r="I1408" s="8" t="n"/>
      <c r="J1408" s="8" t="n"/>
      <c r="K1408" s="8" t="n"/>
      <c r="L1408" s="8" t="n"/>
      <c r="M1408" s="8">
        <f>IF(COUNT(D1408:L1408)=0,"",MIN(D1408:L1408))</f>
        <v/>
      </c>
      <c r="N1408" s="8">
        <f>IF(COUNT(D1408:L1408)=0,"",MEDIAN(D1408:L1408))</f>
        <v/>
      </c>
      <c r="O1408" s="8">
        <f>IF(COUNT(D1408:L1408)=0,"",MAX(D1408:L1408))</f>
        <v/>
      </c>
      <c r="P1408" s="9">
        <f>IF(OR(M1408="",M1408=0),"",(O1408-M1408)/M1408)</f>
        <v/>
      </c>
      <c r="Q1408" s="7">
        <f>IF(COUNT(D1408:L1408)=0,"",INDEX($D$1:$L$1,MATCH(MIN(D1408:L1408),D1408:L1408,0)))</f>
        <v/>
      </c>
      <c r="R1408" s="8" t="n">
        <v>237</v>
      </c>
      <c r="S1408" s="10" t="n">
        <v>1</v>
      </c>
    </row>
    <row r="1409">
      <c r="A1409" s="7" t="inlineStr">
        <is>
          <t>MAT-32-232</t>
        </is>
      </c>
      <c r="B1409" s="4" t="inlineStr">
        <is>
          <t>Reducción de HG 1/2" x 3/8"</t>
        </is>
      </c>
      <c r="C1409" s="7" t="inlineStr">
        <is>
          <t>unidad</t>
        </is>
      </c>
      <c r="D1409" s="8" t="n"/>
      <c r="E1409" s="8" t="n"/>
      <c r="F1409" s="8" t="n">
        <v>70</v>
      </c>
      <c r="G1409" s="8" t="n"/>
      <c r="H1409" s="8" t="n"/>
      <c r="I1409" s="8" t="n"/>
      <c r="J1409" s="8" t="n"/>
      <c r="K1409" s="8" t="n"/>
      <c r="L1409" s="8" t="n"/>
      <c r="M1409" s="8">
        <f>IF(COUNT(D1409:L1409)=0,"",MIN(D1409:L1409))</f>
        <v/>
      </c>
      <c r="N1409" s="8">
        <f>IF(COUNT(D1409:L1409)=0,"",MEDIAN(D1409:L1409))</f>
        <v/>
      </c>
      <c r="O1409" s="8">
        <f>IF(COUNT(D1409:L1409)=0,"",MAX(D1409:L1409))</f>
        <v/>
      </c>
      <c r="P1409" s="9">
        <f>IF(OR(M1409="",M1409=0),"",(O1409-M1409)/M1409)</f>
        <v/>
      </c>
      <c r="Q1409" s="7">
        <f>IF(COUNT(D1409:L1409)=0,"",INDEX($D$1:$L$1,MATCH(MIN(D1409:L1409),D1409:L1409,0)))</f>
        <v/>
      </c>
      <c r="R1409" s="8" t="n">
        <v>70</v>
      </c>
      <c r="S1409" s="10" t="n">
        <v>1</v>
      </c>
    </row>
    <row r="1410">
      <c r="A1410" s="7" t="inlineStr">
        <is>
          <t>MAT-32-233</t>
        </is>
      </c>
      <c r="B1410" s="4" t="inlineStr">
        <is>
          <t>Reducción de HG 1" x 1/2"</t>
        </is>
      </c>
      <c r="C1410" s="7" t="inlineStr">
        <is>
          <t>unidad</t>
        </is>
      </c>
      <c r="D1410" s="8" t="n"/>
      <c r="E1410" s="8" t="n"/>
      <c r="F1410" s="8" t="n">
        <v>95</v>
      </c>
      <c r="G1410" s="8" t="n"/>
      <c r="H1410" s="8" t="n"/>
      <c r="I1410" s="8" t="n"/>
      <c r="J1410" s="8" t="n"/>
      <c r="K1410" s="8" t="n"/>
      <c r="L1410" s="8" t="n"/>
      <c r="M1410" s="8">
        <f>IF(COUNT(D1410:L1410)=0,"",MIN(D1410:L1410))</f>
        <v/>
      </c>
      <c r="N1410" s="8">
        <f>IF(COUNT(D1410:L1410)=0,"",MEDIAN(D1410:L1410))</f>
        <v/>
      </c>
      <c r="O1410" s="8">
        <f>IF(COUNT(D1410:L1410)=0,"",MAX(D1410:L1410))</f>
        <v/>
      </c>
      <c r="P1410" s="9">
        <f>IF(OR(M1410="",M1410=0),"",(O1410-M1410)/M1410)</f>
        <v/>
      </c>
      <c r="Q1410" s="7">
        <f>IF(COUNT(D1410:L1410)=0,"",INDEX($D$1:$L$1,MATCH(MIN(D1410:L1410),D1410:L1410,0)))</f>
        <v/>
      </c>
      <c r="R1410" s="8" t="n">
        <v>95</v>
      </c>
      <c r="S1410" s="10" t="n">
        <v>1</v>
      </c>
    </row>
    <row r="1411">
      <c r="A1411" s="7" t="inlineStr">
        <is>
          <t>MAT-32-234</t>
        </is>
      </c>
      <c r="B1411" s="4" t="inlineStr">
        <is>
          <t>Reducción de HG 1" x 3/4"</t>
        </is>
      </c>
      <c r="C1411" s="7" t="inlineStr">
        <is>
          <t>unidad</t>
        </is>
      </c>
      <c r="D1411" s="8" t="n"/>
      <c r="E1411" s="8" t="n"/>
      <c r="F1411" s="8" t="n">
        <v>101</v>
      </c>
      <c r="G1411" s="8" t="n"/>
      <c r="H1411" s="8" t="n"/>
      <c r="I1411" s="8" t="n"/>
      <c r="J1411" s="8" t="n"/>
      <c r="K1411" s="8" t="n"/>
      <c r="L1411" s="8" t="n"/>
      <c r="M1411" s="8">
        <f>IF(COUNT(D1411:L1411)=0,"",MIN(D1411:L1411))</f>
        <v/>
      </c>
      <c r="N1411" s="8">
        <f>IF(COUNT(D1411:L1411)=0,"",MEDIAN(D1411:L1411))</f>
        <v/>
      </c>
      <c r="O1411" s="8">
        <f>IF(COUNT(D1411:L1411)=0,"",MAX(D1411:L1411))</f>
        <v/>
      </c>
      <c r="P1411" s="9">
        <f>IF(OR(M1411="",M1411=0),"",(O1411-M1411)/M1411)</f>
        <v/>
      </c>
      <c r="Q1411" s="7">
        <f>IF(COUNT(D1411:L1411)=0,"",INDEX($D$1:$L$1,MATCH(MIN(D1411:L1411),D1411:L1411,0)))</f>
        <v/>
      </c>
      <c r="R1411" s="8" t="n">
        <v>101</v>
      </c>
      <c r="S1411" s="10" t="n">
        <v>1</v>
      </c>
    </row>
    <row r="1412">
      <c r="A1412" s="7" t="inlineStr">
        <is>
          <t>MAT-32-235</t>
        </is>
      </c>
      <c r="B1412" s="4" t="inlineStr">
        <is>
          <t>Reducción de PPR 25 mm x 20 mm</t>
        </is>
      </c>
      <c r="C1412" s="7" t="inlineStr">
        <is>
          <t>unidad</t>
        </is>
      </c>
      <c r="D1412" s="8" t="n"/>
      <c r="E1412" s="8" t="n"/>
      <c r="F1412" s="8" t="n">
        <v>53</v>
      </c>
      <c r="G1412" s="8" t="n"/>
      <c r="H1412" s="8" t="n"/>
      <c r="I1412" s="8" t="n"/>
      <c r="J1412" s="8" t="n"/>
      <c r="K1412" s="8" t="n"/>
      <c r="L1412" s="8" t="n"/>
      <c r="M1412" s="8">
        <f>IF(COUNT(D1412:L1412)=0,"",MIN(D1412:L1412))</f>
        <v/>
      </c>
      <c r="N1412" s="8">
        <f>IF(COUNT(D1412:L1412)=0,"",MEDIAN(D1412:L1412))</f>
        <v/>
      </c>
      <c r="O1412" s="8">
        <f>IF(COUNT(D1412:L1412)=0,"",MAX(D1412:L1412))</f>
        <v/>
      </c>
      <c r="P1412" s="9">
        <f>IF(OR(M1412="",M1412=0),"",(O1412-M1412)/M1412)</f>
        <v/>
      </c>
      <c r="Q1412" s="7">
        <f>IF(COUNT(D1412:L1412)=0,"",INDEX($D$1:$L$1,MATCH(MIN(D1412:L1412),D1412:L1412,0)))</f>
        <v/>
      </c>
      <c r="R1412" s="8" t="n">
        <v>53</v>
      </c>
      <c r="S1412" s="10" t="n">
        <v>1</v>
      </c>
    </row>
    <row r="1413">
      <c r="A1413" s="7" t="inlineStr">
        <is>
          <t>MAT-32-236</t>
        </is>
      </c>
      <c r="B1413" s="4" t="inlineStr">
        <is>
          <t>Reducción de PVC 1 1/2" x 1/2"</t>
        </is>
      </c>
      <c r="C1413" s="7" t="inlineStr">
        <is>
          <t>unidad</t>
        </is>
      </c>
      <c r="D1413" s="8" t="n"/>
      <c r="E1413" s="8" t="n"/>
      <c r="F1413" s="8" t="n">
        <v>63</v>
      </c>
      <c r="G1413" s="8" t="n"/>
      <c r="H1413" s="8" t="n"/>
      <c r="I1413" s="8" t="n"/>
      <c r="J1413" s="8" t="n"/>
      <c r="K1413" s="8" t="n"/>
      <c r="L1413" s="8" t="n"/>
      <c r="M1413" s="8">
        <f>IF(COUNT(D1413:L1413)=0,"",MIN(D1413:L1413))</f>
        <v/>
      </c>
      <c r="N1413" s="8">
        <f>IF(COUNT(D1413:L1413)=0,"",MEDIAN(D1413:L1413))</f>
        <v/>
      </c>
      <c r="O1413" s="8">
        <f>IF(COUNT(D1413:L1413)=0,"",MAX(D1413:L1413))</f>
        <v/>
      </c>
      <c r="P1413" s="9">
        <f>IF(OR(M1413="",M1413=0),"",(O1413-M1413)/M1413)</f>
        <v/>
      </c>
      <c r="Q1413" s="7">
        <f>IF(COUNT(D1413:L1413)=0,"",INDEX($D$1:$L$1,MATCH(MIN(D1413:L1413),D1413:L1413,0)))</f>
        <v/>
      </c>
      <c r="R1413" s="8" t="n">
        <v>63</v>
      </c>
      <c r="S1413" s="10" t="n">
        <v>1</v>
      </c>
    </row>
    <row r="1414">
      <c r="A1414" s="7" t="inlineStr">
        <is>
          <t>MAT-32-237</t>
        </is>
      </c>
      <c r="B1414" s="4" t="inlineStr">
        <is>
          <t>Reducción de PVC 1 1/2" x 1"</t>
        </is>
      </c>
      <c r="C1414" s="7" t="inlineStr">
        <is>
          <t>unidad</t>
        </is>
      </c>
      <c r="D1414" s="8" t="n"/>
      <c r="E1414" s="8" t="n"/>
      <c r="F1414" s="8" t="n">
        <v>111</v>
      </c>
      <c r="G1414" s="8" t="n"/>
      <c r="H1414" s="8" t="n"/>
      <c r="I1414" s="8" t="n"/>
      <c r="J1414" s="8" t="n"/>
      <c r="K1414" s="8" t="n"/>
      <c r="L1414" s="8" t="n"/>
      <c r="M1414" s="8">
        <f>IF(COUNT(D1414:L1414)=0,"",MIN(D1414:L1414))</f>
        <v/>
      </c>
      <c r="N1414" s="8">
        <f>IF(COUNT(D1414:L1414)=0,"",MEDIAN(D1414:L1414))</f>
        <v/>
      </c>
      <c r="O1414" s="8">
        <f>IF(COUNT(D1414:L1414)=0,"",MAX(D1414:L1414))</f>
        <v/>
      </c>
      <c r="P1414" s="9">
        <f>IF(OR(M1414="",M1414=0),"",(O1414-M1414)/M1414)</f>
        <v/>
      </c>
      <c r="Q1414" s="7">
        <f>IF(COUNT(D1414:L1414)=0,"",INDEX($D$1:$L$1,MATCH(MIN(D1414:L1414),D1414:L1414,0)))</f>
        <v/>
      </c>
      <c r="R1414" s="8" t="n">
        <v>111</v>
      </c>
      <c r="S1414" s="10" t="n">
        <v>1</v>
      </c>
    </row>
    <row r="1415">
      <c r="A1415" s="7" t="inlineStr">
        <is>
          <t>MAT-32-238</t>
        </is>
      </c>
      <c r="B1415" s="4" t="inlineStr">
        <is>
          <t>Reducción de PVC 1 1/2" x 3/4"</t>
        </is>
      </c>
      <c r="C1415" s="7" t="inlineStr">
        <is>
          <t>unidad</t>
        </is>
      </c>
      <c r="D1415" s="8" t="n"/>
      <c r="E1415" s="8" t="n"/>
      <c r="F1415" s="8" t="n">
        <v>85</v>
      </c>
      <c r="G1415" s="8" t="n"/>
      <c r="H1415" s="8" t="n"/>
      <c r="I1415" s="8" t="n"/>
      <c r="J1415" s="8" t="n"/>
      <c r="K1415" s="8" t="n"/>
      <c r="L1415" s="8" t="n"/>
      <c r="M1415" s="8">
        <f>IF(COUNT(D1415:L1415)=0,"",MIN(D1415:L1415))</f>
        <v/>
      </c>
      <c r="N1415" s="8">
        <f>IF(COUNT(D1415:L1415)=0,"",MEDIAN(D1415:L1415))</f>
        <v/>
      </c>
      <c r="O1415" s="8">
        <f>IF(COUNT(D1415:L1415)=0,"",MAX(D1415:L1415))</f>
        <v/>
      </c>
      <c r="P1415" s="9">
        <f>IF(OR(M1415="",M1415=0),"",(O1415-M1415)/M1415)</f>
        <v/>
      </c>
      <c r="Q1415" s="7">
        <f>IF(COUNT(D1415:L1415)=0,"",INDEX($D$1:$L$1,MATCH(MIN(D1415:L1415),D1415:L1415,0)))</f>
        <v/>
      </c>
      <c r="R1415" s="8" t="n">
        <v>85</v>
      </c>
      <c r="S1415" s="10" t="n">
        <v>1</v>
      </c>
    </row>
    <row r="1416">
      <c r="A1416" s="7" t="inlineStr">
        <is>
          <t>MAT-32-239</t>
        </is>
      </c>
      <c r="B1416" s="4" t="inlineStr">
        <is>
          <t>Reducción de PVC 2" x 1 1/2"</t>
        </is>
      </c>
      <c r="C1416" s="7" t="inlineStr">
        <is>
          <t>unidad</t>
        </is>
      </c>
      <c r="D1416" s="8" t="n"/>
      <c r="E1416" s="8" t="n"/>
      <c r="F1416" s="8" t="n">
        <v>234</v>
      </c>
      <c r="G1416" s="8" t="n"/>
      <c r="H1416" s="8" t="n"/>
      <c r="I1416" s="8" t="n"/>
      <c r="J1416" s="8" t="n"/>
      <c r="K1416" s="8" t="n"/>
      <c r="L1416" s="8" t="n"/>
      <c r="M1416" s="8">
        <f>IF(COUNT(D1416:L1416)=0,"",MIN(D1416:L1416))</f>
        <v/>
      </c>
      <c r="N1416" s="8">
        <f>IF(COUNT(D1416:L1416)=0,"",MEDIAN(D1416:L1416))</f>
        <v/>
      </c>
      <c r="O1416" s="8">
        <f>IF(COUNT(D1416:L1416)=0,"",MAX(D1416:L1416))</f>
        <v/>
      </c>
      <c r="P1416" s="9">
        <f>IF(OR(M1416="",M1416=0),"",(O1416-M1416)/M1416)</f>
        <v/>
      </c>
      <c r="Q1416" s="7">
        <f>IF(COUNT(D1416:L1416)=0,"",INDEX($D$1:$L$1,MATCH(MIN(D1416:L1416),D1416:L1416,0)))</f>
        <v/>
      </c>
      <c r="R1416" s="8" t="n">
        <v>234</v>
      </c>
      <c r="S1416" s="10" t="n">
        <v>1</v>
      </c>
    </row>
    <row r="1417">
      <c r="A1417" s="7" t="inlineStr">
        <is>
          <t>MAT-32-240</t>
        </is>
      </c>
      <c r="B1417" s="4" t="inlineStr">
        <is>
          <t>Reducción de PVC 3/4" x 1/2"</t>
        </is>
      </c>
      <c r="C1417" s="7" t="inlineStr">
        <is>
          <t>unidad</t>
        </is>
      </c>
      <c r="D1417" s="8" t="n"/>
      <c r="E1417" s="8" t="n"/>
      <c r="F1417" s="8" t="n">
        <v>46</v>
      </c>
      <c r="G1417" s="8" t="n"/>
      <c r="H1417" s="8" t="n"/>
      <c r="I1417" s="8" t="n"/>
      <c r="J1417" s="8" t="n"/>
      <c r="K1417" s="8" t="n"/>
      <c r="L1417" s="8" t="n"/>
      <c r="M1417" s="8">
        <f>IF(COUNT(D1417:L1417)=0,"",MIN(D1417:L1417))</f>
        <v/>
      </c>
      <c r="N1417" s="8">
        <f>IF(COUNT(D1417:L1417)=0,"",MEDIAN(D1417:L1417))</f>
        <v/>
      </c>
      <c r="O1417" s="8">
        <f>IF(COUNT(D1417:L1417)=0,"",MAX(D1417:L1417))</f>
        <v/>
      </c>
      <c r="P1417" s="9">
        <f>IF(OR(M1417="",M1417=0),"",(O1417-M1417)/M1417)</f>
        <v/>
      </c>
      <c r="Q1417" s="7">
        <f>IF(COUNT(D1417:L1417)=0,"",INDEX($D$1:$L$1,MATCH(MIN(D1417:L1417),D1417:L1417,0)))</f>
        <v/>
      </c>
      <c r="R1417" s="8" t="n">
        <v>46</v>
      </c>
      <c r="S1417" s="10" t="n">
        <v>1</v>
      </c>
    </row>
    <row r="1418">
      <c r="A1418" s="7" t="inlineStr">
        <is>
          <t>MAT-32-241</t>
        </is>
      </c>
      <c r="B1418" s="4" t="inlineStr">
        <is>
          <t>Tapón hembra de bronce 1/4"</t>
        </is>
      </c>
      <c r="C1418" s="7" t="inlineStr">
        <is>
          <t>unidad</t>
        </is>
      </c>
      <c r="D1418" s="8" t="n"/>
      <c r="E1418" s="8" t="n"/>
      <c r="F1418" s="8" t="n">
        <v>101</v>
      </c>
      <c r="G1418" s="8" t="n"/>
      <c r="H1418" s="8" t="n"/>
      <c r="I1418" s="8" t="n"/>
      <c r="J1418" s="8" t="n"/>
      <c r="K1418" s="8" t="n"/>
      <c r="L1418" s="8" t="n"/>
      <c r="M1418" s="8">
        <f>IF(COUNT(D1418:L1418)=0,"",MIN(D1418:L1418))</f>
        <v/>
      </c>
      <c r="N1418" s="8">
        <f>IF(COUNT(D1418:L1418)=0,"",MEDIAN(D1418:L1418))</f>
        <v/>
      </c>
      <c r="O1418" s="8">
        <f>IF(COUNT(D1418:L1418)=0,"",MAX(D1418:L1418))</f>
        <v/>
      </c>
      <c r="P1418" s="9">
        <f>IF(OR(M1418="",M1418=0),"",(O1418-M1418)/M1418)</f>
        <v/>
      </c>
      <c r="Q1418" s="7">
        <f>IF(COUNT(D1418:L1418)=0,"",INDEX($D$1:$L$1,MATCH(MIN(D1418:L1418),D1418:L1418,0)))</f>
        <v/>
      </c>
      <c r="R1418" s="8" t="n">
        <v>101</v>
      </c>
      <c r="S1418" s="10" t="n">
        <v>1</v>
      </c>
    </row>
    <row r="1419">
      <c r="A1419" s="7" t="inlineStr">
        <is>
          <t>MAT-32-242</t>
        </is>
      </c>
      <c r="B1419" s="4" t="inlineStr">
        <is>
          <t>Tapón hembra de bronce 3/8"</t>
        </is>
      </c>
      <c r="C1419" s="7" t="inlineStr">
        <is>
          <t>unidad</t>
        </is>
      </c>
      <c r="D1419" s="8" t="n"/>
      <c r="E1419" s="8" t="n"/>
      <c r="F1419" s="8" t="n">
        <v>170</v>
      </c>
      <c r="G1419" s="8" t="n"/>
      <c r="H1419" s="8" t="n"/>
      <c r="I1419" s="8" t="n"/>
      <c r="J1419" s="8" t="n"/>
      <c r="K1419" s="8" t="n"/>
      <c r="L1419" s="8" t="n"/>
      <c r="M1419" s="8">
        <f>IF(COUNT(D1419:L1419)=0,"",MIN(D1419:L1419))</f>
        <v/>
      </c>
      <c r="N1419" s="8">
        <f>IF(COUNT(D1419:L1419)=0,"",MEDIAN(D1419:L1419))</f>
        <v/>
      </c>
      <c r="O1419" s="8">
        <f>IF(COUNT(D1419:L1419)=0,"",MAX(D1419:L1419))</f>
        <v/>
      </c>
      <c r="P1419" s="9">
        <f>IF(OR(M1419="",M1419=0),"",(O1419-M1419)/M1419)</f>
        <v/>
      </c>
      <c r="Q1419" s="7">
        <f>IF(COUNT(D1419:L1419)=0,"",INDEX($D$1:$L$1,MATCH(MIN(D1419:L1419),D1419:L1419,0)))</f>
        <v/>
      </c>
      <c r="R1419" s="8" t="n">
        <v>170</v>
      </c>
      <c r="S1419" s="10" t="n">
        <v>1</v>
      </c>
    </row>
    <row r="1420">
      <c r="A1420" s="7" t="inlineStr">
        <is>
          <t>MAT-32-243</t>
        </is>
      </c>
      <c r="B1420" s="4" t="inlineStr">
        <is>
          <t>Tapón hembra de HG 1 1/2"</t>
        </is>
      </c>
      <c r="C1420" s="7" t="inlineStr">
        <is>
          <t>unidad</t>
        </is>
      </c>
      <c r="D1420" s="8" t="n"/>
      <c r="E1420" s="8" t="n"/>
      <c r="F1420" s="8" t="n">
        <v>270</v>
      </c>
      <c r="G1420" s="8" t="n"/>
      <c r="H1420" s="8" t="n"/>
      <c r="I1420" s="8" t="n"/>
      <c r="J1420" s="8" t="n"/>
      <c r="K1420" s="8" t="n"/>
      <c r="L1420" s="8" t="n"/>
      <c r="M1420" s="8">
        <f>IF(COUNT(D1420:L1420)=0,"",MIN(D1420:L1420))</f>
        <v/>
      </c>
      <c r="N1420" s="8">
        <f>IF(COUNT(D1420:L1420)=0,"",MEDIAN(D1420:L1420))</f>
        <v/>
      </c>
      <c r="O1420" s="8">
        <f>IF(COUNT(D1420:L1420)=0,"",MAX(D1420:L1420))</f>
        <v/>
      </c>
      <c r="P1420" s="9">
        <f>IF(OR(M1420="",M1420=0),"",(O1420-M1420)/M1420)</f>
        <v/>
      </c>
      <c r="Q1420" s="7">
        <f>IF(COUNT(D1420:L1420)=0,"",INDEX($D$1:$L$1,MATCH(MIN(D1420:L1420),D1420:L1420,0)))</f>
        <v/>
      </c>
      <c r="R1420" s="8" t="n">
        <v>270</v>
      </c>
      <c r="S1420" s="10" t="n">
        <v>1</v>
      </c>
    </row>
    <row r="1421">
      <c r="A1421" s="7" t="inlineStr">
        <is>
          <t>MAT-32-244</t>
        </is>
      </c>
      <c r="B1421" s="4" t="inlineStr">
        <is>
          <t>Tapón hembra de HG 1/2"</t>
        </is>
      </c>
      <c r="C1421" s="7" t="inlineStr">
        <is>
          <t>unidad</t>
        </is>
      </c>
      <c r="D1421" s="8" t="n"/>
      <c r="E1421" s="8" t="n"/>
      <c r="F1421" s="8" t="n">
        <v>20</v>
      </c>
      <c r="G1421" s="8" t="n"/>
      <c r="H1421" s="8" t="n"/>
      <c r="I1421" s="8" t="n"/>
      <c r="J1421" s="8" t="n"/>
      <c r="K1421" s="8" t="n"/>
      <c r="L1421" s="8" t="n"/>
      <c r="M1421" s="8">
        <f>IF(COUNT(D1421:L1421)=0,"",MIN(D1421:L1421))</f>
        <v/>
      </c>
      <c r="N1421" s="8">
        <f>IF(COUNT(D1421:L1421)=0,"",MEDIAN(D1421:L1421))</f>
        <v/>
      </c>
      <c r="O1421" s="8">
        <f>IF(COUNT(D1421:L1421)=0,"",MAX(D1421:L1421))</f>
        <v/>
      </c>
      <c r="P1421" s="9">
        <f>IF(OR(M1421="",M1421=0),"",(O1421-M1421)/M1421)</f>
        <v/>
      </c>
      <c r="Q1421" s="7">
        <f>IF(COUNT(D1421:L1421)=0,"",INDEX($D$1:$L$1,MATCH(MIN(D1421:L1421),D1421:L1421,0)))</f>
        <v/>
      </c>
      <c r="R1421" s="8" t="n">
        <v>20</v>
      </c>
      <c r="S1421" s="10" t="n">
        <v>1</v>
      </c>
    </row>
    <row r="1422">
      <c r="A1422" s="7" t="inlineStr">
        <is>
          <t>MAT-32-245</t>
        </is>
      </c>
      <c r="B1422" s="4" t="inlineStr">
        <is>
          <t>Tapón hembra de HG 1/4"</t>
        </is>
      </c>
      <c r="C1422" s="7" t="inlineStr">
        <is>
          <t>unidad</t>
        </is>
      </c>
      <c r="D1422" s="8" t="n"/>
      <c r="E1422" s="8" t="n"/>
      <c r="F1422" s="8" t="n">
        <v>35</v>
      </c>
      <c r="G1422" s="8" t="n"/>
      <c r="H1422" s="8" t="n"/>
      <c r="I1422" s="8" t="n"/>
      <c r="J1422" s="8" t="n"/>
      <c r="K1422" s="8" t="n"/>
      <c r="L1422" s="8" t="n"/>
      <c r="M1422" s="8">
        <f>IF(COUNT(D1422:L1422)=0,"",MIN(D1422:L1422))</f>
        <v/>
      </c>
      <c r="N1422" s="8">
        <f>IF(COUNT(D1422:L1422)=0,"",MEDIAN(D1422:L1422))</f>
        <v/>
      </c>
      <c r="O1422" s="8">
        <f>IF(COUNT(D1422:L1422)=0,"",MAX(D1422:L1422))</f>
        <v/>
      </c>
      <c r="P1422" s="9">
        <f>IF(OR(M1422="",M1422=0),"",(O1422-M1422)/M1422)</f>
        <v/>
      </c>
      <c r="Q1422" s="7">
        <f>IF(COUNT(D1422:L1422)=0,"",INDEX($D$1:$L$1,MATCH(MIN(D1422:L1422),D1422:L1422,0)))</f>
        <v/>
      </c>
      <c r="R1422" s="8" t="n">
        <v>35</v>
      </c>
      <c r="S1422" s="10" t="n">
        <v>1</v>
      </c>
    </row>
    <row r="1423">
      <c r="A1423" s="7" t="inlineStr">
        <is>
          <t>MAT-32-246</t>
        </is>
      </c>
      <c r="B1423" s="4" t="inlineStr">
        <is>
          <t>Tapón hembra de HG 1"</t>
        </is>
      </c>
      <c r="C1423" s="7" t="inlineStr">
        <is>
          <t>unidad</t>
        </is>
      </c>
      <c r="D1423" s="8" t="n"/>
      <c r="E1423" s="8" t="n"/>
      <c r="F1423" s="8" t="n">
        <v>44</v>
      </c>
      <c r="G1423" s="8" t="n"/>
      <c r="H1423" s="8" t="n"/>
      <c r="I1423" s="8" t="n"/>
      <c r="J1423" s="8" t="n"/>
      <c r="K1423" s="8" t="n"/>
      <c r="L1423" s="8" t="n"/>
      <c r="M1423" s="8">
        <f>IF(COUNT(D1423:L1423)=0,"",MIN(D1423:L1423))</f>
        <v/>
      </c>
      <c r="N1423" s="8">
        <f>IF(COUNT(D1423:L1423)=0,"",MEDIAN(D1423:L1423))</f>
        <v/>
      </c>
      <c r="O1423" s="8">
        <f>IF(COUNT(D1423:L1423)=0,"",MAX(D1423:L1423))</f>
        <v/>
      </c>
      <c r="P1423" s="9">
        <f>IF(OR(M1423="",M1423=0),"",(O1423-M1423)/M1423)</f>
        <v/>
      </c>
      <c r="Q1423" s="7">
        <f>IF(COUNT(D1423:L1423)=0,"",INDEX($D$1:$L$1,MATCH(MIN(D1423:L1423),D1423:L1423,0)))</f>
        <v/>
      </c>
      <c r="R1423" s="8" t="n">
        <v>44</v>
      </c>
      <c r="S1423" s="10" t="n">
        <v>1</v>
      </c>
    </row>
    <row r="1424">
      <c r="A1424" s="7" t="inlineStr">
        <is>
          <t>MAT-32-247</t>
        </is>
      </c>
      <c r="B1424" s="4" t="inlineStr">
        <is>
          <t>Tapón hembra de HG 2"</t>
        </is>
      </c>
      <c r="C1424" s="7" t="inlineStr">
        <is>
          <t>unidad</t>
        </is>
      </c>
      <c r="D1424" s="8" t="n"/>
      <c r="E1424" s="8" t="n"/>
      <c r="F1424" s="8" t="n">
        <v>189</v>
      </c>
      <c r="G1424" s="8" t="n"/>
      <c r="H1424" s="8" t="n"/>
      <c r="I1424" s="8" t="n"/>
      <c r="J1424" s="8" t="n"/>
      <c r="K1424" s="8" t="n"/>
      <c r="L1424" s="8" t="n"/>
      <c r="M1424" s="8">
        <f>IF(COUNT(D1424:L1424)=0,"",MIN(D1424:L1424))</f>
        <v/>
      </c>
      <c r="N1424" s="8">
        <f>IF(COUNT(D1424:L1424)=0,"",MEDIAN(D1424:L1424))</f>
        <v/>
      </c>
      <c r="O1424" s="8">
        <f>IF(COUNT(D1424:L1424)=0,"",MAX(D1424:L1424))</f>
        <v/>
      </c>
      <c r="P1424" s="9">
        <f>IF(OR(M1424="",M1424=0),"",(O1424-M1424)/M1424)</f>
        <v/>
      </c>
      <c r="Q1424" s="7">
        <f>IF(COUNT(D1424:L1424)=0,"",INDEX($D$1:$L$1,MATCH(MIN(D1424:L1424),D1424:L1424,0)))</f>
        <v/>
      </c>
      <c r="R1424" s="8" t="n">
        <v>189</v>
      </c>
      <c r="S1424" s="10" t="n">
        <v>1</v>
      </c>
    </row>
    <row r="1425">
      <c r="A1425" s="7" t="inlineStr">
        <is>
          <t>MAT-32-248</t>
        </is>
      </c>
      <c r="B1425" s="4" t="inlineStr">
        <is>
          <t>Tapón hembra de PPR 20 mm</t>
        </is>
      </c>
      <c r="C1425" s="7" t="inlineStr">
        <is>
          <t>unidad</t>
        </is>
      </c>
      <c r="D1425" s="8" t="n"/>
      <c r="E1425" s="8" t="n"/>
      <c r="F1425" s="8" t="n">
        <v>31</v>
      </c>
      <c r="G1425" s="8" t="n"/>
      <c r="H1425" s="8" t="n"/>
      <c r="I1425" s="8" t="n"/>
      <c r="J1425" s="8" t="n"/>
      <c r="K1425" s="8" t="n"/>
      <c r="L1425" s="8" t="n"/>
      <c r="M1425" s="8">
        <f>IF(COUNT(D1425:L1425)=0,"",MIN(D1425:L1425))</f>
        <v/>
      </c>
      <c r="N1425" s="8">
        <f>IF(COUNT(D1425:L1425)=0,"",MEDIAN(D1425:L1425))</f>
        <v/>
      </c>
      <c r="O1425" s="8">
        <f>IF(COUNT(D1425:L1425)=0,"",MAX(D1425:L1425))</f>
        <v/>
      </c>
      <c r="P1425" s="9">
        <f>IF(OR(M1425="",M1425=0),"",(O1425-M1425)/M1425)</f>
        <v/>
      </c>
      <c r="Q1425" s="7">
        <f>IF(COUNT(D1425:L1425)=0,"",INDEX($D$1:$L$1,MATCH(MIN(D1425:L1425),D1425:L1425,0)))</f>
        <v/>
      </c>
      <c r="R1425" s="8" t="n">
        <v>31</v>
      </c>
      <c r="S1425" s="10" t="n">
        <v>1</v>
      </c>
    </row>
    <row r="1426">
      <c r="A1426" s="7" t="inlineStr">
        <is>
          <t>MAT-32-249</t>
        </is>
      </c>
      <c r="B1426" s="4" t="inlineStr">
        <is>
          <t>Tapón hembra de PVC presión 1 1/2"</t>
        </is>
      </c>
      <c r="C1426" s="7" t="inlineStr">
        <is>
          <t>unidad</t>
        </is>
      </c>
      <c r="D1426" s="8" t="n"/>
      <c r="E1426" s="8" t="n"/>
      <c r="F1426" s="8" t="n">
        <v>50</v>
      </c>
      <c r="G1426" s="8" t="n"/>
      <c r="H1426" s="8" t="n"/>
      <c r="I1426" s="8" t="n"/>
      <c r="J1426" s="8" t="n"/>
      <c r="K1426" s="8" t="n"/>
      <c r="L1426" s="8" t="n"/>
      <c r="M1426" s="8">
        <f>IF(COUNT(D1426:L1426)=0,"",MIN(D1426:L1426))</f>
        <v/>
      </c>
      <c r="N1426" s="8">
        <f>IF(COUNT(D1426:L1426)=0,"",MEDIAN(D1426:L1426))</f>
        <v/>
      </c>
      <c r="O1426" s="8">
        <f>IF(COUNT(D1426:L1426)=0,"",MAX(D1426:L1426))</f>
        <v/>
      </c>
      <c r="P1426" s="9">
        <f>IF(OR(M1426="",M1426=0),"",(O1426-M1426)/M1426)</f>
        <v/>
      </c>
      <c r="Q1426" s="7">
        <f>IF(COUNT(D1426:L1426)=0,"",INDEX($D$1:$L$1,MATCH(MIN(D1426:L1426),D1426:L1426,0)))</f>
        <v/>
      </c>
      <c r="R1426" s="8" t="n">
        <v>50</v>
      </c>
      <c r="S1426" s="10" t="n">
        <v>1</v>
      </c>
    </row>
    <row r="1427">
      <c r="A1427" s="7" t="inlineStr">
        <is>
          <t>MAT-32-250</t>
        </is>
      </c>
      <c r="B1427" s="4" t="inlineStr">
        <is>
          <t>Tapón hembra de PVC presión 1/2"</t>
        </is>
      </c>
      <c r="C1427" s="7" t="inlineStr">
        <is>
          <t>unidad</t>
        </is>
      </c>
      <c r="D1427" s="8" t="n"/>
      <c r="E1427" s="8" t="n"/>
      <c r="F1427" s="8" t="n">
        <v>18</v>
      </c>
      <c r="G1427" s="8" t="n"/>
      <c r="H1427" s="8" t="n"/>
      <c r="I1427" s="8" t="n"/>
      <c r="J1427" s="8" t="n"/>
      <c r="K1427" s="8" t="n"/>
      <c r="L1427" s="8" t="n"/>
      <c r="M1427" s="8">
        <f>IF(COUNT(D1427:L1427)=0,"",MIN(D1427:L1427))</f>
        <v/>
      </c>
      <c r="N1427" s="8">
        <f>IF(COUNT(D1427:L1427)=0,"",MEDIAN(D1427:L1427))</f>
        <v/>
      </c>
      <c r="O1427" s="8">
        <f>IF(COUNT(D1427:L1427)=0,"",MAX(D1427:L1427))</f>
        <v/>
      </c>
      <c r="P1427" s="9">
        <f>IF(OR(M1427="",M1427=0),"",(O1427-M1427)/M1427)</f>
        <v/>
      </c>
      <c r="Q1427" s="7">
        <f>IF(COUNT(D1427:L1427)=0,"",INDEX($D$1:$L$1,MATCH(MIN(D1427:L1427),D1427:L1427,0)))</f>
        <v/>
      </c>
      <c r="R1427" s="8" t="n">
        <v>24.5</v>
      </c>
      <c r="S1427" s="10" t="n">
        <v>1</v>
      </c>
    </row>
    <row r="1428">
      <c r="A1428" s="7" t="inlineStr">
        <is>
          <t>MAT-32-251</t>
        </is>
      </c>
      <c r="B1428" s="4" t="inlineStr">
        <is>
          <t>Tapón hembra de PVC presión 1"</t>
        </is>
      </c>
      <c r="C1428" s="7" t="inlineStr">
        <is>
          <t>unidad</t>
        </is>
      </c>
      <c r="D1428" s="8" t="n"/>
      <c r="E1428" s="8" t="n"/>
      <c r="F1428" s="8" t="n">
        <v>35</v>
      </c>
      <c r="G1428" s="8" t="n"/>
      <c r="H1428" s="8" t="n"/>
      <c r="I1428" s="8" t="n"/>
      <c r="J1428" s="8" t="n"/>
      <c r="K1428" s="8" t="n"/>
      <c r="L1428" s="8" t="n"/>
      <c r="M1428" s="8">
        <f>IF(COUNT(D1428:L1428)=0,"",MIN(D1428:L1428))</f>
        <v/>
      </c>
      <c r="N1428" s="8">
        <f>IF(COUNT(D1428:L1428)=0,"",MEDIAN(D1428:L1428))</f>
        <v/>
      </c>
      <c r="O1428" s="8">
        <f>IF(COUNT(D1428:L1428)=0,"",MAX(D1428:L1428))</f>
        <v/>
      </c>
      <c r="P1428" s="9">
        <f>IF(OR(M1428="",M1428=0),"",(O1428-M1428)/M1428)</f>
        <v/>
      </c>
      <c r="Q1428" s="7">
        <f>IF(COUNT(D1428:L1428)=0,"",INDEX($D$1:$L$1,MATCH(MIN(D1428:L1428),D1428:L1428,0)))</f>
        <v/>
      </c>
      <c r="R1428" s="8" t="n">
        <v>41.5</v>
      </c>
      <c r="S1428" s="10" t="n">
        <v>1</v>
      </c>
    </row>
    <row r="1429">
      <c r="A1429" s="7" t="inlineStr">
        <is>
          <t>MAT-32-252</t>
        </is>
      </c>
      <c r="B1429" s="4" t="inlineStr">
        <is>
          <t>Tapón hembra de PVC presión 3/4"</t>
        </is>
      </c>
      <c r="C1429" s="7" t="inlineStr">
        <is>
          <t>unidad</t>
        </is>
      </c>
      <c r="D1429" s="8" t="n"/>
      <c r="E1429" s="8" t="n"/>
      <c r="F1429" s="8" t="n">
        <v>20</v>
      </c>
      <c r="G1429" s="8" t="n"/>
      <c r="H1429" s="8" t="n"/>
      <c r="I1429" s="8" t="n"/>
      <c r="J1429" s="8" t="n"/>
      <c r="K1429" s="8" t="n"/>
      <c r="L1429" s="8" t="n"/>
      <c r="M1429" s="8">
        <f>IF(COUNT(D1429:L1429)=0,"",MIN(D1429:L1429))</f>
        <v/>
      </c>
      <c r="N1429" s="8">
        <f>IF(COUNT(D1429:L1429)=0,"",MEDIAN(D1429:L1429))</f>
        <v/>
      </c>
      <c r="O1429" s="8">
        <f>IF(COUNT(D1429:L1429)=0,"",MAX(D1429:L1429))</f>
        <v/>
      </c>
      <c r="P1429" s="9">
        <f>IF(OR(M1429="",M1429=0),"",(O1429-M1429)/M1429)</f>
        <v/>
      </c>
      <c r="Q1429" s="7">
        <f>IF(COUNT(D1429:L1429)=0,"",INDEX($D$1:$L$1,MATCH(MIN(D1429:L1429),D1429:L1429,0)))</f>
        <v/>
      </c>
      <c r="R1429" s="8" t="n">
        <v>20</v>
      </c>
      <c r="S1429" s="10" t="n">
        <v>1</v>
      </c>
    </row>
    <row r="1430">
      <c r="A1430" s="7" t="inlineStr">
        <is>
          <t>MAT-32-253</t>
        </is>
      </c>
      <c r="B1430" s="4" t="inlineStr">
        <is>
          <t>Tapón hembra de PVC presión 3"</t>
        </is>
      </c>
      <c r="C1430" s="7" t="inlineStr">
        <is>
          <t>unidad</t>
        </is>
      </c>
      <c r="D1430" s="8" t="n"/>
      <c r="E1430" s="8" t="n"/>
      <c r="F1430" s="8" t="n">
        <v>205</v>
      </c>
      <c r="G1430" s="8" t="n"/>
      <c r="H1430" s="8" t="n"/>
      <c r="I1430" s="8" t="n"/>
      <c r="J1430" s="8" t="n"/>
      <c r="K1430" s="8" t="n"/>
      <c r="L1430" s="8" t="n"/>
      <c r="M1430" s="8">
        <f>IF(COUNT(D1430:L1430)=0,"",MIN(D1430:L1430))</f>
        <v/>
      </c>
      <c r="N1430" s="8">
        <f>IF(COUNT(D1430:L1430)=0,"",MEDIAN(D1430:L1430))</f>
        <v/>
      </c>
      <c r="O1430" s="8">
        <f>IF(COUNT(D1430:L1430)=0,"",MAX(D1430:L1430))</f>
        <v/>
      </c>
      <c r="P1430" s="9">
        <f>IF(OR(M1430="",M1430=0),"",(O1430-M1430)/M1430)</f>
        <v/>
      </c>
      <c r="Q1430" s="7">
        <f>IF(COUNT(D1430:L1430)=0,"",INDEX($D$1:$L$1,MATCH(MIN(D1430:L1430),D1430:L1430,0)))</f>
        <v/>
      </c>
      <c r="R1430" s="8" t="n">
        <v>205</v>
      </c>
      <c r="S1430" s="10" t="n">
        <v>1</v>
      </c>
    </row>
    <row r="1431">
      <c r="A1431" s="7" t="inlineStr">
        <is>
          <t>MAT-32-254</t>
        </is>
      </c>
      <c r="B1431" s="4" t="inlineStr">
        <is>
          <t>Tapón macho de HG 1 1/2"</t>
        </is>
      </c>
      <c r="C1431" s="7" t="inlineStr">
        <is>
          <t>unidad</t>
        </is>
      </c>
      <c r="D1431" s="8" t="n"/>
      <c r="E1431" s="8" t="n"/>
      <c r="F1431" s="8" t="n">
        <v>100</v>
      </c>
      <c r="G1431" s="8" t="n"/>
      <c r="H1431" s="8" t="n"/>
      <c r="I1431" s="8" t="n"/>
      <c r="J1431" s="8" t="n"/>
      <c r="K1431" s="8" t="n"/>
      <c r="L1431" s="8" t="n"/>
      <c r="M1431" s="8">
        <f>IF(COUNT(D1431:L1431)=0,"",MIN(D1431:L1431))</f>
        <v/>
      </c>
      <c r="N1431" s="8">
        <f>IF(COUNT(D1431:L1431)=0,"",MEDIAN(D1431:L1431))</f>
        <v/>
      </c>
      <c r="O1431" s="8">
        <f>IF(COUNT(D1431:L1431)=0,"",MAX(D1431:L1431))</f>
        <v/>
      </c>
      <c r="P1431" s="9">
        <f>IF(OR(M1431="",M1431=0),"",(O1431-M1431)/M1431)</f>
        <v/>
      </c>
      <c r="Q1431" s="7">
        <f>IF(COUNT(D1431:L1431)=0,"",INDEX($D$1:$L$1,MATCH(MIN(D1431:L1431),D1431:L1431,0)))</f>
        <v/>
      </c>
      <c r="R1431" s="8" t="n">
        <v>100</v>
      </c>
      <c r="S1431" s="10" t="n">
        <v>1</v>
      </c>
    </row>
    <row r="1432">
      <c r="A1432" s="7" t="inlineStr">
        <is>
          <t>MAT-32-255</t>
        </is>
      </c>
      <c r="B1432" s="4" t="inlineStr">
        <is>
          <t>Tapón macho de HG 1 1/4"</t>
        </is>
      </c>
      <c r="C1432" s="7" t="inlineStr">
        <is>
          <t>unidad</t>
        </is>
      </c>
      <c r="D1432" s="8" t="n"/>
      <c r="E1432" s="8" t="n"/>
      <c r="F1432" s="8" t="n">
        <v>141</v>
      </c>
      <c r="G1432" s="8" t="n"/>
      <c r="H1432" s="8" t="n"/>
      <c r="I1432" s="8" t="n"/>
      <c r="J1432" s="8" t="n"/>
      <c r="K1432" s="8" t="n"/>
      <c r="L1432" s="8" t="n"/>
      <c r="M1432" s="8">
        <f>IF(COUNT(D1432:L1432)=0,"",MIN(D1432:L1432))</f>
        <v/>
      </c>
      <c r="N1432" s="8">
        <f>IF(COUNT(D1432:L1432)=0,"",MEDIAN(D1432:L1432))</f>
        <v/>
      </c>
      <c r="O1432" s="8">
        <f>IF(COUNT(D1432:L1432)=0,"",MAX(D1432:L1432))</f>
        <v/>
      </c>
      <c r="P1432" s="9">
        <f>IF(OR(M1432="",M1432=0),"",(O1432-M1432)/M1432)</f>
        <v/>
      </c>
      <c r="Q1432" s="7">
        <f>IF(COUNT(D1432:L1432)=0,"",INDEX($D$1:$L$1,MATCH(MIN(D1432:L1432),D1432:L1432,0)))</f>
        <v/>
      </c>
      <c r="R1432" s="8" t="n">
        <v>141</v>
      </c>
      <c r="S1432" s="10" t="n">
        <v>1</v>
      </c>
    </row>
    <row r="1433">
      <c r="A1433" s="7" t="inlineStr">
        <is>
          <t>MAT-32-256</t>
        </is>
      </c>
      <c r="B1433" s="4" t="inlineStr">
        <is>
          <t>Tapón macho de HG 1/2"</t>
        </is>
      </c>
      <c r="C1433" s="7" t="inlineStr">
        <is>
          <t>unidad</t>
        </is>
      </c>
      <c r="D1433" s="8" t="n"/>
      <c r="E1433" s="8" t="n"/>
      <c r="F1433" s="8" t="n">
        <v>15</v>
      </c>
      <c r="G1433" s="8" t="n"/>
      <c r="H1433" s="8" t="n"/>
      <c r="I1433" s="8" t="n"/>
      <c r="J1433" s="8" t="n"/>
      <c r="K1433" s="8" t="n"/>
      <c r="L1433" s="8" t="n"/>
      <c r="M1433" s="8">
        <f>IF(COUNT(D1433:L1433)=0,"",MIN(D1433:L1433))</f>
        <v/>
      </c>
      <c r="N1433" s="8">
        <f>IF(COUNT(D1433:L1433)=0,"",MEDIAN(D1433:L1433))</f>
        <v/>
      </c>
      <c r="O1433" s="8">
        <f>IF(COUNT(D1433:L1433)=0,"",MAX(D1433:L1433))</f>
        <v/>
      </c>
      <c r="P1433" s="9">
        <f>IF(OR(M1433="",M1433=0),"",(O1433-M1433)/M1433)</f>
        <v/>
      </c>
      <c r="Q1433" s="7">
        <f>IF(COUNT(D1433:L1433)=0,"",INDEX($D$1:$L$1,MATCH(MIN(D1433:L1433),D1433:L1433,0)))</f>
        <v/>
      </c>
      <c r="R1433" s="8" t="n">
        <v>15</v>
      </c>
      <c r="S1433" s="10" t="n">
        <v>1</v>
      </c>
    </row>
    <row r="1434">
      <c r="A1434" s="7" t="inlineStr">
        <is>
          <t>MAT-32-257</t>
        </is>
      </c>
      <c r="B1434" s="4" t="inlineStr">
        <is>
          <t>Tapón macho de HG 1/4"</t>
        </is>
      </c>
      <c r="C1434" s="7" t="inlineStr">
        <is>
          <t>unidad</t>
        </is>
      </c>
      <c r="D1434" s="8" t="n"/>
      <c r="E1434" s="8" t="n"/>
      <c r="F1434" s="8" t="n">
        <v>23</v>
      </c>
      <c r="G1434" s="8" t="n"/>
      <c r="H1434" s="8" t="n"/>
      <c r="I1434" s="8" t="n"/>
      <c r="J1434" s="8" t="n"/>
      <c r="K1434" s="8" t="n"/>
      <c r="L1434" s="8" t="n"/>
      <c r="M1434" s="8">
        <f>IF(COUNT(D1434:L1434)=0,"",MIN(D1434:L1434))</f>
        <v/>
      </c>
      <c r="N1434" s="8">
        <f>IF(COUNT(D1434:L1434)=0,"",MEDIAN(D1434:L1434))</f>
        <v/>
      </c>
      <c r="O1434" s="8">
        <f>IF(COUNT(D1434:L1434)=0,"",MAX(D1434:L1434))</f>
        <v/>
      </c>
      <c r="P1434" s="9">
        <f>IF(OR(M1434="",M1434=0),"",(O1434-M1434)/M1434)</f>
        <v/>
      </c>
      <c r="Q1434" s="7">
        <f>IF(COUNT(D1434:L1434)=0,"",INDEX($D$1:$L$1,MATCH(MIN(D1434:L1434),D1434:L1434,0)))</f>
        <v/>
      </c>
      <c r="R1434" s="8" t="n">
        <v>23</v>
      </c>
      <c r="S1434" s="10" t="n">
        <v>1</v>
      </c>
    </row>
    <row r="1435">
      <c r="A1435" s="7" t="inlineStr">
        <is>
          <t>MAT-32-258</t>
        </is>
      </c>
      <c r="B1435" s="4" t="inlineStr">
        <is>
          <t>Tapón macho de HG 1"</t>
        </is>
      </c>
      <c r="C1435" s="7" t="inlineStr">
        <is>
          <t>unidad</t>
        </is>
      </c>
      <c r="D1435" s="8" t="n"/>
      <c r="E1435" s="8" t="n"/>
      <c r="F1435" s="8" t="n">
        <v>101</v>
      </c>
      <c r="G1435" s="8" t="n"/>
      <c r="H1435" s="8" t="n"/>
      <c r="I1435" s="8" t="n"/>
      <c r="J1435" s="8" t="n"/>
      <c r="K1435" s="8" t="n"/>
      <c r="L1435" s="8" t="n"/>
      <c r="M1435" s="8">
        <f>IF(COUNT(D1435:L1435)=0,"",MIN(D1435:L1435))</f>
        <v/>
      </c>
      <c r="N1435" s="8">
        <f>IF(COUNT(D1435:L1435)=0,"",MEDIAN(D1435:L1435))</f>
        <v/>
      </c>
      <c r="O1435" s="8">
        <f>IF(COUNT(D1435:L1435)=0,"",MAX(D1435:L1435))</f>
        <v/>
      </c>
      <c r="P1435" s="9">
        <f>IF(OR(M1435="",M1435=0),"",(O1435-M1435)/M1435)</f>
        <v/>
      </c>
      <c r="Q1435" s="7">
        <f>IF(COUNT(D1435:L1435)=0,"",INDEX($D$1:$L$1,MATCH(MIN(D1435:L1435),D1435:L1435,0)))</f>
        <v/>
      </c>
      <c r="R1435" s="8" t="n">
        <v>101</v>
      </c>
      <c r="S1435" s="10" t="n">
        <v>1</v>
      </c>
    </row>
    <row r="1436">
      <c r="A1436" s="7" t="inlineStr">
        <is>
          <t>MAT-32-259</t>
        </is>
      </c>
      <c r="B1436" s="4" t="inlineStr">
        <is>
          <t>Tapón macho de HG 3/4"</t>
        </is>
      </c>
      <c r="C1436" s="7" t="inlineStr">
        <is>
          <t>unidad</t>
        </is>
      </c>
      <c r="D1436" s="8" t="n"/>
      <c r="E1436" s="8" t="n"/>
      <c r="F1436" s="8" t="n">
        <v>33</v>
      </c>
      <c r="G1436" s="8" t="n"/>
      <c r="H1436" s="8" t="n"/>
      <c r="I1436" s="8" t="n"/>
      <c r="J1436" s="8" t="n"/>
      <c r="K1436" s="8" t="n"/>
      <c r="L1436" s="8" t="n"/>
      <c r="M1436" s="8">
        <f>IF(COUNT(D1436:L1436)=0,"",MIN(D1436:L1436))</f>
        <v/>
      </c>
      <c r="N1436" s="8">
        <f>IF(COUNT(D1436:L1436)=0,"",MEDIAN(D1436:L1436))</f>
        <v/>
      </c>
      <c r="O1436" s="8">
        <f>IF(COUNT(D1436:L1436)=0,"",MAX(D1436:L1436))</f>
        <v/>
      </c>
      <c r="P1436" s="9">
        <f>IF(OR(M1436="",M1436=0),"",(O1436-M1436)/M1436)</f>
        <v/>
      </c>
      <c r="Q1436" s="7">
        <f>IF(COUNT(D1436:L1436)=0,"",INDEX($D$1:$L$1,MATCH(MIN(D1436:L1436),D1436:L1436,0)))</f>
        <v/>
      </c>
      <c r="R1436" s="8" t="n">
        <v>33</v>
      </c>
      <c r="S1436" s="10" t="n">
        <v>1</v>
      </c>
    </row>
    <row r="1437">
      <c r="A1437" s="7" t="inlineStr">
        <is>
          <t>MAT-32-260</t>
        </is>
      </c>
      <c r="B1437" s="4" t="inlineStr">
        <is>
          <t>Tapón macho de HG 3/8"</t>
        </is>
      </c>
      <c r="C1437" s="7" t="inlineStr">
        <is>
          <t>unidad</t>
        </is>
      </c>
      <c r="D1437" s="8" t="n"/>
      <c r="E1437" s="8" t="n"/>
      <c r="F1437" s="8" t="n">
        <v>22</v>
      </c>
      <c r="G1437" s="8" t="n"/>
      <c r="H1437" s="8" t="n"/>
      <c r="I1437" s="8" t="n"/>
      <c r="J1437" s="8" t="n"/>
      <c r="K1437" s="8" t="n"/>
      <c r="L1437" s="8" t="n"/>
      <c r="M1437" s="8">
        <f>IF(COUNT(D1437:L1437)=0,"",MIN(D1437:L1437))</f>
        <v/>
      </c>
      <c r="N1437" s="8">
        <f>IF(COUNT(D1437:L1437)=0,"",MEDIAN(D1437:L1437))</f>
        <v/>
      </c>
      <c r="O1437" s="8">
        <f>IF(COUNT(D1437:L1437)=0,"",MAX(D1437:L1437))</f>
        <v/>
      </c>
      <c r="P1437" s="9">
        <f>IF(OR(M1437="",M1437=0),"",(O1437-M1437)/M1437)</f>
        <v/>
      </c>
      <c r="Q1437" s="7">
        <f>IF(COUNT(D1437:L1437)=0,"",INDEX($D$1:$L$1,MATCH(MIN(D1437:L1437),D1437:L1437,0)))</f>
        <v/>
      </c>
      <c r="R1437" s="8" t="n">
        <v>22</v>
      </c>
      <c r="S1437" s="10" t="n">
        <v>1</v>
      </c>
    </row>
    <row r="1438">
      <c r="A1438" s="7" t="inlineStr">
        <is>
          <t>MAT-32-261</t>
        </is>
      </c>
      <c r="B1438" s="4" t="inlineStr">
        <is>
          <t>Tapón macho de HG 3"</t>
        </is>
      </c>
      <c r="C1438" s="7" t="inlineStr">
        <is>
          <t>unidad</t>
        </is>
      </c>
      <c r="D1438" s="8" t="n"/>
      <c r="E1438" s="8" t="n"/>
      <c r="F1438" s="8" t="n">
        <v>206</v>
      </c>
      <c r="G1438" s="8" t="n"/>
      <c r="H1438" s="8" t="n"/>
      <c r="I1438" s="8" t="n"/>
      <c r="J1438" s="8" t="n"/>
      <c r="K1438" s="8" t="n"/>
      <c r="L1438" s="8" t="n"/>
      <c r="M1438" s="8">
        <f>IF(COUNT(D1438:L1438)=0,"",MIN(D1438:L1438))</f>
        <v/>
      </c>
      <c r="N1438" s="8">
        <f>IF(COUNT(D1438:L1438)=0,"",MEDIAN(D1438:L1438))</f>
        <v/>
      </c>
      <c r="O1438" s="8">
        <f>IF(COUNT(D1438:L1438)=0,"",MAX(D1438:L1438))</f>
        <v/>
      </c>
      <c r="P1438" s="9">
        <f>IF(OR(M1438="",M1438=0),"",(O1438-M1438)/M1438)</f>
        <v/>
      </c>
      <c r="Q1438" s="7">
        <f>IF(COUNT(D1438:L1438)=0,"",INDEX($D$1:$L$1,MATCH(MIN(D1438:L1438),D1438:L1438,0)))</f>
        <v/>
      </c>
      <c r="R1438" s="8" t="n">
        <v>206</v>
      </c>
      <c r="S1438" s="10" t="n">
        <v>1</v>
      </c>
    </row>
    <row r="1439">
      <c r="A1439" s="7" t="inlineStr">
        <is>
          <t>MAT-32-262</t>
        </is>
      </c>
      <c r="B1439" s="4" t="inlineStr">
        <is>
          <t>Tapón macho de PVC 1"</t>
        </is>
      </c>
      <c r="C1439" s="7" t="inlineStr">
        <is>
          <t>unidad</t>
        </is>
      </c>
      <c r="D1439" s="8" t="n"/>
      <c r="E1439" s="8" t="n"/>
      <c r="F1439" s="8" t="n">
        <v>62</v>
      </c>
      <c r="G1439" s="8" t="n"/>
      <c r="H1439" s="8" t="n"/>
      <c r="I1439" s="8" t="n"/>
      <c r="J1439" s="8" t="n"/>
      <c r="K1439" s="8" t="n"/>
      <c r="L1439" s="8" t="n"/>
      <c r="M1439" s="8">
        <f>IF(COUNT(D1439:L1439)=0,"",MIN(D1439:L1439))</f>
        <v/>
      </c>
      <c r="N1439" s="8">
        <f>IF(COUNT(D1439:L1439)=0,"",MEDIAN(D1439:L1439))</f>
        <v/>
      </c>
      <c r="O1439" s="8">
        <f>IF(COUNT(D1439:L1439)=0,"",MAX(D1439:L1439))</f>
        <v/>
      </c>
      <c r="P1439" s="9">
        <f>IF(OR(M1439="",M1439=0),"",(O1439-M1439)/M1439)</f>
        <v/>
      </c>
      <c r="Q1439" s="7">
        <f>IF(COUNT(D1439:L1439)=0,"",INDEX($D$1:$L$1,MATCH(MIN(D1439:L1439),D1439:L1439,0)))</f>
        <v/>
      </c>
      <c r="R1439" s="8" t="n">
        <v>62</v>
      </c>
      <c r="S1439" s="10" t="n">
        <v>1</v>
      </c>
    </row>
    <row r="1440">
      <c r="A1440" s="7" t="inlineStr">
        <is>
          <t>MAT-32-263</t>
        </is>
      </c>
      <c r="B1440" s="4" t="inlineStr">
        <is>
          <t>Tapón de PVC 1 1/2"</t>
        </is>
      </c>
      <c r="C1440" s="7" t="inlineStr">
        <is>
          <t>unidad</t>
        </is>
      </c>
      <c r="D1440" s="8" t="n"/>
      <c r="E1440" s="8" t="n"/>
      <c r="F1440" s="8" t="n">
        <v>101</v>
      </c>
      <c r="G1440" s="8" t="n"/>
      <c r="H1440" s="8" t="n"/>
      <c r="I1440" s="8" t="n"/>
      <c r="J1440" s="8" t="n"/>
      <c r="K1440" s="8" t="n"/>
      <c r="L1440" s="8" t="n"/>
      <c r="M1440" s="8">
        <f>IF(COUNT(D1440:L1440)=0,"",MIN(D1440:L1440))</f>
        <v/>
      </c>
      <c r="N1440" s="8">
        <f>IF(COUNT(D1440:L1440)=0,"",MEDIAN(D1440:L1440))</f>
        <v/>
      </c>
      <c r="O1440" s="8">
        <f>IF(COUNT(D1440:L1440)=0,"",MAX(D1440:L1440))</f>
        <v/>
      </c>
      <c r="P1440" s="9">
        <f>IF(OR(M1440="",M1440=0),"",(O1440-M1440)/M1440)</f>
        <v/>
      </c>
      <c r="Q1440" s="7">
        <f>IF(COUNT(D1440:L1440)=0,"",INDEX($D$1:$L$1,MATCH(MIN(D1440:L1440),D1440:L1440,0)))</f>
        <v/>
      </c>
      <c r="R1440" s="8" t="n">
        <v>101</v>
      </c>
      <c r="S1440" s="10" t="n">
        <v>1</v>
      </c>
    </row>
    <row r="1441">
      <c r="A1441" s="7" t="inlineStr">
        <is>
          <t>MAT-32-264</t>
        </is>
      </c>
      <c r="B1441" s="4" t="inlineStr">
        <is>
          <t>Tapón de PVC 2"</t>
        </is>
      </c>
      <c r="C1441" s="7" t="inlineStr">
        <is>
          <t>unidad</t>
        </is>
      </c>
      <c r="D1441" s="8" t="n"/>
      <c r="E1441" s="8" t="n"/>
      <c r="F1441" s="8" t="n">
        <v>135</v>
      </c>
      <c r="G1441" s="8" t="n"/>
      <c r="H1441" s="8" t="n"/>
      <c r="I1441" s="8" t="n"/>
      <c r="J1441" s="8" t="n"/>
      <c r="K1441" s="8" t="n"/>
      <c r="L1441" s="8" t="n"/>
      <c r="M1441" s="8">
        <f>IF(COUNT(D1441:L1441)=0,"",MIN(D1441:L1441))</f>
        <v/>
      </c>
      <c r="N1441" s="8">
        <f>IF(COUNT(D1441:L1441)=0,"",MEDIAN(D1441:L1441))</f>
        <v/>
      </c>
      <c r="O1441" s="8">
        <f>IF(COUNT(D1441:L1441)=0,"",MAX(D1441:L1441))</f>
        <v/>
      </c>
      <c r="P1441" s="9">
        <f>IF(OR(M1441="",M1441=0),"",(O1441-M1441)/M1441)</f>
        <v/>
      </c>
      <c r="Q1441" s="7">
        <f>IF(COUNT(D1441:L1441)=0,"",INDEX($D$1:$L$1,MATCH(MIN(D1441:L1441),D1441:L1441,0)))</f>
        <v/>
      </c>
      <c r="R1441" s="8" t="n">
        <v>135</v>
      </c>
      <c r="S1441" s="10" t="n">
        <v>1</v>
      </c>
    </row>
    <row r="1442">
      <c r="A1442" s="7" t="inlineStr">
        <is>
          <t>MAT-32-265</t>
        </is>
      </c>
      <c r="B1442" s="4" t="inlineStr">
        <is>
          <t>Tapón de PVC 3"</t>
        </is>
      </c>
      <c r="C1442" s="7" t="inlineStr">
        <is>
          <t>unidad</t>
        </is>
      </c>
      <c r="D1442" s="8" t="n"/>
      <c r="E1442" s="8" t="n"/>
      <c r="F1442" s="8" t="n">
        <v>263</v>
      </c>
      <c r="G1442" s="8" t="n"/>
      <c r="H1442" s="8" t="n"/>
      <c r="I1442" s="8" t="n"/>
      <c r="J1442" s="8" t="n"/>
      <c r="K1442" s="8" t="n"/>
      <c r="L1442" s="8" t="n"/>
      <c r="M1442" s="8">
        <f>IF(COUNT(D1442:L1442)=0,"",MIN(D1442:L1442))</f>
        <v/>
      </c>
      <c r="N1442" s="8">
        <f>IF(COUNT(D1442:L1442)=0,"",MEDIAN(D1442:L1442))</f>
        <v/>
      </c>
      <c r="O1442" s="8">
        <f>IF(COUNT(D1442:L1442)=0,"",MAX(D1442:L1442))</f>
        <v/>
      </c>
      <c r="P1442" s="9">
        <f>IF(OR(M1442="",M1442=0),"",(O1442-M1442)/M1442)</f>
        <v/>
      </c>
      <c r="Q1442" s="7">
        <f>IF(COUNT(D1442:L1442)=0,"",INDEX($D$1:$L$1,MATCH(MIN(D1442:L1442),D1442:L1442,0)))</f>
        <v/>
      </c>
      <c r="R1442" s="8" t="n">
        <v>263</v>
      </c>
      <c r="S1442" s="10" t="n">
        <v>1</v>
      </c>
    </row>
    <row r="1443">
      <c r="A1443" s="7" t="inlineStr">
        <is>
          <t>MAT-32-266</t>
        </is>
      </c>
      <c r="B1443" s="4" t="inlineStr">
        <is>
          <t>Tapón de PVC 4"</t>
        </is>
      </c>
      <c r="C1443" s="7" t="inlineStr">
        <is>
          <t>unidad</t>
        </is>
      </c>
      <c r="D1443" s="8" t="n"/>
      <c r="E1443" s="8" t="n"/>
      <c r="F1443" s="8" t="n">
        <v>372</v>
      </c>
      <c r="G1443" s="8" t="n"/>
      <c r="H1443" s="8" t="n"/>
      <c r="I1443" s="8" t="n"/>
      <c r="J1443" s="8" t="n"/>
      <c r="K1443" s="8" t="n"/>
      <c r="L1443" s="8" t="n"/>
      <c r="M1443" s="8">
        <f>IF(COUNT(D1443:L1443)=0,"",MIN(D1443:L1443))</f>
        <v/>
      </c>
      <c r="N1443" s="8">
        <f>IF(COUNT(D1443:L1443)=0,"",MEDIAN(D1443:L1443))</f>
        <v/>
      </c>
      <c r="O1443" s="8">
        <f>IF(COUNT(D1443:L1443)=0,"",MAX(D1443:L1443))</f>
        <v/>
      </c>
      <c r="P1443" s="9">
        <f>IF(OR(M1443="",M1443=0),"",(O1443-M1443)/M1443)</f>
        <v/>
      </c>
      <c r="Q1443" s="7">
        <f>IF(COUNT(D1443:L1443)=0,"",INDEX($D$1:$L$1,MATCH(MIN(D1443:L1443),D1443:L1443,0)))</f>
        <v/>
      </c>
      <c r="R1443" s="8" t="n">
        <v>372</v>
      </c>
      <c r="S1443" s="10" t="n">
        <v>1</v>
      </c>
    </row>
    <row r="1444">
      <c r="A1444" s="7" t="inlineStr">
        <is>
          <t>MAT-32-267</t>
        </is>
      </c>
      <c r="B1444" s="4" t="inlineStr">
        <is>
          <t>Tee de bronce 3/8"</t>
        </is>
      </c>
      <c r="C1444" s="7" t="inlineStr">
        <is>
          <t>unidad</t>
        </is>
      </c>
      <c r="D1444" s="8" t="n"/>
      <c r="E1444" s="8" t="n"/>
      <c r="F1444" s="8" t="n">
        <v>186</v>
      </c>
      <c r="G1444" s="8" t="n"/>
      <c r="H1444" s="8" t="n"/>
      <c r="I1444" s="8" t="n"/>
      <c r="J1444" s="8" t="n"/>
      <c r="K1444" s="8" t="n"/>
      <c r="L1444" s="8" t="n"/>
      <c r="M1444" s="8">
        <f>IF(COUNT(D1444:L1444)=0,"",MIN(D1444:L1444))</f>
        <v/>
      </c>
      <c r="N1444" s="8">
        <f>IF(COUNT(D1444:L1444)=0,"",MEDIAN(D1444:L1444))</f>
        <v/>
      </c>
      <c r="O1444" s="8">
        <f>IF(COUNT(D1444:L1444)=0,"",MAX(D1444:L1444))</f>
        <v/>
      </c>
      <c r="P1444" s="9">
        <f>IF(OR(M1444="",M1444=0),"",(O1444-M1444)/M1444)</f>
        <v/>
      </c>
      <c r="Q1444" s="7">
        <f>IF(COUNT(D1444:L1444)=0,"",INDEX($D$1:$L$1,MATCH(MIN(D1444:L1444),D1444:L1444,0)))</f>
        <v/>
      </c>
      <c r="R1444" s="8" t="n">
        <v>186</v>
      </c>
      <c r="S1444" s="10" t="n">
        <v>1</v>
      </c>
    </row>
    <row r="1445">
      <c r="A1445" s="7" t="inlineStr">
        <is>
          <t>MAT-32-268</t>
        </is>
      </c>
      <c r="B1445" s="4" t="inlineStr">
        <is>
          <t>Tee de cobre 3/8"</t>
        </is>
      </c>
      <c r="C1445" s="7" t="inlineStr">
        <is>
          <t>unidad</t>
        </is>
      </c>
      <c r="D1445" s="8" t="n"/>
      <c r="E1445" s="8" t="n"/>
      <c r="F1445" s="8" t="n">
        <v>256</v>
      </c>
      <c r="G1445" s="8" t="n"/>
      <c r="H1445" s="8" t="n"/>
      <c r="I1445" s="8" t="n"/>
      <c r="J1445" s="8" t="n"/>
      <c r="K1445" s="8" t="n"/>
      <c r="L1445" s="8" t="n"/>
      <c r="M1445" s="8">
        <f>IF(COUNT(D1445:L1445)=0,"",MIN(D1445:L1445))</f>
        <v/>
      </c>
      <c r="N1445" s="8">
        <f>IF(COUNT(D1445:L1445)=0,"",MEDIAN(D1445:L1445))</f>
        <v/>
      </c>
      <c r="O1445" s="8">
        <f>IF(COUNT(D1445:L1445)=0,"",MAX(D1445:L1445))</f>
        <v/>
      </c>
      <c r="P1445" s="9">
        <f>IF(OR(M1445="",M1445=0),"",(O1445-M1445)/M1445)</f>
        <v/>
      </c>
      <c r="Q1445" s="7">
        <f>IF(COUNT(D1445:L1445)=0,"",INDEX($D$1:$L$1,MATCH(MIN(D1445:L1445),D1445:L1445,0)))</f>
        <v/>
      </c>
      <c r="R1445" s="8" t="n">
        <v>256</v>
      </c>
      <c r="S1445" s="10" t="n">
        <v>1</v>
      </c>
    </row>
    <row r="1446">
      <c r="A1446" s="7" t="inlineStr">
        <is>
          <t>MAT-32-269</t>
        </is>
      </c>
      <c r="B1446" s="4" t="inlineStr">
        <is>
          <t>Tee de HG 1 1/2"</t>
        </is>
      </c>
      <c r="C1446" s="7" t="inlineStr">
        <is>
          <t>unidad</t>
        </is>
      </c>
      <c r="D1446" s="8" t="n"/>
      <c r="E1446" s="8" t="n"/>
      <c r="F1446" s="8" t="n">
        <v>277</v>
      </c>
      <c r="G1446" s="8" t="n"/>
      <c r="H1446" s="8" t="n"/>
      <c r="I1446" s="8" t="n"/>
      <c r="J1446" s="8" t="n"/>
      <c r="K1446" s="8" t="n"/>
      <c r="L1446" s="8" t="n"/>
      <c r="M1446" s="8">
        <f>IF(COUNT(D1446:L1446)=0,"",MIN(D1446:L1446))</f>
        <v/>
      </c>
      <c r="N1446" s="8">
        <f>IF(COUNT(D1446:L1446)=0,"",MEDIAN(D1446:L1446))</f>
        <v/>
      </c>
      <c r="O1446" s="8">
        <f>IF(COUNT(D1446:L1446)=0,"",MAX(D1446:L1446))</f>
        <v/>
      </c>
      <c r="P1446" s="9">
        <f>IF(OR(M1446="",M1446=0),"",(O1446-M1446)/M1446)</f>
        <v/>
      </c>
      <c r="Q1446" s="7">
        <f>IF(COUNT(D1446:L1446)=0,"",INDEX($D$1:$L$1,MATCH(MIN(D1446:L1446),D1446:L1446,0)))</f>
        <v/>
      </c>
      <c r="R1446" s="8" t="n">
        <v>277</v>
      </c>
      <c r="S1446" s="10" t="n">
        <v>1</v>
      </c>
    </row>
    <row r="1447">
      <c r="A1447" s="7" t="inlineStr">
        <is>
          <t>MAT-32-270</t>
        </is>
      </c>
      <c r="B1447" s="4" t="inlineStr">
        <is>
          <t>Tee de HG 1/2"</t>
        </is>
      </c>
      <c r="C1447" s="7" t="inlineStr">
        <is>
          <t>unidad</t>
        </is>
      </c>
      <c r="D1447" s="8" t="n"/>
      <c r="E1447" s="8" t="n"/>
      <c r="F1447" s="8" t="n">
        <v>40</v>
      </c>
      <c r="G1447" s="8" t="n"/>
      <c r="H1447" s="8" t="n"/>
      <c r="I1447" s="8" t="n"/>
      <c r="J1447" s="8" t="n"/>
      <c r="K1447" s="8" t="n"/>
      <c r="L1447" s="8" t="n"/>
      <c r="M1447" s="8">
        <f>IF(COUNT(D1447:L1447)=0,"",MIN(D1447:L1447))</f>
        <v/>
      </c>
      <c r="N1447" s="8">
        <f>IF(COUNT(D1447:L1447)=0,"",MEDIAN(D1447:L1447))</f>
        <v/>
      </c>
      <c r="O1447" s="8">
        <f>IF(COUNT(D1447:L1447)=0,"",MAX(D1447:L1447))</f>
        <v/>
      </c>
      <c r="P1447" s="9">
        <f>IF(OR(M1447="",M1447=0),"",(O1447-M1447)/M1447)</f>
        <v/>
      </c>
      <c r="Q1447" s="7">
        <f>IF(COUNT(D1447:L1447)=0,"",INDEX($D$1:$L$1,MATCH(MIN(D1447:L1447),D1447:L1447,0)))</f>
        <v/>
      </c>
      <c r="R1447" s="8" t="n">
        <v>40</v>
      </c>
      <c r="S1447" s="10" t="n">
        <v>1</v>
      </c>
    </row>
    <row r="1448">
      <c r="A1448" s="7" t="inlineStr">
        <is>
          <t>MAT-32-271</t>
        </is>
      </c>
      <c r="B1448" s="4" t="inlineStr">
        <is>
          <t>Tee de HG 1/4"</t>
        </is>
      </c>
      <c r="C1448" s="7" t="inlineStr">
        <is>
          <t>unidad</t>
        </is>
      </c>
      <c r="D1448" s="8" t="n"/>
      <c r="E1448" s="8" t="n"/>
      <c r="F1448" s="8" t="n">
        <v>130</v>
      </c>
      <c r="G1448" s="8" t="n"/>
      <c r="H1448" s="8" t="n"/>
      <c r="I1448" s="8" t="n"/>
      <c r="J1448" s="8" t="n"/>
      <c r="K1448" s="8" t="n"/>
      <c r="L1448" s="8" t="n"/>
      <c r="M1448" s="8">
        <f>IF(COUNT(D1448:L1448)=0,"",MIN(D1448:L1448))</f>
        <v/>
      </c>
      <c r="N1448" s="8">
        <f>IF(COUNT(D1448:L1448)=0,"",MEDIAN(D1448:L1448))</f>
        <v/>
      </c>
      <c r="O1448" s="8">
        <f>IF(COUNT(D1448:L1448)=0,"",MAX(D1448:L1448))</f>
        <v/>
      </c>
      <c r="P1448" s="9">
        <f>IF(OR(M1448="",M1448=0),"",(O1448-M1448)/M1448)</f>
        <v/>
      </c>
      <c r="Q1448" s="7">
        <f>IF(COUNT(D1448:L1448)=0,"",INDEX($D$1:$L$1,MATCH(MIN(D1448:L1448),D1448:L1448,0)))</f>
        <v/>
      </c>
      <c r="R1448" s="8" t="n">
        <v>130</v>
      </c>
      <c r="S1448" s="10" t="n">
        <v>1</v>
      </c>
    </row>
    <row r="1449">
      <c r="A1449" s="7" t="inlineStr">
        <is>
          <t>MAT-32-272</t>
        </is>
      </c>
      <c r="B1449" s="4" t="inlineStr">
        <is>
          <t>Tee de HG 1"</t>
        </is>
      </c>
      <c r="C1449" s="7" t="inlineStr">
        <is>
          <t>unidad</t>
        </is>
      </c>
      <c r="D1449" s="8" t="n"/>
      <c r="E1449" s="8" t="n"/>
      <c r="F1449" s="8" t="n">
        <v>160</v>
      </c>
      <c r="G1449" s="8" t="n"/>
      <c r="H1449" s="8" t="n"/>
      <c r="I1449" s="8" t="n"/>
      <c r="J1449" s="8" t="n"/>
      <c r="K1449" s="8" t="n"/>
      <c r="L1449" s="8" t="n"/>
      <c r="M1449" s="8">
        <f>IF(COUNT(D1449:L1449)=0,"",MIN(D1449:L1449))</f>
        <v/>
      </c>
      <c r="N1449" s="8">
        <f>IF(COUNT(D1449:L1449)=0,"",MEDIAN(D1449:L1449))</f>
        <v/>
      </c>
      <c r="O1449" s="8">
        <f>IF(COUNT(D1449:L1449)=0,"",MAX(D1449:L1449))</f>
        <v/>
      </c>
      <c r="P1449" s="9">
        <f>IF(OR(M1449="",M1449=0),"",(O1449-M1449)/M1449)</f>
        <v/>
      </c>
      <c r="Q1449" s="7">
        <f>IF(COUNT(D1449:L1449)=0,"",INDEX($D$1:$L$1,MATCH(MIN(D1449:L1449),D1449:L1449,0)))</f>
        <v/>
      </c>
      <c r="R1449" s="8" t="n">
        <v>160</v>
      </c>
      <c r="S1449" s="10" t="n">
        <v>1</v>
      </c>
    </row>
    <row r="1450">
      <c r="A1450" s="7" t="inlineStr">
        <is>
          <t>MAT-32-273</t>
        </is>
      </c>
      <c r="B1450" s="4" t="inlineStr">
        <is>
          <t>Tee de HG 2"</t>
        </is>
      </c>
      <c r="C1450" s="7" t="inlineStr">
        <is>
          <t>unidad</t>
        </is>
      </c>
      <c r="D1450" s="8" t="n"/>
      <c r="E1450" s="8" t="n"/>
      <c r="F1450" s="8" t="n">
        <v>383</v>
      </c>
      <c r="G1450" s="8" t="n"/>
      <c r="H1450" s="8" t="n"/>
      <c r="I1450" s="8" t="n"/>
      <c r="J1450" s="8" t="n"/>
      <c r="K1450" s="8" t="n"/>
      <c r="L1450" s="8" t="n"/>
      <c r="M1450" s="8">
        <f>IF(COUNT(D1450:L1450)=0,"",MIN(D1450:L1450))</f>
        <v/>
      </c>
      <c r="N1450" s="8">
        <f>IF(COUNT(D1450:L1450)=0,"",MEDIAN(D1450:L1450))</f>
        <v/>
      </c>
      <c r="O1450" s="8">
        <f>IF(COUNT(D1450:L1450)=0,"",MAX(D1450:L1450))</f>
        <v/>
      </c>
      <c r="P1450" s="9">
        <f>IF(OR(M1450="",M1450=0),"",(O1450-M1450)/M1450)</f>
        <v/>
      </c>
      <c r="Q1450" s="7">
        <f>IF(COUNT(D1450:L1450)=0,"",INDEX($D$1:$L$1,MATCH(MIN(D1450:L1450),D1450:L1450,0)))</f>
        <v/>
      </c>
      <c r="R1450" s="8" t="n">
        <v>383</v>
      </c>
      <c r="S1450" s="10" t="n">
        <v>1</v>
      </c>
    </row>
    <row r="1451">
      <c r="A1451" s="7" t="inlineStr">
        <is>
          <t>MAT-32-274</t>
        </is>
      </c>
      <c r="B1451" s="4" t="inlineStr">
        <is>
          <t>Tee de HG 3/4"</t>
        </is>
      </c>
      <c r="C1451" s="7" t="inlineStr">
        <is>
          <t>unidad</t>
        </is>
      </c>
      <c r="D1451" s="8" t="n"/>
      <c r="E1451" s="8" t="n"/>
      <c r="F1451" s="8" t="n">
        <v>95</v>
      </c>
      <c r="G1451" s="8" t="n"/>
      <c r="H1451" s="8" t="n"/>
      <c r="I1451" s="8" t="n"/>
      <c r="J1451" s="8" t="n"/>
      <c r="K1451" s="8" t="n"/>
      <c r="L1451" s="8" t="n"/>
      <c r="M1451" s="8">
        <f>IF(COUNT(D1451:L1451)=0,"",MIN(D1451:L1451))</f>
        <v/>
      </c>
      <c r="N1451" s="8">
        <f>IF(COUNT(D1451:L1451)=0,"",MEDIAN(D1451:L1451))</f>
        <v/>
      </c>
      <c r="O1451" s="8">
        <f>IF(COUNT(D1451:L1451)=0,"",MAX(D1451:L1451))</f>
        <v/>
      </c>
      <c r="P1451" s="9">
        <f>IF(OR(M1451="",M1451=0),"",(O1451-M1451)/M1451)</f>
        <v/>
      </c>
      <c r="Q1451" s="7">
        <f>IF(COUNT(D1451:L1451)=0,"",INDEX($D$1:$L$1,MATCH(MIN(D1451:L1451),D1451:L1451,0)))</f>
        <v/>
      </c>
      <c r="R1451" s="8" t="n">
        <v>95</v>
      </c>
      <c r="S1451" s="10" t="n">
        <v>1</v>
      </c>
    </row>
    <row r="1452">
      <c r="A1452" s="7" t="inlineStr">
        <is>
          <t>MAT-32-275</t>
        </is>
      </c>
      <c r="B1452" s="4" t="inlineStr">
        <is>
          <t>Tee de HG 3/8"</t>
        </is>
      </c>
      <c r="C1452" s="7" t="inlineStr">
        <is>
          <t>unidad</t>
        </is>
      </c>
      <c r="D1452" s="8" t="n"/>
      <c r="E1452" s="8" t="n"/>
      <c r="F1452" s="8" t="n">
        <v>58</v>
      </c>
      <c r="G1452" s="8" t="n"/>
      <c r="H1452" s="8" t="n"/>
      <c r="I1452" s="8" t="n"/>
      <c r="J1452" s="8" t="n"/>
      <c r="K1452" s="8" t="n"/>
      <c r="L1452" s="8" t="n"/>
      <c r="M1452" s="8">
        <f>IF(COUNT(D1452:L1452)=0,"",MIN(D1452:L1452))</f>
        <v/>
      </c>
      <c r="N1452" s="8">
        <f>IF(COUNT(D1452:L1452)=0,"",MEDIAN(D1452:L1452))</f>
        <v/>
      </c>
      <c r="O1452" s="8">
        <f>IF(COUNT(D1452:L1452)=0,"",MAX(D1452:L1452))</f>
        <v/>
      </c>
      <c r="P1452" s="9">
        <f>IF(OR(M1452="",M1452=0),"",(O1452-M1452)/M1452)</f>
        <v/>
      </c>
      <c r="Q1452" s="7">
        <f>IF(COUNT(D1452:L1452)=0,"",INDEX($D$1:$L$1,MATCH(MIN(D1452:L1452),D1452:L1452,0)))</f>
        <v/>
      </c>
      <c r="R1452" s="8" t="n">
        <v>58</v>
      </c>
      <c r="S1452" s="10" t="n">
        <v>1</v>
      </c>
    </row>
    <row r="1453">
      <c r="A1453" s="7" t="inlineStr">
        <is>
          <t>MAT-32-276</t>
        </is>
      </c>
      <c r="B1453" s="4" t="inlineStr">
        <is>
          <t>Tee de niquelado 1/2"</t>
        </is>
      </c>
      <c r="C1453" s="7" t="inlineStr">
        <is>
          <t>unidad</t>
        </is>
      </c>
      <c r="D1453" s="8" t="n"/>
      <c r="E1453" s="8" t="n"/>
      <c r="F1453" s="8" t="n">
        <v>444</v>
      </c>
      <c r="G1453" s="8" t="n"/>
      <c r="H1453" s="8" t="n"/>
      <c r="I1453" s="8" t="n"/>
      <c r="J1453" s="8" t="n"/>
      <c r="K1453" s="8" t="n"/>
      <c r="L1453" s="8" t="n"/>
      <c r="M1453" s="8">
        <f>IF(COUNT(D1453:L1453)=0,"",MIN(D1453:L1453))</f>
        <v/>
      </c>
      <c r="N1453" s="8">
        <f>IF(COUNT(D1453:L1453)=0,"",MEDIAN(D1453:L1453))</f>
        <v/>
      </c>
      <c r="O1453" s="8">
        <f>IF(COUNT(D1453:L1453)=0,"",MAX(D1453:L1453))</f>
        <v/>
      </c>
      <c r="P1453" s="9">
        <f>IF(OR(M1453="",M1453=0),"",(O1453-M1453)/M1453)</f>
        <v/>
      </c>
      <c r="Q1453" s="7">
        <f>IF(COUNT(D1453:L1453)=0,"",INDEX($D$1:$L$1,MATCH(MIN(D1453:L1453),D1453:L1453,0)))</f>
        <v/>
      </c>
      <c r="R1453" s="8" t="n">
        <v>444</v>
      </c>
      <c r="S1453" s="10" t="n">
        <v>1</v>
      </c>
    </row>
    <row r="1454">
      <c r="A1454" s="7" t="inlineStr">
        <is>
          <t>MAT-32-277</t>
        </is>
      </c>
      <c r="B1454" s="4" t="inlineStr">
        <is>
          <t>Tee de PPR 20 mm</t>
        </is>
      </c>
      <c r="C1454" s="7" t="inlineStr">
        <is>
          <t>unidad</t>
        </is>
      </c>
      <c r="D1454" s="8" t="n"/>
      <c r="E1454" s="8" t="n"/>
      <c r="F1454" s="8" t="n">
        <v>55</v>
      </c>
      <c r="G1454" s="8" t="n"/>
      <c r="H1454" s="8" t="n"/>
      <c r="I1454" s="8" t="n"/>
      <c r="J1454" s="8" t="n"/>
      <c r="K1454" s="8" t="n"/>
      <c r="L1454" s="8" t="n"/>
      <c r="M1454" s="8">
        <f>IF(COUNT(D1454:L1454)=0,"",MIN(D1454:L1454))</f>
        <v/>
      </c>
      <c r="N1454" s="8">
        <f>IF(COUNT(D1454:L1454)=0,"",MEDIAN(D1454:L1454))</f>
        <v/>
      </c>
      <c r="O1454" s="8">
        <f>IF(COUNT(D1454:L1454)=0,"",MAX(D1454:L1454))</f>
        <v/>
      </c>
      <c r="P1454" s="9">
        <f>IF(OR(M1454="",M1454=0),"",(O1454-M1454)/M1454)</f>
        <v/>
      </c>
      <c r="Q1454" s="7">
        <f>IF(COUNT(D1454:L1454)=0,"",INDEX($D$1:$L$1,MATCH(MIN(D1454:L1454),D1454:L1454,0)))</f>
        <v/>
      </c>
      <c r="R1454" s="8" t="n">
        <v>174</v>
      </c>
      <c r="S1454" s="10" t="n">
        <v>1</v>
      </c>
    </row>
    <row r="1455">
      <c r="A1455" s="7" t="inlineStr">
        <is>
          <t>MAT-32-278</t>
        </is>
      </c>
      <c r="B1455" s="4" t="inlineStr">
        <is>
          <t>Tee de PPR 25 mm</t>
        </is>
      </c>
      <c r="C1455" s="7" t="inlineStr">
        <is>
          <t>unidad</t>
        </is>
      </c>
      <c r="D1455" s="8" t="n"/>
      <c r="E1455" s="8" t="n"/>
      <c r="F1455" s="8" t="n">
        <v>50</v>
      </c>
      <c r="G1455" s="8" t="n"/>
      <c r="H1455" s="8" t="n"/>
      <c r="I1455" s="8" t="n"/>
      <c r="J1455" s="8" t="n"/>
      <c r="K1455" s="8" t="n"/>
      <c r="L1455" s="8" t="n"/>
      <c r="M1455" s="8">
        <f>IF(COUNT(D1455:L1455)=0,"",MIN(D1455:L1455))</f>
        <v/>
      </c>
      <c r="N1455" s="8">
        <f>IF(COUNT(D1455:L1455)=0,"",MEDIAN(D1455:L1455))</f>
        <v/>
      </c>
      <c r="O1455" s="8">
        <f>IF(COUNT(D1455:L1455)=0,"",MAX(D1455:L1455))</f>
        <v/>
      </c>
      <c r="P1455" s="9">
        <f>IF(OR(M1455="",M1455=0),"",(O1455-M1455)/M1455)</f>
        <v/>
      </c>
      <c r="Q1455" s="7">
        <f>IF(COUNT(D1455:L1455)=0,"",INDEX($D$1:$L$1,MATCH(MIN(D1455:L1455),D1455:L1455,0)))</f>
        <v/>
      </c>
      <c r="R1455" s="8" t="n">
        <v>50</v>
      </c>
      <c r="S1455" s="10" t="n">
        <v>1</v>
      </c>
    </row>
    <row r="1456">
      <c r="A1456" s="7" t="inlineStr">
        <is>
          <t>MAT-32-279</t>
        </is>
      </c>
      <c r="B1456" s="4" t="inlineStr">
        <is>
          <t>Tee de PPR 32 mm</t>
        </is>
      </c>
      <c r="C1456" s="7" t="inlineStr">
        <is>
          <t>unidad</t>
        </is>
      </c>
      <c r="D1456" s="8" t="n"/>
      <c r="E1456" s="8" t="n"/>
      <c r="F1456" s="8" t="n">
        <v>75</v>
      </c>
      <c r="G1456" s="8" t="n"/>
      <c r="H1456" s="8" t="n"/>
      <c r="I1456" s="8" t="n"/>
      <c r="J1456" s="8" t="n"/>
      <c r="K1456" s="8" t="n"/>
      <c r="L1456" s="8" t="n"/>
      <c r="M1456" s="8">
        <f>IF(COUNT(D1456:L1456)=0,"",MIN(D1456:L1456))</f>
        <v/>
      </c>
      <c r="N1456" s="8">
        <f>IF(COUNT(D1456:L1456)=0,"",MEDIAN(D1456:L1456))</f>
        <v/>
      </c>
      <c r="O1456" s="8">
        <f>IF(COUNT(D1456:L1456)=0,"",MAX(D1456:L1456))</f>
        <v/>
      </c>
      <c r="P1456" s="9">
        <f>IF(OR(M1456="",M1456=0),"",(O1456-M1456)/M1456)</f>
        <v/>
      </c>
      <c r="Q1456" s="7">
        <f>IF(COUNT(D1456:L1456)=0,"",INDEX($D$1:$L$1,MATCH(MIN(D1456:L1456),D1456:L1456,0)))</f>
        <v/>
      </c>
      <c r="R1456" s="8" t="n">
        <v>75</v>
      </c>
      <c r="S1456" s="10" t="n">
        <v>1</v>
      </c>
    </row>
    <row r="1457">
      <c r="A1457" s="7" t="inlineStr">
        <is>
          <t>MAT-32-280</t>
        </is>
      </c>
      <c r="B1457" s="4" t="inlineStr">
        <is>
          <t>Tee de PVC drenaje 1 1/2"</t>
        </is>
      </c>
      <c r="C1457" s="7" t="inlineStr">
        <is>
          <t>unidad</t>
        </is>
      </c>
      <c r="D1457" s="8" t="n"/>
      <c r="E1457" s="8" t="n"/>
      <c r="F1457" s="8" t="n">
        <v>86</v>
      </c>
      <c r="G1457" s="8" t="n"/>
      <c r="H1457" s="8" t="n"/>
      <c r="I1457" s="8" t="n"/>
      <c r="J1457" s="8" t="n"/>
      <c r="K1457" s="8" t="n"/>
      <c r="L1457" s="8" t="n"/>
      <c r="M1457" s="8">
        <f>IF(COUNT(D1457:L1457)=0,"",MIN(D1457:L1457))</f>
        <v/>
      </c>
      <c r="N1457" s="8">
        <f>IF(COUNT(D1457:L1457)=0,"",MEDIAN(D1457:L1457))</f>
        <v/>
      </c>
      <c r="O1457" s="8">
        <f>IF(COUNT(D1457:L1457)=0,"",MAX(D1457:L1457))</f>
        <v/>
      </c>
      <c r="P1457" s="9">
        <f>IF(OR(M1457="",M1457=0),"",(O1457-M1457)/M1457)</f>
        <v/>
      </c>
      <c r="Q1457" s="7">
        <f>IF(COUNT(D1457:L1457)=0,"",INDEX($D$1:$L$1,MATCH(MIN(D1457:L1457),D1457:L1457,0)))</f>
        <v/>
      </c>
      <c r="R1457" s="8" t="n">
        <v>86</v>
      </c>
      <c r="S1457" s="10" t="n">
        <v>1</v>
      </c>
    </row>
    <row r="1458">
      <c r="A1458" s="7" t="inlineStr">
        <is>
          <t>MAT-32-281</t>
        </is>
      </c>
      <c r="B1458" s="4" t="inlineStr">
        <is>
          <t>Tee de PVC drenaje 2"</t>
        </is>
      </c>
      <c r="C1458" s="7" t="inlineStr">
        <is>
          <t>unidad</t>
        </is>
      </c>
      <c r="D1458" s="8" t="n"/>
      <c r="E1458" s="8" t="n"/>
      <c r="F1458" s="8" t="n">
        <v>135</v>
      </c>
      <c r="G1458" s="8" t="n"/>
      <c r="H1458" s="8" t="n"/>
      <c r="I1458" s="8" t="n"/>
      <c r="J1458" s="8" t="n"/>
      <c r="K1458" s="8" t="n"/>
      <c r="L1458" s="8" t="n"/>
      <c r="M1458" s="8">
        <f>IF(COUNT(D1458:L1458)=0,"",MIN(D1458:L1458))</f>
        <v/>
      </c>
      <c r="N1458" s="8">
        <f>IF(COUNT(D1458:L1458)=0,"",MEDIAN(D1458:L1458))</f>
        <v/>
      </c>
      <c r="O1458" s="8">
        <f>IF(COUNT(D1458:L1458)=0,"",MAX(D1458:L1458))</f>
        <v/>
      </c>
      <c r="P1458" s="9">
        <f>IF(OR(M1458="",M1458=0),"",(O1458-M1458)/M1458)</f>
        <v/>
      </c>
      <c r="Q1458" s="7">
        <f>IF(COUNT(D1458:L1458)=0,"",INDEX($D$1:$L$1,MATCH(MIN(D1458:L1458),D1458:L1458,0)))</f>
        <v/>
      </c>
      <c r="R1458" s="8" t="n">
        <v>135</v>
      </c>
      <c r="S1458" s="10" t="n">
        <v>1</v>
      </c>
    </row>
    <row r="1459">
      <c r="A1459" s="7" t="inlineStr">
        <is>
          <t>MAT-32-282</t>
        </is>
      </c>
      <c r="B1459" s="4" t="inlineStr">
        <is>
          <t>Tee de PVC drenaje 3"</t>
        </is>
      </c>
      <c r="C1459" s="7" t="inlineStr">
        <is>
          <t>unidad</t>
        </is>
      </c>
      <c r="D1459" s="8" t="n"/>
      <c r="E1459" s="8" t="n"/>
      <c r="F1459" s="8" t="n">
        <v>194</v>
      </c>
      <c r="G1459" s="8" t="n"/>
      <c r="H1459" s="8" t="n"/>
      <c r="I1459" s="8" t="n"/>
      <c r="J1459" s="8" t="n"/>
      <c r="K1459" s="8" t="n"/>
      <c r="L1459" s="8" t="n"/>
      <c r="M1459" s="8">
        <f>IF(COUNT(D1459:L1459)=0,"",MIN(D1459:L1459))</f>
        <v/>
      </c>
      <c r="N1459" s="8">
        <f>IF(COUNT(D1459:L1459)=0,"",MEDIAN(D1459:L1459))</f>
        <v/>
      </c>
      <c r="O1459" s="8">
        <f>IF(COUNT(D1459:L1459)=0,"",MAX(D1459:L1459))</f>
        <v/>
      </c>
      <c r="P1459" s="9">
        <f>IF(OR(M1459="",M1459=0),"",(O1459-M1459)/M1459)</f>
        <v/>
      </c>
      <c r="Q1459" s="7">
        <f>IF(COUNT(D1459:L1459)=0,"",INDEX($D$1:$L$1,MATCH(MIN(D1459:L1459),D1459:L1459,0)))</f>
        <v/>
      </c>
      <c r="R1459" s="8" t="n">
        <v>225.5</v>
      </c>
      <c r="S1459" s="10" t="n">
        <v>1</v>
      </c>
    </row>
    <row r="1460">
      <c r="A1460" s="7" t="inlineStr">
        <is>
          <t>MAT-32-283</t>
        </is>
      </c>
      <c r="B1460" s="4" t="inlineStr">
        <is>
          <t>Tee de PVC drenaje 4"</t>
        </is>
      </c>
      <c r="C1460" s="7" t="inlineStr">
        <is>
          <t>unidad</t>
        </is>
      </c>
      <c r="D1460" s="8" t="n"/>
      <c r="E1460" s="8" t="n"/>
      <c r="F1460" s="8" t="n">
        <v>260</v>
      </c>
      <c r="G1460" s="8" t="n"/>
      <c r="H1460" s="8" t="n"/>
      <c r="I1460" s="8" t="n"/>
      <c r="J1460" s="8" t="n"/>
      <c r="K1460" s="8" t="n"/>
      <c r="L1460" s="8" t="n"/>
      <c r="M1460" s="8">
        <f>IF(COUNT(D1460:L1460)=0,"",MIN(D1460:L1460))</f>
        <v/>
      </c>
      <c r="N1460" s="8">
        <f>IF(COUNT(D1460:L1460)=0,"",MEDIAN(D1460:L1460))</f>
        <v/>
      </c>
      <c r="O1460" s="8">
        <f>IF(COUNT(D1460:L1460)=0,"",MAX(D1460:L1460))</f>
        <v/>
      </c>
      <c r="P1460" s="9">
        <f>IF(OR(M1460="",M1460=0),"",(O1460-M1460)/M1460)</f>
        <v/>
      </c>
      <c r="Q1460" s="7">
        <f>IF(COUNT(D1460:L1460)=0,"",INDEX($D$1:$L$1,MATCH(MIN(D1460:L1460),D1460:L1460,0)))</f>
        <v/>
      </c>
      <c r="R1460" s="8" t="n">
        <v>344.5</v>
      </c>
      <c r="S1460" s="10" t="n">
        <v>1</v>
      </c>
    </row>
    <row r="1461">
      <c r="A1461" s="7" t="inlineStr">
        <is>
          <t>MAT-32-284</t>
        </is>
      </c>
      <c r="B1461" s="4" t="inlineStr">
        <is>
          <t>Tee de PVC presión 1 1/2"</t>
        </is>
      </c>
      <c r="C1461" s="7" t="inlineStr">
        <is>
          <t>unidad</t>
        </is>
      </c>
      <c r="D1461" s="8" t="n"/>
      <c r="E1461" s="8" t="n"/>
      <c r="F1461" s="8" t="n">
        <v>135</v>
      </c>
      <c r="G1461" s="8" t="n"/>
      <c r="H1461" s="8" t="n"/>
      <c r="I1461" s="8" t="n"/>
      <c r="J1461" s="8" t="n"/>
      <c r="K1461" s="8" t="n"/>
      <c r="L1461" s="8" t="n"/>
      <c r="M1461" s="8">
        <f>IF(COUNT(D1461:L1461)=0,"",MIN(D1461:L1461))</f>
        <v/>
      </c>
      <c r="N1461" s="8">
        <f>IF(COUNT(D1461:L1461)=0,"",MEDIAN(D1461:L1461))</f>
        <v/>
      </c>
      <c r="O1461" s="8">
        <f>IF(COUNT(D1461:L1461)=0,"",MAX(D1461:L1461))</f>
        <v/>
      </c>
      <c r="P1461" s="9">
        <f>IF(OR(M1461="",M1461=0),"",(O1461-M1461)/M1461)</f>
        <v/>
      </c>
      <c r="Q1461" s="7">
        <f>IF(COUNT(D1461:L1461)=0,"",INDEX($D$1:$L$1,MATCH(MIN(D1461:L1461),D1461:L1461,0)))</f>
        <v/>
      </c>
      <c r="R1461" s="8" t="n">
        <v>135</v>
      </c>
      <c r="S1461" s="10" t="n">
        <v>1</v>
      </c>
    </row>
    <row r="1462">
      <c r="A1462" s="7" t="inlineStr">
        <is>
          <t>MAT-32-285</t>
        </is>
      </c>
      <c r="B1462" s="4" t="inlineStr">
        <is>
          <t>Tee de PVC presión 1/2"</t>
        </is>
      </c>
      <c r="C1462" s="7" t="inlineStr">
        <is>
          <t>unidad</t>
        </is>
      </c>
      <c r="D1462" s="8" t="n"/>
      <c r="E1462" s="8" t="n"/>
      <c r="F1462" s="8" t="n">
        <v>28</v>
      </c>
      <c r="G1462" s="8" t="n"/>
      <c r="H1462" s="8" t="n"/>
      <c r="I1462" s="8" t="n"/>
      <c r="J1462" s="8" t="n"/>
      <c r="K1462" s="8" t="n"/>
      <c r="L1462" s="8" t="n"/>
      <c r="M1462" s="8">
        <f>IF(COUNT(D1462:L1462)=0,"",MIN(D1462:L1462))</f>
        <v/>
      </c>
      <c r="N1462" s="8">
        <f>IF(COUNT(D1462:L1462)=0,"",MEDIAN(D1462:L1462))</f>
        <v/>
      </c>
      <c r="O1462" s="8">
        <f>IF(COUNT(D1462:L1462)=0,"",MAX(D1462:L1462))</f>
        <v/>
      </c>
      <c r="P1462" s="9">
        <f>IF(OR(M1462="",M1462=0),"",(O1462-M1462)/M1462)</f>
        <v/>
      </c>
      <c r="Q1462" s="7">
        <f>IF(COUNT(D1462:L1462)=0,"",INDEX($D$1:$L$1,MATCH(MIN(D1462:L1462),D1462:L1462,0)))</f>
        <v/>
      </c>
      <c r="R1462" s="8" t="n">
        <v>28</v>
      </c>
      <c r="S1462" s="10" t="n">
        <v>1</v>
      </c>
    </row>
    <row r="1463">
      <c r="A1463" s="7" t="inlineStr">
        <is>
          <t>MAT-32-286</t>
        </is>
      </c>
      <c r="B1463" s="4" t="inlineStr">
        <is>
          <t>Tee de PVC presión 1"</t>
        </is>
      </c>
      <c r="C1463" s="7" t="inlineStr">
        <is>
          <t>unidad</t>
        </is>
      </c>
      <c r="D1463" s="8" t="n"/>
      <c r="E1463" s="8" t="n"/>
      <c r="F1463" s="8" t="n">
        <v>55</v>
      </c>
      <c r="G1463" s="8" t="n"/>
      <c r="H1463" s="8" t="n"/>
      <c r="I1463" s="8" t="n"/>
      <c r="J1463" s="8" t="n"/>
      <c r="K1463" s="8" t="n"/>
      <c r="L1463" s="8" t="n"/>
      <c r="M1463" s="8">
        <f>IF(COUNT(D1463:L1463)=0,"",MIN(D1463:L1463))</f>
        <v/>
      </c>
      <c r="N1463" s="8">
        <f>IF(COUNT(D1463:L1463)=0,"",MEDIAN(D1463:L1463))</f>
        <v/>
      </c>
      <c r="O1463" s="8">
        <f>IF(COUNT(D1463:L1463)=0,"",MAX(D1463:L1463))</f>
        <v/>
      </c>
      <c r="P1463" s="9">
        <f>IF(OR(M1463="",M1463=0),"",(O1463-M1463)/M1463)</f>
        <v/>
      </c>
      <c r="Q1463" s="7">
        <f>IF(COUNT(D1463:L1463)=0,"",INDEX($D$1:$L$1,MATCH(MIN(D1463:L1463),D1463:L1463,0)))</f>
        <v/>
      </c>
      <c r="R1463" s="8" t="n">
        <v>55</v>
      </c>
      <c r="S1463" s="10" t="n">
        <v>1</v>
      </c>
    </row>
    <row r="1464">
      <c r="A1464" s="7" t="inlineStr">
        <is>
          <t>MAT-32-287</t>
        </is>
      </c>
      <c r="B1464" s="4" t="inlineStr">
        <is>
          <t>Tee de PVC presión 2"</t>
        </is>
      </c>
      <c r="C1464" s="7" t="inlineStr">
        <is>
          <t>unidad</t>
        </is>
      </c>
      <c r="D1464" s="8" t="n"/>
      <c r="E1464" s="8" t="n"/>
      <c r="F1464" s="8" t="n">
        <v>195</v>
      </c>
      <c r="G1464" s="8" t="n"/>
      <c r="H1464" s="8" t="n"/>
      <c r="I1464" s="8" t="n"/>
      <c r="J1464" s="8" t="n"/>
      <c r="K1464" s="8" t="n"/>
      <c r="L1464" s="8" t="n"/>
      <c r="M1464" s="8">
        <f>IF(COUNT(D1464:L1464)=0,"",MIN(D1464:L1464))</f>
        <v/>
      </c>
      <c r="N1464" s="8">
        <f>IF(COUNT(D1464:L1464)=0,"",MEDIAN(D1464:L1464))</f>
        <v/>
      </c>
      <c r="O1464" s="8">
        <f>IF(COUNT(D1464:L1464)=0,"",MAX(D1464:L1464))</f>
        <v/>
      </c>
      <c r="P1464" s="9">
        <f>IF(OR(M1464="",M1464=0),"",(O1464-M1464)/M1464)</f>
        <v/>
      </c>
      <c r="Q1464" s="7">
        <f>IF(COUNT(D1464:L1464)=0,"",INDEX($D$1:$L$1,MATCH(MIN(D1464:L1464),D1464:L1464,0)))</f>
        <v/>
      </c>
      <c r="R1464" s="8" t="n">
        <v>195</v>
      </c>
      <c r="S1464" s="10" t="n">
        <v>1</v>
      </c>
    </row>
    <row r="1465">
      <c r="A1465" s="7" t="inlineStr">
        <is>
          <t>MAT-32-288</t>
        </is>
      </c>
      <c r="B1465" s="4" t="inlineStr">
        <is>
          <t>Tee de PVC presión 3/4"</t>
        </is>
      </c>
      <c r="C1465" s="7" t="inlineStr">
        <is>
          <t>unidad</t>
        </is>
      </c>
      <c r="D1465" s="8" t="n"/>
      <c r="E1465" s="8" t="n"/>
      <c r="F1465" s="8" t="n">
        <v>35</v>
      </c>
      <c r="G1465" s="8" t="n"/>
      <c r="H1465" s="8" t="n"/>
      <c r="I1465" s="8" t="n"/>
      <c r="J1465" s="8" t="n"/>
      <c r="K1465" s="8" t="n"/>
      <c r="L1465" s="8" t="n"/>
      <c r="M1465" s="8">
        <f>IF(COUNT(D1465:L1465)=0,"",MIN(D1465:L1465))</f>
        <v/>
      </c>
      <c r="N1465" s="8">
        <f>IF(COUNT(D1465:L1465)=0,"",MEDIAN(D1465:L1465))</f>
        <v/>
      </c>
      <c r="O1465" s="8">
        <f>IF(COUNT(D1465:L1465)=0,"",MAX(D1465:L1465))</f>
        <v/>
      </c>
      <c r="P1465" s="9">
        <f>IF(OR(M1465="",M1465=0),"",(O1465-M1465)/M1465)</f>
        <v/>
      </c>
      <c r="Q1465" s="7">
        <f>IF(COUNT(D1465:L1465)=0,"",INDEX($D$1:$L$1,MATCH(MIN(D1465:L1465),D1465:L1465,0)))</f>
        <v/>
      </c>
      <c r="R1465" s="8" t="n">
        <v>35</v>
      </c>
      <c r="S1465" s="10" t="n">
        <v>1</v>
      </c>
    </row>
    <row r="1466">
      <c r="A1466" s="7" t="inlineStr">
        <is>
          <t>MAT-32-289</t>
        </is>
      </c>
      <c r="B1466" s="4" t="inlineStr">
        <is>
          <t>Tee de PVC presión 3"</t>
        </is>
      </c>
      <c r="C1466" s="7" t="inlineStr">
        <is>
          <t>unidad</t>
        </is>
      </c>
      <c r="D1466" s="8" t="n"/>
      <c r="E1466" s="8" t="n"/>
      <c r="F1466" s="8" t="n">
        <v>453</v>
      </c>
      <c r="G1466" s="8" t="n"/>
      <c r="H1466" s="8" t="n"/>
      <c r="I1466" s="8" t="n"/>
      <c r="J1466" s="8" t="n"/>
      <c r="K1466" s="8" t="n"/>
      <c r="L1466" s="8" t="n"/>
      <c r="M1466" s="8">
        <f>IF(COUNT(D1466:L1466)=0,"",MIN(D1466:L1466))</f>
        <v/>
      </c>
      <c r="N1466" s="8">
        <f>IF(COUNT(D1466:L1466)=0,"",MEDIAN(D1466:L1466))</f>
        <v/>
      </c>
      <c r="O1466" s="8">
        <f>IF(COUNT(D1466:L1466)=0,"",MAX(D1466:L1466))</f>
        <v/>
      </c>
      <c r="P1466" s="9">
        <f>IF(OR(M1466="",M1466=0),"",(O1466-M1466)/M1466)</f>
        <v/>
      </c>
      <c r="Q1466" s="7">
        <f>IF(COUNT(D1466:L1466)=0,"",INDEX($D$1:$L$1,MATCH(MIN(D1466:L1466),D1466:L1466,0)))</f>
        <v/>
      </c>
      <c r="R1466" s="8" t="n">
        <v>453</v>
      </c>
      <c r="S1466" s="10" t="n">
        <v>1</v>
      </c>
    </row>
    <row r="1467">
      <c r="A1467" s="7" t="inlineStr">
        <is>
          <t>MAT-32-290</t>
        </is>
      </c>
      <c r="B1467" s="4" t="inlineStr">
        <is>
          <t>Tee reducida de PPR 25 mm</t>
        </is>
      </c>
      <c r="C1467" s="7" t="inlineStr">
        <is>
          <t>unidad</t>
        </is>
      </c>
      <c r="D1467" s="8" t="n"/>
      <c r="E1467" s="8" t="n"/>
      <c r="F1467" s="8" t="n">
        <v>45</v>
      </c>
      <c r="G1467" s="8" t="n"/>
      <c r="H1467" s="8" t="n"/>
      <c r="I1467" s="8" t="n"/>
      <c r="J1467" s="8" t="n"/>
      <c r="K1467" s="8" t="n"/>
      <c r="L1467" s="8" t="n"/>
      <c r="M1467" s="8">
        <f>IF(COUNT(D1467:L1467)=0,"",MIN(D1467:L1467))</f>
        <v/>
      </c>
      <c r="N1467" s="8">
        <f>IF(COUNT(D1467:L1467)=0,"",MEDIAN(D1467:L1467))</f>
        <v/>
      </c>
      <c r="O1467" s="8">
        <f>IF(COUNT(D1467:L1467)=0,"",MAX(D1467:L1467))</f>
        <v/>
      </c>
      <c r="P1467" s="9">
        <f>IF(OR(M1467="",M1467=0),"",(O1467-M1467)/M1467)</f>
        <v/>
      </c>
      <c r="Q1467" s="7">
        <f>IF(COUNT(D1467:L1467)=0,"",INDEX($D$1:$L$1,MATCH(MIN(D1467:L1467),D1467:L1467,0)))</f>
        <v/>
      </c>
      <c r="R1467" s="8" t="n">
        <v>45</v>
      </c>
      <c r="S1467" s="10" t="n">
        <v>1</v>
      </c>
    </row>
    <row r="1468">
      <c r="A1468" s="7" t="inlineStr">
        <is>
          <t>MAT-32-291</t>
        </is>
      </c>
      <c r="B1468" s="4" t="inlineStr">
        <is>
          <t>Tee reducida de PVC 1" x 3/4"</t>
        </is>
      </c>
      <c r="C1468" s="7" t="inlineStr">
        <is>
          <t>unidad</t>
        </is>
      </c>
      <c r="D1468" s="8" t="n"/>
      <c r="E1468" s="8" t="n"/>
      <c r="F1468" s="8" t="n">
        <v>144</v>
      </c>
      <c r="G1468" s="8" t="n"/>
      <c r="H1468" s="8" t="n"/>
      <c r="I1468" s="8" t="n"/>
      <c r="J1468" s="8" t="n"/>
      <c r="K1468" s="8" t="n"/>
      <c r="L1468" s="8" t="n"/>
      <c r="M1468" s="8">
        <f>IF(COUNT(D1468:L1468)=0,"",MIN(D1468:L1468))</f>
        <v/>
      </c>
      <c r="N1468" s="8">
        <f>IF(COUNT(D1468:L1468)=0,"",MEDIAN(D1468:L1468))</f>
        <v/>
      </c>
      <c r="O1468" s="8">
        <f>IF(COUNT(D1468:L1468)=0,"",MAX(D1468:L1468))</f>
        <v/>
      </c>
      <c r="P1468" s="9">
        <f>IF(OR(M1468="",M1468=0),"",(O1468-M1468)/M1468)</f>
        <v/>
      </c>
      <c r="Q1468" s="7">
        <f>IF(COUNT(D1468:L1468)=0,"",INDEX($D$1:$L$1,MATCH(MIN(D1468:L1468),D1468:L1468,0)))</f>
        <v/>
      </c>
      <c r="R1468" s="8" t="n">
        <v>144</v>
      </c>
      <c r="S1468" s="10" t="n">
        <v>1</v>
      </c>
    </row>
    <row r="1469">
      <c r="A1469" s="7" t="inlineStr">
        <is>
          <t>MAT-32-292</t>
        </is>
      </c>
      <c r="B1469" s="4" t="inlineStr">
        <is>
          <t>Terminal de bronce 1/2"</t>
        </is>
      </c>
      <c r="C1469" s="7" t="inlineStr">
        <is>
          <t>unidad</t>
        </is>
      </c>
      <c r="D1469" s="8" t="n"/>
      <c r="E1469" s="8" t="n"/>
      <c r="F1469" s="8" t="n">
        <v>235</v>
      </c>
      <c r="G1469" s="8" t="n"/>
      <c r="H1469" s="8" t="n"/>
      <c r="I1469" s="8" t="n"/>
      <c r="J1469" s="8" t="n"/>
      <c r="K1469" s="8" t="n"/>
      <c r="L1469" s="8" t="n"/>
      <c r="M1469" s="8">
        <f>IF(COUNT(D1469:L1469)=0,"",MIN(D1469:L1469))</f>
        <v/>
      </c>
      <c r="N1469" s="8">
        <f>IF(COUNT(D1469:L1469)=0,"",MEDIAN(D1469:L1469))</f>
        <v/>
      </c>
      <c r="O1469" s="8">
        <f>IF(COUNT(D1469:L1469)=0,"",MAX(D1469:L1469))</f>
        <v/>
      </c>
      <c r="P1469" s="9">
        <f>IF(OR(M1469="",M1469=0),"",(O1469-M1469)/M1469)</f>
        <v/>
      </c>
      <c r="Q1469" s="7">
        <f>IF(COUNT(D1469:L1469)=0,"",INDEX($D$1:$L$1,MATCH(MIN(D1469:L1469),D1469:L1469,0)))</f>
        <v/>
      </c>
      <c r="R1469" s="8" t="n">
        <v>235</v>
      </c>
      <c r="S1469" s="10" t="n">
        <v>1</v>
      </c>
    </row>
    <row r="1470">
      <c r="A1470" s="7" t="inlineStr">
        <is>
          <t>MAT-32-293</t>
        </is>
      </c>
      <c r="B1470" s="4" t="inlineStr">
        <is>
          <t>Terminal de bronce 3/4"</t>
        </is>
      </c>
      <c r="C1470" s="7" t="inlineStr">
        <is>
          <t>unidad</t>
        </is>
      </c>
      <c r="D1470" s="8" t="n"/>
      <c r="E1470" s="8" t="n"/>
      <c r="F1470" s="8" t="n">
        <v>275</v>
      </c>
      <c r="G1470" s="8" t="n"/>
      <c r="H1470" s="8" t="n"/>
      <c r="I1470" s="8" t="n"/>
      <c r="J1470" s="8" t="n"/>
      <c r="K1470" s="8" t="n"/>
      <c r="L1470" s="8" t="n"/>
      <c r="M1470" s="8">
        <f>IF(COUNT(D1470:L1470)=0,"",MIN(D1470:L1470))</f>
        <v/>
      </c>
      <c r="N1470" s="8">
        <f>IF(COUNT(D1470:L1470)=0,"",MEDIAN(D1470:L1470))</f>
        <v/>
      </c>
      <c r="O1470" s="8">
        <f>IF(COUNT(D1470:L1470)=0,"",MAX(D1470:L1470))</f>
        <v/>
      </c>
      <c r="P1470" s="9">
        <f>IF(OR(M1470="",M1470=0),"",(O1470-M1470)/M1470)</f>
        <v/>
      </c>
      <c r="Q1470" s="7">
        <f>IF(COUNT(D1470:L1470)=0,"",INDEX($D$1:$L$1,MATCH(MIN(D1470:L1470),D1470:L1470,0)))</f>
        <v/>
      </c>
      <c r="R1470" s="8" t="n">
        <v>275</v>
      </c>
      <c r="S1470" s="10" t="n">
        <v>1</v>
      </c>
    </row>
    <row r="1471">
      <c r="A1471" s="7" t="inlineStr">
        <is>
          <t>MAT-32-294</t>
        </is>
      </c>
      <c r="B1471" s="4" t="inlineStr">
        <is>
          <t>Terminal de bronce 5/8"</t>
        </is>
      </c>
      <c r="C1471" s="7" t="inlineStr">
        <is>
          <t>unidad</t>
        </is>
      </c>
      <c r="D1471" s="8" t="n"/>
      <c r="E1471" s="8" t="n"/>
      <c r="F1471" s="8" t="n">
        <v>335</v>
      </c>
      <c r="G1471" s="8" t="n"/>
      <c r="H1471" s="8" t="n"/>
      <c r="I1471" s="8" t="n"/>
      <c r="J1471" s="8" t="n"/>
      <c r="K1471" s="8" t="n"/>
      <c r="L1471" s="8" t="n"/>
      <c r="M1471" s="8">
        <f>IF(COUNT(D1471:L1471)=0,"",MIN(D1471:L1471))</f>
        <v/>
      </c>
      <c r="N1471" s="8">
        <f>IF(COUNT(D1471:L1471)=0,"",MEDIAN(D1471:L1471))</f>
        <v/>
      </c>
      <c r="O1471" s="8">
        <f>IF(COUNT(D1471:L1471)=0,"",MAX(D1471:L1471))</f>
        <v/>
      </c>
      <c r="P1471" s="9">
        <f>IF(OR(M1471="",M1471=0),"",(O1471-M1471)/M1471)</f>
        <v/>
      </c>
      <c r="Q1471" s="7">
        <f>IF(COUNT(D1471:L1471)=0,"",INDEX($D$1:$L$1,MATCH(MIN(D1471:L1471),D1471:L1471,0)))</f>
        <v/>
      </c>
      <c r="R1471" s="8" t="n">
        <v>335</v>
      </c>
      <c r="S1471" s="10" t="n">
        <v>1</v>
      </c>
    </row>
    <row r="1472">
      <c r="A1472" s="7" t="inlineStr">
        <is>
          <t>MAT-32-295</t>
        </is>
      </c>
      <c r="B1472" s="4" t="inlineStr">
        <is>
          <t>Terminal de cobre 1"</t>
        </is>
      </c>
      <c r="C1472" s="7" t="inlineStr">
        <is>
          <t>unidad</t>
        </is>
      </c>
      <c r="D1472" s="8" t="n"/>
      <c r="E1472" s="8" t="n"/>
      <c r="F1472" s="8" t="n">
        <v>319</v>
      </c>
      <c r="G1472" s="8" t="n"/>
      <c r="H1472" s="8" t="n"/>
      <c r="I1472" s="8" t="n"/>
      <c r="J1472" s="8" t="n"/>
      <c r="K1472" s="8" t="n"/>
      <c r="L1472" s="8" t="n"/>
      <c r="M1472" s="8">
        <f>IF(COUNT(D1472:L1472)=0,"",MIN(D1472:L1472))</f>
        <v/>
      </c>
      <c r="N1472" s="8">
        <f>IF(COUNT(D1472:L1472)=0,"",MEDIAN(D1472:L1472))</f>
        <v/>
      </c>
      <c r="O1472" s="8">
        <f>IF(COUNT(D1472:L1472)=0,"",MAX(D1472:L1472))</f>
        <v/>
      </c>
      <c r="P1472" s="9">
        <f>IF(OR(M1472="",M1472=0),"",(O1472-M1472)/M1472)</f>
        <v/>
      </c>
      <c r="Q1472" s="7">
        <f>IF(COUNT(D1472:L1472)=0,"",INDEX($D$1:$L$1,MATCH(MIN(D1472:L1472),D1472:L1472,0)))</f>
        <v/>
      </c>
      <c r="R1472" s="8" t="n">
        <v>319</v>
      </c>
      <c r="S1472" s="10" t="n">
        <v>1</v>
      </c>
    </row>
    <row r="1473">
      <c r="A1473" s="7" t="inlineStr">
        <is>
          <t>MAT-32-296</t>
        </is>
      </c>
      <c r="B1473" s="4" t="inlineStr">
        <is>
          <t>Terminal de manguera 1/2"</t>
        </is>
      </c>
      <c r="C1473" s="7" t="inlineStr">
        <is>
          <t>unidad</t>
        </is>
      </c>
      <c r="D1473" s="8" t="n"/>
      <c r="E1473" s="8" t="n"/>
      <c r="F1473" s="8" t="n">
        <v>131</v>
      </c>
      <c r="G1473" s="8" t="n"/>
      <c r="H1473" s="8" t="n"/>
      <c r="I1473" s="8" t="n"/>
      <c r="J1473" s="8" t="n"/>
      <c r="K1473" s="8" t="n"/>
      <c r="L1473" s="8" t="n"/>
      <c r="M1473" s="8">
        <f>IF(COUNT(D1473:L1473)=0,"",MIN(D1473:L1473))</f>
        <v/>
      </c>
      <c r="N1473" s="8">
        <f>IF(COUNT(D1473:L1473)=0,"",MEDIAN(D1473:L1473))</f>
        <v/>
      </c>
      <c r="O1473" s="8">
        <f>IF(COUNT(D1473:L1473)=0,"",MAX(D1473:L1473))</f>
        <v/>
      </c>
      <c r="P1473" s="9">
        <f>IF(OR(M1473="",M1473=0),"",(O1473-M1473)/M1473)</f>
        <v/>
      </c>
      <c r="Q1473" s="7">
        <f>IF(COUNT(D1473:L1473)=0,"",INDEX($D$1:$L$1,MATCH(MIN(D1473:L1473),D1473:L1473,0)))</f>
        <v/>
      </c>
      <c r="R1473" s="8" t="n">
        <v>165.5</v>
      </c>
      <c r="S1473" s="10" t="n">
        <v>1</v>
      </c>
    </row>
    <row r="1474">
      <c r="A1474" s="7" t="inlineStr">
        <is>
          <t>MAT-32-297</t>
        </is>
      </c>
      <c r="B1474" s="4" t="inlineStr">
        <is>
          <t>Terminal de manguera 3/4"</t>
        </is>
      </c>
      <c r="C1474" s="7" t="inlineStr">
        <is>
          <t>unidad</t>
        </is>
      </c>
      <c r="D1474" s="8" t="n"/>
      <c r="E1474" s="8" t="n"/>
      <c r="F1474" s="8" t="n">
        <v>247</v>
      </c>
      <c r="G1474" s="8" t="n"/>
      <c r="H1474" s="8" t="n"/>
      <c r="I1474" s="8" t="n"/>
      <c r="J1474" s="8" t="n"/>
      <c r="K1474" s="8" t="n"/>
      <c r="L1474" s="8" t="n"/>
      <c r="M1474" s="8">
        <f>IF(COUNT(D1474:L1474)=0,"",MIN(D1474:L1474))</f>
        <v/>
      </c>
      <c r="N1474" s="8">
        <f>IF(COUNT(D1474:L1474)=0,"",MEDIAN(D1474:L1474))</f>
        <v/>
      </c>
      <c r="O1474" s="8">
        <f>IF(COUNT(D1474:L1474)=0,"",MAX(D1474:L1474))</f>
        <v/>
      </c>
      <c r="P1474" s="9">
        <f>IF(OR(M1474="",M1474=0),"",(O1474-M1474)/M1474)</f>
        <v/>
      </c>
      <c r="Q1474" s="7">
        <f>IF(COUNT(D1474:L1474)=0,"",INDEX($D$1:$L$1,MATCH(MIN(D1474:L1474),D1474:L1474,0)))</f>
        <v/>
      </c>
      <c r="R1474" s="8" t="n">
        <v>247</v>
      </c>
      <c r="S1474" s="10" t="n">
        <v>1</v>
      </c>
    </row>
    <row r="1475">
      <c r="A1475" s="7" t="inlineStr">
        <is>
          <t>MAT-32-298</t>
        </is>
      </c>
      <c r="B1475" s="4" t="inlineStr">
        <is>
          <t>Terminal de manguera 5/8"</t>
        </is>
      </c>
      <c r="C1475" s="7" t="inlineStr">
        <is>
          <t>unidad</t>
        </is>
      </c>
      <c r="D1475" s="8" t="n"/>
      <c r="E1475" s="8" t="n"/>
      <c r="F1475" s="8" t="n">
        <v>233</v>
      </c>
      <c r="G1475" s="8" t="n"/>
      <c r="H1475" s="8" t="n"/>
      <c r="I1475" s="8" t="n"/>
      <c r="J1475" s="8" t="n"/>
      <c r="K1475" s="8" t="n"/>
      <c r="L1475" s="8" t="n"/>
      <c r="M1475" s="8">
        <f>IF(COUNT(D1475:L1475)=0,"",MIN(D1475:L1475))</f>
        <v/>
      </c>
      <c r="N1475" s="8">
        <f>IF(COUNT(D1475:L1475)=0,"",MEDIAN(D1475:L1475))</f>
        <v/>
      </c>
      <c r="O1475" s="8">
        <f>IF(COUNT(D1475:L1475)=0,"",MAX(D1475:L1475))</f>
        <v/>
      </c>
      <c r="P1475" s="9">
        <f>IF(OR(M1475="",M1475=0),"",(O1475-M1475)/M1475)</f>
        <v/>
      </c>
      <c r="Q1475" s="7">
        <f>IF(COUNT(D1475:L1475)=0,"",INDEX($D$1:$L$1,MATCH(MIN(D1475:L1475),D1475:L1475,0)))</f>
        <v/>
      </c>
      <c r="R1475" s="8" t="n">
        <v>233</v>
      </c>
      <c r="S1475" s="10" t="n">
        <v>1</v>
      </c>
    </row>
    <row r="1476">
      <c r="A1476" s="7" t="inlineStr">
        <is>
          <t>MAT-32-299</t>
        </is>
      </c>
      <c r="B1476" s="4" t="inlineStr">
        <is>
          <t>Terminal de manguera 5"</t>
        </is>
      </c>
      <c r="C1476" s="7" t="inlineStr">
        <is>
          <t>unidad</t>
        </is>
      </c>
      <c r="D1476" s="8" t="n"/>
      <c r="E1476" s="8" t="n"/>
      <c r="F1476" s="8" t="n">
        <v>295</v>
      </c>
      <c r="G1476" s="8" t="n"/>
      <c r="H1476" s="8" t="n"/>
      <c r="I1476" s="8" t="n"/>
      <c r="J1476" s="8" t="n"/>
      <c r="K1476" s="8" t="n"/>
      <c r="L1476" s="8" t="n"/>
      <c r="M1476" s="8">
        <f>IF(COUNT(D1476:L1476)=0,"",MIN(D1476:L1476))</f>
        <v/>
      </c>
      <c r="N1476" s="8">
        <f>IF(COUNT(D1476:L1476)=0,"",MEDIAN(D1476:L1476))</f>
        <v/>
      </c>
      <c r="O1476" s="8">
        <f>IF(COUNT(D1476:L1476)=0,"",MAX(D1476:L1476))</f>
        <v/>
      </c>
      <c r="P1476" s="9">
        <f>IF(OR(M1476="",M1476=0),"",(O1476-M1476)/M1476)</f>
        <v/>
      </c>
      <c r="Q1476" s="7">
        <f>IF(COUNT(D1476:L1476)=0,"",INDEX($D$1:$L$1,MATCH(MIN(D1476:L1476),D1476:L1476,0)))</f>
        <v/>
      </c>
      <c r="R1476" s="8" t="n">
        <v>295</v>
      </c>
      <c r="S1476" s="10" t="n">
        <v>1</v>
      </c>
    </row>
    <row r="1477">
      <c r="A1477" s="7" t="inlineStr">
        <is>
          <t>MAT-32-300</t>
        </is>
      </c>
      <c r="B1477" s="4" t="inlineStr">
        <is>
          <t>Unión de bronce 1/2"</t>
        </is>
      </c>
      <c r="C1477" s="7" t="inlineStr">
        <is>
          <t>unidad</t>
        </is>
      </c>
      <c r="D1477" s="8" t="n"/>
      <c r="E1477" s="8" t="n"/>
      <c r="F1477" s="8" t="n">
        <v>165</v>
      </c>
      <c r="G1477" s="8" t="n"/>
      <c r="H1477" s="8" t="n"/>
      <c r="I1477" s="8" t="n"/>
      <c r="J1477" s="8" t="n"/>
      <c r="K1477" s="8" t="n"/>
      <c r="L1477" s="8" t="n"/>
      <c r="M1477" s="8">
        <f>IF(COUNT(D1477:L1477)=0,"",MIN(D1477:L1477))</f>
        <v/>
      </c>
      <c r="N1477" s="8">
        <f>IF(COUNT(D1477:L1477)=0,"",MEDIAN(D1477:L1477))</f>
        <v/>
      </c>
      <c r="O1477" s="8">
        <f>IF(COUNT(D1477:L1477)=0,"",MAX(D1477:L1477))</f>
        <v/>
      </c>
      <c r="P1477" s="9">
        <f>IF(OR(M1477="",M1477=0),"",(O1477-M1477)/M1477)</f>
        <v/>
      </c>
      <c r="Q1477" s="7">
        <f>IF(COUNT(D1477:L1477)=0,"",INDEX($D$1:$L$1,MATCH(MIN(D1477:L1477),D1477:L1477,0)))</f>
        <v/>
      </c>
      <c r="R1477" s="8" t="n">
        <v>165</v>
      </c>
      <c r="S1477" s="10" t="n">
        <v>1</v>
      </c>
    </row>
    <row r="1478">
      <c r="A1478" s="7" t="inlineStr">
        <is>
          <t>MAT-32-301</t>
        </is>
      </c>
      <c r="B1478" s="4" t="inlineStr">
        <is>
          <t>Unión de bronce 3/8"</t>
        </is>
      </c>
      <c r="C1478" s="7" t="inlineStr">
        <is>
          <t>unidad</t>
        </is>
      </c>
      <c r="D1478" s="8" t="n"/>
      <c r="E1478" s="8" t="n"/>
      <c r="F1478" s="8" t="n">
        <v>147</v>
      </c>
      <c r="G1478" s="8" t="n"/>
      <c r="H1478" s="8" t="n"/>
      <c r="I1478" s="8" t="n"/>
      <c r="J1478" s="8" t="n"/>
      <c r="K1478" s="8" t="n"/>
      <c r="L1478" s="8" t="n"/>
      <c r="M1478" s="8">
        <f>IF(COUNT(D1478:L1478)=0,"",MIN(D1478:L1478))</f>
        <v/>
      </c>
      <c r="N1478" s="8">
        <f>IF(COUNT(D1478:L1478)=0,"",MEDIAN(D1478:L1478))</f>
        <v/>
      </c>
      <c r="O1478" s="8">
        <f>IF(COUNT(D1478:L1478)=0,"",MAX(D1478:L1478))</f>
        <v/>
      </c>
      <c r="P1478" s="9">
        <f>IF(OR(M1478="",M1478=0),"",(O1478-M1478)/M1478)</f>
        <v/>
      </c>
      <c r="Q1478" s="7">
        <f>IF(COUNT(D1478:L1478)=0,"",INDEX($D$1:$L$1,MATCH(MIN(D1478:L1478),D1478:L1478,0)))</f>
        <v/>
      </c>
      <c r="R1478" s="8" t="n">
        <v>147</v>
      </c>
      <c r="S1478" s="10" t="n">
        <v>1</v>
      </c>
    </row>
    <row r="1479">
      <c r="A1479" s="7" t="inlineStr">
        <is>
          <t>MAT-32-302</t>
        </is>
      </c>
      <c r="B1479" s="4" t="inlineStr">
        <is>
          <t>Unión de plástico 1/2"</t>
        </is>
      </c>
      <c r="C1479" s="7" t="inlineStr">
        <is>
          <t>unidad</t>
        </is>
      </c>
      <c r="D1479" s="8" t="n"/>
      <c r="E1479" s="8" t="n"/>
      <c r="F1479" s="8" t="n">
        <v>180</v>
      </c>
      <c r="G1479" s="8" t="n"/>
      <c r="H1479" s="8" t="n"/>
      <c r="I1479" s="8" t="n"/>
      <c r="J1479" s="8" t="n"/>
      <c r="K1479" s="8" t="n"/>
      <c r="L1479" s="8" t="n"/>
      <c r="M1479" s="8">
        <f>IF(COUNT(D1479:L1479)=0,"",MIN(D1479:L1479))</f>
        <v/>
      </c>
      <c r="N1479" s="8">
        <f>IF(COUNT(D1479:L1479)=0,"",MEDIAN(D1479:L1479))</f>
        <v/>
      </c>
      <c r="O1479" s="8">
        <f>IF(COUNT(D1479:L1479)=0,"",MAX(D1479:L1479))</f>
        <v/>
      </c>
      <c r="P1479" s="9">
        <f>IF(OR(M1479="",M1479=0),"",(O1479-M1479)/M1479)</f>
        <v/>
      </c>
      <c r="Q1479" s="7">
        <f>IF(COUNT(D1479:L1479)=0,"",INDEX($D$1:$L$1,MATCH(MIN(D1479:L1479),D1479:L1479,0)))</f>
        <v/>
      </c>
      <c r="R1479" s="8" t="n">
        <v>180</v>
      </c>
      <c r="S1479" s="10" t="n">
        <v>1</v>
      </c>
    </row>
    <row r="1480">
      <c r="A1480" s="7" t="inlineStr">
        <is>
          <t>MAT-32-303</t>
        </is>
      </c>
      <c r="B1480" s="4" t="inlineStr">
        <is>
          <t>Unión universal de HG 1 1/2"</t>
        </is>
      </c>
      <c r="C1480" s="7" t="inlineStr">
        <is>
          <t>unidad</t>
        </is>
      </c>
      <c r="D1480" s="8" t="n"/>
      <c r="E1480" s="8" t="n"/>
      <c r="F1480" s="8" t="n">
        <v>525</v>
      </c>
      <c r="G1480" s="8" t="n"/>
      <c r="H1480" s="8" t="n"/>
      <c r="I1480" s="8" t="n"/>
      <c r="J1480" s="8" t="n"/>
      <c r="K1480" s="8" t="n"/>
      <c r="L1480" s="8" t="n"/>
      <c r="M1480" s="8">
        <f>IF(COUNT(D1480:L1480)=0,"",MIN(D1480:L1480))</f>
        <v/>
      </c>
      <c r="N1480" s="8">
        <f>IF(COUNT(D1480:L1480)=0,"",MEDIAN(D1480:L1480))</f>
        <v/>
      </c>
      <c r="O1480" s="8">
        <f>IF(COUNT(D1480:L1480)=0,"",MAX(D1480:L1480))</f>
        <v/>
      </c>
      <c r="P1480" s="9">
        <f>IF(OR(M1480="",M1480=0),"",(O1480-M1480)/M1480)</f>
        <v/>
      </c>
      <c r="Q1480" s="7">
        <f>IF(COUNT(D1480:L1480)=0,"",INDEX($D$1:$L$1,MATCH(MIN(D1480:L1480),D1480:L1480,0)))</f>
        <v/>
      </c>
      <c r="R1480" s="8" t="n">
        <v>525</v>
      </c>
      <c r="S1480" s="10" t="n">
        <v>1</v>
      </c>
    </row>
    <row r="1481">
      <c r="A1481" s="7" t="inlineStr">
        <is>
          <t>MAT-32-304</t>
        </is>
      </c>
      <c r="B1481" s="4" t="inlineStr">
        <is>
          <t>Unión universal de HG 1 1/4"</t>
        </is>
      </c>
      <c r="C1481" s="7" t="inlineStr">
        <is>
          <t>unidad</t>
        </is>
      </c>
      <c r="D1481" s="8" t="n"/>
      <c r="E1481" s="8" t="n"/>
      <c r="F1481" s="8" t="n">
        <v>422</v>
      </c>
      <c r="G1481" s="8" t="n"/>
      <c r="H1481" s="8" t="n"/>
      <c r="I1481" s="8" t="n"/>
      <c r="J1481" s="8" t="n"/>
      <c r="K1481" s="8" t="n"/>
      <c r="L1481" s="8" t="n"/>
      <c r="M1481" s="8">
        <f>IF(COUNT(D1481:L1481)=0,"",MIN(D1481:L1481))</f>
        <v/>
      </c>
      <c r="N1481" s="8">
        <f>IF(COUNT(D1481:L1481)=0,"",MEDIAN(D1481:L1481))</f>
        <v/>
      </c>
      <c r="O1481" s="8">
        <f>IF(COUNT(D1481:L1481)=0,"",MAX(D1481:L1481))</f>
        <v/>
      </c>
      <c r="P1481" s="9">
        <f>IF(OR(M1481="",M1481=0),"",(O1481-M1481)/M1481)</f>
        <v/>
      </c>
      <c r="Q1481" s="7">
        <f>IF(COUNT(D1481:L1481)=0,"",INDEX($D$1:$L$1,MATCH(MIN(D1481:L1481),D1481:L1481,0)))</f>
        <v/>
      </c>
      <c r="R1481" s="8" t="n">
        <v>422</v>
      </c>
      <c r="S1481" s="10" t="n">
        <v>1</v>
      </c>
    </row>
    <row r="1482">
      <c r="A1482" s="7" t="inlineStr">
        <is>
          <t>MAT-32-305</t>
        </is>
      </c>
      <c r="B1482" s="4" t="inlineStr">
        <is>
          <t>Unión universal de HG 1/2"</t>
        </is>
      </c>
      <c r="C1482" s="7" t="inlineStr">
        <is>
          <t>unidad</t>
        </is>
      </c>
      <c r="D1482" s="8" t="n"/>
      <c r="E1482" s="8" t="n"/>
      <c r="F1482" s="8" t="n">
        <v>170</v>
      </c>
      <c r="G1482" s="8" t="n"/>
      <c r="H1482" s="8" t="n"/>
      <c r="I1482" s="8" t="n"/>
      <c r="J1482" s="8" t="n"/>
      <c r="K1482" s="8" t="n"/>
      <c r="L1482" s="8" t="n"/>
      <c r="M1482" s="8">
        <f>IF(COUNT(D1482:L1482)=0,"",MIN(D1482:L1482))</f>
        <v/>
      </c>
      <c r="N1482" s="8">
        <f>IF(COUNT(D1482:L1482)=0,"",MEDIAN(D1482:L1482))</f>
        <v/>
      </c>
      <c r="O1482" s="8">
        <f>IF(COUNT(D1482:L1482)=0,"",MAX(D1482:L1482))</f>
        <v/>
      </c>
      <c r="P1482" s="9">
        <f>IF(OR(M1482="",M1482=0),"",(O1482-M1482)/M1482)</f>
        <v/>
      </c>
      <c r="Q1482" s="7">
        <f>IF(COUNT(D1482:L1482)=0,"",INDEX($D$1:$L$1,MATCH(MIN(D1482:L1482),D1482:L1482,0)))</f>
        <v/>
      </c>
      <c r="R1482" s="8" t="n">
        <v>170</v>
      </c>
      <c r="S1482" s="10" t="n">
        <v>1</v>
      </c>
    </row>
    <row r="1483">
      <c r="A1483" s="7" t="inlineStr">
        <is>
          <t>MAT-32-306</t>
        </is>
      </c>
      <c r="B1483" s="4" t="inlineStr">
        <is>
          <t>Unión universal de HG 1/4"</t>
        </is>
      </c>
      <c r="C1483" s="7" t="inlineStr">
        <is>
          <t>unidad</t>
        </is>
      </c>
      <c r="D1483" s="8" t="n"/>
      <c r="E1483" s="8" t="n"/>
      <c r="F1483" s="8" t="n">
        <v>44</v>
      </c>
      <c r="G1483" s="8" t="n"/>
      <c r="H1483" s="8" t="n"/>
      <c r="I1483" s="8" t="n"/>
      <c r="J1483" s="8" t="n"/>
      <c r="K1483" s="8" t="n"/>
      <c r="L1483" s="8" t="n"/>
      <c r="M1483" s="8">
        <f>IF(COUNT(D1483:L1483)=0,"",MIN(D1483:L1483))</f>
        <v/>
      </c>
      <c r="N1483" s="8">
        <f>IF(COUNT(D1483:L1483)=0,"",MEDIAN(D1483:L1483))</f>
        <v/>
      </c>
      <c r="O1483" s="8">
        <f>IF(COUNT(D1483:L1483)=0,"",MAX(D1483:L1483))</f>
        <v/>
      </c>
      <c r="P1483" s="9">
        <f>IF(OR(M1483="",M1483=0),"",(O1483-M1483)/M1483)</f>
        <v/>
      </c>
      <c r="Q1483" s="7">
        <f>IF(COUNT(D1483:L1483)=0,"",INDEX($D$1:$L$1,MATCH(MIN(D1483:L1483),D1483:L1483,0)))</f>
        <v/>
      </c>
      <c r="R1483" s="8" t="n">
        <v>44</v>
      </c>
      <c r="S1483" s="10" t="n">
        <v>1</v>
      </c>
    </row>
    <row r="1484">
      <c r="A1484" s="7" t="inlineStr">
        <is>
          <t>MAT-32-307</t>
        </is>
      </c>
      <c r="B1484" s="4" t="inlineStr">
        <is>
          <t>Unión universal de HG 2"</t>
        </is>
      </c>
      <c r="C1484" s="7" t="inlineStr">
        <is>
          <t>unidad</t>
        </is>
      </c>
      <c r="D1484" s="8" t="n"/>
      <c r="E1484" s="8" t="n"/>
      <c r="F1484" s="8" t="n">
        <v>827</v>
      </c>
      <c r="G1484" s="8" t="n"/>
      <c r="H1484" s="8" t="n"/>
      <c r="I1484" s="8" t="n"/>
      <c r="J1484" s="8" t="n"/>
      <c r="K1484" s="8" t="n"/>
      <c r="L1484" s="8" t="n"/>
      <c r="M1484" s="8">
        <f>IF(COUNT(D1484:L1484)=0,"",MIN(D1484:L1484))</f>
        <v/>
      </c>
      <c r="N1484" s="8">
        <f>IF(COUNT(D1484:L1484)=0,"",MEDIAN(D1484:L1484))</f>
        <v/>
      </c>
      <c r="O1484" s="8">
        <f>IF(COUNT(D1484:L1484)=0,"",MAX(D1484:L1484))</f>
        <v/>
      </c>
      <c r="P1484" s="9">
        <f>IF(OR(M1484="",M1484=0),"",(O1484-M1484)/M1484)</f>
        <v/>
      </c>
      <c r="Q1484" s="7">
        <f>IF(COUNT(D1484:L1484)=0,"",INDEX($D$1:$L$1,MATCH(MIN(D1484:L1484),D1484:L1484,0)))</f>
        <v/>
      </c>
      <c r="R1484" s="8" t="n">
        <v>827</v>
      </c>
      <c r="S1484" s="10" t="n">
        <v>1</v>
      </c>
    </row>
    <row r="1485">
      <c r="A1485" s="7" t="inlineStr">
        <is>
          <t>MAT-32-308</t>
        </is>
      </c>
      <c r="B1485" s="4" t="inlineStr">
        <is>
          <t>Unión universal de HG 3/4"</t>
        </is>
      </c>
      <c r="C1485" s="7" t="inlineStr">
        <is>
          <t>unidad</t>
        </is>
      </c>
      <c r="D1485" s="8" t="n"/>
      <c r="E1485" s="8" t="n"/>
      <c r="F1485" s="8" t="n">
        <v>162</v>
      </c>
      <c r="G1485" s="8" t="n"/>
      <c r="H1485" s="8" t="n"/>
      <c r="I1485" s="8" t="n"/>
      <c r="J1485" s="8" t="n"/>
      <c r="K1485" s="8" t="n"/>
      <c r="L1485" s="8" t="n"/>
      <c r="M1485" s="8">
        <f>IF(COUNT(D1485:L1485)=0,"",MIN(D1485:L1485))</f>
        <v/>
      </c>
      <c r="N1485" s="8">
        <f>IF(COUNT(D1485:L1485)=0,"",MEDIAN(D1485:L1485))</f>
        <v/>
      </c>
      <c r="O1485" s="8">
        <f>IF(COUNT(D1485:L1485)=0,"",MAX(D1485:L1485))</f>
        <v/>
      </c>
      <c r="P1485" s="9">
        <f>IF(OR(M1485="",M1485=0),"",(O1485-M1485)/M1485)</f>
        <v/>
      </c>
      <c r="Q1485" s="7">
        <f>IF(COUNT(D1485:L1485)=0,"",INDEX($D$1:$L$1,MATCH(MIN(D1485:L1485),D1485:L1485,0)))</f>
        <v/>
      </c>
      <c r="R1485" s="8" t="n">
        <v>162</v>
      </c>
      <c r="S1485" s="10" t="n">
        <v>1</v>
      </c>
    </row>
    <row r="1486">
      <c r="A1486" s="7" t="inlineStr">
        <is>
          <t>MAT-32-309</t>
        </is>
      </c>
      <c r="B1486" s="4" t="inlineStr">
        <is>
          <t>Unión universal de HG 3/8"</t>
        </is>
      </c>
      <c r="C1486" s="7" t="inlineStr">
        <is>
          <t>unidad</t>
        </is>
      </c>
      <c r="D1486" s="8" t="n"/>
      <c r="E1486" s="8" t="n"/>
      <c r="F1486" s="8" t="n">
        <v>12</v>
      </c>
      <c r="G1486" s="8" t="n"/>
      <c r="H1486" s="8" t="n"/>
      <c r="I1486" s="8" t="n"/>
      <c r="J1486" s="8" t="n"/>
      <c r="K1486" s="8" t="n"/>
      <c r="L1486" s="8" t="n"/>
      <c r="M1486" s="8">
        <f>IF(COUNT(D1486:L1486)=0,"",MIN(D1486:L1486))</f>
        <v/>
      </c>
      <c r="N1486" s="8">
        <f>IF(COUNT(D1486:L1486)=0,"",MEDIAN(D1486:L1486))</f>
        <v/>
      </c>
      <c r="O1486" s="8">
        <f>IF(COUNT(D1486:L1486)=0,"",MAX(D1486:L1486))</f>
        <v/>
      </c>
      <c r="P1486" s="9">
        <f>IF(OR(M1486="",M1486=0),"",(O1486-M1486)/M1486)</f>
        <v/>
      </c>
      <c r="Q1486" s="7">
        <f>IF(COUNT(D1486:L1486)=0,"",INDEX($D$1:$L$1,MATCH(MIN(D1486:L1486),D1486:L1486,0)))</f>
        <v/>
      </c>
      <c r="R1486" s="8" t="n">
        <v>12</v>
      </c>
      <c r="S1486" s="10" t="n">
        <v>1</v>
      </c>
    </row>
    <row r="1487">
      <c r="A1487" s="7" t="inlineStr">
        <is>
          <t>MAT-32-310</t>
        </is>
      </c>
      <c r="B1487" s="4" t="inlineStr">
        <is>
          <t>Unión universal de PPR 25 mm</t>
        </is>
      </c>
      <c r="C1487" s="7" t="inlineStr">
        <is>
          <t>unidad</t>
        </is>
      </c>
      <c r="D1487" s="8" t="n"/>
      <c r="E1487" s="8" t="n"/>
      <c r="F1487" s="8" t="n">
        <v>166</v>
      </c>
      <c r="G1487" s="8" t="n"/>
      <c r="H1487" s="8" t="n"/>
      <c r="I1487" s="8" t="n"/>
      <c r="J1487" s="8" t="n"/>
      <c r="K1487" s="8" t="n"/>
      <c r="L1487" s="8" t="n"/>
      <c r="M1487" s="8">
        <f>IF(COUNT(D1487:L1487)=0,"",MIN(D1487:L1487))</f>
        <v/>
      </c>
      <c r="N1487" s="8">
        <f>IF(COUNT(D1487:L1487)=0,"",MEDIAN(D1487:L1487))</f>
        <v/>
      </c>
      <c r="O1487" s="8">
        <f>IF(COUNT(D1487:L1487)=0,"",MAX(D1487:L1487))</f>
        <v/>
      </c>
      <c r="P1487" s="9">
        <f>IF(OR(M1487="",M1487=0),"",(O1487-M1487)/M1487)</f>
        <v/>
      </c>
      <c r="Q1487" s="7">
        <f>IF(COUNT(D1487:L1487)=0,"",INDEX($D$1:$L$1,MATCH(MIN(D1487:L1487),D1487:L1487,0)))</f>
        <v/>
      </c>
      <c r="R1487" s="8" t="n">
        <v>166</v>
      </c>
      <c r="S1487" s="10" t="n">
        <v>1</v>
      </c>
    </row>
    <row r="1488">
      <c r="A1488" s="7" t="inlineStr">
        <is>
          <t>MAT-32-311</t>
        </is>
      </c>
      <c r="B1488" s="4" t="inlineStr">
        <is>
          <t>Unión universal de PVC 1 1/2"</t>
        </is>
      </c>
      <c r="C1488" s="7" t="inlineStr">
        <is>
          <t>unidad</t>
        </is>
      </c>
      <c r="D1488" s="8" t="n"/>
      <c r="E1488" s="8" t="n"/>
      <c r="F1488" s="8" t="n"/>
      <c r="G1488" s="8" t="n"/>
      <c r="H1488" s="8" t="n"/>
      <c r="I1488" s="8" t="n"/>
      <c r="J1488" s="8" t="n"/>
      <c r="K1488" s="8" t="n">
        <v>103</v>
      </c>
      <c r="L1488" s="8" t="n"/>
      <c r="M1488" s="8">
        <f>IF(COUNT(D1488:L1488)=0,"",MIN(D1488:L1488))</f>
        <v/>
      </c>
      <c r="N1488" s="8">
        <f>IF(COUNT(D1488:L1488)=0,"",MEDIAN(D1488:L1488))</f>
        <v/>
      </c>
      <c r="O1488" s="8">
        <f>IF(COUNT(D1488:L1488)=0,"",MAX(D1488:L1488))</f>
        <v/>
      </c>
      <c r="P1488" s="9">
        <f>IF(OR(M1488="",M1488=0),"",(O1488-M1488)/M1488)</f>
        <v/>
      </c>
      <c r="Q1488" s="7">
        <f>IF(COUNT(D1488:L1488)=0,"",INDEX($D$1:$L$1,MATCH(MIN(D1488:L1488),D1488:L1488,0)))</f>
        <v/>
      </c>
      <c r="R1488" s="8" t="n">
        <v>121.54</v>
      </c>
      <c r="S1488" s="10" t="n">
        <v>1</v>
      </c>
    </row>
    <row r="1489">
      <c r="A1489" s="7" t="inlineStr">
        <is>
          <t>MAT-32-312</t>
        </is>
      </c>
      <c r="B1489" s="4" t="inlineStr">
        <is>
          <t>Unión universal de PVC 1/2"</t>
        </is>
      </c>
      <c r="C1489" s="7" t="inlineStr">
        <is>
          <t>unidad</t>
        </is>
      </c>
      <c r="D1489" s="8" t="n"/>
      <c r="E1489" s="8" t="n"/>
      <c r="F1489" s="8" t="n">
        <v>75</v>
      </c>
      <c r="G1489" s="8" t="n"/>
      <c r="H1489" s="8" t="n"/>
      <c r="I1489" s="8" t="n"/>
      <c r="J1489" s="8" t="n"/>
      <c r="K1489" s="8" t="n">
        <v>22.87</v>
      </c>
      <c r="L1489" s="8" t="n"/>
      <c r="M1489" s="8">
        <f>IF(COUNT(D1489:L1489)=0,"",MIN(D1489:L1489))</f>
        <v/>
      </c>
      <c r="N1489" s="8">
        <f>IF(COUNT(D1489:L1489)=0,"",MEDIAN(D1489:L1489))</f>
        <v/>
      </c>
      <c r="O1489" s="8">
        <f>IF(COUNT(D1489:L1489)=0,"",MAX(D1489:L1489))</f>
        <v/>
      </c>
      <c r="P1489" s="9">
        <f>IF(OR(M1489="",M1489=0),"",(O1489-M1489)/M1489)</f>
        <v/>
      </c>
      <c r="Q1489" s="7">
        <f>IF(COUNT(D1489:L1489)=0,"",INDEX($D$1:$L$1,MATCH(MIN(D1489:L1489),D1489:L1489,0)))</f>
        <v/>
      </c>
      <c r="R1489" s="8" t="n">
        <v>50.99</v>
      </c>
      <c r="S1489" s="10" t="n">
        <v>2</v>
      </c>
    </row>
    <row r="1490">
      <c r="A1490" s="7" t="inlineStr">
        <is>
          <t>MAT-32-313</t>
        </is>
      </c>
      <c r="B1490" s="4" t="inlineStr">
        <is>
          <t>Unión universal de PVC 1"</t>
        </is>
      </c>
      <c r="C1490" s="7" t="inlineStr">
        <is>
          <t>unidad</t>
        </is>
      </c>
      <c r="D1490" s="8" t="n"/>
      <c r="E1490" s="8" t="n"/>
      <c r="F1490" s="8" t="n">
        <v>135</v>
      </c>
      <c r="G1490" s="8" t="n"/>
      <c r="H1490" s="8" t="n"/>
      <c r="I1490" s="8" t="n"/>
      <c r="J1490" s="8" t="n"/>
      <c r="K1490" s="8" t="n">
        <v>41.92</v>
      </c>
      <c r="L1490" s="8" t="n"/>
      <c r="M1490" s="8">
        <f>IF(COUNT(D1490:L1490)=0,"",MIN(D1490:L1490))</f>
        <v/>
      </c>
      <c r="N1490" s="8">
        <f>IF(COUNT(D1490:L1490)=0,"",MEDIAN(D1490:L1490))</f>
        <v/>
      </c>
      <c r="O1490" s="8">
        <f>IF(COUNT(D1490:L1490)=0,"",MAX(D1490:L1490))</f>
        <v/>
      </c>
      <c r="P1490" s="9">
        <f>IF(OR(M1490="",M1490=0),"",(O1490-M1490)/M1490)</f>
        <v/>
      </c>
      <c r="Q1490" s="7">
        <f>IF(COUNT(D1490:L1490)=0,"",INDEX($D$1:$L$1,MATCH(MIN(D1490:L1490),D1490:L1490,0)))</f>
        <v/>
      </c>
      <c r="R1490" s="8" t="n">
        <v>92.23</v>
      </c>
      <c r="S1490" s="10" t="n">
        <v>2</v>
      </c>
    </row>
    <row r="1491">
      <c r="A1491" s="7" t="inlineStr">
        <is>
          <t>MAT-32-314</t>
        </is>
      </c>
      <c r="B1491" s="4" t="inlineStr">
        <is>
          <t>Unión universal de PVC 2"</t>
        </is>
      </c>
      <c r="C1491" s="7" t="inlineStr">
        <is>
          <t>unidad</t>
        </is>
      </c>
      <c r="D1491" s="8" t="n"/>
      <c r="E1491" s="8" t="n"/>
      <c r="F1491" s="8" t="n">
        <v>232</v>
      </c>
      <c r="G1491" s="8" t="n"/>
      <c r="H1491" s="8" t="n"/>
      <c r="I1491" s="8" t="n"/>
      <c r="J1491" s="8" t="n"/>
      <c r="K1491" s="8" t="n">
        <v>137</v>
      </c>
      <c r="L1491" s="8" t="n"/>
      <c r="M1491" s="8">
        <f>IF(COUNT(D1491:L1491)=0,"",MIN(D1491:L1491))</f>
        <v/>
      </c>
      <c r="N1491" s="8">
        <f>IF(COUNT(D1491:L1491)=0,"",MEDIAN(D1491:L1491))</f>
        <v/>
      </c>
      <c r="O1491" s="8">
        <f>IF(COUNT(D1491:L1491)=0,"",MAX(D1491:L1491))</f>
        <v/>
      </c>
      <c r="P1491" s="9">
        <f>IF(OR(M1491="",M1491=0),"",(O1491-M1491)/M1491)</f>
        <v/>
      </c>
      <c r="Q1491" s="7">
        <f>IF(COUNT(D1491:L1491)=0,"",INDEX($D$1:$L$1,MATCH(MIN(D1491:L1491),D1491:L1491,0)))</f>
        <v/>
      </c>
      <c r="R1491" s="8" t="n">
        <v>196.83</v>
      </c>
      <c r="S1491" s="10" t="n">
        <v>2</v>
      </c>
    </row>
    <row r="1492">
      <c r="A1492" s="7" t="inlineStr">
        <is>
          <t>MAT-32-315</t>
        </is>
      </c>
      <c r="B1492" s="4" t="inlineStr">
        <is>
          <t>Unión universal de PVC 3/4"</t>
        </is>
      </c>
      <c r="C1492" s="7" t="inlineStr">
        <is>
          <t>unidad</t>
        </is>
      </c>
      <c r="D1492" s="8" t="n"/>
      <c r="E1492" s="8" t="n"/>
      <c r="F1492" s="8" t="n">
        <v>95</v>
      </c>
      <c r="G1492" s="8" t="n"/>
      <c r="H1492" s="8" t="n"/>
      <c r="I1492" s="8" t="n"/>
      <c r="J1492" s="8" t="n"/>
      <c r="K1492" s="8" t="n">
        <v>28.17</v>
      </c>
      <c r="L1492" s="8" t="n"/>
      <c r="M1492" s="8">
        <f>IF(COUNT(D1492:L1492)=0,"",MIN(D1492:L1492))</f>
        <v/>
      </c>
      <c r="N1492" s="8">
        <f>IF(COUNT(D1492:L1492)=0,"",MEDIAN(D1492:L1492))</f>
        <v/>
      </c>
      <c r="O1492" s="8">
        <f>IF(COUNT(D1492:L1492)=0,"",MAX(D1492:L1492))</f>
        <v/>
      </c>
      <c r="P1492" s="9">
        <f>IF(OR(M1492="",M1492=0),"",(O1492-M1492)/M1492)</f>
        <v/>
      </c>
      <c r="Q1492" s="7">
        <f>IF(COUNT(D1492:L1492)=0,"",INDEX($D$1:$L$1,MATCH(MIN(D1492:L1492),D1492:L1492,0)))</f>
        <v/>
      </c>
      <c r="R1492" s="8" t="n">
        <v>64.12</v>
      </c>
      <c r="S1492" s="10" t="n">
        <v>2</v>
      </c>
    </row>
    <row r="1493">
      <c r="A1493" s="7" t="inlineStr">
        <is>
          <t>MAT-32-316</t>
        </is>
      </c>
      <c r="B1493" s="4" t="inlineStr">
        <is>
          <t>Unión universal de PVC 3"</t>
        </is>
      </c>
      <c r="C1493" s="7" t="inlineStr">
        <is>
          <t>unidad</t>
        </is>
      </c>
      <c r="D1493" s="8" t="n"/>
      <c r="E1493" s="8" t="n"/>
      <c r="F1493" s="8" t="n"/>
      <c r="G1493" s="8" t="n"/>
      <c r="H1493" s="8" t="n"/>
      <c r="I1493" s="8" t="n"/>
      <c r="J1493" s="8" t="n"/>
      <c r="K1493" s="8" t="n">
        <v>450</v>
      </c>
      <c r="L1493" s="8" t="n"/>
      <c r="M1493" s="8">
        <f>IF(COUNT(D1493:L1493)=0,"",MIN(D1493:L1493))</f>
        <v/>
      </c>
      <c r="N1493" s="8">
        <f>IF(COUNT(D1493:L1493)=0,"",MEDIAN(D1493:L1493))</f>
        <v/>
      </c>
      <c r="O1493" s="8">
        <f>IF(COUNT(D1493:L1493)=0,"",MAX(D1493:L1493))</f>
        <v/>
      </c>
      <c r="P1493" s="9">
        <f>IF(OR(M1493="",M1493=0),"",(O1493-M1493)/M1493)</f>
        <v/>
      </c>
      <c r="Q1493" s="7">
        <f>IF(COUNT(D1493:L1493)=0,"",INDEX($D$1:$L$1,MATCH(MIN(D1493:L1493),D1493:L1493,0)))</f>
        <v/>
      </c>
      <c r="R1493" s="8" t="n">
        <v>531</v>
      </c>
      <c r="S1493" s="10" t="n">
        <v>1</v>
      </c>
    </row>
    <row r="1494">
      <c r="A1494" s="7" t="inlineStr">
        <is>
          <t>MAT-32-317</t>
        </is>
      </c>
      <c r="B1494" s="4" t="inlineStr">
        <is>
          <t>Unión universal de PVC SCH-80 1"</t>
        </is>
      </c>
      <c r="C1494" s="7" t="inlineStr">
        <is>
          <t>unidad</t>
        </is>
      </c>
      <c r="D1494" s="8" t="n"/>
      <c r="E1494" s="8" t="n"/>
      <c r="F1494" s="8" t="n"/>
      <c r="G1494" s="8" t="n"/>
      <c r="H1494" s="8" t="n"/>
      <c r="I1494" s="8" t="n"/>
      <c r="J1494" s="8" t="n"/>
      <c r="K1494" s="8" t="n">
        <v>83.29000000000001</v>
      </c>
      <c r="L1494" s="8" t="n"/>
      <c r="M1494" s="8">
        <f>IF(COUNT(D1494:L1494)=0,"",MIN(D1494:L1494))</f>
        <v/>
      </c>
      <c r="N1494" s="8">
        <f>IF(COUNT(D1494:L1494)=0,"",MEDIAN(D1494:L1494))</f>
        <v/>
      </c>
      <c r="O1494" s="8">
        <f>IF(COUNT(D1494:L1494)=0,"",MAX(D1494:L1494))</f>
        <v/>
      </c>
      <c r="P1494" s="9">
        <f>IF(OR(M1494="",M1494=0),"",(O1494-M1494)/M1494)</f>
        <v/>
      </c>
      <c r="Q1494" s="7">
        <f>IF(COUNT(D1494:L1494)=0,"",INDEX($D$1:$L$1,MATCH(MIN(D1494:L1494),D1494:L1494,0)))</f>
        <v/>
      </c>
      <c r="R1494" s="8" t="n">
        <v>98.28</v>
      </c>
      <c r="S1494" s="10" t="n">
        <v>1</v>
      </c>
    </row>
    <row r="1495">
      <c r="A1495" s="7" t="inlineStr">
        <is>
          <t>MAT-32-318</t>
        </is>
      </c>
      <c r="B1495" s="4" t="inlineStr">
        <is>
          <t>Yee de PVC drenaje 1 1/2"</t>
        </is>
      </c>
      <c r="C1495" s="7" t="inlineStr">
        <is>
          <t>unidad</t>
        </is>
      </c>
      <c r="D1495" s="8" t="n"/>
      <c r="E1495" s="8" t="n"/>
      <c r="F1495" s="8" t="n">
        <v>47</v>
      </c>
      <c r="G1495" s="8" t="n"/>
      <c r="H1495" s="8" t="n"/>
      <c r="I1495" s="8" t="n"/>
      <c r="J1495" s="8" t="n"/>
      <c r="K1495" s="8" t="n"/>
      <c r="L1495" s="8" t="n"/>
      <c r="M1495" s="8">
        <f>IF(COUNT(D1495:L1495)=0,"",MIN(D1495:L1495))</f>
        <v/>
      </c>
      <c r="N1495" s="8">
        <f>IF(COUNT(D1495:L1495)=0,"",MEDIAN(D1495:L1495))</f>
        <v/>
      </c>
      <c r="O1495" s="8">
        <f>IF(COUNT(D1495:L1495)=0,"",MAX(D1495:L1495))</f>
        <v/>
      </c>
      <c r="P1495" s="9">
        <f>IF(OR(M1495="",M1495=0),"",(O1495-M1495)/M1495)</f>
        <v/>
      </c>
      <c r="Q1495" s="7">
        <f>IF(COUNT(D1495:L1495)=0,"",INDEX($D$1:$L$1,MATCH(MIN(D1495:L1495),D1495:L1495,0)))</f>
        <v/>
      </c>
      <c r="R1495" s="8" t="n">
        <v>47</v>
      </c>
      <c r="S1495" s="10" t="n">
        <v>1</v>
      </c>
    </row>
    <row r="1496">
      <c r="A1496" s="7" t="inlineStr">
        <is>
          <t>MAT-32-319</t>
        </is>
      </c>
      <c r="B1496" s="4" t="inlineStr">
        <is>
          <t>Yee de PVC drenaje 2"</t>
        </is>
      </c>
      <c r="C1496" s="7" t="inlineStr">
        <is>
          <t>unidad</t>
        </is>
      </c>
      <c r="D1496" s="8" t="n"/>
      <c r="E1496" s="8" t="n"/>
      <c r="F1496" s="8" t="n">
        <v>145</v>
      </c>
      <c r="G1496" s="8" t="n"/>
      <c r="H1496" s="8" t="n"/>
      <c r="I1496" s="8" t="n"/>
      <c r="J1496" s="8" t="n"/>
      <c r="K1496" s="8" t="n"/>
      <c r="L1496" s="8" t="n"/>
      <c r="M1496" s="8">
        <f>IF(COUNT(D1496:L1496)=0,"",MIN(D1496:L1496))</f>
        <v/>
      </c>
      <c r="N1496" s="8">
        <f>IF(COUNT(D1496:L1496)=0,"",MEDIAN(D1496:L1496))</f>
        <v/>
      </c>
      <c r="O1496" s="8">
        <f>IF(COUNT(D1496:L1496)=0,"",MAX(D1496:L1496))</f>
        <v/>
      </c>
      <c r="P1496" s="9">
        <f>IF(OR(M1496="",M1496=0),"",(O1496-M1496)/M1496)</f>
        <v/>
      </c>
      <c r="Q1496" s="7">
        <f>IF(COUNT(D1496:L1496)=0,"",INDEX($D$1:$L$1,MATCH(MIN(D1496:L1496),D1496:L1496,0)))</f>
        <v/>
      </c>
      <c r="R1496" s="8" t="n">
        <v>145</v>
      </c>
      <c r="S1496" s="10" t="n">
        <v>1</v>
      </c>
    </row>
    <row r="1497">
      <c r="A1497" s="7" t="inlineStr">
        <is>
          <t>MAT-32-320</t>
        </is>
      </c>
      <c r="B1497" s="4" t="inlineStr">
        <is>
          <t>Yee de PVC drenaje 3" x 2"</t>
        </is>
      </c>
      <c r="C1497" s="7" t="inlineStr">
        <is>
          <t>unidad</t>
        </is>
      </c>
      <c r="D1497" s="8" t="n"/>
      <c r="E1497" s="8" t="n"/>
      <c r="F1497" s="8" t="n">
        <v>205</v>
      </c>
      <c r="G1497" s="8" t="n"/>
      <c r="H1497" s="8" t="n"/>
      <c r="I1497" s="8" t="n"/>
      <c r="J1497" s="8" t="n"/>
      <c r="K1497" s="8" t="n"/>
      <c r="L1497" s="8" t="n"/>
      <c r="M1497" s="8">
        <f>IF(COUNT(D1497:L1497)=0,"",MIN(D1497:L1497))</f>
        <v/>
      </c>
      <c r="N1497" s="8">
        <f>IF(COUNT(D1497:L1497)=0,"",MEDIAN(D1497:L1497))</f>
        <v/>
      </c>
      <c r="O1497" s="8">
        <f>IF(COUNT(D1497:L1497)=0,"",MAX(D1497:L1497))</f>
        <v/>
      </c>
      <c r="P1497" s="9">
        <f>IF(OR(M1497="",M1497=0),"",(O1497-M1497)/M1497)</f>
        <v/>
      </c>
      <c r="Q1497" s="7">
        <f>IF(COUNT(D1497:L1497)=0,"",INDEX($D$1:$L$1,MATCH(MIN(D1497:L1497),D1497:L1497,0)))</f>
        <v/>
      </c>
      <c r="R1497" s="8" t="n">
        <v>205</v>
      </c>
      <c r="S1497" s="10" t="n">
        <v>1</v>
      </c>
    </row>
    <row r="1498">
      <c r="A1498" s="7" t="inlineStr">
        <is>
          <t>MAT-32-321</t>
        </is>
      </c>
      <c r="B1498" s="4" t="inlineStr">
        <is>
          <t>Yee de PVC drenaje 4"</t>
        </is>
      </c>
      <c r="C1498" s="7" t="inlineStr">
        <is>
          <t>unidad</t>
        </is>
      </c>
      <c r="D1498" s="8" t="n"/>
      <c r="E1498" s="8" t="n"/>
      <c r="F1498" s="8" t="n">
        <v>425</v>
      </c>
      <c r="G1498" s="8" t="n"/>
      <c r="H1498" s="8" t="n"/>
      <c r="I1498" s="8" t="n"/>
      <c r="J1498" s="8" t="n"/>
      <c r="K1498" s="8" t="n"/>
      <c r="L1498" s="8" t="n"/>
      <c r="M1498" s="8">
        <f>IF(COUNT(D1498:L1498)=0,"",MIN(D1498:L1498))</f>
        <v/>
      </c>
      <c r="N1498" s="8">
        <f>IF(COUNT(D1498:L1498)=0,"",MEDIAN(D1498:L1498))</f>
        <v/>
      </c>
      <c r="O1498" s="8">
        <f>IF(COUNT(D1498:L1498)=0,"",MAX(D1498:L1498))</f>
        <v/>
      </c>
      <c r="P1498" s="9">
        <f>IF(OR(M1498="",M1498=0),"",(O1498-M1498)/M1498)</f>
        <v/>
      </c>
      <c r="Q1498" s="7">
        <f>IF(COUNT(D1498:L1498)=0,"",INDEX($D$1:$L$1,MATCH(MIN(D1498:L1498),D1498:L1498,0)))</f>
        <v/>
      </c>
      <c r="R1498" s="8" t="n">
        <v>425</v>
      </c>
      <c r="S1498" s="10" t="n">
        <v>1</v>
      </c>
    </row>
    <row r="1499">
      <c r="A1499" s="7" t="inlineStr">
        <is>
          <t>MAT-32-322</t>
        </is>
      </c>
      <c r="B1499" s="4" t="inlineStr">
        <is>
          <t>Yee de PVC drenaje 4" x 2"</t>
        </is>
      </c>
      <c r="C1499" s="7" t="inlineStr">
        <is>
          <t>unidad</t>
        </is>
      </c>
      <c r="D1499" s="8" t="n"/>
      <c r="E1499" s="8" t="n"/>
      <c r="F1499" s="8" t="n">
        <v>265</v>
      </c>
      <c r="G1499" s="8" t="n"/>
      <c r="H1499" s="8" t="n"/>
      <c r="I1499" s="8" t="n"/>
      <c r="J1499" s="8" t="n"/>
      <c r="K1499" s="8" t="n"/>
      <c r="L1499" s="8" t="n"/>
      <c r="M1499" s="8">
        <f>IF(COUNT(D1499:L1499)=0,"",MIN(D1499:L1499))</f>
        <v/>
      </c>
      <c r="N1499" s="8">
        <f>IF(COUNT(D1499:L1499)=0,"",MEDIAN(D1499:L1499))</f>
        <v/>
      </c>
      <c r="O1499" s="8">
        <f>IF(COUNT(D1499:L1499)=0,"",MAX(D1499:L1499))</f>
        <v/>
      </c>
      <c r="P1499" s="9">
        <f>IF(OR(M1499="",M1499=0),"",(O1499-M1499)/M1499)</f>
        <v/>
      </c>
      <c r="Q1499" s="7">
        <f>IF(COUNT(D1499:L1499)=0,"",INDEX($D$1:$L$1,MATCH(MIN(D1499:L1499),D1499:L1499,0)))</f>
        <v/>
      </c>
      <c r="R1499" s="8" t="n">
        <v>265</v>
      </c>
      <c r="S1499" s="10" t="n">
        <v>1</v>
      </c>
    </row>
    <row r="1500">
      <c r="A1500" s="7" t="inlineStr">
        <is>
          <t>MAT-32-323</t>
        </is>
      </c>
      <c r="B1500" s="4" t="inlineStr">
        <is>
          <t>Llave de paso angular de latón 1/2"</t>
        </is>
      </c>
      <c r="C1500" s="7" t="inlineStr">
        <is>
          <t>unidad</t>
        </is>
      </c>
      <c r="D1500" s="8" t="n"/>
      <c r="E1500" s="8" t="n"/>
      <c r="F1500" s="8" t="n"/>
      <c r="G1500" s="8" t="n"/>
      <c r="H1500" s="8" t="n">
        <v>355</v>
      </c>
      <c r="I1500" s="8" t="n"/>
      <c r="J1500" s="8" t="n"/>
      <c r="K1500" s="8" t="n"/>
      <c r="L1500" s="8" t="n"/>
      <c r="M1500" s="8">
        <f>IF(COUNT(D1500:L1500)=0,"",MIN(D1500:L1500))</f>
        <v/>
      </c>
      <c r="N1500" s="8">
        <f>IF(COUNT(D1500:L1500)=0,"",MEDIAN(D1500:L1500))</f>
        <v/>
      </c>
      <c r="O1500" s="8">
        <f>IF(COUNT(D1500:L1500)=0,"",MAX(D1500:L1500))</f>
        <v/>
      </c>
      <c r="P1500" s="9">
        <f>IF(OR(M1500="",M1500=0),"",(O1500-M1500)/M1500)</f>
        <v/>
      </c>
      <c r="Q1500" s="7">
        <f>IF(COUNT(D1500:L1500)=0,"",INDEX($D$1:$L$1,MATCH(MIN(D1500:L1500),D1500:L1500,0)))</f>
        <v/>
      </c>
      <c r="R1500" s="8" t="n">
        <v>375</v>
      </c>
      <c r="S1500" s="10" t="n">
        <v>1</v>
      </c>
    </row>
    <row r="1501">
      <c r="A1501" s="7" t="inlineStr">
        <is>
          <t>MAT-32-324</t>
        </is>
      </c>
      <c r="B1501" s="4" t="inlineStr">
        <is>
          <t>Llave de paso angular de metal 1/2"</t>
        </is>
      </c>
      <c r="C1501" s="7" t="inlineStr">
        <is>
          <t>unidad</t>
        </is>
      </c>
      <c r="D1501" s="8" t="n"/>
      <c r="E1501" s="8" t="n"/>
      <c r="F1501" s="8" t="n">
        <v>271</v>
      </c>
      <c r="G1501" s="8" t="n"/>
      <c r="H1501" s="8" t="n">
        <v>140</v>
      </c>
      <c r="I1501" s="8" t="n"/>
      <c r="J1501" s="8" t="n"/>
      <c r="K1501" s="8" t="n"/>
      <c r="L1501" s="8" t="n"/>
      <c r="M1501" s="8">
        <f>IF(COUNT(D1501:L1501)=0,"",MIN(D1501:L1501))</f>
        <v/>
      </c>
      <c r="N1501" s="8">
        <f>IF(COUNT(D1501:L1501)=0,"",MEDIAN(D1501:L1501))</f>
        <v/>
      </c>
      <c r="O1501" s="8">
        <f>IF(COUNT(D1501:L1501)=0,"",MAX(D1501:L1501))</f>
        <v/>
      </c>
      <c r="P1501" s="9">
        <f>IF(OR(M1501="",M1501=0),"",(O1501-M1501)/M1501)</f>
        <v/>
      </c>
      <c r="Q1501" s="7">
        <f>IF(COUNT(D1501:L1501)=0,"",INDEX($D$1:$L$1,MATCH(MIN(D1501:L1501),D1501:L1501,0)))</f>
        <v/>
      </c>
      <c r="R1501" s="8" t="n">
        <v>271</v>
      </c>
      <c r="S1501" s="10" t="n">
        <v>2</v>
      </c>
    </row>
    <row r="1502">
      <c r="A1502" s="7" t="inlineStr">
        <is>
          <t>MAT-32-325</t>
        </is>
      </c>
      <c r="B1502" s="4" t="inlineStr">
        <is>
          <t>Llave de paso angular de metal 3/8"</t>
        </is>
      </c>
      <c r="C1502" s="7" t="inlineStr">
        <is>
          <t>unidad</t>
        </is>
      </c>
      <c r="D1502" s="8" t="n"/>
      <c r="E1502" s="8" t="n"/>
      <c r="F1502" s="8" t="n">
        <v>257</v>
      </c>
      <c r="G1502" s="8" t="n"/>
      <c r="H1502" s="8" t="n">
        <v>285</v>
      </c>
      <c r="I1502" s="8" t="n"/>
      <c r="J1502" s="8" t="n"/>
      <c r="K1502" s="8" t="n"/>
      <c r="L1502" s="8" t="n"/>
      <c r="M1502" s="8">
        <f>IF(COUNT(D1502:L1502)=0,"",MIN(D1502:L1502))</f>
        <v/>
      </c>
      <c r="N1502" s="8">
        <f>IF(COUNT(D1502:L1502)=0,"",MEDIAN(D1502:L1502))</f>
        <v/>
      </c>
      <c r="O1502" s="8">
        <f>IF(COUNT(D1502:L1502)=0,"",MAX(D1502:L1502))</f>
        <v/>
      </c>
      <c r="P1502" s="9">
        <f>IF(OR(M1502="",M1502=0),"",(O1502-M1502)/M1502)</f>
        <v/>
      </c>
      <c r="Q1502" s="7">
        <f>IF(COUNT(D1502:L1502)=0,"",INDEX($D$1:$L$1,MATCH(MIN(D1502:L1502),D1502:L1502,0)))</f>
        <v/>
      </c>
      <c r="R1502" s="8" t="n">
        <v>336.5</v>
      </c>
      <c r="S1502" s="10" t="n">
        <v>2</v>
      </c>
    </row>
    <row r="1503">
      <c r="A1503" s="7" t="inlineStr">
        <is>
          <t>MAT-32-326</t>
        </is>
      </c>
      <c r="B1503" s="4" t="inlineStr">
        <is>
          <t>Llave de paso compuerta de latón 1 1/2"</t>
        </is>
      </c>
      <c r="C1503" s="7" t="inlineStr">
        <is>
          <t>unidad</t>
        </is>
      </c>
      <c r="D1503" s="8" t="n"/>
      <c r="E1503" s="8" t="n"/>
      <c r="F1503" s="8" t="n"/>
      <c r="G1503" s="8" t="n"/>
      <c r="H1503" s="8" t="n">
        <v>1299</v>
      </c>
      <c r="I1503" s="8" t="n"/>
      <c r="J1503" s="8" t="n"/>
      <c r="K1503" s="8" t="n"/>
      <c r="L1503" s="8" t="n"/>
      <c r="M1503" s="8">
        <f>IF(COUNT(D1503:L1503)=0,"",MIN(D1503:L1503))</f>
        <v/>
      </c>
      <c r="N1503" s="8">
        <f>IF(COUNT(D1503:L1503)=0,"",MEDIAN(D1503:L1503))</f>
        <v/>
      </c>
      <c r="O1503" s="8">
        <f>IF(COUNT(D1503:L1503)=0,"",MAX(D1503:L1503))</f>
        <v/>
      </c>
      <c r="P1503" s="9">
        <f>IF(OR(M1503="",M1503=0),"",(O1503-M1503)/M1503)</f>
        <v/>
      </c>
      <c r="Q1503" s="7">
        <f>IF(COUNT(D1503:L1503)=0,"",INDEX($D$1:$L$1,MATCH(MIN(D1503:L1503),D1503:L1503,0)))</f>
        <v/>
      </c>
      <c r="R1503" s="8" t="n">
        <v>1299</v>
      </c>
      <c r="S1503" s="10" t="n">
        <v>1</v>
      </c>
    </row>
    <row r="1504">
      <c r="A1504" s="7" t="inlineStr">
        <is>
          <t>MAT-32-327</t>
        </is>
      </c>
      <c r="B1504" s="4" t="inlineStr">
        <is>
          <t>Llave de paso compuerta de latón 1 1/4"</t>
        </is>
      </c>
      <c r="C1504" s="7" t="inlineStr">
        <is>
          <t>unidad</t>
        </is>
      </c>
      <c r="D1504" s="8" t="n"/>
      <c r="E1504" s="8" t="n"/>
      <c r="F1504" s="8" t="n"/>
      <c r="G1504" s="8" t="n"/>
      <c r="H1504" s="8" t="n">
        <v>1075</v>
      </c>
      <c r="I1504" s="8" t="n"/>
      <c r="J1504" s="8" t="n"/>
      <c r="K1504" s="8" t="n"/>
      <c r="L1504" s="8" t="n"/>
      <c r="M1504" s="8">
        <f>IF(COUNT(D1504:L1504)=0,"",MIN(D1504:L1504))</f>
        <v/>
      </c>
      <c r="N1504" s="8">
        <f>IF(COUNT(D1504:L1504)=0,"",MEDIAN(D1504:L1504))</f>
        <v/>
      </c>
      <c r="O1504" s="8">
        <f>IF(COUNT(D1504:L1504)=0,"",MAX(D1504:L1504))</f>
        <v/>
      </c>
      <c r="P1504" s="9">
        <f>IF(OR(M1504="",M1504=0),"",(O1504-M1504)/M1504)</f>
        <v/>
      </c>
      <c r="Q1504" s="7">
        <f>IF(COUNT(D1504:L1504)=0,"",INDEX($D$1:$L$1,MATCH(MIN(D1504:L1504),D1504:L1504,0)))</f>
        <v/>
      </c>
      <c r="R1504" s="8" t="n">
        <v>1075</v>
      </c>
      <c r="S1504" s="10" t="n">
        <v>1</v>
      </c>
    </row>
    <row r="1505">
      <c r="A1505" s="7" t="inlineStr">
        <is>
          <t>MAT-32-328</t>
        </is>
      </c>
      <c r="B1505" s="4" t="inlineStr">
        <is>
          <t>Llave de paso compuerta de latón 1/2"</t>
        </is>
      </c>
      <c r="C1505" s="7" t="inlineStr">
        <is>
          <t>unidad</t>
        </is>
      </c>
      <c r="D1505" s="8" t="n"/>
      <c r="E1505" s="8" t="n"/>
      <c r="F1505" s="8" t="n"/>
      <c r="G1505" s="8" t="n"/>
      <c r="H1505" s="8" t="n">
        <v>355</v>
      </c>
      <c r="I1505" s="8" t="n"/>
      <c r="J1505" s="8" t="n"/>
      <c r="K1505" s="8" t="n"/>
      <c r="L1505" s="8" t="n"/>
      <c r="M1505" s="8">
        <f>IF(COUNT(D1505:L1505)=0,"",MIN(D1505:L1505))</f>
        <v/>
      </c>
      <c r="N1505" s="8">
        <f>IF(COUNT(D1505:L1505)=0,"",MEDIAN(D1505:L1505))</f>
        <v/>
      </c>
      <c r="O1505" s="8">
        <f>IF(COUNT(D1505:L1505)=0,"",MAX(D1505:L1505))</f>
        <v/>
      </c>
      <c r="P1505" s="9">
        <f>IF(OR(M1505="",M1505=0),"",(O1505-M1505)/M1505)</f>
        <v/>
      </c>
      <c r="Q1505" s="7">
        <f>IF(COUNT(D1505:L1505)=0,"",INDEX($D$1:$L$1,MATCH(MIN(D1505:L1505),D1505:L1505,0)))</f>
        <v/>
      </c>
      <c r="R1505" s="8" t="n">
        <v>355</v>
      </c>
      <c r="S1505" s="10" t="n">
        <v>1</v>
      </c>
    </row>
    <row r="1506">
      <c r="A1506" s="7" t="inlineStr">
        <is>
          <t>MAT-32-329</t>
        </is>
      </c>
      <c r="B1506" s="4" t="inlineStr">
        <is>
          <t>Llave de paso compuerta de latón 1"</t>
        </is>
      </c>
      <c r="C1506" s="7" t="inlineStr">
        <is>
          <t>unidad</t>
        </is>
      </c>
      <c r="D1506" s="8" t="n"/>
      <c r="E1506" s="8" t="n"/>
      <c r="F1506" s="8" t="n"/>
      <c r="G1506" s="8" t="n"/>
      <c r="H1506" s="8" t="n">
        <v>655</v>
      </c>
      <c r="I1506" s="8" t="n"/>
      <c r="J1506" s="8" t="n"/>
      <c r="K1506" s="8" t="n"/>
      <c r="L1506" s="8" t="n"/>
      <c r="M1506" s="8">
        <f>IF(COUNT(D1506:L1506)=0,"",MIN(D1506:L1506))</f>
        <v/>
      </c>
      <c r="N1506" s="8">
        <f>IF(COUNT(D1506:L1506)=0,"",MEDIAN(D1506:L1506))</f>
        <v/>
      </c>
      <c r="O1506" s="8">
        <f>IF(COUNT(D1506:L1506)=0,"",MAX(D1506:L1506))</f>
        <v/>
      </c>
      <c r="P1506" s="9">
        <f>IF(OR(M1506="",M1506=0),"",(O1506-M1506)/M1506)</f>
        <v/>
      </c>
      <c r="Q1506" s="7">
        <f>IF(COUNT(D1506:L1506)=0,"",INDEX($D$1:$L$1,MATCH(MIN(D1506:L1506),D1506:L1506,0)))</f>
        <v/>
      </c>
      <c r="R1506" s="8" t="n">
        <v>655</v>
      </c>
      <c r="S1506" s="10" t="n">
        <v>1</v>
      </c>
    </row>
    <row r="1507">
      <c r="A1507" s="7" t="inlineStr">
        <is>
          <t>MAT-32-330</t>
        </is>
      </c>
      <c r="B1507" s="4" t="inlineStr">
        <is>
          <t>Llave de paso compuerta de latón 2"</t>
        </is>
      </c>
      <c r="C1507" s="7" t="inlineStr">
        <is>
          <t>unidad</t>
        </is>
      </c>
      <c r="D1507" s="8" t="n"/>
      <c r="E1507" s="8" t="n"/>
      <c r="F1507" s="8" t="n"/>
      <c r="G1507" s="8" t="n"/>
      <c r="H1507" s="8" t="n">
        <v>1855</v>
      </c>
      <c r="I1507" s="8" t="n"/>
      <c r="J1507" s="8" t="n"/>
      <c r="K1507" s="8" t="n"/>
      <c r="L1507" s="8" t="n"/>
      <c r="M1507" s="8">
        <f>IF(COUNT(D1507:L1507)=0,"",MIN(D1507:L1507))</f>
        <v/>
      </c>
      <c r="N1507" s="8">
        <f>IF(COUNT(D1507:L1507)=0,"",MEDIAN(D1507:L1507))</f>
        <v/>
      </c>
      <c r="O1507" s="8">
        <f>IF(COUNT(D1507:L1507)=0,"",MAX(D1507:L1507))</f>
        <v/>
      </c>
      <c r="P1507" s="9">
        <f>IF(OR(M1507="",M1507=0),"",(O1507-M1507)/M1507)</f>
        <v/>
      </c>
      <c r="Q1507" s="7">
        <f>IF(COUNT(D1507:L1507)=0,"",INDEX($D$1:$L$1,MATCH(MIN(D1507:L1507),D1507:L1507,0)))</f>
        <v/>
      </c>
      <c r="R1507" s="8" t="n">
        <v>1855</v>
      </c>
      <c r="S1507" s="10" t="n">
        <v>1</v>
      </c>
    </row>
    <row r="1508">
      <c r="A1508" s="7" t="inlineStr">
        <is>
          <t>MAT-32-331</t>
        </is>
      </c>
      <c r="B1508" s="4" t="inlineStr">
        <is>
          <t>Llave de paso compuerta de latón 3/4"</t>
        </is>
      </c>
      <c r="C1508" s="7" t="inlineStr">
        <is>
          <t>unidad</t>
        </is>
      </c>
      <c r="D1508" s="8" t="n"/>
      <c r="E1508" s="8" t="n"/>
      <c r="F1508" s="8" t="n"/>
      <c r="G1508" s="8" t="n"/>
      <c r="H1508" s="8" t="n">
        <v>449</v>
      </c>
      <c r="I1508" s="8" t="n"/>
      <c r="J1508" s="8" t="n"/>
      <c r="K1508" s="8" t="n"/>
      <c r="L1508" s="8" t="n"/>
      <c r="M1508" s="8">
        <f>IF(COUNT(D1508:L1508)=0,"",MIN(D1508:L1508))</f>
        <v/>
      </c>
      <c r="N1508" s="8">
        <f>IF(COUNT(D1508:L1508)=0,"",MEDIAN(D1508:L1508))</f>
        <v/>
      </c>
      <c r="O1508" s="8">
        <f>IF(COUNT(D1508:L1508)=0,"",MAX(D1508:L1508))</f>
        <v/>
      </c>
      <c r="P1508" s="9">
        <f>IF(OR(M1508="",M1508=0),"",(O1508-M1508)/M1508)</f>
        <v/>
      </c>
      <c r="Q1508" s="7">
        <f>IF(COUNT(D1508:L1508)=0,"",INDEX($D$1:$L$1,MATCH(MIN(D1508:L1508),D1508:L1508,0)))</f>
        <v/>
      </c>
      <c r="R1508" s="8" t="n">
        <v>449</v>
      </c>
      <c r="S1508" s="10" t="n">
        <v>1</v>
      </c>
    </row>
    <row r="1509">
      <c r="A1509" s="7" t="inlineStr">
        <is>
          <t>MAT-32-332</t>
        </is>
      </c>
      <c r="B1509" s="4" t="inlineStr">
        <is>
          <t>Llave de paso de bola de CPVC 1/2"</t>
        </is>
      </c>
      <c r="C1509" s="7" t="inlineStr">
        <is>
          <t>unidad</t>
        </is>
      </c>
      <c r="D1509" s="8" t="n"/>
      <c r="E1509" s="8" t="n"/>
      <c r="F1509" s="8" t="n">
        <v>435</v>
      </c>
      <c r="G1509" s="8" t="n"/>
      <c r="H1509" s="8" t="n"/>
      <c r="I1509" s="8" t="n"/>
      <c r="J1509" s="8" t="n"/>
      <c r="K1509" s="8" t="n"/>
      <c r="L1509" s="8" t="n"/>
      <c r="M1509" s="8">
        <f>IF(COUNT(D1509:L1509)=0,"",MIN(D1509:L1509))</f>
        <v/>
      </c>
      <c r="N1509" s="8">
        <f>IF(COUNT(D1509:L1509)=0,"",MEDIAN(D1509:L1509))</f>
        <v/>
      </c>
      <c r="O1509" s="8">
        <f>IF(COUNT(D1509:L1509)=0,"",MAX(D1509:L1509))</f>
        <v/>
      </c>
      <c r="P1509" s="9">
        <f>IF(OR(M1509="",M1509=0),"",(O1509-M1509)/M1509)</f>
        <v/>
      </c>
      <c r="Q1509" s="7">
        <f>IF(COUNT(D1509:L1509)=0,"",INDEX($D$1:$L$1,MATCH(MIN(D1509:L1509),D1509:L1509,0)))</f>
        <v/>
      </c>
      <c r="R1509" s="8" t="n">
        <v>435</v>
      </c>
      <c r="S1509" s="10" t="n">
        <v>1</v>
      </c>
    </row>
    <row r="1510">
      <c r="A1510" s="7" t="inlineStr">
        <is>
          <t>MAT-32-333</t>
        </is>
      </c>
      <c r="B1510" s="4" t="inlineStr">
        <is>
          <t>Llave de paso de bola de metal 1 1/2"</t>
        </is>
      </c>
      <c r="C1510" s="7" t="inlineStr">
        <is>
          <t>unidad</t>
        </is>
      </c>
      <c r="D1510" s="8" t="n"/>
      <c r="E1510" s="8" t="n"/>
      <c r="F1510" s="8" t="n">
        <v>1961</v>
      </c>
      <c r="G1510" s="8" t="n"/>
      <c r="H1510" s="8" t="n"/>
      <c r="I1510" s="8" t="n"/>
      <c r="J1510" s="8" t="n"/>
      <c r="K1510" s="8" t="n"/>
      <c r="L1510" s="8" t="n"/>
      <c r="M1510" s="8">
        <f>IF(COUNT(D1510:L1510)=0,"",MIN(D1510:L1510))</f>
        <v/>
      </c>
      <c r="N1510" s="8">
        <f>IF(COUNT(D1510:L1510)=0,"",MEDIAN(D1510:L1510))</f>
        <v/>
      </c>
      <c r="O1510" s="8">
        <f>IF(COUNT(D1510:L1510)=0,"",MAX(D1510:L1510))</f>
        <v/>
      </c>
      <c r="P1510" s="9">
        <f>IF(OR(M1510="",M1510=0),"",(O1510-M1510)/M1510)</f>
        <v/>
      </c>
      <c r="Q1510" s="7">
        <f>IF(COUNT(D1510:L1510)=0,"",INDEX($D$1:$L$1,MATCH(MIN(D1510:L1510),D1510:L1510,0)))</f>
        <v/>
      </c>
      <c r="R1510" s="8" t="n">
        <v>1961</v>
      </c>
      <c r="S1510" s="10" t="n">
        <v>1</v>
      </c>
    </row>
    <row r="1511">
      <c r="A1511" s="7" t="inlineStr">
        <is>
          <t>MAT-32-334</t>
        </is>
      </c>
      <c r="B1511" s="4" t="inlineStr">
        <is>
          <t>Llave de paso de bola de metal 1/2"</t>
        </is>
      </c>
      <c r="C1511" s="7" t="inlineStr">
        <is>
          <t>unidad</t>
        </is>
      </c>
      <c r="D1511" s="8" t="n"/>
      <c r="E1511" s="8" t="n"/>
      <c r="F1511" s="8" t="n">
        <v>259</v>
      </c>
      <c r="G1511" s="8" t="n"/>
      <c r="H1511" s="8" t="n"/>
      <c r="I1511" s="8" t="n"/>
      <c r="J1511" s="8" t="n"/>
      <c r="K1511" s="8" t="n"/>
      <c r="L1511" s="8" t="n"/>
      <c r="M1511" s="8">
        <f>IF(COUNT(D1511:L1511)=0,"",MIN(D1511:L1511))</f>
        <v/>
      </c>
      <c r="N1511" s="8">
        <f>IF(COUNT(D1511:L1511)=0,"",MEDIAN(D1511:L1511))</f>
        <v/>
      </c>
      <c r="O1511" s="8">
        <f>IF(COUNT(D1511:L1511)=0,"",MAX(D1511:L1511))</f>
        <v/>
      </c>
      <c r="P1511" s="9">
        <f>IF(OR(M1511="",M1511=0),"",(O1511-M1511)/M1511)</f>
        <v/>
      </c>
      <c r="Q1511" s="7">
        <f>IF(COUNT(D1511:L1511)=0,"",INDEX($D$1:$L$1,MATCH(MIN(D1511:L1511),D1511:L1511,0)))</f>
        <v/>
      </c>
      <c r="R1511" s="8" t="n">
        <v>545</v>
      </c>
      <c r="S1511" s="10" t="n">
        <v>1</v>
      </c>
    </row>
    <row r="1512">
      <c r="A1512" s="7" t="inlineStr">
        <is>
          <t>MAT-32-335</t>
        </is>
      </c>
      <c r="B1512" s="4" t="inlineStr">
        <is>
          <t>Llave de paso de bola de metal 1/4"</t>
        </is>
      </c>
      <c r="C1512" s="7" t="inlineStr">
        <is>
          <t>unidad</t>
        </is>
      </c>
      <c r="D1512" s="8" t="n"/>
      <c r="E1512" s="8" t="n"/>
      <c r="F1512" s="8" t="n">
        <v>343</v>
      </c>
      <c r="G1512" s="8" t="n"/>
      <c r="H1512" s="8" t="n"/>
      <c r="I1512" s="8" t="n"/>
      <c r="J1512" s="8" t="n"/>
      <c r="K1512" s="8" t="n"/>
      <c r="L1512" s="8" t="n"/>
      <c r="M1512" s="8">
        <f>IF(COUNT(D1512:L1512)=0,"",MIN(D1512:L1512))</f>
        <v/>
      </c>
      <c r="N1512" s="8">
        <f>IF(COUNT(D1512:L1512)=0,"",MEDIAN(D1512:L1512))</f>
        <v/>
      </c>
      <c r="O1512" s="8">
        <f>IF(COUNT(D1512:L1512)=0,"",MAX(D1512:L1512))</f>
        <v/>
      </c>
      <c r="P1512" s="9">
        <f>IF(OR(M1512="",M1512=0),"",(O1512-M1512)/M1512)</f>
        <v/>
      </c>
      <c r="Q1512" s="7">
        <f>IF(COUNT(D1512:L1512)=0,"",INDEX($D$1:$L$1,MATCH(MIN(D1512:L1512),D1512:L1512,0)))</f>
        <v/>
      </c>
      <c r="R1512" s="8" t="n">
        <v>343</v>
      </c>
      <c r="S1512" s="10" t="n">
        <v>1</v>
      </c>
    </row>
    <row r="1513">
      <c r="A1513" s="7" t="inlineStr">
        <is>
          <t>MAT-32-336</t>
        </is>
      </c>
      <c r="B1513" s="4" t="inlineStr">
        <is>
          <t>Llave de paso de bola de metal 1"</t>
        </is>
      </c>
      <c r="C1513" s="7" t="inlineStr">
        <is>
          <t>unidad</t>
        </is>
      </c>
      <c r="D1513" s="8" t="n"/>
      <c r="E1513" s="8" t="n"/>
      <c r="F1513" s="8" t="n">
        <v>831</v>
      </c>
      <c r="G1513" s="8" t="n"/>
      <c r="H1513" s="8" t="n"/>
      <c r="I1513" s="8" t="n"/>
      <c r="J1513" s="8" t="n"/>
      <c r="K1513" s="8" t="n"/>
      <c r="L1513" s="8" t="n"/>
      <c r="M1513" s="8">
        <f>IF(COUNT(D1513:L1513)=0,"",MIN(D1513:L1513))</f>
        <v/>
      </c>
      <c r="N1513" s="8">
        <f>IF(COUNT(D1513:L1513)=0,"",MEDIAN(D1513:L1513))</f>
        <v/>
      </c>
      <c r="O1513" s="8">
        <f>IF(COUNT(D1513:L1513)=0,"",MAX(D1513:L1513))</f>
        <v/>
      </c>
      <c r="P1513" s="9">
        <f>IF(OR(M1513="",M1513=0),"",(O1513-M1513)/M1513)</f>
        <v/>
      </c>
      <c r="Q1513" s="7">
        <f>IF(COUNT(D1513:L1513)=0,"",INDEX($D$1:$L$1,MATCH(MIN(D1513:L1513),D1513:L1513,0)))</f>
        <v/>
      </c>
      <c r="R1513" s="8" t="n">
        <v>831</v>
      </c>
      <c r="S1513" s="10" t="n">
        <v>1</v>
      </c>
    </row>
    <row r="1514">
      <c r="A1514" s="7" t="inlineStr">
        <is>
          <t>MAT-32-337</t>
        </is>
      </c>
      <c r="B1514" s="4" t="inlineStr">
        <is>
          <t>Llave de paso de bola de metal 2"</t>
        </is>
      </c>
      <c r="C1514" s="7" t="inlineStr">
        <is>
          <t>unidad</t>
        </is>
      </c>
      <c r="D1514" s="8" t="n"/>
      <c r="E1514" s="8" t="n"/>
      <c r="F1514" s="8" t="n">
        <v>3227</v>
      </c>
      <c r="G1514" s="8" t="n"/>
      <c r="H1514" s="8" t="n"/>
      <c r="I1514" s="8" t="n"/>
      <c r="J1514" s="8" t="n"/>
      <c r="K1514" s="8" t="n"/>
      <c r="L1514" s="8" t="n"/>
      <c r="M1514" s="8">
        <f>IF(COUNT(D1514:L1514)=0,"",MIN(D1514:L1514))</f>
        <v/>
      </c>
      <c r="N1514" s="8">
        <f>IF(COUNT(D1514:L1514)=0,"",MEDIAN(D1514:L1514))</f>
        <v/>
      </c>
      <c r="O1514" s="8">
        <f>IF(COUNT(D1514:L1514)=0,"",MAX(D1514:L1514))</f>
        <v/>
      </c>
      <c r="P1514" s="9">
        <f>IF(OR(M1514="",M1514=0),"",(O1514-M1514)/M1514)</f>
        <v/>
      </c>
      <c r="Q1514" s="7">
        <f>IF(COUNT(D1514:L1514)=0,"",INDEX($D$1:$L$1,MATCH(MIN(D1514:L1514),D1514:L1514,0)))</f>
        <v/>
      </c>
      <c r="R1514" s="8" t="n">
        <v>3227</v>
      </c>
      <c r="S1514" s="10" t="n">
        <v>1</v>
      </c>
    </row>
    <row r="1515">
      <c r="A1515" s="7" t="inlineStr">
        <is>
          <t>MAT-32-338</t>
        </is>
      </c>
      <c r="B1515" s="4" t="inlineStr">
        <is>
          <t>Llave de paso de bola de metal 3/4"</t>
        </is>
      </c>
      <c r="C1515" s="7" t="inlineStr">
        <is>
          <t>unidad</t>
        </is>
      </c>
      <c r="D1515" s="8" t="n"/>
      <c r="E1515" s="8" t="n"/>
      <c r="F1515" s="8" t="n">
        <v>555</v>
      </c>
      <c r="G1515" s="8" t="n"/>
      <c r="H1515" s="8" t="n"/>
      <c r="I1515" s="8" t="n"/>
      <c r="J1515" s="8" t="n"/>
      <c r="K1515" s="8" t="n"/>
      <c r="L1515" s="8" t="n"/>
      <c r="M1515" s="8">
        <f>IF(COUNT(D1515:L1515)=0,"",MIN(D1515:L1515))</f>
        <v/>
      </c>
      <c r="N1515" s="8">
        <f>IF(COUNT(D1515:L1515)=0,"",MEDIAN(D1515:L1515))</f>
        <v/>
      </c>
      <c r="O1515" s="8">
        <f>IF(COUNT(D1515:L1515)=0,"",MAX(D1515:L1515))</f>
        <v/>
      </c>
      <c r="P1515" s="9">
        <f>IF(OR(M1515="",M1515=0),"",(O1515-M1515)/M1515)</f>
        <v/>
      </c>
      <c r="Q1515" s="7">
        <f>IF(COUNT(D1515:L1515)=0,"",INDEX($D$1:$L$1,MATCH(MIN(D1515:L1515),D1515:L1515,0)))</f>
        <v/>
      </c>
      <c r="R1515" s="8" t="n">
        <v>592.5</v>
      </c>
      <c r="S1515" s="10" t="n">
        <v>1</v>
      </c>
    </row>
    <row r="1516">
      <c r="A1516" s="7" t="inlineStr">
        <is>
          <t>MAT-32-339</t>
        </is>
      </c>
      <c r="B1516" s="4" t="inlineStr">
        <is>
          <t>Llave de paso de bola de metal 3/8"</t>
        </is>
      </c>
      <c r="C1516" s="7" t="inlineStr">
        <is>
          <t>unidad</t>
        </is>
      </c>
      <c r="D1516" s="8" t="n"/>
      <c r="E1516" s="8" t="n"/>
      <c r="F1516" s="8" t="n">
        <v>327</v>
      </c>
      <c r="G1516" s="8" t="n"/>
      <c r="H1516" s="8" t="n"/>
      <c r="I1516" s="8" t="n"/>
      <c r="J1516" s="8" t="n"/>
      <c r="K1516" s="8" t="n"/>
      <c r="L1516" s="8" t="n"/>
      <c r="M1516" s="8">
        <f>IF(COUNT(D1516:L1516)=0,"",MIN(D1516:L1516))</f>
        <v/>
      </c>
      <c r="N1516" s="8">
        <f>IF(COUNT(D1516:L1516)=0,"",MEDIAN(D1516:L1516))</f>
        <v/>
      </c>
      <c r="O1516" s="8">
        <f>IF(COUNT(D1516:L1516)=0,"",MAX(D1516:L1516))</f>
        <v/>
      </c>
      <c r="P1516" s="9">
        <f>IF(OR(M1516="",M1516=0),"",(O1516-M1516)/M1516)</f>
        <v/>
      </c>
      <c r="Q1516" s="7">
        <f>IF(COUNT(D1516:L1516)=0,"",INDEX($D$1:$L$1,MATCH(MIN(D1516:L1516),D1516:L1516,0)))</f>
        <v/>
      </c>
      <c r="R1516" s="8" t="n">
        <v>336</v>
      </c>
      <c r="S1516" s="10" t="n">
        <v>1</v>
      </c>
    </row>
    <row r="1517">
      <c r="A1517" s="7" t="inlineStr">
        <is>
          <t>MAT-32-340</t>
        </is>
      </c>
      <c r="B1517" s="4" t="inlineStr">
        <is>
          <t>Llave de paso de bola de PVC 1 1/2"</t>
        </is>
      </c>
      <c r="C1517" s="7" t="inlineStr">
        <is>
          <t>unidad</t>
        </is>
      </c>
      <c r="D1517" s="8" t="n"/>
      <c r="E1517" s="8" t="n"/>
      <c r="F1517" s="8" t="n">
        <v>465</v>
      </c>
      <c r="G1517" s="8" t="n"/>
      <c r="H1517" s="8" t="n"/>
      <c r="I1517" s="8" t="n"/>
      <c r="J1517" s="8" t="n"/>
      <c r="K1517" s="8" t="n"/>
      <c r="L1517" s="8" t="n"/>
      <c r="M1517" s="8">
        <f>IF(COUNT(D1517:L1517)=0,"",MIN(D1517:L1517))</f>
        <v/>
      </c>
      <c r="N1517" s="8">
        <f>IF(COUNT(D1517:L1517)=0,"",MEDIAN(D1517:L1517))</f>
        <v/>
      </c>
      <c r="O1517" s="8">
        <f>IF(COUNT(D1517:L1517)=0,"",MAX(D1517:L1517))</f>
        <v/>
      </c>
      <c r="P1517" s="9">
        <f>IF(OR(M1517="",M1517=0),"",(O1517-M1517)/M1517)</f>
        <v/>
      </c>
      <c r="Q1517" s="7">
        <f>IF(COUNT(D1517:L1517)=0,"",INDEX($D$1:$L$1,MATCH(MIN(D1517:L1517),D1517:L1517,0)))</f>
        <v/>
      </c>
      <c r="R1517" s="8" t="n">
        <v>465</v>
      </c>
      <c r="S1517" s="10" t="n">
        <v>1</v>
      </c>
    </row>
    <row r="1518">
      <c r="A1518" s="7" t="inlineStr">
        <is>
          <t>MAT-32-341</t>
        </is>
      </c>
      <c r="B1518" s="4" t="inlineStr">
        <is>
          <t>Llave de paso de bola de PVC 1/2"</t>
        </is>
      </c>
      <c r="C1518" s="7" t="inlineStr">
        <is>
          <t>unidad</t>
        </is>
      </c>
      <c r="D1518" s="8" t="n"/>
      <c r="E1518" s="8" t="n"/>
      <c r="F1518" s="8" t="n">
        <v>41</v>
      </c>
      <c r="G1518" s="8" t="n"/>
      <c r="H1518" s="8" t="n"/>
      <c r="I1518" s="8" t="n"/>
      <c r="J1518" s="8" t="n"/>
      <c r="K1518" s="8" t="n"/>
      <c r="L1518" s="8" t="n"/>
      <c r="M1518" s="8">
        <f>IF(COUNT(D1518:L1518)=0,"",MIN(D1518:L1518))</f>
        <v/>
      </c>
      <c r="N1518" s="8">
        <f>IF(COUNT(D1518:L1518)=0,"",MEDIAN(D1518:L1518))</f>
        <v/>
      </c>
      <c r="O1518" s="8">
        <f>IF(COUNT(D1518:L1518)=0,"",MAX(D1518:L1518))</f>
        <v/>
      </c>
      <c r="P1518" s="9">
        <f>IF(OR(M1518="",M1518=0),"",(O1518-M1518)/M1518)</f>
        <v/>
      </c>
      <c r="Q1518" s="7">
        <f>IF(COUNT(D1518:L1518)=0,"",INDEX($D$1:$L$1,MATCH(MIN(D1518:L1518),D1518:L1518,0)))</f>
        <v/>
      </c>
      <c r="R1518" s="8" t="n">
        <v>83</v>
      </c>
      <c r="S1518" s="10" t="n">
        <v>1</v>
      </c>
    </row>
    <row r="1519">
      <c r="A1519" s="7" t="inlineStr">
        <is>
          <t>MAT-32-342</t>
        </is>
      </c>
      <c r="B1519" s="4" t="inlineStr">
        <is>
          <t>Llave de paso de bola de PVC 1"</t>
        </is>
      </c>
      <c r="C1519" s="7" t="inlineStr">
        <is>
          <t>unidad</t>
        </is>
      </c>
      <c r="D1519" s="8" t="n"/>
      <c r="E1519" s="8" t="n"/>
      <c r="F1519" s="8" t="n">
        <v>170</v>
      </c>
      <c r="G1519" s="8" t="n"/>
      <c r="H1519" s="8" t="n"/>
      <c r="I1519" s="8" t="n"/>
      <c r="J1519" s="8" t="n"/>
      <c r="K1519" s="8" t="n"/>
      <c r="L1519" s="8" t="n"/>
      <c r="M1519" s="8">
        <f>IF(COUNT(D1519:L1519)=0,"",MIN(D1519:L1519))</f>
        <v/>
      </c>
      <c r="N1519" s="8">
        <f>IF(COUNT(D1519:L1519)=0,"",MEDIAN(D1519:L1519))</f>
        <v/>
      </c>
      <c r="O1519" s="8">
        <f>IF(COUNT(D1519:L1519)=0,"",MAX(D1519:L1519))</f>
        <v/>
      </c>
      <c r="P1519" s="9">
        <f>IF(OR(M1519="",M1519=0),"",(O1519-M1519)/M1519)</f>
        <v/>
      </c>
      <c r="Q1519" s="7">
        <f>IF(COUNT(D1519:L1519)=0,"",INDEX($D$1:$L$1,MATCH(MIN(D1519:L1519),D1519:L1519,0)))</f>
        <v/>
      </c>
      <c r="R1519" s="8" t="n">
        <v>170</v>
      </c>
      <c r="S1519" s="10" t="n">
        <v>1</v>
      </c>
    </row>
    <row r="1520">
      <c r="A1520" s="7" t="inlineStr">
        <is>
          <t>MAT-32-343</t>
        </is>
      </c>
      <c r="B1520" s="4" t="inlineStr">
        <is>
          <t>Llave de paso de bola de PVC 2"</t>
        </is>
      </c>
      <c r="C1520" s="7" t="inlineStr">
        <is>
          <t>unidad</t>
        </is>
      </c>
      <c r="D1520" s="8" t="n"/>
      <c r="E1520" s="8" t="n"/>
      <c r="F1520" s="8" t="n">
        <v>616</v>
      </c>
      <c r="G1520" s="8" t="n"/>
      <c r="H1520" s="8" t="n"/>
      <c r="I1520" s="8" t="n"/>
      <c r="J1520" s="8" t="n"/>
      <c r="K1520" s="8" t="n"/>
      <c r="L1520" s="8" t="n"/>
      <c r="M1520" s="8">
        <f>IF(COUNT(D1520:L1520)=0,"",MIN(D1520:L1520))</f>
        <v/>
      </c>
      <c r="N1520" s="8">
        <f>IF(COUNT(D1520:L1520)=0,"",MEDIAN(D1520:L1520))</f>
        <v/>
      </c>
      <c r="O1520" s="8">
        <f>IF(COUNT(D1520:L1520)=0,"",MAX(D1520:L1520))</f>
        <v/>
      </c>
      <c r="P1520" s="9">
        <f>IF(OR(M1520="",M1520=0),"",(O1520-M1520)/M1520)</f>
        <v/>
      </c>
      <c r="Q1520" s="7">
        <f>IF(COUNT(D1520:L1520)=0,"",INDEX($D$1:$L$1,MATCH(MIN(D1520:L1520),D1520:L1520,0)))</f>
        <v/>
      </c>
      <c r="R1520" s="8" t="n">
        <v>616</v>
      </c>
      <c r="S1520" s="10" t="n">
        <v>1</v>
      </c>
    </row>
    <row r="1521">
      <c r="A1521" s="7" t="inlineStr">
        <is>
          <t>MAT-32-344</t>
        </is>
      </c>
      <c r="B1521" s="4" t="inlineStr">
        <is>
          <t>Llave de paso de bola de PVC 3/4"</t>
        </is>
      </c>
      <c r="C1521" s="7" t="inlineStr">
        <is>
          <t>unidad</t>
        </is>
      </c>
      <c r="D1521" s="8" t="n"/>
      <c r="E1521" s="8" t="n"/>
      <c r="F1521" s="8" t="n">
        <v>107</v>
      </c>
      <c r="G1521" s="8" t="n"/>
      <c r="H1521" s="8" t="n"/>
      <c r="I1521" s="8" t="n"/>
      <c r="J1521" s="8" t="n"/>
      <c r="K1521" s="8" t="n"/>
      <c r="L1521" s="8" t="n"/>
      <c r="M1521" s="8">
        <f>IF(COUNT(D1521:L1521)=0,"",MIN(D1521:L1521))</f>
        <v/>
      </c>
      <c r="N1521" s="8">
        <f>IF(COUNT(D1521:L1521)=0,"",MEDIAN(D1521:L1521))</f>
        <v/>
      </c>
      <c r="O1521" s="8">
        <f>IF(COUNT(D1521:L1521)=0,"",MAX(D1521:L1521))</f>
        <v/>
      </c>
      <c r="P1521" s="9">
        <f>IF(OR(M1521="",M1521=0),"",(O1521-M1521)/M1521)</f>
        <v/>
      </c>
      <c r="Q1521" s="7">
        <f>IF(COUNT(D1521:L1521)=0,"",INDEX($D$1:$L$1,MATCH(MIN(D1521:L1521),D1521:L1521,0)))</f>
        <v/>
      </c>
      <c r="R1521" s="8" t="n">
        <v>116</v>
      </c>
      <c r="S1521" s="10" t="n">
        <v>1</v>
      </c>
    </row>
    <row r="1522">
      <c r="A1522" s="7" t="inlineStr">
        <is>
          <t>MAT-32-345</t>
        </is>
      </c>
      <c r="B1522" s="4" t="inlineStr">
        <is>
          <t>Llave de paso de compuerta de metal 1 1/2"</t>
        </is>
      </c>
      <c r="C1522" s="7" t="inlineStr">
        <is>
          <t>unidad</t>
        </is>
      </c>
      <c r="D1522" s="8" t="n"/>
      <c r="E1522" s="8" t="n"/>
      <c r="F1522" s="8" t="n">
        <v>2262</v>
      </c>
      <c r="G1522" s="8" t="n"/>
      <c r="H1522" s="8" t="n"/>
      <c r="I1522" s="8" t="n"/>
      <c r="J1522" s="8" t="n"/>
      <c r="K1522" s="8" t="n"/>
      <c r="L1522" s="8" t="n"/>
      <c r="M1522" s="8">
        <f>IF(COUNT(D1522:L1522)=0,"",MIN(D1522:L1522))</f>
        <v/>
      </c>
      <c r="N1522" s="8">
        <f>IF(COUNT(D1522:L1522)=0,"",MEDIAN(D1522:L1522))</f>
        <v/>
      </c>
      <c r="O1522" s="8">
        <f>IF(COUNT(D1522:L1522)=0,"",MAX(D1522:L1522))</f>
        <v/>
      </c>
      <c r="P1522" s="9">
        <f>IF(OR(M1522="",M1522=0),"",(O1522-M1522)/M1522)</f>
        <v/>
      </c>
      <c r="Q1522" s="7">
        <f>IF(COUNT(D1522:L1522)=0,"",INDEX($D$1:$L$1,MATCH(MIN(D1522:L1522),D1522:L1522,0)))</f>
        <v/>
      </c>
      <c r="R1522" s="8" t="n">
        <v>2262</v>
      </c>
      <c r="S1522" s="10" t="n">
        <v>1</v>
      </c>
    </row>
    <row r="1523">
      <c r="A1523" s="7" t="inlineStr">
        <is>
          <t>MAT-32-346</t>
        </is>
      </c>
      <c r="B1523" s="4" t="inlineStr">
        <is>
          <t>Llave de paso de compuerta de metal 1/2"</t>
        </is>
      </c>
      <c r="C1523" s="7" t="inlineStr">
        <is>
          <t>unidad</t>
        </is>
      </c>
      <c r="D1523" s="8" t="n"/>
      <c r="E1523" s="8" t="n"/>
      <c r="F1523" s="8" t="n">
        <v>858</v>
      </c>
      <c r="G1523" s="8" t="n"/>
      <c r="H1523" s="8" t="n"/>
      <c r="I1523" s="8" t="n"/>
      <c r="J1523" s="8" t="n"/>
      <c r="K1523" s="8" t="n"/>
      <c r="L1523" s="8" t="n"/>
      <c r="M1523" s="8">
        <f>IF(COUNT(D1523:L1523)=0,"",MIN(D1523:L1523))</f>
        <v/>
      </c>
      <c r="N1523" s="8">
        <f>IF(COUNT(D1523:L1523)=0,"",MEDIAN(D1523:L1523))</f>
        <v/>
      </c>
      <c r="O1523" s="8">
        <f>IF(COUNT(D1523:L1523)=0,"",MAX(D1523:L1523))</f>
        <v/>
      </c>
      <c r="P1523" s="9">
        <f>IF(OR(M1523="",M1523=0),"",(O1523-M1523)/M1523)</f>
        <v/>
      </c>
      <c r="Q1523" s="7">
        <f>IF(COUNT(D1523:L1523)=0,"",INDEX($D$1:$L$1,MATCH(MIN(D1523:L1523),D1523:L1523,0)))</f>
        <v/>
      </c>
      <c r="R1523" s="8" t="n">
        <v>858</v>
      </c>
      <c r="S1523" s="10" t="n">
        <v>1</v>
      </c>
    </row>
    <row r="1524">
      <c r="A1524" s="7" t="inlineStr">
        <is>
          <t>MAT-32-347</t>
        </is>
      </c>
      <c r="B1524" s="4" t="inlineStr">
        <is>
          <t>Llave de paso de compuerta de metal 1"</t>
        </is>
      </c>
      <c r="C1524" s="7" t="inlineStr">
        <is>
          <t>unidad</t>
        </is>
      </c>
      <c r="D1524" s="8" t="n"/>
      <c r="E1524" s="8" t="n"/>
      <c r="F1524" s="8" t="n">
        <v>1595</v>
      </c>
      <c r="G1524" s="8" t="n"/>
      <c r="H1524" s="8" t="n"/>
      <c r="I1524" s="8" t="n"/>
      <c r="J1524" s="8" t="n"/>
      <c r="K1524" s="8" t="n"/>
      <c r="L1524" s="8" t="n"/>
      <c r="M1524" s="8">
        <f>IF(COUNT(D1524:L1524)=0,"",MIN(D1524:L1524))</f>
        <v/>
      </c>
      <c r="N1524" s="8">
        <f>IF(COUNT(D1524:L1524)=0,"",MEDIAN(D1524:L1524))</f>
        <v/>
      </c>
      <c r="O1524" s="8">
        <f>IF(COUNT(D1524:L1524)=0,"",MAX(D1524:L1524))</f>
        <v/>
      </c>
      <c r="P1524" s="9">
        <f>IF(OR(M1524="",M1524=0),"",(O1524-M1524)/M1524)</f>
        <v/>
      </c>
      <c r="Q1524" s="7">
        <f>IF(COUNT(D1524:L1524)=0,"",INDEX($D$1:$L$1,MATCH(MIN(D1524:L1524),D1524:L1524,0)))</f>
        <v/>
      </c>
      <c r="R1524" s="8" t="n">
        <v>1595</v>
      </c>
      <c r="S1524" s="10" t="n">
        <v>1</v>
      </c>
    </row>
    <row r="1525">
      <c r="A1525" s="7" t="inlineStr">
        <is>
          <t>MAT-32-348</t>
        </is>
      </c>
      <c r="B1525" s="4" t="inlineStr">
        <is>
          <t>Llave de paso de compuerta de metal 3/4"</t>
        </is>
      </c>
      <c r="C1525" s="7" t="inlineStr">
        <is>
          <t>unidad</t>
        </is>
      </c>
      <c r="D1525" s="8" t="n"/>
      <c r="E1525" s="8" t="n"/>
      <c r="F1525" s="8" t="n">
        <v>1248</v>
      </c>
      <c r="G1525" s="8" t="n"/>
      <c r="H1525" s="8" t="n"/>
      <c r="I1525" s="8" t="n"/>
      <c r="J1525" s="8" t="n"/>
      <c r="K1525" s="8" t="n"/>
      <c r="L1525" s="8" t="n"/>
      <c r="M1525" s="8">
        <f>IF(COUNT(D1525:L1525)=0,"",MIN(D1525:L1525))</f>
        <v/>
      </c>
      <c r="N1525" s="8">
        <f>IF(COUNT(D1525:L1525)=0,"",MEDIAN(D1525:L1525))</f>
        <v/>
      </c>
      <c r="O1525" s="8">
        <f>IF(COUNT(D1525:L1525)=0,"",MAX(D1525:L1525))</f>
        <v/>
      </c>
      <c r="P1525" s="9">
        <f>IF(OR(M1525="",M1525=0),"",(O1525-M1525)/M1525)</f>
        <v/>
      </c>
      <c r="Q1525" s="7">
        <f>IF(COUNT(D1525:L1525)=0,"",INDEX($D$1:$L$1,MATCH(MIN(D1525:L1525),D1525:L1525,0)))</f>
        <v/>
      </c>
      <c r="R1525" s="8" t="n">
        <v>1248</v>
      </c>
      <c r="S1525" s="10" t="n">
        <v>1</v>
      </c>
    </row>
    <row r="1526">
      <c r="A1526" s="7" t="inlineStr">
        <is>
          <t>MAT-32-349</t>
        </is>
      </c>
      <c r="B1526" s="4" t="inlineStr">
        <is>
          <t>Llave de paso de rosca macho de metal 1/2"</t>
        </is>
      </c>
      <c r="C1526" s="7" t="inlineStr">
        <is>
          <t>unidad</t>
        </is>
      </c>
      <c r="D1526" s="8" t="n"/>
      <c r="E1526" s="8" t="n"/>
      <c r="F1526" s="8" t="n">
        <v>338</v>
      </c>
      <c r="G1526" s="8" t="n"/>
      <c r="H1526" s="8" t="n"/>
      <c r="I1526" s="8" t="n"/>
      <c r="J1526" s="8" t="n"/>
      <c r="K1526" s="8" t="n"/>
      <c r="L1526" s="8" t="n"/>
      <c r="M1526" s="8">
        <f>IF(COUNT(D1526:L1526)=0,"",MIN(D1526:L1526))</f>
        <v/>
      </c>
      <c r="N1526" s="8">
        <f>IF(COUNT(D1526:L1526)=0,"",MEDIAN(D1526:L1526))</f>
        <v/>
      </c>
      <c r="O1526" s="8">
        <f>IF(COUNT(D1526:L1526)=0,"",MAX(D1526:L1526))</f>
        <v/>
      </c>
      <c r="P1526" s="9">
        <f>IF(OR(M1526="",M1526=0),"",(O1526-M1526)/M1526)</f>
        <v/>
      </c>
      <c r="Q1526" s="7">
        <f>IF(COUNT(D1526:L1526)=0,"",INDEX($D$1:$L$1,MATCH(MIN(D1526:L1526),D1526:L1526,0)))</f>
        <v/>
      </c>
      <c r="R1526" s="8" t="n">
        <v>875</v>
      </c>
      <c r="S1526" s="10" t="n">
        <v>1</v>
      </c>
    </row>
    <row r="1527">
      <c r="A1527" s="7" t="inlineStr">
        <is>
          <t>MAT-32-350</t>
        </is>
      </c>
      <c r="B1527" s="4" t="inlineStr">
        <is>
          <t>Llave de paso de rosca macho de metal 3/4"</t>
        </is>
      </c>
      <c r="C1527" s="7" t="inlineStr">
        <is>
          <t>unidad</t>
        </is>
      </c>
      <c r="D1527" s="8" t="n"/>
      <c r="E1527" s="8" t="n"/>
      <c r="F1527" s="8" t="n">
        <v>487</v>
      </c>
      <c r="G1527" s="8" t="n"/>
      <c r="H1527" s="8" t="n"/>
      <c r="I1527" s="8" t="n"/>
      <c r="J1527" s="8" t="n"/>
      <c r="K1527" s="8" t="n"/>
      <c r="L1527" s="8" t="n"/>
      <c r="M1527" s="8">
        <f>IF(COUNT(D1527:L1527)=0,"",MIN(D1527:L1527))</f>
        <v/>
      </c>
      <c r="N1527" s="8">
        <f>IF(COUNT(D1527:L1527)=0,"",MEDIAN(D1527:L1527))</f>
        <v/>
      </c>
      <c r="O1527" s="8">
        <f>IF(COUNT(D1527:L1527)=0,"",MAX(D1527:L1527))</f>
        <v/>
      </c>
      <c r="P1527" s="9">
        <f>IF(OR(M1527="",M1527=0),"",(O1527-M1527)/M1527)</f>
        <v/>
      </c>
      <c r="Q1527" s="7">
        <f>IF(COUNT(D1527:L1527)=0,"",INDEX($D$1:$L$1,MATCH(MIN(D1527:L1527),D1527:L1527,0)))</f>
        <v/>
      </c>
      <c r="R1527" s="8" t="n">
        <v>816</v>
      </c>
      <c r="S1527" s="10" t="n">
        <v>1</v>
      </c>
    </row>
    <row r="1528">
      <c r="A1528" s="7" t="inlineStr">
        <is>
          <t>MAT-32-351</t>
        </is>
      </c>
      <c r="B1528" s="4" t="inlineStr">
        <is>
          <t>Válvula de retención (cheque) 1 1/2"</t>
        </is>
      </c>
      <c r="C1528" s="7" t="inlineStr">
        <is>
          <t>unidad</t>
        </is>
      </c>
      <c r="D1528" s="8" t="n"/>
      <c r="E1528" s="8" t="n"/>
      <c r="F1528" s="8" t="n">
        <v>1757</v>
      </c>
      <c r="G1528" s="8" t="n"/>
      <c r="H1528" s="8" t="n"/>
      <c r="I1528" s="8" t="n"/>
      <c r="J1528" s="8" t="n"/>
      <c r="K1528" s="8" t="n"/>
      <c r="L1528" s="8" t="n"/>
      <c r="M1528" s="8">
        <f>IF(COUNT(D1528:L1528)=0,"",MIN(D1528:L1528))</f>
        <v/>
      </c>
      <c r="N1528" s="8">
        <f>IF(COUNT(D1528:L1528)=0,"",MEDIAN(D1528:L1528))</f>
        <v/>
      </c>
      <c r="O1528" s="8">
        <f>IF(COUNT(D1528:L1528)=0,"",MAX(D1528:L1528))</f>
        <v/>
      </c>
      <c r="P1528" s="9">
        <f>IF(OR(M1528="",M1528=0),"",(O1528-M1528)/M1528)</f>
        <v/>
      </c>
      <c r="Q1528" s="7">
        <f>IF(COUNT(D1528:L1528)=0,"",INDEX($D$1:$L$1,MATCH(MIN(D1528:L1528),D1528:L1528,0)))</f>
        <v/>
      </c>
      <c r="R1528" s="8" t="n">
        <v>2020</v>
      </c>
      <c r="S1528" s="10" t="n">
        <v>1</v>
      </c>
    </row>
    <row r="1529">
      <c r="A1529" s="7" t="inlineStr">
        <is>
          <t>MAT-32-352</t>
        </is>
      </c>
      <c r="B1529" s="4" t="inlineStr">
        <is>
          <t>Válvula de retención (cheque) 1/2"</t>
        </is>
      </c>
      <c r="C1529" s="7" t="inlineStr">
        <is>
          <t>unidad</t>
        </is>
      </c>
      <c r="D1529" s="8" t="n"/>
      <c r="E1529" s="8" t="n"/>
      <c r="F1529" s="8" t="n">
        <v>535</v>
      </c>
      <c r="G1529" s="8" t="n"/>
      <c r="H1529" s="8" t="n"/>
      <c r="I1529" s="8" t="n"/>
      <c r="J1529" s="8" t="n"/>
      <c r="K1529" s="8" t="n"/>
      <c r="L1529" s="8" t="n"/>
      <c r="M1529" s="8">
        <f>IF(COUNT(D1529:L1529)=0,"",MIN(D1529:L1529))</f>
        <v/>
      </c>
      <c r="N1529" s="8">
        <f>IF(COUNT(D1529:L1529)=0,"",MEDIAN(D1529:L1529))</f>
        <v/>
      </c>
      <c r="O1529" s="8">
        <f>IF(COUNT(D1529:L1529)=0,"",MAX(D1529:L1529))</f>
        <v/>
      </c>
      <c r="P1529" s="9">
        <f>IF(OR(M1529="",M1529=0),"",(O1529-M1529)/M1529)</f>
        <v/>
      </c>
      <c r="Q1529" s="7">
        <f>IF(COUNT(D1529:L1529)=0,"",INDEX($D$1:$L$1,MATCH(MIN(D1529:L1529),D1529:L1529,0)))</f>
        <v/>
      </c>
      <c r="R1529" s="8" t="n">
        <v>562.5</v>
      </c>
      <c r="S1529" s="10" t="n">
        <v>1</v>
      </c>
    </row>
    <row r="1530">
      <c r="A1530" s="7" t="inlineStr">
        <is>
          <t>MAT-32-353</t>
        </is>
      </c>
      <c r="B1530" s="4" t="inlineStr">
        <is>
          <t>Válvula de retención (cheque) 1"</t>
        </is>
      </c>
      <c r="C1530" s="7" t="inlineStr">
        <is>
          <t>unidad</t>
        </is>
      </c>
      <c r="D1530" s="8" t="n"/>
      <c r="E1530" s="8" t="n"/>
      <c r="F1530" s="8" t="n">
        <v>1048</v>
      </c>
      <c r="G1530" s="8" t="n"/>
      <c r="H1530" s="8" t="n"/>
      <c r="I1530" s="8" t="n"/>
      <c r="J1530" s="8" t="n"/>
      <c r="K1530" s="8" t="n"/>
      <c r="L1530" s="8" t="n"/>
      <c r="M1530" s="8">
        <f>IF(COUNT(D1530:L1530)=0,"",MIN(D1530:L1530))</f>
        <v/>
      </c>
      <c r="N1530" s="8">
        <f>IF(COUNT(D1530:L1530)=0,"",MEDIAN(D1530:L1530))</f>
        <v/>
      </c>
      <c r="O1530" s="8">
        <f>IF(COUNT(D1530:L1530)=0,"",MAX(D1530:L1530))</f>
        <v/>
      </c>
      <c r="P1530" s="9">
        <f>IF(OR(M1530="",M1530=0),"",(O1530-M1530)/M1530)</f>
        <v/>
      </c>
      <c r="Q1530" s="7">
        <f>IF(COUNT(D1530:L1530)=0,"",INDEX($D$1:$L$1,MATCH(MIN(D1530:L1530),D1530:L1530,0)))</f>
        <v/>
      </c>
      <c r="R1530" s="8" t="n">
        <v>1048</v>
      </c>
      <c r="S1530" s="10" t="n">
        <v>1</v>
      </c>
    </row>
    <row r="1531">
      <c r="A1531" s="7" t="inlineStr">
        <is>
          <t>MAT-32-354</t>
        </is>
      </c>
      <c r="B1531" s="4" t="inlineStr">
        <is>
          <t>Válvula de retención (cheque) 2"</t>
        </is>
      </c>
      <c r="C1531" s="7" t="inlineStr">
        <is>
          <t>unidad</t>
        </is>
      </c>
      <c r="D1531" s="8" t="n"/>
      <c r="E1531" s="8" t="n"/>
      <c r="F1531" s="8" t="n">
        <v>2946</v>
      </c>
      <c r="G1531" s="8" t="n"/>
      <c r="H1531" s="8" t="n"/>
      <c r="I1531" s="8" t="n"/>
      <c r="J1531" s="8" t="n"/>
      <c r="K1531" s="8" t="n"/>
      <c r="L1531" s="8" t="n"/>
      <c r="M1531" s="8">
        <f>IF(COUNT(D1531:L1531)=0,"",MIN(D1531:L1531))</f>
        <v/>
      </c>
      <c r="N1531" s="8">
        <f>IF(COUNT(D1531:L1531)=0,"",MEDIAN(D1531:L1531))</f>
        <v/>
      </c>
      <c r="O1531" s="8">
        <f>IF(COUNT(D1531:L1531)=0,"",MAX(D1531:L1531))</f>
        <v/>
      </c>
      <c r="P1531" s="9">
        <f>IF(OR(M1531="",M1531=0),"",(O1531-M1531)/M1531)</f>
        <v/>
      </c>
      <c r="Q1531" s="7">
        <f>IF(COUNT(D1531:L1531)=0,"",INDEX($D$1:$L$1,MATCH(MIN(D1531:L1531),D1531:L1531,0)))</f>
        <v/>
      </c>
      <c r="R1531" s="8" t="n">
        <v>2946</v>
      </c>
      <c r="S1531" s="10" t="n">
        <v>1</v>
      </c>
    </row>
    <row r="1532">
      <c r="A1532" s="7" t="inlineStr">
        <is>
          <t>MAT-32-355</t>
        </is>
      </c>
      <c r="B1532" s="4" t="inlineStr">
        <is>
          <t>Válvula de retención (cheque) 3/4"</t>
        </is>
      </c>
      <c r="C1532" s="7" t="inlineStr">
        <is>
          <t>unidad</t>
        </is>
      </c>
      <c r="D1532" s="8" t="n"/>
      <c r="E1532" s="8" t="n"/>
      <c r="F1532" s="8" t="n">
        <v>695</v>
      </c>
      <c r="G1532" s="8" t="n"/>
      <c r="H1532" s="8" t="n"/>
      <c r="I1532" s="8" t="n"/>
      <c r="J1532" s="8" t="n"/>
      <c r="K1532" s="8" t="n"/>
      <c r="L1532" s="8" t="n"/>
      <c r="M1532" s="8">
        <f>IF(COUNT(D1532:L1532)=0,"",MIN(D1532:L1532))</f>
        <v/>
      </c>
      <c r="N1532" s="8">
        <f>IF(COUNT(D1532:L1532)=0,"",MEDIAN(D1532:L1532))</f>
        <v/>
      </c>
      <c r="O1532" s="8">
        <f>IF(COUNT(D1532:L1532)=0,"",MAX(D1532:L1532))</f>
        <v/>
      </c>
      <c r="P1532" s="9">
        <f>IF(OR(M1532="",M1532=0),"",(O1532-M1532)/M1532)</f>
        <v/>
      </c>
      <c r="Q1532" s="7">
        <f>IF(COUNT(D1532:L1532)=0,"",INDEX($D$1:$L$1,MATCH(MIN(D1532:L1532),D1532:L1532,0)))</f>
        <v/>
      </c>
      <c r="R1532" s="8" t="n">
        <v>745.5</v>
      </c>
      <c r="S1532" s="10" t="n">
        <v>1</v>
      </c>
    </row>
    <row r="1533">
      <c r="A1533" s="7" t="inlineStr">
        <is>
          <t>MAT-32-356</t>
        </is>
      </c>
      <c r="B1533" s="4" t="inlineStr">
        <is>
          <t>Válvula de cisterna con flotante 1/2"</t>
        </is>
      </c>
      <c r="C1533" s="7" t="inlineStr">
        <is>
          <t>unidad</t>
        </is>
      </c>
      <c r="D1533" s="8" t="n"/>
      <c r="E1533" s="8" t="n"/>
      <c r="F1533" s="8" t="n">
        <v>616</v>
      </c>
      <c r="G1533" s="8" t="n"/>
      <c r="H1533" s="8" t="n"/>
      <c r="I1533" s="8" t="n"/>
      <c r="J1533" s="8" t="n"/>
      <c r="K1533" s="8" t="n"/>
      <c r="L1533" s="8" t="n"/>
      <c r="M1533" s="8">
        <f>IF(COUNT(D1533:L1533)=0,"",MIN(D1533:L1533))</f>
        <v/>
      </c>
      <c r="N1533" s="8">
        <f>IF(COUNT(D1533:L1533)=0,"",MEDIAN(D1533:L1533))</f>
        <v/>
      </c>
      <c r="O1533" s="8">
        <f>IF(COUNT(D1533:L1533)=0,"",MAX(D1533:L1533))</f>
        <v/>
      </c>
      <c r="P1533" s="9">
        <f>IF(OR(M1533="",M1533=0),"",(O1533-M1533)/M1533)</f>
        <v/>
      </c>
      <c r="Q1533" s="7">
        <f>IF(COUNT(D1533:L1533)=0,"",INDEX($D$1:$L$1,MATCH(MIN(D1533:L1533),D1533:L1533,0)))</f>
        <v/>
      </c>
      <c r="R1533" s="8" t="n">
        <v>734.5</v>
      </c>
      <c r="S1533" s="10" t="n">
        <v>1</v>
      </c>
    </row>
    <row r="1534">
      <c r="A1534" s="7" t="inlineStr">
        <is>
          <t>MAT-32-357</t>
        </is>
      </c>
      <c r="B1534" s="4" t="inlineStr">
        <is>
          <t>Válvula de cisterna con flotante 3/4"</t>
        </is>
      </c>
      <c r="C1534" s="7" t="inlineStr">
        <is>
          <t>unidad</t>
        </is>
      </c>
      <c r="D1534" s="8" t="n"/>
      <c r="E1534" s="8" t="n"/>
      <c r="F1534" s="8" t="n">
        <v>615</v>
      </c>
      <c r="G1534" s="8" t="n"/>
      <c r="H1534" s="8" t="n"/>
      <c r="I1534" s="8" t="n"/>
      <c r="J1534" s="8" t="n"/>
      <c r="K1534" s="8" t="n"/>
      <c r="L1534" s="8" t="n"/>
      <c r="M1534" s="8">
        <f>IF(COUNT(D1534:L1534)=0,"",MIN(D1534:L1534))</f>
        <v/>
      </c>
      <c r="N1534" s="8">
        <f>IF(COUNT(D1534:L1534)=0,"",MEDIAN(D1534:L1534))</f>
        <v/>
      </c>
      <c r="O1534" s="8">
        <f>IF(COUNT(D1534:L1534)=0,"",MAX(D1534:L1534))</f>
        <v/>
      </c>
      <c r="P1534" s="9">
        <f>IF(OR(M1534="",M1534=0),"",(O1534-M1534)/M1534)</f>
        <v/>
      </c>
      <c r="Q1534" s="7">
        <f>IF(COUNT(D1534:L1534)=0,"",INDEX($D$1:$L$1,MATCH(MIN(D1534:L1534),D1534:L1534,0)))</f>
        <v/>
      </c>
      <c r="R1534" s="8" t="n">
        <v>943</v>
      </c>
      <c r="S1534" s="10" t="n">
        <v>1</v>
      </c>
    </row>
    <row r="1535">
      <c r="A1535" s="7" t="inlineStr">
        <is>
          <t>MAT-32-358</t>
        </is>
      </c>
      <c r="B1535" s="4" t="inlineStr">
        <is>
          <t>Rejilla de piso 10 x 10 cm</t>
        </is>
      </c>
      <c r="C1535" s="7" t="inlineStr">
        <is>
          <t>unidad</t>
        </is>
      </c>
      <c r="D1535" s="8" t="n"/>
      <c r="E1535" s="8" t="n"/>
      <c r="F1535" s="8" t="n">
        <v>306</v>
      </c>
      <c r="G1535" s="8" t="n"/>
      <c r="H1535" s="8" t="n"/>
      <c r="I1535" s="8" t="n"/>
      <c r="J1535" s="8" t="n"/>
      <c r="K1535" s="8" t="n"/>
      <c r="L1535" s="8" t="n"/>
      <c r="M1535" s="8">
        <f>IF(COUNT(D1535:L1535)=0,"",MIN(D1535:L1535))</f>
        <v/>
      </c>
      <c r="N1535" s="8">
        <f>IF(COUNT(D1535:L1535)=0,"",MEDIAN(D1535:L1535))</f>
        <v/>
      </c>
      <c r="O1535" s="8">
        <f>IF(COUNT(D1535:L1535)=0,"",MAX(D1535:L1535))</f>
        <v/>
      </c>
      <c r="P1535" s="9">
        <f>IF(OR(M1535="",M1535=0),"",(O1535-M1535)/M1535)</f>
        <v/>
      </c>
      <c r="Q1535" s="7">
        <f>IF(COUNT(D1535:L1535)=0,"",INDEX($D$1:$L$1,MATCH(MIN(D1535:L1535),D1535:L1535,0)))</f>
        <v/>
      </c>
      <c r="R1535" s="8" t="n">
        <v>310</v>
      </c>
      <c r="S1535" s="10" t="n">
        <v>1</v>
      </c>
    </row>
    <row r="1536">
      <c r="A1536" s="7" t="inlineStr">
        <is>
          <t>MAT-32-359</t>
        </is>
      </c>
      <c r="B1536" s="4" t="inlineStr">
        <is>
          <t>Rejilla de piso 100 x 100 cm</t>
        </is>
      </c>
      <c r="C1536" s="7" t="inlineStr">
        <is>
          <t>unidad</t>
        </is>
      </c>
      <c r="D1536" s="8" t="n"/>
      <c r="E1536" s="8" t="n"/>
      <c r="F1536" s="8" t="n">
        <v>1173</v>
      </c>
      <c r="G1536" s="8" t="n"/>
      <c r="H1536" s="8" t="n"/>
      <c r="I1536" s="8" t="n"/>
      <c r="J1536" s="8" t="n"/>
      <c r="K1536" s="8" t="n"/>
      <c r="L1536" s="8" t="n"/>
      <c r="M1536" s="8">
        <f>IF(COUNT(D1536:L1536)=0,"",MIN(D1536:L1536))</f>
        <v/>
      </c>
      <c r="N1536" s="8">
        <f>IF(COUNT(D1536:L1536)=0,"",MEDIAN(D1536:L1536))</f>
        <v/>
      </c>
      <c r="O1536" s="8">
        <f>IF(COUNT(D1536:L1536)=0,"",MAX(D1536:L1536))</f>
        <v/>
      </c>
      <c r="P1536" s="9">
        <f>IF(OR(M1536="",M1536=0),"",(O1536-M1536)/M1536)</f>
        <v/>
      </c>
      <c r="Q1536" s="7">
        <f>IF(COUNT(D1536:L1536)=0,"",INDEX($D$1:$L$1,MATCH(MIN(D1536:L1536),D1536:L1536,0)))</f>
        <v/>
      </c>
      <c r="R1536" s="8" t="n">
        <v>1173</v>
      </c>
      <c r="S1536" s="10" t="n">
        <v>1</v>
      </c>
    </row>
    <row r="1537">
      <c r="A1537" s="7" t="inlineStr">
        <is>
          <t>MAT-32-360</t>
        </is>
      </c>
      <c r="B1537" s="4" t="inlineStr">
        <is>
          <t>Rejilla de piso 10"</t>
        </is>
      </c>
      <c r="C1537" s="7" t="inlineStr">
        <is>
          <t>unidad</t>
        </is>
      </c>
      <c r="D1537" s="8" t="n"/>
      <c r="E1537" s="8" t="n"/>
      <c r="F1537" s="8" t="n">
        <v>968</v>
      </c>
      <c r="G1537" s="8" t="n"/>
      <c r="H1537" s="8" t="n"/>
      <c r="I1537" s="8" t="n"/>
      <c r="J1537" s="8" t="n"/>
      <c r="K1537" s="8" t="n"/>
      <c r="L1537" s="8" t="n"/>
      <c r="M1537" s="8">
        <f>IF(COUNT(D1537:L1537)=0,"",MIN(D1537:L1537))</f>
        <v/>
      </c>
      <c r="N1537" s="8">
        <f>IF(COUNT(D1537:L1537)=0,"",MEDIAN(D1537:L1537))</f>
        <v/>
      </c>
      <c r="O1537" s="8">
        <f>IF(COUNT(D1537:L1537)=0,"",MAX(D1537:L1537))</f>
        <v/>
      </c>
      <c r="P1537" s="9">
        <f>IF(OR(M1537="",M1537=0),"",(O1537-M1537)/M1537)</f>
        <v/>
      </c>
      <c r="Q1537" s="7">
        <f>IF(COUNT(D1537:L1537)=0,"",INDEX($D$1:$L$1,MATCH(MIN(D1537:L1537),D1537:L1537,0)))</f>
        <v/>
      </c>
      <c r="R1537" s="8" t="n">
        <v>1196</v>
      </c>
      <c r="S1537" s="10" t="n">
        <v>1</v>
      </c>
    </row>
    <row r="1538">
      <c r="A1538" s="7" t="inlineStr">
        <is>
          <t>MAT-32-361</t>
        </is>
      </c>
      <c r="B1538" s="4" t="inlineStr">
        <is>
          <t>Rejilla de piso 15 x 15 cm</t>
        </is>
      </c>
      <c r="C1538" s="7" t="inlineStr">
        <is>
          <t>unidad</t>
        </is>
      </c>
      <c r="D1538" s="8" t="n"/>
      <c r="E1538" s="8" t="n"/>
      <c r="F1538" s="8" t="n">
        <v>413</v>
      </c>
      <c r="G1538" s="8" t="n"/>
      <c r="H1538" s="8" t="n"/>
      <c r="I1538" s="8" t="n"/>
      <c r="J1538" s="8" t="n"/>
      <c r="K1538" s="8" t="n"/>
      <c r="L1538" s="8" t="n"/>
      <c r="M1538" s="8">
        <f>IF(COUNT(D1538:L1538)=0,"",MIN(D1538:L1538))</f>
        <v/>
      </c>
      <c r="N1538" s="8">
        <f>IF(COUNT(D1538:L1538)=0,"",MEDIAN(D1538:L1538))</f>
        <v/>
      </c>
      <c r="O1538" s="8">
        <f>IF(COUNT(D1538:L1538)=0,"",MAX(D1538:L1538))</f>
        <v/>
      </c>
      <c r="P1538" s="9">
        <f>IF(OR(M1538="",M1538=0),"",(O1538-M1538)/M1538)</f>
        <v/>
      </c>
      <c r="Q1538" s="7">
        <f>IF(COUNT(D1538:L1538)=0,"",INDEX($D$1:$L$1,MATCH(MIN(D1538:L1538),D1538:L1538,0)))</f>
        <v/>
      </c>
      <c r="R1538" s="8" t="n">
        <v>1233.5</v>
      </c>
      <c r="S1538" s="10" t="n">
        <v>1</v>
      </c>
    </row>
    <row r="1539">
      <c r="A1539" s="7" t="inlineStr">
        <is>
          <t>MAT-32-362</t>
        </is>
      </c>
      <c r="B1539" s="4" t="inlineStr">
        <is>
          <t>Rejilla de piso 20 x 20 cm</t>
        </is>
      </c>
      <c r="C1539" s="7" t="inlineStr">
        <is>
          <t>unidad</t>
        </is>
      </c>
      <c r="D1539" s="8" t="n"/>
      <c r="E1539" s="8" t="n"/>
      <c r="F1539" s="8" t="n">
        <v>572</v>
      </c>
      <c r="G1539" s="8" t="n"/>
      <c r="H1539" s="8" t="n"/>
      <c r="I1539" s="8" t="n"/>
      <c r="J1539" s="8" t="n"/>
      <c r="K1539" s="8" t="n"/>
      <c r="L1539" s="8" t="n"/>
      <c r="M1539" s="8">
        <f>IF(COUNT(D1539:L1539)=0,"",MIN(D1539:L1539))</f>
        <v/>
      </c>
      <c r="N1539" s="8">
        <f>IF(COUNT(D1539:L1539)=0,"",MEDIAN(D1539:L1539))</f>
        <v/>
      </c>
      <c r="O1539" s="8">
        <f>IF(COUNT(D1539:L1539)=0,"",MAX(D1539:L1539))</f>
        <v/>
      </c>
      <c r="P1539" s="9">
        <f>IF(OR(M1539="",M1539=0),"",(O1539-M1539)/M1539)</f>
        <v/>
      </c>
      <c r="Q1539" s="7">
        <f>IF(COUNT(D1539:L1539)=0,"",INDEX($D$1:$L$1,MATCH(MIN(D1539:L1539),D1539:L1539,0)))</f>
        <v/>
      </c>
      <c r="R1539" s="8" t="n">
        <v>572</v>
      </c>
      <c r="S1539" s="10" t="n">
        <v>1</v>
      </c>
    </row>
    <row r="1540">
      <c r="A1540" s="7" t="inlineStr">
        <is>
          <t>MAT-32-363</t>
        </is>
      </c>
      <c r="B1540" s="4" t="inlineStr">
        <is>
          <t>Rejilla de piso 2"</t>
        </is>
      </c>
      <c r="C1540" s="7" t="inlineStr">
        <is>
          <t>unidad</t>
        </is>
      </c>
      <c r="D1540" s="8" t="n"/>
      <c r="E1540" s="8" t="n"/>
      <c r="F1540" s="8" t="n">
        <v>199</v>
      </c>
      <c r="G1540" s="8" t="n"/>
      <c r="H1540" s="8" t="n"/>
      <c r="I1540" s="8" t="n"/>
      <c r="J1540" s="8" t="n"/>
      <c r="K1540" s="8" t="n"/>
      <c r="L1540" s="8" t="n"/>
      <c r="M1540" s="8">
        <f>IF(COUNT(D1540:L1540)=0,"",MIN(D1540:L1540))</f>
        <v/>
      </c>
      <c r="N1540" s="8">
        <f>IF(COUNT(D1540:L1540)=0,"",MEDIAN(D1540:L1540))</f>
        <v/>
      </c>
      <c r="O1540" s="8">
        <f>IF(COUNT(D1540:L1540)=0,"",MAX(D1540:L1540))</f>
        <v/>
      </c>
      <c r="P1540" s="9">
        <f>IF(OR(M1540="",M1540=0),"",(O1540-M1540)/M1540)</f>
        <v/>
      </c>
      <c r="Q1540" s="7">
        <f>IF(COUNT(D1540:L1540)=0,"",INDEX($D$1:$L$1,MATCH(MIN(D1540:L1540),D1540:L1540,0)))</f>
        <v/>
      </c>
      <c r="R1540" s="8" t="n">
        <v>648</v>
      </c>
      <c r="S1540" s="10" t="n">
        <v>1</v>
      </c>
    </row>
    <row r="1541">
      <c r="A1541" s="7" t="inlineStr">
        <is>
          <t>MAT-32-364</t>
        </is>
      </c>
      <c r="B1541" s="4" t="inlineStr">
        <is>
          <t>Rejilla de piso 3 1/2"</t>
        </is>
      </c>
      <c r="C1541" s="7" t="inlineStr">
        <is>
          <t>unidad</t>
        </is>
      </c>
      <c r="D1541" s="8" t="n"/>
      <c r="E1541" s="8" t="n"/>
      <c r="F1541" s="8" t="n">
        <v>368</v>
      </c>
      <c r="G1541" s="8" t="n"/>
      <c r="H1541" s="8" t="n"/>
      <c r="I1541" s="8" t="n"/>
      <c r="J1541" s="8" t="n"/>
      <c r="K1541" s="8" t="n"/>
      <c r="L1541" s="8" t="n"/>
      <c r="M1541" s="8">
        <f>IF(COUNT(D1541:L1541)=0,"",MIN(D1541:L1541))</f>
        <v/>
      </c>
      <c r="N1541" s="8">
        <f>IF(COUNT(D1541:L1541)=0,"",MEDIAN(D1541:L1541))</f>
        <v/>
      </c>
      <c r="O1541" s="8">
        <f>IF(COUNT(D1541:L1541)=0,"",MAX(D1541:L1541))</f>
        <v/>
      </c>
      <c r="P1541" s="9">
        <f>IF(OR(M1541="",M1541=0),"",(O1541-M1541)/M1541)</f>
        <v/>
      </c>
      <c r="Q1541" s="7">
        <f>IF(COUNT(D1541:L1541)=0,"",INDEX($D$1:$L$1,MATCH(MIN(D1541:L1541),D1541:L1541,0)))</f>
        <v/>
      </c>
      <c r="R1541" s="8" t="n">
        <v>384.5</v>
      </c>
      <c r="S1541" s="10" t="n">
        <v>1</v>
      </c>
    </row>
    <row r="1542">
      <c r="A1542" s="7" t="inlineStr">
        <is>
          <t>MAT-32-365</t>
        </is>
      </c>
      <c r="B1542" s="4" t="inlineStr">
        <is>
          <t>Rejilla de piso 3"</t>
        </is>
      </c>
      <c r="C1542" s="7" t="inlineStr">
        <is>
          <t>unidad</t>
        </is>
      </c>
      <c r="D1542" s="8" t="n"/>
      <c r="E1542" s="8" t="n"/>
      <c r="F1542" s="8" t="n">
        <v>356</v>
      </c>
      <c r="G1542" s="8" t="n"/>
      <c r="H1542" s="8" t="n"/>
      <c r="I1542" s="8" t="n"/>
      <c r="J1542" s="8" t="n"/>
      <c r="K1542" s="8" t="n"/>
      <c r="L1542" s="8" t="n"/>
      <c r="M1542" s="8">
        <f>IF(COUNT(D1542:L1542)=0,"",MIN(D1542:L1542))</f>
        <v/>
      </c>
      <c r="N1542" s="8">
        <f>IF(COUNT(D1542:L1542)=0,"",MEDIAN(D1542:L1542))</f>
        <v/>
      </c>
      <c r="O1542" s="8">
        <f>IF(COUNT(D1542:L1542)=0,"",MAX(D1542:L1542))</f>
        <v/>
      </c>
      <c r="P1542" s="9">
        <f>IF(OR(M1542="",M1542=0),"",(O1542-M1542)/M1542)</f>
        <v/>
      </c>
      <c r="Q1542" s="7">
        <f>IF(COUNT(D1542:L1542)=0,"",INDEX($D$1:$L$1,MATCH(MIN(D1542:L1542),D1542:L1542,0)))</f>
        <v/>
      </c>
      <c r="R1542" s="8" t="n">
        <v>460.5</v>
      </c>
      <c r="S1542" s="10" t="n">
        <v>1</v>
      </c>
    </row>
    <row r="1543">
      <c r="A1543" s="7" t="inlineStr">
        <is>
          <t>MAT-32-366</t>
        </is>
      </c>
      <c r="B1543" s="4" t="inlineStr">
        <is>
          <t>Rejilla de piso 4"</t>
        </is>
      </c>
      <c r="C1543" s="7" t="inlineStr">
        <is>
          <t>unidad</t>
        </is>
      </c>
      <c r="D1543" s="8" t="n"/>
      <c r="E1543" s="8" t="n"/>
      <c r="F1543" s="8" t="n">
        <v>453</v>
      </c>
      <c r="G1543" s="8" t="n"/>
      <c r="H1543" s="8" t="n"/>
      <c r="I1543" s="8" t="n"/>
      <c r="J1543" s="8" t="n"/>
      <c r="K1543" s="8" t="n"/>
      <c r="L1543" s="8" t="n"/>
      <c r="M1543" s="8">
        <f>IF(COUNT(D1543:L1543)=0,"",MIN(D1543:L1543))</f>
        <v/>
      </c>
      <c r="N1543" s="8">
        <f>IF(COUNT(D1543:L1543)=0,"",MEDIAN(D1543:L1543))</f>
        <v/>
      </c>
      <c r="O1543" s="8">
        <f>IF(COUNT(D1543:L1543)=0,"",MAX(D1543:L1543))</f>
        <v/>
      </c>
      <c r="P1543" s="9">
        <f>IF(OR(M1543="",M1543=0),"",(O1543-M1543)/M1543)</f>
        <v/>
      </c>
      <c r="Q1543" s="7">
        <f>IF(COUNT(D1543:L1543)=0,"",INDEX($D$1:$L$1,MATCH(MIN(D1543:L1543),D1543:L1543,0)))</f>
        <v/>
      </c>
      <c r="R1543" s="8" t="n">
        <v>481.5</v>
      </c>
      <c r="S1543" s="10" t="n">
        <v>1</v>
      </c>
    </row>
    <row r="1544">
      <c r="A1544" s="7" t="inlineStr">
        <is>
          <t>MAT-32-367</t>
        </is>
      </c>
      <c r="B1544" s="4" t="inlineStr">
        <is>
          <t>Rejilla de piso 6 x 6"</t>
        </is>
      </c>
      <c r="C1544" s="7" t="inlineStr">
        <is>
          <t>unidad</t>
        </is>
      </c>
      <c r="D1544" s="8" t="n"/>
      <c r="E1544" s="8" t="n"/>
      <c r="F1544" s="8" t="n"/>
      <c r="G1544" s="8" t="n"/>
      <c r="H1544" s="8" t="n">
        <v>3129</v>
      </c>
      <c r="I1544" s="8" t="n"/>
      <c r="J1544" s="8" t="n"/>
      <c r="K1544" s="8" t="n"/>
      <c r="L1544" s="8" t="n"/>
      <c r="M1544" s="8">
        <f>IF(COUNT(D1544:L1544)=0,"",MIN(D1544:L1544))</f>
        <v/>
      </c>
      <c r="N1544" s="8">
        <f>IF(COUNT(D1544:L1544)=0,"",MEDIAN(D1544:L1544))</f>
        <v/>
      </c>
      <c r="O1544" s="8">
        <f>IF(COUNT(D1544:L1544)=0,"",MAX(D1544:L1544))</f>
        <v/>
      </c>
      <c r="P1544" s="9">
        <f>IF(OR(M1544="",M1544=0),"",(O1544-M1544)/M1544)</f>
        <v/>
      </c>
      <c r="Q1544" s="7">
        <f>IF(COUNT(D1544:L1544)=0,"",INDEX($D$1:$L$1,MATCH(MIN(D1544:L1544),D1544:L1544,0)))</f>
        <v/>
      </c>
      <c r="R1544" s="8" t="n">
        <v>3129</v>
      </c>
      <c r="S1544" s="10" t="n">
        <v>1</v>
      </c>
    </row>
    <row r="1545">
      <c r="A1545" s="7" t="inlineStr">
        <is>
          <t>MAT-32-368</t>
        </is>
      </c>
      <c r="B1545" s="4" t="inlineStr">
        <is>
          <t>Rejilla de piso 6"</t>
        </is>
      </c>
      <c r="C1545" s="7" t="inlineStr">
        <is>
          <t>unidad</t>
        </is>
      </c>
      <c r="D1545" s="8" t="n"/>
      <c r="E1545" s="8" t="n"/>
      <c r="F1545" s="8" t="n">
        <v>2403</v>
      </c>
      <c r="G1545" s="8" t="n"/>
      <c r="H1545" s="8" t="n"/>
      <c r="I1545" s="8" t="n"/>
      <c r="J1545" s="8" t="n"/>
      <c r="K1545" s="8" t="n"/>
      <c r="L1545" s="8" t="n"/>
      <c r="M1545" s="8">
        <f>IF(COUNT(D1545:L1545)=0,"",MIN(D1545:L1545))</f>
        <v/>
      </c>
      <c r="N1545" s="8">
        <f>IF(COUNT(D1545:L1545)=0,"",MEDIAN(D1545:L1545))</f>
        <v/>
      </c>
      <c r="O1545" s="8">
        <f>IF(COUNT(D1545:L1545)=0,"",MAX(D1545:L1545))</f>
        <v/>
      </c>
      <c r="P1545" s="9">
        <f>IF(OR(M1545="",M1545=0),"",(O1545-M1545)/M1545)</f>
        <v/>
      </c>
      <c r="Q1545" s="7">
        <f>IF(COUNT(D1545:L1545)=0,"",INDEX($D$1:$L$1,MATCH(MIN(D1545:L1545),D1545:L1545,0)))</f>
        <v/>
      </c>
      <c r="R1545" s="8" t="n">
        <v>2403</v>
      </c>
      <c r="S1545" s="10" t="n">
        <v>1</v>
      </c>
    </row>
    <row r="1546">
      <c r="A1546" s="7" t="inlineStr">
        <is>
          <t>MAT-32-369</t>
        </is>
      </c>
      <c r="B1546" s="4" t="inlineStr">
        <is>
          <t>Rejilla de piso 80 x 80 cm</t>
        </is>
      </c>
      <c r="C1546" s="7" t="inlineStr">
        <is>
          <t>unidad</t>
        </is>
      </c>
      <c r="D1546" s="8" t="n"/>
      <c r="E1546" s="8" t="n"/>
      <c r="F1546" s="8" t="n">
        <v>865</v>
      </c>
      <c r="G1546" s="8" t="n"/>
      <c r="H1546" s="8" t="n"/>
      <c r="I1546" s="8" t="n"/>
      <c r="J1546" s="8" t="n"/>
      <c r="K1546" s="8" t="n"/>
      <c r="L1546" s="8" t="n"/>
      <c r="M1546" s="8">
        <f>IF(COUNT(D1546:L1546)=0,"",MIN(D1546:L1546))</f>
        <v/>
      </c>
      <c r="N1546" s="8">
        <f>IF(COUNT(D1546:L1546)=0,"",MEDIAN(D1546:L1546))</f>
        <v/>
      </c>
      <c r="O1546" s="8">
        <f>IF(COUNT(D1546:L1546)=0,"",MAX(D1546:L1546))</f>
        <v/>
      </c>
      <c r="P1546" s="9">
        <f>IF(OR(M1546="",M1546=0),"",(O1546-M1546)/M1546)</f>
        <v/>
      </c>
      <c r="Q1546" s="7">
        <f>IF(COUNT(D1546:L1546)=0,"",INDEX($D$1:$L$1,MATCH(MIN(D1546:L1546),D1546:L1546,0)))</f>
        <v/>
      </c>
      <c r="R1546" s="8" t="n">
        <v>865</v>
      </c>
      <c r="S1546" s="10" t="n">
        <v>1</v>
      </c>
    </row>
    <row r="1547">
      <c r="A1547" s="7" t="inlineStr">
        <is>
          <t>MAT-32-370</t>
        </is>
      </c>
      <c r="B1547" s="4" t="inlineStr">
        <is>
          <t>Sifón de metal cromado para desagüe 1 1/4"</t>
        </is>
      </c>
      <c r="C1547" s="7" t="inlineStr">
        <is>
          <t>unidad</t>
        </is>
      </c>
      <c r="D1547" s="8" t="n"/>
      <c r="E1547" s="8" t="n"/>
      <c r="F1547" s="8" t="n">
        <v>1425</v>
      </c>
      <c r="G1547" s="8" t="n"/>
      <c r="H1547" s="8" t="n"/>
      <c r="I1547" s="8" t="n"/>
      <c r="J1547" s="8" t="n"/>
      <c r="K1547" s="8" t="n"/>
      <c r="L1547" s="8" t="n"/>
      <c r="M1547" s="8">
        <f>IF(COUNT(D1547:L1547)=0,"",MIN(D1547:L1547))</f>
        <v/>
      </c>
      <c r="N1547" s="8">
        <f>IF(COUNT(D1547:L1547)=0,"",MEDIAN(D1547:L1547))</f>
        <v/>
      </c>
      <c r="O1547" s="8">
        <f>IF(COUNT(D1547:L1547)=0,"",MAX(D1547:L1547))</f>
        <v/>
      </c>
      <c r="P1547" s="9">
        <f>IF(OR(M1547="",M1547=0),"",(O1547-M1547)/M1547)</f>
        <v/>
      </c>
      <c r="Q1547" s="7">
        <f>IF(COUNT(D1547:L1547)=0,"",INDEX($D$1:$L$1,MATCH(MIN(D1547:L1547),D1547:L1547,0)))</f>
        <v/>
      </c>
      <c r="R1547" s="8" t="n">
        <v>1425</v>
      </c>
      <c r="S1547" s="10" t="n">
        <v>1</v>
      </c>
    </row>
    <row r="1548">
      <c r="A1548" s="7" t="inlineStr">
        <is>
          <t>MAT-32-371</t>
        </is>
      </c>
      <c r="B1548" s="4" t="inlineStr">
        <is>
          <t>Sifón de PVC para desagüe 1 1/2"</t>
        </is>
      </c>
      <c r="C1548" s="7" t="inlineStr">
        <is>
          <t>unidad</t>
        </is>
      </c>
      <c r="D1548" s="8" t="n"/>
      <c r="E1548" s="8" t="n"/>
      <c r="F1548" s="8" t="n">
        <v>356</v>
      </c>
      <c r="G1548" s="8" t="n"/>
      <c r="H1548" s="8" t="n"/>
      <c r="I1548" s="8" t="n"/>
      <c r="J1548" s="8" t="n"/>
      <c r="K1548" s="8" t="n"/>
      <c r="L1548" s="8" t="n"/>
      <c r="M1548" s="8">
        <f>IF(COUNT(D1548:L1548)=0,"",MIN(D1548:L1548))</f>
        <v/>
      </c>
      <c r="N1548" s="8">
        <f>IF(COUNT(D1548:L1548)=0,"",MEDIAN(D1548:L1548))</f>
        <v/>
      </c>
      <c r="O1548" s="8">
        <f>IF(COUNT(D1548:L1548)=0,"",MAX(D1548:L1548))</f>
        <v/>
      </c>
      <c r="P1548" s="9">
        <f>IF(OR(M1548="",M1548=0),"",(O1548-M1548)/M1548)</f>
        <v/>
      </c>
      <c r="Q1548" s="7">
        <f>IF(COUNT(D1548:L1548)=0,"",INDEX($D$1:$L$1,MATCH(MIN(D1548:L1548),D1548:L1548,0)))</f>
        <v/>
      </c>
      <c r="R1548" s="8" t="n">
        <v>501.5</v>
      </c>
      <c r="S1548" s="10" t="n">
        <v>1</v>
      </c>
    </row>
    <row r="1549">
      <c r="A1549" s="7" t="inlineStr">
        <is>
          <t>MAT-32-372</t>
        </is>
      </c>
      <c r="B1549" s="4" t="inlineStr">
        <is>
          <t>Sifón de PVC para desagüe 2"</t>
        </is>
      </c>
      <c r="C1549" s="7" t="inlineStr">
        <is>
          <t>unidad</t>
        </is>
      </c>
      <c r="D1549" s="8" t="n"/>
      <c r="E1549" s="8" t="n"/>
      <c r="F1549" s="8" t="n">
        <v>225</v>
      </c>
      <c r="G1549" s="8" t="n"/>
      <c r="H1549" s="8" t="n"/>
      <c r="I1549" s="8" t="n"/>
      <c r="J1549" s="8" t="n"/>
      <c r="K1549" s="8" t="n"/>
      <c r="L1549" s="8" t="n"/>
      <c r="M1549" s="8">
        <f>IF(COUNT(D1549:L1549)=0,"",MIN(D1549:L1549))</f>
        <v/>
      </c>
      <c r="N1549" s="8">
        <f>IF(COUNT(D1549:L1549)=0,"",MEDIAN(D1549:L1549))</f>
        <v/>
      </c>
      <c r="O1549" s="8">
        <f>IF(COUNT(D1549:L1549)=0,"",MAX(D1549:L1549))</f>
        <v/>
      </c>
      <c r="P1549" s="9">
        <f>IF(OR(M1549="",M1549=0),"",(O1549-M1549)/M1549)</f>
        <v/>
      </c>
      <c r="Q1549" s="7">
        <f>IF(COUNT(D1549:L1549)=0,"",INDEX($D$1:$L$1,MATCH(MIN(D1549:L1549),D1549:L1549,0)))</f>
        <v/>
      </c>
      <c r="R1549" s="8" t="n">
        <v>225</v>
      </c>
      <c r="S1549" s="10" t="n">
        <v>1</v>
      </c>
    </row>
    <row r="1550">
      <c r="A1550" s="7" t="inlineStr">
        <is>
          <t>MAT-32-373</t>
        </is>
      </c>
      <c r="B1550" s="4" t="inlineStr">
        <is>
          <t>Sifón de PVC para desagüe 35376"</t>
        </is>
      </c>
      <c r="C1550" s="7" t="inlineStr">
        <is>
          <t>unidad</t>
        </is>
      </c>
      <c r="D1550" s="8" t="n"/>
      <c r="E1550" s="8" t="n"/>
      <c r="F1550" s="8" t="n">
        <v>220</v>
      </c>
      <c r="G1550" s="8" t="n"/>
      <c r="H1550" s="8" t="n"/>
      <c r="I1550" s="8" t="n"/>
      <c r="J1550" s="8" t="n"/>
      <c r="K1550" s="8" t="n"/>
      <c r="L1550" s="8" t="n"/>
      <c r="M1550" s="8">
        <f>IF(COUNT(D1550:L1550)=0,"",MIN(D1550:L1550))</f>
        <v/>
      </c>
      <c r="N1550" s="8">
        <f>IF(COUNT(D1550:L1550)=0,"",MEDIAN(D1550:L1550))</f>
        <v/>
      </c>
      <c r="O1550" s="8">
        <f>IF(COUNT(D1550:L1550)=0,"",MAX(D1550:L1550))</f>
        <v/>
      </c>
      <c r="P1550" s="9">
        <f>IF(OR(M1550="",M1550=0),"",(O1550-M1550)/M1550)</f>
        <v/>
      </c>
      <c r="Q1550" s="7">
        <f>IF(COUNT(D1550:L1550)=0,"",INDEX($D$1:$L$1,MATCH(MIN(D1550:L1550),D1550:L1550,0)))</f>
        <v/>
      </c>
      <c r="R1550" s="8" t="n">
        <v>220</v>
      </c>
      <c r="S1550" s="10" t="n">
        <v>1</v>
      </c>
    </row>
    <row r="1551">
      <c r="A1551" s="7" t="inlineStr">
        <is>
          <t>MAT-32-374</t>
        </is>
      </c>
      <c r="B1551" s="4" t="inlineStr">
        <is>
          <t>Sifón de PVC para fregadero 1 1/2"</t>
        </is>
      </c>
      <c r="C1551" s="7" t="inlineStr">
        <is>
          <t>unidad</t>
        </is>
      </c>
      <c r="D1551" s="8" t="n"/>
      <c r="E1551" s="8" t="n"/>
      <c r="F1551" s="8" t="n">
        <v>475</v>
      </c>
      <c r="G1551" s="8" t="n"/>
      <c r="H1551" s="8" t="n"/>
      <c r="I1551" s="8" t="n"/>
      <c r="J1551" s="8" t="n"/>
      <c r="K1551" s="8" t="n"/>
      <c r="L1551" s="8" t="n"/>
      <c r="M1551" s="8">
        <f>IF(COUNT(D1551:L1551)=0,"",MIN(D1551:L1551))</f>
        <v/>
      </c>
      <c r="N1551" s="8">
        <f>IF(COUNT(D1551:L1551)=0,"",MEDIAN(D1551:L1551))</f>
        <v/>
      </c>
      <c r="O1551" s="8">
        <f>IF(COUNT(D1551:L1551)=0,"",MAX(D1551:L1551))</f>
        <v/>
      </c>
      <c r="P1551" s="9">
        <f>IF(OR(M1551="",M1551=0),"",(O1551-M1551)/M1551)</f>
        <v/>
      </c>
      <c r="Q1551" s="7">
        <f>IF(COUNT(D1551:L1551)=0,"",INDEX($D$1:$L$1,MATCH(MIN(D1551:L1551),D1551:L1551,0)))</f>
        <v/>
      </c>
      <c r="R1551" s="8" t="n">
        <v>475</v>
      </c>
      <c r="S1551" s="10" t="n">
        <v>1</v>
      </c>
    </row>
    <row r="1552">
      <c r="A1552" s="7" t="inlineStr">
        <is>
          <t>MAT-32-375</t>
        </is>
      </c>
      <c r="B1552" s="4" t="inlineStr">
        <is>
          <t>Sifón de PVC para fregadero 1 1/4"</t>
        </is>
      </c>
      <c r="C1552" s="7" t="inlineStr">
        <is>
          <t>unidad</t>
        </is>
      </c>
      <c r="D1552" s="8" t="n"/>
      <c r="E1552" s="8" t="n"/>
      <c r="F1552" s="8" t="n">
        <v>585</v>
      </c>
      <c r="G1552" s="8" t="n"/>
      <c r="H1552" s="8" t="n"/>
      <c r="I1552" s="8" t="n"/>
      <c r="J1552" s="8" t="n"/>
      <c r="K1552" s="8" t="n"/>
      <c r="L1552" s="8" t="n"/>
      <c r="M1552" s="8">
        <f>IF(COUNT(D1552:L1552)=0,"",MIN(D1552:L1552))</f>
        <v/>
      </c>
      <c r="N1552" s="8">
        <f>IF(COUNT(D1552:L1552)=0,"",MEDIAN(D1552:L1552))</f>
        <v/>
      </c>
      <c r="O1552" s="8">
        <f>IF(COUNT(D1552:L1552)=0,"",MAX(D1552:L1552))</f>
        <v/>
      </c>
      <c r="P1552" s="9">
        <f>IF(OR(M1552="",M1552=0),"",(O1552-M1552)/M1552)</f>
        <v/>
      </c>
      <c r="Q1552" s="7">
        <f>IF(COUNT(D1552:L1552)=0,"",INDEX($D$1:$L$1,MATCH(MIN(D1552:L1552),D1552:L1552,0)))</f>
        <v/>
      </c>
      <c r="R1552" s="8" t="n">
        <v>585</v>
      </c>
      <c r="S1552" s="10" t="n">
        <v>1</v>
      </c>
    </row>
    <row r="1553">
      <c r="A1553" s="7" t="inlineStr">
        <is>
          <t>MAT-32-376</t>
        </is>
      </c>
      <c r="B1553" s="4" t="inlineStr">
        <is>
          <t>Sifón de metal para lavamanos 1/4"</t>
        </is>
      </c>
      <c r="C1553" s="7" t="inlineStr">
        <is>
          <t>unidad</t>
        </is>
      </c>
      <c r="D1553" s="8" t="n"/>
      <c r="E1553" s="8" t="n"/>
      <c r="F1553" s="8" t="n"/>
      <c r="G1553" s="8" t="n"/>
      <c r="H1553" s="8" t="n">
        <v>925</v>
      </c>
      <c r="I1553" s="8" t="n"/>
      <c r="J1553" s="8" t="n"/>
      <c r="K1553" s="8" t="n"/>
      <c r="L1553" s="8" t="n"/>
      <c r="M1553" s="8">
        <f>IF(COUNT(D1553:L1553)=0,"",MIN(D1553:L1553))</f>
        <v/>
      </c>
      <c r="N1553" s="8">
        <f>IF(COUNT(D1553:L1553)=0,"",MEDIAN(D1553:L1553))</f>
        <v/>
      </c>
      <c r="O1553" s="8">
        <f>IF(COUNT(D1553:L1553)=0,"",MAX(D1553:L1553))</f>
        <v/>
      </c>
      <c r="P1553" s="9">
        <f>IF(OR(M1553="",M1553=0),"",(O1553-M1553)/M1553)</f>
        <v/>
      </c>
      <c r="Q1553" s="7">
        <f>IF(COUNT(D1553:L1553)=0,"",INDEX($D$1:$L$1,MATCH(MIN(D1553:L1553),D1553:L1553,0)))</f>
        <v/>
      </c>
      <c r="R1553" s="8" t="n">
        <v>925</v>
      </c>
      <c r="S1553" s="10" t="n">
        <v>1</v>
      </c>
    </row>
    <row r="1554">
      <c r="A1554" s="7" t="inlineStr">
        <is>
          <t>MAT-32-377</t>
        </is>
      </c>
      <c r="B1554" s="4" t="inlineStr">
        <is>
          <t>Sifón de PVC para lavamanos 1 1/4"</t>
        </is>
      </c>
      <c r="C1554" s="7" t="inlineStr">
        <is>
          <t>unidad</t>
        </is>
      </c>
      <c r="D1554" s="8" t="n"/>
      <c r="E1554" s="8" t="n"/>
      <c r="F1554" s="8" t="n"/>
      <c r="G1554" s="8" t="n"/>
      <c r="H1554" s="8" t="n">
        <v>345</v>
      </c>
      <c r="I1554" s="8" t="n"/>
      <c r="J1554" s="8" t="n"/>
      <c r="K1554" s="8" t="n"/>
      <c r="L1554" s="8" t="n"/>
      <c r="M1554" s="8">
        <f>IF(COUNT(D1554:L1554)=0,"",MIN(D1554:L1554))</f>
        <v/>
      </c>
      <c r="N1554" s="8">
        <f>IF(COUNT(D1554:L1554)=0,"",MEDIAN(D1554:L1554))</f>
        <v/>
      </c>
      <c r="O1554" s="8">
        <f>IF(COUNT(D1554:L1554)=0,"",MAX(D1554:L1554))</f>
        <v/>
      </c>
      <c r="P1554" s="9">
        <f>IF(OR(M1554="",M1554=0),"",(O1554-M1554)/M1554)</f>
        <v/>
      </c>
      <c r="Q1554" s="7">
        <f>IF(COUNT(D1554:L1554)=0,"",INDEX($D$1:$L$1,MATCH(MIN(D1554:L1554),D1554:L1554,0)))</f>
        <v/>
      </c>
      <c r="R1554" s="8" t="n">
        <v>345</v>
      </c>
      <c r="S1554" s="10" t="n">
        <v>1</v>
      </c>
    </row>
    <row r="1555">
      <c r="A1555" s="7" t="inlineStr">
        <is>
          <t>MAT-32-378</t>
        </is>
      </c>
      <c r="B1555" s="4" t="inlineStr">
        <is>
          <t>Boquilla de desagüe de metal para fregadero</t>
        </is>
      </c>
      <c r="C1555" s="7" t="inlineStr">
        <is>
          <t>unidad</t>
        </is>
      </c>
      <c r="D1555" s="8" t="n"/>
      <c r="E1555" s="8" t="n"/>
      <c r="F1555" s="8" t="n">
        <v>470</v>
      </c>
      <c r="G1555" s="8" t="n"/>
      <c r="H1555" s="8" t="n"/>
      <c r="I1555" s="8" t="n"/>
      <c r="J1555" s="8" t="n"/>
      <c r="K1555" s="8" t="n"/>
      <c r="L1555" s="8" t="n"/>
      <c r="M1555" s="8">
        <f>IF(COUNT(D1555:L1555)=0,"",MIN(D1555:L1555))</f>
        <v/>
      </c>
      <c r="N1555" s="8">
        <f>IF(COUNT(D1555:L1555)=0,"",MEDIAN(D1555:L1555))</f>
        <v/>
      </c>
      <c r="O1555" s="8">
        <f>IF(COUNT(D1555:L1555)=0,"",MAX(D1555:L1555))</f>
        <v/>
      </c>
      <c r="P1555" s="9">
        <f>IF(OR(M1555="",M1555=0),"",(O1555-M1555)/M1555)</f>
        <v/>
      </c>
      <c r="Q1555" s="7">
        <f>IF(COUNT(D1555:L1555)=0,"",INDEX($D$1:$L$1,MATCH(MIN(D1555:L1555),D1555:L1555,0)))</f>
        <v/>
      </c>
      <c r="R1555" s="8" t="n">
        <v>470</v>
      </c>
      <c r="S1555" s="10" t="n">
        <v>1</v>
      </c>
    </row>
    <row r="1556">
      <c r="A1556" s="7" t="inlineStr">
        <is>
          <t>MAT-32-379</t>
        </is>
      </c>
      <c r="B1556" s="4" t="inlineStr">
        <is>
          <t>Boquilla de desagüe de plástico para fregadero</t>
        </is>
      </c>
      <c r="C1556" s="7" t="inlineStr">
        <is>
          <t>unidad</t>
        </is>
      </c>
      <c r="D1556" s="8" t="n"/>
      <c r="E1556" s="8" t="n">
        <v>713.65</v>
      </c>
      <c r="F1556" s="8" t="n">
        <v>285</v>
      </c>
      <c r="G1556" s="8" t="n"/>
      <c r="H1556" s="8" t="n"/>
      <c r="I1556" s="8" t="n"/>
      <c r="J1556" s="8" t="n"/>
      <c r="K1556" s="8" t="n"/>
      <c r="L1556" s="8" t="n"/>
      <c r="M1556" s="8">
        <f>IF(COUNT(D1556:L1556)=0,"",MIN(D1556:L1556))</f>
        <v/>
      </c>
      <c r="N1556" s="8">
        <f>IF(COUNT(D1556:L1556)=0,"",MEDIAN(D1556:L1556))</f>
        <v/>
      </c>
      <c r="O1556" s="8">
        <f>IF(COUNT(D1556:L1556)=0,"",MAX(D1556:L1556))</f>
        <v/>
      </c>
      <c r="P1556" s="9">
        <f>IF(OR(M1556="",M1556=0),"",(O1556-M1556)/M1556)</f>
        <v/>
      </c>
      <c r="Q1556" s="7">
        <f>IF(COUNT(D1556:L1556)=0,"",INDEX($D$1:$L$1,MATCH(MIN(D1556:L1556),D1556:L1556,0)))</f>
        <v/>
      </c>
      <c r="R1556" s="8" t="n">
        <v>563.55</v>
      </c>
      <c r="S1556" s="10" t="n">
        <v>2</v>
      </c>
    </row>
    <row r="1557">
      <c r="A1557" s="7" t="inlineStr">
        <is>
          <t>MAT-32-380</t>
        </is>
      </c>
      <c r="B1557" s="4" t="inlineStr">
        <is>
          <t>Boquilla de desagüe de metal para lavadero</t>
        </is>
      </c>
      <c r="C1557" s="7" t="inlineStr">
        <is>
          <t>unidad</t>
        </is>
      </c>
      <c r="D1557" s="8" t="n"/>
      <c r="E1557" s="8" t="n"/>
      <c r="F1557" s="8" t="n">
        <v>429</v>
      </c>
      <c r="G1557" s="8" t="n"/>
      <c r="H1557" s="8" t="n"/>
      <c r="I1557" s="8" t="n"/>
      <c r="J1557" s="8" t="n"/>
      <c r="K1557" s="8" t="n"/>
      <c r="L1557" s="8" t="n"/>
      <c r="M1557" s="8">
        <f>IF(COUNT(D1557:L1557)=0,"",MIN(D1557:L1557))</f>
        <v/>
      </c>
      <c r="N1557" s="8">
        <f>IF(COUNT(D1557:L1557)=0,"",MEDIAN(D1557:L1557))</f>
        <v/>
      </c>
      <c r="O1557" s="8">
        <f>IF(COUNT(D1557:L1557)=0,"",MAX(D1557:L1557))</f>
        <v/>
      </c>
      <c r="P1557" s="9">
        <f>IF(OR(M1557="",M1557=0),"",(O1557-M1557)/M1557)</f>
        <v/>
      </c>
      <c r="Q1557" s="7">
        <f>IF(COUNT(D1557:L1557)=0,"",INDEX($D$1:$L$1,MATCH(MIN(D1557:L1557),D1557:L1557,0)))</f>
        <v/>
      </c>
      <c r="R1557" s="8" t="n">
        <v>429</v>
      </c>
      <c r="S1557" s="10" t="n">
        <v>1</v>
      </c>
    </row>
    <row r="1558">
      <c r="A1558" s="7" t="inlineStr">
        <is>
          <t>MAT-32-381</t>
        </is>
      </c>
      <c r="B1558" s="4" t="inlineStr">
        <is>
          <t>Boquilla de desagüe de metal para lavamanos</t>
        </is>
      </c>
      <c r="C1558" s="7" t="inlineStr">
        <is>
          <t>unidad</t>
        </is>
      </c>
      <c r="D1558" s="8" t="n"/>
      <c r="E1558" s="8" t="n"/>
      <c r="F1558" s="8" t="n">
        <v>255</v>
      </c>
      <c r="G1558" s="8" t="n">
        <v>1500</v>
      </c>
      <c r="H1558" s="8" t="n"/>
      <c r="I1558" s="8" t="n"/>
      <c r="J1558" s="8" t="n"/>
      <c r="K1558" s="8" t="n"/>
      <c r="L1558" s="8" t="n"/>
      <c r="M1558" s="8">
        <f>IF(COUNT(D1558:L1558)=0,"",MIN(D1558:L1558))</f>
        <v/>
      </c>
      <c r="N1558" s="8">
        <f>IF(COUNT(D1558:L1558)=0,"",MEDIAN(D1558:L1558))</f>
        <v/>
      </c>
      <c r="O1558" s="8">
        <f>IF(COUNT(D1558:L1558)=0,"",MAX(D1558:L1558))</f>
        <v/>
      </c>
      <c r="P1558" s="9">
        <f>IF(OR(M1558="",M1558=0),"",(O1558-M1558)/M1558)</f>
        <v/>
      </c>
      <c r="Q1558" s="7">
        <f>IF(COUNT(D1558:L1558)=0,"",INDEX($D$1:$L$1,MATCH(MIN(D1558:L1558),D1558:L1558,0)))</f>
        <v/>
      </c>
      <c r="R1558" s="8" t="n">
        <v>1145</v>
      </c>
      <c r="S1558" s="10" t="n">
        <v>2</v>
      </c>
    </row>
    <row r="1559">
      <c r="A1559" s="7" t="inlineStr">
        <is>
          <t>MAT-32-382</t>
        </is>
      </c>
      <c r="B1559" s="4" t="inlineStr">
        <is>
          <t>Boquilla de desagüe de plástico para lavamanos</t>
        </is>
      </c>
      <c r="C1559" s="7" t="inlineStr">
        <is>
          <t>unidad</t>
        </is>
      </c>
      <c r="D1559" s="8" t="n"/>
      <c r="E1559" s="8" t="n">
        <v>367.2</v>
      </c>
      <c r="F1559" s="8" t="n"/>
      <c r="G1559" s="8" t="n">
        <v>265.5</v>
      </c>
      <c r="H1559" s="8" t="n"/>
      <c r="I1559" s="8" t="n"/>
      <c r="J1559" s="8" t="n"/>
      <c r="K1559" s="8" t="n"/>
      <c r="L1559" s="8" t="n"/>
      <c r="M1559" s="8">
        <f>IF(COUNT(D1559:L1559)=0,"",MIN(D1559:L1559))</f>
        <v/>
      </c>
      <c r="N1559" s="8">
        <f>IF(COUNT(D1559:L1559)=0,"",MEDIAN(D1559:L1559))</f>
        <v/>
      </c>
      <c r="O1559" s="8">
        <f>IF(COUNT(D1559:L1559)=0,"",MAX(D1559:L1559))</f>
        <v/>
      </c>
      <c r="P1559" s="9">
        <f>IF(OR(M1559="",M1559=0),"",(O1559-M1559)/M1559)</f>
        <v/>
      </c>
      <c r="Q1559" s="7">
        <f>IF(COUNT(D1559:L1559)=0,"",INDEX($D$1:$L$1,MATCH(MIN(D1559:L1559),D1559:L1559,0)))</f>
        <v/>
      </c>
      <c r="R1559" s="8" t="n">
        <v>926.63</v>
      </c>
      <c r="S1559" s="10" t="n">
        <v>2</v>
      </c>
    </row>
    <row r="1560">
      <c r="A1560" s="7" t="inlineStr">
        <is>
          <t>MAT-32-383</t>
        </is>
      </c>
      <c r="B1560" s="4" t="inlineStr">
        <is>
          <t>Manguera para bomba 24"</t>
        </is>
      </c>
      <c r="C1560" s="7" t="inlineStr">
        <is>
          <t>unidad</t>
        </is>
      </c>
      <c r="D1560" s="8" t="n"/>
      <c r="E1560" s="8" t="n"/>
      <c r="F1560" s="8" t="n">
        <v>970</v>
      </c>
      <c r="G1560" s="8" t="n"/>
      <c r="H1560" s="8" t="n"/>
      <c r="I1560" s="8" t="n"/>
      <c r="J1560" s="8" t="n"/>
      <c r="K1560" s="8" t="n"/>
      <c r="L1560" s="8" t="n"/>
      <c r="M1560" s="8">
        <f>IF(COUNT(D1560:L1560)=0,"",MIN(D1560:L1560))</f>
        <v/>
      </c>
      <c r="N1560" s="8">
        <f>IF(COUNT(D1560:L1560)=0,"",MEDIAN(D1560:L1560))</f>
        <v/>
      </c>
      <c r="O1560" s="8">
        <f>IF(COUNT(D1560:L1560)=0,"",MAX(D1560:L1560))</f>
        <v/>
      </c>
      <c r="P1560" s="9">
        <f>IF(OR(M1560="",M1560=0),"",(O1560-M1560)/M1560)</f>
        <v/>
      </c>
      <c r="Q1560" s="7">
        <f>IF(COUNT(D1560:L1560)=0,"",INDEX($D$1:$L$1,MATCH(MIN(D1560:L1560),D1560:L1560,0)))</f>
        <v/>
      </c>
      <c r="R1560" s="8" t="n">
        <v>970</v>
      </c>
      <c r="S1560" s="10" t="n">
        <v>1</v>
      </c>
    </row>
    <row r="1561">
      <c r="A1561" s="7" t="inlineStr">
        <is>
          <t>MAT-32-384</t>
        </is>
      </c>
      <c r="B1561" s="4" t="inlineStr">
        <is>
          <t>Manguera para bomba 36"</t>
        </is>
      </c>
      <c r="C1561" s="7" t="inlineStr">
        <is>
          <t>unidad</t>
        </is>
      </c>
      <c r="D1561" s="8" t="n"/>
      <c r="E1561" s="8" t="n"/>
      <c r="F1561" s="8" t="n">
        <v>475</v>
      </c>
      <c r="G1561" s="8" t="n"/>
      <c r="H1561" s="8" t="n"/>
      <c r="I1561" s="8" t="n"/>
      <c r="J1561" s="8" t="n"/>
      <c r="K1561" s="8" t="n"/>
      <c r="L1561" s="8" t="n"/>
      <c r="M1561" s="8">
        <f>IF(COUNT(D1561:L1561)=0,"",MIN(D1561:L1561))</f>
        <v/>
      </c>
      <c r="N1561" s="8">
        <f>IF(COUNT(D1561:L1561)=0,"",MEDIAN(D1561:L1561))</f>
        <v/>
      </c>
      <c r="O1561" s="8">
        <f>IF(COUNT(D1561:L1561)=0,"",MAX(D1561:L1561))</f>
        <v/>
      </c>
      <c r="P1561" s="9">
        <f>IF(OR(M1561="",M1561=0),"",(O1561-M1561)/M1561)</f>
        <v/>
      </c>
      <c r="Q1561" s="7">
        <f>IF(COUNT(D1561:L1561)=0,"",INDEX($D$1:$L$1,MATCH(MIN(D1561:L1561),D1561:L1561,0)))</f>
        <v/>
      </c>
      <c r="R1561" s="8" t="n">
        <v>475</v>
      </c>
      <c r="S1561" s="10" t="n">
        <v>1</v>
      </c>
    </row>
    <row r="1562">
      <c r="A1562" s="7" t="inlineStr">
        <is>
          <t>MAT-32-385</t>
        </is>
      </c>
      <c r="B1562" s="4" t="inlineStr">
        <is>
          <t>Manguera para calentador 24"</t>
        </is>
      </c>
      <c r="C1562" s="7" t="inlineStr">
        <is>
          <t>unidad</t>
        </is>
      </c>
      <c r="D1562" s="8" t="n"/>
      <c r="E1562" s="8" t="n"/>
      <c r="F1562" s="8" t="n">
        <v>895</v>
      </c>
      <c r="G1562" s="8" t="n"/>
      <c r="H1562" s="8" t="n"/>
      <c r="I1562" s="8" t="n"/>
      <c r="J1562" s="8" t="n"/>
      <c r="K1562" s="8" t="n"/>
      <c r="L1562" s="8" t="n"/>
      <c r="M1562" s="8">
        <f>IF(COUNT(D1562:L1562)=0,"",MIN(D1562:L1562))</f>
        <v/>
      </c>
      <c r="N1562" s="8">
        <f>IF(COUNT(D1562:L1562)=0,"",MEDIAN(D1562:L1562))</f>
        <v/>
      </c>
      <c r="O1562" s="8">
        <f>IF(COUNT(D1562:L1562)=0,"",MAX(D1562:L1562))</f>
        <v/>
      </c>
      <c r="P1562" s="9">
        <f>IF(OR(M1562="",M1562=0),"",(O1562-M1562)/M1562)</f>
        <v/>
      </c>
      <c r="Q1562" s="7">
        <f>IF(COUNT(D1562:L1562)=0,"",INDEX($D$1:$L$1,MATCH(MIN(D1562:L1562),D1562:L1562,0)))</f>
        <v/>
      </c>
      <c r="R1562" s="8" t="n">
        <v>895</v>
      </c>
      <c r="S1562" s="10" t="n">
        <v>1</v>
      </c>
    </row>
    <row r="1563">
      <c r="A1563" s="7" t="inlineStr">
        <is>
          <t>MAT-32-386</t>
        </is>
      </c>
      <c r="B1563" s="4" t="inlineStr">
        <is>
          <t>Manguera para calentador 3/4" x 1 pulgadas</t>
        </is>
      </c>
      <c r="C1563" s="7" t="inlineStr">
        <is>
          <t>unidad</t>
        </is>
      </c>
      <c r="D1563" s="8" t="n"/>
      <c r="E1563" s="8" t="n"/>
      <c r="F1563" s="8" t="n">
        <v>620</v>
      </c>
      <c r="G1563" s="8" t="n"/>
      <c r="H1563" s="8" t="n"/>
      <c r="I1563" s="8" t="n"/>
      <c r="J1563" s="8" t="n"/>
      <c r="K1563" s="8" t="n"/>
      <c r="L1563" s="8" t="n"/>
      <c r="M1563" s="8">
        <f>IF(COUNT(D1563:L1563)=0,"",MIN(D1563:L1563))</f>
        <v/>
      </c>
      <c r="N1563" s="8">
        <f>IF(COUNT(D1563:L1563)=0,"",MEDIAN(D1563:L1563))</f>
        <v/>
      </c>
      <c r="O1563" s="8">
        <f>IF(COUNT(D1563:L1563)=0,"",MAX(D1563:L1563))</f>
        <v/>
      </c>
      <c r="P1563" s="9">
        <f>IF(OR(M1563="",M1563=0),"",(O1563-M1563)/M1563)</f>
        <v/>
      </c>
      <c r="Q1563" s="7">
        <f>IF(COUNT(D1563:L1563)=0,"",INDEX($D$1:$L$1,MATCH(MIN(D1563:L1563),D1563:L1563,0)))</f>
        <v/>
      </c>
      <c r="R1563" s="8" t="n">
        <v>620</v>
      </c>
      <c r="S1563" s="10" t="n">
        <v>1</v>
      </c>
    </row>
    <row r="1564">
      <c r="A1564" s="7" t="inlineStr">
        <is>
          <t>MAT-32-387</t>
        </is>
      </c>
      <c r="B1564" s="4" t="inlineStr">
        <is>
          <t>Manguera para calentador 3/4" x 2 pulgadas</t>
        </is>
      </c>
      <c r="C1564" s="7" t="inlineStr">
        <is>
          <t>unidad</t>
        </is>
      </c>
      <c r="D1564" s="8" t="n"/>
      <c r="E1564" s="8" t="n"/>
      <c r="F1564" s="8" t="n">
        <v>685</v>
      </c>
      <c r="G1564" s="8" t="n"/>
      <c r="H1564" s="8" t="n"/>
      <c r="I1564" s="8" t="n"/>
      <c r="J1564" s="8" t="n"/>
      <c r="K1564" s="8" t="n"/>
      <c r="L1564" s="8" t="n"/>
      <c r="M1564" s="8">
        <f>IF(COUNT(D1564:L1564)=0,"",MIN(D1564:L1564))</f>
        <v/>
      </c>
      <c r="N1564" s="8">
        <f>IF(COUNT(D1564:L1564)=0,"",MEDIAN(D1564:L1564))</f>
        <v/>
      </c>
      <c r="O1564" s="8">
        <f>IF(COUNT(D1564:L1564)=0,"",MAX(D1564:L1564))</f>
        <v/>
      </c>
      <c r="P1564" s="9">
        <f>IF(OR(M1564="",M1564=0),"",(O1564-M1564)/M1564)</f>
        <v/>
      </c>
      <c r="Q1564" s="7">
        <f>IF(COUNT(D1564:L1564)=0,"",INDEX($D$1:$L$1,MATCH(MIN(D1564:L1564),D1564:L1564,0)))</f>
        <v/>
      </c>
      <c r="R1564" s="8" t="n">
        <v>878</v>
      </c>
      <c r="S1564" s="10" t="n">
        <v>1</v>
      </c>
    </row>
    <row r="1565">
      <c r="A1565" s="7" t="inlineStr">
        <is>
          <t>MAT-32-388</t>
        </is>
      </c>
      <c r="B1565" s="4" t="inlineStr">
        <is>
          <t>Manguera para calentador 60"</t>
        </is>
      </c>
      <c r="C1565" s="7" t="inlineStr">
        <is>
          <t>unidad</t>
        </is>
      </c>
      <c r="D1565" s="8" t="n"/>
      <c r="E1565" s="8" t="n"/>
      <c r="F1565" s="8" t="n">
        <v>1094</v>
      </c>
      <c r="G1565" s="8" t="n"/>
      <c r="H1565" s="8" t="n"/>
      <c r="I1565" s="8" t="n"/>
      <c r="J1565" s="8" t="n"/>
      <c r="K1565" s="8" t="n"/>
      <c r="L1565" s="8" t="n"/>
      <c r="M1565" s="8">
        <f>IF(COUNT(D1565:L1565)=0,"",MIN(D1565:L1565))</f>
        <v/>
      </c>
      <c r="N1565" s="8">
        <f>IF(COUNT(D1565:L1565)=0,"",MEDIAN(D1565:L1565))</f>
        <v/>
      </c>
      <c r="O1565" s="8">
        <f>IF(COUNT(D1565:L1565)=0,"",MAX(D1565:L1565))</f>
        <v/>
      </c>
      <c r="P1565" s="9">
        <f>IF(OR(M1565="",M1565=0),"",(O1565-M1565)/M1565)</f>
        <v/>
      </c>
      <c r="Q1565" s="7">
        <f>IF(COUNT(D1565:L1565)=0,"",INDEX($D$1:$L$1,MATCH(MIN(D1565:L1565),D1565:L1565,0)))</f>
        <v/>
      </c>
      <c r="R1565" s="8" t="n">
        <v>1094</v>
      </c>
      <c r="S1565" s="10" t="n">
        <v>1</v>
      </c>
    </row>
    <row r="1566">
      <c r="A1566" s="7" t="inlineStr">
        <is>
          <t>MAT-32-389</t>
        </is>
      </c>
      <c r="B1566" s="4" t="inlineStr">
        <is>
          <t>Manguera para gas 12"</t>
        </is>
      </c>
      <c r="C1566" s="7" t="inlineStr">
        <is>
          <t>unidad</t>
        </is>
      </c>
      <c r="D1566" s="8" t="n"/>
      <c r="E1566" s="8" t="n"/>
      <c r="F1566" s="8" t="n">
        <v>50</v>
      </c>
      <c r="G1566" s="8" t="n"/>
      <c r="H1566" s="8" t="n"/>
      <c r="I1566" s="8" t="n"/>
      <c r="J1566" s="8" t="n"/>
      <c r="K1566" s="8" t="n"/>
      <c r="L1566" s="8" t="n"/>
      <c r="M1566" s="8">
        <f>IF(COUNT(D1566:L1566)=0,"",MIN(D1566:L1566))</f>
        <v/>
      </c>
      <c r="N1566" s="8">
        <f>IF(COUNT(D1566:L1566)=0,"",MEDIAN(D1566:L1566))</f>
        <v/>
      </c>
      <c r="O1566" s="8">
        <f>IF(COUNT(D1566:L1566)=0,"",MAX(D1566:L1566))</f>
        <v/>
      </c>
      <c r="P1566" s="9">
        <f>IF(OR(M1566="",M1566=0),"",(O1566-M1566)/M1566)</f>
        <v/>
      </c>
      <c r="Q1566" s="7">
        <f>IF(COUNT(D1566:L1566)=0,"",INDEX($D$1:$L$1,MATCH(MIN(D1566:L1566),D1566:L1566,0)))</f>
        <v/>
      </c>
      <c r="R1566" s="8" t="n">
        <v>50</v>
      </c>
      <c r="S1566" s="10" t="n">
        <v>1</v>
      </c>
    </row>
    <row r="1567">
      <c r="A1567" s="7" t="inlineStr">
        <is>
          <t>MAT-32-390</t>
        </is>
      </c>
      <c r="B1567" s="4" t="inlineStr">
        <is>
          <t>Manguera para gas 18"</t>
        </is>
      </c>
      <c r="C1567" s="7" t="inlineStr">
        <is>
          <t>unidad</t>
        </is>
      </c>
      <c r="D1567" s="8" t="n"/>
      <c r="E1567" s="8" t="n"/>
      <c r="F1567" s="8" t="n">
        <v>65</v>
      </c>
      <c r="G1567" s="8" t="n"/>
      <c r="H1567" s="8" t="n"/>
      <c r="I1567" s="8" t="n"/>
      <c r="J1567" s="8" t="n"/>
      <c r="K1567" s="8" t="n"/>
      <c r="L1567" s="8" t="n"/>
      <c r="M1567" s="8">
        <f>IF(COUNT(D1567:L1567)=0,"",MIN(D1567:L1567))</f>
        <v/>
      </c>
      <c r="N1567" s="8">
        <f>IF(COUNT(D1567:L1567)=0,"",MEDIAN(D1567:L1567))</f>
        <v/>
      </c>
      <c r="O1567" s="8">
        <f>IF(COUNT(D1567:L1567)=0,"",MAX(D1567:L1567))</f>
        <v/>
      </c>
      <c r="P1567" s="9">
        <f>IF(OR(M1567="",M1567=0),"",(O1567-M1567)/M1567)</f>
        <v/>
      </c>
      <c r="Q1567" s="7">
        <f>IF(COUNT(D1567:L1567)=0,"",INDEX($D$1:$L$1,MATCH(MIN(D1567:L1567),D1567:L1567,0)))</f>
        <v/>
      </c>
      <c r="R1567" s="8" t="n">
        <v>65</v>
      </c>
      <c r="S1567" s="10" t="n">
        <v>1</v>
      </c>
    </row>
    <row r="1568">
      <c r="A1568" s="7" t="inlineStr">
        <is>
          <t>MAT-32-391</t>
        </is>
      </c>
      <c r="B1568" s="4" t="inlineStr">
        <is>
          <t>Manguera para inodoro 16"</t>
        </is>
      </c>
      <c r="C1568" s="7" t="inlineStr">
        <is>
          <t>unidad</t>
        </is>
      </c>
      <c r="D1568" s="8" t="n"/>
      <c r="E1568" s="8" t="n"/>
      <c r="F1568" s="8" t="n">
        <v>250</v>
      </c>
      <c r="G1568" s="8" t="n"/>
      <c r="H1568" s="8" t="n"/>
      <c r="I1568" s="8" t="n"/>
      <c r="J1568" s="8" t="n"/>
      <c r="K1568" s="8" t="n"/>
      <c r="L1568" s="8" t="n"/>
      <c r="M1568" s="8">
        <f>IF(COUNT(D1568:L1568)=0,"",MIN(D1568:L1568))</f>
        <v/>
      </c>
      <c r="N1568" s="8">
        <f>IF(COUNT(D1568:L1568)=0,"",MEDIAN(D1568:L1568))</f>
        <v/>
      </c>
      <c r="O1568" s="8">
        <f>IF(COUNT(D1568:L1568)=0,"",MAX(D1568:L1568))</f>
        <v/>
      </c>
      <c r="P1568" s="9">
        <f>IF(OR(M1568="",M1568=0),"",(O1568-M1568)/M1568)</f>
        <v/>
      </c>
      <c r="Q1568" s="7">
        <f>IF(COUNT(D1568:L1568)=0,"",INDEX($D$1:$L$1,MATCH(MIN(D1568:L1568),D1568:L1568,0)))</f>
        <v/>
      </c>
      <c r="R1568" s="8" t="n">
        <v>250</v>
      </c>
      <c r="S1568" s="10" t="n">
        <v>1</v>
      </c>
    </row>
    <row r="1569">
      <c r="A1569" s="7" t="inlineStr">
        <is>
          <t>MAT-32-392</t>
        </is>
      </c>
      <c r="B1569" s="4" t="inlineStr">
        <is>
          <t>Manguera para jardín 1/2"</t>
        </is>
      </c>
      <c r="C1569" s="7" t="inlineStr">
        <is>
          <t>unidad</t>
        </is>
      </c>
      <c r="D1569" s="8" t="n"/>
      <c r="E1569" s="8" t="n"/>
      <c r="F1569" s="8" t="n">
        <v>535</v>
      </c>
      <c r="G1569" s="8" t="n"/>
      <c r="H1569" s="8" t="n"/>
      <c r="I1569" s="8" t="n"/>
      <c r="J1569" s="8" t="n"/>
      <c r="K1569" s="8" t="n"/>
      <c r="L1569" s="8" t="n"/>
      <c r="M1569" s="8">
        <f>IF(COUNT(D1569:L1569)=0,"",MIN(D1569:L1569))</f>
        <v/>
      </c>
      <c r="N1569" s="8">
        <f>IF(COUNT(D1569:L1569)=0,"",MEDIAN(D1569:L1569))</f>
        <v/>
      </c>
      <c r="O1569" s="8">
        <f>IF(COUNT(D1569:L1569)=0,"",MAX(D1569:L1569))</f>
        <v/>
      </c>
      <c r="P1569" s="9">
        <f>IF(OR(M1569="",M1569=0),"",(O1569-M1569)/M1569)</f>
        <v/>
      </c>
      <c r="Q1569" s="7">
        <f>IF(COUNT(D1569:L1569)=0,"",INDEX($D$1:$L$1,MATCH(MIN(D1569:L1569),D1569:L1569,0)))</f>
        <v/>
      </c>
      <c r="R1569" s="8" t="n">
        <v>1288</v>
      </c>
      <c r="S1569" s="10" t="n">
        <v>1</v>
      </c>
    </row>
    <row r="1570">
      <c r="A1570" s="7" t="inlineStr">
        <is>
          <t>MAT-32-393</t>
        </is>
      </c>
      <c r="B1570" s="4" t="inlineStr">
        <is>
          <t>Manguera para jardín 1/2" x 100 pies</t>
        </is>
      </c>
      <c r="C1570" s="7" t="inlineStr">
        <is>
          <t>unidad</t>
        </is>
      </c>
      <c r="D1570" s="8" t="n"/>
      <c r="E1570" s="8" t="n"/>
      <c r="F1570" s="8" t="n">
        <v>1475</v>
      </c>
      <c r="G1570" s="8" t="n"/>
      <c r="H1570" s="8" t="n"/>
      <c r="I1570" s="8" t="n"/>
      <c r="J1570" s="8" t="n"/>
      <c r="K1570" s="8" t="n"/>
      <c r="L1570" s="8" t="n"/>
      <c r="M1570" s="8">
        <f>IF(COUNT(D1570:L1570)=0,"",MIN(D1570:L1570))</f>
        <v/>
      </c>
      <c r="N1570" s="8">
        <f>IF(COUNT(D1570:L1570)=0,"",MEDIAN(D1570:L1570))</f>
        <v/>
      </c>
      <c r="O1570" s="8">
        <f>IF(COUNT(D1570:L1570)=0,"",MAX(D1570:L1570))</f>
        <v/>
      </c>
      <c r="P1570" s="9">
        <f>IF(OR(M1570="",M1570=0),"",(O1570-M1570)/M1570)</f>
        <v/>
      </c>
      <c r="Q1570" s="7">
        <f>IF(COUNT(D1570:L1570)=0,"",INDEX($D$1:$L$1,MATCH(MIN(D1570:L1570),D1570:L1570,0)))</f>
        <v/>
      </c>
      <c r="R1570" s="8" t="n">
        <v>1475</v>
      </c>
      <c r="S1570" s="10" t="n">
        <v>1</v>
      </c>
    </row>
    <row r="1571">
      <c r="A1571" s="7" t="inlineStr">
        <is>
          <t>MAT-32-394</t>
        </is>
      </c>
      <c r="B1571" s="4" t="inlineStr">
        <is>
          <t>Manguera para jardín 1/2" x 25 pies</t>
        </is>
      </c>
      <c r="C1571" s="7" t="inlineStr">
        <is>
          <t>unidad</t>
        </is>
      </c>
      <c r="D1571" s="8" t="n"/>
      <c r="E1571" s="8" t="n"/>
      <c r="F1571" s="8" t="n">
        <v>544</v>
      </c>
      <c r="G1571" s="8" t="n"/>
      <c r="H1571" s="8" t="n"/>
      <c r="I1571" s="8" t="n"/>
      <c r="J1571" s="8" t="n"/>
      <c r="K1571" s="8" t="n"/>
      <c r="L1571" s="8" t="n"/>
      <c r="M1571" s="8">
        <f>IF(COUNT(D1571:L1571)=0,"",MIN(D1571:L1571))</f>
        <v/>
      </c>
      <c r="N1571" s="8">
        <f>IF(COUNT(D1571:L1571)=0,"",MEDIAN(D1571:L1571))</f>
        <v/>
      </c>
      <c r="O1571" s="8">
        <f>IF(COUNT(D1571:L1571)=0,"",MAX(D1571:L1571))</f>
        <v/>
      </c>
      <c r="P1571" s="9">
        <f>IF(OR(M1571="",M1571=0),"",(O1571-M1571)/M1571)</f>
        <v/>
      </c>
      <c r="Q1571" s="7">
        <f>IF(COUNT(D1571:L1571)=0,"",INDEX($D$1:$L$1,MATCH(MIN(D1571:L1571),D1571:L1571,0)))</f>
        <v/>
      </c>
      <c r="R1571" s="8" t="n">
        <v>544</v>
      </c>
      <c r="S1571" s="10" t="n">
        <v>1</v>
      </c>
    </row>
    <row r="1572">
      <c r="A1572" s="7" t="inlineStr">
        <is>
          <t>MAT-32-395</t>
        </is>
      </c>
      <c r="B1572" s="4" t="inlineStr">
        <is>
          <t>Manguera para jardín 1/2" x 50 pies</t>
        </is>
      </c>
      <c r="C1572" s="7" t="inlineStr">
        <is>
          <t>unidad</t>
        </is>
      </c>
      <c r="D1572" s="8" t="n"/>
      <c r="E1572" s="8" t="n"/>
      <c r="F1572" s="8" t="n">
        <v>1042</v>
      </c>
      <c r="G1572" s="8" t="n"/>
      <c r="H1572" s="8" t="n"/>
      <c r="I1572" s="8" t="n"/>
      <c r="J1572" s="8" t="n"/>
      <c r="K1572" s="8" t="n"/>
      <c r="L1572" s="8" t="n"/>
      <c r="M1572" s="8">
        <f>IF(COUNT(D1572:L1572)=0,"",MIN(D1572:L1572))</f>
        <v/>
      </c>
      <c r="N1572" s="8">
        <f>IF(COUNT(D1572:L1572)=0,"",MEDIAN(D1572:L1572))</f>
        <v/>
      </c>
      <c r="O1572" s="8">
        <f>IF(COUNT(D1572:L1572)=0,"",MAX(D1572:L1572))</f>
        <v/>
      </c>
      <c r="P1572" s="9">
        <f>IF(OR(M1572="",M1572=0),"",(O1572-M1572)/M1572)</f>
        <v/>
      </c>
      <c r="Q1572" s="7">
        <f>IF(COUNT(D1572:L1572)=0,"",INDEX($D$1:$L$1,MATCH(MIN(D1572:L1572),D1572:L1572,0)))</f>
        <v/>
      </c>
      <c r="R1572" s="8" t="n">
        <v>1042</v>
      </c>
      <c r="S1572" s="10" t="n">
        <v>1</v>
      </c>
    </row>
    <row r="1573">
      <c r="A1573" s="7" t="inlineStr">
        <is>
          <t>MAT-32-396</t>
        </is>
      </c>
      <c r="B1573" s="4" t="inlineStr">
        <is>
          <t>Manguera para jardín 5/8"</t>
        </is>
      </c>
      <c r="C1573" s="7" t="inlineStr">
        <is>
          <t>unidad</t>
        </is>
      </c>
      <c r="D1573" s="8" t="n"/>
      <c r="E1573" s="8" t="n"/>
      <c r="F1573" s="8" t="n">
        <v>2054</v>
      </c>
      <c r="G1573" s="8" t="n"/>
      <c r="H1573" s="8" t="n"/>
      <c r="I1573" s="8" t="n"/>
      <c r="J1573" s="8" t="n"/>
      <c r="K1573" s="8" t="n"/>
      <c r="L1573" s="8" t="n"/>
      <c r="M1573" s="8">
        <f>IF(COUNT(D1573:L1573)=0,"",MIN(D1573:L1573))</f>
        <v/>
      </c>
      <c r="N1573" s="8">
        <f>IF(COUNT(D1573:L1573)=0,"",MEDIAN(D1573:L1573))</f>
        <v/>
      </c>
      <c r="O1573" s="8">
        <f>IF(COUNT(D1573:L1573)=0,"",MAX(D1573:L1573))</f>
        <v/>
      </c>
      <c r="P1573" s="9">
        <f>IF(OR(M1573="",M1573=0),"",(O1573-M1573)/M1573)</f>
        <v/>
      </c>
      <c r="Q1573" s="7">
        <f>IF(COUNT(D1573:L1573)=0,"",INDEX($D$1:$L$1,MATCH(MIN(D1573:L1573),D1573:L1573,0)))</f>
        <v/>
      </c>
      <c r="R1573" s="8" t="n">
        <v>2397</v>
      </c>
      <c r="S1573" s="10" t="n">
        <v>1</v>
      </c>
    </row>
    <row r="1574">
      <c r="A1574" s="7" t="inlineStr">
        <is>
          <t>MAT-32-397</t>
        </is>
      </c>
      <c r="B1574" s="4" t="inlineStr">
        <is>
          <t>Manguera para jardín 5/8" x 75 pies</t>
        </is>
      </c>
      <c r="C1574" s="7" t="inlineStr">
        <is>
          <t>unidad</t>
        </is>
      </c>
      <c r="D1574" s="8" t="n"/>
      <c r="E1574" s="8" t="n"/>
      <c r="F1574" s="8" t="n">
        <v>1365</v>
      </c>
      <c r="G1574" s="8" t="n"/>
      <c r="H1574" s="8" t="n"/>
      <c r="I1574" s="8" t="n"/>
      <c r="J1574" s="8" t="n"/>
      <c r="K1574" s="8" t="n"/>
      <c r="L1574" s="8" t="n"/>
      <c r="M1574" s="8">
        <f>IF(COUNT(D1574:L1574)=0,"",MIN(D1574:L1574))</f>
        <v/>
      </c>
      <c r="N1574" s="8">
        <f>IF(COUNT(D1574:L1574)=0,"",MEDIAN(D1574:L1574))</f>
        <v/>
      </c>
      <c r="O1574" s="8">
        <f>IF(COUNT(D1574:L1574)=0,"",MAX(D1574:L1574))</f>
        <v/>
      </c>
      <c r="P1574" s="9">
        <f>IF(OR(M1574="",M1574=0),"",(O1574-M1574)/M1574)</f>
        <v/>
      </c>
      <c r="Q1574" s="7">
        <f>IF(COUNT(D1574:L1574)=0,"",INDEX($D$1:$L$1,MATCH(MIN(D1574:L1574),D1574:L1574,0)))</f>
        <v/>
      </c>
      <c r="R1574" s="8" t="n">
        <v>1365</v>
      </c>
      <c r="S1574" s="10" t="n">
        <v>1</v>
      </c>
    </row>
    <row r="1575">
      <c r="A1575" s="7" t="inlineStr">
        <is>
          <t>MAT-32-398</t>
        </is>
      </c>
      <c r="B1575" s="4" t="inlineStr">
        <is>
          <t>Manguera para lavadora 48"</t>
        </is>
      </c>
      <c r="C1575" s="7" t="inlineStr">
        <is>
          <t>unidad</t>
        </is>
      </c>
      <c r="D1575" s="8" t="n"/>
      <c r="E1575" s="8" t="n"/>
      <c r="F1575" s="8" t="n">
        <v>556</v>
      </c>
      <c r="G1575" s="8" t="n"/>
      <c r="H1575" s="8" t="n"/>
      <c r="I1575" s="8" t="n"/>
      <c r="J1575" s="8" t="n"/>
      <c r="K1575" s="8" t="n"/>
      <c r="L1575" s="8" t="n"/>
      <c r="M1575" s="8">
        <f>IF(COUNT(D1575:L1575)=0,"",MIN(D1575:L1575))</f>
        <v/>
      </c>
      <c r="N1575" s="8">
        <f>IF(COUNT(D1575:L1575)=0,"",MEDIAN(D1575:L1575))</f>
        <v/>
      </c>
      <c r="O1575" s="8">
        <f>IF(COUNT(D1575:L1575)=0,"",MAX(D1575:L1575))</f>
        <v/>
      </c>
      <c r="P1575" s="9">
        <f>IF(OR(M1575="",M1575=0),"",(O1575-M1575)/M1575)</f>
        <v/>
      </c>
      <c r="Q1575" s="7">
        <f>IF(COUNT(D1575:L1575)=0,"",INDEX($D$1:$L$1,MATCH(MIN(D1575:L1575),D1575:L1575,0)))</f>
        <v/>
      </c>
      <c r="R1575" s="8" t="n">
        <v>556</v>
      </c>
      <c r="S1575" s="10" t="n">
        <v>1</v>
      </c>
    </row>
    <row r="1576">
      <c r="A1576" s="7" t="inlineStr">
        <is>
          <t>MAT-32-399</t>
        </is>
      </c>
      <c r="B1576" s="4" t="inlineStr">
        <is>
          <t>Manguera para lavadora 60"</t>
        </is>
      </c>
      <c r="C1576" s="7" t="inlineStr">
        <is>
          <t>unidad</t>
        </is>
      </c>
      <c r="D1576" s="8" t="n"/>
      <c r="E1576" s="8" t="n"/>
      <c r="F1576" s="8" t="n">
        <v>410</v>
      </c>
      <c r="G1576" s="8" t="n"/>
      <c r="H1576" s="8" t="n"/>
      <c r="I1576" s="8" t="n"/>
      <c r="J1576" s="8" t="n"/>
      <c r="K1576" s="8" t="n"/>
      <c r="L1576" s="8" t="n"/>
      <c r="M1576" s="8">
        <f>IF(COUNT(D1576:L1576)=0,"",MIN(D1576:L1576))</f>
        <v/>
      </c>
      <c r="N1576" s="8">
        <f>IF(COUNT(D1576:L1576)=0,"",MEDIAN(D1576:L1576))</f>
        <v/>
      </c>
      <c r="O1576" s="8">
        <f>IF(COUNT(D1576:L1576)=0,"",MAX(D1576:L1576))</f>
        <v/>
      </c>
      <c r="P1576" s="9">
        <f>IF(OR(M1576="",M1576=0),"",(O1576-M1576)/M1576)</f>
        <v/>
      </c>
      <c r="Q1576" s="7">
        <f>IF(COUNT(D1576:L1576)=0,"",INDEX($D$1:$L$1,MATCH(MIN(D1576:L1576),D1576:L1576,0)))</f>
        <v/>
      </c>
      <c r="R1576" s="8" t="n">
        <v>410</v>
      </c>
      <c r="S1576" s="10" t="n">
        <v>1</v>
      </c>
    </row>
    <row r="1577">
      <c r="A1577" s="7" t="inlineStr">
        <is>
          <t>MAT-32-400</t>
        </is>
      </c>
      <c r="B1577" s="4" t="inlineStr">
        <is>
          <t>Manguera para lavadora 72"</t>
        </is>
      </c>
      <c r="C1577" s="7" t="inlineStr">
        <is>
          <t>unidad</t>
        </is>
      </c>
      <c r="D1577" s="8" t="n"/>
      <c r="E1577" s="8" t="n"/>
      <c r="F1577" s="8" t="n">
        <v>375</v>
      </c>
      <c r="G1577" s="8" t="n"/>
      <c r="H1577" s="8" t="n"/>
      <c r="I1577" s="8" t="n"/>
      <c r="J1577" s="8" t="n"/>
      <c r="K1577" s="8" t="n"/>
      <c r="L1577" s="8" t="n"/>
      <c r="M1577" s="8">
        <f>IF(COUNT(D1577:L1577)=0,"",MIN(D1577:L1577))</f>
        <v/>
      </c>
      <c r="N1577" s="8">
        <f>IF(COUNT(D1577:L1577)=0,"",MEDIAN(D1577:L1577))</f>
        <v/>
      </c>
      <c r="O1577" s="8">
        <f>IF(COUNT(D1577:L1577)=0,"",MAX(D1577:L1577))</f>
        <v/>
      </c>
      <c r="P1577" s="9">
        <f>IF(OR(M1577="",M1577=0),"",(O1577-M1577)/M1577)</f>
        <v/>
      </c>
      <c r="Q1577" s="7">
        <f>IF(COUNT(D1577:L1577)=0,"",INDEX($D$1:$L$1,MATCH(MIN(D1577:L1577),D1577:L1577,0)))</f>
        <v/>
      </c>
      <c r="R1577" s="8" t="n">
        <v>375</v>
      </c>
      <c r="S1577" s="10" t="n">
        <v>1</v>
      </c>
    </row>
    <row r="1578">
      <c r="A1578" s="7" t="inlineStr">
        <is>
          <t>MAT-32-401</t>
        </is>
      </c>
      <c r="B1578" s="4" t="inlineStr">
        <is>
          <t>Manguera para lavamanos 1/2"</t>
        </is>
      </c>
      <c r="C1578" s="7" t="inlineStr">
        <is>
          <t>unidad</t>
        </is>
      </c>
      <c r="D1578" s="8" t="n"/>
      <c r="E1578" s="8" t="n"/>
      <c r="F1578" s="8" t="n">
        <v>295</v>
      </c>
      <c r="G1578" s="8" t="n"/>
      <c r="H1578" s="8" t="n"/>
      <c r="I1578" s="8" t="n"/>
      <c r="J1578" s="8" t="n"/>
      <c r="K1578" s="8" t="n"/>
      <c r="L1578" s="8" t="n"/>
      <c r="M1578" s="8">
        <f>IF(COUNT(D1578:L1578)=0,"",MIN(D1578:L1578))</f>
        <v/>
      </c>
      <c r="N1578" s="8">
        <f>IF(COUNT(D1578:L1578)=0,"",MEDIAN(D1578:L1578))</f>
        <v/>
      </c>
      <c r="O1578" s="8">
        <f>IF(COUNT(D1578:L1578)=0,"",MAX(D1578:L1578))</f>
        <v/>
      </c>
      <c r="P1578" s="9">
        <f>IF(OR(M1578="",M1578=0),"",(O1578-M1578)/M1578)</f>
        <v/>
      </c>
      <c r="Q1578" s="7">
        <f>IF(COUNT(D1578:L1578)=0,"",INDEX($D$1:$L$1,MATCH(MIN(D1578:L1578),D1578:L1578,0)))</f>
        <v/>
      </c>
      <c r="R1578" s="8" t="n">
        <v>384</v>
      </c>
      <c r="S1578" s="10" t="n">
        <v>1</v>
      </c>
    </row>
    <row r="1579">
      <c r="A1579" s="7" t="inlineStr">
        <is>
          <t>MAT-32-402</t>
        </is>
      </c>
      <c r="B1579" s="4" t="inlineStr">
        <is>
          <t>Manguera para lavamanos 16"</t>
        </is>
      </c>
      <c r="C1579" s="7" t="inlineStr">
        <is>
          <t>unidad</t>
        </is>
      </c>
      <c r="D1579" s="8" t="n"/>
      <c r="E1579" s="8" t="n"/>
      <c r="F1579" s="8" t="n">
        <v>265</v>
      </c>
      <c r="G1579" s="8" t="n"/>
      <c r="H1579" s="8" t="n"/>
      <c r="I1579" s="8" t="n"/>
      <c r="J1579" s="8" t="n"/>
      <c r="K1579" s="8" t="n"/>
      <c r="L1579" s="8" t="n"/>
      <c r="M1579" s="8">
        <f>IF(COUNT(D1579:L1579)=0,"",MIN(D1579:L1579))</f>
        <v/>
      </c>
      <c r="N1579" s="8">
        <f>IF(COUNT(D1579:L1579)=0,"",MEDIAN(D1579:L1579))</f>
        <v/>
      </c>
      <c r="O1579" s="8">
        <f>IF(COUNT(D1579:L1579)=0,"",MAX(D1579:L1579))</f>
        <v/>
      </c>
      <c r="P1579" s="9">
        <f>IF(OR(M1579="",M1579=0),"",(O1579-M1579)/M1579)</f>
        <v/>
      </c>
      <c r="Q1579" s="7">
        <f>IF(COUNT(D1579:L1579)=0,"",INDEX($D$1:$L$1,MATCH(MIN(D1579:L1579),D1579:L1579,0)))</f>
        <v/>
      </c>
      <c r="R1579" s="8" t="n">
        <v>265</v>
      </c>
      <c r="S1579" s="10" t="n">
        <v>1</v>
      </c>
    </row>
    <row r="1580">
      <c r="A1580" s="7" t="inlineStr">
        <is>
          <t>MAT-32-403</t>
        </is>
      </c>
      <c r="B1580" s="4" t="inlineStr">
        <is>
          <t>Manguera para lavamanos 20"</t>
        </is>
      </c>
      <c r="C1580" s="7" t="inlineStr">
        <is>
          <t>unidad</t>
        </is>
      </c>
      <c r="D1580" s="8" t="n"/>
      <c r="E1580" s="8" t="n"/>
      <c r="F1580" s="8" t="n">
        <v>325</v>
      </c>
      <c r="G1580" s="8" t="n"/>
      <c r="H1580" s="8" t="n"/>
      <c r="I1580" s="8" t="n"/>
      <c r="J1580" s="8" t="n"/>
      <c r="K1580" s="8" t="n"/>
      <c r="L1580" s="8" t="n"/>
      <c r="M1580" s="8">
        <f>IF(COUNT(D1580:L1580)=0,"",MIN(D1580:L1580))</f>
        <v/>
      </c>
      <c r="N1580" s="8">
        <f>IF(COUNT(D1580:L1580)=0,"",MEDIAN(D1580:L1580))</f>
        <v/>
      </c>
      <c r="O1580" s="8">
        <f>IF(COUNT(D1580:L1580)=0,"",MAX(D1580:L1580))</f>
        <v/>
      </c>
      <c r="P1580" s="9">
        <f>IF(OR(M1580="",M1580=0),"",(O1580-M1580)/M1580)</f>
        <v/>
      </c>
      <c r="Q1580" s="7">
        <f>IF(COUNT(D1580:L1580)=0,"",INDEX($D$1:$L$1,MATCH(MIN(D1580:L1580),D1580:L1580,0)))</f>
        <v/>
      </c>
      <c r="R1580" s="8" t="n">
        <v>325</v>
      </c>
      <c r="S1580" s="10" t="n">
        <v>1</v>
      </c>
    </row>
    <row r="1581">
      <c r="A1581" s="7" t="inlineStr">
        <is>
          <t>MAT-32-404</t>
        </is>
      </c>
      <c r="B1581" s="4" t="inlineStr">
        <is>
          <t>Manguera para lavamanos 22"</t>
        </is>
      </c>
      <c r="C1581" s="7" t="inlineStr">
        <is>
          <t>unidad</t>
        </is>
      </c>
      <c r="D1581" s="8" t="n"/>
      <c r="E1581" s="8" t="n"/>
      <c r="F1581" s="8" t="n">
        <v>365</v>
      </c>
      <c r="G1581" s="8" t="n"/>
      <c r="H1581" s="8" t="n"/>
      <c r="I1581" s="8" t="n"/>
      <c r="J1581" s="8" t="n"/>
      <c r="K1581" s="8" t="n"/>
      <c r="L1581" s="8" t="n"/>
      <c r="M1581" s="8">
        <f>IF(COUNT(D1581:L1581)=0,"",MIN(D1581:L1581))</f>
        <v/>
      </c>
      <c r="N1581" s="8">
        <f>IF(COUNT(D1581:L1581)=0,"",MEDIAN(D1581:L1581))</f>
        <v/>
      </c>
      <c r="O1581" s="8">
        <f>IF(COUNT(D1581:L1581)=0,"",MAX(D1581:L1581))</f>
        <v/>
      </c>
      <c r="P1581" s="9">
        <f>IF(OR(M1581="",M1581=0),"",(O1581-M1581)/M1581)</f>
        <v/>
      </c>
      <c r="Q1581" s="7">
        <f>IF(COUNT(D1581:L1581)=0,"",INDEX($D$1:$L$1,MATCH(MIN(D1581:L1581),D1581:L1581,0)))</f>
        <v/>
      </c>
      <c r="R1581" s="8" t="n">
        <v>425</v>
      </c>
      <c r="S1581" s="10" t="n">
        <v>1</v>
      </c>
    </row>
    <row r="1582">
      <c r="A1582" s="7" t="inlineStr">
        <is>
          <t>MAT-32-405</t>
        </is>
      </c>
      <c r="B1582" s="4" t="inlineStr">
        <is>
          <t>Manguera para lavamanos 24"</t>
        </is>
      </c>
      <c r="C1582" s="7" t="inlineStr">
        <is>
          <t>unidad</t>
        </is>
      </c>
      <c r="D1582" s="8" t="n"/>
      <c r="E1582" s="8" t="n"/>
      <c r="F1582" s="8" t="n">
        <v>265</v>
      </c>
      <c r="G1582" s="8" t="n"/>
      <c r="H1582" s="8" t="n"/>
      <c r="I1582" s="8" t="n"/>
      <c r="J1582" s="8" t="n"/>
      <c r="K1582" s="8" t="n"/>
      <c r="L1582" s="8" t="n"/>
      <c r="M1582" s="8">
        <f>IF(COUNT(D1582:L1582)=0,"",MIN(D1582:L1582))</f>
        <v/>
      </c>
      <c r="N1582" s="8">
        <f>IF(COUNT(D1582:L1582)=0,"",MEDIAN(D1582:L1582))</f>
        <v/>
      </c>
      <c r="O1582" s="8">
        <f>IF(COUNT(D1582:L1582)=0,"",MAX(D1582:L1582))</f>
        <v/>
      </c>
      <c r="P1582" s="9">
        <f>IF(OR(M1582="",M1582=0),"",(O1582-M1582)/M1582)</f>
        <v/>
      </c>
      <c r="Q1582" s="7">
        <f>IF(COUNT(D1582:L1582)=0,"",INDEX($D$1:$L$1,MATCH(MIN(D1582:L1582),D1582:L1582,0)))</f>
        <v/>
      </c>
      <c r="R1582" s="8" t="n">
        <v>279</v>
      </c>
      <c r="S1582" s="10" t="n">
        <v>1</v>
      </c>
    </row>
    <row r="1583">
      <c r="A1583" s="7" t="inlineStr">
        <is>
          <t>MAT-32-406</t>
        </is>
      </c>
      <c r="B1583" s="4" t="inlineStr">
        <is>
          <t>Manguera para lavamanos 3/8"</t>
        </is>
      </c>
      <c r="C1583" s="7" t="inlineStr">
        <is>
          <t>unidad</t>
        </is>
      </c>
      <c r="D1583" s="8" t="n"/>
      <c r="E1583" s="8" t="n"/>
      <c r="F1583" s="8" t="n">
        <v>505</v>
      </c>
      <c r="G1583" s="8" t="n"/>
      <c r="H1583" s="8" t="n"/>
      <c r="I1583" s="8" t="n"/>
      <c r="J1583" s="8" t="n"/>
      <c r="K1583" s="8" t="n"/>
      <c r="L1583" s="8" t="n"/>
      <c r="M1583" s="8">
        <f>IF(COUNT(D1583:L1583)=0,"",MIN(D1583:L1583))</f>
        <v/>
      </c>
      <c r="N1583" s="8">
        <f>IF(COUNT(D1583:L1583)=0,"",MEDIAN(D1583:L1583))</f>
        <v/>
      </c>
      <c r="O1583" s="8">
        <f>IF(COUNT(D1583:L1583)=0,"",MAX(D1583:L1583))</f>
        <v/>
      </c>
      <c r="P1583" s="9">
        <f>IF(OR(M1583="",M1583=0),"",(O1583-M1583)/M1583)</f>
        <v/>
      </c>
      <c r="Q1583" s="7">
        <f>IF(COUNT(D1583:L1583)=0,"",INDEX($D$1:$L$1,MATCH(MIN(D1583:L1583),D1583:L1583,0)))</f>
        <v/>
      </c>
      <c r="R1583" s="8" t="n">
        <v>505</v>
      </c>
      <c r="S1583" s="10" t="n">
        <v>1</v>
      </c>
    </row>
    <row r="1584">
      <c r="A1584" s="7" t="inlineStr">
        <is>
          <t>MAT-32-407</t>
        </is>
      </c>
      <c r="B1584" s="4" t="inlineStr">
        <is>
          <t>Manguera para lavamanos 3/8" x 32 pulgadas</t>
        </is>
      </c>
      <c r="C1584" s="7" t="inlineStr">
        <is>
          <t>unidad</t>
        </is>
      </c>
      <c r="D1584" s="8" t="n"/>
      <c r="E1584" s="8" t="n"/>
      <c r="F1584" s="8" t="n">
        <v>198</v>
      </c>
      <c r="G1584" s="8" t="n"/>
      <c r="H1584" s="8" t="n"/>
      <c r="I1584" s="8" t="n"/>
      <c r="J1584" s="8" t="n"/>
      <c r="K1584" s="8" t="n"/>
      <c r="L1584" s="8" t="n"/>
      <c r="M1584" s="8">
        <f>IF(COUNT(D1584:L1584)=0,"",MIN(D1584:L1584))</f>
        <v/>
      </c>
      <c r="N1584" s="8">
        <f>IF(COUNT(D1584:L1584)=0,"",MEDIAN(D1584:L1584))</f>
        <v/>
      </c>
      <c r="O1584" s="8">
        <f>IF(COUNT(D1584:L1584)=0,"",MAX(D1584:L1584))</f>
        <v/>
      </c>
      <c r="P1584" s="9">
        <f>IF(OR(M1584="",M1584=0),"",(O1584-M1584)/M1584)</f>
        <v/>
      </c>
      <c r="Q1584" s="7">
        <f>IF(COUNT(D1584:L1584)=0,"",INDEX($D$1:$L$1,MATCH(MIN(D1584:L1584),D1584:L1584,0)))</f>
        <v/>
      </c>
      <c r="R1584" s="8" t="n">
        <v>198</v>
      </c>
      <c r="S1584" s="10" t="n">
        <v>1</v>
      </c>
    </row>
    <row r="1585">
      <c r="A1585" s="7" t="inlineStr">
        <is>
          <t>MAT-32-408</t>
        </is>
      </c>
      <c r="B1585" s="4" t="inlineStr">
        <is>
          <t>Manguera para lavamanos 30"</t>
        </is>
      </c>
      <c r="C1585" s="7" t="inlineStr">
        <is>
          <t>unidad</t>
        </is>
      </c>
      <c r="D1585" s="8" t="n"/>
      <c r="E1585" s="8" t="n"/>
      <c r="F1585" s="8" t="n">
        <v>330</v>
      </c>
      <c r="G1585" s="8" t="n"/>
      <c r="H1585" s="8" t="n"/>
      <c r="I1585" s="8" t="n"/>
      <c r="J1585" s="8" t="n"/>
      <c r="K1585" s="8" t="n"/>
      <c r="L1585" s="8" t="n"/>
      <c r="M1585" s="8">
        <f>IF(COUNT(D1585:L1585)=0,"",MIN(D1585:L1585))</f>
        <v/>
      </c>
      <c r="N1585" s="8">
        <f>IF(COUNT(D1585:L1585)=0,"",MEDIAN(D1585:L1585))</f>
        <v/>
      </c>
      <c r="O1585" s="8">
        <f>IF(COUNT(D1585:L1585)=0,"",MAX(D1585:L1585))</f>
        <v/>
      </c>
      <c r="P1585" s="9">
        <f>IF(OR(M1585="",M1585=0),"",(O1585-M1585)/M1585)</f>
        <v/>
      </c>
      <c r="Q1585" s="7">
        <f>IF(COUNT(D1585:L1585)=0,"",INDEX($D$1:$L$1,MATCH(MIN(D1585:L1585),D1585:L1585,0)))</f>
        <v/>
      </c>
      <c r="R1585" s="8" t="n">
        <v>330</v>
      </c>
      <c r="S1585" s="10" t="n">
        <v>1</v>
      </c>
    </row>
    <row r="1586">
      <c r="A1586" s="7" t="inlineStr">
        <is>
          <t>MAT-32-409</t>
        </is>
      </c>
      <c r="B1586" s="4" t="inlineStr">
        <is>
          <t>Manguera para lavamanos 36"</t>
        </is>
      </c>
      <c r="C1586" s="7" t="inlineStr">
        <is>
          <t>unidad</t>
        </is>
      </c>
      <c r="D1586" s="8" t="n"/>
      <c r="E1586" s="8" t="n"/>
      <c r="F1586" s="8" t="n">
        <v>319</v>
      </c>
      <c r="G1586" s="8" t="n"/>
      <c r="H1586" s="8" t="n"/>
      <c r="I1586" s="8" t="n"/>
      <c r="J1586" s="8" t="n"/>
      <c r="K1586" s="8" t="n"/>
      <c r="L1586" s="8" t="n"/>
      <c r="M1586" s="8">
        <f>IF(COUNT(D1586:L1586)=0,"",MIN(D1586:L1586))</f>
        <v/>
      </c>
      <c r="N1586" s="8">
        <f>IF(COUNT(D1586:L1586)=0,"",MEDIAN(D1586:L1586))</f>
        <v/>
      </c>
      <c r="O1586" s="8">
        <f>IF(COUNT(D1586:L1586)=0,"",MAX(D1586:L1586))</f>
        <v/>
      </c>
      <c r="P1586" s="9">
        <f>IF(OR(M1586="",M1586=0),"",(O1586-M1586)/M1586)</f>
        <v/>
      </c>
      <c r="Q1586" s="7">
        <f>IF(COUNT(D1586:L1586)=0,"",INDEX($D$1:$L$1,MATCH(MIN(D1586:L1586),D1586:L1586,0)))</f>
        <v/>
      </c>
      <c r="R1586" s="8" t="n">
        <v>319</v>
      </c>
      <c r="S1586" s="10" t="n">
        <v>1</v>
      </c>
    </row>
    <row r="1587">
      <c r="A1587" s="7" t="inlineStr">
        <is>
          <t>MAT-32-410</t>
        </is>
      </c>
      <c r="B1587" s="4" t="inlineStr">
        <is>
          <t>Manguera para mezcladora 3/8" x 20 pulgadas</t>
        </is>
      </c>
      <c r="C1587" s="7" t="inlineStr">
        <is>
          <t>unidad</t>
        </is>
      </c>
      <c r="D1587" s="8" t="n"/>
      <c r="E1587" s="8" t="n"/>
      <c r="F1587" s="8" t="n">
        <v>195</v>
      </c>
      <c r="G1587" s="8" t="n"/>
      <c r="H1587" s="8" t="n"/>
      <c r="I1587" s="8" t="n"/>
      <c r="J1587" s="8" t="n"/>
      <c r="K1587" s="8" t="n"/>
      <c r="L1587" s="8" t="n"/>
      <c r="M1587" s="8">
        <f>IF(COUNT(D1587:L1587)=0,"",MIN(D1587:L1587))</f>
        <v/>
      </c>
      <c r="N1587" s="8">
        <f>IF(COUNT(D1587:L1587)=0,"",MEDIAN(D1587:L1587))</f>
        <v/>
      </c>
      <c r="O1587" s="8">
        <f>IF(COUNT(D1587:L1587)=0,"",MAX(D1587:L1587))</f>
        <v/>
      </c>
      <c r="P1587" s="9">
        <f>IF(OR(M1587="",M1587=0),"",(O1587-M1587)/M1587)</f>
        <v/>
      </c>
      <c r="Q1587" s="7">
        <f>IF(COUNT(D1587:L1587)=0,"",INDEX($D$1:$L$1,MATCH(MIN(D1587:L1587),D1587:L1587,0)))</f>
        <v/>
      </c>
      <c r="R1587" s="8" t="n">
        <v>195</v>
      </c>
      <c r="S1587" s="10" t="n">
        <v>1</v>
      </c>
    </row>
    <row r="1588">
      <c r="A1588" s="7" t="inlineStr">
        <is>
          <t>MAT-32-411</t>
        </is>
      </c>
      <c r="B1588" s="4" t="inlineStr">
        <is>
          <t>Manguera para mezcladora 32"</t>
        </is>
      </c>
      <c r="C1588" s="7" t="inlineStr">
        <is>
          <t>unidad</t>
        </is>
      </c>
      <c r="D1588" s="8" t="n"/>
      <c r="E1588" s="8" t="n"/>
      <c r="F1588" s="8" t="n">
        <v>297</v>
      </c>
      <c r="G1588" s="8" t="n"/>
      <c r="H1588" s="8" t="n"/>
      <c r="I1588" s="8" t="n"/>
      <c r="J1588" s="8" t="n"/>
      <c r="K1588" s="8" t="n"/>
      <c r="L1588" s="8" t="n"/>
      <c r="M1588" s="8">
        <f>IF(COUNT(D1588:L1588)=0,"",MIN(D1588:L1588))</f>
        <v/>
      </c>
      <c r="N1588" s="8">
        <f>IF(COUNT(D1588:L1588)=0,"",MEDIAN(D1588:L1588))</f>
        <v/>
      </c>
      <c r="O1588" s="8">
        <f>IF(COUNT(D1588:L1588)=0,"",MAX(D1588:L1588))</f>
        <v/>
      </c>
      <c r="P1588" s="9">
        <f>IF(OR(M1588="",M1588=0),"",(O1588-M1588)/M1588)</f>
        <v/>
      </c>
      <c r="Q1588" s="7">
        <f>IF(COUNT(D1588:L1588)=0,"",INDEX($D$1:$L$1,MATCH(MIN(D1588:L1588),D1588:L1588,0)))</f>
        <v/>
      </c>
      <c r="R1588" s="8" t="n">
        <v>297</v>
      </c>
      <c r="S1588" s="10" t="n">
        <v>1</v>
      </c>
    </row>
    <row r="1589">
      <c r="A1589" s="7" t="inlineStr">
        <is>
          <t>MAT-32-412</t>
        </is>
      </c>
      <c r="B1589" s="4" t="inlineStr">
        <is>
          <t>Manguera para uso general, transparente 0.31"</t>
        </is>
      </c>
      <c r="C1589" s="7" t="inlineStr">
        <is>
          <t>unidad</t>
        </is>
      </c>
      <c r="D1589" s="8" t="n"/>
      <c r="E1589" s="8" t="n"/>
      <c r="F1589" s="8" t="n">
        <v>25</v>
      </c>
      <c r="G1589" s="8" t="n"/>
      <c r="H1589" s="8" t="n"/>
      <c r="I1589" s="8" t="n"/>
      <c r="J1589" s="8" t="n"/>
      <c r="K1589" s="8" t="n"/>
      <c r="L1589" s="8" t="n"/>
      <c r="M1589" s="8">
        <f>IF(COUNT(D1589:L1589)=0,"",MIN(D1589:L1589))</f>
        <v/>
      </c>
      <c r="N1589" s="8">
        <f>IF(COUNT(D1589:L1589)=0,"",MEDIAN(D1589:L1589))</f>
        <v/>
      </c>
      <c r="O1589" s="8">
        <f>IF(COUNT(D1589:L1589)=0,"",MAX(D1589:L1589))</f>
        <v/>
      </c>
      <c r="P1589" s="9">
        <f>IF(OR(M1589="",M1589=0),"",(O1589-M1589)/M1589)</f>
        <v/>
      </c>
      <c r="Q1589" s="7">
        <f>IF(COUNT(D1589:L1589)=0,"",INDEX($D$1:$L$1,MATCH(MIN(D1589:L1589),D1589:L1589,0)))</f>
        <v/>
      </c>
      <c r="R1589" s="8" t="n">
        <v>25</v>
      </c>
      <c r="S1589" s="10" t="n">
        <v>1</v>
      </c>
    </row>
    <row r="1590">
      <c r="A1590" s="7" t="inlineStr">
        <is>
          <t>MAT-32-413</t>
        </is>
      </c>
      <c r="B1590" s="4" t="inlineStr">
        <is>
          <t>Manguera para uso general, transparente 1/2"</t>
        </is>
      </c>
      <c r="C1590" s="7" t="inlineStr">
        <is>
          <t>unidad</t>
        </is>
      </c>
      <c r="D1590" s="8" t="n"/>
      <c r="E1590" s="8" t="n"/>
      <c r="F1590" s="8" t="n">
        <v>40</v>
      </c>
      <c r="G1590" s="8" t="n"/>
      <c r="H1590" s="8" t="n"/>
      <c r="I1590" s="8" t="n"/>
      <c r="J1590" s="8" t="n"/>
      <c r="K1590" s="8" t="n"/>
      <c r="L1590" s="8" t="n"/>
      <c r="M1590" s="8">
        <f>IF(COUNT(D1590:L1590)=0,"",MIN(D1590:L1590))</f>
        <v/>
      </c>
      <c r="N1590" s="8">
        <f>IF(COUNT(D1590:L1590)=0,"",MEDIAN(D1590:L1590))</f>
        <v/>
      </c>
      <c r="O1590" s="8">
        <f>IF(COUNT(D1590:L1590)=0,"",MAX(D1590:L1590))</f>
        <v/>
      </c>
      <c r="P1590" s="9">
        <f>IF(OR(M1590="",M1590=0),"",(O1590-M1590)/M1590)</f>
        <v/>
      </c>
      <c r="Q1590" s="7">
        <f>IF(COUNT(D1590:L1590)=0,"",INDEX($D$1:$L$1,MATCH(MIN(D1590:L1590),D1590:L1590,0)))</f>
        <v/>
      </c>
      <c r="R1590" s="8" t="n">
        <v>43.5</v>
      </c>
      <c r="S1590" s="10" t="n">
        <v>1</v>
      </c>
    </row>
    <row r="1591">
      <c r="A1591" s="7" t="inlineStr">
        <is>
          <t>MAT-32-414</t>
        </is>
      </c>
      <c r="B1591" s="4" t="inlineStr">
        <is>
          <t>Manguera para uso general, transparente 1/4"</t>
        </is>
      </c>
      <c r="C1591" s="7" t="inlineStr">
        <is>
          <t>unidad</t>
        </is>
      </c>
      <c r="D1591" s="8" t="n"/>
      <c r="E1591" s="8" t="n"/>
      <c r="F1591" s="8" t="n">
        <v>35</v>
      </c>
      <c r="G1591" s="8" t="n"/>
      <c r="H1591" s="8" t="n"/>
      <c r="I1591" s="8" t="n"/>
      <c r="J1591" s="8" t="n"/>
      <c r="K1591" s="8" t="n"/>
      <c r="L1591" s="8" t="n"/>
      <c r="M1591" s="8">
        <f>IF(COUNT(D1591:L1591)=0,"",MIN(D1591:L1591))</f>
        <v/>
      </c>
      <c r="N1591" s="8">
        <f>IF(COUNT(D1591:L1591)=0,"",MEDIAN(D1591:L1591))</f>
        <v/>
      </c>
      <c r="O1591" s="8">
        <f>IF(COUNT(D1591:L1591)=0,"",MAX(D1591:L1591))</f>
        <v/>
      </c>
      <c r="P1591" s="9">
        <f>IF(OR(M1591="",M1591=0),"",(O1591-M1591)/M1591)</f>
        <v/>
      </c>
      <c r="Q1591" s="7">
        <f>IF(COUNT(D1591:L1591)=0,"",INDEX($D$1:$L$1,MATCH(MIN(D1591:L1591),D1591:L1591,0)))</f>
        <v/>
      </c>
      <c r="R1591" s="8" t="n">
        <v>35</v>
      </c>
      <c r="S1591" s="10" t="n">
        <v>1</v>
      </c>
    </row>
    <row r="1592">
      <c r="A1592" s="7" t="inlineStr">
        <is>
          <t>MAT-32-415</t>
        </is>
      </c>
      <c r="B1592" s="4" t="inlineStr">
        <is>
          <t>Manguera para uso general, transparente 1"</t>
        </is>
      </c>
      <c r="C1592" s="7" t="inlineStr">
        <is>
          <t>unidad</t>
        </is>
      </c>
      <c r="D1592" s="8" t="n"/>
      <c r="E1592" s="8" t="n"/>
      <c r="F1592" s="8" t="n">
        <v>100</v>
      </c>
      <c r="G1592" s="8" t="n"/>
      <c r="H1592" s="8" t="n"/>
      <c r="I1592" s="8" t="n"/>
      <c r="J1592" s="8" t="n"/>
      <c r="K1592" s="8" t="n"/>
      <c r="L1592" s="8" t="n"/>
      <c r="M1592" s="8">
        <f>IF(COUNT(D1592:L1592)=0,"",MIN(D1592:L1592))</f>
        <v/>
      </c>
      <c r="N1592" s="8">
        <f>IF(COUNT(D1592:L1592)=0,"",MEDIAN(D1592:L1592))</f>
        <v/>
      </c>
      <c r="O1592" s="8">
        <f>IF(COUNT(D1592:L1592)=0,"",MAX(D1592:L1592))</f>
        <v/>
      </c>
      <c r="P1592" s="9">
        <f>IF(OR(M1592="",M1592=0),"",(O1592-M1592)/M1592)</f>
        <v/>
      </c>
      <c r="Q1592" s="7">
        <f>IF(COUNT(D1592:L1592)=0,"",INDEX($D$1:$L$1,MATCH(MIN(D1592:L1592),D1592:L1592,0)))</f>
        <v/>
      </c>
      <c r="R1592" s="8" t="n">
        <v>100</v>
      </c>
      <c r="S1592" s="10" t="n">
        <v>1</v>
      </c>
    </row>
    <row r="1593">
      <c r="A1593" s="7" t="inlineStr">
        <is>
          <t>MAT-32-416</t>
        </is>
      </c>
      <c r="B1593" s="4" t="inlineStr">
        <is>
          <t>Manguera para uso general, transparente 3/4"</t>
        </is>
      </c>
      <c r="C1593" s="7" t="inlineStr">
        <is>
          <t>unidad</t>
        </is>
      </c>
      <c r="D1593" s="8" t="n"/>
      <c r="E1593" s="8" t="n"/>
      <c r="F1593" s="8" t="n">
        <v>36</v>
      </c>
      <c r="G1593" s="8" t="n"/>
      <c r="H1593" s="8" t="n"/>
      <c r="I1593" s="8" t="n"/>
      <c r="J1593" s="8" t="n"/>
      <c r="K1593" s="8" t="n"/>
      <c r="L1593" s="8" t="n"/>
      <c r="M1593" s="8">
        <f>IF(COUNT(D1593:L1593)=0,"",MIN(D1593:L1593))</f>
        <v/>
      </c>
      <c r="N1593" s="8">
        <f>IF(COUNT(D1593:L1593)=0,"",MEDIAN(D1593:L1593))</f>
        <v/>
      </c>
      <c r="O1593" s="8">
        <f>IF(COUNT(D1593:L1593)=0,"",MAX(D1593:L1593))</f>
        <v/>
      </c>
      <c r="P1593" s="9">
        <f>IF(OR(M1593="",M1593=0),"",(O1593-M1593)/M1593)</f>
        <v/>
      </c>
      <c r="Q1593" s="7">
        <f>IF(COUNT(D1593:L1593)=0,"",INDEX($D$1:$L$1,MATCH(MIN(D1593:L1593),D1593:L1593,0)))</f>
        <v/>
      </c>
      <c r="R1593" s="8" t="n">
        <v>36</v>
      </c>
      <c r="S1593" s="10" t="n">
        <v>1</v>
      </c>
    </row>
    <row r="1594">
      <c r="A1594" s="7" t="inlineStr">
        <is>
          <t>MAT-32-417</t>
        </is>
      </c>
      <c r="B1594" s="4" t="inlineStr">
        <is>
          <t>Manguera para uso general, transparente 3/8"</t>
        </is>
      </c>
      <c r="C1594" s="7" t="inlineStr">
        <is>
          <t>unidad</t>
        </is>
      </c>
      <c r="D1594" s="8" t="n"/>
      <c r="E1594" s="8" t="n"/>
      <c r="F1594" s="8" t="n">
        <v>32</v>
      </c>
      <c r="G1594" s="8" t="n"/>
      <c r="H1594" s="8" t="n"/>
      <c r="I1594" s="8" t="n"/>
      <c r="J1594" s="8" t="n"/>
      <c r="K1594" s="8" t="n"/>
      <c r="L1594" s="8" t="n"/>
      <c r="M1594" s="8">
        <f>IF(COUNT(D1594:L1594)=0,"",MIN(D1594:L1594))</f>
        <v/>
      </c>
      <c r="N1594" s="8">
        <f>IF(COUNT(D1594:L1594)=0,"",MEDIAN(D1594:L1594))</f>
        <v/>
      </c>
      <c r="O1594" s="8">
        <f>IF(COUNT(D1594:L1594)=0,"",MAX(D1594:L1594))</f>
        <v/>
      </c>
      <c r="P1594" s="9">
        <f>IF(OR(M1594="",M1594=0),"",(O1594-M1594)/M1594)</f>
        <v/>
      </c>
      <c r="Q1594" s="7">
        <f>IF(COUNT(D1594:L1594)=0,"",INDEX($D$1:$L$1,MATCH(MIN(D1594:L1594),D1594:L1594,0)))</f>
        <v/>
      </c>
      <c r="R1594" s="8" t="n">
        <v>32</v>
      </c>
      <c r="S1594" s="10" t="n">
        <v>1</v>
      </c>
    </row>
    <row r="1595">
      <c r="A1595" s="7" t="inlineStr">
        <is>
          <t>MAT-32-418</t>
        </is>
      </c>
      <c r="B1595" s="4" t="inlineStr">
        <is>
          <t>Cinta de teflón 12520"</t>
        </is>
      </c>
      <c r="C1595" s="7" t="inlineStr">
        <is>
          <t>rollo</t>
        </is>
      </c>
      <c r="D1595" s="8" t="n"/>
      <c r="E1595" s="8" t="n"/>
      <c r="F1595" s="8" t="n">
        <v>45</v>
      </c>
      <c r="G1595" s="8" t="n"/>
      <c r="H1595" s="8" t="n"/>
      <c r="I1595" s="8" t="n"/>
      <c r="J1595" s="8" t="n"/>
      <c r="K1595" s="8" t="n"/>
      <c r="L1595" s="8" t="n"/>
      <c r="M1595" s="8">
        <f>IF(COUNT(D1595:L1595)=0,"",MIN(D1595:L1595))</f>
        <v/>
      </c>
      <c r="N1595" s="8">
        <f>IF(COUNT(D1595:L1595)=0,"",MEDIAN(D1595:L1595))</f>
        <v/>
      </c>
      <c r="O1595" s="8">
        <f>IF(COUNT(D1595:L1595)=0,"",MAX(D1595:L1595))</f>
        <v/>
      </c>
      <c r="P1595" s="9">
        <f>IF(OR(M1595="",M1595=0),"",(O1595-M1595)/M1595)</f>
        <v/>
      </c>
      <c r="Q1595" s="7">
        <f>IF(COUNT(D1595:L1595)=0,"",INDEX($D$1:$L$1,MATCH(MIN(D1595:L1595),D1595:L1595,0)))</f>
        <v/>
      </c>
      <c r="R1595" s="8" t="n">
        <v>45</v>
      </c>
      <c r="S1595" s="10" t="n">
        <v>1</v>
      </c>
    </row>
    <row r="1596">
      <c r="A1596" s="7" t="inlineStr">
        <is>
          <t>MAT-32-419</t>
        </is>
      </c>
      <c r="B1596" s="4" t="inlineStr">
        <is>
          <t>Cinta de teflón 1"</t>
        </is>
      </c>
      <c r="C1596" s="7" t="inlineStr">
        <is>
          <t>rollo</t>
        </is>
      </c>
      <c r="D1596" s="8" t="n"/>
      <c r="E1596" s="8" t="n"/>
      <c r="F1596" s="8" t="n">
        <v>75</v>
      </c>
      <c r="G1596" s="8" t="n"/>
      <c r="H1596" s="8" t="n"/>
      <c r="I1596" s="8" t="n"/>
      <c r="J1596" s="8" t="n"/>
      <c r="K1596" s="8" t="n"/>
      <c r="L1596" s="8" t="n"/>
      <c r="M1596" s="8">
        <f>IF(COUNT(D1596:L1596)=0,"",MIN(D1596:L1596))</f>
        <v/>
      </c>
      <c r="N1596" s="8">
        <f>IF(COUNT(D1596:L1596)=0,"",MEDIAN(D1596:L1596))</f>
        <v/>
      </c>
      <c r="O1596" s="8">
        <f>IF(COUNT(D1596:L1596)=0,"",MAX(D1596:L1596))</f>
        <v/>
      </c>
      <c r="P1596" s="9">
        <f>IF(OR(M1596="",M1596=0),"",(O1596-M1596)/M1596)</f>
        <v/>
      </c>
      <c r="Q1596" s="7">
        <f>IF(COUNT(D1596:L1596)=0,"",INDEX($D$1:$L$1,MATCH(MIN(D1596:L1596),D1596:L1596,0)))</f>
        <v/>
      </c>
      <c r="R1596" s="8" t="n">
        <v>75</v>
      </c>
      <c r="S1596" s="10" t="n">
        <v>1</v>
      </c>
    </row>
    <row r="1597">
      <c r="A1597" s="7" t="inlineStr">
        <is>
          <t>MAT-32-420</t>
        </is>
      </c>
      <c r="B1597" s="4" t="inlineStr">
        <is>
          <t>Cinta de teflón 3/4"</t>
        </is>
      </c>
      <c r="C1597" s="7" t="inlineStr">
        <is>
          <t>rollo</t>
        </is>
      </c>
      <c r="D1597" s="8" t="n"/>
      <c r="E1597" s="8" t="n"/>
      <c r="F1597" s="8" t="n">
        <v>60</v>
      </c>
      <c r="G1597" s="8" t="n"/>
      <c r="H1597" s="8" t="n"/>
      <c r="I1597" s="8" t="n"/>
      <c r="J1597" s="8" t="n"/>
      <c r="K1597" s="8" t="n"/>
      <c r="L1597" s="8" t="n"/>
      <c r="M1597" s="8">
        <f>IF(COUNT(D1597:L1597)=0,"",MIN(D1597:L1597))</f>
        <v/>
      </c>
      <c r="N1597" s="8">
        <f>IF(COUNT(D1597:L1597)=0,"",MEDIAN(D1597:L1597))</f>
        <v/>
      </c>
      <c r="O1597" s="8">
        <f>IF(COUNT(D1597:L1597)=0,"",MAX(D1597:L1597))</f>
        <v/>
      </c>
      <c r="P1597" s="9">
        <f>IF(OR(M1597="",M1597=0),"",(O1597-M1597)/M1597)</f>
        <v/>
      </c>
      <c r="Q1597" s="7">
        <f>IF(COUNT(D1597:L1597)=0,"",INDEX($D$1:$L$1,MATCH(MIN(D1597:L1597),D1597:L1597,0)))</f>
        <v/>
      </c>
      <c r="R1597" s="8" t="n">
        <v>117.5</v>
      </c>
      <c r="S1597" s="10" t="n">
        <v>1</v>
      </c>
    </row>
    <row r="1598">
      <c r="A1598" s="7" t="inlineStr">
        <is>
          <t>MAT-32-421</t>
        </is>
      </c>
      <c r="B1598" s="4" t="inlineStr">
        <is>
          <t>Cinta de plomero 0.19" x 15 pies</t>
        </is>
      </c>
      <c r="C1598" s="7" t="inlineStr">
        <is>
          <t>rollo</t>
        </is>
      </c>
      <c r="D1598" s="8" t="n"/>
      <c r="E1598" s="8" t="n"/>
      <c r="F1598" s="8" t="n">
        <v>304</v>
      </c>
      <c r="G1598" s="8" t="n"/>
      <c r="H1598" s="8" t="n"/>
      <c r="I1598" s="8" t="n"/>
      <c r="J1598" s="8" t="n"/>
      <c r="K1598" s="8" t="n"/>
      <c r="L1598" s="8" t="n"/>
      <c r="M1598" s="8">
        <f>IF(COUNT(D1598:L1598)=0,"",MIN(D1598:L1598))</f>
        <v/>
      </c>
      <c r="N1598" s="8">
        <f>IF(COUNT(D1598:L1598)=0,"",MEDIAN(D1598:L1598))</f>
        <v/>
      </c>
      <c r="O1598" s="8">
        <f>IF(COUNT(D1598:L1598)=0,"",MAX(D1598:L1598))</f>
        <v/>
      </c>
      <c r="P1598" s="9">
        <f>IF(OR(M1598="",M1598=0),"",(O1598-M1598)/M1598)</f>
        <v/>
      </c>
      <c r="Q1598" s="7">
        <f>IF(COUNT(D1598:L1598)=0,"",INDEX($D$1:$L$1,MATCH(MIN(D1598:L1598),D1598:L1598,0)))</f>
        <v/>
      </c>
      <c r="R1598" s="8" t="n">
        <v>304</v>
      </c>
      <c r="S1598" s="10" t="n">
        <v>1</v>
      </c>
    </row>
    <row r="1599">
      <c r="A1599" s="7" t="inlineStr">
        <is>
          <t>MAT-32-422</t>
        </is>
      </c>
      <c r="B1599" s="4" t="inlineStr">
        <is>
          <t>Cinta de plomero 1/2" x 50 pies</t>
        </is>
      </c>
      <c r="C1599" s="7" t="inlineStr">
        <is>
          <t>rollo</t>
        </is>
      </c>
      <c r="D1599" s="8" t="n"/>
      <c r="E1599" s="8" t="n"/>
      <c r="F1599" s="8" t="n">
        <v>2525</v>
      </c>
      <c r="G1599" s="8" t="n"/>
      <c r="H1599" s="8" t="n"/>
      <c r="I1599" s="8" t="n"/>
      <c r="J1599" s="8" t="n"/>
      <c r="K1599" s="8" t="n"/>
      <c r="L1599" s="8" t="n"/>
      <c r="M1599" s="8">
        <f>IF(COUNT(D1599:L1599)=0,"",MIN(D1599:L1599))</f>
        <v/>
      </c>
      <c r="N1599" s="8">
        <f>IF(COUNT(D1599:L1599)=0,"",MEDIAN(D1599:L1599))</f>
        <v/>
      </c>
      <c r="O1599" s="8">
        <f>IF(COUNT(D1599:L1599)=0,"",MAX(D1599:L1599))</f>
        <v/>
      </c>
      <c r="P1599" s="9">
        <f>IF(OR(M1599="",M1599=0),"",(O1599-M1599)/M1599)</f>
        <v/>
      </c>
      <c r="Q1599" s="7">
        <f>IF(COUNT(D1599:L1599)=0,"",INDEX($D$1:$L$1,MATCH(MIN(D1599:L1599),D1599:L1599,0)))</f>
        <v/>
      </c>
      <c r="R1599" s="8" t="n">
        <v>2525</v>
      </c>
      <c r="S1599" s="10" t="n">
        <v>1</v>
      </c>
    </row>
    <row r="1600">
      <c r="A1600" s="7" t="inlineStr">
        <is>
          <t>MAT-32-423</t>
        </is>
      </c>
      <c r="B1600" s="4" t="inlineStr">
        <is>
          <t>Cinta de plomero 1/8" x 25 pies</t>
        </is>
      </c>
      <c r="C1600" s="7" t="inlineStr">
        <is>
          <t>rollo</t>
        </is>
      </c>
      <c r="D1600" s="8" t="n"/>
      <c r="E1600" s="8" t="n"/>
      <c r="F1600" s="8" t="n">
        <v>412</v>
      </c>
      <c r="G1600" s="8" t="n"/>
      <c r="H1600" s="8" t="n"/>
      <c r="I1600" s="8" t="n"/>
      <c r="J1600" s="8" t="n"/>
      <c r="K1600" s="8" t="n"/>
      <c r="L1600" s="8" t="n"/>
      <c r="M1600" s="8">
        <f>IF(COUNT(D1600:L1600)=0,"",MIN(D1600:L1600))</f>
        <v/>
      </c>
      <c r="N1600" s="8">
        <f>IF(COUNT(D1600:L1600)=0,"",MEDIAN(D1600:L1600))</f>
        <v/>
      </c>
      <c r="O1600" s="8">
        <f>IF(COUNT(D1600:L1600)=0,"",MAX(D1600:L1600))</f>
        <v/>
      </c>
      <c r="P1600" s="9">
        <f>IF(OR(M1600="",M1600=0),"",(O1600-M1600)/M1600)</f>
        <v/>
      </c>
      <c r="Q1600" s="7">
        <f>IF(COUNT(D1600:L1600)=0,"",INDEX($D$1:$L$1,MATCH(MIN(D1600:L1600),D1600:L1600,0)))</f>
        <v/>
      </c>
      <c r="R1600" s="8" t="n">
        <v>412</v>
      </c>
      <c r="S1600" s="10" t="n">
        <v>1</v>
      </c>
    </row>
    <row r="1601">
      <c r="A1601" s="7" t="inlineStr">
        <is>
          <t>MAT-32-424</t>
        </is>
      </c>
      <c r="B1601" s="4" t="inlineStr">
        <is>
          <t>Cemento solvente para PVC, 16 oz</t>
        </is>
      </c>
      <c r="C1601" s="7" t="inlineStr">
        <is>
          <t>envase</t>
        </is>
      </c>
      <c r="D1601" s="8" t="n"/>
      <c r="E1601" s="8" t="n"/>
      <c r="F1601" s="8" t="n">
        <v>979</v>
      </c>
      <c r="G1601" s="8" t="n"/>
      <c r="H1601" s="8" t="n"/>
      <c r="I1601" s="8" t="n"/>
      <c r="J1601" s="8" t="n"/>
      <c r="K1601" s="8" t="n"/>
      <c r="L1601" s="8" t="n"/>
      <c r="M1601" s="8">
        <f>IF(COUNT(D1601:L1601)=0,"",MIN(D1601:L1601))</f>
        <v/>
      </c>
      <c r="N1601" s="8">
        <f>IF(COUNT(D1601:L1601)=0,"",MEDIAN(D1601:L1601))</f>
        <v/>
      </c>
      <c r="O1601" s="8">
        <f>IF(COUNT(D1601:L1601)=0,"",MAX(D1601:L1601))</f>
        <v/>
      </c>
      <c r="P1601" s="9">
        <f>IF(OR(M1601="",M1601=0),"",(O1601-M1601)/M1601)</f>
        <v/>
      </c>
      <c r="Q1601" s="7">
        <f>IF(COUNT(D1601:L1601)=0,"",INDEX($D$1:$L$1,MATCH(MIN(D1601:L1601),D1601:L1601,0)))</f>
        <v/>
      </c>
      <c r="R1601" s="8" t="n">
        <v>979</v>
      </c>
      <c r="S1601" s="10" t="n">
        <v>1</v>
      </c>
    </row>
    <row r="1602">
      <c r="A1602" s="7" t="inlineStr">
        <is>
          <t>MAT-32-425</t>
        </is>
      </c>
      <c r="B1602" s="4" t="inlineStr">
        <is>
          <t>Cemento solvente para PVC, 32 oz</t>
        </is>
      </c>
      <c r="C1602" s="7" t="inlineStr">
        <is>
          <t>envase</t>
        </is>
      </c>
      <c r="D1602" s="8" t="n"/>
      <c r="E1602" s="8" t="n"/>
      <c r="F1602" s="8" t="n">
        <v>1765</v>
      </c>
      <c r="G1602" s="8" t="n"/>
      <c r="H1602" s="8" t="n"/>
      <c r="I1602" s="8" t="n"/>
      <c r="J1602" s="8" t="n"/>
      <c r="K1602" s="8" t="n"/>
      <c r="L1602" s="8" t="n"/>
      <c r="M1602" s="8">
        <f>IF(COUNT(D1602:L1602)=0,"",MIN(D1602:L1602))</f>
        <v/>
      </c>
      <c r="N1602" s="8">
        <f>IF(COUNT(D1602:L1602)=0,"",MEDIAN(D1602:L1602))</f>
        <v/>
      </c>
      <c r="O1602" s="8">
        <f>IF(COUNT(D1602:L1602)=0,"",MAX(D1602:L1602))</f>
        <v/>
      </c>
      <c r="P1602" s="9">
        <f>IF(OR(M1602="",M1602=0),"",(O1602-M1602)/M1602)</f>
        <v/>
      </c>
      <c r="Q1602" s="7">
        <f>IF(COUNT(D1602:L1602)=0,"",INDEX($D$1:$L$1,MATCH(MIN(D1602:L1602),D1602:L1602,0)))</f>
        <v/>
      </c>
      <c r="R1602" s="8" t="n">
        <v>1765</v>
      </c>
      <c r="S1602" s="10" t="n">
        <v>1</v>
      </c>
    </row>
    <row r="1603">
      <c r="A1603" s="7" t="inlineStr">
        <is>
          <t>MAT-32-426</t>
        </is>
      </c>
      <c r="B1603" s="4" t="inlineStr">
        <is>
          <t>Cemento solvente para PVC, 4 oz</t>
        </is>
      </c>
      <c r="C1603" s="7" t="inlineStr">
        <is>
          <t>envase</t>
        </is>
      </c>
      <c r="D1603" s="8" t="n"/>
      <c r="E1603" s="8" t="n"/>
      <c r="F1603" s="8" t="n">
        <v>335</v>
      </c>
      <c r="G1603" s="8" t="n"/>
      <c r="H1603" s="8" t="n"/>
      <c r="I1603" s="8" t="n"/>
      <c r="J1603" s="8" t="n"/>
      <c r="K1603" s="8" t="n"/>
      <c r="L1603" s="8" t="n"/>
      <c r="M1603" s="8">
        <f>IF(COUNT(D1603:L1603)=0,"",MIN(D1603:L1603))</f>
        <v/>
      </c>
      <c r="N1603" s="8">
        <f>IF(COUNT(D1603:L1603)=0,"",MEDIAN(D1603:L1603))</f>
        <v/>
      </c>
      <c r="O1603" s="8">
        <f>IF(COUNT(D1603:L1603)=0,"",MAX(D1603:L1603))</f>
        <v/>
      </c>
      <c r="P1603" s="9">
        <f>IF(OR(M1603="",M1603=0),"",(O1603-M1603)/M1603)</f>
        <v/>
      </c>
      <c r="Q1603" s="7">
        <f>IF(COUNT(D1603:L1603)=0,"",INDEX($D$1:$L$1,MATCH(MIN(D1603:L1603),D1603:L1603,0)))</f>
        <v/>
      </c>
      <c r="R1603" s="8" t="n">
        <v>391.5</v>
      </c>
      <c r="S1603" s="10" t="n">
        <v>1</v>
      </c>
    </row>
    <row r="1604">
      <c r="A1604" s="7" t="inlineStr">
        <is>
          <t>MAT-32-427</t>
        </is>
      </c>
      <c r="B1604" s="4" t="inlineStr">
        <is>
          <t>Cemento solvente para PVC, 50 ml</t>
        </is>
      </c>
      <c r="C1604" s="7" t="inlineStr">
        <is>
          <t>envase</t>
        </is>
      </c>
      <c r="D1604" s="8" t="n"/>
      <c r="E1604" s="8" t="n"/>
      <c r="F1604" s="8" t="n">
        <v>205</v>
      </c>
      <c r="G1604" s="8" t="n"/>
      <c r="H1604" s="8" t="n"/>
      <c r="I1604" s="8" t="n"/>
      <c r="J1604" s="8" t="n"/>
      <c r="K1604" s="8" t="n"/>
      <c r="L1604" s="8" t="n"/>
      <c r="M1604" s="8">
        <f>IF(COUNT(D1604:L1604)=0,"",MIN(D1604:L1604))</f>
        <v/>
      </c>
      <c r="N1604" s="8">
        <f>IF(COUNT(D1604:L1604)=0,"",MEDIAN(D1604:L1604))</f>
        <v/>
      </c>
      <c r="O1604" s="8">
        <f>IF(COUNT(D1604:L1604)=0,"",MAX(D1604:L1604))</f>
        <v/>
      </c>
      <c r="P1604" s="9">
        <f>IF(OR(M1604="",M1604=0),"",(O1604-M1604)/M1604)</f>
        <v/>
      </c>
      <c r="Q1604" s="7">
        <f>IF(COUNT(D1604:L1604)=0,"",INDEX($D$1:$L$1,MATCH(MIN(D1604:L1604),D1604:L1604,0)))</f>
        <v/>
      </c>
      <c r="R1604" s="8" t="n">
        <v>205</v>
      </c>
      <c r="S1604" s="10" t="n">
        <v>1</v>
      </c>
    </row>
    <row r="1605">
      <c r="A1605" s="7" t="inlineStr">
        <is>
          <t>MAT-32-428</t>
        </is>
      </c>
      <c r="B1605" s="4" t="inlineStr">
        <is>
          <t>Cemento solvente para PVC, 8 oz</t>
        </is>
      </c>
      <c r="C1605" s="7" t="inlineStr">
        <is>
          <t>envase</t>
        </is>
      </c>
      <c r="D1605" s="8" t="n"/>
      <c r="E1605" s="8" t="n"/>
      <c r="F1605" s="8" t="n">
        <v>473</v>
      </c>
      <c r="G1605" s="8" t="n"/>
      <c r="H1605" s="8" t="n"/>
      <c r="I1605" s="8" t="n"/>
      <c r="J1605" s="8" t="n"/>
      <c r="K1605" s="8" t="n"/>
      <c r="L1605" s="8" t="n"/>
      <c r="M1605" s="8">
        <f>IF(COUNT(D1605:L1605)=0,"",MIN(D1605:L1605))</f>
        <v/>
      </c>
      <c r="N1605" s="8">
        <f>IF(COUNT(D1605:L1605)=0,"",MEDIAN(D1605:L1605))</f>
        <v/>
      </c>
      <c r="O1605" s="8">
        <f>IF(COUNT(D1605:L1605)=0,"",MAX(D1605:L1605))</f>
        <v/>
      </c>
      <c r="P1605" s="9">
        <f>IF(OR(M1605="",M1605=0),"",(O1605-M1605)/M1605)</f>
        <v/>
      </c>
      <c r="Q1605" s="7">
        <f>IF(COUNT(D1605:L1605)=0,"",INDEX($D$1:$L$1,MATCH(MIN(D1605:L1605),D1605:L1605,0)))</f>
        <v/>
      </c>
      <c r="R1605" s="8" t="n">
        <v>520</v>
      </c>
      <c r="S1605" s="10" t="n">
        <v>1</v>
      </c>
    </row>
    <row r="1607">
      <c r="A1607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608"/>
  </sheetData>
  <autoFilter ref="A2:S1605"/>
  <mergeCells count="2">
    <mergeCell ref="A1:S1"/>
    <mergeCell ref="A1607:S160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2026-09-10T17:09:24Z</dcterms:created>
  <dcterms:modified xsi:type="dcterms:W3CDTF">2026-09-10T17:09:25Z</dcterms:modified>
</cp:coreProperties>
</file>