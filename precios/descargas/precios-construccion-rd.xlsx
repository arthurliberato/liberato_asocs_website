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'Catálogo'!$A$2:$AF$2187</definedName>
    <definedName name="_xlnm._FilterDatabase" localSheetId="1" hidden="1">'Comparativo'!$A$2:$AB$2181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Deck de WPC para exterior, 25 mm</t>
        </is>
      </c>
      <c r="E493" s="4" t="inlineStr">
        <is>
          <t>Tabla de madera plástica, para intemperie</t>
        </is>
      </c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3201.97</v>
      </c>
      <c r="L493" s="6" t="n">
        <v>3201.97</v>
      </c>
      <c r="M493" s="6" t="n">
        <v>3201.97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Hogardeco</t>
        </is>
      </c>
      <c r="AE493" s="7" t="inlineStr">
        <is>
          <t>exterior</t>
        </is>
      </c>
      <c r="AF493" s="4" t="inlineStr">
        <is>
          <t>espesor_mm: 25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Piso vinílico, 5.2 mm</t>
        </is>
      </c>
      <c r="E494" s="4" t="inlineStr"/>
      <c r="F494" s="3" t="inlineStr">
        <is>
          <t>m²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1411.66</v>
      </c>
      <c r="L494" s="6" t="n">
        <v>1411.66</v>
      </c>
      <c r="M494" s="6" t="n">
        <v>1411.66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Hogardeco</t>
        </is>
      </c>
      <c r="AE494" s="7" t="inlineStr">
        <is>
          <t>interior</t>
        </is>
      </c>
      <c r="AF494" s="4" t="inlineStr">
        <is>
          <t>espesor_mm: 5.2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Piso vinílico, 6 mm</t>
        </is>
      </c>
      <c r="E495" s="4" t="inlineStr"/>
      <c r="F495" s="3" t="inlineStr">
        <is>
          <t>m²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1411.66</v>
      </c>
      <c r="L495" s="6" t="n">
        <v>1411.66</v>
      </c>
      <c r="M495" s="6" t="n">
        <v>1411.66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Hogardeco</t>
        </is>
      </c>
      <c r="AE495" s="7" t="inlineStr">
        <is>
          <t>interior</t>
        </is>
      </c>
      <c r="AF495" s="4" t="inlineStr">
        <is>
          <t>espesor_mm: 6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Panel de vinil para pared, 4.5 mm</t>
        </is>
      </c>
      <c r="E496" s="4" t="inlineStr"/>
      <c r="F496" s="3" t="inlineStr">
        <is>
          <t>m²</t>
        </is>
      </c>
      <c r="G496" s="3" t="inlineStr">
        <is>
          <t>Pisos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1537.07</v>
      </c>
      <c r="L496" s="6" t="n">
        <v>1012.06</v>
      </c>
      <c r="M496" s="6" t="n">
        <v>1537.07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</t>
        </is>
      </c>
      <c r="AE496" s="7" t="inlineStr">
        <is>
          <t>pared</t>
        </is>
      </c>
      <c r="AF496" s="4" t="inlineStr">
        <is>
          <t>espesor_mm: 4.5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cuadrado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874.38</v>
      </c>
      <c r="L497" s="6" t="n">
        <v>874.38</v>
      </c>
      <c r="M497" s="6" t="n">
        <v>874.38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cuadrado · piezas_m2: 6.25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Adoquín de hormigón tipo flecha</t>
        </is>
      </c>
      <c r="E498" s="4" t="inlineStr"/>
      <c r="F498" s="3" t="inlineStr">
        <is>
          <t>m²</t>
        </is>
      </c>
      <c r="G498" s="3" t="inlineStr">
        <is>
          <t>Exteriores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812.28</v>
      </c>
      <c r="L498" s="6" t="n">
        <v>812.28</v>
      </c>
      <c r="M498" s="6" t="n">
        <v>812.28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  <c r="AF498" s="4" t="inlineStr">
        <is>
          <t>tipo: flecha · piezas_m2: 42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Adoquín de hormigón tipo ladrillo</t>
        </is>
      </c>
      <c r="E499" s="4" t="inlineStr"/>
      <c r="F499" s="3" t="inlineStr">
        <is>
          <t>m²</t>
        </is>
      </c>
      <c r="G499" s="3" t="inlineStr">
        <is>
          <t>Exteriores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850</v>
      </c>
      <c r="L499" s="6" t="n">
        <v>850</v>
      </c>
      <c r="M499" s="6" t="n">
        <v>850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  <c r="AF499" s="4" t="inlineStr">
        <is>
          <t>tipo: ladrillo · piezas_m2: 50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raqueta</t>
        </is>
      </c>
      <c r="E500" s="4" t="inlineStr"/>
      <c r="F500" s="3" t="inlineStr">
        <is>
          <t>m²</t>
        </is>
      </c>
      <c r="G500" s="3" t="inlineStr">
        <is>
          <t>Exteriores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872.87</v>
      </c>
      <c r="L500" s="6" t="n">
        <v>872.87</v>
      </c>
      <c r="M500" s="6" t="n">
        <v>872.87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  <c r="AF500" s="4" t="inlineStr">
        <is>
          <t>tipo: raqueta · piezas_m2: 38.25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amarillo comercial,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55.94</v>
      </c>
      <c r="L501" s="6" t="n">
        <v>55.94</v>
      </c>
      <c r="M501" s="6" t="n">
        <v>55.94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amarillo industrial,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premium</t>
        </is>
      </c>
      <c r="I502" s="3" t="inlineStr">
        <is>
          <t>importado</t>
        </is>
      </c>
      <c r="J502" s="5" t="n">
        <v>1</v>
      </c>
      <c r="K502" s="6" t="n">
        <v>153.81</v>
      </c>
      <c r="L502" s="6" t="n">
        <v>153.81</v>
      </c>
      <c r="M502" s="6" t="n">
        <v>153.81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azul comercial,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82.72</v>
      </c>
      <c r="L503" s="6" t="n">
        <v>82.72</v>
      </c>
      <c r="M503" s="6" t="n">
        <v>82.72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azul industrial,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premium</t>
        </is>
      </c>
      <c r="I504" s="3" t="inlineStr">
        <is>
          <t>importado</t>
        </is>
      </c>
      <c r="J504" s="5" t="n">
        <v>1</v>
      </c>
      <c r="K504" s="6" t="n">
        <v>162.49</v>
      </c>
      <c r="L504" s="6" t="n">
        <v>162.49</v>
      </c>
      <c r="M504" s="6" t="n">
        <v>162.49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negro comercial,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90.79000000000001</v>
      </c>
      <c r="L505" s="6" t="n">
        <v>90.79000000000001</v>
      </c>
      <c r="M505" s="6" t="n">
        <v>90.79000000000001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industrial,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premium</t>
        </is>
      </c>
      <c r="I506" s="3" t="inlineStr">
        <is>
          <t>importado</t>
        </is>
      </c>
      <c r="J506" s="5" t="n">
        <v>1</v>
      </c>
      <c r="K506" s="6" t="n">
        <v>129.29</v>
      </c>
      <c r="L506" s="6" t="n">
        <v>129.29</v>
      </c>
      <c r="M506" s="6" t="n">
        <v>129.29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66.5</v>
      </c>
      <c r="L507" s="6" t="n">
        <v>66.5</v>
      </c>
      <c r="M507" s="6" t="n">
        <v>66.5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rojo industrial,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106.37</v>
      </c>
      <c r="L508" s="6" t="n">
        <v>106.37</v>
      </c>
      <c r="M508" s="6" t="n">
        <v>106.37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verde comercial, 1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78.84</v>
      </c>
      <c r="L509" s="6" t="n">
        <v>78.84</v>
      </c>
      <c r="M509" s="6" t="n">
        <v>78.84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verde industrial, 1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premium</t>
        </is>
      </c>
      <c r="I510" s="3" t="inlineStr">
        <is>
          <t>importado</t>
        </is>
      </c>
      <c r="J510" s="5" t="n">
        <v>1</v>
      </c>
      <c r="K510" s="6" t="n">
        <v>180.39</v>
      </c>
      <c r="L510" s="6" t="n">
        <v>180.39</v>
      </c>
      <c r="M510" s="6" t="n">
        <v>180.39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amarillo industrial, 3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460.92</v>
      </c>
      <c r="L511" s="6" t="n">
        <v>460.92</v>
      </c>
      <c r="M511" s="6" t="n">
        <v>460.92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amarillo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280.64</v>
      </c>
      <c r="L512" s="6" t="n">
        <v>280.64</v>
      </c>
      <c r="M512" s="6" t="n">
        <v>280.64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azul comercial,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367.96</v>
      </c>
      <c r="L513" s="6" t="n">
        <v>367.96</v>
      </c>
      <c r="M513" s="6" t="n">
        <v>367.96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azul industrial,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premium</t>
        </is>
      </c>
      <c r="I514" s="3" t="inlineStr">
        <is>
          <t>importado</t>
        </is>
      </c>
      <c r="J514" s="5" t="n">
        <v>1</v>
      </c>
      <c r="K514" s="6" t="n">
        <v>813.47</v>
      </c>
      <c r="L514" s="6" t="n">
        <v>813.47</v>
      </c>
      <c r="M514" s="6" t="n">
        <v>813.47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negro comercial,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406.73</v>
      </c>
      <c r="L515" s="6" t="n">
        <v>406.73</v>
      </c>
      <c r="M515" s="6" t="n">
        <v>406.73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negro industrial,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647.51</v>
      </c>
      <c r="L516" s="6" t="n">
        <v>647.51</v>
      </c>
      <c r="M516" s="6" t="n">
        <v>647.51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rojo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333.56</v>
      </c>
      <c r="L517" s="6" t="n">
        <v>333.56</v>
      </c>
      <c r="M517" s="6" t="n">
        <v>333.56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rojo industrial,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premium</t>
        </is>
      </c>
      <c r="I518" s="3" t="inlineStr">
        <is>
          <t>importado</t>
        </is>
      </c>
      <c r="J518" s="5" t="n">
        <v>1</v>
      </c>
      <c r="K518" s="6" t="n">
        <v>472.9</v>
      </c>
      <c r="L518" s="6" t="n">
        <v>472.9</v>
      </c>
      <c r="M518" s="6" t="n">
        <v>472.9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verde comercial, 5 lb</t>
        </is>
      </c>
      <c r="E519" s="4" t="inlineStr"/>
      <c r="F519" s="3" t="inlineStr">
        <is>
          <t>unidad</t>
        </is>
      </c>
      <c r="G519" s="3" t="inlineStr">
        <is>
          <t>Pisos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350.7</v>
      </c>
      <c r="L519" s="6" t="n">
        <v>350.7</v>
      </c>
      <c r="M519" s="6" t="n">
        <v>350.7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verde industrial, 5 lb</t>
        </is>
      </c>
      <c r="E520" s="4" t="inlineStr"/>
      <c r="F520" s="3" t="inlineStr">
        <is>
          <t>unidad</t>
        </is>
      </c>
      <c r="G520" s="3" t="inlineStr">
        <is>
          <t>Pisos</t>
        </is>
      </c>
      <c r="H520" s="3" t="inlineStr">
        <is>
          <t>premium</t>
        </is>
      </c>
      <c r="I520" s="3" t="inlineStr">
        <is>
          <t>importado</t>
        </is>
      </c>
      <c r="J520" s="5" t="n">
        <v>1</v>
      </c>
      <c r="K520" s="6" t="n">
        <v>902.88</v>
      </c>
      <c r="L520" s="6" t="n">
        <v>902.88</v>
      </c>
      <c r="M520" s="6" t="n">
        <v>902.88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amarillo comercial,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3195.68</v>
      </c>
      <c r="L521" s="6" t="n">
        <v>3195.68</v>
      </c>
      <c r="M521" s="6" t="n">
        <v>3195.68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amarillo industrial,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premium</t>
        </is>
      </c>
      <c r="I522" s="3" t="inlineStr">
        <is>
          <t>importado</t>
        </is>
      </c>
      <c r="J522" s="5" t="n">
        <v>1</v>
      </c>
      <c r="K522" s="6" t="n">
        <v>7742.13</v>
      </c>
      <c r="L522" s="6" t="n">
        <v>7742.13</v>
      </c>
      <c r="M522" s="6" t="n">
        <v>7742.13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azul comercial,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4220.23</v>
      </c>
      <c r="L523" s="6" t="n">
        <v>4220.23</v>
      </c>
      <c r="M523" s="6" t="n">
        <v>4220.23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azul industrial,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premium</t>
        </is>
      </c>
      <c r="I524" s="3" t="inlineStr">
        <is>
          <t>importado</t>
        </is>
      </c>
      <c r="J524" s="5" t="n">
        <v>1</v>
      </c>
      <c r="K524" s="6" t="n">
        <v>8183.45</v>
      </c>
      <c r="L524" s="6" t="n">
        <v>8183.45</v>
      </c>
      <c r="M524" s="6" t="n">
        <v>8183.45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negro comercial,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4640.79</v>
      </c>
      <c r="L525" s="6" t="n">
        <v>4640.79</v>
      </c>
      <c r="M525" s="6" t="n">
        <v>4640.79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negro industrial,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premium</t>
        </is>
      </c>
      <c r="I526" s="3" t="inlineStr">
        <is>
          <t>importado</t>
        </is>
      </c>
      <c r="J526" s="5" t="n">
        <v>1</v>
      </c>
      <c r="K526" s="6" t="n">
        <v>6521.15</v>
      </c>
      <c r="L526" s="6" t="n">
        <v>6521.15</v>
      </c>
      <c r="M526" s="6" t="n">
        <v>6521.15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rojo comercial,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3350.57</v>
      </c>
      <c r="L527" s="6" t="n">
        <v>3350.57</v>
      </c>
      <c r="M527" s="6" t="n">
        <v>3350.57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rojo industrial,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premium</t>
        </is>
      </c>
      <c r="I528" s="3" t="inlineStr">
        <is>
          <t>importado</t>
        </is>
      </c>
      <c r="J528" s="5" t="n">
        <v>1</v>
      </c>
      <c r="K528" s="6" t="n">
        <v>5451.6</v>
      </c>
      <c r="L528" s="6" t="n">
        <v>5451.6</v>
      </c>
      <c r="M528" s="6" t="n">
        <v>5451.6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verde comercial, 55 lb</t>
        </is>
      </c>
      <c r="E529" s="4" t="inlineStr"/>
      <c r="F529" s="3" t="inlineStr">
        <is>
          <t>funda</t>
        </is>
      </c>
      <c r="G529" s="3" t="inlineStr">
        <is>
          <t>Pisos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4017.75</v>
      </c>
      <c r="L529" s="6" t="n">
        <v>4017.75</v>
      </c>
      <c r="M529" s="6" t="n">
        <v>4017.75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Ochoa (8A)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verde industrial, 55 lb</t>
        </is>
      </c>
      <c r="E530" s="4" t="inlineStr"/>
      <c r="F530" s="3" t="inlineStr">
        <is>
          <t>funda</t>
        </is>
      </c>
      <c r="G530" s="3" t="inlineStr">
        <is>
          <t>Pisos</t>
        </is>
      </c>
      <c r="H530" s="3" t="inlineStr">
        <is>
          <t>premium</t>
        </is>
      </c>
      <c r="I530" s="3" t="inlineStr">
        <is>
          <t>importado</t>
        </is>
      </c>
      <c r="J530" s="5" t="n">
        <v>1</v>
      </c>
      <c r="K530" s="6" t="n">
        <v>9092.93</v>
      </c>
      <c r="L530" s="6" t="n">
        <v>9092.93</v>
      </c>
      <c r="M530" s="6" t="n">
        <v>9092.93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Ochoa (8A)</t>
        </is>
      </c>
    </row>
    <row r="531">
      <c r="A531" s="3" t="inlineStr">
        <is>
          <t>MAT-09-009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Cabezal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6</v>
      </c>
      <c r="K531" s="6" t="n">
        <v>1642.45</v>
      </c>
      <c r="L531" s="6" t="n">
        <v>150</v>
      </c>
      <c r="M531" s="6" t="n">
        <v>169410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2026-09-11</t>
        </is>
      </c>
      <c r="Q531" s="4" t="inlineStr">
        <is>
          <t>Carabela · CerArte · Ferremix (Grupo Alterra) · Ferretería Cima · Ferretería Ochoa (8A) · La Ibérica</t>
        </is>
      </c>
    </row>
    <row r="532">
      <c r="A532" s="3" t="inlineStr">
        <is>
          <t>MAT-09-010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Ducha teléfono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685</v>
      </c>
      <c r="L532" s="6" t="n">
        <v>238.61</v>
      </c>
      <c r="M532" s="6" t="n">
        <v>19666.08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Bellón · CerArte · Ferremix (Grupo Alterra) · Ferretería Cima · Ferretería Ochoa (8A)</t>
        </is>
      </c>
    </row>
    <row r="533">
      <c r="A533" s="3" t="inlineStr">
        <is>
          <t>MAT-09-011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Columna de ducha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5</v>
      </c>
      <c r="K533" s="6" t="n">
        <v>20267.28</v>
      </c>
      <c r="L533" s="6" t="n">
        <v>900</v>
      </c>
      <c r="M533" s="6" t="n">
        <v>179163.01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2026-09-11</t>
        </is>
      </c>
      <c r="Q533" s="4" t="inlineStr">
        <is>
          <t>Carabela · CerArte · Ferretería Cima · Ferretería Ochoa (8A) · La Ibérica</t>
        </is>
      </c>
    </row>
    <row r="534">
      <c r="A534" s="3" t="inlineStr">
        <is>
          <t>MAT-09-012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Columna de ducha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2</v>
      </c>
      <c r="K534" s="6" t="n">
        <v>10189.3</v>
      </c>
      <c r="L534" s="6" t="n">
        <v>553.61</v>
      </c>
      <c r="M534" s="6" t="n">
        <v>29022.19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 · Ferretería Ochoa (8A)</t>
        </is>
      </c>
    </row>
    <row r="535">
      <c r="A535" s="3" t="inlineStr">
        <is>
          <t>MAT-09-013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Brazo de ducha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6</v>
      </c>
      <c r="K535" s="6" t="n">
        <v>1557.65</v>
      </c>
      <c r="L535" s="6" t="n">
        <v>108.23</v>
      </c>
      <c r="M535" s="6" t="n">
        <v>10850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2026-09-11</t>
        </is>
      </c>
      <c r="Q535" s="4" t="inlineStr">
        <is>
          <t>Carabela · CerArte · Ferremix (Grupo Alterra) · Ferretería Cima · Ferretería Ochoa (8A) · La Ibérica</t>
        </is>
      </c>
    </row>
    <row r="536">
      <c r="A536" s="3" t="inlineStr">
        <is>
          <t>MAT-09-014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Mezcladora, de baño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6</v>
      </c>
      <c r="K536" s="6" t="n">
        <v>7635.64</v>
      </c>
      <c r="L536" s="6" t="n">
        <v>340</v>
      </c>
      <c r="M536" s="6" t="n">
        <v>83292.84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2026-09-11</t>
        </is>
      </c>
      <c r="Q536" s="4" t="inlineStr">
        <is>
          <t>Bellón · Carabela · CerArte · Ferremix (Grupo Alterra) · Ferretería Cima · La Ibérica</t>
        </is>
      </c>
      <c r="AE536" s="7" t="inlineStr">
        <is>
          <t>bano</t>
        </is>
      </c>
      <c r="AF536" s="4" t="inlineStr">
        <is>
          <t>Activación: manual</t>
        </is>
      </c>
    </row>
    <row r="537">
      <c r="A537" s="3" t="inlineStr">
        <is>
          <t>MAT-09-015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Mezcladora, de baño, con sensor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4</v>
      </c>
      <c r="K537" s="6" t="n">
        <v>6437.22</v>
      </c>
      <c r="L537" s="6" t="n">
        <v>740</v>
      </c>
      <c r="M537" s="6" t="n">
        <v>38069.93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Bellón · CerArte · Ferremix (Grupo Alterra) · La Ibérica</t>
        </is>
      </c>
      <c r="AE537" s="7" t="inlineStr">
        <is>
          <t>bano</t>
        </is>
      </c>
      <c r="AF537" s="4" t="inlineStr">
        <is>
          <t>Activación: sensor</t>
        </is>
      </c>
    </row>
    <row r="538">
      <c r="A538" s="3" t="inlineStr">
        <is>
          <t>MAT-09-016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Mezcladora, de fregadero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6</v>
      </c>
      <c r="K538" s="6" t="n">
        <v>3921.51</v>
      </c>
      <c r="L538" s="6" t="n">
        <v>230</v>
      </c>
      <c r="M538" s="6" t="n">
        <v>86350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2026-09-11</t>
        </is>
      </c>
      <c r="Q538" s="4" t="inlineStr">
        <is>
          <t>Bellón · Carabela · CerArte · Ferremix (Grupo Alterra) · Ferretería Cima · La Ibérica</t>
        </is>
      </c>
      <c r="AE538" s="7" t="inlineStr">
        <is>
          <t>fregadero</t>
        </is>
      </c>
      <c r="AF538" s="4" t="inlineStr">
        <is>
          <t>Activación: manual</t>
        </is>
      </c>
    </row>
    <row r="539">
      <c r="A539" s="3" t="inlineStr">
        <is>
          <t>MAT-09-017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Mezcladora de ducha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7</v>
      </c>
      <c r="K539" s="6" t="n">
        <v>10458.36</v>
      </c>
      <c r="L539" s="6" t="n">
        <v>945</v>
      </c>
      <c r="M539" s="6" t="n">
        <v>92472.53999999999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2026-09-11</t>
        </is>
      </c>
      <c r="Q539" s="4" t="inlineStr">
        <is>
          <t>Bellón · Carabela · CerArte · Ferremix (Grupo Alterra) · Ferretería Cima · Ferretería Ochoa (8A) · La Ibérica</t>
        </is>
      </c>
    </row>
    <row r="540">
      <c r="A540" s="3" t="inlineStr">
        <is>
          <t>MAT-09-018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Manguera para ducha teléfono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3</v>
      </c>
      <c r="K540" s="6" t="n">
        <v>747.45</v>
      </c>
      <c r="L540" s="6" t="n">
        <v>256.18</v>
      </c>
      <c r="M540" s="6" t="n">
        <v>2460.71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2026-09-10</t>
        </is>
      </c>
      <c r="Q540" s="4" t="inlineStr">
        <is>
          <t>CerArte · Ferretería Cima · Ferretería Ochoa (8A)</t>
        </is>
      </c>
    </row>
    <row r="541">
      <c r="A541" s="3" t="inlineStr">
        <is>
          <t>MAT-09-019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Regulador de gas de doble tanque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1139</v>
      </c>
      <c r="L541" s="6" t="n">
        <v>1139</v>
      </c>
      <c r="M541" s="6" t="n">
        <v>1139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F541" s="4" t="inlineStr">
        <is>
          <t>tipo: de doble tanque</t>
        </is>
      </c>
    </row>
    <row r="542">
      <c r="A542" s="3" t="inlineStr">
        <is>
          <t>MAT-09-020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Regulador de gas grande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656</v>
      </c>
      <c r="L542" s="6" t="n">
        <v>326</v>
      </c>
      <c r="M542" s="6" t="n">
        <v>1315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tipo: grande</t>
        </is>
      </c>
    </row>
    <row r="543">
      <c r="A543" s="3" t="inlineStr">
        <is>
          <t>MAT-09-021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Regulador de gas pequeño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509.5</v>
      </c>
      <c r="L543" s="6" t="n">
        <v>259</v>
      </c>
      <c r="M543" s="6" t="n">
        <v>760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F543" s="4" t="inlineStr">
        <is>
          <t>tipo: pequeño</t>
        </is>
      </c>
    </row>
    <row r="544">
      <c r="A544" s="3" t="inlineStr">
        <is>
          <t>MAT-09-022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Pig tail para conexión de gas</t>
        </is>
      </c>
      <c r="E544" s="4" t="inlineStr">
        <is>
          <t>Del tanque al regulador</t>
        </is>
      </c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489.5</v>
      </c>
      <c r="L544" s="6" t="n">
        <v>299</v>
      </c>
      <c r="M544" s="6" t="n">
        <v>1095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</row>
    <row r="545">
      <c r="A545" s="3" t="inlineStr">
        <is>
          <t>MAT-09-023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Llave para tanque de gas 7/8"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377</v>
      </c>
      <c r="L545" s="6" t="n">
        <v>377</v>
      </c>
      <c r="M545" s="6" t="n">
        <v>377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F545" s="4" t="inlineStr">
        <is>
          <t>medida: 7/8"</t>
        </is>
      </c>
    </row>
    <row r="546">
      <c r="A546" s="3" t="inlineStr">
        <is>
          <t>MAT-09-024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8923.5</v>
      </c>
      <c r="L546" s="6" t="n">
        <v>6802</v>
      </c>
      <c r="M546" s="6" t="n">
        <v>11045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</t>
        </is>
      </c>
    </row>
    <row r="547">
      <c r="A547" s="3" t="inlineStr">
        <is>
          <t>MAT-09-025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 1/3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11205</v>
      </c>
      <c r="L547" s="6" t="n">
        <v>11205</v>
      </c>
      <c r="M547" s="6" t="n">
        <v>11205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 1/3</t>
        </is>
      </c>
    </row>
    <row r="548">
      <c r="A548" s="3" t="inlineStr">
        <is>
          <t>MAT-09-026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1/2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2</v>
      </c>
      <c r="K548" s="6" t="n">
        <v>7989</v>
      </c>
      <c r="L548" s="6" t="n">
        <v>4732</v>
      </c>
      <c r="M548" s="6" t="n">
        <v>9090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 · Ferremix (Grupo Alterra)</t>
        </is>
      </c>
      <c r="AF548" s="4" t="inlineStr">
        <is>
          <t>tipo: centrífuga · hp: 1/2</t>
        </is>
      </c>
    </row>
    <row r="549">
      <c r="A549" s="3" t="inlineStr">
        <is>
          <t>MAT-09-027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1.5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13164.5</v>
      </c>
      <c r="L549" s="6" t="n">
        <v>8100</v>
      </c>
      <c r="M549" s="6" t="n">
        <v>18229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1.5</t>
        </is>
      </c>
    </row>
    <row r="550">
      <c r="A550" s="3" t="inlineStr">
        <is>
          <t>MAT-09-028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15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30539</v>
      </c>
      <c r="L550" s="6" t="n">
        <v>30539</v>
      </c>
      <c r="M550" s="6" t="n">
        <v>30539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15</t>
        </is>
      </c>
    </row>
    <row r="551">
      <c r="A551" s="3" t="inlineStr">
        <is>
          <t>MAT-09-029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23097</v>
      </c>
      <c r="L551" s="6" t="n">
        <v>20409</v>
      </c>
      <c r="M551" s="6" t="n">
        <v>25785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Bellón</t>
        </is>
      </c>
      <c r="AF551" s="4" t="inlineStr">
        <is>
          <t>tipo: centrífuga · hp: 2</t>
        </is>
      </c>
    </row>
    <row r="552">
      <c r="A552" s="3" t="inlineStr">
        <is>
          <t>MAT-09-030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3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23699</v>
      </c>
      <c r="L552" s="6" t="n">
        <v>23699</v>
      </c>
      <c r="M552" s="6" t="n">
        <v>23699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Bellón</t>
        </is>
      </c>
      <c r="AF552" s="4" t="inlineStr">
        <is>
          <t>tipo: centrífuga · hp: 3</t>
        </is>
      </c>
    </row>
    <row r="553">
      <c r="A553" s="3" t="inlineStr">
        <is>
          <t>MAT-09-031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3/4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8672</v>
      </c>
      <c r="L553" s="6" t="n">
        <v>7849</v>
      </c>
      <c r="M553" s="6" t="n">
        <v>9495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Ferremix (Grupo Alterra)</t>
        </is>
      </c>
      <c r="AF553" s="4" t="inlineStr">
        <is>
          <t>tipo: centrífuga · hp: 3/4</t>
        </is>
      </c>
    </row>
    <row r="554">
      <c r="A554" s="3" t="inlineStr">
        <is>
          <t>MAT-09-032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6 1/2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13189</v>
      </c>
      <c r="L554" s="6" t="n">
        <v>13189</v>
      </c>
      <c r="M554" s="6" t="n">
        <v>13189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centrífuga · hp: 6 1/2</t>
        </is>
      </c>
    </row>
    <row r="555">
      <c r="A555" s="3" t="inlineStr">
        <is>
          <t>MAT-09-033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de cisterna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7106</v>
      </c>
      <c r="L555" s="6" t="n">
        <v>7106</v>
      </c>
      <c r="M555" s="6" t="n">
        <v>7106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</t>
        </is>
      </c>
      <c r="AF555" s="4" t="inlineStr">
        <is>
          <t>tipo: de cisterna · hp: 1/2</t>
        </is>
      </c>
    </row>
    <row r="556">
      <c r="A556" s="3" t="inlineStr">
        <is>
          <t>MAT-09-034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ladrona de 1/2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3957</v>
      </c>
      <c r="L556" s="6" t="n">
        <v>2670</v>
      </c>
      <c r="M556" s="6" t="n">
        <v>6300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</t>
        </is>
      </c>
      <c r="AF556" s="4" t="inlineStr">
        <is>
          <t>tipo: ladrona · hp: 1/2</t>
        </is>
      </c>
    </row>
    <row r="557">
      <c r="A557" s="3" t="inlineStr">
        <is>
          <t>MAT-09-035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periférica de 1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5719</v>
      </c>
      <c r="L557" s="6" t="n">
        <v>5719</v>
      </c>
      <c r="M557" s="6" t="n">
        <v>5719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Ferremix (Grupo Alterra)</t>
        </is>
      </c>
      <c r="AF557" s="4" t="inlineStr">
        <is>
          <t>tipo: periférica · hp: 1</t>
        </is>
      </c>
    </row>
    <row r="558">
      <c r="A558" s="3" t="inlineStr">
        <is>
          <t>MAT-09-036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periférica de 1/2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1995</v>
      </c>
      <c r="L558" s="6" t="n">
        <v>1995</v>
      </c>
      <c r="M558" s="6" t="n">
        <v>1995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Ferremix (Grupo Alterra)</t>
        </is>
      </c>
      <c r="AF558" s="4" t="inlineStr">
        <is>
          <t>tipo: periférica · hp: 1/2</t>
        </is>
      </c>
    </row>
    <row r="559">
      <c r="A559" s="3" t="inlineStr">
        <is>
          <t>MAT-09-037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periférica de 3/4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5079</v>
      </c>
      <c r="L559" s="6" t="n">
        <v>5079</v>
      </c>
      <c r="M559" s="6" t="n">
        <v>5079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Ferremix (Grupo Alterra)</t>
        </is>
      </c>
      <c r="AF559" s="4" t="inlineStr">
        <is>
          <t>tipo: periférica · hp: 3/4</t>
        </is>
      </c>
    </row>
    <row r="560">
      <c r="A560" s="3" t="inlineStr">
        <is>
          <t>MAT-09-038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presurizadora de 1/2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5075</v>
      </c>
      <c r="L560" s="6" t="n">
        <v>5075</v>
      </c>
      <c r="M560" s="6" t="n">
        <v>5075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F560" s="4" t="inlineStr">
        <is>
          <t>tipo: presurizadora · hp: 1/2</t>
        </is>
      </c>
    </row>
    <row r="561">
      <c r="A561" s="3" t="inlineStr">
        <is>
          <t>MAT-09-039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presurizadora de 1/3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4914</v>
      </c>
      <c r="L561" s="6" t="n">
        <v>4914</v>
      </c>
      <c r="M561" s="6" t="n">
        <v>4914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F561" s="4" t="inlineStr">
        <is>
          <t>tipo: presurizadora · hp: 1/3</t>
        </is>
      </c>
    </row>
    <row r="562">
      <c r="A562" s="3" t="inlineStr">
        <is>
          <t>MAT-09-040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presurizadora de 1/6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2911</v>
      </c>
      <c r="L562" s="6" t="n">
        <v>2911</v>
      </c>
      <c r="M562" s="6" t="n">
        <v>2911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2026-09-09</t>
        </is>
      </c>
      <c r="Q562" s="4" t="inlineStr">
        <is>
          <t>Ferretería Cima</t>
        </is>
      </c>
      <c r="AF562" s="4" t="inlineStr">
        <is>
          <t>tipo: presurizadora · hp: 1/6</t>
        </is>
      </c>
    </row>
    <row r="563">
      <c r="A563" s="3" t="inlineStr">
        <is>
          <t>MAT-09-041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2</v>
      </c>
      <c r="K563" s="6" t="n">
        <v>7860</v>
      </c>
      <c r="L563" s="6" t="n">
        <v>1920</v>
      </c>
      <c r="M563" s="6" t="n">
        <v>15989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 · Ferremix (Grupo Alterra)</t>
        </is>
      </c>
      <c r="AF563" s="4" t="inlineStr">
        <is>
          <t>tipo: sumergible · hp: 1</t>
        </is>
      </c>
    </row>
    <row r="564">
      <c r="A564" s="3" t="inlineStr">
        <is>
          <t>MAT-09-042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 1/2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2</v>
      </c>
      <c r="K564" s="6" t="n">
        <v>13484</v>
      </c>
      <c r="L564" s="6" t="n">
        <v>6623</v>
      </c>
      <c r="M564" s="6" t="n">
        <v>18559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 · Ferremix (Grupo Alterra)</t>
        </is>
      </c>
      <c r="AF564" s="4" t="inlineStr">
        <is>
          <t>tipo: sumergible · hp: 1 1/2</t>
        </is>
      </c>
    </row>
    <row r="565">
      <c r="A565" s="3" t="inlineStr">
        <is>
          <t>MAT-09-043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1/2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2</v>
      </c>
      <c r="K565" s="6" t="n">
        <v>8167.5</v>
      </c>
      <c r="L565" s="6" t="n">
        <v>2835</v>
      </c>
      <c r="M565" s="6" t="n">
        <v>41232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 · Ferremix (Grupo Alterra)</t>
        </is>
      </c>
      <c r="AF565" s="4" t="inlineStr">
        <is>
          <t>tipo: sumergible · hp: 1/2</t>
        </is>
      </c>
    </row>
    <row r="566">
      <c r="A566" s="3" t="inlineStr">
        <is>
          <t>MAT-09-044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1.5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77553</v>
      </c>
      <c r="L566" s="6" t="n">
        <v>77553</v>
      </c>
      <c r="M566" s="6" t="n">
        <v>77553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</t>
        </is>
      </c>
      <c r="AF566" s="4" t="inlineStr">
        <is>
          <t>tipo: sumergible · hp: 1.5</t>
        </is>
      </c>
    </row>
    <row r="567">
      <c r="A567" s="3" t="inlineStr">
        <is>
          <t>MAT-09-045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1/6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21812</v>
      </c>
      <c r="L567" s="6" t="n">
        <v>21812</v>
      </c>
      <c r="M567" s="6" t="n">
        <v>21812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1/6</t>
        </is>
      </c>
    </row>
    <row r="568">
      <c r="A568" s="3" t="inlineStr">
        <is>
          <t>MAT-09-046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10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56995</v>
      </c>
      <c r="L568" s="6" t="n">
        <v>56995</v>
      </c>
      <c r="M568" s="6" t="n">
        <v>56995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</t>
        </is>
      </c>
      <c r="AF568" s="4" t="inlineStr">
        <is>
          <t>tipo: sumergible · hp: 10</t>
        </is>
      </c>
    </row>
    <row r="569">
      <c r="A569" s="3" t="inlineStr">
        <is>
          <t>MAT-09-047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2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2</v>
      </c>
      <c r="K569" s="6" t="n">
        <v>20127</v>
      </c>
      <c r="L569" s="6" t="n">
        <v>12859</v>
      </c>
      <c r="M569" s="6" t="n">
        <v>61535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 · Ferremix (Grupo Alterra)</t>
        </is>
      </c>
      <c r="AF569" s="4" t="inlineStr">
        <is>
          <t>tipo: sumergible · hp: 2</t>
        </is>
      </c>
    </row>
    <row r="570">
      <c r="A570" s="3" t="inlineStr">
        <is>
          <t>MAT-09-048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3 HP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23492.5</v>
      </c>
      <c r="L570" s="6" t="n">
        <v>17345</v>
      </c>
      <c r="M570" s="6" t="n">
        <v>29640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Bellón</t>
        </is>
      </c>
      <c r="AF570" s="4" t="inlineStr">
        <is>
          <t>tipo: sumergible · hp: 3</t>
        </is>
      </c>
    </row>
    <row r="571">
      <c r="A571" s="3" t="inlineStr">
        <is>
          <t>MAT-09-049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3/4 HP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2</v>
      </c>
      <c r="K571" s="6" t="n">
        <v>8599</v>
      </c>
      <c r="L571" s="6" t="n">
        <v>2999</v>
      </c>
      <c r="M571" s="6" t="n">
        <v>13303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Bellón · Ferremix (Grupo Alterra)</t>
        </is>
      </c>
      <c r="AF571" s="4" t="inlineStr">
        <is>
          <t>tipo: sumergible · hp: 3/4</t>
        </is>
      </c>
    </row>
    <row r="572">
      <c r="A572" s="3" t="inlineStr">
        <is>
          <t>MAT-09-050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5.5 HP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27049</v>
      </c>
      <c r="L572" s="6" t="n">
        <v>27049</v>
      </c>
      <c r="M572" s="6" t="n">
        <v>27049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Bellón</t>
        </is>
      </c>
      <c r="AF572" s="4" t="inlineStr">
        <is>
          <t>tipo: sumergible · hp: 5.5</t>
        </is>
      </c>
    </row>
    <row r="573">
      <c r="A573" s="3" t="inlineStr">
        <is>
          <t>MAT-09-051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Tanque presurizado de 24 litros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1825</v>
      </c>
      <c r="L573" s="6" t="n">
        <v>1825</v>
      </c>
      <c r="M573" s="6" t="n">
        <v>1825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litros: 24</t>
        </is>
      </c>
    </row>
    <row r="574">
      <c r="A574" s="3" t="inlineStr">
        <is>
          <t>MAT-09-052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automático de presión 20–40 PSI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1666</v>
      </c>
      <c r="L574" s="6" t="n">
        <v>1666</v>
      </c>
      <c r="M574" s="6" t="n">
        <v>1666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  <c r="AF574" s="4" t="inlineStr">
        <is>
          <t>rango: 20–40</t>
        </is>
      </c>
    </row>
    <row r="575">
      <c r="A575" s="3" t="inlineStr">
        <is>
          <t>MAT-09-053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Interruptor automático de presión 30–50 PSI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1631</v>
      </c>
      <c r="L575" s="6" t="n">
        <v>1631</v>
      </c>
      <c r="M575" s="6" t="n">
        <v>1631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rango: 30–50</t>
        </is>
      </c>
    </row>
    <row r="576">
      <c r="A576" s="3" t="inlineStr">
        <is>
          <t>MAT-09-054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Interruptor automático de presión 40–60 PSI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1688</v>
      </c>
      <c r="L576" s="6" t="n">
        <v>1688</v>
      </c>
      <c r="M576" s="6" t="n">
        <v>1688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rango: 40–60</t>
        </is>
      </c>
    </row>
    <row r="577">
      <c r="A577" s="3" t="inlineStr">
        <is>
          <t>MAT-09-055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Interruptor de flotante eléctrico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1072</v>
      </c>
      <c r="L577" s="6" t="n">
        <v>690</v>
      </c>
      <c r="M577" s="6" t="n">
        <v>1454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</row>
    <row r="578">
      <c r="A578" s="3" t="inlineStr">
        <is>
          <t>MAT-09-056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Control automático de bomba 1"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3178</v>
      </c>
      <c r="L578" s="6" t="n">
        <v>3178</v>
      </c>
      <c r="M578" s="6" t="n">
        <v>3178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medida: 1"</t>
        </is>
      </c>
    </row>
    <row r="579">
      <c r="A579" s="3" t="inlineStr">
        <is>
          <t>MAT-09-057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Manómetro de glicerina de 150 PSI</t>
        </is>
      </c>
      <c r="E579" s="4" t="inlineStr">
        <is>
          <t>El de glicerina aguanta la vibración de la bomba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990</v>
      </c>
      <c r="L579" s="6" t="n">
        <v>990</v>
      </c>
      <c r="M579" s="6" t="n">
        <v>990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psi: 150 · tipo: de glicerina</t>
        </is>
      </c>
    </row>
    <row r="580">
      <c r="A580" s="3" t="inlineStr">
        <is>
          <t>MAT-09-058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Manómetro de glicerina de 90 PSI</t>
        </is>
      </c>
      <c r="E580" s="4" t="inlineStr">
        <is>
          <t>El de glicerina aguanta la vibración de la bomba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905</v>
      </c>
      <c r="L580" s="6" t="n">
        <v>905</v>
      </c>
      <c r="M580" s="6" t="n">
        <v>905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psi: 90 · tipo: de glicerina</t>
        </is>
      </c>
    </row>
    <row r="581">
      <c r="A581" s="3" t="inlineStr">
        <is>
          <t>MAT-09-059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Manómetro seco de 90 PSI</t>
        </is>
      </c>
      <c r="E581" s="4" t="inlineStr">
        <is>
          <t>El de glicerina aguanta la vibración de la bomba</t>
        </is>
      </c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407</v>
      </c>
      <c r="L581" s="6" t="n">
        <v>407</v>
      </c>
      <c r="M581" s="6" t="n">
        <v>407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psi: 90 · tipo: seco</t>
        </is>
      </c>
    </row>
    <row r="582">
      <c r="A582" s="3" t="inlineStr">
        <is>
          <t>MAT-09-060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a gas de 8 litros por minuto</t>
        </is>
      </c>
      <c r="E582" s="4" t="inlineStr">
        <is>
          <t>De paso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10670</v>
      </c>
      <c r="L582" s="6" t="n">
        <v>5395</v>
      </c>
      <c r="M582" s="6" t="n">
        <v>15945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a gas · capacidad: 8 litros por minuto</t>
        </is>
      </c>
    </row>
    <row r="583">
      <c r="A583" s="3" t="inlineStr">
        <is>
          <t>MAT-09-061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Calentador de agua eléctrico de 6 galones</t>
        </is>
      </c>
      <c r="E583" s="4" t="inlineStr">
        <is>
          <t>De acumulación</t>
        </is>
      </c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10291</v>
      </c>
      <c r="L583" s="6" t="n">
        <v>10291</v>
      </c>
      <c r="M583" s="6" t="n">
        <v>10291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F583" s="4" t="inlineStr">
        <is>
          <t>energia: eléctrico · capacidad: 6 galones</t>
        </is>
      </c>
    </row>
    <row r="584">
      <c r="A584" s="3" t="inlineStr">
        <is>
          <t>MAT-09-062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Calentador de agua eléctrico de 7 kW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20503</v>
      </c>
      <c r="L584" s="6" t="n">
        <v>20503</v>
      </c>
      <c r="M584" s="6" t="n">
        <v>20503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F584" s="4" t="inlineStr">
        <is>
          <t>energia: eléctrico · capacidad: 7 kW</t>
        </is>
      </c>
    </row>
    <row r="585">
      <c r="A585" s="3" t="inlineStr">
        <is>
          <t>MAT-09-063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Calentador de agua eléctrico de 8 galones</t>
        </is>
      </c>
      <c r="E585" s="4" t="inlineStr">
        <is>
          <t>De acumulación</t>
        </is>
      </c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11717</v>
      </c>
      <c r="L585" s="6" t="n">
        <v>11717</v>
      </c>
      <c r="M585" s="6" t="n">
        <v>11717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F585" s="4" t="inlineStr">
        <is>
          <t>energia: eléctrico · capacidad: 8 galones</t>
        </is>
      </c>
    </row>
    <row r="586">
      <c r="A586" s="3" t="inlineStr">
        <is>
          <t>MAT-09-064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120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17755</v>
      </c>
      <c r="L586" s="6" t="n">
        <v>17755</v>
      </c>
      <c r="M586" s="6" t="n">
        <v>17755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120</v>
      </c>
      <c r="AF586" s="4" t="inlineStr">
        <is>
          <t>material: fibra de vidrio</t>
        </is>
      </c>
    </row>
    <row r="587">
      <c r="A587" s="3" t="inlineStr">
        <is>
          <t>MAT-09-065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30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5101</v>
      </c>
      <c r="L587" s="6" t="n">
        <v>5101</v>
      </c>
      <c r="M587" s="6" t="n">
        <v>5101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30</v>
      </c>
      <c r="AF587" s="4" t="inlineStr">
        <is>
          <t>material: fibra de vidrio</t>
        </is>
      </c>
    </row>
    <row r="588">
      <c r="A588" s="3" t="inlineStr">
        <is>
          <t>MAT-09-066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Cisterna de fibra de vidrio de 42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10852</v>
      </c>
      <c r="L588" s="6" t="n">
        <v>7487</v>
      </c>
      <c r="M588" s="6" t="n">
        <v>14217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Ferretería Cima</t>
        </is>
      </c>
      <c r="AA588" s="7" t="n">
        <v>42</v>
      </c>
      <c r="AF588" s="4" t="inlineStr">
        <is>
          <t>material: fibra de vidrio</t>
        </is>
      </c>
    </row>
    <row r="589">
      <c r="A589" s="3" t="inlineStr">
        <is>
          <t>MAT-09-067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Cisterna de fibra de vidrio de 60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12989</v>
      </c>
      <c r="L589" s="6" t="n">
        <v>10496</v>
      </c>
      <c r="M589" s="6" t="n">
        <v>15482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Ferretería Cima</t>
        </is>
      </c>
      <c r="AA589" s="7" t="n">
        <v>60</v>
      </c>
      <c r="AF589" s="4" t="inlineStr">
        <is>
          <t>material: fibra de vidrio</t>
        </is>
      </c>
    </row>
    <row r="590">
      <c r="A590" s="3" t="inlineStr">
        <is>
          <t>MAT-09-068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Cisterna de fibra de vidrio de 82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9895</v>
      </c>
      <c r="L590" s="6" t="n">
        <v>9895</v>
      </c>
      <c r="M590" s="6" t="n">
        <v>9895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Ferretería Cima</t>
        </is>
      </c>
      <c r="AA590" s="7" t="n">
        <v>82</v>
      </c>
      <c r="AF590" s="4" t="inlineStr">
        <is>
          <t>material: fibra de vidrio</t>
        </is>
      </c>
    </row>
    <row r="591">
      <c r="A591" s="3" t="inlineStr">
        <is>
          <t>MAT-09-069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1000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35835</v>
      </c>
      <c r="L591" s="6" t="n">
        <v>35835</v>
      </c>
      <c r="M591" s="6" t="n">
        <v>35835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Bellón</t>
        </is>
      </c>
      <c r="AA591" s="7" t="n">
        <v>1000</v>
      </c>
    </row>
    <row r="592">
      <c r="A592" s="3" t="inlineStr">
        <is>
          <t>MAT-09-070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1100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41115</v>
      </c>
      <c r="L592" s="6" t="n">
        <v>41115</v>
      </c>
      <c r="M592" s="6" t="n">
        <v>41115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AA592" s="7" t="n">
        <v>1100</v>
      </c>
    </row>
    <row r="593">
      <c r="A593" s="3" t="inlineStr">
        <is>
          <t>MAT-09-071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145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5385</v>
      </c>
      <c r="L593" s="6" t="n">
        <v>4990</v>
      </c>
      <c r="M593" s="6" t="n">
        <v>5880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 · Max Ferretería</t>
        </is>
      </c>
      <c r="AA593" s="7" t="n">
        <v>145</v>
      </c>
    </row>
    <row r="594">
      <c r="A594" s="3" t="inlineStr">
        <is>
          <t>MAT-09-072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200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10469.3</v>
      </c>
      <c r="L594" s="6" t="n">
        <v>10469.3</v>
      </c>
      <c r="M594" s="6" t="n">
        <v>10469.3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AA594" s="7" t="n">
        <v>200</v>
      </c>
    </row>
    <row r="595">
      <c r="A595" s="3" t="inlineStr">
        <is>
          <t>MAT-09-073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215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6325</v>
      </c>
      <c r="L595" s="6" t="n">
        <v>6325</v>
      </c>
      <c r="M595" s="6" t="n">
        <v>6325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</t>
        </is>
      </c>
      <c r="AA595" s="7" t="n">
        <v>215</v>
      </c>
    </row>
    <row r="596">
      <c r="A596" s="3" t="inlineStr">
        <is>
          <t>MAT-09-074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250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7125</v>
      </c>
      <c r="L596" s="6" t="n">
        <v>7125</v>
      </c>
      <c r="M596" s="6" t="n">
        <v>7125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250</v>
      </c>
    </row>
    <row r="597">
      <c r="A597" s="3" t="inlineStr">
        <is>
          <t>MAT-09-075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255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8019.5</v>
      </c>
      <c r="L597" s="6" t="n">
        <v>7664</v>
      </c>
      <c r="M597" s="6" t="n">
        <v>8375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Ferremix (Grupo Alterra)</t>
        </is>
      </c>
      <c r="AA597" s="7" t="n">
        <v>255</v>
      </c>
    </row>
    <row r="598">
      <c r="A598" s="3" t="inlineStr">
        <is>
          <t>MAT-09-076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265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3</v>
      </c>
      <c r="K598" s="6" t="n">
        <v>8585</v>
      </c>
      <c r="L598" s="6" t="n">
        <v>8050</v>
      </c>
      <c r="M598" s="6" t="n">
        <v>9555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 · Ferretería Cima · Max Ferretería</t>
        </is>
      </c>
      <c r="AA598" s="7" t="n">
        <v>265</v>
      </c>
    </row>
    <row r="599">
      <c r="A599" s="3" t="inlineStr">
        <is>
          <t>MAT-09-077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295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8105</v>
      </c>
      <c r="L599" s="6" t="n">
        <v>8105</v>
      </c>
      <c r="M599" s="6" t="n">
        <v>8105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</t>
        </is>
      </c>
      <c r="AA599" s="7" t="n">
        <v>295</v>
      </c>
    </row>
    <row r="600">
      <c r="A600" s="3" t="inlineStr">
        <is>
          <t>MAT-09-078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300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9660</v>
      </c>
      <c r="L600" s="6" t="n">
        <v>7995</v>
      </c>
      <c r="M600" s="6" t="n">
        <v>10080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 · Max Ferretería</t>
        </is>
      </c>
      <c r="AA600" s="7" t="n">
        <v>300</v>
      </c>
    </row>
    <row r="601">
      <c r="A601" s="3" t="inlineStr">
        <is>
          <t>MAT-09-079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350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9335</v>
      </c>
      <c r="L601" s="6" t="n">
        <v>9335</v>
      </c>
      <c r="M601" s="6" t="n">
        <v>9335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350</v>
      </c>
    </row>
    <row r="602">
      <c r="A602" s="3" t="inlineStr">
        <is>
          <t>MAT-09-080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400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13140</v>
      </c>
      <c r="L602" s="6" t="n">
        <v>12125</v>
      </c>
      <c r="M602" s="6" t="n">
        <v>13300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Max Ferretería</t>
        </is>
      </c>
      <c r="AA602" s="7" t="n">
        <v>400</v>
      </c>
    </row>
    <row r="603">
      <c r="A603" s="3" t="inlineStr">
        <is>
          <t>MAT-09-081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500 galones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12940</v>
      </c>
      <c r="L603" s="6" t="n">
        <v>12940</v>
      </c>
      <c r="M603" s="6" t="n">
        <v>12940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Bellón</t>
        </is>
      </c>
      <c r="AA603" s="7" t="n">
        <v>500</v>
      </c>
    </row>
    <row r="604">
      <c r="A604" s="3" t="inlineStr">
        <is>
          <t>MAT-09-082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5000 galones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292790</v>
      </c>
      <c r="L604" s="6" t="n">
        <v>292790</v>
      </c>
      <c r="M604" s="6" t="n">
        <v>292790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Bellón</t>
        </is>
      </c>
      <c r="AA604" s="7" t="n">
        <v>5000</v>
      </c>
    </row>
    <row r="605">
      <c r="A605" s="3" t="inlineStr">
        <is>
          <t>MAT-09-083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530 galones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3</v>
      </c>
      <c r="K605" s="6" t="n">
        <v>15223.23</v>
      </c>
      <c r="L605" s="6" t="n">
        <v>14980</v>
      </c>
      <c r="M605" s="6" t="n">
        <v>18535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Bellón · Ferretería Cima · Max Ferretería</t>
        </is>
      </c>
      <c r="AA605" s="7" t="n">
        <v>530</v>
      </c>
    </row>
    <row r="606">
      <c r="A606" s="3" t="inlineStr">
        <is>
          <t>MAT-09-085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Tapa de cisterna de aluminio 24 x 24 pulgadas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3554</v>
      </c>
      <c r="L606" s="6" t="n">
        <v>3313</v>
      </c>
      <c r="M606" s="6" t="n">
        <v>3795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 · Max Ferretería</t>
        </is>
      </c>
      <c r="AF606" s="4" t="inlineStr">
        <is>
          <t>material: aluminio · medida: 24 x 24 pulgadas</t>
        </is>
      </c>
    </row>
    <row r="607">
      <c r="A607" s="3" t="inlineStr">
        <is>
          <t>MAT-09-086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Tapa de cisterna de aluminio 30 x 30 pulgadas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4624</v>
      </c>
      <c r="L607" s="6" t="n">
        <v>4503</v>
      </c>
      <c r="M607" s="6" t="n">
        <v>4745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 · Max Ferretería</t>
        </is>
      </c>
      <c r="AF607" s="4" t="inlineStr">
        <is>
          <t>material: aluminio · medida: 30 x 30 pulgadas</t>
        </is>
      </c>
    </row>
    <row r="608">
      <c r="A608" s="3" t="inlineStr">
        <is>
          <t>MAT-09-087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Tapa de cisterna de aluminio 33 x 33 pulgadas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3995</v>
      </c>
      <c r="L608" s="6" t="n">
        <v>3995</v>
      </c>
      <c r="M608" s="6" t="n">
        <v>3995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material: aluminio · medida: 33 x 33 pulgadas</t>
        </is>
      </c>
    </row>
    <row r="609">
      <c r="A609" s="3" t="inlineStr">
        <is>
          <t>MAT-09-088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Boya para válvula de cisterna, 120 mm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295</v>
      </c>
      <c r="L609" s="6" t="n">
        <v>295</v>
      </c>
      <c r="M609" s="6" t="n">
        <v>295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Ferretería Cima</t>
        </is>
      </c>
      <c r="AF609" s="4" t="inlineStr">
        <is>
          <t>medida_mm: 120</t>
        </is>
      </c>
    </row>
    <row r="610">
      <c r="A610" s="3" t="inlineStr">
        <is>
          <t>MAT-09-089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Boya para válvula de cisterna, 150 mm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375</v>
      </c>
      <c r="L610" s="6" t="n">
        <v>375</v>
      </c>
      <c r="M610" s="6" t="n">
        <v>375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medida_mm: 150</t>
        </is>
      </c>
    </row>
    <row r="611">
      <c r="A611" s="3" t="inlineStr">
        <is>
          <t>MAT-09-090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Boya para válvula de cisterna, 90 mm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160</v>
      </c>
      <c r="L611" s="6" t="n">
        <v>160</v>
      </c>
      <c r="M611" s="6" t="n">
        <v>160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Ferretería Cima</t>
        </is>
      </c>
      <c r="AF611" s="4" t="inlineStr">
        <is>
          <t>medida_mm: 90</t>
        </is>
      </c>
    </row>
    <row r="612">
      <c r="A612" s="3" t="inlineStr">
        <is>
          <t>MAT-09-091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10 x 9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4000</v>
      </c>
      <c r="L612" s="6" t="n">
        <v>4000</v>
      </c>
      <c r="M612" s="6" t="n">
        <v>4000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La Ibérica</t>
        </is>
      </c>
      <c r="AF612" s="4" t="inlineStr">
        <is>
          <t>pozos: 1 · medida: 10 x 9 pulgadas</t>
        </is>
      </c>
    </row>
    <row r="613">
      <c r="A613" s="3" t="inlineStr">
        <is>
          <t>MAT-09-092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15 x 15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1425</v>
      </c>
      <c r="L613" s="6" t="n">
        <v>1425</v>
      </c>
      <c r="M613" s="6" t="n">
        <v>1425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Ferretería Cima</t>
        </is>
      </c>
      <c r="AF613" s="4" t="inlineStr">
        <is>
          <t>pozos: 1 · medida: 15 x 15 pulgadas</t>
        </is>
      </c>
    </row>
    <row r="614">
      <c r="A614" s="3" t="inlineStr">
        <is>
          <t>MAT-09-093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16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3262.23</v>
      </c>
      <c r="L614" s="6" t="n">
        <v>3262.23</v>
      </c>
      <c r="M614" s="6" t="n">
        <v>3262.23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16 x 13 pulgadas</t>
        </is>
      </c>
    </row>
    <row r="615">
      <c r="A615" s="3" t="inlineStr">
        <is>
          <t>MAT-09-094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19 x 13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3248.99</v>
      </c>
      <c r="L615" s="6" t="n">
        <v>3248.99</v>
      </c>
      <c r="M615" s="6" t="n">
        <v>3248.99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19 x 13 pulgadas</t>
        </is>
      </c>
    </row>
    <row r="616">
      <c r="A616" s="3" t="inlineStr">
        <is>
          <t>MAT-09-095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20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19817.88</v>
      </c>
      <c r="L616" s="6" t="n">
        <v>19817.88</v>
      </c>
      <c r="M616" s="6" t="n">
        <v>19817.88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20 x 16 pulgadas</t>
        </is>
      </c>
    </row>
    <row r="617">
      <c r="A617" s="3" t="inlineStr">
        <is>
          <t>MAT-09-096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22 x 13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5428.74</v>
      </c>
      <c r="L617" s="6" t="n">
        <v>5428.74</v>
      </c>
      <c r="M617" s="6" t="n">
        <v>5428.74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22 x 13 pulgadas</t>
        </is>
      </c>
    </row>
    <row r="618">
      <c r="A618" s="3" t="inlineStr">
        <is>
          <t>MAT-09-097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24 x 19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18281.61</v>
      </c>
      <c r="L618" s="6" t="n">
        <v>18281.61</v>
      </c>
      <c r="M618" s="6" t="n">
        <v>18281.61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CerArte</t>
        </is>
      </c>
      <c r="AF618" s="4" t="inlineStr">
        <is>
          <t>pozos: 1 · medida: 24 x 19 pulgadas</t>
        </is>
      </c>
    </row>
    <row r="619">
      <c r="A619" s="3" t="inlineStr">
        <is>
          <t>MAT-09-098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28 x 16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21671.14</v>
      </c>
      <c r="L619" s="6" t="n">
        <v>21671.14</v>
      </c>
      <c r="M619" s="6" t="n">
        <v>21671.14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CerArte</t>
        </is>
      </c>
      <c r="AF619" s="4" t="inlineStr">
        <is>
          <t>pozos: 1 · medida: 28 x 16 pulgadas</t>
        </is>
      </c>
    </row>
    <row r="620">
      <c r="A620" s="3" t="inlineStr">
        <is>
          <t>MAT-09-099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29 x 16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28269.25</v>
      </c>
      <c r="L620" s="6" t="n">
        <v>28269.25</v>
      </c>
      <c r="M620" s="6" t="n">
        <v>28269.25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CerArte</t>
        </is>
      </c>
      <c r="AF620" s="4" t="inlineStr">
        <is>
          <t>pozos: 1 · medida: 29 x 16 pulgadas</t>
        </is>
      </c>
    </row>
    <row r="621">
      <c r="A621" s="3" t="inlineStr">
        <is>
          <t>MAT-09-100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31 x 20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1635</v>
      </c>
      <c r="L621" s="6" t="n">
        <v>1635</v>
      </c>
      <c r="M621" s="6" t="n">
        <v>1635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AF621" s="4" t="inlineStr">
        <is>
          <t>pozos: 1 · medida: 31 x 20 pulgadas</t>
        </is>
      </c>
    </row>
    <row r="622">
      <c r="A622" s="3" t="inlineStr">
        <is>
          <t>MAT-09-101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8 x 8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74.84999999999999</v>
      </c>
      <c r="L622" s="6" t="n">
        <v>74.84999999999999</v>
      </c>
      <c r="M622" s="6" t="n">
        <v>74.84999999999999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La Ibérica</t>
        </is>
      </c>
      <c r="AF622" s="4" t="inlineStr">
        <is>
          <t>pozos: 1 · medida: 8 x 8 pulgadas</t>
        </is>
      </c>
    </row>
    <row r="623">
      <c r="A623" s="3" t="inlineStr">
        <is>
          <t>MAT-09-102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9 x 7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5265.16</v>
      </c>
      <c r="L623" s="6" t="n">
        <v>5265.16</v>
      </c>
      <c r="M623" s="6" t="n">
        <v>5265.16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La Ibérica</t>
        </is>
      </c>
      <c r="AF623" s="4" t="inlineStr">
        <is>
          <t>pozos: 1 · medida: 9 x 7 pulgadas</t>
        </is>
      </c>
    </row>
    <row r="624">
      <c r="A624" s="3" t="inlineStr">
        <is>
          <t>MAT-09-103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medida estándar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3040</v>
      </c>
      <c r="L624" s="6" t="n">
        <v>3040</v>
      </c>
      <c r="M624" s="6" t="n">
        <v>3040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Ferretería Cima</t>
        </is>
      </c>
      <c r="AF624" s="4" t="inlineStr">
        <is>
          <t>pozos: 1 · medida: medida estándar</t>
        </is>
      </c>
    </row>
    <row r="625">
      <c r="A625" s="3" t="inlineStr">
        <is>
          <t>MAT-09-104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28 x 16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13423.68</v>
      </c>
      <c r="L625" s="6" t="n">
        <v>13423.68</v>
      </c>
      <c r="M625" s="6" t="n">
        <v>13423.68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28 x 16 pulgadas</t>
        </is>
      </c>
    </row>
    <row r="626">
      <c r="A626" s="3" t="inlineStr">
        <is>
          <t>MAT-09-105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31 x 18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37416.26</v>
      </c>
      <c r="L626" s="6" t="n">
        <v>21435.03</v>
      </c>
      <c r="M626" s="6" t="n">
        <v>53397.49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31 x 18 pulgadas</t>
        </is>
      </c>
    </row>
    <row r="627">
      <c r="A627" s="3" t="inlineStr">
        <is>
          <t>MAT-09-106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31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21066.29</v>
      </c>
      <c r="L627" s="6" t="n">
        <v>21066.29</v>
      </c>
      <c r="M627" s="6" t="n">
        <v>21066.29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CerArte</t>
        </is>
      </c>
      <c r="AF627" s="4" t="inlineStr">
        <is>
          <t>pozos: 2 · medida: 31 x 19 pulgadas</t>
        </is>
      </c>
    </row>
    <row r="628">
      <c r="A628" s="3" t="inlineStr">
        <is>
          <t>MAT-09-107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31 x 20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13464.3</v>
      </c>
      <c r="L628" s="6" t="n">
        <v>6601.13</v>
      </c>
      <c r="M628" s="6" t="n">
        <v>20327.47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CerArte</t>
        </is>
      </c>
      <c r="AF628" s="4" t="inlineStr">
        <is>
          <t>pozos: 2 · medida: 31 x 20 pulgadas</t>
        </is>
      </c>
    </row>
    <row r="629">
      <c r="A629" s="3" t="inlineStr">
        <is>
          <t>MAT-09-108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33 x 14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13176.46</v>
      </c>
      <c r="L629" s="6" t="n">
        <v>13176.46</v>
      </c>
      <c r="M629" s="6" t="n">
        <v>13176.46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CerArte</t>
        </is>
      </c>
      <c r="AF629" s="4" t="inlineStr">
        <is>
          <t>pozos: 2 · medida: 33 x 14 pulgadas</t>
        </is>
      </c>
    </row>
    <row r="630">
      <c r="A630" s="3" t="inlineStr">
        <is>
          <t>MAT-09-109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33 x 19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3285</v>
      </c>
      <c r="L630" s="6" t="n">
        <v>3285</v>
      </c>
      <c r="M630" s="6" t="n">
        <v>3285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Ferretería Cima</t>
        </is>
      </c>
      <c r="AF630" s="4" t="inlineStr">
        <is>
          <t>pozos: 2 · medida: 33 x 19 pulgadas</t>
        </is>
      </c>
    </row>
    <row r="631">
      <c r="A631" s="3" t="inlineStr">
        <is>
          <t>MAT-09-110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33 x 22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6540</v>
      </c>
      <c r="L631" s="6" t="n">
        <v>6540</v>
      </c>
      <c r="M631" s="6" t="n">
        <v>6540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Ferretería Cima</t>
        </is>
      </c>
      <c r="AF631" s="4" t="inlineStr">
        <is>
          <t>pozos: 2 · medida: 33 x 22 pulgadas</t>
        </is>
      </c>
    </row>
    <row r="632">
      <c r="A632" s="3" t="inlineStr">
        <is>
          <t>MAT-09-111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34 x 17 pulgadas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45860</v>
      </c>
      <c r="L632" s="6" t="n">
        <v>45860</v>
      </c>
      <c r="M632" s="6" t="n">
        <v>45860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La Ibérica</t>
        </is>
      </c>
      <c r="AF632" s="4" t="inlineStr">
        <is>
          <t>pozos: 2 · medida: 34 x 17 pulgadas</t>
        </is>
      </c>
    </row>
    <row r="633">
      <c r="A633" s="3" t="inlineStr">
        <is>
          <t>MAT-09-112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34 x 18 pulgadas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20289.07</v>
      </c>
      <c r="L633" s="6" t="n">
        <v>20289.07</v>
      </c>
      <c r="M633" s="6" t="n">
        <v>20289.07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CerArte</t>
        </is>
      </c>
      <c r="AF633" s="4" t="inlineStr">
        <is>
          <t>pozos: 2 · medida: 34 x 18 pulgadas</t>
        </is>
      </c>
    </row>
    <row r="634">
      <c r="A634" s="3" t="inlineStr">
        <is>
          <t>MAT-09-113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35 x 15 pulgadas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18400</v>
      </c>
      <c r="L634" s="6" t="n">
        <v>18400</v>
      </c>
      <c r="M634" s="6" t="n">
        <v>18400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2026-09-11</t>
        </is>
      </c>
      <c r="Q634" s="4" t="inlineStr">
        <is>
          <t>Carabela</t>
        </is>
      </c>
      <c r="AF634" s="4" t="inlineStr">
        <is>
          <t>pozos: 2 · medida: 35 x 15 pulgadas</t>
        </is>
      </c>
    </row>
    <row r="635">
      <c r="A635" s="3" t="inlineStr">
        <is>
          <t>MAT-09-114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2 pozos, 47 x 20 pulgadas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6672.5</v>
      </c>
      <c r="L635" s="6" t="n">
        <v>6665</v>
      </c>
      <c r="M635" s="6" t="n">
        <v>6680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2026-09-10</t>
        </is>
      </c>
      <c r="Q635" s="4" t="inlineStr">
        <is>
          <t>Ferremix (Grupo Alterra)</t>
        </is>
      </c>
      <c r="AF635" s="4" t="inlineStr">
        <is>
          <t>pozos: 2 · medida: 47 x 20 pulgadas</t>
        </is>
      </c>
    </row>
    <row r="636">
      <c r="A636" s="3" t="inlineStr">
        <is>
          <t>MAT-09-115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Llave de bebedero</t>
        </is>
      </c>
      <c r="E636" s="4" t="inlineStr">
        <is>
          <t>Plástico</t>
        </is>
      </c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217.5</v>
      </c>
      <c r="L636" s="6" t="n">
        <v>205</v>
      </c>
      <c r="M636" s="6" t="n">
        <v>256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Ferretería Cima</t>
        </is>
      </c>
    </row>
    <row r="637">
      <c r="A637" s="3" t="inlineStr">
        <is>
          <t>MAT-10-017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105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785</v>
      </c>
      <c r="L637" s="6" t="n">
        <v>785</v>
      </c>
      <c r="M637" s="6" t="n">
        <v>785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V637" s="7" t="inlineStr">
        <is>
          <t>E40</t>
        </is>
      </c>
      <c r="X637" s="7" t="inlineStr">
        <is>
          <t>ahorrador</t>
        </is>
      </c>
      <c r="AF637" s="4" t="inlineStr">
        <is>
          <t>potencia_w: 105 · temp_k: 6400</t>
        </is>
      </c>
    </row>
    <row r="638">
      <c r="A638" s="3" t="inlineStr">
        <is>
          <t>MAT-10-018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11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11 · temp_k: 2700</t>
        </is>
      </c>
    </row>
    <row r="639">
      <c r="A639" s="3" t="inlineStr">
        <is>
          <t>MAT-10-019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15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100</v>
      </c>
      <c r="L639" s="6" t="n">
        <v>100</v>
      </c>
      <c r="M639" s="6" t="n">
        <v>100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15</t>
        </is>
      </c>
    </row>
    <row r="640">
      <c r="A640" s="3" t="inlineStr">
        <is>
          <t>MAT-10-020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ahorrador de 25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100</v>
      </c>
      <c r="L640" s="6" t="n">
        <v>100</v>
      </c>
      <c r="M640" s="6" t="n">
        <v>127.12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X640" s="7" t="inlineStr">
        <is>
          <t>ahorrador</t>
        </is>
      </c>
      <c r="AF640" s="4" t="inlineStr">
        <is>
          <t>potencia_w: 25</t>
        </is>
      </c>
    </row>
    <row r="641">
      <c r="A641" s="3" t="inlineStr">
        <is>
          <t>MAT-10-021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ahorrador de 45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313.56</v>
      </c>
      <c r="L641" s="6" t="n">
        <v>313.56</v>
      </c>
      <c r="M641" s="6" t="n">
        <v>313.56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X641" s="7" t="inlineStr">
        <is>
          <t>ahorrador</t>
        </is>
      </c>
      <c r="AF641" s="4" t="inlineStr">
        <is>
          <t>potencia_w: 45</t>
        </is>
      </c>
    </row>
    <row r="642">
      <c r="A642" s="3" t="inlineStr">
        <is>
          <t>MAT-10-022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7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100</v>
      </c>
      <c r="L642" s="6" t="n">
        <v>100</v>
      </c>
      <c r="M642" s="6" t="n">
        <v>100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X642" s="7" t="inlineStr">
        <is>
          <t>ahorrador</t>
        </is>
      </c>
      <c r="AF642" s="4" t="inlineStr">
        <is>
          <t>potencia_w: 7 · temp_k: 6500</t>
        </is>
      </c>
    </row>
    <row r="643">
      <c r="A643" s="3" t="inlineStr">
        <is>
          <t>MAT-10-023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ahorrador de 85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795</v>
      </c>
      <c r="L643" s="6" t="n">
        <v>795</v>
      </c>
      <c r="M643" s="6" t="n">
        <v>795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X643" s="7" t="inlineStr">
        <is>
          <t>ahorrador</t>
        </is>
      </c>
      <c r="AF643" s="4" t="inlineStr">
        <is>
          <t>potencia_w: 85 · temp_k: 6400</t>
        </is>
      </c>
    </row>
    <row r="644">
      <c r="A644" s="3" t="inlineStr">
        <is>
          <t>MAT-10-024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11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95</v>
      </c>
      <c r="L644" s="6" t="n">
        <v>95</v>
      </c>
      <c r="M644" s="6" t="n">
        <v>95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Bellón</t>
        </is>
      </c>
      <c r="X644" s="7" t="inlineStr">
        <is>
          <t>bajo consumo</t>
        </is>
      </c>
      <c r="AF644" s="4" t="inlineStr">
        <is>
          <t>potencia_w: 11</t>
        </is>
      </c>
    </row>
    <row r="645">
      <c r="A645" s="3" t="inlineStr">
        <is>
          <t>MAT-10-025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13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102</v>
      </c>
      <c r="L645" s="6" t="n">
        <v>102</v>
      </c>
      <c r="M645" s="6" t="n">
        <v>102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</t>
        </is>
      </c>
      <c r="X645" s="7" t="inlineStr">
        <is>
          <t>bajo consumo</t>
        </is>
      </c>
      <c r="AF645" s="4" t="inlineStr">
        <is>
          <t>potencia_w: 13</t>
        </is>
      </c>
    </row>
    <row r="646">
      <c r="A646" s="3" t="inlineStr">
        <is>
          <t>MAT-10-026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bajo consumo de 15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115.5</v>
      </c>
      <c r="L646" s="6" t="n">
        <v>85</v>
      </c>
      <c r="M646" s="6" t="n">
        <v>187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bajo consumo</t>
        </is>
      </c>
      <c r="AF646" s="4" t="inlineStr">
        <is>
          <t>potencia_w: 15</t>
        </is>
      </c>
    </row>
    <row r="647">
      <c r="A647" s="3" t="inlineStr">
        <is>
          <t>MAT-10-027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bajo consumo de 20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2</v>
      </c>
      <c r="K647" s="6" t="n">
        <v>135</v>
      </c>
      <c r="L647" s="6" t="n">
        <v>110</v>
      </c>
      <c r="M647" s="6" t="n">
        <v>187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Bellón · Ferremix (Grupo Alterra)</t>
        </is>
      </c>
      <c r="X647" s="7" t="inlineStr">
        <is>
          <t>bajo consumo</t>
        </is>
      </c>
      <c r="AF647" s="4" t="inlineStr">
        <is>
          <t>potencia_w: 20</t>
        </is>
      </c>
    </row>
    <row r="648">
      <c r="A648" s="3" t="inlineStr">
        <is>
          <t>MAT-10-028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bajo consumo de 24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145</v>
      </c>
      <c r="L648" s="6" t="n">
        <v>145</v>
      </c>
      <c r="M648" s="6" t="n">
        <v>145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Ferremix (Grupo Alterra)</t>
        </is>
      </c>
      <c r="X648" s="7" t="inlineStr">
        <is>
          <t>bajo consumo</t>
        </is>
      </c>
      <c r="AF648" s="4" t="inlineStr">
        <is>
          <t>potencia_w: 24</t>
        </is>
      </c>
    </row>
    <row r="649">
      <c r="A649" s="3" t="inlineStr">
        <is>
          <t>MAT-10-029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bajo consumo de 45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595</v>
      </c>
      <c r="L649" s="6" t="n">
        <v>595</v>
      </c>
      <c r="M649" s="6" t="n">
        <v>595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</t>
        </is>
      </c>
      <c r="X649" s="7" t="inlineStr">
        <is>
          <t>bajo consumo</t>
        </is>
      </c>
      <c r="AF649" s="4" t="inlineStr">
        <is>
          <t>potencia_w: 45</t>
        </is>
      </c>
    </row>
    <row r="650">
      <c r="A650" s="3" t="inlineStr">
        <is>
          <t>MAT-10-030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halógeno de 50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2</v>
      </c>
      <c r="K650" s="6" t="n">
        <v>70</v>
      </c>
      <c r="L650" s="6" t="n">
        <v>59</v>
      </c>
      <c r="M650" s="6" t="n">
        <v>122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 · Ferremix (Grupo Alterra)</t>
        </is>
      </c>
      <c r="X650" s="7" t="inlineStr">
        <is>
          <t>halógeno</t>
        </is>
      </c>
      <c r="AF650" s="4" t="inlineStr">
        <is>
          <t>potencia_w: 50</t>
        </is>
      </c>
    </row>
    <row r="651">
      <c r="A651" s="3" t="inlineStr">
        <is>
          <t>MAT-10-031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halógeno de 75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234</v>
      </c>
      <c r="L651" s="6" t="n">
        <v>234</v>
      </c>
      <c r="M651" s="6" t="n">
        <v>234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</t>
        </is>
      </c>
      <c r="X651" s="7" t="inlineStr">
        <is>
          <t>halógeno</t>
        </is>
      </c>
      <c r="AF651" s="4" t="inlineStr">
        <is>
          <t>potencia_w: 75</t>
        </is>
      </c>
    </row>
    <row r="652">
      <c r="A652" s="3" t="inlineStr">
        <is>
          <t>MAT-10-032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100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41</v>
      </c>
      <c r="L652" s="6" t="n">
        <v>41</v>
      </c>
      <c r="M652" s="6" t="n">
        <v>41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</t>
        </is>
      </c>
      <c r="X652" s="7" t="inlineStr">
        <is>
          <t>incandescente</t>
        </is>
      </c>
      <c r="AF652" s="4" t="inlineStr">
        <is>
          <t>potencia_w: 100</t>
        </is>
      </c>
    </row>
    <row r="653">
      <c r="A653" s="3" t="inlineStr">
        <is>
          <t>MAT-10-033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11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50</v>
      </c>
      <c r="L653" s="6" t="n">
        <v>50</v>
      </c>
      <c r="M653" s="6" t="n">
        <v>50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Ferremix (Grupo Alterra)</t>
        </is>
      </c>
      <c r="X653" s="7" t="inlineStr">
        <is>
          <t>incandescente</t>
        </is>
      </c>
      <c r="AF653" s="4" t="inlineStr">
        <is>
          <t>potencia_w: 11</t>
        </is>
      </c>
    </row>
    <row r="654">
      <c r="A654" s="3" t="inlineStr">
        <is>
          <t>MAT-10-034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15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148</v>
      </c>
      <c r="L654" s="6" t="n">
        <v>148</v>
      </c>
      <c r="M654" s="6" t="n">
        <v>148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</t>
        </is>
      </c>
      <c r="X654" s="7" t="inlineStr">
        <is>
          <t>incandescente</t>
        </is>
      </c>
      <c r="AF654" s="4" t="inlineStr">
        <is>
          <t>potencia_w: 15</t>
        </is>
      </c>
    </row>
    <row r="655">
      <c r="A655" s="3" t="inlineStr">
        <is>
          <t>MAT-10-035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25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2</v>
      </c>
      <c r="K655" s="6" t="n">
        <v>106.5</v>
      </c>
      <c r="L655" s="6" t="n">
        <v>85</v>
      </c>
      <c r="M655" s="6" t="n">
        <v>247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 · Max Ferretería</t>
        </is>
      </c>
      <c r="X655" s="7" t="inlineStr">
        <is>
          <t>incandescente</t>
        </is>
      </c>
      <c r="AF655" s="4" t="inlineStr">
        <is>
          <t>potencia_w: 25</t>
        </is>
      </c>
    </row>
    <row r="656">
      <c r="A656" s="3" t="inlineStr">
        <is>
          <t>MAT-10-036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incandescente de 250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628</v>
      </c>
      <c r="L656" s="6" t="n">
        <v>628</v>
      </c>
      <c r="M656" s="6" t="n">
        <v>628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</t>
        </is>
      </c>
      <c r="X656" s="7" t="inlineStr">
        <is>
          <t>incandescente</t>
        </is>
      </c>
      <c r="AF656" s="4" t="inlineStr">
        <is>
          <t>potencia_w: 250</t>
        </is>
      </c>
    </row>
    <row r="657">
      <c r="A657" s="3" t="inlineStr">
        <is>
          <t>MAT-10-037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40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3</v>
      </c>
      <c r="K657" s="6" t="n">
        <v>122</v>
      </c>
      <c r="L657" s="6" t="n">
        <v>80</v>
      </c>
      <c r="M657" s="6" t="n">
        <v>475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 · Ferremix (Grupo Alterra) · Max Ferretería</t>
        </is>
      </c>
      <c r="X657" s="7" t="inlineStr">
        <is>
          <t>incandescente</t>
        </is>
      </c>
      <c r="AF657" s="4" t="inlineStr">
        <is>
          <t>potencia_w: 40</t>
        </is>
      </c>
    </row>
    <row r="658">
      <c r="A658" s="3" t="inlineStr">
        <is>
          <t>MAT-10-038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50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235.06</v>
      </c>
      <c r="L658" s="6" t="n">
        <v>235.06</v>
      </c>
      <c r="M658" s="6" t="n">
        <v>235.06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2026-09-09</t>
        </is>
      </c>
      <c r="Q658" s="4" t="inlineStr">
        <is>
          <t>Max Ferretería</t>
        </is>
      </c>
      <c r="V658" s="7" t="inlineStr">
        <is>
          <t>R20</t>
        </is>
      </c>
      <c r="X658" s="7" t="inlineStr">
        <is>
          <t>incandescente</t>
        </is>
      </c>
      <c r="AF658" s="4" t="inlineStr">
        <is>
          <t>potencia_w: 50</t>
        </is>
      </c>
    </row>
    <row r="659">
      <c r="A659" s="3" t="inlineStr">
        <is>
          <t>MAT-10-039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incandescente de 75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42</v>
      </c>
      <c r="L659" s="6" t="n">
        <v>42</v>
      </c>
      <c r="M659" s="6" t="n">
        <v>42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Bellón</t>
        </is>
      </c>
      <c r="X659" s="7" t="inlineStr">
        <is>
          <t>incandescente</t>
        </is>
      </c>
      <c r="AF659" s="4" t="inlineStr">
        <is>
          <t>potencia_w: 75</t>
        </is>
      </c>
    </row>
    <row r="660">
      <c r="A660" s="3" t="inlineStr">
        <is>
          <t>MAT-10-041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1.2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40</v>
      </c>
      <c r="L660" s="6" t="n">
        <v>40</v>
      </c>
      <c r="M660" s="6" t="n">
        <v>40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2026-09-09</t>
        </is>
      </c>
      <c r="Q660" s="4" t="inlineStr">
        <is>
          <t>Max Ferretería</t>
        </is>
      </c>
      <c r="X660" s="7" t="inlineStr">
        <is>
          <t>LED</t>
        </is>
      </c>
      <c r="AF660" s="4" t="inlineStr">
        <is>
          <t>potencia_w: 1.2</t>
        </is>
      </c>
    </row>
    <row r="661">
      <c r="A661" s="3" t="inlineStr">
        <is>
          <t>MAT-10-042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1.6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648.5</v>
      </c>
      <c r="L661" s="6" t="n">
        <v>530</v>
      </c>
      <c r="M661" s="6" t="n">
        <v>767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</t>
        </is>
      </c>
      <c r="X661" s="7" t="inlineStr">
        <is>
          <t>led</t>
        </is>
      </c>
      <c r="AF661" s="4" t="inlineStr">
        <is>
          <t>potencia_w: 1.6</t>
        </is>
      </c>
    </row>
    <row r="662">
      <c r="A662" s="3" t="inlineStr">
        <is>
          <t>MAT-10-043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10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3</v>
      </c>
      <c r="K662" s="6" t="n">
        <v>215</v>
      </c>
      <c r="L662" s="6" t="n">
        <v>159</v>
      </c>
      <c r="M662" s="6" t="n">
        <v>674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 · Ferremix (Grupo Alterra) · Max Ferretería</t>
        </is>
      </c>
      <c r="V662" s="7" t="inlineStr">
        <is>
          <t>A60</t>
        </is>
      </c>
      <c r="AF662" s="4" t="inlineStr">
        <is>
          <t>potencia_w: 10 · temp_k: 3000</t>
        </is>
      </c>
    </row>
    <row r="663">
      <c r="A663" s="3" t="inlineStr">
        <is>
          <t>MAT-10-044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100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1825</v>
      </c>
      <c r="L663" s="6" t="n">
        <v>1825</v>
      </c>
      <c r="M663" s="6" t="n">
        <v>1825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</t>
        </is>
      </c>
      <c r="X663" s="7" t="inlineStr">
        <is>
          <t>led</t>
        </is>
      </c>
      <c r="AF663" s="4" t="inlineStr">
        <is>
          <t>potencia_w: 100</t>
        </is>
      </c>
    </row>
    <row r="664">
      <c r="A664" s="3" t="inlineStr">
        <is>
          <t>MAT-10-045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11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2</v>
      </c>
      <c r="K664" s="6" t="n">
        <v>515</v>
      </c>
      <c r="L664" s="6" t="n">
        <v>190</v>
      </c>
      <c r="M664" s="6" t="n">
        <v>930.01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Max Ferretería</t>
        </is>
      </c>
      <c r="AF664" s="4" t="inlineStr">
        <is>
          <t>potencia_w: 11</t>
        </is>
      </c>
    </row>
    <row r="665">
      <c r="A665" s="3" t="inlineStr">
        <is>
          <t>MAT-10-046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12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4</v>
      </c>
      <c r="K665" s="6" t="n">
        <v>202</v>
      </c>
      <c r="L665" s="6" t="n">
        <v>60</v>
      </c>
      <c r="M665" s="6" t="n">
        <v>945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Bellón · Ferremix (Grupo Alterra) · Max Ferretería · Mundo LED</t>
        </is>
      </c>
      <c r="V665" s="7" t="inlineStr">
        <is>
          <t>A60</t>
        </is>
      </c>
      <c r="AF665" s="4" t="inlineStr">
        <is>
          <t>potencia_w: 12</t>
        </is>
      </c>
    </row>
    <row r="666">
      <c r="A666" s="3" t="inlineStr">
        <is>
          <t>MAT-10-047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125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295</v>
      </c>
      <c r="L666" s="6" t="n">
        <v>295</v>
      </c>
      <c r="M666" s="6" t="n">
        <v>295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Ferremix (Grupo Alterra)</t>
        </is>
      </c>
      <c r="X666" s="7" t="inlineStr">
        <is>
          <t>led</t>
        </is>
      </c>
      <c r="AF666" s="4" t="inlineStr">
        <is>
          <t>potencia_w: 125</t>
        </is>
      </c>
    </row>
    <row r="667">
      <c r="A667" s="3" t="inlineStr">
        <is>
          <t>MAT-10-048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13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1</v>
      </c>
      <c r="K667" s="6" t="n">
        <v>245</v>
      </c>
      <c r="L667" s="6" t="n">
        <v>245</v>
      </c>
      <c r="M667" s="6" t="n">
        <v>245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</t>
        </is>
      </c>
      <c r="X667" s="7" t="inlineStr">
        <is>
          <t>led</t>
        </is>
      </c>
      <c r="AF667" s="4" t="inlineStr">
        <is>
          <t>potencia_w: 13</t>
        </is>
      </c>
    </row>
    <row r="668">
      <c r="A668" s="3" t="inlineStr">
        <is>
          <t>MAT-10-049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14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3</v>
      </c>
      <c r="K668" s="6" t="n">
        <v>240</v>
      </c>
      <c r="L668" s="6" t="n">
        <v>69</v>
      </c>
      <c r="M668" s="6" t="n">
        <v>1058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Ferremix (Grupo Alterra) · Max Ferretería</t>
        </is>
      </c>
      <c r="AF668" s="4" t="inlineStr">
        <is>
          <t>potencia_w: 14 · temp_k: 6500</t>
        </is>
      </c>
    </row>
    <row r="669">
      <c r="A669" s="3" t="inlineStr">
        <is>
          <t>MAT-10-050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15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3</v>
      </c>
      <c r="K669" s="6" t="n">
        <v>140</v>
      </c>
      <c r="L669" s="6" t="n">
        <v>35</v>
      </c>
      <c r="M669" s="6" t="n">
        <v>200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Max Ferretería · Mundo LED</t>
        </is>
      </c>
      <c r="AF669" s="4" t="inlineStr">
        <is>
          <t>potencia_w: 15</t>
        </is>
      </c>
    </row>
    <row r="670">
      <c r="A670" s="3" t="inlineStr">
        <is>
          <t>MAT-10-051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18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3</v>
      </c>
      <c r="K670" s="6" t="n">
        <v>132</v>
      </c>
      <c r="L670" s="6" t="n">
        <v>95</v>
      </c>
      <c r="M670" s="6" t="n">
        <v>260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Bellón · Ferremix (Grupo Alterra) · Max Ferretería</t>
        </is>
      </c>
      <c r="AF670" s="4" t="inlineStr">
        <is>
          <t>potencia_w: 18 · temp_k: 4000</t>
        </is>
      </c>
    </row>
    <row r="671">
      <c r="A671" s="3" t="inlineStr">
        <is>
          <t>MAT-10-052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2</v>
      </c>
      <c r="K671" s="6" t="n">
        <v>265</v>
      </c>
      <c r="L671" s="6" t="n">
        <v>250</v>
      </c>
      <c r="M671" s="6" t="n">
        <v>265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 · Ferremix (Grupo Alterra)</t>
        </is>
      </c>
      <c r="X671" s="7" t="inlineStr">
        <is>
          <t>led</t>
        </is>
      </c>
      <c r="AF671" s="4" t="inlineStr">
        <is>
          <t>potencia_w: 2</t>
        </is>
      </c>
    </row>
    <row r="672">
      <c r="A672" s="3" t="inlineStr">
        <is>
          <t>MAT-10-053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2.5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2</v>
      </c>
      <c r="K672" s="6" t="n">
        <v>265</v>
      </c>
      <c r="L672" s="6" t="n">
        <v>265</v>
      </c>
      <c r="M672" s="6" t="n">
        <v>310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Max Ferretería</t>
        </is>
      </c>
      <c r="V672" s="7" t="inlineStr">
        <is>
          <t>G9</t>
        </is>
      </c>
      <c r="AF672" s="4" t="inlineStr">
        <is>
          <t>potencia_w: 2.5 · temp_k: 6500</t>
        </is>
      </c>
    </row>
    <row r="673">
      <c r="A673" s="3" t="inlineStr">
        <is>
          <t>MAT-10-054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20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2</v>
      </c>
      <c r="K673" s="6" t="n">
        <v>222.5</v>
      </c>
      <c r="L673" s="6" t="n">
        <v>149</v>
      </c>
      <c r="M673" s="6" t="n">
        <v>280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Bellón · Ferremix (Grupo Alterra)</t>
        </is>
      </c>
      <c r="X673" s="7" t="inlineStr">
        <is>
          <t>led</t>
        </is>
      </c>
      <c r="AF673" s="4" t="inlineStr">
        <is>
          <t>potencia_w: 20</t>
        </is>
      </c>
    </row>
    <row r="674">
      <c r="A674" s="3" t="inlineStr">
        <is>
          <t>MAT-10-055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25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214</v>
      </c>
      <c r="L674" s="6" t="n">
        <v>199</v>
      </c>
      <c r="M674" s="6" t="n">
        <v>229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Ferremix (Grupo Alterra)</t>
        </is>
      </c>
      <c r="X674" s="7" t="inlineStr">
        <is>
          <t>led</t>
        </is>
      </c>
      <c r="AF674" s="4" t="inlineStr">
        <is>
          <t>potencia_w: 25</t>
        </is>
      </c>
    </row>
    <row r="675">
      <c r="A675" s="3" t="inlineStr">
        <is>
          <t>MAT-10-056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28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1</v>
      </c>
      <c r="K675" s="6" t="n">
        <v>455</v>
      </c>
      <c r="L675" s="6" t="n">
        <v>455</v>
      </c>
      <c r="M675" s="6" t="n">
        <v>455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</t>
        </is>
      </c>
      <c r="X675" s="7" t="inlineStr">
        <is>
          <t>led</t>
        </is>
      </c>
      <c r="AF675" s="4" t="inlineStr">
        <is>
          <t>potencia_w: 28</t>
        </is>
      </c>
    </row>
    <row r="676">
      <c r="A676" s="3" t="inlineStr">
        <is>
          <t>MAT-10-057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3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4</v>
      </c>
      <c r="K676" s="6" t="n">
        <v>150</v>
      </c>
      <c r="L676" s="6" t="n">
        <v>50</v>
      </c>
      <c r="M676" s="6" t="n">
        <v>218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Ferremix (Grupo Alterra) · Max Ferretería · Mundo LED</t>
        </is>
      </c>
      <c r="AF676" s="4" t="inlineStr">
        <is>
          <t>potencia_w: 3 · temp_k: 3000</t>
        </is>
      </c>
    </row>
    <row r="677">
      <c r="A677" s="3" t="inlineStr">
        <is>
          <t>MAT-10-058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3.5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474.36</v>
      </c>
      <c r="L677" s="6" t="n">
        <v>474.36</v>
      </c>
      <c r="M677" s="6" t="n">
        <v>474.36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Ferremix (Grupo Alterra)</t>
        </is>
      </c>
      <c r="X677" s="7" t="inlineStr">
        <is>
          <t>led</t>
        </is>
      </c>
      <c r="AF677" s="4" t="inlineStr">
        <is>
          <t>potencia_w: 3.5</t>
        </is>
      </c>
    </row>
    <row r="678">
      <c r="A678" s="3" t="inlineStr">
        <is>
          <t>MAT-10-059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30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2</v>
      </c>
      <c r="K678" s="6" t="n">
        <v>385</v>
      </c>
      <c r="L678" s="6" t="n">
        <v>123</v>
      </c>
      <c r="M678" s="6" t="n">
        <v>596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Bellón · Max Ferretería</t>
        </is>
      </c>
      <c r="AF678" s="4" t="inlineStr">
        <is>
          <t>potencia_w: 30</t>
        </is>
      </c>
    </row>
    <row r="679">
      <c r="A679" s="3" t="inlineStr">
        <is>
          <t>MAT-10-060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35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2</v>
      </c>
      <c r="K679" s="6" t="n">
        <v>767</v>
      </c>
      <c r="L679" s="6" t="n">
        <v>339</v>
      </c>
      <c r="M679" s="6" t="n">
        <v>1195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Ferremix (Grupo Alterra) · Max Ferretería</t>
        </is>
      </c>
      <c r="AF679" s="4" t="inlineStr">
        <is>
          <t>potencia_w: 35</t>
        </is>
      </c>
    </row>
    <row r="680">
      <c r="A680" s="3" t="inlineStr">
        <is>
          <t>MAT-10-061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4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3</v>
      </c>
      <c r="K680" s="6" t="n">
        <v>180</v>
      </c>
      <c r="L680" s="6" t="n">
        <v>64.98999999999999</v>
      </c>
      <c r="M680" s="6" t="n">
        <v>1349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 · Max Ferretería · Mundo LED</t>
        </is>
      </c>
      <c r="AF680" s="4" t="inlineStr">
        <is>
          <t>potencia_w: 4</t>
        </is>
      </c>
    </row>
    <row r="681">
      <c r="A681" s="3" t="inlineStr">
        <is>
          <t>MAT-10-062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4.9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105</v>
      </c>
      <c r="L681" s="6" t="n">
        <v>105</v>
      </c>
      <c r="M681" s="6" t="n">
        <v>105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X681" s="7" t="inlineStr">
        <is>
          <t>LED</t>
        </is>
      </c>
      <c r="AF681" s="4" t="inlineStr">
        <is>
          <t>potencia_w: 4.9 · temp_k: 6500</t>
        </is>
      </c>
    </row>
    <row r="682">
      <c r="A682" s="3" t="inlineStr">
        <is>
          <t>MAT-10-063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40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3</v>
      </c>
      <c r="K682" s="6" t="n">
        <v>500</v>
      </c>
      <c r="L682" s="6" t="n">
        <v>470</v>
      </c>
      <c r="M682" s="6" t="n">
        <v>880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</t>
        </is>
      </c>
      <c r="AF682" s="4" t="inlineStr">
        <is>
          <t>potencia_w: 40</t>
        </is>
      </c>
    </row>
    <row r="683">
      <c r="A683" s="3" t="inlineStr">
        <is>
          <t>MAT-10-064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5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4</v>
      </c>
      <c r="K683" s="6" t="n">
        <v>180</v>
      </c>
      <c r="L683" s="6" t="n">
        <v>47.45</v>
      </c>
      <c r="M683" s="6" t="n">
        <v>500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Ferremix (Grupo Alterra) · Max Ferretería · Mundo LED</t>
        </is>
      </c>
      <c r="V683" s="7" t="inlineStr">
        <is>
          <t>MR16</t>
        </is>
      </c>
      <c r="AF683" s="4" t="inlineStr">
        <is>
          <t>potencia_w: 5</t>
        </is>
      </c>
    </row>
    <row r="684">
      <c r="A684" s="3" t="inlineStr">
        <is>
          <t>MAT-10-065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50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2</v>
      </c>
      <c r="K684" s="6" t="n">
        <v>492.5</v>
      </c>
      <c r="L684" s="6" t="n">
        <v>166</v>
      </c>
      <c r="M684" s="6" t="n">
        <v>1115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Bellón · Max Ferretería</t>
        </is>
      </c>
      <c r="AF684" s="4" t="inlineStr">
        <is>
          <t>potencia_w: 50</t>
        </is>
      </c>
    </row>
    <row r="685">
      <c r="A685" s="3" t="inlineStr">
        <is>
          <t>MAT-10-066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55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1724.99</v>
      </c>
      <c r="L685" s="6" t="n">
        <v>1724.99</v>
      </c>
      <c r="M685" s="6" t="n">
        <v>1724.99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2026-09-09</t>
        </is>
      </c>
      <c r="Q685" s="4" t="inlineStr">
        <is>
          <t>Max Ferretería</t>
        </is>
      </c>
      <c r="X685" s="7" t="inlineStr">
        <is>
          <t>LED</t>
        </is>
      </c>
      <c r="AF685" s="4" t="inlineStr">
        <is>
          <t>potencia_w: 55</t>
        </is>
      </c>
    </row>
    <row r="686">
      <c r="A686" s="3" t="inlineStr">
        <is>
          <t>MAT-10-067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6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4</v>
      </c>
      <c r="K686" s="6" t="n">
        <v>185</v>
      </c>
      <c r="L686" s="6" t="n">
        <v>65</v>
      </c>
      <c r="M686" s="6" t="n">
        <v>674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 · Ferremix (Grupo Alterra) · Max Ferretería · Mundo LED</t>
        </is>
      </c>
      <c r="AF686" s="4" t="inlineStr">
        <is>
          <t>potencia_w: 6</t>
        </is>
      </c>
    </row>
    <row r="687">
      <c r="A687" s="3" t="inlineStr">
        <is>
          <t>MAT-10-068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6.5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370</v>
      </c>
      <c r="L687" s="6" t="n">
        <v>370</v>
      </c>
      <c r="M687" s="6" t="n">
        <v>370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</t>
        </is>
      </c>
      <c r="X687" s="7" t="inlineStr">
        <is>
          <t>led</t>
        </is>
      </c>
      <c r="AF687" s="4" t="inlineStr">
        <is>
          <t>potencia_w: 6.5</t>
        </is>
      </c>
    </row>
    <row r="688">
      <c r="A688" s="3" t="inlineStr">
        <is>
          <t>MAT-10-069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65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341</v>
      </c>
      <c r="L688" s="6" t="n">
        <v>341</v>
      </c>
      <c r="M688" s="6" t="n">
        <v>341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</t>
        </is>
      </c>
      <c r="X688" s="7" t="inlineStr">
        <is>
          <t>led</t>
        </is>
      </c>
      <c r="AF688" s="4" t="inlineStr">
        <is>
          <t>potencia_w: 65</t>
        </is>
      </c>
    </row>
    <row r="689">
      <c r="A689" s="3" t="inlineStr">
        <is>
          <t>MAT-10-070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7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3</v>
      </c>
      <c r="K689" s="6" t="n">
        <v>103</v>
      </c>
      <c r="L689" s="6" t="n">
        <v>77</v>
      </c>
      <c r="M689" s="6" t="n">
        <v>360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2026-09-10</t>
        </is>
      </c>
      <c r="Q689" s="4" t="inlineStr">
        <is>
          <t>Bellón · Max Ferretería · Mundo LED</t>
        </is>
      </c>
      <c r="AF689" s="4" t="inlineStr">
        <is>
          <t>potencia_w: 7</t>
        </is>
      </c>
    </row>
    <row r="690">
      <c r="A690" s="3" t="inlineStr">
        <is>
          <t>MAT-10-071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8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3</v>
      </c>
      <c r="K690" s="6" t="n">
        <v>220</v>
      </c>
      <c r="L690" s="6" t="n">
        <v>75</v>
      </c>
      <c r="M690" s="6" t="n">
        <v>553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2026-09-10</t>
        </is>
      </c>
      <c r="Q690" s="4" t="inlineStr">
        <is>
          <t>Bellón · Ferremix (Grupo Alterra) · Mundo LED</t>
        </is>
      </c>
      <c r="X690" s="7" t="inlineStr">
        <is>
          <t>led</t>
        </is>
      </c>
      <c r="AF690" s="4" t="inlineStr">
        <is>
          <t>potencia_w: 8</t>
        </is>
      </c>
    </row>
    <row r="691">
      <c r="A691" s="3" t="inlineStr">
        <is>
          <t>MAT-10-072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9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4</v>
      </c>
      <c r="K691" s="6" t="n">
        <v>105</v>
      </c>
      <c r="L691" s="6" t="n">
        <v>77</v>
      </c>
      <c r="M691" s="6" t="n">
        <v>660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 · Ferremix (Grupo Alterra) · Max Ferretería · Mundo LED</t>
        </is>
      </c>
      <c r="AF691" s="4" t="inlineStr">
        <is>
          <t>potencia_w: 9 · temp_k: 6500</t>
        </is>
      </c>
    </row>
    <row r="692">
      <c r="A692" s="3" t="inlineStr">
        <is>
          <t>MAT-10-073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9.5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182</v>
      </c>
      <c r="L692" s="6" t="n">
        <v>171</v>
      </c>
      <c r="M692" s="6" t="n">
        <v>634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2026-09-10</t>
        </is>
      </c>
      <c r="Q692" s="4" t="inlineStr">
        <is>
          <t>Bellón</t>
        </is>
      </c>
      <c r="X692" s="7" t="inlineStr">
        <is>
          <t>led</t>
        </is>
      </c>
      <c r="AF692" s="4" t="inlineStr">
        <is>
          <t>potencia_w: 9.5</t>
        </is>
      </c>
    </row>
    <row r="693">
      <c r="A693" s="3" t="inlineStr">
        <is>
          <t>MAT-10-074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cuadrado de 18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340.01</v>
      </c>
      <c r="L693" s="6" t="n">
        <v>340.01</v>
      </c>
      <c r="M693" s="6" t="n">
        <v>340.01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cuadrado</t>
        </is>
      </c>
      <c r="S693" s="7" t="inlineStr">
        <is>
          <t>empotrado</t>
        </is>
      </c>
      <c r="AF693" s="4" t="inlineStr">
        <is>
          <t>potencia_w: 18 · temp_k: 6500</t>
        </is>
      </c>
    </row>
    <row r="694">
      <c r="A694" s="3" t="inlineStr">
        <is>
          <t>MAT-10-075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empotrado cuadrado de 3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240</v>
      </c>
      <c r="L694" s="6" t="n">
        <v>240</v>
      </c>
      <c r="M694" s="6" t="n">
        <v>240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R694" s="7" t="inlineStr">
        <is>
          <t>cuadrado</t>
        </is>
      </c>
      <c r="S694" s="7" t="inlineStr">
        <is>
          <t>empotrado</t>
        </is>
      </c>
      <c r="AF694" s="4" t="inlineStr">
        <is>
          <t>potencia_w: 3 · temp_k: 3000</t>
        </is>
      </c>
    </row>
    <row r="695">
      <c r="A695" s="3" t="inlineStr">
        <is>
          <t>MAT-10-076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empotrado redondo de 12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304.99</v>
      </c>
      <c r="L695" s="6" t="n">
        <v>304.99</v>
      </c>
      <c r="M695" s="6" t="n">
        <v>304.99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R695" s="7" t="inlineStr">
        <is>
          <t>redondo</t>
        </is>
      </c>
      <c r="S695" s="7" t="inlineStr">
        <is>
          <t>empotrado</t>
        </is>
      </c>
      <c r="AF695" s="4" t="inlineStr">
        <is>
          <t>potencia_w: 12 · temp_k: 6500</t>
        </is>
      </c>
    </row>
    <row r="696">
      <c r="A696" s="3" t="inlineStr">
        <is>
          <t>MAT-10-077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empotrado redondo de 18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290</v>
      </c>
      <c r="L696" s="6" t="n">
        <v>290</v>
      </c>
      <c r="M696" s="6" t="n">
        <v>290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R696" s="7" t="inlineStr">
        <is>
          <t>redondo</t>
        </is>
      </c>
      <c r="S696" s="7" t="inlineStr">
        <is>
          <t>empotrado</t>
        </is>
      </c>
      <c r="AF696" s="4" t="inlineStr">
        <is>
          <t>potencia_w: 18 · temp_k: 6500</t>
        </is>
      </c>
    </row>
    <row r="697">
      <c r="A697" s="3" t="inlineStr">
        <is>
          <t>MAT-10-078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empotrado redondo de 24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650</v>
      </c>
      <c r="L697" s="6" t="n">
        <v>650</v>
      </c>
      <c r="M697" s="6" t="n">
        <v>650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R697" s="7" t="inlineStr">
        <is>
          <t>redondo</t>
        </is>
      </c>
      <c r="S697" s="7" t="inlineStr">
        <is>
          <t>empotrado</t>
        </is>
      </c>
      <c r="AF697" s="4" t="inlineStr">
        <is>
          <t>potencia_w: 24 · temp_k: 6500</t>
        </is>
      </c>
    </row>
    <row r="698">
      <c r="A698" s="3" t="inlineStr">
        <is>
          <t>MAT-10-079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10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845</v>
      </c>
      <c r="L698" s="6" t="n">
        <v>845</v>
      </c>
      <c r="M698" s="6" t="n">
        <v>845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10</t>
        </is>
      </c>
    </row>
    <row r="699">
      <c r="A699" s="3" t="inlineStr">
        <is>
          <t>MAT-10-080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11.5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926</v>
      </c>
      <c r="L699" s="6" t="n">
        <v>465</v>
      </c>
      <c r="M699" s="6" t="n">
        <v>1330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11.5</t>
        </is>
      </c>
    </row>
    <row r="700">
      <c r="A700" s="3" t="inlineStr">
        <is>
          <t>MAT-10-081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12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2</v>
      </c>
      <c r="K700" s="6" t="n">
        <v>245</v>
      </c>
      <c r="L700" s="6" t="n">
        <v>170</v>
      </c>
      <c r="M700" s="6" t="n">
        <v>430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 · Ferremix (Grupo Alterra)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12</t>
        </is>
      </c>
    </row>
    <row r="701">
      <c r="A701" s="3" t="inlineStr">
        <is>
          <t>MAT-10-082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15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1764</v>
      </c>
      <c r="L701" s="6" t="n">
        <v>1764</v>
      </c>
      <c r="M701" s="6" t="n">
        <v>1764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15</t>
        </is>
      </c>
    </row>
    <row r="702">
      <c r="A702" s="3" t="inlineStr">
        <is>
          <t>MAT-10-083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18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2</v>
      </c>
      <c r="K702" s="6" t="n">
        <v>439.5</v>
      </c>
      <c r="L702" s="6" t="n">
        <v>349</v>
      </c>
      <c r="M702" s="6" t="n">
        <v>599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 · Ferremix (Grupo Alterra)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18</t>
        </is>
      </c>
    </row>
    <row r="703">
      <c r="A703" s="3" t="inlineStr">
        <is>
          <t>MAT-10-084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22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665</v>
      </c>
      <c r="L703" s="6" t="n">
        <v>665</v>
      </c>
      <c r="M703" s="6" t="n">
        <v>665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22</t>
        </is>
      </c>
    </row>
    <row r="704">
      <c r="A704" s="3" t="inlineStr">
        <is>
          <t>MAT-10-085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24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699</v>
      </c>
      <c r="L704" s="6" t="n">
        <v>699</v>
      </c>
      <c r="M704" s="6" t="n">
        <v>699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24</t>
        </is>
      </c>
    </row>
    <row r="705">
      <c r="A705" s="3" t="inlineStr">
        <is>
          <t>MAT-10-086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3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265</v>
      </c>
      <c r="L705" s="6" t="n">
        <v>265</v>
      </c>
      <c r="M705" s="6" t="n">
        <v>265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3</t>
        </is>
      </c>
    </row>
    <row r="706">
      <c r="A706" s="3" t="inlineStr">
        <is>
          <t>MAT-10-087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36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2</v>
      </c>
      <c r="K706" s="6" t="n">
        <v>1077</v>
      </c>
      <c r="L706" s="6" t="n">
        <v>1050</v>
      </c>
      <c r="M706" s="6" t="n">
        <v>1104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 · Mundo LED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36</t>
        </is>
      </c>
    </row>
    <row r="707">
      <c r="A707" s="3" t="inlineStr">
        <is>
          <t>MAT-10-088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4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245</v>
      </c>
      <c r="L707" s="6" t="n">
        <v>245</v>
      </c>
      <c r="M707" s="6" t="n">
        <v>245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4</t>
        </is>
      </c>
    </row>
    <row r="708">
      <c r="A708" s="3" t="inlineStr">
        <is>
          <t>MAT-10-089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40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1475</v>
      </c>
      <c r="L708" s="6" t="n">
        <v>1150</v>
      </c>
      <c r="M708" s="6" t="n">
        <v>2500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Mundo LED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40</t>
        </is>
      </c>
    </row>
    <row r="709">
      <c r="A709" s="3" t="inlineStr">
        <is>
          <t>MAT-10-090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6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2</v>
      </c>
      <c r="K709" s="6" t="n">
        <v>241</v>
      </c>
      <c r="L709" s="6" t="n">
        <v>159</v>
      </c>
      <c r="M709" s="6" t="n">
        <v>285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 · Ferremix (Grupo Alterra)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6</t>
        </is>
      </c>
    </row>
    <row r="710">
      <c r="A710" s="3" t="inlineStr">
        <is>
          <t>MAT-10-091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7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895.5</v>
      </c>
      <c r="L710" s="6" t="n">
        <v>880</v>
      </c>
      <c r="M710" s="6" t="n">
        <v>911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7</t>
        </is>
      </c>
    </row>
    <row r="711">
      <c r="A711" s="3" t="inlineStr">
        <is>
          <t>MAT-10-092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7.8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530.5</v>
      </c>
      <c r="L711" s="6" t="n">
        <v>405</v>
      </c>
      <c r="M711" s="6" t="n">
        <v>656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7.8</t>
        </is>
      </c>
    </row>
    <row r="712">
      <c r="A712" s="3" t="inlineStr">
        <is>
          <t>MAT-10-093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cuadrado de 9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1054</v>
      </c>
      <c r="L712" s="6" t="n">
        <v>1044</v>
      </c>
      <c r="M712" s="6" t="n">
        <v>1064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cuadrado</t>
        </is>
      </c>
      <c r="S712" s="7" t="inlineStr">
        <is>
          <t>empotrar</t>
        </is>
      </c>
      <c r="AF712" s="4" t="inlineStr">
        <is>
          <t>potencia_w: 9</t>
        </is>
      </c>
    </row>
    <row r="713">
      <c r="A713" s="3" t="inlineStr">
        <is>
          <t>MAT-10-094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11.5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516.5</v>
      </c>
      <c r="L713" s="6" t="n">
        <v>465</v>
      </c>
      <c r="M713" s="6" t="n">
        <v>568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11.5</t>
        </is>
      </c>
    </row>
    <row r="714">
      <c r="A714" s="3" t="inlineStr">
        <is>
          <t>MAT-10-095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11.6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1552</v>
      </c>
      <c r="L714" s="6" t="n">
        <v>1552</v>
      </c>
      <c r="M714" s="6" t="n">
        <v>1552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11.6</t>
        </is>
      </c>
    </row>
    <row r="715">
      <c r="A715" s="3" t="inlineStr">
        <is>
          <t>MAT-10-096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12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3</v>
      </c>
      <c r="K715" s="6" t="n">
        <v>350</v>
      </c>
      <c r="L715" s="6" t="n">
        <v>135</v>
      </c>
      <c r="M715" s="6" t="n">
        <v>992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Bellón · Ferremix (Grupo Alterra) · 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12</t>
        </is>
      </c>
    </row>
    <row r="716">
      <c r="A716" s="3" t="inlineStr">
        <is>
          <t>MAT-10-097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15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232</v>
      </c>
      <c r="L716" s="6" t="n">
        <v>232</v>
      </c>
      <c r="M716" s="6" t="n">
        <v>232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Mundo LED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15</t>
        </is>
      </c>
    </row>
    <row r="717">
      <c r="A717" s="3" t="inlineStr">
        <is>
          <t>MAT-10-098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18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3</v>
      </c>
      <c r="K717" s="6" t="n">
        <v>381</v>
      </c>
      <c r="L717" s="6" t="n">
        <v>205</v>
      </c>
      <c r="M717" s="6" t="n">
        <v>1313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 · Ferremix (Grupo Alterra) · Mundo LED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18</t>
        </is>
      </c>
    </row>
    <row r="718">
      <c r="A718" s="3" t="inlineStr">
        <is>
          <t>MAT-10-099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22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786</v>
      </c>
      <c r="L718" s="6" t="n">
        <v>660</v>
      </c>
      <c r="M718" s="6" t="n">
        <v>912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22</t>
        </is>
      </c>
    </row>
    <row r="719">
      <c r="A719" s="3" t="inlineStr">
        <is>
          <t>MAT-10-100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24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2</v>
      </c>
      <c r="K719" s="6" t="n">
        <v>514</v>
      </c>
      <c r="L719" s="6" t="n">
        <v>295</v>
      </c>
      <c r="M719" s="6" t="n">
        <v>744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 · Mundo LED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24</t>
        </is>
      </c>
    </row>
    <row r="720">
      <c r="A720" s="3" t="inlineStr">
        <is>
          <t>MAT-10-101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25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646.5</v>
      </c>
      <c r="L720" s="6" t="n">
        <v>630</v>
      </c>
      <c r="M720" s="6" t="n">
        <v>663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25</t>
        </is>
      </c>
    </row>
    <row r="721">
      <c r="A721" s="3" t="inlineStr">
        <is>
          <t>MAT-10-102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3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2</v>
      </c>
      <c r="K721" s="6" t="n">
        <v>142.5</v>
      </c>
      <c r="L721" s="6" t="n">
        <v>90</v>
      </c>
      <c r="M721" s="6" t="n">
        <v>502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 · Mundo LED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3</t>
        </is>
      </c>
    </row>
    <row r="722">
      <c r="A722" s="3" t="inlineStr">
        <is>
          <t>MAT-10-103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36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808</v>
      </c>
      <c r="L722" s="6" t="n">
        <v>808</v>
      </c>
      <c r="M722" s="6" t="n">
        <v>808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36</t>
        </is>
      </c>
    </row>
    <row r="723">
      <c r="A723" s="3" t="inlineStr">
        <is>
          <t>MAT-10-104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4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280</v>
      </c>
      <c r="L723" s="6" t="n">
        <v>245</v>
      </c>
      <c r="M723" s="6" t="n">
        <v>315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Bellón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4</t>
        </is>
      </c>
    </row>
    <row r="724">
      <c r="A724" s="3" t="inlineStr">
        <is>
          <t>MAT-10-105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40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1600</v>
      </c>
      <c r="L724" s="6" t="n">
        <v>1600</v>
      </c>
      <c r="M724" s="6" t="n">
        <v>1600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Mundo LED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40</t>
        </is>
      </c>
    </row>
    <row r="725">
      <c r="A725" s="3" t="inlineStr">
        <is>
          <t>MAT-10-106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5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159</v>
      </c>
      <c r="L725" s="6" t="n">
        <v>159</v>
      </c>
      <c r="M725" s="6" t="n">
        <v>159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Ferremix (Grupo Alterra)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5</t>
        </is>
      </c>
    </row>
    <row r="726">
      <c r="A726" s="3" t="inlineStr">
        <is>
          <t>MAT-10-107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6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3</v>
      </c>
      <c r="K726" s="6" t="n">
        <v>189</v>
      </c>
      <c r="L726" s="6" t="n">
        <v>95</v>
      </c>
      <c r="M726" s="6" t="n">
        <v>624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 · Ferremix (Grupo Alterra) · Mundo LED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6</t>
        </is>
      </c>
    </row>
    <row r="727">
      <c r="A727" s="3" t="inlineStr">
        <is>
          <t>MAT-10-108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7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219</v>
      </c>
      <c r="L727" s="6" t="n">
        <v>219</v>
      </c>
      <c r="M727" s="6" t="n">
        <v>219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Ferremix (Grupo Alterra)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7</t>
        </is>
      </c>
    </row>
    <row r="728">
      <c r="A728" s="3" t="inlineStr">
        <is>
          <t>MAT-10-109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7.8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385</v>
      </c>
      <c r="L728" s="6" t="n">
        <v>335</v>
      </c>
      <c r="M728" s="6" t="n">
        <v>435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7.8</t>
        </is>
      </c>
    </row>
    <row r="729">
      <c r="A729" s="3" t="inlineStr">
        <is>
          <t>MAT-10-110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8.5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1268</v>
      </c>
      <c r="L729" s="6" t="n">
        <v>1268</v>
      </c>
      <c r="M729" s="6" t="n">
        <v>1268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8.5</t>
        </is>
      </c>
    </row>
    <row r="730">
      <c r="A730" s="3" t="inlineStr">
        <is>
          <t>MAT-10-111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9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2</v>
      </c>
      <c r="K730" s="6" t="n">
        <v>310</v>
      </c>
      <c r="L730" s="6" t="n">
        <v>120</v>
      </c>
      <c r="M730" s="6" t="n">
        <v>893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 · Mundo LED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9</t>
        </is>
      </c>
    </row>
    <row r="731">
      <c r="A731" s="3" t="inlineStr">
        <is>
          <t>MAT-10-112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9.8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859</v>
      </c>
      <c r="L731" s="6" t="n">
        <v>859</v>
      </c>
      <c r="M731" s="6" t="n">
        <v>859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redondo</t>
        </is>
      </c>
      <c r="S731" s="7" t="inlineStr">
        <is>
          <t>empotrar</t>
        </is>
      </c>
      <c r="AF731" s="4" t="inlineStr">
        <is>
          <t>potencia_w: 9.8</t>
        </is>
      </c>
    </row>
    <row r="732">
      <c r="A732" s="3" t="inlineStr">
        <is>
          <t>MAT-10-113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10.5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2536</v>
      </c>
      <c r="L732" s="6" t="n">
        <v>2536</v>
      </c>
      <c r="M732" s="6" t="n">
        <v>2536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10.5</t>
        </is>
      </c>
    </row>
    <row r="733">
      <c r="A733" s="3" t="inlineStr">
        <is>
          <t>MAT-10-114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11.5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535</v>
      </c>
      <c r="L733" s="6" t="n">
        <v>535</v>
      </c>
      <c r="M733" s="6" t="n">
        <v>535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11.5</t>
        </is>
      </c>
    </row>
    <row r="734">
      <c r="A734" s="3" t="inlineStr">
        <is>
          <t>MAT-10-115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12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390</v>
      </c>
      <c r="L734" s="6" t="n">
        <v>220</v>
      </c>
      <c r="M734" s="6" t="n">
        <v>400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12</t>
        </is>
      </c>
    </row>
    <row r="735">
      <c r="A735" s="3" t="inlineStr">
        <is>
          <t>MAT-10-116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18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390</v>
      </c>
      <c r="L735" s="6" t="n">
        <v>305</v>
      </c>
      <c r="M735" s="6" t="n">
        <v>505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18</t>
        </is>
      </c>
    </row>
    <row r="736">
      <c r="A736" s="3" t="inlineStr">
        <is>
          <t>MAT-10-117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cuadrado de 22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760</v>
      </c>
      <c r="L736" s="6" t="n">
        <v>760</v>
      </c>
      <c r="M736" s="6" t="n">
        <v>760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cuadrado</t>
        </is>
      </c>
      <c r="S736" s="7" t="inlineStr">
        <is>
          <t>sobreponer</t>
        </is>
      </c>
      <c r="AF736" s="4" t="inlineStr">
        <is>
          <t>potencia_w: 22</t>
        </is>
      </c>
    </row>
    <row r="737">
      <c r="A737" s="3" t="inlineStr">
        <is>
          <t>MAT-10-118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24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695</v>
      </c>
      <c r="L737" s="6" t="n">
        <v>695</v>
      </c>
      <c r="M737" s="6" t="n">
        <v>695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24</t>
        </is>
      </c>
    </row>
    <row r="738">
      <c r="A738" s="3" t="inlineStr">
        <is>
          <t>MAT-10-119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36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1242</v>
      </c>
      <c r="L738" s="6" t="n">
        <v>1242</v>
      </c>
      <c r="M738" s="6" t="n">
        <v>1242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36</t>
        </is>
      </c>
    </row>
    <row r="739">
      <c r="A739" s="3" t="inlineStr">
        <is>
          <t>MAT-10-120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cuadrado de 6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375</v>
      </c>
      <c r="L739" s="6" t="n">
        <v>375</v>
      </c>
      <c r="M739" s="6" t="n">
        <v>375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cuadrado</t>
        </is>
      </c>
      <c r="S739" s="7" t="inlineStr">
        <is>
          <t>sobreponer</t>
        </is>
      </c>
      <c r="AF739" s="4" t="inlineStr">
        <is>
          <t>potencia_w: 6</t>
        </is>
      </c>
    </row>
    <row r="740">
      <c r="A740" s="3" t="inlineStr">
        <is>
          <t>MAT-10-121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10.5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2048.5</v>
      </c>
      <c r="L740" s="6" t="n">
        <v>1910</v>
      </c>
      <c r="M740" s="6" t="n">
        <v>2187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10.5</t>
        </is>
      </c>
    </row>
    <row r="741">
      <c r="A741" s="3" t="inlineStr">
        <is>
          <t>MAT-10-122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11.5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525</v>
      </c>
      <c r="L741" s="6" t="n">
        <v>525</v>
      </c>
      <c r="M741" s="6" t="n">
        <v>525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11.5</t>
        </is>
      </c>
    </row>
    <row r="742">
      <c r="A742" s="3" t="inlineStr">
        <is>
          <t>MAT-10-123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12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343</v>
      </c>
      <c r="L742" s="6" t="n">
        <v>175</v>
      </c>
      <c r="M742" s="6" t="n">
        <v>1086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 · Ferremix (Grupo Alterra)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12</t>
        </is>
      </c>
    </row>
    <row r="743">
      <c r="A743" s="3" t="inlineStr">
        <is>
          <t>MAT-10-124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18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2</v>
      </c>
      <c r="K743" s="6" t="n">
        <v>464</v>
      </c>
      <c r="L743" s="6" t="n">
        <v>235</v>
      </c>
      <c r="M743" s="6" t="n">
        <v>1462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 · Ferremix (Grupo Alterra)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18</t>
        </is>
      </c>
    </row>
    <row r="744">
      <c r="A744" s="3" t="inlineStr">
        <is>
          <t>MAT-10-125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22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780</v>
      </c>
      <c r="L744" s="6" t="n">
        <v>735</v>
      </c>
      <c r="M744" s="6" t="n">
        <v>825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22</t>
        </is>
      </c>
    </row>
    <row r="745">
      <c r="A745" s="3" t="inlineStr">
        <is>
          <t>MAT-10-126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24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2</v>
      </c>
      <c r="K745" s="6" t="n">
        <v>519</v>
      </c>
      <c r="L745" s="6" t="n">
        <v>390</v>
      </c>
      <c r="M745" s="6" t="n">
        <v>903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 · Ferremix (Grupo Alterra)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24</t>
        </is>
      </c>
    </row>
    <row r="746">
      <c r="A746" s="3" t="inlineStr">
        <is>
          <t>MAT-10-127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25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595</v>
      </c>
      <c r="L746" s="6" t="n">
        <v>595</v>
      </c>
      <c r="M746" s="6" t="n">
        <v>595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25</t>
        </is>
      </c>
    </row>
    <row r="747">
      <c r="A747" s="3" t="inlineStr">
        <is>
          <t>MAT-10-128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36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1290</v>
      </c>
      <c r="L747" s="6" t="n">
        <v>1290</v>
      </c>
      <c r="M747" s="6" t="n">
        <v>1290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36</t>
        </is>
      </c>
    </row>
    <row r="748">
      <c r="A748" s="3" t="inlineStr">
        <is>
          <t>MAT-10-129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6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327</v>
      </c>
      <c r="L748" s="6" t="n">
        <v>276</v>
      </c>
      <c r="M748" s="6" t="n">
        <v>732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6</t>
        </is>
      </c>
    </row>
    <row r="749">
      <c r="A749" s="3" t="inlineStr">
        <is>
          <t>MAT-10-130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sobreponer redondo de 7.8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395</v>
      </c>
      <c r="L749" s="6" t="n">
        <v>395</v>
      </c>
      <c r="M749" s="6" t="n">
        <v>395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</t>
        </is>
      </c>
      <c r="R749" s="7" t="inlineStr">
        <is>
          <t>redondo</t>
        </is>
      </c>
      <c r="S749" s="7" t="inlineStr">
        <is>
          <t>sobreponer</t>
        </is>
      </c>
      <c r="AF749" s="4" t="inlineStr">
        <is>
          <t>potencia_w: 7.8</t>
        </is>
      </c>
    </row>
    <row r="750">
      <c r="A750" s="3" t="inlineStr">
        <is>
          <t>MAT-10-131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Luminaria empotrada dirigible cuadrada</t>
        </is>
      </c>
      <c r="E750" s="4" t="inlineStr">
        <is>
          <t>Sin bombillo · se compra aparte</t>
        </is>
      </c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190</v>
      </c>
      <c r="L750" s="6" t="n">
        <v>190</v>
      </c>
      <c r="M750" s="6" t="n">
        <v>255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Max Ferretería</t>
        </is>
      </c>
      <c r="R750" s="7" t="inlineStr">
        <is>
          <t>cuadrada</t>
        </is>
      </c>
      <c r="AF750" s="4" t="inlineStr">
        <is>
          <t>tipo: dirigible</t>
        </is>
      </c>
    </row>
    <row r="751">
      <c r="A751" s="3" t="inlineStr">
        <is>
          <t>MAT-10-132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Luminaria empotrada dirigible redonda</t>
        </is>
      </c>
      <c r="E751" s="4" t="inlineStr">
        <is>
          <t>Sin bombillo · se compra aparte</t>
        </is>
      </c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252.5</v>
      </c>
      <c r="L751" s="6" t="n">
        <v>190</v>
      </c>
      <c r="M751" s="6" t="n">
        <v>270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Max Ferretería</t>
        </is>
      </c>
      <c r="R751" s="7" t="inlineStr">
        <is>
          <t>redonda</t>
        </is>
      </c>
      <c r="AF751" s="4" t="inlineStr">
        <is>
          <t>tipo: dirigible</t>
        </is>
      </c>
    </row>
    <row r="752">
      <c r="A752" s="3" t="inlineStr">
        <is>
          <t>MAT-10-133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Lámpara de emergencia recargable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1015</v>
      </c>
      <c r="L752" s="6" t="n">
        <v>1015</v>
      </c>
      <c r="M752" s="6" t="n">
        <v>1015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Max Ferretería</t>
        </is>
      </c>
    </row>
    <row r="753">
      <c r="A753" s="3" t="inlineStr">
        <is>
          <t>MAT-10-134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4</v>
      </c>
      <c r="K753" s="6" t="n">
        <v>632</v>
      </c>
      <c r="L753" s="6" t="n">
        <v>397.34</v>
      </c>
      <c r="M753" s="6" t="n">
        <v>2575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Ferremix (Grupo Alterra) · Max Ferretería · Mundo LED</t>
        </is>
      </c>
      <c r="AF753" s="4" t="inlineStr">
        <is>
          <t>potencia_w: 10 · temp_k: 6500</t>
        </is>
      </c>
    </row>
    <row r="754">
      <c r="A754" s="3" t="inlineStr">
        <is>
          <t>MAT-10-135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100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3</v>
      </c>
      <c r="K754" s="6" t="n">
        <v>1990</v>
      </c>
      <c r="L754" s="6" t="n">
        <v>1500</v>
      </c>
      <c r="M754" s="6" t="n">
        <v>10518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 · Max Ferretería · Mundo LED</t>
        </is>
      </c>
      <c r="AF754" s="4" t="inlineStr">
        <is>
          <t>potencia_w: 100 · temp_k: 3000</t>
        </is>
      </c>
    </row>
    <row r="755">
      <c r="A755" s="3" t="inlineStr">
        <is>
          <t>MAT-10-136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14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815</v>
      </c>
      <c r="L755" s="6" t="n">
        <v>815</v>
      </c>
      <c r="M755" s="6" t="n">
        <v>815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</t>
        </is>
      </c>
      <c r="AF755" s="4" t="inlineStr">
        <is>
          <t>potencia_w: 14</t>
        </is>
      </c>
    </row>
    <row r="756">
      <c r="A756" s="3" t="inlineStr">
        <is>
          <t>MAT-10-137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150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2</v>
      </c>
      <c r="K756" s="6" t="n">
        <v>3990</v>
      </c>
      <c r="L756" s="6" t="n">
        <v>1818</v>
      </c>
      <c r="M756" s="6" t="n">
        <v>9835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 · Mundo LED</t>
        </is>
      </c>
      <c r="AF756" s="4" t="inlineStr">
        <is>
          <t>potencia_w: 150</t>
        </is>
      </c>
    </row>
    <row r="757">
      <c r="A757" s="3" t="inlineStr">
        <is>
          <t>MAT-10-138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16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2207</v>
      </c>
      <c r="L757" s="6" t="n">
        <v>2207</v>
      </c>
      <c r="M757" s="6" t="n">
        <v>2207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16</t>
        </is>
      </c>
    </row>
    <row r="758">
      <c r="A758" s="3" t="inlineStr">
        <is>
          <t>MAT-10-139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18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1062</v>
      </c>
      <c r="L758" s="6" t="n">
        <v>1062</v>
      </c>
      <c r="M758" s="6" t="n">
        <v>1062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</t>
        </is>
      </c>
      <c r="AF758" s="4" t="inlineStr">
        <is>
          <t>potencia_w: 18</t>
        </is>
      </c>
    </row>
    <row r="759">
      <c r="A759" s="3" t="inlineStr">
        <is>
          <t>MAT-10-140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20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2</v>
      </c>
      <c r="K759" s="6" t="n">
        <v>1066.5</v>
      </c>
      <c r="L759" s="6" t="n">
        <v>462.51</v>
      </c>
      <c r="M759" s="6" t="n">
        <v>1260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Ferremix (Grupo Alterra)</t>
        </is>
      </c>
      <c r="AF759" s="4" t="inlineStr">
        <is>
          <t>potencia_w: 20</t>
        </is>
      </c>
    </row>
    <row r="760">
      <c r="A760" s="3" t="inlineStr">
        <is>
          <t>MAT-10-141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200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3</v>
      </c>
      <c r="K760" s="6" t="n">
        <v>6750</v>
      </c>
      <c r="L760" s="6" t="n">
        <v>2335</v>
      </c>
      <c r="M760" s="6" t="n">
        <v>10351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Bellón · Max Ferretería · Mundo LED</t>
        </is>
      </c>
      <c r="AF760" s="4" t="inlineStr">
        <is>
          <t>potencia_w: 200 · temp_k: 6500</t>
        </is>
      </c>
    </row>
    <row r="761">
      <c r="A761" s="3" t="inlineStr">
        <is>
          <t>MAT-10-142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23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455</v>
      </c>
      <c r="L761" s="6" t="n">
        <v>455</v>
      </c>
      <c r="M761" s="6" t="n">
        <v>455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F761" s="4" t="inlineStr">
        <is>
          <t>potencia_w: 23 · temp_k: 2700</t>
        </is>
      </c>
    </row>
    <row r="762">
      <c r="A762" s="3" t="inlineStr">
        <is>
          <t>MAT-10-143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250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580</v>
      </c>
      <c r="L762" s="6" t="n">
        <v>280</v>
      </c>
      <c r="M762" s="6" t="n">
        <v>880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Max Ferretería</t>
        </is>
      </c>
      <c r="AF762" s="4" t="inlineStr">
        <is>
          <t>potencia_w: 250</t>
        </is>
      </c>
    </row>
    <row r="763">
      <c r="A763" s="3" t="inlineStr">
        <is>
          <t>MAT-10-144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30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3</v>
      </c>
      <c r="K763" s="6" t="n">
        <v>1145</v>
      </c>
      <c r="L763" s="6" t="n">
        <v>475</v>
      </c>
      <c r="M763" s="6" t="n">
        <v>2191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Bellón · Max Ferretería · Mundo LED</t>
        </is>
      </c>
      <c r="AF763" s="4" t="inlineStr">
        <is>
          <t>potencia_w: 30 · temp_k: 3000</t>
        </is>
      </c>
    </row>
    <row r="764">
      <c r="A764" s="3" t="inlineStr">
        <is>
          <t>MAT-10-145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300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7800</v>
      </c>
      <c r="L764" s="6" t="n">
        <v>5100</v>
      </c>
      <c r="M764" s="6" t="n">
        <v>10500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Mundo LED</t>
        </is>
      </c>
      <c r="AF764" s="4" t="inlineStr">
        <is>
          <t>potencia_w: 300</t>
        </is>
      </c>
    </row>
    <row r="765">
      <c r="A765" s="3" t="inlineStr">
        <is>
          <t>MAT-10-146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4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221.5</v>
      </c>
      <c r="L765" s="6" t="n">
        <v>88</v>
      </c>
      <c r="M765" s="6" t="n">
        <v>1195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Bellón</t>
        </is>
      </c>
      <c r="AF765" s="4" t="inlineStr">
        <is>
          <t>potencia_w: 4</t>
        </is>
      </c>
    </row>
    <row r="766">
      <c r="A766" s="3" t="inlineStr">
        <is>
          <t>MAT-10-147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400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2</v>
      </c>
      <c r="K766" s="6" t="n">
        <v>7058</v>
      </c>
      <c r="L766" s="6" t="n">
        <v>5900</v>
      </c>
      <c r="M766" s="6" t="n">
        <v>14000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 · Mundo LED</t>
        </is>
      </c>
      <c r="AF766" s="4" t="inlineStr">
        <is>
          <t>potencia_w: 400</t>
        </is>
      </c>
    </row>
    <row r="767">
      <c r="A767" s="3" t="inlineStr">
        <is>
          <t>MAT-10-148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5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95</v>
      </c>
      <c r="L767" s="6" t="n">
        <v>93</v>
      </c>
      <c r="M767" s="6" t="n">
        <v>487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</t>
        </is>
      </c>
      <c r="AF767" s="4" t="inlineStr">
        <is>
          <t>potencia_w: 5</t>
        </is>
      </c>
    </row>
    <row r="768">
      <c r="A768" s="3" t="inlineStr">
        <is>
          <t>MAT-10-149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50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3</v>
      </c>
      <c r="K768" s="6" t="n">
        <v>1136</v>
      </c>
      <c r="L768" s="6" t="n">
        <v>645.63</v>
      </c>
      <c r="M768" s="6" t="n">
        <v>3683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Bellón · Max Ferretería · Mundo LED</t>
        </is>
      </c>
      <c r="AF768" s="4" t="inlineStr">
        <is>
          <t>potencia_w: 50 · temp_k: 3000</t>
        </is>
      </c>
    </row>
    <row r="769">
      <c r="A769" s="3" t="inlineStr">
        <is>
          <t>MAT-10-150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500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18000</v>
      </c>
      <c r="L769" s="6" t="n">
        <v>18000</v>
      </c>
      <c r="M769" s="6" t="n">
        <v>18000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Mundo LED</t>
        </is>
      </c>
      <c r="AF769" s="4" t="inlineStr">
        <is>
          <t>potencia_w: 500</t>
        </is>
      </c>
    </row>
    <row r="770">
      <c r="A770" s="3" t="inlineStr">
        <is>
          <t>MAT-10-151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55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12101</v>
      </c>
      <c r="L770" s="6" t="n">
        <v>12101</v>
      </c>
      <c r="M770" s="6" t="n">
        <v>12101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Bellón</t>
        </is>
      </c>
      <c r="AF770" s="4" t="inlineStr">
        <is>
          <t>potencia_w: 55</t>
        </is>
      </c>
    </row>
    <row r="771">
      <c r="A771" s="3" t="inlineStr">
        <is>
          <t>MAT-10-152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6.5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472</v>
      </c>
      <c r="L771" s="6" t="n">
        <v>472</v>
      </c>
      <c r="M771" s="6" t="n">
        <v>472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Bellón</t>
        </is>
      </c>
      <c r="AF771" s="4" t="inlineStr">
        <is>
          <t>potencia_w: 6.5</t>
        </is>
      </c>
    </row>
    <row r="772">
      <c r="A772" s="3" t="inlineStr">
        <is>
          <t>MAT-10-153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8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280</v>
      </c>
      <c r="L772" s="6" t="n">
        <v>120</v>
      </c>
      <c r="M772" s="6" t="n">
        <v>877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Bellón</t>
        </is>
      </c>
      <c r="AF772" s="4" t="inlineStr">
        <is>
          <t>potencia_w: 8</t>
        </is>
      </c>
    </row>
    <row r="773">
      <c r="A773" s="3" t="inlineStr">
        <is>
          <t>MAT-10-154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8.5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319</v>
      </c>
      <c r="L773" s="6" t="n">
        <v>319</v>
      </c>
      <c r="M773" s="6" t="n">
        <v>319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Bellón</t>
        </is>
      </c>
      <c r="AF773" s="4" t="inlineStr">
        <is>
          <t>potencia_w: 8.5</t>
        </is>
      </c>
    </row>
    <row r="774">
      <c r="A774" s="3" t="inlineStr">
        <is>
          <t>MAT-10-156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11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699</v>
      </c>
      <c r="L774" s="6" t="n">
        <v>699</v>
      </c>
      <c r="M774" s="6" t="n">
        <v>699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Ferremix (Grupo Alterra)</t>
        </is>
      </c>
      <c r="AF774" s="4" t="inlineStr">
        <is>
          <t>potencia_w: 11</t>
        </is>
      </c>
    </row>
    <row r="775">
      <c r="A775" s="3" t="inlineStr">
        <is>
          <t>MAT-10-157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12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142</v>
      </c>
      <c r="L775" s="6" t="n">
        <v>142</v>
      </c>
      <c r="M775" s="6" t="n">
        <v>142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2026-09-10</t>
        </is>
      </c>
      <c r="Q775" s="4" t="inlineStr">
        <is>
          <t>Mundo LED</t>
        </is>
      </c>
      <c r="AF775" s="4" t="inlineStr">
        <is>
          <t>potencia_w: 12</t>
        </is>
      </c>
    </row>
    <row r="776">
      <c r="A776" s="3" t="inlineStr">
        <is>
          <t>MAT-10-158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16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249.99</v>
      </c>
      <c r="L776" s="6" t="n">
        <v>249.99</v>
      </c>
      <c r="M776" s="6" t="n">
        <v>249.99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Max Ferretería</t>
        </is>
      </c>
      <c r="AF776" s="4" t="inlineStr">
        <is>
          <t>potencia_w: 16</t>
        </is>
      </c>
    </row>
    <row r="777">
      <c r="A777" s="3" t="inlineStr">
        <is>
          <t>MAT-10-159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18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177</v>
      </c>
      <c r="L777" s="6" t="n">
        <v>170</v>
      </c>
      <c r="M777" s="6" t="n">
        <v>500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Mundo LED</t>
        </is>
      </c>
      <c r="AF777" s="4" t="inlineStr">
        <is>
          <t>potencia_w: 18</t>
        </is>
      </c>
    </row>
    <row r="778">
      <c r="A778" s="3" t="inlineStr">
        <is>
          <t>MAT-10-160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19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785</v>
      </c>
      <c r="L778" s="6" t="n">
        <v>785</v>
      </c>
      <c r="M778" s="6" t="n">
        <v>785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Ferremix (Grupo Alterra)</t>
        </is>
      </c>
      <c r="AF778" s="4" t="inlineStr">
        <is>
          <t>potencia_w: 19</t>
        </is>
      </c>
    </row>
    <row r="779">
      <c r="A779" s="3" t="inlineStr">
        <is>
          <t>MAT-10-161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20.5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264.99</v>
      </c>
      <c r="L779" s="6" t="n">
        <v>264.99</v>
      </c>
      <c r="M779" s="6" t="n">
        <v>264.99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Max Ferretería</t>
        </is>
      </c>
      <c r="AF779" s="4" t="inlineStr">
        <is>
          <t>potencia_w: 20.5</t>
        </is>
      </c>
    </row>
    <row r="780">
      <c r="A780" s="3" t="inlineStr">
        <is>
          <t>MAT-10-162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22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404</v>
      </c>
      <c r="L780" s="6" t="n">
        <v>404</v>
      </c>
      <c r="M780" s="6" t="n">
        <v>404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Mundo LED</t>
        </is>
      </c>
      <c r="AF780" s="4" t="inlineStr">
        <is>
          <t>potencia_w: 22</t>
        </is>
      </c>
    </row>
    <row r="781">
      <c r="A781" s="3" t="inlineStr">
        <is>
          <t>MAT-10-163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24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889</v>
      </c>
      <c r="L781" s="6" t="n">
        <v>889</v>
      </c>
      <c r="M781" s="6" t="n">
        <v>889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Ferremix (Grupo Alterra)</t>
        </is>
      </c>
      <c r="AF781" s="4" t="inlineStr">
        <is>
          <t>potencia_w: 24</t>
        </is>
      </c>
    </row>
    <row r="782">
      <c r="A782" s="3" t="inlineStr">
        <is>
          <t>MAT-10-164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30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3000</v>
      </c>
      <c r="L782" s="6" t="n">
        <v>3000</v>
      </c>
      <c r="M782" s="6" t="n">
        <v>3000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Mundo LED</t>
        </is>
      </c>
      <c r="AF782" s="4" t="inlineStr">
        <is>
          <t>potencia_w: 30</t>
        </is>
      </c>
    </row>
    <row r="783">
      <c r="A783" s="3" t="inlineStr">
        <is>
          <t>MAT-10-165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36 W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2</v>
      </c>
      <c r="K783" s="6" t="n">
        <v>875</v>
      </c>
      <c r="L783" s="6" t="n">
        <v>650</v>
      </c>
      <c r="M783" s="6" t="n">
        <v>1200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 · Mundo LED</t>
        </is>
      </c>
      <c r="AF783" s="4" t="inlineStr">
        <is>
          <t>potencia_w: 36</t>
        </is>
      </c>
    </row>
    <row r="784">
      <c r="A784" s="3" t="inlineStr">
        <is>
          <t>MAT-10-166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6 W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505</v>
      </c>
      <c r="L784" s="6" t="n">
        <v>505</v>
      </c>
      <c r="M784" s="6" t="n">
        <v>505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</t>
        </is>
      </c>
      <c r="AF784" s="4" t="inlineStr">
        <is>
          <t>potencia_w: 6</t>
        </is>
      </c>
    </row>
    <row r="785">
      <c r="A785" s="3" t="inlineStr">
        <is>
          <t>MAT-10-167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9 W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2</v>
      </c>
      <c r="K785" s="6" t="n">
        <v>147.5</v>
      </c>
      <c r="L785" s="6" t="n">
        <v>120</v>
      </c>
      <c r="M785" s="6" t="n">
        <v>150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Ferremix (Grupo Alterra) · Mundo LED</t>
        </is>
      </c>
      <c r="AF785" s="4" t="inlineStr">
        <is>
          <t>potencia_w: 9</t>
        </is>
      </c>
    </row>
    <row r="786">
      <c r="A786" s="3" t="inlineStr">
        <is>
          <t>MAT-10-168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Tubo LED de 9.9 W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210</v>
      </c>
      <c r="L786" s="6" t="n">
        <v>210</v>
      </c>
      <c r="M786" s="6" t="n">
        <v>210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potencia_w: 9.9</t>
        </is>
      </c>
    </row>
    <row r="787">
      <c r="A787" s="3" t="inlineStr">
        <is>
          <t>MAT-10-169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Fotocelda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235</v>
      </c>
      <c r="L787" s="6" t="n">
        <v>150</v>
      </c>
      <c r="M787" s="6" t="n">
        <v>370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Max Ferretería</t>
        </is>
      </c>
      <c r="AF787" s="4" t="inlineStr">
        <is>
          <t>tipo: fotocelda</t>
        </is>
      </c>
    </row>
    <row r="788">
      <c r="A788" s="3" t="inlineStr">
        <is>
          <t>MAT-10-170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Portalámparas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52</v>
      </c>
      <c r="L788" s="6" t="n">
        <v>35</v>
      </c>
      <c r="M788" s="6" t="n">
        <v>259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Ferremix (Grupo Alterra)</t>
        </is>
      </c>
      <c r="AF788" s="4" t="inlineStr">
        <is>
          <t>tipo: plástico</t>
        </is>
      </c>
    </row>
    <row r="789">
      <c r="A789" s="3" t="inlineStr">
        <is>
          <t>MAT-10-171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Portalámparas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45</v>
      </c>
      <c r="L789" s="6" t="n">
        <v>29</v>
      </c>
      <c r="M789" s="6" t="n">
        <v>299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Ferremix (Grupo Alterra)</t>
        </is>
      </c>
      <c r="AF789" s="4" t="inlineStr">
        <is>
          <t>tipo: porcelana</t>
        </is>
      </c>
    </row>
    <row r="790">
      <c r="A790" s="3" t="inlineStr">
        <is>
          <t>MAT-10-172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Roseta de techo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115</v>
      </c>
      <c r="L790" s="6" t="n">
        <v>115</v>
      </c>
      <c r="M790" s="6" t="n">
        <v>125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2026-09-09</t>
        </is>
      </c>
      <c r="Q790" s="4" t="inlineStr">
        <is>
          <t>Max Ferretería</t>
        </is>
      </c>
      <c r="AF790" s="4" t="inlineStr">
        <is>
          <t>tipo: roseta</t>
        </is>
      </c>
    </row>
    <row r="791">
      <c r="A791" s="3" t="inlineStr">
        <is>
          <t>MAT-10-174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Ojo de buey fijo de 10 W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1000</v>
      </c>
      <c r="L791" s="6" t="n">
        <v>1000</v>
      </c>
      <c r="M791" s="6" t="n">
        <v>1000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fijo · potencia_w: 10</t>
        </is>
      </c>
    </row>
    <row r="792">
      <c r="A792" s="3" t="inlineStr">
        <is>
          <t>MAT-10-175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Ojo de buey fijo de 20 W</t>
        </is>
      </c>
      <c r="E792" s="4" t="inlineStr"/>
      <c r="F792" s="3" t="inlineStr">
        <is>
          <t>unidad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1800</v>
      </c>
      <c r="L792" s="6" t="n">
        <v>1800</v>
      </c>
      <c r="M792" s="6" t="n">
        <v>1800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fijo · potencia_w: 20</t>
        </is>
      </c>
    </row>
    <row r="793">
      <c r="A793" s="3" t="inlineStr">
        <is>
          <t>MAT-10-176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Cinta LED blanca, rollo de 100 m</t>
        </is>
      </c>
      <c r="E793" s="4" t="inlineStr"/>
      <c r="F793" s="3" t="inlineStr">
        <is>
          <t>rollo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110</v>
      </c>
      <c r="L793" s="6" t="n">
        <v>110</v>
      </c>
      <c r="M793" s="6" t="n">
        <v>110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AF793" s="4" t="inlineStr">
        <is>
          <t>tipo: blanca · metros: 100</t>
        </is>
      </c>
    </row>
    <row r="794">
      <c r="A794" s="3" t="inlineStr">
        <is>
          <t>MAT-10-177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Cinta LED blanca, rollo de 5 m</t>
        </is>
      </c>
      <c r="E794" s="4" t="inlineStr"/>
      <c r="F794" s="3" t="inlineStr">
        <is>
          <t>rollo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900</v>
      </c>
      <c r="L794" s="6" t="n">
        <v>900</v>
      </c>
      <c r="M794" s="6" t="n">
        <v>900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tipo: blanca · metros: 5</t>
        </is>
      </c>
    </row>
    <row r="795">
      <c r="A795" s="3" t="inlineStr">
        <is>
          <t>MAT-10-178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Cinta LED neón, rollo de 100 m</t>
        </is>
      </c>
      <c r="E795" s="4" t="inlineStr"/>
      <c r="F795" s="3" t="inlineStr">
        <is>
          <t>rollo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142.5</v>
      </c>
      <c r="L795" s="6" t="n">
        <v>110</v>
      </c>
      <c r="M795" s="6" t="n">
        <v>175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tipo: neón · metros: 100</t>
        </is>
      </c>
    </row>
    <row r="796">
      <c r="A796" s="3" t="inlineStr">
        <is>
          <t>MAT-10-179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Cinta LED neón, rollo de 5 m</t>
        </is>
      </c>
      <c r="E796" s="4" t="inlineStr"/>
      <c r="F796" s="3" t="inlineStr">
        <is>
          <t>rollo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1175.5</v>
      </c>
      <c r="L796" s="6" t="n">
        <v>1151</v>
      </c>
      <c r="M796" s="6" t="n">
        <v>1200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AF796" s="4" t="inlineStr">
        <is>
          <t>tipo: neón · metros: 5</t>
        </is>
      </c>
    </row>
    <row r="797">
      <c r="A797" s="3" t="inlineStr">
        <is>
          <t>MAT-10-180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Perfil de aluminio para cinta LED, esquinero, 2.5 m</t>
        </is>
      </c>
      <c r="E797" s="4" t="inlineStr"/>
      <c r="F797" s="3" t="inlineStr">
        <is>
          <t>tramo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1500</v>
      </c>
      <c r="L797" s="6" t="n">
        <v>1500</v>
      </c>
      <c r="M797" s="6" t="n">
        <v>1500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S797" s="7" t="inlineStr">
        <is>
          <t>esquinero</t>
        </is>
      </c>
      <c r="AF797" s="4" t="inlineStr">
        <is>
          <t>Largo (m): 2.5</t>
        </is>
      </c>
    </row>
    <row r="798">
      <c r="A798" s="3" t="inlineStr">
        <is>
          <t>MAT-10-182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100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1365</v>
      </c>
      <c r="L798" s="6" t="n">
        <v>1000</v>
      </c>
      <c r="M798" s="6" t="n">
        <v>1730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100</t>
        </is>
      </c>
    </row>
    <row r="799">
      <c r="A799" s="3" t="inlineStr">
        <is>
          <t>MAT-10-183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150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1551.5</v>
      </c>
      <c r="L799" s="6" t="n">
        <v>1263</v>
      </c>
      <c r="M799" s="6" t="n">
        <v>1840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150</t>
        </is>
      </c>
    </row>
    <row r="800">
      <c r="A800" s="3" t="inlineStr">
        <is>
          <t>MAT-10-184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200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2006</v>
      </c>
      <c r="L800" s="6" t="n">
        <v>1723</v>
      </c>
      <c r="M800" s="6" t="n">
        <v>2600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200</t>
        </is>
      </c>
    </row>
    <row r="801">
      <c r="A801" s="3" t="inlineStr">
        <is>
          <t>MAT-10-185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Fuente de poder para LED de 250 W</t>
        </is>
      </c>
      <c r="E801" s="4" t="inlineStr"/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2006</v>
      </c>
      <c r="L801" s="6" t="n">
        <v>2006</v>
      </c>
      <c r="M801" s="6" t="n">
        <v>2006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250</t>
        </is>
      </c>
    </row>
    <row r="802">
      <c r="A802" s="3" t="inlineStr">
        <is>
          <t>MAT-10-186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Fuente de poder para LED de 300 W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2071</v>
      </c>
      <c r="L802" s="6" t="n">
        <v>2071</v>
      </c>
      <c r="M802" s="6" t="n">
        <v>2071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300</t>
        </is>
      </c>
    </row>
    <row r="803">
      <c r="A803" s="3" t="inlineStr">
        <is>
          <t>MAT-10-187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400 W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2431</v>
      </c>
      <c r="L803" s="6" t="n">
        <v>2431</v>
      </c>
      <c r="M803" s="6" t="n">
        <v>2431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400</t>
        </is>
      </c>
    </row>
    <row r="804">
      <c r="A804" s="3" t="inlineStr">
        <is>
          <t>MAT-10-188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Fuente de poder para LED de 60 W</t>
        </is>
      </c>
      <c r="E804" s="4" t="inlineStr"/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770</v>
      </c>
      <c r="L804" s="6" t="n">
        <v>770</v>
      </c>
      <c r="M804" s="6" t="n">
        <v>770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60</t>
        </is>
      </c>
    </row>
    <row r="805">
      <c r="A805" s="3" t="inlineStr">
        <is>
          <t>MAT-10-189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100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4162.5</v>
      </c>
      <c r="L805" s="6" t="n">
        <v>1500</v>
      </c>
      <c r="M805" s="6" t="n">
        <v>14500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100</t>
        </is>
      </c>
    </row>
    <row r="806">
      <c r="A806" s="3" t="inlineStr">
        <is>
          <t>MAT-10-190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Campana LED industrial de 150 W</t>
        </is>
      </c>
      <c r="E806" s="4" t="inlineStr">
        <is>
          <t>Para nave, taller o techo alto</t>
        </is>
      </c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6365</v>
      </c>
      <c r="L806" s="6" t="n">
        <v>5830</v>
      </c>
      <c r="M806" s="6" t="n">
        <v>6900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Mundo LED</t>
        </is>
      </c>
      <c r="AF806" s="4" t="inlineStr">
        <is>
          <t>potencia_w: 150</t>
        </is>
      </c>
    </row>
    <row r="807">
      <c r="A807" s="3" t="inlineStr">
        <is>
          <t>MAT-10-191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Campana LED industrial de 200 W</t>
        </is>
      </c>
      <c r="E807" s="4" t="inlineStr">
        <is>
          <t>Para nave, taller o techo alto</t>
        </is>
      </c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2500</v>
      </c>
      <c r="L807" s="6" t="n">
        <v>2500</v>
      </c>
      <c r="M807" s="6" t="n">
        <v>2500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Mundo LED</t>
        </is>
      </c>
      <c r="AF807" s="4" t="inlineStr">
        <is>
          <t>potencia_w: 200</t>
        </is>
      </c>
    </row>
    <row r="808">
      <c r="A808" s="3" t="inlineStr">
        <is>
          <t>MAT-10-192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Campana LED industrial de 50 W</t>
        </is>
      </c>
      <c r="E808" s="4" t="inlineStr">
        <is>
          <t>Para nave, taller o techo alto</t>
        </is>
      </c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4045</v>
      </c>
      <c r="L808" s="6" t="n">
        <v>4000</v>
      </c>
      <c r="M808" s="6" t="n">
        <v>4090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Mundo LED</t>
        </is>
      </c>
      <c r="AF808" s="4" t="inlineStr">
        <is>
          <t>potencia_w: 50</t>
        </is>
      </c>
    </row>
    <row r="809">
      <c r="A809" s="3" t="inlineStr">
        <is>
          <t>MAT-10-193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Campana LED industrial de 60 W</t>
        </is>
      </c>
      <c r="E809" s="4" t="inlineStr">
        <is>
          <t>Para nave, taller o techo alto</t>
        </is>
      </c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4500</v>
      </c>
      <c r="L809" s="6" t="n">
        <v>4500</v>
      </c>
      <c r="M809" s="6" t="n">
        <v>4500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2026-09-10</t>
        </is>
      </c>
      <c r="Q809" s="4" t="inlineStr">
        <is>
          <t>Mundo LED</t>
        </is>
      </c>
      <c r="AF809" s="4" t="inlineStr">
        <is>
          <t>potencia_w: 60</t>
        </is>
      </c>
    </row>
    <row r="810">
      <c r="A810" s="3" t="inlineStr">
        <is>
          <t>MAT-10-194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con tomacorriente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500</v>
      </c>
      <c r="L810" s="6" t="n">
        <v>465</v>
      </c>
      <c r="M810" s="6" t="n">
        <v>535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Max Ferretería</t>
        </is>
      </c>
      <c r="AF810" s="4" t="inlineStr">
        <is>
          <t>tipo: con tomacorriente</t>
        </is>
      </c>
    </row>
    <row r="811">
      <c r="A811" s="3" t="inlineStr">
        <is>
          <t>MAT-10-195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conmutador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2</v>
      </c>
      <c r="K811" s="6" t="n">
        <v>191.22</v>
      </c>
      <c r="L811" s="6" t="n">
        <v>14.74</v>
      </c>
      <c r="M811" s="6" t="n">
        <v>555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2026-09-10</t>
        </is>
      </c>
      <c r="Q811" s="4" t="inlineStr">
        <is>
          <t>Bellón · Ferremix (Grupo Alterra)</t>
        </is>
      </c>
      <c r="AF811" s="4" t="inlineStr">
        <is>
          <t>tipo: conmutador</t>
        </is>
      </c>
    </row>
    <row r="812">
      <c r="A812" s="3" t="inlineStr">
        <is>
          <t>MAT-10-196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de 3 vías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542.5</v>
      </c>
      <c r="L812" s="6" t="n">
        <v>395</v>
      </c>
      <c r="M812" s="6" t="n">
        <v>685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AF812" s="4" t="inlineStr">
        <is>
          <t>tipo: de 3 vías</t>
        </is>
      </c>
    </row>
    <row r="813">
      <c r="A813" s="3" t="inlineStr">
        <is>
          <t>MAT-10-197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de 4 vías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467.5</v>
      </c>
      <c r="L813" s="6" t="n">
        <v>390</v>
      </c>
      <c r="M813" s="6" t="n">
        <v>544.99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Max Ferretería</t>
        </is>
      </c>
      <c r="AF813" s="4" t="inlineStr">
        <is>
          <t>tipo: de 4 vías</t>
        </is>
      </c>
    </row>
    <row r="814">
      <c r="A814" s="3" t="inlineStr">
        <is>
          <t>MAT-10-198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Interruptor dimmer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1112.5</v>
      </c>
      <c r="L814" s="6" t="n">
        <v>960</v>
      </c>
      <c r="M814" s="6" t="n">
        <v>1265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Max Ferretería</t>
        </is>
      </c>
      <c r="AF814" s="4" t="inlineStr">
        <is>
          <t>tipo: dimmer</t>
        </is>
      </c>
    </row>
    <row r="815">
      <c r="A815" s="3" t="inlineStr">
        <is>
          <t>MAT-10-199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doble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3</v>
      </c>
      <c r="K815" s="6" t="n">
        <v>225</v>
      </c>
      <c r="L815" s="6" t="n">
        <v>45</v>
      </c>
      <c r="M815" s="6" t="n">
        <v>4515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 · Max Ferretería</t>
        </is>
      </c>
      <c r="AF815" s="4" t="inlineStr">
        <is>
          <t>tipo: doble</t>
        </is>
      </c>
    </row>
    <row r="816">
      <c r="A816" s="3" t="inlineStr">
        <is>
          <t>MAT-10-200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sencillo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2</v>
      </c>
      <c r="K816" s="6" t="n">
        <v>99</v>
      </c>
      <c r="L816" s="6" t="n">
        <v>30</v>
      </c>
      <c r="M816" s="6" t="n">
        <v>492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Ferremix (Grupo Alterra)</t>
        </is>
      </c>
      <c r="AF816" s="4" t="inlineStr">
        <is>
          <t>tipo: sencillo</t>
        </is>
      </c>
    </row>
    <row r="817">
      <c r="A817" s="3" t="inlineStr">
        <is>
          <t>MAT-10-201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Interruptor triple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3</v>
      </c>
      <c r="K817" s="6" t="n">
        <v>235</v>
      </c>
      <c r="L817" s="6" t="n">
        <v>60</v>
      </c>
      <c r="M817" s="6" t="n">
        <v>4440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Bellón · Ferremix (Grupo Alterra) · Max Ferretería</t>
        </is>
      </c>
      <c r="AF817" s="4" t="inlineStr">
        <is>
          <t>tipo: triple</t>
        </is>
      </c>
    </row>
    <row r="818">
      <c r="A818" s="3" t="inlineStr">
        <is>
          <t>MAT-10-202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Tomacorriente con USB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2</v>
      </c>
      <c r="K818" s="6" t="n">
        <v>550</v>
      </c>
      <c r="L818" s="6" t="n">
        <v>460</v>
      </c>
      <c r="M818" s="6" t="n">
        <v>1795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Ferremix (Grupo Alterra) · Max Ferretería</t>
        </is>
      </c>
      <c r="AF818" s="4" t="inlineStr">
        <is>
          <t>tipo: con USB</t>
        </is>
      </c>
    </row>
    <row r="819">
      <c r="A819" s="3" t="inlineStr">
        <is>
          <t>MAT-10-203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Tomacorriente doble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2</v>
      </c>
      <c r="K819" s="6" t="n">
        <v>197</v>
      </c>
      <c r="L819" s="6" t="n">
        <v>34</v>
      </c>
      <c r="M819" s="6" t="n">
        <v>1516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 · Ferremix (Grupo Alterra)</t>
        </is>
      </c>
      <c r="AF819" s="4" t="inlineStr">
        <is>
          <t>tipo: doble</t>
        </is>
      </c>
    </row>
    <row r="820">
      <c r="A820" s="3" t="inlineStr">
        <is>
          <t>MAT-10-204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Tomacorriente gfci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2121.5</v>
      </c>
      <c r="L820" s="6" t="n">
        <v>1467.04</v>
      </c>
      <c r="M820" s="6" t="n">
        <v>3598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</t>
        </is>
      </c>
      <c r="AF820" s="4" t="inlineStr">
        <is>
          <t>tipo: gfci</t>
        </is>
      </c>
    </row>
    <row r="821">
      <c r="A821" s="3" t="inlineStr">
        <is>
          <t>MAT-10-205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Tomacorriente sencillo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2</v>
      </c>
      <c r="K821" s="6" t="n">
        <v>70</v>
      </c>
      <c r="L821" s="6" t="n">
        <v>39</v>
      </c>
      <c r="M821" s="6" t="n">
        <v>921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Bellón · Ferremix (Grupo Alterra)</t>
        </is>
      </c>
      <c r="AF821" s="4" t="inlineStr">
        <is>
          <t>tipo: sencillo</t>
        </is>
      </c>
    </row>
    <row r="822">
      <c r="A822" s="3" t="inlineStr">
        <is>
          <t>MAT-10-206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ciega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49</v>
      </c>
      <c r="L822" s="6" t="n">
        <v>11</v>
      </c>
      <c r="M822" s="6" t="n">
        <v>156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Ferremix (Grupo Alterra)</t>
        </is>
      </c>
      <c r="AF822" s="4" t="inlineStr">
        <is>
          <t>tipo: ciega</t>
        </is>
      </c>
    </row>
    <row r="823">
      <c r="A823" s="3" t="inlineStr">
        <is>
          <t>MAT-10-207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doble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132.5</v>
      </c>
      <c r="L823" s="6" t="n">
        <v>15</v>
      </c>
      <c r="M823" s="6" t="n">
        <v>1199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Ferremix (Grupo Alterra)</t>
        </is>
      </c>
      <c r="AF823" s="4" t="inlineStr">
        <is>
          <t>tipo: doble</t>
        </is>
      </c>
    </row>
    <row r="824">
      <c r="A824" s="3" t="inlineStr">
        <is>
          <t>MAT-10-208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Placa de 3 módulos</t>
        </is>
      </c>
      <c r="E824" s="4" t="inlineStr">
        <is>
          <t>Solo la placa · los módulos van aparte</t>
        </is>
      </c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85</v>
      </c>
      <c r="L824" s="6" t="n">
        <v>85</v>
      </c>
      <c r="M824" s="6" t="n">
        <v>85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Placa de 3 módulos</t>
        </is>
      </c>
    </row>
    <row r="825">
      <c r="A825" s="3" t="inlineStr">
        <is>
          <t>MAT-10-209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Placa de 7 módulos</t>
        </is>
      </c>
      <c r="E825" s="4" t="inlineStr">
        <is>
          <t>Solo la placa · los módulos van aparte</t>
        </is>
      </c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1620</v>
      </c>
      <c r="L825" s="6" t="n">
        <v>1620</v>
      </c>
      <c r="M825" s="6" t="n">
        <v>1620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Placa de 7 módulos</t>
        </is>
      </c>
    </row>
    <row r="826">
      <c r="A826" s="3" t="inlineStr">
        <is>
          <t>MAT-10-210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Placa de pared de 2 huecos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9.99</v>
      </c>
      <c r="L826" s="6" t="n">
        <v>9.99</v>
      </c>
      <c r="M826" s="6" t="n">
        <v>9.99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Max Ferretería</t>
        </is>
      </c>
      <c r="AF826" s="4" t="inlineStr">
        <is>
          <t>tipo: Placa de pared de 2 huecos</t>
        </is>
      </c>
    </row>
    <row r="827">
      <c r="A827" s="3" t="inlineStr">
        <is>
          <t>MAT-10-211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sencilla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49</v>
      </c>
      <c r="L827" s="6" t="n">
        <v>45</v>
      </c>
      <c r="M827" s="6" t="n">
        <v>52.59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2026-09-10</t>
        </is>
      </c>
      <c r="Q827" s="4" t="inlineStr">
        <is>
          <t>Ferremix (Grupo Alterra)</t>
        </is>
      </c>
      <c r="AF827" s="4" t="inlineStr">
        <is>
          <t>tipo: sencilla</t>
        </is>
      </c>
    </row>
    <row r="828">
      <c r="A828" s="3" t="inlineStr">
        <is>
          <t>MAT-10-212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Tapa ciega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200</v>
      </c>
      <c r="L828" s="6" t="n">
        <v>115</v>
      </c>
      <c r="M828" s="6" t="n">
        <v>295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Tapa ciega</t>
        </is>
      </c>
    </row>
    <row r="829">
      <c r="A829" s="3" t="inlineStr">
        <is>
          <t>MAT-10-213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Tapa para tomacorriente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95</v>
      </c>
      <c r="L829" s="6" t="n">
        <v>25</v>
      </c>
      <c r="M829" s="6" t="n">
        <v>100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Max Ferretería</t>
        </is>
      </c>
      <c r="AF829" s="4" t="inlineStr">
        <is>
          <t>tipo: Tapa para tomacorriente</t>
        </is>
      </c>
    </row>
    <row r="830">
      <c r="A830" s="3" t="inlineStr">
        <is>
          <t>MAT-10-214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triple</t>
        </is>
      </c>
      <c r="E830" s="4" t="inlineStr"/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99</v>
      </c>
      <c r="L830" s="6" t="n">
        <v>40</v>
      </c>
      <c r="M830" s="6" t="n">
        <v>520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2026-09-10</t>
        </is>
      </c>
      <c r="Q830" s="4" t="inlineStr">
        <is>
          <t>Ferremix (Grupo Alterra)</t>
        </is>
      </c>
      <c r="AF830" s="4" t="inlineStr">
        <is>
          <t>tipo: triple</t>
        </is>
      </c>
    </row>
    <row r="831">
      <c r="A831" s="3" t="inlineStr">
        <is>
          <t>MAT-10-215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Adaptador de enchufe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112.5</v>
      </c>
      <c r="L831" s="6" t="n">
        <v>45.01</v>
      </c>
      <c r="M831" s="6" t="n">
        <v>1360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Max Ferretería</t>
        </is>
      </c>
      <c r="AF831" s="4" t="inlineStr">
        <is>
          <t>tipo: Adaptador de enchufe</t>
        </is>
      </c>
    </row>
    <row r="832">
      <c r="A832" s="3" t="inlineStr">
        <is>
          <t>MAT-10-216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Enchufe</t>
        </is>
      </c>
      <c r="E832" s="4" t="inlineStr"/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57.5</v>
      </c>
      <c r="L832" s="6" t="n">
        <v>50</v>
      </c>
      <c r="M832" s="6" t="n">
        <v>465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Max Ferretería</t>
        </is>
      </c>
      <c r="AF832" s="4" t="inlineStr">
        <is>
          <t>tipo: Enchufe</t>
        </is>
      </c>
    </row>
    <row r="833">
      <c r="A833" s="3" t="inlineStr">
        <is>
          <t>MAT-10-217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15 A</t>
        </is>
      </c>
      <c r="E833" s="4" t="inlineStr"/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447.27</v>
      </c>
      <c r="L833" s="6" t="n">
        <v>430.24</v>
      </c>
      <c r="M833" s="6" t="n">
        <v>790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2026-09-10</t>
        </is>
      </c>
      <c r="Q833" s="4" t="inlineStr">
        <is>
          <t>Bellón</t>
        </is>
      </c>
      <c r="AF833" s="4" t="inlineStr">
        <is>
          <t>polos: 1 · amperaje: 15</t>
        </is>
      </c>
    </row>
    <row r="834">
      <c r="A834" s="3" t="inlineStr">
        <is>
          <t>MAT-10-218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15 A, formato fino</t>
        </is>
      </c>
      <c r="E834" s="4" t="inlineStr">
        <is>
          <t>Ocupa medio espacio · no es intercambiable con el estándar</t>
        </is>
      </c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485</v>
      </c>
      <c r="L834" s="6" t="n">
        <v>485</v>
      </c>
      <c r="M834" s="6" t="n">
        <v>485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Max Ferretería</t>
        </is>
      </c>
      <c r="V834" s="7" t="inlineStr">
        <is>
          <t>fino</t>
        </is>
      </c>
      <c r="AF834" s="4" t="inlineStr">
        <is>
          <t>polos: 1 · amperaje: 15</t>
        </is>
      </c>
    </row>
    <row r="835">
      <c r="A835" s="3" t="inlineStr">
        <is>
          <t>MAT-10-219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20 A</t>
        </is>
      </c>
      <c r="E835" s="4" t="inlineStr"/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447.27</v>
      </c>
      <c r="L835" s="6" t="n">
        <v>374.13</v>
      </c>
      <c r="M835" s="6" t="n">
        <v>742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Bellón</t>
        </is>
      </c>
      <c r="AF835" s="4" t="inlineStr">
        <is>
          <t>polos: 1 · amperaje: 20</t>
        </is>
      </c>
    </row>
    <row r="836">
      <c r="A836" s="3" t="inlineStr">
        <is>
          <t>MAT-10-220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20 A, formato fino</t>
        </is>
      </c>
      <c r="E836" s="4" t="inlineStr">
        <is>
          <t>Ocupa medio espacio · no es intercambiable con el estándar</t>
        </is>
      </c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500</v>
      </c>
      <c r="L836" s="6" t="n">
        <v>500</v>
      </c>
      <c r="M836" s="6" t="n">
        <v>500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Max Ferretería</t>
        </is>
      </c>
      <c r="V836" s="7" t="inlineStr">
        <is>
          <t>fino</t>
        </is>
      </c>
      <c r="AF836" s="4" t="inlineStr">
        <is>
          <t>polos: 1 · amperaje: 20</t>
        </is>
      </c>
    </row>
    <row r="837">
      <c r="A837" s="3" t="inlineStr">
        <is>
          <t>MAT-10-221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30 A</t>
        </is>
      </c>
      <c r="E837" s="4" t="inlineStr"/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2</v>
      </c>
      <c r="K837" s="6" t="n">
        <v>447.28</v>
      </c>
      <c r="L837" s="6" t="n">
        <v>374.1</v>
      </c>
      <c r="M837" s="6" t="n">
        <v>845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2026-09-10</t>
        </is>
      </c>
      <c r="Q837" s="4" t="inlineStr">
        <is>
          <t>Bellón · Max Ferretería</t>
        </is>
      </c>
      <c r="AF837" s="4" t="inlineStr">
        <is>
          <t>polos: 1 · amperaje: 30</t>
        </is>
      </c>
    </row>
    <row r="838">
      <c r="A838" s="3" t="inlineStr">
        <is>
          <t>MAT-10-222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30 A, formato fino</t>
        </is>
      </c>
      <c r="E838" s="4" t="inlineStr">
        <is>
          <t>Ocupa medio espacio · no es intercambiable con el estándar</t>
        </is>
      </c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505</v>
      </c>
      <c r="L838" s="6" t="n">
        <v>505</v>
      </c>
      <c r="M838" s="6" t="n">
        <v>505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Max Ferretería</t>
        </is>
      </c>
      <c r="V838" s="7" t="inlineStr">
        <is>
          <t>fino</t>
        </is>
      </c>
      <c r="AF838" s="4" t="inlineStr">
        <is>
          <t>polos: 1 · amperaje: 30</t>
        </is>
      </c>
    </row>
    <row r="839">
      <c r="A839" s="3" t="inlineStr">
        <is>
          <t>MAT-10-223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40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2</v>
      </c>
      <c r="K839" s="6" t="n">
        <v>488.17</v>
      </c>
      <c r="L839" s="6" t="n">
        <v>170</v>
      </c>
      <c r="M839" s="6" t="n">
        <v>929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 · Ferremix (Grupo Alterra)</t>
        </is>
      </c>
      <c r="AF839" s="4" t="inlineStr">
        <is>
          <t>polos: 1 · amperaje: 40</t>
        </is>
      </c>
    </row>
    <row r="840">
      <c r="A840" s="3" t="inlineStr">
        <is>
          <t>MAT-10-224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50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505</v>
      </c>
      <c r="L840" s="6" t="n">
        <v>495</v>
      </c>
      <c r="M840" s="6" t="n">
        <v>515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</t>
        </is>
      </c>
      <c r="AF840" s="4" t="inlineStr">
        <is>
          <t>polos: 1 · amperaje: 50</t>
        </is>
      </c>
    </row>
    <row r="841">
      <c r="A841" s="3" t="inlineStr">
        <is>
          <t>MAT-10-225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1P de 60 A</t>
        </is>
      </c>
      <c r="E841" s="4" t="inlineStr"/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2</v>
      </c>
      <c r="K841" s="6" t="n">
        <v>766.3200000000001</v>
      </c>
      <c r="L841" s="6" t="n">
        <v>717.63</v>
      </c>
      <c r="M841" s="6" t="n">
        <v>815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 · Max Ferretería</t>
        </is>
      </c>
      <c r="AF841" s="4" t="inlineStr">
        <is>
          <t>polos: 1 · amperaje: 60</t>
        </is>
      </c>
    </row>
    <row r="842">
      <c r="A842" s="3" t="inlineStr">
        <is>
          <t>MAT-10-226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100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3203</v>
      </c>
      <c r="L842" s="6" t="n">
        <v>2820</v>
      </c>
      <c r="M842" s="6" t="n">
        <v>3586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polos: 2 · amperaje: 100</t>
        </is>
      </c>
    </row>
    <row r="843">
      <c r="A843" s="3" t="inlineStr">
        <is>
          <t>MAT-10-227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15 A</t>
        </is>
      </c>
      <c r="E843" s="4" t="inlineStr"/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1061.42</v>
      </c>
      <c r="L843" s="6" t="n">
        <v>969.78</v>
      </c>
      <c r="M843" s="6" t="n">
        <v>1379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</t>
        </is>
      </c>
      <c r="AF843" s="4" t="inlineStr">
        <is>
          <t>polos: 2 · amperaje: 15</t>
        </is>
      </c>
    </row>
    <row r="844">
      <c r="A844" s="3" t="inlineStr">
        <is>
          <t>MAT-10-228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20 A</t>
        </is>
      </c>
      <c r="E844" s="4" t="inlineStr"/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2</v>
      </c>
      <c r="K844" s="6" t="n">
        <v>1157.5</v>
      </c>
      <c r="L844" s="6" t="n">
        <v>1134.99</v>
      </c>
      <c r="M844" s="6" t="n">
        <v>1425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 · Max Ferretería</t>
        </is>
      </c>
      <c r="AF844" s="4" t="inlineStr">
        <is>
          <t>polos: 2 · amperaje: 20</t>
        </is>
      </c>
    </row>
    <row r="845">
      <c r="A845" s="3" t="inlineStr">
        <is>
          <t>MAT-10-229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20 A, formato fino</t>
        </is>
      </c>
      <c r="E845" s="4" t="inlineStr">
        <is>
          <t>Ocupa medio espacio · no es intercambiable con el estándar</t>
        </is>
      </c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1195</v>
      </c>
      <c r="L845" s="6" t="n">
        <v>1195</v>
      </c>
      <c r="M845" s="6" t="n">
        <v>1195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Max Ferretería</t>
        </is>
      </c>
      <c r="V845" s="7" t="inlineStr">
        <is>
          <t>fino</t>
        </is>
      </c>
      <c r="AF845" s="4" t="inlineStr">
        <is>
          <t>polos: 2 · amperaje: 20</t>
        </is>
      </c>
    </row>
    <row r="846">
      <c r="A846" s="3" t="inlineStr">
        <is>
          <t>MAT-10-230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30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2</v>
      </c>
      <c r="K846" s="6" t="n">
        <v>1079.99</v>
      </c>
      <c r="L846" s="6" t="n">
        <v>896</v>
      </c>
      <c r="M846" s="6" t="n">
        <v>1180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2026-09-10</t>
        </is>
      </c>
      <c r="Q846" s="4" t="inlineStr">
        <is>
          <t>Bellón · Max Ferretería</t>
        </is>
      </c>
      <c r="AF846" s="4" t="inlineStr">
        <is>
          <t>polos: 2 · amperaje: 30</t>
        </is>
      </c>
    </row>
    <row r="847">
      <c r="A847" s="3" t="inlineStr">
        <is>
          <t>MAT-10-231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30 A, formato fino</t>
        </is>
      </c>
      <c r="E847" s="4" t="inlineStr">
        <is>
          <t>Ocupa medio espacio · no es intercambiable con el estándar</t>
        </is>
      </c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1165</v>
      </c>
      <c r="L847" s="6" t="n">
        <v>1165</v>
      </c>
      <c r="M847" s="6" t="n">
        <v>1165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Max Ferretería</t>
        </is>
      </c>
      <c r="V847" s="7" t="inlineStr">
        <is>
          <t>fino</t>
        </is>
      </c>
      <c r="AF847" s="4" t="inlineStr">
        <is>
          <t>polos: 2 · amperaje: 30</t>
        </is>
      </c>
    </row>
    <row r="848">
      <c r="A848" s="3" t="inlineStr">
        <is>
          <t>MAT-10-232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40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2</v>
      </c>
      <c r="K848" s="6" t="n">
        <v>1034</v>
      </c>
      <c r="L848" s="6" t="n">
        <v>976.05</v>
      </c>
      <c r="M848" s="6" t="n">
        <v>1134.99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 · Max Ferretería</t>
        </is>
      </c>
      <c r="AF848" s="4" t="inlineStr">
        <is>
          <t>polos: 2 · amperaje: 40</t>
        </is>
      </c>
    </row>
    <row r="849">
      <c r="A849" s="3" t="inlineStr">
        <is>
          <t>MAT-10-233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50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1215</v>
      </c>
      <c r="L849" s="6" t="n">
        <v>999.95</v>
      </c>
      <c r="M849" s="6" t="n">
        <v>1354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</t>
        </is>
      </c>
      <c r="AF849" s="4" t="inlineStr">
        <is>
          <t>polos: 2 · amperaje: 50</t>
        </is>
      </c>
    </row>
    <row r="850">
      <c r="A850" s="3" t="inlineStr">
        <is>
          <t>MAT-10-234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60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2</v>
      </c>
      <c r="K850" s="6" t="n">
        <v>1189.99</v>
      </c>
      <c r="L850" s="6" t="n">
        <v>1100</v>
      </c>
      <c r="M850" s="6" t="n">
        <v>1977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 · Max Ferretería</t>
        </is>
      </c>
      <c r="AF850" s="4" t="inlineStr">
        <is>
          <t>polos: 2 · amperaje: 60</t>
        </is>
      </c>
    </row>
    <row r="851">
      <c r="A851" s="3" t="inlineStr">
        <is>
          <t>MAT-10-235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70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2959.5</v>
      </c>
      <c r="L851" s="6" t="n">
        <v>2720</v>
      </c>
      <c r="M851" s="6" t="n">
        <v>3199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2 · amperaje: 70</t>
        </is>
      </c>
    </row>
    <row r="852">
      <c r="A852" s="3" t="inlineStr">
        <is>
          <t>MAT-10-236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80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2810.48</v>
      </c>
      <c r="L852" s="6" t="n">
        <v>2547.97</v>
      </c>
      <c r="M852" s="6" t="n">
        <v>3073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2 · amperaje: 80</t>
        </is>
      </c>
    </row>
    <row r="853">
      <c r="A853" s="3" t="inlineStr">
        <is>
          <t>MAT-10-237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2P de 90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2968</v>
      </c>
      <c r="L853" s="6" t="n">
        <v>2968</v>
      </c>
      <c r="M853" s="6" t="n">
        <v>2968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2 · amperaje: 90</t>
        </is>
      </c>
    </row>
    <row r="854">
      <c r="A854" s="3" t="inlineStr">
        <is>
          <t>MAT-10-238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100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6940</v>
      </c>
      <c r="L854" s="6" t="n">
        <v>6940</v>
      </c>
      <c r="M854" s="6" t="n">
        <v>6940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100</t>
        </is>
      </c>
    </row>
    <row r="855">
      <c r="A855" s="3" t="inlineStr">
        <is>
          <t>MAT-10-239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15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3062</v>
      </c>
      <c r="L855" s="6" t="n">
        <v>2309</v>
      </c>
      <c r="M855" s="6" t="n">
        <v>3815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15</t>
        </is>
      </c>
    </row>
    <row r="856">
      <c r="A856" s="3" t="inlineStr">
        <is>
          <t>MAT-10-240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20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4801</v>
      </c>
      <c r="L856" s="6" t="n">
        <v>3815</v>
      </c>
      <c r="M856" s="6" t="n">
        <v>5787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20</t>
        </is>
      </c>
    </row>
    <row r="857">
      <c r="A857" s="3" t="inlineStr">
        <is>
          <t>MAT-10-241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40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4357.5</v>
      </c>
      <c r="L857" s="6" t="n">
        <v>4310</v>
      </c>
      <c r="M857" s="6" t="n">
        <v>4405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40</t>
        </is>
      </c>
    </row>
    <row r="858">
      <c r="A858" s="3" t="inlineStr">
        <is>
          <t>MAT-10-242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50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5048.5</v>
      </c>
      <c r="L858" s="6" t="n">
        <v>4310</v>
      </c>
      <c r="M858" s="6" t="n">
        <v>5787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50</t>
        </is>
      </c>
    </row>
    <row r="859">
      <c r="A859" s="3" t="inlineStr">
        <is>
          <t>MAT-10-243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60 A</t>
        </is>
      </c>
      <c r="E859" s="4" t="inlineStr"/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4121.5</v>
      </c>
      <c r="L859" s="6" t="n">
        <v>3933</v>
      </c>
      <c r="M859" s="6" t="n">
        <v>4310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polos: 3 · amperaje: 60</t>
        </is>
      </c>
    </row>
    <row r="860">
      <c r="A860" s="3" t="inlineStr">
        <is>
          <t>MAT-10-244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70 A</t>
        </is>
      </c>
      <c r="E860" s="4" t="inlineStr"/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5519</v>
      </c>
      <c r="L860" s="6" t="n">
        <v>5328</v>
      </c>
      <c r="M860" s="6" t="n">
        <v>5710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polos: 3 · amperaje: 70</t>
        </is>
      </c>
    </row>
    <row r="861">
      <c r="A861" s="3" t="inlineStr">
        <is>
          <t>MAT-10-245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80 A</t>
        </is>
      </c>
      <c r="E861" s="4" t="inlineStr"/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6059.5</v>
      </c>
      <c r="L861" s="6" t="n">
        <v>5739</v>
      </c>
      <c r="M861" s="6" t="n">
        <v>6380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</t>
        </is>
      </c>
      <c r="AF861" s="4" t="inlineStr">
        <is>
          <t>polos: 3 · amperaje: 80</t>
        </is>
      </c>
    </row>
    <row r="862">
      <c r="A862" s="3" t="inlineStr">
        <is>
          <t>MAT-10-246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3P de 90 A</t>
        </is>
      </c>
      <c r="E862" s="4" t="inlineStr"/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4887.62</v>
      </c>
      <c r="L862" s="6" t="n">
        <v>4647</v>
      </c>
      <c r="M862" s="6" t="n">
        <v>5128.24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polos: 3 · amperaje: 90</t>
        </is>
      </c>
    </row>
    <row r="863">
      <c r="A863" s="3" t="inlineStr">
        <is>
          <t>MAT-10-247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1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9622.41</v>
      </c>
      <c r="L863" s="6" t="n">
        <v>9622.41</v>
      </c>
      <c r="M863" s="6" t="n">
        <v>9622.41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1</t>
        </is>
      </c>
    </row>
    <row r="864">
      <c r="A864" s="3" t="inlineStr">
        <is>
          <t>MAT-10-248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12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3920</v>
      </c>
      <c r="L864" s="6" t="n">
        <v>3829</v>
      </c>
      <c r="M864" s="6" t="n">
        <v>7731.92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</t>
        </is>
      </c>
      <c r="AF864" s="4" t="inlineStr">
        <is>
          <t>espacios: 12</t>
        </is>
      </c>
    </row>
    <row r="865">
      <c r="A865" s="3" t="inlineStr">
        <is>
          <t>MAT-10-249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16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2</v>
      </c>
      <c r="K865" s="6" t="n">
        <v>4044</v>
      </c>
      <c r="L865" s="6" t="n">
        <v>1522</v>
      </c>
      <c r="M865" s="6" t="n">
        <v>4755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 · Max Ferretería</t>
        </is>
      </c>
      <c r="AF865" s="4" t="inlineStr">
        <is>
          <t>espacios: 16</t>
        </is>
      </c>
    </row>
    <row r="866">
      <c r="A866" s="3" t="inlineStr">
        <is>
          <t>MAT-10-250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18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14240</v>
      </c>
      <c r="L866" s="6" t="n">
        <v>14240</v>
      </c>
      <c r="M866" s="6" t="n">
        <v>14240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18</t>
        </is>
      </c>
    </row>
    <row r="867">
      <c r="A867" s="3" t="inlineStr">
        <is>
          <t>MAT-10-251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2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180</v>
      </c>
      <c r="L867" s="6" t="n">
        <v>180</v>
      </c>
      <c r="M867" s="6" t="n">
        <v>180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2</t>
        </is>
      </c>
    </row>
    <row r="868">
      <c r="A868" s="3" t="inlineStr">
        <is>
          <t>MAT-10-252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24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11419.5</v>
      </c>
      <c r="L868" s="6" t="n">
        <v>4431</v>
      </c>
      <c r="M868" s="6" t="n">
        <v>33115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24</t>
        </is>
      </c>
    </row>
    <row r="869">
      <c r="A869" s="3" t="inlineStr">
        <is>
          <t>MAT-10-253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3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5730</v>
      </c>
      <c r="L869" s="6" t="n">
        <v>5730</v>
      </c>
      <c r="M869" s="6" t="n">
        <v>5730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3</t>
        </is>
      </c>
    </row>
    <row r="870">
      <c r="A870" s="3" t="inlineStr">
        <is>
          <t>MAT-10-254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30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14169.46</v>
      </c>
      <c r="L870" s="6" t="n">
        <v>14169.46</v>
      </c>
      <c r="M870" s="6" t="n">
        <v>14169.46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30</t>
        </is>
      </c>
    </row>
    <row r="871">
      <c r="A871" s="3" t="inlineStr">
        <is>
          <t>MAT-10-255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32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8136.48</v>
      </c>
      <c r="L871" s="6" t="n">
        <v>8136.48</v>
      </c>
      <c r="M871" s="6" t="n">
        <v>8136.48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32</t>
        </is>
      </c>
    </row>
    <row r="872">
      <c r="A872" s="3" t="inlineStr">
        <is>
          <t>MAT-10-256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36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16369</v>
      </c>
      <c r="L872" s="6" t="n">
        <v>16369</v>
      </c>
      <c r="M872" s="6" t="n">
        <v>16369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36</t>
        </is>
      </c>
    </row>
    <row r="873">
      <c r="A873" s="3" t="inlineStr">
        <is>
          <t>MAT-10-257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4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1855</v>
      </c>
      <c r="L873" s="6" t="n">
        <v>629</v>
      </c>
      <c r="M873" s="6" t="n">
        <v>2442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4</t>
        </is>
      </c>
    </row>
    <row r="874">
      <c r="A874" s="3" t="inlineStr">
        <is>
          <t>MAT-10-258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40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9743.09</v>
      </c>
      <c r="L874" s="6" t="n">
        <v>9743.09</v>
      </c>
      <c r="M874" s="6" t="n">
        <v>9743.09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</t>
        </is>
      </c>
      <c r="AF874" s="4" t="inlineStr">
        <is>
          <t>espacios: 40</t>
        </is>
      </c>
    </row>
    <row r="875">
      <c r="A875" s="3" t="inlineStr">
        <is>
          <t>MAT-10-259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42 espacios</t>
        </is>
      </c>
      <c r="E875" s="4" t="inlineStr">
        <is>
          <t>Solo la caja · los breakers van aparte</t>
        </is>
      </c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20121.46</v>
      </c>
      <c r="L875" s="6" t="n">
        <v>11250.61</v>
      </c>
      <c r="M875" s="6" t="n">
        <v>22869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2026-09-10</t>
        </is>
      </c>
      <c r="Q875" s="4" t="inlineStr">
        <is>
          <t>Bellón</t>
        </is>
      </c>
      <c r="AF875" s="4" t="inlineStr">
        <is>
          <t>espacios: 42</t>
        </is>
      </c>
    </row>
    <row r="876">
      <c r="A876" s="3" t="inlineStr">
        <is>
          <t>MAT-10-260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48 espacios</t>
        </is>
      </c>
      <c r="E876" s="4" t="inlineStr">
        <is>
          <t>Solo la caja · los breakers van aparte</t>
        </is>
      </c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11883</v>
      </c>
      <c r="L876" s="6" t="n">
        <v>11883</v>
      </c>
      <c r="M876" s="6" t="n">
        <v>11883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2026-09-10</t>
        </is>
      </c>
      <c r="Q876" s="4" t="inlineStr">
        <is>
          <t>Bellón</t>
        </is>
      </c>
      <c r="AF876" s="4" t="inlineStr">
        <is>
          <t>espacios: 48</t>
        </is>
      </c>
    </row>
    <row r="877">
      <c r="A877" s="3" t="inlineStr">
        <is>
          <t>MAT-10-261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60 espacios</t>
        </is>
      </c>
      <c r="E877" s="4" t="inlineStr">
        <is>
          <t>Solo la caja · los breakers van aparte</t>
        </is>
      </c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10527.54</v>
      </c>
      <c r="L877" s="6" t="n">
        <v>10527.54</v>
      </c>
      <c r="M877" s="6" t="n">
        <v>10527.54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2026-09-10</t>
        </is>
      </c>
      <c r="Q877" s="4" t="inlineStr">
        <is>
          <t>Bellón</t>
        </is>
      </c>
      <c r="AF877" s="4" t="inlineStr">
        <is>
          <t>espacios: 60</t>
        </is>
      </c>
    </row>
    <row r="878">
      <c r="A878" s="3" t="inlineStr">
        <is>
          <t>MAT-10-262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Panel de breakers de 8 espacios</t>
        </is>
      </c>
      <c r="E878" s="4" t="inlineStr">
        <is>
          <t>Solo la caja · los breakers van aparte</t>
        </is>
      </c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2</v>
      </c>
      <c r="K878" s="6" t="n">
        <v>1929.79</v>
      </c>
      <c r="L878" s="6" t="n">
        <v>566</v>
      </c>
      <c r="M878" s="6" t="n">
        <v>6205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2026-09-10</t>
        </is>
      </c>
      <c r="Q878" s="4" t="inlineStr">
        <is>
          <t>Bellón · Max Ferretería</t>
        </is>
      </c>
      <c r="AF878" s="4" t="inlineStr">
        <is>
          <t>espacios: 8</t>
        </is>
      </c>
    </row>
    <row r="879">
      <c r="A879" s="3" t="inlineStr">
        <is>
          <t>MAT-10-263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Caja de breaker principal de 125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6160</v>
      </c>
      <c r="L879" s="6" t="n">
        <v>6160</v>
      </c>
      <c r="M879" s="6" t="n">
        <v>6160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amperaje: 125</t>
        </is>
      </c>
    </row>
    <row r="880">
      <c r="A880" s="3" t="inlineStr">
        <is>
          <t>MAT-10-264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Caja de breaker principal de 25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815</v>
      </c>
      <c r="L880" s="6" t="n">
        <v>815</v>
      </c>
      <c r="M880" s="6" t="n">
        <v>815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25</t>
        </is>
      </c>
    </row>
    <row r="881">
      <c r="A881" s="3" t="inlineStr">
        <is>
          <t>MAT-10-265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Caja de breaker principal de 32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700</v>
      </c>
      <c r="L881" s="6" t="n">
        <v>700</v>
      </c>
      <c r="M881" s="6" t="n">
        <v>700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amperaje: 32</t>
        </is>
      </c>
    </row>
    <row r="882">
      <c r="A882" s="3" t="inlineStr">
        <is>
          <t>MAT-10-266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Switch de doble tiro 2P de 30 A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675</v>
      </c>
      <c r="L882" s="6" t="n">
        <v>675</v>
      </c>
      <c r="M882" s="6" t="n">
        <v>675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polos: 2 · amperaje: 30</t>
        </is>
      </c>
    </row>
    <row r="883">
      <c r="A883" s="3" t="inlineStr">
        <is>
          <t>MAT-10-267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Switch de doble tiro 2P de 60 A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1805</v>
      </c>
      <c r="L883" s="6" t="n">
        <v>1805</v>
      </c>
      <c r="M883" s="6" t="n">
        <v>1805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polos: 2 · amperaje: 60</t>
        </is>
      </c>
    </row>
    <row r="884">
      <c r="A884" s="3" t="inlineStr">
        <is>
          <t>MAT-10-268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Fusible de 30 A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50</v>
      </c>
      <c r="L884" s="6" t="n">
        <v>50</v>
      </c>
      <c r="M884" s="6" t="n">
        <v>50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AF884" s="4" t="inlineStr">
        <is>
          <t>amperaje: 30</t>
        </is>
      </c>
    </row>
    <row r="885">
      <c r="A885" s="3" t="inlineStr">
        <is>
          <t>MAT-10-269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Fusible de 60 A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140</v>
      </c>
      <c r="L885" s="6" t="n">
        <v>140</v>
      </c>
      <c r="M885" s="6" t="n">
        <v>140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F885" s="4" t="inlineStr">
        <is>
          <t>amperaje: 60</t>
        </is>
      </c>
    </row>
    <row r="886">
      <c r="A886" s="3" t="inlineStr">
        <is>
          <t>MAT-10-270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Protector de voltaje</t>
        </is>
      </c>
      <c r="E886" s="4" t="inlineStr"/>
      <c r="F886" s="3" t="inlineStr">
        <is>
          <t>unidad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950.01</v>
      </c>
      <c r="L886" s="6" t="n">
        <v>745</v>
      </c>
      <c r="M886" s="6" t="n">
        <v>1610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tipo: Protector de voltaje</t>
        </is>
      </c>
    </row>
    <row r="887">
      <c r="A887" s="3" t="inlineStr">
        <is>
          <t>MAT-10-271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Regulador de voltaje</t>
        </is>
      </c>
      <c r="E887" s="4" t="inlineStr"/>
      <c r="F887" s="3" t="inlineStr">
        <is>
          <t>unidad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1395</v>
      </c>
      <c r="L887" s="6" t="n">
        <v>1395</v>
      </c>
      <c r="M887" s="6" t="n">
        <v>1395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F887" s="4" t="inlineStr">
        <is>
          <t>tipo: Regulador de voltaje</t>
        </is>
      </c>
    </row>
    <row r="888">
      <c r="A888" s="3" t="inlineStr">
        <is>
          <t>MAT-10-272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Tubo eléctrico EMT 1 1/2" x 10 pies</t>
        </is>
      </c>
      <c r="E888" s="4" t="inlineStr"/>
      <c r="F888" s="3" t="inlineStr">
        <is>
          <t>tubo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725</v>
      </c>
      <c r="L888" s="6" t="n">
        <v>725</v>
      </c>
      <c r="M888" s="6" t="n">
        <v>725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Z888" s="7" t="n">
        <v>10</v>
      </c>
      <c r="AF888" s="4" t="inlineStr">
        <is>
          <t>material: EMT · medida: 1 1/2"</t>
        </is>
      </c>
    </row>
    <row r="889">
      <c r="A889" s="3" t="inlineStr">
        <is>
          <t>MAT-10-273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Tubo eléctrico EMT 1" x 10 pies</t>
        </is>
      </c>
      <c r="E889" s="4" t="inlineStr"/>
      <c r="F889" s="3" t="inlineStr">
        <is>
          <t>tubo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375</v>
      </c>
      <c r="L889" s="6" t="n">
        <v>375</v>
      </c>
      <c r="M889" s="6" t="n">
        <v>375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Z889" s="7" t="n">
        <v>10</v>
      </c>
      <c r="AF889" s="4" t="inlineStr">
        <is>
          <t>material: EMT · medida: 1"</t>
        </is>
      </c>
    </row>
    <row r="890">
      <c r="A890" s="3" t="inlineStr">
        <is>
          <t>MAT-10-274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Tubo eléctrico EMT 3/4" x 10 pies</t>
        </is>
      </c>
      <c r="E890" s="4" t="inlineStr"/>
      <c r="F890" s="3" t="inlineStr">
        <is>
          <t>tubo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310</v>
      </c>
      <c r="L890" s="6" t="n">
        <v>310</v>
      </c>
      <c r="M890" s="6" t="n">
        <v>310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Z890" s="7" t="n">
        <v>10</v>
      </c>
      <c r="AF890" s="4" t="inlineStr">
        <is>
          <t>material: EMT · medida: 3/4"</t>
        </is>
      </c>
    </row>
    <row r="891">
      <c r="A891" s="3" t="inlineStr">
        <is>
          <t>MAT-10-275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Tubería flexible BX 1/2"</t>
        </is>
      </c>
      <c r="E891" s="4" t="inlineStr">
        <is>
          <t>La ficha no declara el largo del rollo</t>
        </is>
      </c>
      <c r="F891" s="3" t="inlineStr">
        <is>
          <t>unidad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25</v>
      </c>
      <c r="L891" s="6" t="n">
        <v>25</v>
      </c>
      <c r="M891" s="6" t="n">
        <v>25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material: BX · medida: 1/2"</t>
        </is>
      </c>
    </row>
    <row r="892">
      <c r="A892" s="3" t="inlineStr">
        <is>
          <t>MAT-10-276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Tubería flexible BX 3/4"</t>
        </is>
      </c>
      <c r="E892" s="4" t="inlineStr">
        <is>
          <t>La ficha no declara el largo del rollo</t>
        </is>
      </c>
      <c r="F892" s="3" t="inlineStr">
        <is>
          <t>unidad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35</v>
      </c>
      <c r="L892" s="6" t="n">
        <v>35</v>
      </c>
      <c r="M892" s="6" t="n">
        <v>35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material: BX · medida: 3/4"</t>
        </is>
      </c>
    </row>
    <row r="893">
      <c r="A893" s="3" t="inlineStr">
        <is>
          <t>MAT-10-277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Tubería flexible liquid tight 3/4"</t>
        </is>
      </c>
      <c r="E893" s="4" t="inlineStr">
        <is>
          <t>La ficha no declara el largo del rollo</t>
        </is>
      </c>
      <c r="F893" s="3" t="inlineStr">
        <is>
          <t>unidad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77.51000000000001</v>
      </c>
      <c r="L893" s="6" t="n">
        <v>45.01</v>
      </c>
      <c r="M893" s="6" t="n">
        <v>110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material: liquid tight · medida: 3/4"</t>
        </is>
      </c>
    </row>
    <row r="894">
      <c r="A894" s="3" t="inlineStr">
        <is>
          <t>MAT-10-278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11 x 10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115</v>
      </c>
      <c r="L894" s="6" t="n">
        <v>115</v>
      </c>
      <c r="M894" s="6" t="n">
        <v>115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11 x 10 mm</t>
        </is>
      </c>
    </row>
    <row r="895">
      <c r="A895" s="3" t="inlineStr">
        <is>
          <t>MAT-10-279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15 x 10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119.99</v>
      </c>
      <c r="L895" s="6" t="n">
        <v>119.99</v>
      </c>
      <c r="M895" s="6" t="n">
        <v>119.99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15 x 10 mm</t>
        </is>
      </c>
    </row>
    <row r="896">
      <c r="A896" s="3" t="inlineStr">
        <is>
          <t>MAT-10-280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15 x 12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135</v>
      </c>
      <c r="L896" s="6" t="n">
        <v>135</v>
      </c>
      <c r="M896" s="6" t="n">
        <v>135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15 x 12 mm</t>
        </is>
      </c>
    </row>
    <row r="897">
      <c r="A897" s="3" t="inlineStr">
        <is>
          <t>MAT-10-281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20 x 10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150</v>
      </c>
      <c r="L897" s="6" t="n">
        <v>150</v>
      </c>
      <c r="M897" s="6" t="n">
        <v>150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20 x 10 mm</t>
        </is>
      </c>
    </row>
    <row r="898">
      <c r="A898" s="3" t="inlineStr">
        <is>
          <t>MAT-10-282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25 x 15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200</v>
      </c>
      <c r="L898" s="6" t="n">
        <v>200</v>
      </c>
      <c r="M898" s="6" t="n">
        <v>200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25 x 15 mm</t>
        </is>
      </c>
    </row>
    <row r="899">
      <c r="A899" s="3" t="inlineStr">
        <is>
          <t>MAT-10-283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32 x 15 mm</t>
        </is>
      </c>
      <c r="E899" s="4" t="inlineStr"/>
      <c r="F899" s="3" t="inlineStr">
        <is>
          <t>tramo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215</v>
      </c>
      <c r="L899" s="6" t="n">
        <v>215</v>
      </c>
      <c r="M899" s="6" t="n">
        <v>215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AF899" s="4" t="inlineStr">
        <is>
          <t>medida: 32 x 15 mm</t>
        </is>
      </c>
    </row>
    <row r="900">
      <c r="A900" s="3" t="inlineStr">
        <is>
          <t>MAT-10-284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40 x 15 mm</t>
        </is>
      </c>
      <c r="E900" s="4" t="inlineStr"/>
      <c r="F900" s="3" t="inlineStr">
        <is>
          <t>tramo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320</v>
      </c>
      <c r="L900" s="6" t="n">
        <v>320</v>
      </c>
      <c r="M900" s="6" t="n">
        <v>320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AF900" s="4" t="inlineStr">
        <is>
          <t>medida: 40 x 15 mm</t>
        </is>
      </c>
    </row>
    <row r="901">
      <c r="A901" s="3" t="inlineStr">
        <is>
          <t>MAT-10-285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60 x 40 mm</t>
        </is>
      </c>
      <c r="E901" s="4" t="inlineStr"/>
      <c r="F901" s="3" t="inlineStr">
        <is>
          <t>tramo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550</v>
      </c>
      <c r="L901" s="6" t="n">
        <v>550</v>
      </c>
      <c r="M901" s="6" t="n">
        <v>550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AF901" s="4" t="inlineStr">
        <is>
          <t>medida: 60 x 40 mm</t>
        </is>
      </c>
    </row>
    <row r="902">
      <c r="A902" s="3" t="inlineStr">
        <is>
          <t>MAT-10-286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Canaleta plástica 80 x 40 mm</t>
        </is>
      </c>
      <c r="E902" s="4" t="inlineStr"/>
      <c r="F902" s="3" t="inlineStr">
        <is>
          <t>tramo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745</v>
      </c>
      <c r="L902" s="6" t="n">
        <v>745</v>
      </c>
      <c r="M902" s="6" t="n">
        <v>745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AF902" s="4" t="inlineStr">
        <is>
          <t>medida: 80 x 40 mm</t>
        </is>
      </c>
    </row>
    <row r="903">
      <c r="A903" s="3" t="inlineStr">
        <is>
          <t>MAT-10-287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Caja eléctrica octagonal de metal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115</v>
      </c>
      <c r="L903" s="6" t="n">
        <v>115</v>
      </c>
      <c r="M903" s="6" t="n">
        <v>115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R903" s="7" t="inlineStr">
        <is>
          <t>octagonal</t>
        </is>
      </c>
      <c r="AF903" s="4" t="inlineStr">
        <is>
          <t>material: metal</t>
        </is>
      </c>
    </row>
    <row r="904">
      <c r="A904" s="3" t="inlineStr">
        <is>
          <t>MAT-10-288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Caja eléctrica rectangular de metal 2 x 4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40.5</v>
      </c>
      <c r="L904" s="6" t="n">
        <v>40</v>
      </c>
      <c r="M904" s="6" t="n">
        <v>41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R904" s="7" t="inlineStr">
        <is>
          <t>rectangular</t>
        </is>
      </c>
      <c r="AF904" s="4" t="inlineStr">
        <is>
          <t>material: metal · medida: 2 x 4</t>
        </is>
      </c>
    </row>
    <row r="905">
      <c r="A905" s="3" t="inlineStr">
        <is>
          <t>MAT-10-289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Caja eléctrica rectangular de PVC 2 x 4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45.01</v>
      </c>
      <c r="L905" s="6" t="n">
        <v>45.01</v>
      </c>
      <c r="M905" s="6" t="n">
        <v>45.01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R905" s="7" t="inlineStr">
        <is>
          <t>rectangular</t>
        </is>
      </c>
      <c r="AF905" s="4" t="inlineStr">
        <is>
          <t>material: PVC · medida: 2 x 4</t>
        </is>
      </c>
    </row>
    <row r="906">
      <c r="A906" s="3" t="inlineStr">
        <is>
          <t>MAT-10-290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1/2"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4</v>
      </c>
      <c r="L906" s="6" t="n">
        <v>4</v>
      </c>
      <c r="M906" s="6" t="n">
        <v>4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1/2"</t>
        </is>
      </c>
    </row>
    <row r="907">
      <c r="A907" s="3" t="inlineStr">
        <is>
          <t>MAT-10-291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1/2", 2 huecos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5</v>
      </c>
      <c r="L907" s="6" t="n">
        <v>5</v>
      </c>
      <c r="M907" s="6" t="n">
        <v>5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1/2" · huecos: 2</t>
        </is>
      </c>
    </row>
    <row r="908">
      <c r="A908" s="3" t="inlineStr">
        <is>
          <t>MAT-10-292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Abrazadera para tubo eléctrico 1"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7</v>
      </c>
      <c r="L908" s="6" t="n">
        <v>7</v>
      </c>
      <c r="M908" s="6" t="n">
        <v>7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AF908" s="4" t="inlineStr">
        <is>
          <t>medida: 1"</t>
        </is>
      </c>
    </row>
    <row r="909">
      <c r="A909" s="3" t="inlineStr">
        <is>
          <t>MAT-10-293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Abrazadera para tubo eléctrico 2"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35</v>
      </c>
      <c r="L909" s="6" t="n">
        <v>35</v>
      </c>
      <c r="M909" s="6" t="n">
        <v>35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AF909" s="4" t="inlineStr">
        <is>
          <t>medida: 2"</t>
        </is>
      </c>
    </row>
    <row r="910">
      <c r="A910" s="3" t="inlineStr">
        <is>
          <t>MAT-10-294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Abrazadera para tubo eléctrico 3/4"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4</v>
      </c>
      <c r="L910" s="6" t="n">
        <v>4</v>
      </c>
      <c r="M910" s="6" t="n">
        <v>4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AF910" s="4" t="inlineStr">
        <is>
          <t>medida: 3/4"</t>
        </is>
      </c>
    </row>
    <row r="911">
      <c r="A911" s="3" t="inlineStr">
        <is>
          <t>MAT-10-295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Abrazadera para tubo eléctrico 3"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64.98999999999999</v>
      </c>
      <c r="L911" s="6" t="n">
        <v>64.98999999999999</v>
      </c>
      <c r="M911" s="6" t="n">
        <v>64.98999999999999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Max Ferretería</t>
        </is>
      </c>
      <c r="AF911" s="4" t="inlineStr">
        <is>
          <t>medida: 3"</t>
        </is>
      </c>
    </row>
    <row r="912">
      <c r="A912" s="3" t="inlineStr">
        <is>
          <t>MAT-10-296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1 1/2"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45.6</v>
      </c>
      <c r="L912" s="6" t="n">
        <v>45.6</v>
      </c>
      <c r="M912" s="6" t="n">
        <v>45.6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1 1/2"</t>
        </is>
      </c>
    </row>
    <row r="913">
      <c r="A913" s="3" t="inlineStr">
        <is>
          <t>MAT-10-297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1/2"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8.99</v>
      </c>
      <c r="L913" s="6" t="n">
        <v>8.99</v>
      </c>
      <c r="M913" s="6" t="n">
        <v>8.99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1/2"</t>
        </is>
      </c>
    </row>
    <row r="914">
      <c r="A914" s="3" t="inlineStr">
        <is>
          <t>MAT-10-298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1"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17.89</v>
      </c>
      <c r="L914" s="6" t="n">
        <v>17.89</v>
      </c>
      <c r="M914" s="6" t="n">
        <v>17.89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1"</t>
        </is>
      </c>
    </row>
    <row r="915">
      <c r="A915" s="3" t="inlineStr">
        <is>
          <t>MAT-10-299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Codo conduit de PVC 2"</t>
        </is>
      </c>
      <c r="E915" s="4" t="inlineStr"/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65.88</v>
      </c>
      <c r="L915" s="6" t="n">
        <v>65.88</v>
      </c>
      <c r="M915" s="6" t="n">
        <v>65.88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</t>
        </is>
      </c>
      <c r="AF915" s="4" t="inlineStr">
        <is>
          <t>tipo: codo · medida: 2"</t>
        </is>
      </c>
    </row>
    <row r="916">
      <c r="A916" s="3" t="inlineStr">
        <is>
          <t>MAT-10-300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Codo conduit de PVC 3/4"</t>
        </is>
      </c>
      <c r="E916" s="4" t="inlineStr"/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10.77</v>
      </c>
      <c r="L916" s="6" t="n">
        <v>10.77</v>
      </c>
      <c r="M916" s="6" t="n">
        <v>10.77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MC</t>
        </is>
      </c>
      <c r="AF916" s="4" t="inlineStr">
        <is>
          <t>tipo: codo · medida: 3/4"</t>
        </is>
      </c>
    </row>
    <row r="917">
      <c r="A917" s="3" t="inlineStr">
        <is>
          <t>MAT-10-301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3"</t>
        </is>
      </c>
      <c r="E917" s="4" t="inlineStr"/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195.41</v>
      </c>
      <c r="L917" s="6" t="n">
        <v>195.41</v>
      </c>
      <c r="M917" s="6" t="n">
        <v>195.41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</t>
        </is>
      </c>
      <c r="AF917" s="4" t="inlineStr">
        <is>
          <t>tipo: codo · medida: 3"</t>
        </is>
      </c>
    </row>
    <row r="918">
      <c r="A918" s="3" t="inlineStr">
        <is>
          <t>MAT-10-302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Codo conduit de PVC 4"</t>
        </is>
      </c>
      <c r="E918" s="4" t="inlineStr"/>
      <c r="F918" s="3" t="inlineStr">
        <is>
          <t>unidad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367.2</v>
      </c>
      <c r="L918" s="6" t="n">
        <v>367.2</v>
      </c>
      <c r="M918" s="6" t="n">
        <v>367.2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MC</t>
        </is>
      </c>
      <c r="AF918" s="4" t="inlineStr">
        <is>
          <t>tipo: codo · medida: 4"</t>
        </is>
      </c>
    </row>
    <row r="919">
      <c r="A919" s="3" t="inlineStr">
        <is>
          <t>MAT-10-303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Abrazadera plástica de 10"</t>
        </is>
      </c>
      <c r="E919" s="4" t="inlineStr">
        <is>
          <t>La ficha no declara cuántas trae el paquete</t>
        </is>
      </c>
      <c r="F919" s="3" t="inlineStr">
        <is>
          <t>paquete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150</v>
      </c>
      <c r="L919" s="6" t="n">
        <v>150</v>
      </c>
      <c r="M919" s="6" t="n">
        <v>150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largo_pulg: 10</t>
        </is>
      </c>
    </row>
    <row r="920">
      <c r="A920" s="3" t="inlineStr">
        <is>
          <t>MAT-10-304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Abrazadera plástica de 12"</t>
        </is>
      </c>
      <c r="E920" s="4" t="inlineStr">
        <is>
          <t>La ficha no declara cuántas trae el paquete</t>
        </is>
      </c>
      <c r="F920" s="3" t="inlineStr">
        <is>
          <t>paquete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2.42</v>
      </c>
      <c r="L920" s="6" t="n">
        <v>1.99</v>
      </c>
      <c r="M920" s="6" t="n">
        <v>2.86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largo_pulg: 12</t>
        </is>
      </c>
    </row>
    <row r="921">
      <c r="A921" s="3" t="inlineStr">
        <is>
          <t>MAT-10-305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Abrazadera plástica de 8"</t>
        </is>
      </c>
      <c r="E921" s="4" t="inlineStr">
        <is>
          <t>La ficha no declara cuántas trae el paquete</t>
        </is>
      </c>
      <c r="F921" s="3" t="inlineStr">
        <is>
          <t>paquete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95</v>
      </c>
      <c r="L921" s="6" t="n">
        <v>85</v>
      </c>
      <c r="M921" s="6" t="n">
        <v>105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largo_pulg: 8</t>
        </is>
      </c>
    </row>
    <row r="922">
      <c r="A922" s="3" t="inlineStr">
        <is>
          <t>MAT-10-306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Cinta aislante 15 mts</t>
        </is>
      </c>
      <c r="E922" s="4" t="inlineStr"/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1125</v>
      </c>
      <c r="L922" s="6" t="n">
        <v>1125</v>
      </c>
      <c r="M922" s="6" t="n">
        <v>1125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medida: 15 mts</t>
        </is>
      </c>
    </row>
    <row r="923">
      <c r="A923" s="3" t="inlineStr">
        <is>
          <t>MAT-10-307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Cinta aislante 3 m</t>
        </is>
      </c>
      <c r="E923" s="4" t="inlineStr"/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787.5</v>
      </c>
      <c r="L923" s="6" t="n">
        <v>135</v>
      </c>
      <c r="M923" s="6" t="n">
        <v>2115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medida: 3 m</t>
        </is>
      </c>
    </row>
    <row r="924">
      <c r="A924" s="3" t="inlineStr">
        <is>
          <t>MAT-10-308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Cinta aislante 30 mts</t>
        </is>
      </c>
      <c r="E924" s="4" t="inlineStr"/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1730</v>
      </c>
      <c r="L924" s="6" t="n">
        <v>1730</v>
      </c>
      <c r="M924" s="6" t="n">
        <v>1730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Max Ferretería</t>
        </is>
      </c>
      <c r="AF924" s="4" t="inlineStr">
        <is>
          <t>medida: 30 mts</t>
        </is>
      </c>
    </row>
    <row r="925">
      <c r="A925" s="3" t="inlineStr">
        <is>
          <t>MAT-10-309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#14,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1139.88</v>
      </c>
      <c r="L925" s="6" t="n">
        <v>1139.88</v>
      </c>
      <c r="M925" s="6" t="n">
        <v>1139.88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14</t>
        </is>
      </c>
    </row>
    <row r="926">
      <c r="A926" s="3" t="inlineStr">
        <is>
          <t>MAT-10-310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#2,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14868</v>
      </c>
      <c r="L926" s="6" t="n">
        <v>14868</v>
      </c>
      <c r="M926" s="6" t="n">
        <v>14868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2</t>
        </is>
      </c>
    </row>
    <row r="927">
      <c r="A927" s="3" t="inlineStr">
        <is>
          <t>MAT-10-311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#2/0,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30562</v>
      </c>
      <c r="L927" s="6" t="n">
        <v>30562</v>
      </c>
      <c r="M927" s="6" t="n">
        <v>30562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2/0</t>
        </is>
      </c>
    </row>
    <row r="928">
      <c r="A928" s="3" t="inlineStr">
        <is>
          <t>MAT-10-312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THHN #3/0, rollo 100 pies</t>
        </is>
      </c>
      <c r="E928" s="4" t="inlineStr">
        <is>
          <t>Cobre · 600 V</t>
        </is>
      </c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38704</v>
      </c>
      <c r="L928" s="6" t="n">
        <v>38704</v>
      </c>
      <c r="M928" s="6" t="n">
        <v>38704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3/0</t>
        </is>
      </c>
    </row>
    <row r="929">
      <c r="A929" s="3" t="inlineStr">
        <is>
          <t>MAT-10-313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THHN #4, rollo 100 pies</t>
        </is>
      </c>
      <c r="E929" s="4" t="inlineStr">
        <is>
          <t>Cobre · 600 V</t>
        </is>
      </c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9954.48</v>
      </c>
      <c r="L929" s="6" t="n">
        <v>9954.48</v>
      </c>
      <c r="M929" s="6" t="n">
        <v>9954.48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4</t>
        </is>
      </c>
    </row>
    <row r="930">
      <c r="A930" s="3" t="inlineStr">
        <is>
          <t>MAT-10-314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#4/0, rollo 100 pies</t>
        </is>
      </c>
      <c r="E930" s="4" t="inlineStr">
        <is>
          <t>Cobre · 600 V</t>
        </is>
      </c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46256</v>
      </c>
      <c r="L930" s="6" t="n">
        <v>46256</v>
      </c>
      <c r="M930" s="6" t="n">
        <v>46256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4/0</t>
        </is>
      </c>
    </row>
    <row r="931">
      <c r="A931" s="3" t="inlineStr">
        <is>
          <t>MAT-10-315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THHN #6, rollo 100 pies</t>
        </is>
      </c>
      <c r="E931" s="4" t="inlineStr">
        <is>
          <t>Cobre · 600 V</t>
        </is>
      </c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6216.24</v>
      </c>
      <c r="L931" s="6" t="n">
        <v>6216.24</v>
      </c>
      <c r="M931" s="6" t="n">
        <v>6216.24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6</t>
        </is>
      </c>
    </row>
    <row r="932">
      <c r="A932" s="3" t="inlineStr">
        <is>
          <t>MAT-10-316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1.5 mm, 2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2480.36</v>
      </c>
      <c r="L932" s="6" t="n">
        <v>2480.36</v>
      </c>
      <c r="M932" s="6" t="n">
        <v>2480.36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1.5 mm</t>
        </is>
      </c>
      <c r="AF932" s="4" t="inlineStr">
        <is>
          <t>conductores: 2</t>
        </is>
      </c>
    </row>
    <row r="933">
      <c r="A933" s="3" t="inlineStr">
        <is>
          <t>MAT-10-317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1.5 mm, 3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3453.86</v>
      </c>
      <c r="L933" s="6" t="n">
        <v>3453.86</v>
      </c>
      <c r="M933" s="6" t="n">
        <v>3453.86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1.5 mm</t>
        </is>
      </c>
      <c r="AF933" s="4" t="inlineStr">
        <is>
          <t>conductores: 3</t>
        </is>
      </c>
    </row>
    <row r="934">
      <c r="A934" s="3" t="inlineStr">
        <is>
          <t>MAT-10-318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1.5 mm, 4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4381.34</v>
      </c>
      <c r="L934" s="6" t="n">
        <v>4381.34</v>
      </c>
      <c r="M934" s="6" t="n">
        <v>4381.34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1.5 mm</t>
        </is>
      </c>
      <c r="AF934" s="4" t="inlineStr">
        <is>
          <t>conductores: 4</t>
        </is>
      </c>
    </row>
    <row r="935">
      <c r="A935" s="3" t="inlineStr">
        <is>
          <t>MAT-10-319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12, 2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4299.92</v>
      </c>
      <c r="L935" s="6" t="n">
        <v>4299.92</v>
      </c>
      <c r="M935" s="6" t="n">
        <v>4299.92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12</t>
        </is>
      </c>
      <c r="AF935" s="4" t="inlineStr">
        <is>
          <t>conductores: 2</t>
        </is>
      </c>
    </row>
    <row r="936">
      <c r="A936" s="3" t="inlineStr">
        <is>
          <t>MAT-10-320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12, 3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6298.84</v>
      </c>
      <c r="L936" s="6" t="n">
        <v>6298.84</v>
      </c>
      <c r="M936" s="6" t="n">
        <v>6298.84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12</t>
        </is>
      </c>
      <c r="AF936" s="4" t="inlineStr">
        <is>
          <t>conductores: 3</t>
        </is>
      </c>
    </row>
    <row r="937">
      <c r="A937" s="3" t="inlineStr">
        <is>
          <t>MAT-10-321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14, 4 conductores, rollo 100 pies</t>
        </is>
      </c>
      <c r="E937" s="4" t="inlineStr"/>
      <c r="F937" s="3" t="inlineStr">
        <is>
          <t>rollo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5508.24</v>
      </c>
      <c r="L937" s="6" t="n">
        <v>5508.24</v>
      </c>
      <c r="M937" s="6" t="n">
        <v>5508.24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</t>
        </is>
      </c>
      <c r="AC937" s="7" t="inlineStr">
        <is>
          <t>14</t>
        </is>
      </c>
      <c r="AF937" s="4" t="inlineStr">
        <is>
          <t>conductores: 4</t>
        </is>
      </c>
    </row>
    <row r="938">
      <c r="A938" s="3" t="inlineStr">
        <is>
          <t>MAT-10-322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2.5 mm, 2 conductores, rollo 100 pies</t>
        </is>
      </c>
      <c r="E938" s="4" t="inlineStr"/>
      <c r="F938" s="3" t="inlineStr">
        <is>
          <t>rollo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3431.44</v>
      </c>
      <c r="L938" s="6" t="n">
        <v>3431.44</v>
      </c>
      <c r="M938" s="6" t="n">
        <v>3431.44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MC</t>
        </is>
      </c>
      <c r="AC938" s="7" t="inlineStr">
        <is>
          <t>2.5 mm</t>
        </is>
      </c>
      <c r="AF938" s="4" t="inlineStr">
        <is>
          <t>conductores: 2</t>
        </is>
      </c>
    </row>
    <row r="939">
      <c r="A939" s="3" t="inlineStr">
        <is>
          <t>MAT-10-323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2.5 mm, 3 conductores, rollo 100 pies</t>
        </is>
      </c>
      <c r="E939" s="4" t="inlineStr"/>
      <c r="F939" s="3" t="inlineStr">
        <is>
          <t>rollo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5145.98</v>
      </c>
      <c r="L939" s="6" t="n">
        <v>5145.98</v>
      </c>
      <c r="M939" s="6" t="n">
        <v>5145.98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</t>
        </is>
      </c>
      <c r="AC939" s="7" t="inlineStr">
        <is>
          <t>2.5 mm</t>
        </is>
      </c>
      <c r="AF939" s="4" t="inlineStr">
        <is>
          <t>conductores: 3</t>
        </is>
      </c>
    </row>
    <row r="940">
      <c r="A940" s="3" t="inlineStr">
        <is>
          <t>MAT-10-324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Cable de goma 6, 4 conductores, rollo 100 pies</t>
        </is>
      </c>
      <c r="E940" s="4" t="inlineStr"/>
      <c r="F940" s="3" t="inlineStr">
        <is>
          <t>rollo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31506</v>
      </c>
      <c r="L940" s="6" t="n">
        <v>31506</v>
      </c>
      <c r="M940" s="6" t="n">
        <v>31506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MC</t>
        </is>
      </c>
      <c r="AC940" s="7" t="inlineStr">
        <is>
          <t>6</t>
        </is>
      </c>
      <c r="AF940" s="4" t="inlineStr">
        <is>
          <t>conductores: 4</t>
        </is>
      </c>
    </row>
    <row r="941">
      <c r="A941" s="3" t="inlineStr">
        <is>
          <t>MAT-10-325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10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180</v>
      </c>
      <c r="L941" s="6" t="n">
        <v>180</v>
      </c>
      <c r="M941" s="6" t="n">
        <v>180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10</v>
      </c>
    </row>
    <row r="942">
      <c r="A942" s="3" t="inlineStr">
        <is>
          <t>MAT-10-326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100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1940</v>
      </c>
      <c r="L942" s="6" t="n">
        <v>1355.01</v>
      </c>
      <c r="M942" s="6" t="n">
        <v>2335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100</v>
      </c>
    </row>
    <row r="943">
      <c r="A943" s="3" t="inlineStr">
        <is>
          <t>MAT-10-327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12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285</v>
      </c>
      <c r="L943" s="6" t="n">
        <v>210</v>
      </c>
      <c r="M943" s="6" t="n">
        <v>359.99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12</v>
      </c>
    </row>
    <row r="944">
      <c r="A944" s="3" t="inlineStr">
        <is>
          <t>MAT-10-328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13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225</v>
      </c>
      <c r="L944" s="6" t="n">
        <v>225</v>
      </c>
      <c r="M944" s="6" t="n">
        <v>225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13</v>
      </c>
    </row>
    <row r="945">
      <c r="A945" s="3" t="inlineStr">
        <is>
          <t>MAT-10-329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15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505</v>
      </c>
      <c r="L945" s="6" t="n">
        <v>300</v>
      </c>
      <c r="M945" s="6" t="n">
        <v>894.99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15</v>
      </c>
    </row>
    <row r="946">
      <c r="A946" s="3" t="inlineStr">
        <is>
          <t>MAT-10-330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16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270</v>
      </c>
      <c r="L946" s="6" t="n">
        <v>270</v>
      </c>
      <c r="M946" s="6" t="n">
        <v>270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16</v>
      </c>
    </row>
    <row r="947">
      <c r="A947" s="3" t="inlineStr">
        <is>
          <t>MAT-10-331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25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1700</v>
      </c>
      <c r="L947" s="6" t="n">
        <v>1700</v>
      </c>
      <c r="M947" s="6" t="n">
        <v>1700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25</v>
      </c>
    </row>
    <row r="948">
      <c r="A948" s="3" t="inlineStr">
        <is>
          <t>MAT-10-332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26 pies</t>
        </is>
      </c>
      <c r="E948" s="4" t="inlineStr">
        <is>
          <t>Casi ninguna ficha declara el calibre · ahí está la diferencia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520</v>
      </c>
      <c r="L948" s="6" t="n">
        <v>520</v>
      </c>
      <c r="M948" s="6" t="n">
        <v>520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Z948" s="7" t="n">
        <v>26</v>
      </c>
    </row>
    <row r="949">
      <c r="A949" s="3" t="inlineStr">
        <is>
          <t>MAT-10-333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50 pies</t>
        </is>
      </c>
      <c r="E949" s="4" t="inlineStr">
        <is>
          <t>Casi ninguna ficha declara el calibre · ahí está la diferencia</t>
        </is>
      </c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1330</v>
      </c>
      <c r="L949" s="6" t="n">
        <v>725</v>
      </c>
      <c r="M949" s="6" t="n">
        <v>2989.99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Z949" s="7" t="n">
        <v>50</v>
      </c>
    </row>
    <row r="950">
      <c r="A950" s="3" t="inlineStr">
        <is>
          <t>MAT-10-334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6 pies</t>
        </is>
      </c>
      <c r="E950" s="4" t="inlineStr">
        <is>
          <t>Casi ninguna ficha declara el calibre · ahí está la diferencia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310</v>
      </c>
      <c r="L950" s="6" t="n">
        <v>310</v>
      </c>
      <c r="M950" s="6" t="n">
        <v>310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Z950" s="7" t="n">
        <v>6</v>
      </c>
    </row>
    <row r="951">
      <c r="A951" s="3" t="inlineStr">
        <is>
          <t>MAT-10-335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Extensión eléctrica de 7 pies</t>
        </is>
      </c>
      <c r="E951" s="4" t="inlineStr">
        <is>
          <t>Casi ninguna ficha declara el calibre · ahí está la diferencia</t>
        </is>
      </c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145</v>
      </c>
      <c r="L951" s="6" t="n">
        <v>145</v>
      </c>
      <c r="M951" s="6" t="n">
        <v>145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Z951" s="7" t="n">
        <v>7</v>
      </c>
    </row>
    <row r="952">
      <c r="A952" s="3" t="inlineStr">
        <is>
          <t>MAT-10-336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Regleta de 6 salidas</t>
        </is>
      </c>
      <c r="E952" s="4" t="inlineStr">
        <is>
          <t>La ficha no declara si trae supresor de picos</t>
        </is>
      </c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737.5</v>
      </c>
      <c r="L952" s="6" t="n">
        <v>654.99</v>
      </c>
      <c r="M952" s="6" t="n">
        <v>1330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salidas: 6</t>
        </is>
      </c>
    </row>
    <row r="953">
      <c r="A953" s="3" t="inlineStr">
        <is>
          <t>MAT-10-337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Regleta de 6 salidas con supresor de picos</t>
        </is>
      </c>
      <c r="E953" s="4" t="inlineStr"/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725</v>
      </c>
      <c r="L953" s="6" t="n">
        <v>725</v>
      </c>
      <c r="M953" s="6" t="n">
        <v>725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salidas: 6 · supresor: si</t>
        </is>
      </c>
    </row>
    <row r="954">
      <c r="A954" s="3" t="inlineStr">
        <is>
          <t>MAT-10-338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Regleta de 8 salidas</t>
        </is>
      </c>
      <c r="E954" s="4" t="inlineStr">
        <is>
          <t>La ficha no declara si trae supresor de picos</t>
        </is>
      </c>
      <c r="F954" s="3" t="inlineStr">
        <is>
          <t>unidad</t>
        </is>
      </c>
      <c r="G954" s="3" t="inlineStr">
        <is>
          <t>Instalaciones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1195</v>
      </c>
      <c r="L954" s="6" t="n">
        <v>1195</v>
      </c>
      <c r="M954" s="6" t="n">
        <v>1195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Max Ferretería</t>
        </is>
      </c>
      <c r="AF954" s="4" t="inlineStr">
        <is>
          <t>salidas: 8</t>
        </is>
      </c>
    </row>
    <row r="955">
      <c r="A955" s="3" t="inlineStr">
        <is>
          <t>MAT-10-339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Sensor de movimiento</t>
        </is>
      </c>
      <c r="E955" s="4" t="inlineStr"/>
      <c r="F955" s="3" t="inlineStr">
        <is>
          <t>unidad</t>
        </is>
      </c>
      <c r="G955" s="3" t="inlineStr">
        <is>
          <t>Instalaciones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570</v>
      </c>
      <c r="L955" s="6" t="n">
        <v>500</v>
      </c>
      <c r="M955" s="6" t="n">
        <v>780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Max Ferretería</t>
        </is>
      </c>
      <c r="AF955" s="4" t="inlineStr">
        <is>
          <t>tipo: Sensor de movimiento</t>
        </is>
      </c>
    </row>
    <row r="956">
      <c r="A956" s="3" t="inlineStr">
        <is>
          <t>MAT-10-340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Temporizador</t>
        </is>
      </c>
      <c r="E956" s="4" t="inlineStr"/>
      <c r="F956" s="3" t="inlineStr">
        <is>
          <t>unidad</t>
        </is>
      </c>
      <c r="G956" s="3" t="inlineStr">
        <is>
          <t>Instalaciones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805</v>
      </c>
      <c r="L956" s="6" t="n">
        <v>805</v>
      </c>
      <c r="M956" s="6" t="n">
        <v>805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Max Ferretería</t>
        </is>
      </c>
      <c r="AF956" s="4" t="inlineStr">
        <is>
          <t>tipo: Temporizador</t>
        </is>
      </c>
    </row>
    <row r="957">
      <c r="A957" s="3" t="inlineStr">
        <is>
          <t>MAT-10-341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Timbre eléctrico</t>
        </is>
      </c>
      <c r="E957" s="4" t="inlineStr"/>
      <c r="F957" s="3" t="inlineStr">
        <is>
          <t>unidad</t>
        </is>
      </c>
      <c r="G957" s="3" t="inlineStr">
        <is>
          <t>Instalaciones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414.99</v>
      </c>
      <c r="L957" s="6" t="n">
        <v>100</v>
      </c>
      <c r="M957" s="6" t="n">
        <v>894.99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Max Ferretería</t>
        </is>
      </c>
      <c r="AF957" s="4" t="inlineStr">
        <is>
          <t>tipo: Timbre eléctrico</t>
        </is>
      </c>
    </row>
    <row r="958">
      <c r="A958" s="3" t="inlineStr">
        <is>
          <t>MAT-12-009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acrílica, cubeta de 5 galones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2</v>
      </c>
      <c r="K958" s="6" t="n">
        <v>3750</v>
      </c>
      <c r="L958" s="6" t="n">
        <v>1730.56</v>
      </c>
      <c r="M958" s="6" t="n">
        <v>11526.59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2026-09-10</t>
        </is>
      </c>
      <c r="Q958" s="4" t="inlineStr">
        <is>
          <t>Ferremix (Grupo Alterra) · Tonos y Colores</t>
        </is>
      </c>
      <c r="AF958" s="4" t="inlineStr">
        <is>
          <t>tipo: acrílica · envase: cubeta de 5 galones</t>
        </is>
      </c>
    </row>
    <row r="959">
      <c r="A959" s="3" t="inlineStr">
        <is>
          <t>MAT-12-010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acrílica, galón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2</v>
      </c>
      <c r="K959" s="6" t="n">
        <v>757.13</v>
      </c>
      <c r="L959" s="6" t="n">
        <v>374.4</v>
      </c>
      <c r="M959" s="6" t="n">
        <v>5297.6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2026-09-10</t>
        </is>
      </c>
      <c r="Q959" s="4" t="inlineStr">
        <is>
          <t>Ferremix (Grupo Alterra) · Tonos y Colores</t>
        </is>
      </c>
      <c r="AF959" s="4" t="inlineStr">
        <is>
          <t>tipo: acrílica · envase: galón</t>
        </is>
      </c>
    </row>
    <row r="960">
      <c r="A960" s="3" t="inlineStr">
        <is>
          <t>MAT-12-011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aislante térmica,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6835.64</v>
      </c>
      <c r="L960" s="6" t="n">
        <v>6835.64</v>
      </c>
      <c r="M960" s="6" t="n">
        <v>6835.64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aislante térmica · envase: galón · acabado: brillante</t>
        </is>
      </c>
    </row>
    <row r="961">
      <c r="A961" s="3" t="inlineStr">
        <is>
          <t>MAT-12-012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anticorrosiva, galón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4353.57</v>
      </c>
      <c r="L961" s="6" t="n">
        <v>1345.06</v>
      </c>
      <c r="M961" s="6" t="n">
        <v>4353.57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anticorrosiva · envase: galón · acabado: brillante</t>
        </is>
      </c>
    </row>
    <row r="962">
      <c r="A962" s="3" t="inlineStr">
        <is>
          <t>MAT-12-013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de tráfico, galón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1780.6</v>
      </c>
      <c r="L962" s="6" t="n">
        <v>1705.6</v>
      </c>
      <c r="M962" s="6" t="n">
        <v>4908.28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Tonos y Colores</t>
        </is>
      </c>
      <c r="AF962" s="4" t="inlineStr">
        <is>
          <t>tipo: de tráfico · envase: galón · acabado: brillante</t>
        </is>
      </c>
    </row>
    <row r="963">
      <c r="A963" s="3" t="inlineStr">
        <is>
          <t>MAT-12-014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epóxica, cubeta de 5 galones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1675</v>
      </c>
      <c r="L963" s="6" t="n">
        <v>1675</v>
      </c>
      <c r="M963" s="6" t="n">
        <v>1675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2026-09-10</t>
        </is>
      </c>
      <c r="Q963" s="4" t="inlineStr">
        <is>
          <t>Ferremix (Grupo Alterra)</t>
        </is>
      </c>
      <c r="AF963" s="4" t="inlineStr">
        <is>
          <t>tipo: epóxica · envase: cubeta de 5 galones</t>
        </is>
      </c>
    </row>
    <row r="964">
      <c r="A964" s="3" t="inlineStr">
        <is>
          <t>MAT-12-015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epóxica, galón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2954.01</v>
      </c>
      <c r="L964" s="6" t="n">
        <v>2954.01</v>
      </c>
      <c r="M964" s="6" t="n">
        <v>2954.01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Tonos y Colores</t>
        </is>
      </c>
      <c r="AF964" s="4" t="inlineStr">
        <is>
          <t>tipo: epóxica · envase: galón · acabado: brillante</t>
        </is>
      </c>
    </row>
    <row r="965">
      <c r="A965" s="3" t="inlineStr">
        <is>
          <t>MAT-12-016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esmalte, envase de 750 ml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1212.3</v>
      </c>
      <c r="L965" s="6" t="n">
        <v>1212.3</v>
      </c>
      <c r="M965" s="6" t="n">
        <v>1212.3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esmalte · envase: envase de 750 ml</t>
        </is>
      </c>
    </row>
    <row r="966">
      <c r="A966" s="3" t="inlineStr">
        <is>
          <t>MAT-12-017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Pintura esmalte, galón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3548.15</v>
      </c>
      <c r="L966" s="6" t="n">
        <v>1312.41</v>
      </c>
      <c r="M966" s="6" t="n">
        <v>5401.1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Tonos y Colores</t>
        </is>
      </c>
      <c r="AF966" s="4" t="inlineStr">
        <is>
          <t>tipo: esmalte · envase: galón · acabado: brillante</t>
        </is>
      </c>
    </row>
    <row r="967">
      <c r="A967" s="3" t="inlineStr">
        <is>
          <t>MAT-12-018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Impermeabilizante, cubeta de 5 galones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2</v>
      </c>
      <c r="K967" s="6" t="n">
        <v>7752.62</v>
      </c>
      <c r="L967" s="6" t="n">
        <v>2065</v>
      </c>
      <c r="M967" s="6" t="n">
        <v>13902.88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Ferremix (Grupo Alterra) · Tonos y Colores</t>
        </is>
      </c>
      <c r="AF967" s="4" t="inlineStr">
        <is>
          <t>tipo: impermeabilizante · envase: cubeta de 5 galones</t>
        </is>
      </c>
    </row>
    <row r="968">
      <c r="A968" s="3" t="inlineStr">
        <is>
          <t>MAT-12-019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Impermeabilizante, funda de 40 libras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2</v>
      </c>
      <c r="K968" s="6" t="n">
        <v>2663</v>
      </c>
      <c r="L968" s="6" t="n">
        <v>2419.2</v>
      </c>
      <c r="M968" s="6" t="n">
        <v>3295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2026-09-10</t>
        </is>
      </c>
      <c r="Q968" s="4" t="inlineStr">
        <is>
          <t>Bellón · Tonos y Colores</t>
        </is>
      </c>
      <c r="AF968" s="4" t="inlineStr">
        <is>
          <t>tipo: impermeabilizante · envase: funda de 40 libras · acabado: mate</t>
        </is>
      </c>
    </row>
    <row r="969">
      <c r="A969" s="3" t="inlineStr">
        <is>
          <t>MAT-12-020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Impermeabilizante, funda de 44 libras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2838.53</v>
      </c>
      <c r="L969" s="6" t="n">
        <v>2838.53</v>
      </c>
      <c r="M969" s="6" t="n">
        <v>2838.53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Tonos y Colores</t>
        </is>
      </c>
      <c r="AF969" s="4" t="inlineStr">
        <is>
          <t>tipo: impermeabilizante · envase: funda de 44 libras</t>
        </is>
      </c>
    </row>
    <row r="970">
      <c r="A970" s="3" t="inlineStr">
        <is>
          <t>MAT-12-021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Impermeabilizante, galón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2</v>
      </c>
      <c r="K970" s="6" t="n">
        <v>2299.98</v>
      </c>
      <c r="L970" s="6" t="n">
        <v>1265</v>
      </c>
      <c r="M970" s="6" t="n">
        <v>4642.17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2026-09-10</t>
        </is>
      </c>
      <c r="Q970" s="4" t="inlineStr">
        <is>
          <t>Ferremix (Grupo Alterra) · Tonos y Colores</t>
        </is>
      </c>
      <c r="AF970" s="4" t="inlineStr">
        <is>
          <t>tipo: impermeabilizante · envase: galón · acabado: mate</t>
        </is>
      </c>
    </row>
    <row r="971">
      <c r="A971" s="3" t="inlineStr">
        <is>
          <t>MAT-12-022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cubeta de 5 galones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1795</v>
      </c>
      <c r="L971" s="6" t="n">
        <v>1395</v>
      </c>
      <c r="M971" s="6" t="n">
        <v>8050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2026-09-10</t>
        </is>
      </c>
      <c r="Q971" s="4" t="inlineStr">
        <is>
          <t>Ferremix (Grupo Alterra)</t>
        </is>
      </c>
      <c r="AF971" s="4" t="inlineStr">
        <is>
          <t>tipo: masilla · envase: cubeta de 5 galones</t>
        </is>
      </c>
    </row>
    <row r="972">
      <c r="A972" s="3" t="inlineStr">
        <is>
          <t>MAT-12-023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Masilla, envase de 2.5 litros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1429.12</v>
      </c>
      <c r="L972" s="6" t="n">
        <v>1429.12</v>
      </c>
      <c r="M972" s="6" t="n">
        <v>1429.12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· envase: envase de 2.5 litros · acabado: mate</t>
        </is>
      </c>
    </row>
    <row r="973">
      <c r="A973" s="3" t="inlineStr">
        <is>
          <t>MAT-12-024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Masilla, funda de 1 libra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211.9</v>
      </c>
      <c r="L973" s="6" t="n">
        <v>211.9</v>
      </c>
      <c r="M973" s="6" t="n">
        <v>211.9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· envase: funda de 1 libra · acabado: mate</t>
        </is>
      </c>
    </row>
    <row r="974">
      <c r="A974" s="3" t="inlineStr">
        <is>
          <t>MAT-12-025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Masilla, funda de 11 libras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1118.66</v>
      </c>
      <c r="L974" s="6" t="n">
        <v>1118.66</v>
      </c>
      <c r="M974" s="6" t="n">
        <v>1118.66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Tonos y Colores</t>
        </is>
      </c>
      <c r="AF974" s="4" t="inlineStr">
        <is>
          <t>tipo: masilla · envase: funda de 11 libras · acabado: mate</t>
        </is>
      </c>
    </row>
    <row r="975">
      <c r="A975" s="3" t="inlineStr">
        <is>
          <t>MAT-12-026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Masilla, funda de 2 libras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335.1</v>
      </c>
      <c r="L975" s="6" t="n">
        <v>335.1</v>
      </c>
      <c r="M975" s="6" t="n">
        <v>335.1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Tonos y Colores</t>
        </is>
      </c>
      <c r="AF975" s="4" t="inlineStr">
        <is>
          <t>tipo: masilla · envase: funda de 2 libras · acabado: mate</t>
        </is>
      </c>
    </row>
    <row r="976">
      <c r="A976" s="3" t="inlineStr">
        <is>
          <t>MAT-12-027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exterior, cubeta de 5 galones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4072.16</v>
      </c>
      <c r="L976" s="6" t="n">
        <v>4072.16</v>
      </c>
      <c r="M976" s="6" t="n">
        <v>4072.16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Tonos y Colores</t>
        </is>
      </c>
      <c r="AF976" s="4" t="inlineStr">
        <is>
          <t>tipo: masilla para exterior · envase: cubeta de 5 galones · acabado: satinado</t>
        </is>
      </c>
    </row>
    <row r="977">
      <c r="A977" s="3" t="inlineStr">
        <is>
          <t>MAT-12-028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exterior, funda de 40 libras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2157.6</v>
      </c>
      <c r="L977" s="6" t="n">
        <v>2157.6</v>
      </c>
      <c r="M977" s="6" t="n">
        <v>2157.6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Tonos y Colores</t>
        </is>
      </c>
      <c r="AF977" s="4" t="inlineStr">
        <is>
          <t>tipo: masilla para exterior · envase: funda de 40 libras · acabado: satinado</t>
        </is>
      </c>
    </row>
    <row r="978">
      <c r="A978" s="3" t="inlineStr">
        <is>
          <t>MAT-12-029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cubeta de 5 galones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2</v>
      </c>
      <c r="K978" s="6" t="n">
        <v>1401.92</v>
      </c>
      <c r="L978" s="6" t="n">
        <v>1221.74</v>
      </c>
      <c r="M978" s="6" t="n">
        <v>4316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 · Tonos y Colores</t>
        </is>
      </c>
      <c r="AF978" s="4" t="inlineStr">
        <is>
          <t>tipo: masilla para sheetrock · envase: cubeta de 5 galones · acabado: mate</t>
        </is>
      </c>
    </row>
    <row r="979">
      <c r="A979" s="3" t="inlineStr">
        <is>
          <t>MAT-12-030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14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1198</v>
      </c>
      <c r="L979" s="6" t="n">
        <v>1198</v>
      </c>
      <c r="M979" s="6" t="n">
        <v>1198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14 libras</t>
        </is>
      </c>
    </row>
    <row r="980">
      <c r="A980" s="3" t="inlineStr">
        <is>
          <t>MAT-12-031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2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155</v>
      </c>
      <c r="L980" s="6" t="n">
        <v>155</v>
      </c>
      <c r="M980" s="6" t="n">
        <v>155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2 libras</t>
        </is>
      </c>
    </row>
    <row r="981">
      <c r="A981" s="3" t="inlineStr">
        <is>
          <t>MAT-12-032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sheetrock, funda de 44 libras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982</v>
      </c>
      <c r="L981" s="6" t="n">
        <v>982</v>
      </c>
      <c r="M981" s="6" t="n">
        <v>982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2026-09-10</t>
        </is>
      </c>
      <c r="Q981" s="4" t="inlineStr">
        <is>
          <t>Bellón</t>
        </is>
      </c>
      <c r="AF981" s="4" t="inlineStr">
        <is>
          <t>tipo: masilla para sheetrock · envase: funda de 44 libras</t>
        </is>
      </c>
    </row>
    <row r="982">
      <c r="A982" s="3" t="inlineStr">
        <is>
          <t>MAT-12-033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sheetrock, funda de 55 libras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2885</v>
      </c>
      <c r="L982" s="6" t="n">
        <v>2885</v>
      </c>
      <c r="M982" s="6" t="n">
        <v>2885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</t>
        </is>
      </c>
      <c r="AF982" s="4" t="inlineStr">
        <is>
          <t>tipo: masilla para sheetrock · envase: funda de 55 libras</t>
        </is>
      </c>
    </row>
    <row r="983">
      <c r="A983" s="3" t="inlineStr">
        <is>
          <t>MAT-12-034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funda de 62 libras</t>
        </is>
      </c>
      <c r="E983" s="4" t="inlineStr"/>
      <c r="F983" s="3" t="inlineStr">
        <is>
          <t>envase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1670</v>
      </c>
      <c r="L983" s="6" t="n">
        <v>1670</v>
      </c>
      <c r="M983" s="6" t="n">
        <v>1670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Bellón</t>
        </is>
      </c>
      <c r="AF983" s="4" t="inlineStr">
        <is>
          <t>tipo: masilla para sheetrock · envase: funda de 62 libras</t>
        </is>
      </c>
    </row>
    <row r="984">
      <c r="A984" s="3" t="inlineStr">
        <is>
          <t>MAT-12-035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Masilla para sheetrock, funda de 64 libras</t>
        </is>
      </c>
      <c r="E984" s="4" t="inlineStr"/>
      <c r="F984" s="3" t="inlineStr">
        <is>
          <t>envase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1828</v>
      </c>
      <c r="L984" s="6" t="n">
        <v>1828</v>
      </c>
      <c r="M984" s="6" t="n">
        <v>1828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2026-09-10</t>
        </is>
      </c>
      <c r="Q984" s="4" t="inlineStr">
        <is>
          <t>Bellón</t>
        </is>
      </c>
      <c r="AF984" s="4" t="inlineStr">
        <is>
          <t>tipo: masilla para sheetrock · envase: funda de 64 libras</t>
        </is>
      </c>
    </row>
    <row r="985">
      <c r="A985" s="3" t="inlineStr">
        <is>
          <t>MAT-12-036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Pintura para piscina, galón</t>
        </is>
      </c>
      <c r="E985" s="4" t="inlineStr"/>
      <c r="F985" s="3" t="inlineStr">
        <is>
          <t>envase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3326.41</v>
      </c>
      <c r="L985" s="6" t="n">
        <v>3326.41</v>
      </c>
      <c r="M985" s="6" t="n">
        <v>3326.41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Tonos y Colores</t>
        </is>
      </c>
      <c r="AF985" s="4" t="inlineStr">
        <is>
          <t>tipo: para piscina · envase: galón · acabado: mate</t>
        </is>
      </c>
    </row>
    <row r="986">
      <c r="A986" s="3" t="inlineStr">
        <is>
          <t>MAT-12-037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Primer sellador, cubeta de 5 galones</t>
        </is>
      </c>
      <c r="E986" s="4" t="inlineStr"/>
      <c r="F986" s="3" t="inlineStr">
        <is>
          <t>envase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3</v>
      </c>
      <c r="K986" s="6" t="n">
        <v>5112.5</v>
      </c>
      <c r="L986" s="6" t="n">
        <v>3260</v>
      </c>
      <c r="M986" s="6" t="n">
        <v>8900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2026-09-10</t>
        </is>
      </c>
      <c r="Q986" s="4" t="inlineStr">
        <is>
          <t>Bellón · Ferremix (Grupo Alterra) · Tonos y Colores</t>
        </is>
      </c>
      <c r="AF986" s="4" t="inlineStr">
        <is>
          <t>tipo: primer · envase: cubeta de 5 galones · acabado: mate</t>
        </is>
      </c>
    </row>
    <row r="987">
      <c r="A987" s="3" t="inlineStr">
        <is>
          <t>MAT-12-038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Estuco para interiores, funda de 35 libras</t>
        </is>
      </c>
      <c r="E987" s="4" t="inlineStr"/>
      <c r="F987" s="3" t="inlineStr">
        <is>
          <t>funda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nacional</t>
        </is>
      </c>
      <c r="J987" s="5" t="n">
        <v>2</v>
      </c>
      <c r="K987" s="6" t="n">
        <v>510.56</v>
      </c>
      <c r="L987" s="6" t="n">
        <v>331.11</v>
      </c>
      <c r="M987" s="6" t="n">
        <v>690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 · InnovaCentro (La Innovación)</t>
        </is>
      </c>
    </row>
    <row r="988">
      <c r="A988" s="3" t="inlineStr">
        <is>
          <t>MAT-13-011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Angular para plafón, 10'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98</v>
      </c>
      <c r="L988" s="6" t="n">
        <v>98</v>
      </c>
      <c r="M988" s="6" t="n">
        <v>98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D988" s="7" t="inlineStr">
        <is>
          <t>10'</t>
        </is>
      </c>
    </row>
    <row r="989">
      <c r="A989" s="3" t="inlineStr">
        <is>
          <t>MAT-13-012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Cartón piedra, 4'X8' 3X2Mm 1/8"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495</v>
      </c>
      <c r="L989" s="6" t="n">
        <v>495</v>
      </c>
      <c r="M989" s="6" t="n">
        <v>495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C989" s="7" t="inlineStr">
        <is>
          <t>1/8"</t>
        </is>
      </c>
      <c r="AD989" s="7" t="inlineStr">
        <is>
          <t>4'X8' 3X2Mm 1/8"</t>
        </is>
      </c>
    </row>
    <row r="990">
      <c r="A990" s="3" t="inlineStr">
        <is>
          <t>MAT-13-013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Cross tee para plafón, 2'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26</v>
      </c>
      <c r="L990" s="6" t="n">
        <v>26</v>
      </c>
      <c r="M990" s="6" t="n">
        <v>26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D990" s="7" t="inlineStr">
        <is>
          <t>2'</t>
        </is>
      </c>
    </row>
    <row r="991">
      <c r="A991" s="3" t="inlineStr">
        <is>
          <t>MAT-13-014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Cross tee para plafón, 4'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56</v>
      </c>
      <c r="L991" s="6" t="n">
        <v>56</v>
      </c>
      <c r="M991" s="6" t="n">
        <v>56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D991" s="7" t="inlineStr">
        <is>
          <t>4'</t>
        </is>
      </c>
    </row>
    <row r="992">
      <c r="A992" s="3" t="inlineStr">
        <is>
          <t>MAT-13-015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Durmiente para plafón, 2-1/2"X10 calibre 25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149</v>
      </c>
      <c r="L992" s="6" t="n">
        <v>149</v>
      </c>
      <c r="M992" s="6" t="n">
        <v>149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C992" s="7" t="inlineStr">
        <is>
          <t>25</t>
        </is>
      </c>
      <c r="AD992" s="7" t="inlineStr">
        <is>
          <t>2-1/2"X10</t>
        </is>
      </c>
    </row>
    <row r="993">
      <c r="A993" s="3" t="inlineStr">
        <is>
          <t>MAT-13-016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Main tee para plafón, 12'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186</v>
      </c>
      <c r="L993" s="6" t="n">
        <v>186</v>
      </c>
      <c r="M993" s="6" t="n">
        <v>186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D993" s="7" t="inlineStr">
        <is>
          <t>12'</t>
        </is>
      </c>
    </row>
    <row r="994">
      <c r="A994" s="3" t="inlineStr">
        <is>
          <t>MAT-13-017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Paral para plafón, 2-1/2"X10 calibre 25</t>
        </is>
      </c>
      <c r="E994" s="4" t="inlineStr"/>
      <c r="F994" s="3" t="inlineStr">
        <is>
          <t>unidad</t>
        </is>
      </c>
      <c r="G994" s="3" t="inlineStr">
        <is>
          <t>Terminación de superficies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185</v>
      </c>
      <c r="L994" s="6" t="n">
        <v>185</v>
      </c>
      <c r="M994" s="6" t="n">
        <v>185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InnovaCentro (La Innovación)</t>
        </is>
      </c>
      <c r="AC994" s="7" t="inlineStr">
        <is>
          <t>25</t>
        </is>
      </c>
      <c r="AD994" s="7" t="inlineStr">
        <is>
          <t>2-1/2"X10</t>
        </is>
      </c>
    </row>
    <row r="995">
      <c r="A995" s="3" t="inlineStr">
        <is>
          <t>MAT-13-018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Plafón, 2X4'</t>
        </is>
      </c>
      <c r="E995" s="4" t="inlineStr"/>
      <c r="F995" s="3" t="inlineStr">
        <is>
          <t>unidad</t>
        </is>
      </c>
      <c r="G995" s="3" t="inlineStr">
        <is>
          <t>Terminación de superficies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295</v>
      </c>
      <c r="L995" s="6" t="n">
        <v>295</v>
      </c>
      <c r="M995" s="6" t="n">
        <v>295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InnovaCentro (La Innovación)</t>
        </is>
      </c>
      <c r="AD995" s="7" t="inlineStr">
        <is>
          <t>2X4'</t>
        </is>
      </c>
    </row>
    <row r="996">
      <c r="A996" s="3" t="inlineStr">
        <is>
          <t>MAT-13-019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Plafón blanco, 250X5800X7MM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375</v>
      </c>
      <c r="L996" s="6" t="n">
        <v>375</v>
      </c>
      <c r="M996" s="6" t="n">
        <v>375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InnovaCentro (La Innovación)</t>
        </is>
      </c>
      <c r="AD996" s="7" t="inlineStr">
        <is>
          <t>250X5800X7MM</t>
        </is>
      </c>
      <c r="AE996" s="7" t="inlineStr">
        <is>
          <t>blanco</t>
        </is>
      </c>
    </row>
    <row r="997">
      <c r="A997" s="3" t="inlineStr">
        <is>
          <t>MAT-13-020</t>
        </is>
      </c>
      <c r="B997" s="3" t="inlineStr">
        <is>
          <t>Materiales</t>
        </is>
      </c>
      <c r="C997" s="3" t="inlineStr">
        <is>
          <t>Plafones y construcción liviana</t>
        </is>
      </c>
      <c r="D997" s="4" t="inlineStr">
        <is>
          <t>Plafón blanco, 2X4'</t>
        </is>
      </c>
      <c r="E997" s="4" t="inlineStr"/>
      <c r="F997" s="3" t="inlineStr">
        <is>
          <t>unidad</t>
        </is>
      </c>
      <c r="G997" s="3" t="inlineStr">
        <is>
          <t>Terminación de superficies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202</v>
      </c>
      <c r="L997" s="6" t="n">
        <v>202</v>
      </c>
      <c r="M997" s="6" t="n">
        <v>202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InnovaCentro (La Innovación)</t>
        </is>
      </c>
      <c r="AD997" s="7" t="inlineStr">
        <is>
          <t>2X4'</t>
        </is>
      </c>
      <c r="AE997" s="7" t="inlineStr">
        <is>
          <t>blanco</t>
        </is>
      </c>
    </row>
    <row r="998">
      <c r="A998" s="3" t="inlineStr">
        <is>
          <t>MAT-16-003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Kit de videovigilancia 4 cámaras bullet 2 MP</t>
        </is>
      </c>
      <c r="E998" s="4" t="inlineStr">
        <is>
          <t>Incluye grabador y disco</t>
        </is>
      </c>
      <c r="F998" s="3" t="inlineStr">
        <is>
          <t>juego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18221.03</v>
      </c>
      <c r="L998" s="6" t="n">
        <v>18221.03</v>
      </c>
      <c r="M998" s="6" t="n">
        <v>18221.03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bullet</t>
        </is>
      </c>
      <c r="W998" s="7" t="n">
        <v>2</v>
      </c>
      <c r="AF998" s="4" t="inlineStr">
        <is>
          <t>Cámaras: 4</t>
        </is>
      </c>
    </row>
    <row r="999">
      <c r="A999" s="3" t="inlineStr">
        <is>
          <t>MAT-16-004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Kit de videovigilancia 4 cámaras domo 2 MP</t>
        </is>
      </c>
      <c r="E999" s="4" t="inlineStr">
        <is>
          <t>Incluye grabador y disco</t>
        </is>
      </c>
      <c r="F999" s="3" t="inlineStr">
        <is>
          <t>juego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17133.95</v>
      </c>
      <c r="L999" s="6" t="n">
        <v>17133.95</v>
      </c>
      <c r="M999" s="6" t="n">
        <v>17133.95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  <c r="V999" s="7" t="inlineStr">
        <is>
          <t>domo</t>
        </is>
      </c>
      <c r="W999" s="7" t="n">
        <v>2</v>
      </c>
      <c r="AF999" s="4" t="inlineStr">
        <is>
          <t>Cámaras: 4</t>
        </is>
      </c>
    </row>
    <row r="1000">
      <c r="A1000" s="3" t="inlineStr">
        <is>
          <t>MAT-16-005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3342.09</v>
      </c>
      <c r="L1000" s="6" t="n">
        <v>2548.17</v>
      </c>
      <c r="M1000" s="6" t="n">
        <v>4136.01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</row>
    <row r="1001">
      <c r="A1001" s="3" t="inlineStr">
        <is>
          <t>MAT-16-006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2588.72</v>
      </c>
      <c r="L1001" s="6" t="n">
        <v>2191.4</v>
      </c>
      <c r="M1001" s="6" t="n">
        <v>5547.25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</row>
    <row r="1002">
      <c r="A1002" s="3" t="inlineStr">
        <is>
          <t>MAT-16-007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bullet 2 MP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4606.9</v>
      </c>
      <c r="L1002" s="6" t="n">
        <v>1784.16</v>
      </c>
      <c r="M1002" s="6" t="n">
        <v>8801.58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bullet</t>
        </is>
      </c>
      <c r="W1002" s="7" t="n">
        <v>2</v>
      </c>
      <c r="AF1002" s="4" t="inlineStr">
        <is>
          <t>Alcance IR (m): 40</t>
        </is>
      </c>
    </row>
    <row r="1003">
      <c r="A1003" s="3" t="inlineStr">
        <is>
          <t>MAT-16-008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bullet 4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9064.129999999999</v>
      </c>
      <c r="L1003" s="6" t="n">
        <v>3087.35</v>
      </c>
      <c r="M1003" s="6" t="n">
        <v>17705.5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bullet</t>
        </is>
      </c>
      <c r="W1003" s="7" t="n">
        <v>4</v>
      </c>
      <c r="X1003" s="7" t="inlineStr">
        <is>
          <t>IP</t>
        </is>
      </c>
      <c r="AF1003" s="4" t="inlineStr">
        <is>
          <t>Lente (mm): 2.8</t>
        </is>
      </c>
    </row>
    <row r="1004">
      <c r="A1004" s="3" t="inlineStr">
        <is>
          <t>MAT-16-009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bullet 5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5675.9</v>
      </c>
      <c r="L1004" s="6" t="n">
        <v>1394.08</v>
      </c>
      <c r="M1004" s="6" t="n">
        <v>12499.73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bullet</t>
        </is>
      </c>
      <c r="W1004" s="7" t="n">
        <v>5</v>
      </c>
    </row>
    <row r="1005">
      <c r="A1005" s="3" t="inlineStr">
        <is>
          <t>MAT-16-010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bullet 8 MP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13465.71</v>
      </c>
      <c r="L1005" s="6" t="n">
        <v>13465.71</v>
      </c>
      <c r="M1005" s="6" t="n">
        <v>13465.71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bullet</t>
        </is>
      </c>
      <c r="W1005" s="7" t="n">
        <v>8</v>
      </c>
      <c r="X1005" s="7" t="inlineStr">
        <is>
          <t>IP</t>
        </is>
      </c>
    </row>
    <row r="1006">
      <c r="A1006" s="3" t="inlineStr">
        <is>
          <t>MAT-16-011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domo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12992.17</v>
      </c>
      <c r="L1006" s="6" t="n">
        <v>12992.17</v>
      </c>
      <c r="M1006" s="6" t="n">
        <v>12992.17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domo</t>
        </is>
      </c>
      <c r="X1006" s="7" t="inlineStr">
        <is>
          <t>IP</t>
        </is>
      </c>
    </row>
    <row r="1007">
      <c r="A1007" s="3" t="inlineStr">
        <is>
          <t>MAT-16-012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domo 2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3461.37</v>
      </c>
      <c r="L1007" s="6" t="n">
        <v>740.01</v>
      </c>
      <c r="M1007" s="6" t="n">
        <v>7322.31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domo</t>
        </is>
      </c>
      <c r="W1007" s="7" t="n">
        <v>2</v>
      </c>
    </row>
    <row r="1008">
      <c r="A1008" s="3" t="inlineStr">
        <is>
          <t>MAT-16-013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domo 4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5025.16</v>
      </c>
      <c r="L1008" s="6" t="n">
        <v>3695.82</v>
      </c>
      <c r="M1008" s="6" t="n">
        <v>8268.27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domo</t>
        </is>
      </c>
      <c r="W1008" s="7" t="n">
        <v>4</v>
      </c>
    </row>
    <row r="1009">
      <c r="A1009" s="3" t="inlineStr">
        <is>
          <t>MAT-16-014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domo 5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6122.92</v>
      </c>
      <c r="L1009" s="6" t="n">
        <v>1368.3</v>
      </c>
      <c r="M1009" s="6" t="n">
        <v>24325.6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domo</t>
        </is>
      </c>
      <c r="W1009" s="7" t="n">
        <v>5</v>
      </c>
    </row>
    <row r="1010">
      <c r="A1010" s="3" t="inlineStr">
        <is>
          <t>MAT-16-015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ojo de pez 5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11020.47</v>
      </c>
      <c r="L1010" s="6" t="n">
        <v>11020.47</v>
      </c>
      <c r="M1010" s="6" t="n">
        <v>11020.47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ojo de pez</t>
        </is>
      </c>
      <c r="W1010" s="7" t="n">
        <v>5</v>
      </c>
      <c r="X1010" s="7" t="inlineStr">
        <is>
          <t>IP</t>
        </is>
      </c>
    </row>
    <row r="1011">
      <c r="A1011" s="3" t="inlineStr">
        <is>
          <t>MAT-16-016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PTZ 2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30360.56</v>
      </c>
      <c r="L1011" s="6" t="n">
        <v>30360.56</v>
      </c>
      <c r="M1011" s="6" t="n">
        <v>30360.56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PTZ</t>
        </is>
      </c>
      <c r="W1011" s="7" t="n">
        <v>2</v>
      </c>
      <c r="X1011" s="7" t="inlineStr">
        <is>
          <t>IP</t>
        </is>
      </c>
    </row>
    <row r="1012">
      <c r="A1012" s="3" t="inlineStr">
        <is>
          <t>MAT-16-017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PTZ 3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19602.61</v>
      </c>
      <c r="L1012" s="6" t="n">
        <v>19602.61</v>
      </c>
      <c r="M1012" s="6" t="n">
        <v>19602.61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V1012" s="7" t="inlineStr">
        <is>
          <t>PTZ</t>
        </is>
      </c>
      <c r="W1012" s="7" t="n">
        <v>3</v>
      </c>
    </row>
    <row r="1013">
      <c r="A1013" s="3" t="inlineStr">
        <is>
          <t>MAT-16-018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turret 2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3614.58</v>
      </c>
      <c r="L1013" s="6" t="n">
        <v>2549.16</v>
      </c>
      <c r="M1013" s="6" t="n">
        <v>4679.99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V1013" s="7" t="inlineStr">
        <is>
          <t>turret</t>
        </is>
      </c>
      <c r="W1013" s="7" t="n">
        <v>2</v>
      </c>
      <c r="AF1013" s="4" t="inlineStr">
        <is>
          <t>Lente (mm): 2.8</t>
        </is>
      </c>
    </row>
    <row r="1014">
      <c r="A1014" s="3" t="inlineStr">
        <is>
          <t>MAT-16-019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turret 4 MP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3073.06</v>
      </c>
      <c r="L1014" s="6" t="n">
        <v>3073.06</v>
      </c>
      <c r="M1014" s="6" t="n">
        <v>3073.06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V1014" s="7" t="inlineStr">
        <is>
          <t>turret</t>
        </is>
      </c>
      <c r="W1014" s="7" t="n">
        <v>4</v>
      </c>
    </row>
    <row r="1015">
      <c r="A1015" s="3" t="inlineStr">
        <is>
          <t>MAT-16-020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turret 5 MP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4570.82</v>
      </c>
      <c r="L1015" s="6" t="n">
        <v>3714.5</v>
      </c>
      <c r="M1015" s="6" t="n">
        <v>5427.13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V1015" s="7" t="inlineStr">
        <is>
          <t>turret</t>
        </is>
      </c>
      <c r="W1015" s="7" t="n">
        <v>5</v>
      </c>
      <c r="AF1015" s="4" t="inlineStr">
        <is>
          <t>Lente (mm): 2.8</t>
        </is>
      </c>
    </row>
    <row r="1016">
      <c r="A1016" s="3" t="inlineStr">
        <is>
          <t>MAT-16-021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2 MP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5421.17</v>
      </c>
      <c r="L1016" s="6" t="n">
        <v>1576.87</v>
      </c>
      <c r="M1016" s="6" t="n">
        <v>14863.32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W1016" s="7" t="n">
        <v>2</v>
      </c>
      <c r="AF1016" s="4" t="inlineStr">
        <is>
          <t>Lente (mm): 12</t>
        </is>
      </c>
    </row>
    <row r="1017">
      <c r="A1017" s="3" t="inlineStr">
        <is>
          <t>MAT-16-022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Cámara de seguridad 5 MP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3414.74</v>
      </c>
      <c r="L1017" s="6" t="n">
        <v>3414.74</v>
      </c>
      <c r="M1017" s="6" t="n">
        <v>3414.74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W1017" s="7" t="n">
        <v>5</v>
      </c>
      <c r="X1017" s="7" t="inlineStr">
        <is>
          <t>IP</t>
        </is>
      </c>
    </row>
    <row r="1018">
      <c r="A1018" s="3" t="inlineStr">
        <is>
          <t>MAT-16-023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DVR 16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18426.33</v>
      </c>
      <c r="L1018" s="6" t="n">
        <v>18426.33</v>
      </c>
      <c r="M1018" s="6" t="n">
        <v>18426.33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DVR</t>
        </is>
      </c>
      <c r="Y1018" s="7" t="n">
        <v>16</v>
      </c>
    </row>
    <row r="1019">
      <c r="A1019" s="3" t="inlineStr">
        <is>
          <t>MAT-16-024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DVR 4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7057.8</v>
      </c>
      <c r="L1019" s="6" t="n">
        <v>6677.44</v>
      </c>
      <c r="M1019" s="6" t="n">
        <v>7438.16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DVR</t>
        </is>
      </c>
      <c r="Y1019" s="7" t="n">
        <v>4</v>
      </c>
    </row>
    <row r="1020">
      <c r="A1020" s="3" t="inlineStr">
        <is>
          <t>MAT-16-025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Grabador de video NVR 16 canales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17077.39</v>
      </c>
      <c r="L1020" s="6" t="n">
        <v>17077.39</v>
      </c>
      <c r="M1020" s="6" t="n">
        <v>17077.39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X1020" s="7" t="inlineStr">
        <is>
          <t>NVR</t>
        </is>
      </c>
      <c r="Y1020" s="7" t="n">
        <v>16</v>
      </c>
    </row>
    <row r="1021">
      <c r="A1021" s="3" t="inlineStr">
        <is>
          <t>MAT-16-026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Grabador de video NVR 32 canales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20990.22</v>
      </c>
      <c r="L1021" s="6" t="n">
        <v>20990.22</v>
      </c>
      <c r="M1021" s="6" t="n">
        <v>20990.22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X1021" s="7" t="inlineStr">
        <is>
          <t>NVR</t>
        </is>
      </c>
      <c r="Y1021" s="7" t="n">
        <v>32</v>
      </c>
    </row>
    <row r="1022">
      <c r="A1022" s="3" t="inlineStr">
        <is>
          <t>MAT-16-027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Grabador de video NVR 64 canales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126684.93</v>
      </c>
      <c r="L1022" s="6" t="n">
        <v>126684.93</v>
      </c>
      <c r="M1022" s="6" t="n">
        <v>126684.93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  <c r="X1022" s="7" t="inlineStr">
        <is>
          <t>NVR</t>
        </is>
      </c>
      <c r="Y1022" s="7" t="n">
        <v>64</v>
      </c>
    </row>
    <row r="1023">
      <c r="A1023" s="3" t="inlineStr">
        <is>
          <t>MAT-16-028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Grabador de video XVR 16 canales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6079.41</v>
      </c>
      <c r="L1023" s="6" t="n">
        <v>6079.41</v>
      </c>
      <c r="M1023" s="6" t="n">
        <v>6079.41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X1023" s="7" t="inlineStr">
        <is>
          <t>XVR</t>
        </is>
      </c>
      <c r="Y1023" s="7" t="n">
        <v>16</v>
      </c>
    </row>
    <row r="1024">
      <c r="A1024" s="3" t="inlineStr">
        <is>
          <t>MAT-16-029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Disco duro para videovigilancia 1 TB</t>
        </is>
      </c>
      <c r="E1024" s="4" t="inlineStr">
        <is>
          <t>Escritura 24/7 · uno de escritorio no aguanta</t>
        </is>
      </c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7633.17</v>
      </c>
      <c r="L1024" s="6" t="n">
        <v>7633.17</v>
      </c>
      <c r="M1024" s="6" t="n">
        <v>7633.17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Capacidad (TB): 1</t>
        </is>
      </c>
    </row>
    <row r="1025">
      <c r="A1025" s="3" t="inlineStr">
        <is>
          <t>MAT-16-030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Disco duro para videovigilancia 8 TB</t>
        </is>
      </c>
      <c r="E1025" s="4" t="inlineStr">
        <is>
          <t>Escritura 24/7 · uno de escritorio no aguanta</t>
        </is>
      </c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22243.38</v>
      </c>
      <c r="L1025" s="6" t="n">
        <v>22243.38</v>
      </c>
      <c r="M1025" s="6" t="n">
        <v>22243.38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  <c r="AF1025" s="4" t="inlineStr">
        <is>
          <t>Capacidad (TB): 8</t>
        </is>
      </c>
    </row>
    <row r="1026">
      <c r="A1026" s="3" t="inlineStr">
        <is>
          <t>MAT-16-031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5019.51</v>
      </c>
      <c r="L1026" s="6" t="n">
        <v>2976.42</v>
      </c>
      <c r="M1026" s="6" t="n">
        <v>7129.26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</row>
    <row r="1027">
      <c r="A1027" s="3" t="inlineStr">
        <is>
          <t>MAT-16-032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Monitor para CCTV 3.5"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4362.91</v>
      </c>
      <c r="L1027" s="6" t="n">
        <v>4362.91</v>
      </c>
      <c r="M1027" s="6" t="n">
        <v>4362.91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  <c r="AF1027" s="4" t="inlineStr">
        <is>
          <t>Pulgadas: 3.5</t>
        </is>
      </c>
    </row>
    <row r="1028">
      <c r="A1028" s="3" t="inlineStr">
        <is>
          <t>MAT-16-033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Monitor para CCTV 32"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15349.99</v>
      </c>
      <c r="L1028" s="6" t="n">
        <v>15349.99</v>
      </c>
      <c r="M1028" s="6" t="n">
        <v>15349.99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  <c r="AF1028" s="4" t="inlineStr">
        <is>
          <t>Pulgadas: 32</t>
        </is>
      </c>
    </row>
    <row r="1029">
      <c r="A1029" s="3" t="inlineStr">
        <is>
          <t>MAT-16-034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Monitor para CCTV 4"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2707.65</v>
      </c>
      <c r="L1029" s="6" t="n">
        <v>2707.65</v>
      </c>
      <c r="M1029" s="6" t="n">
        <v>2707.65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F1029" s="4" t="inlineStr">
        <is>
          <t>Pulgadas: 4</t>
        </is>
      </c>
    </row>
    <row r="1030">
      <c r="A1030" s="3" t="inlineStr">
        <is>
          <t>MAT-16-035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Monitor para CCTV 7"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7823.52</v>
      </c>
      <c r="L1030" s="6" t="n">
        <v>5570.12</v>
      </c>
      <c r="M1030" s="6" t="n">
        <v>10076.91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  <c r="AF1030" s="4" t="inlineStr">
        <is>
          <t>Pulgadas: 7</t>
        </is>
      </c>
    </row>
    <row r="1031">
      <c r="A1031" s="3" t="inlineStr">
        <is>
          <t>MAT-16-036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Soporte o caja para cámara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1012.91</v>
      </c>
      <c r="L1031" s="6" t="n">
        <v>1012.91</v>
      </c>
      <c r="M1031" s="6" t="n">
        <v>1012.91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MAT-16-037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Video balun</t>
        </is>
      </c>
      <c r="E1032" s="4" t="inlineStr"/>
      <c r="F1032" s="3" t="inlineStr">
        <is>
          <t>unidad</t>
        </is>
      </c>
      <c r="G1032" s="3" t="inlineStr">
        <is>
          <t>Instalaciones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241.33</v>
      </c>
      <c r="L1032" s="6" t="n">
        <v>231.08</v>
      </c>
      <c r="M1032" s="6" t="n">
        <v>251.58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</t>
        </is>
      </c>
    </row>
    <row r="1033">
      <c r="A1033" s="3" t="inlineStr">
        <is>
          <t>MAT-18-006</t>
        </is>
      </c>
      <c r="B1033" s="3" t="inlineStr">
        <is>
          <t>Materiales</t>
        </is>
      </c>
      <c r="C1033" s="3" t="inlineStr">
        <is>
          <t>Exteriores y paisajismo</t>
        </is>
      </c>
      <c r="D1033" s="4" t="inlineStr">
        <is>
          <t>Asfalto en frío, 25 kg</t>
        </is>
      </c>
      <c r="E1033" s="4" t="inlineStr"/>
      <c r="F1033" s="3" t="inlineStr">
        <is>
          <t>unidad</t>
        </is>
      </c>
      <c r="G1033" s="3" t="inlineStr">
        <is>
          <t>Exteriores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1695</v>
      </c>
      <c r="L1033" s="6" t="n">
        <v>1695</v>
      </c>
      <c r="M1033" s="6" t="n">
        <v>1695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InnovaCentro (La Innovación)</t>
        </is>
      </c>
      <c r="AF1033" s="4" t="inlineStr">
        <is>
          <t>Peso (kg): 25</t>
        </is>
      </c>
    </row>
    <row r="1034">
      <c r="A1034" s="3" t="inlineStr">
        <is>
          <t>MAT-19-001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3/4" x 3/4" x 20 pies, pared 1.2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262.29</v>
      </c>
      <c r="L1034" s="6" t="n">
        <v>262.29</v>
      </c>
      <c r="M1034" s="6" t="n">
        <v>262.29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MAT-19-002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3/4" x 3/4" x 20 pies, pared 1.6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347.73</v>
      </c>
      <c r="L1035" s="6" t="n">
        <v>321.76</v>
      </c>
      <c r="M1035" s="6" t="n">
        <v>373.71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MAT-19-003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1" x 1" x 20 pies, pared 1.2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2</v>
      </c>
      <c r="K1036" s="6" t="n">
        <v>383.29</v>
      </c>
      <c r="L1036" s="6" t="n">
        <v>355.58</v>
      </c>
      <c r="M1036" s="6" t="n">
        <v>410.99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MC · Ferretería Ochoa (8A)</t>
        </is>
      </c>
    </row>
    <row r="1037">
      <c r="A1037" s="3" t="inlineStr">
        <is>
          <t>MAT-19-004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1 1/4" x 1 1/4" x 20 pies, pared 1.2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510.43</v>
      </c>
      <c r="L1037" s="6" t="n">
        <v>510.43</v>
      </c>
      <c r="M1037" s="6" t="n">
        <v>510.43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MAT-19-005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1 1/4" x 1 1/4" x 20 pies, pared 1.6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556.02</v>
      </c>
      <c r="L1038" s="6" t="n">
        <v>556.02</v>
      </c>
      <c r="M1038" s="6" t="n">
        <v>556.02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MAT-19-006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1 1/2" x 1 1/2" x 20 pies, pared 1.2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584.58</v>
      </c>
      <c r="L1039" s="6" t="n">
        <v>542.15</v>
      </c>
      <c r="M1039" s="6" t="n">
        <v>627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MC · Ferretería Ochoa (8A)</t>
        </is>
      </c>
    </row>
    <row r="1040">
      <c r="A1040" s="3" t="inlineStr">
        <is>
          <t>MAT-19-007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1 1/2" x 1 1/2" x 20 pies, pared 1.6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717.05</v>
      </c>
      <c r="L1040" s="6" t="n">
        <v>647.03</v>
      </c>
      <c r="M1040" s="6" t="n">
        <v>787.0599999999999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MAT-19-008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2" x 2"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940.63</v>
      </c>
      <c r="L1041" s="6" t="n">
        <v>867.64</v>
      </c>
      <c r="M1041" s="6" t="n">
        <v>1013.62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MAT-19-009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negro 3" x 3" x 20 pies, pared 1.6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2</v>
      </c>
      <c r="K1042" s="6" t="n">
        <v>1472.93</v>
      </c>
      <c r="L1042" s="6" t="n">
        <v>1319.81</v>
      </c>
      <c r="M1042" s="6" t="n">
        <v>1626.04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MC · Ferretería Ochoa (8A)</t>
        </is>
      </c>
    </row>
    <row r="1043">
      <c r="A1043" s="3" t="inlineStr">
        <is>
          <t>MAT-19-010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3/4" x 3/4"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316.11</v>
      </c>
      <c r="L1043" s="6" t="n">
        <v>316.11</v>
      </c>
      <c r="M1043" s="6" t="n">
        <v>316.11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MAT-19-011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1" x 1" x 20 pies, pared 1.2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467.93</v>
      </c>
      <c r="L1044" s="6" t="n">
        <v>423.74</v>
      </c>
      <c r="M1044" s="6" t="n">
        <v>512.12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MAT-19-012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1" x 1" x 20 pies, pared 1.6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2</v>
      </c>
      <c r="K1045" s="6" t="n">
        <v>600.86</v>
      </c>
      <c r="L1045" s="6" t="n">
        <v>539.74</v>
      </c>
      <c r="M1045" s="6" t="n">
        <v>661.98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MC · Ferretería Ochoa (8A)</t>
        </is>
      </c>
    </row>
    <row r="1046">
      <c r="A1046" s="3" t="inlineStr">
        <is>
          <t>MAT-19-013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1 1/4" x 1 1/4" x 20 pies, pared 1.5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712.04</v>
      </c>
      <c r="L1046" s="6" t="n">
        <v>712.04</v>
      </c>
      <c r="M1046" s="6" t="n">
        <v>712.04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MAT-19-014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galvanizado 1 1/2" x 1 1/2" x 20 pies, pared 1.2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703.59</v>
      </c>
      <c r="L1047" s="6" t="n">
        <v>648.6799999999999</v>
      </c>
      <c r="M1047" s="6" t="n">
        <v>758.5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MAT-19-015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1 1/2" x 1 1/2"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2</v>
      </c>
      <c r="K1048" s="6" t="n">
        <v>885.17</v>
      </c>
      <c r="L1048" s="6" t="n">
        <v>814.53</v>
      </c>
      <c r="M1048" s="6" t="n">
        <v>955.8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MC · Ferretería Ochoa (8A)</t>
        </is>
      </c>
    </row>
    <row r="1049">
      <c r="A1049" s="3" t="inlineStr">
        <is>
          <t>MAT-19-016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2" x 2" x 20 pies, pared 1.6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1108.57</v>
      </c>
      <c r="L1049" s="6" t="n">
        <v>1108.57</v>
      </c>
      <c r="M1049" s="6" t="n">
        <v>1108.57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MAT-19-017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cuadrado galvanizado 3" x 3" x 20 pies, pared 1.5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2</v>
      </c>
      <c r="K1050" s="6" t="n">
        <v>1872.3</v>
      </c>
      <c r="L1050" s="6" t="n">
        <v>1707.91</v>
      </c>
      <c r="M1050" s="6" t="n">
        <v>2036.68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MC · Ferretería Ochoa (8A)</t>
        </is>
      </c>
    </row>
    <row r="1051">
      <c r="A1051" s="3" t="inlineStr">
        <is>
          <t>MAT-19-018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3/4" x 1 1/2" x 20 pies, pared 1.2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402.51</v>
      </c>
      <c r="L1051" s="6" t="n">
        <v>402.51</v>
      </c>
      <c r="M1051" s="6" t="n">
        <v>402.51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MAT-19-019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3/4" x 1 1/2" x 20 pies, pared 1.6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472.19</v>
      </c>
      <c r="L1052" s="6" t="n">
        <v>472.19</v>
      </c>
      <c r="M1052" s="6" t="n">
        <v>472.19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MAT-19-020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2" x 1" x 20 pies, pared 1.2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542.15</v>
      </c>
      <c r="L1053" s="6" t="n">
        <v>542.15</v>
      </c>
      <c r="M1053" s="6" t="n">
        <v>542.15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MAT-19-021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negro 2" x 1" x 20 pies, pared 1.6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639.71</v>
      </c>
      <c r="L1054" s="6" t="n">
        <v>639.71</v>
      </c>
      <c r="M1054" s="6" t="n">
        <v>639.71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MAT-19-022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negro 2" x 3" x 20 pies, pared 1.6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1082.3</v>
      </c>
      <c r="L1055" s="6" t="n">
        <v>1082.3</v>
      </c>
      <c r="M1055" s="6" t="n">
        <v>1082.3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MAT-19-023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2" x 4" x 20 pies, pared 1.6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1349.04</v>
      </c>
      <c r="L1056" s="6" t="n">
        <v>1349.04</v>
      </c>
      <c r="M1056" s="6" t="n">
        <v>1349.04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MAT-19-024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negro 3" x 1 1/2" x 20 pies, pared 1.6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973.59</v>
      </c>
      <c r="L1057" s="6" t="n">
        <v>973.59</v>
      </c>
      <c r="M1057" s="6" t="n">
        <v>973.59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MAT-19-025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3/4" x 1 1/2" x 20 pies, pared 1.2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492.8</v>
      </c>
      <c r="L1058" s="6" t="n">
        <v>492.8</v>
      </c>
      <c r="M1058" s="6" t="n">
        <v>492.8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MAT-19-026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3/4" x 1 1/2" x 20 pies, pared 1.5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626.88</v>
      </c>
      <c r="L1059" s="6" t="n">
        <v>626.88</v>
      </c>
      <c r="M1059" s="6" t="n">
        <v>626.88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MAT-19-027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2" x 1" x 20 pies, pared 1.2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646.73</v>
      </c>
      <c r="L1060" s="6" t="n">
        <v>646.73</v>
      </c>
      <c r="M1060" s="6" t="n">
        <v>646.73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MAT-19-028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galvanizado 2" x 1" x 20 pies, pared 1.6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812.22</v>
      </c>
      <c r="L1061" s="6" t="n">
        <v>812.22</v>
      </c>
      <c r="M1061" s="6" t="n">
        <v>812.22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MAT-19-029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galvanizado 2" x 3" x 20 pies, pared 1.6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1400.9</v>
      </c>
      <c r="L1062" s="6" t="n">
        <v>1400.9</v>
      </c>
      <c r="M1062" s="6" t="n">
        <v>1400.9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MAT-19-030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2" x 4" x 20 pies, pared 1.6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1695.85</v>
      </c>
      <c r="L1063" s="6" t="n">
        <v>1695.85</v>
      </c>
      <c r="M1063" s="6" t="n">
        <v>1695.85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MAT-19-031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rectangular galvanizado 3" x 1 1/2" x 20 pies, pared 1.6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1275.97</v>
      </c>
      <c r="L1064" s="6" t="n">
        <v>1275.97</v>
      </c>
      <c r="M1064" s="6" t="n">
        <v>1275.97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MAT-19-032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1/2" x 20 pies, pared 2.77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620.21</v>
      </c>
      <c r="L1065" s="6" t="n">
        <v>620.21</v>
      </c>
      <c r="M1065" s="6" t="n">
        <v>620.21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MAT-19-033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3/4" x 20 pies, pared 2.87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826</v>
      </c>
      <c r="L1066" s="6" t="n">
        <v>826</v>
      </c>
      <c r="M1066" s="6" t="n">
        <v>826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MAT-19-034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1" x 20 pies, pared 3.38 mm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1206.29</v>
      </c>
      <c r="L1067" s="6" t="n">
        <v>1206.29</v>
      </c>
      <c r="M1067" s="6" t="n">
        <v>1206.29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MAT-19-035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1 1/4" x 20 pies, pared 3.56 mm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1507.57</v>
      </c>
      <c r="L1068" s="6" t="n">
        <v>1507.57</v>
      </c>
      <c r="M1068" s="6" t="n">
        <v>1507.57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MAT-19-036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1 1/2" x 20 pies, pared 3.68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1952.51</v>
      </c>
      <c r="L1069" s="6" t="n">
        <v>1952.51</v>
      </c>
      <c r="M1069" s="6" t="n">
        <v>1952.51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MAT-19-037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2" x 20 pies, pared 3.91 mm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2634.08</v>
      </c>
      <c r="L1070" s="6" t="n">
        <v>2634.08</v>
      </c>
      <c r="M1070" s="6" t="n">
        <v>2634.08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MAT-19-038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2 1/2" x 20 pies</t>
        </is>
      </c>
      <c r="E1071" s="4" t="inlineStr">
        <is>
          <t>La ficha no declara la pared</t>
        </is>
      </c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4173.42</v>
      </c>
      <c r="L1071" s="6" t="n">
        <v>4173.42</v>
      </c>
      <c r="M1071" s="6" t="n">
        <v>4173.42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MAT-19-039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3" x 20 pies</t>
        </is>
      </c>
      <c r="E1072" s="4" t="inlineStr">
        <is>
          <t>La ficha no declara la pared</t>
        </is>
      </c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5029.28</v>
      </c>
      <c r="L1072" s="6" t="n">
        <v>5029.28</v>
      </c>
      <c r="M1072" s="6" t="n">
        <v>5029.28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MAT-19-040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8" x 20 pies, pared 6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15250.64</v>
      </c>
      <c r="L1073" s="6" t="n">
        <v>15250.64</v>
      </c>
      <c r="M1073" s="6" t="n">
        <v>15250.64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MAT-19-041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8" x 20 pies, pared 6.35 mm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11671.14</v>
      </c>
      <c r="L1074" s="6" t="n">
        <v>11671.14</v>
      </c>
      <c r="M1074" s="6" t="n">
        <v>11671.14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MAT-19-042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10" x 20 pies, pared 6.00 mm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18313.02</v>
      </c>
      <c r="L1075" s="6" t="n">
        <v>18313.02</v>
      </c>
      <c r="M1075" s="6" t="n">
        <v>18313.02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MAT-19-043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14" x 20 pies, pared 6 mm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27695.11</v>
      </c>
      <c r="L1076" s="6" t="n">
        <v>27695.11</v>
      </c>
      <c r="M1076" s="6" t="n">
        <v>27695.11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MAT-19-044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Tubo negro redondo 16" x 20 pies, pared 12.70 mm</t>
        </is>
      </c>
      <c r="E1077" s="4" t="inlineStr"/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62026.36</v>
      </c>
      <c r="L1077" s="6" t="n">
        <v>62026.36</v>
      </c>
      <c r="M1077" s="6" t="n">
        <v>62026.36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MAT-19-045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Correa galvanizada tipo Z 6" x 1/16" x 20 pies</t>
        </is>
      </c>
      <c r="E1078" s="4" t="inlineStr"/>
      <c r="F1078" s="3" t="inlineStr">
        <is>
          <t>unidad</t>
        </is>
      </c>
      <c r="G1078" s="3" t="inlineStr">
        <is>
          <t>Techos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2658</v>
      </c>
      <c r="L1078" s="6" t="n">
        <v>2658</v>
      </c>
      <c r="M1078" s="6" t="n">
        <v>2658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MAT-19-046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Correa galvanizada tipo Z 8" x 1/16" x 20 pies</t>
        </is>
      </c>
      <c r="E1079" s="4" t="inlineStr"/>
      <c r="F1079" s="3" t="inlineStr">
        <is>
          <t>unidad</t>
        </is>
      </c>
      <c r="G1079" s="3" t="inlineStr">
        <is>
          <t>Techos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3039.2</v>
      </c>
      <c r="L1079" s="6" t="n">
        <v>3039.2</v>
      </c>
      <c r="M1079" s="6" t="n">
        <v>3039.2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MAT-20-001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3/4"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449.99</v>
      </c>
      <c r="L1080" s="6" t="n">
        <v>449.99</v>
      </c>
      <c r="M1080" s="6" t="n">
        <v>449.99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MAT-20-002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1" x 1/8"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622.2</v>
      </c>
      <c r="L1081" s="6" t="n">
        <v>560</v>
      </c>
      <c r="M1081" s="6" t="n">
        <v>684.4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MAT-20-003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1" x 3/16"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2</v>
      </c>
      <c r="K1082" s="6" t="n">
        <v>918.71</v>
      </c>
      <c r="L1082" s="6" t="n">
        <v>812.01</v>
      </c>
      <c r="M1082" s="6" t="n">
        <v>1025.42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MC · Ferretería Ochoa (8A)</t>
        </is>
      </c>
    </row>
    <row r="1083">
      <c r="A1083" s="3" t="inlineStr">
        <is>
          <t>MAT-20-004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1" x 1/4"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1163.48</v>
      </c>
      <c r="L1083" s="6" t="n">
        <v>1163.48</v>
      </c>
      <c r="M1083" s="6" t="n">
        <v>1163.48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MAT-20-005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1/4" x 1/8"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781</v>
      </c>
      <c r="L1084" s="6" t="n">
        <v>781</v>
      </c>
      <c r="M1084" s="6" t="n">
        <v>781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</row>
    <row r="1085">
      <c r="A1085" s="3" t="inlineStr">
        <is>
          <t>MAT-20-006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1 1/4" x 3/16"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2</v>
      </c>
      <c r="K1085" s="6" t="n">
        <v>1115</v>
      </c>
      <c r="L1085" s="6" t="n">
        <v>1036</v>
      </c>
      <c r="M1085" s="6" t="n">
        <v>1193.99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MC · Ferretería Ochoa (8A)</t>
        </is>
      </c>
    </row>
    <row r="1086">
      <c r="A1086" s="3" t="inlineStr">
        <is>
          <t>MAT-20-007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 1/4" x 1/4"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1344</v>
      </c>
      <c r="L1086" s="6" t="n">
        <v>1344</v>
      </c>
      <c r="M1086" s="6" t="n">
        <v>1344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Ochoa (8A)</t>
        </is>
      </c>
    </row>
    <row r="1087">
      <c r="A1087" s="3" t="inlineStr">
        <is>
          <t>MAT-20-008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 1/2" x 3/16"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1477.83</v>
      </c>
      <c r="L1087" s="6" t="n">
        <v>1260</v>
      </c>
      <c r="M1087" s="6" t="n">
        <v>1695.66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MAT-20-009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1 1/2" x 1/4"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1820.82</v>
      </c>
      <c r="L1088" s="6" t="n">
        <v>1638.01</v>
      </c>
      <c r="M1088" s="6" t="n">
        <v>2003.64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MC · Ferretería Ochoa (8A)</t>
        </is>
      </c>
    </row>
    <row r="1089">
      <c r="A1089" s="3" t="inlineStr">
        <is>
          <t>MAT-20-010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2" x 1/8"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1195.82</v>
      </c>
      <c r="L1089" s="6" t="n">
        <v>1155</v>
      </c>
      <c r="M1089" s="6" t="n">
        <v>1236.64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MC · Ferretería Ochoa (8A)</t>
        </is>
      </c>
    </row>
    <row r="1090">
      <c r="A1090" s="3" t="inlineStr">
        <is>
          <t>MAT-20-011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2" x 3/16"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2016.89</v>
      </c>
      <c r="L1090" s="6" t="n">
        <v>1708</v>
      </c>
      <c r="M1090" s="6" t="n">
        <v>2325.78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MAT-20-012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2" x 1/4"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2</v>
      </c>
      <c r="K1091" s="6" t="n">
        <v>2660.36</v>
      </c>
      <c r="L1091" s="6" t="n">
        <v>2324.69</v>
      </c>
      <c r="M1091" s="6" t="n">
        <v>2996.02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MC · Ferretería Ochoa (8A)</t>
        </is>
      </c>
    </row>
    <row r="1092">
      <c r="A1092" s="3" t="inlineStr">
        <is>
          <t>MAT-20-013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2" x 3/8"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3290.01</v>
      </c>
      <c r="L1092" s="6" t="n">
        <v>3290.01</v>
      </c>
      <c r="M1092" s="6" t="n">
        <v>3290.01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MAT-20-014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2 1/2" x 3/16"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2149</v>
      </c>
      <c r="L1093" s="6" t="n">
        <v>2149</v>
      </c>
      <c r="M1093" s="6" t="n">
        <v>2149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</row>
    <row r="1094">
      <c r="A1094" s="3" t="inlineStr">
        <is>
          <t>MAT-20-015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 1/2" x 1/4"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2</v>
      </c>
      <c r="K1094" s="6" t="n">
        <v>3053.96</v>
      </c>
      <c r="L1094" s="6" t="n">
        <v>2870</v>
      </c>
      <c r="M1094" s="6" t="n">
        <v>3237.92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MC · Ferretería Ochoa (8A)</t>
        </is>
      </c>
    </row>
    <row r="1095">
      <c r="A1095" s="3" t="inlineStr">
        <is>
          <t>MAT-20-016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2 1/2" x 3/8"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4130</v>
      </c>
      <c r="L1095" s="6" t="n">
        <v>4130</v>
      </c>
      <c r="M1095" s="6" t="n">
        <v>4130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</row>
    <row r="1096">
      <c r="A1096" s="3" t="inlineStr">
        <is>
          <t>MAT-20-017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3" x 1/4"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2</v>
      </c>
      <c r="K1096" s="6" t="n">
        <v>3559.93</v>
      </c>
      <c r="L1096" s="6" t="n">
        <v>3430</v>
      </c>
      <c r="M1096" s="6" t="n">
        <v>3689.86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MC · Ferretería Ochoa (8A)</t>
        </is>
      </c>
    </row>
    <row r="1097">
      <c r="A1097" s="3" t="inlineStr">
        <is>
          <t>MAT-20-018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3" x 3/8"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5622.2</v>
      </c>
      <c r="L1097" s="6" t="n">
        <v>5622.2</v>
      </c>
      <c r="M1097" s="6" t="n">
        <v>5622.2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</t>
        </is>
      </c>
    </row>
    <row r="1098">
      <c r="A1098" s="3" t="inlineStr">
        <is>
          <t>MAT-20-019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4" x 1/4"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2</v>
      </c>
      <c r="K1098" s="6" t="n">
        <v>5189.41</v>
      </c>
      <c r="L1098" s="6" t="n">
        <v>4117.73</v>
      </c>
      <c r="M1098" s="6" t="n">
        <v>6261.08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MC · Ferretería Ochoa (8A)</t>
        </is>
      </c>
    </row>
    <row r="1099">
      <c r="A1099" s="3" t="inlineStr">
        <is>
          <t>MAT-20-020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4" x 1/2"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9995.309999999999</v>
      </c>
      <c r="L1099" s="6" t="n">
        <v>9995.309999999999</v>
      </c>
      <c r="M1099" s="6" t="n">
        <v>9995.309999999999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MAT-20-021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perforado, 1-1/2X1-1/2"X10'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425</v>
      </c>
      <c r="L1100" s="6" t="n">
        <v>425</v>
      </c>
      <c r="M1100" s="6" t="n">
        <v>425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InnovaCentro (La Innovación)</t>
        </is>
      </c>
      <c r="AD1100" s="7" t="inlineStr">
        <is>
          <t>1-1/2X1-1/2"X10'</t>
        </is>
      </c>
    </row>
    <row r="1101">
      <c r="A1101" s="3" t="inlineStr">
        <is>
          <t>MAT-20-022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perforado, 1-1/2X1-1/2"X8'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360</v>
      </c>
      <c r="L1101" s="6" t="n">
        <v>360</v>
      </c>
      <c r="M1101" s="6" t="n">
        <v>360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InnovaCentro (La Innovación)</t>
        </is>
      </c>
      <c r="AD1101" s="7" t="inlineStr">
        <is>
          <t>1-1/2X1-1/2"X8'</t>
        </is>
      </c>
    </row>
    <row r="1102">
      <c r="A1102" s="3" t="inlineStr">
        <is>
          <t>MAT-20-023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1/2" x 1/8"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141.64</v>
      </c>
      <c r="L1102" s="6" t="n">
        <v>141.64</v>
      </c>
      <c r="M1102" s="6" t="n">
        <v>141.64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MAT-20-024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1/2" x 3/16"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249.92</v>
      </c>
      <c r="L1103" s="6" t="n">
        <v>249.92</v>
      </c>
      <c r="M1103" s="6" t="n">
        <v>249.92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MAT-20-025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1/2" x 1/4"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331.8</v>
      </c>
      <c r="L1104" s="6" t="n">
        <v>331.8</v>
      </c>
      <c r="M1104" s="6" t="n">
        <v>331.8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MAT-20-026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3/4" x 1/8"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298.91</v>
      </c>
      <c r="L1105" s="6" t="n">
        <v>298.91</v>
      </c>
      <c r="M1105" s="6" t="n">
        <v>298.91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MAT-20-027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3/4" x 3/16"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373</v>
      </c>
      <c r="L1106" s="6" t="n">
        <v>373</v>
      </c>
      <c r="M1106" s="6" t="n">
        <v>373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MAT-20-028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3/4" x 1/4"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497.72</v>
      </c>
      <c r="L1107" s="6" t="n">
        <v>497.72</v>
      </c>
      <c r="M1107" s="6" t="n">
        <v>497.72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MAT-20-029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1" x 1/8"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297.5</v>
      </c>
      <c r="L1108" s="6" t="n">
        <v>297.5</v>
      </c>
      <c r="M1108" s="6" t="n">
        <v>297.5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MAT-20-030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1" x 3/16"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446.25</v>
      </c>
      <c r="L1109" s="6" t="n">
        <v>446.25</v>
      </c>
      <c r="M1109" s="6" t="n">
        <v>446.25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MAT-20-031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1" x 1/4"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595</v>
      </c>
      <c r="L1110" s="6" t="n">
        <v>595</v>
      </c>
      <c r="M1110" s="6" t="n">
        <v>595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MAT-20-032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1" x 1/2"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1327.5</v>
      </c>
      <c r="L1111" s="6" t="n">
        <v>1327.5</v>
      </c>
      <c r="M1111" s="6" t="n">
        <v>1327.5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MAT-20-033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1/4" x 1/8"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415.35</v>
      </c>
      <c r="L1112" s="6" t="n">
        <v>415.35</v>
      </c>
      <c r="M1112" s="6" t="n">
        <v>415.35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MAT-20-034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1/4" x 3/16"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614.58</v>
      </c>
      <c r="L1113" s="6" t="n">
        <v>614.58</v>
      </c>
      <c r="M1113" s="6" t="n">
        <v>614.58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MAT-20-035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1/4" x 1/4"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745.5</v>
      </c>
      <c r="L1114" s="6" t="n">
        <v>745.5</v>
      </c>
      <c r="M1114" s="6" t="n">
        <v>745.5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MAT-20-036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1/4" x 3/8"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1115.73</v>
      </c>
      <c r="L1115" s="6" t="n">
        <v>1115.73</v>
      </c>
      <c r="M1115" s="6" t="n">
        <v>1115.73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MAT-20-037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1/8"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451.7</v>
      </c>
      <c r="L1116" s="6" t="n">
        <v>451.7</v>
      </c>
      <c r="M1116" s="6" t="n">
        <v>451.7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MAT-20-038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1/2" x 3/16"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682.5</v>
      </c>
      <c r="L1117" s="6" t="n">
        <v>682.5</v>
      </c>
      <c r="M1117" s="6" t="n">
        <v>682.5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MAT-20-039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1/2" x 1/4"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892.5</v>
      </c>
      <c r="L1118" s="6" t="n">
        <v>892.5</v>
      </c>
      <c r="M1118" s="6" t="n">
        <v>892.5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MAT-20-040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1/2" x 3/8"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1338.75</v>
      </c>
      <c r="L1119" s="6" t="n">
        <v>1338.75</v>
      </c>
      <c r="M1119" s="6" t="n">
        <v>1338.75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MAT-20-041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 1/2" x 1/2"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1991.13</v>
      </c>
      <c r="L1120" s="6" t="n">
        <v>1991.13</v>
      </c>
      <c r="M1120" s="6" t="n">
        <v>1991.13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MAT-20-042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1/8"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595</v>
      </c>
      <c r="L1121" s="6" t="n">
        <v>595</v>
      </c>
      <c r="M1121" s="6" t="n">
        <v>595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MAT-20-043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2" x 3/16"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892.5</v>
      </c>
      <c r="L1122" s="6" t="n">
        <v>892.5</v>
      </c>
      <c r="M1122" s="6" t="n">
        <v>892.5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MAT-20-044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2" x 1/4"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1189.99</v>
      </c>
      <c r="L1123" s="6" t="n">
        <v>1189.99</v>
      </c>
      <c r="M1123" s="6" t="n">
        <v>1189.99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MAT-20-045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2" x 3/8"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1785</v>
      </c>
      <c r="L1124" s="6" t="n">
        <v>1785</v>
      </c>
      <c r="M1124" s="6" t="n">
        <v>1785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MAT-20-046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2" x 1/2"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2380</v>
      </c>
      <c r="L1125" s="6" t="n">
        <v>2380</v>
      </c>
      <c r="M1125" s="6" t="n">
        <v>2380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MAT-20-047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 1/2" x 1/4"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1487.5</v>
      </c>
      <c r="L1126" s="6" t="n">
        <v>1487.5</v>
      </c>
      <c r="M1126" s="6" t="n">
        <v>1487.5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MAT-20-048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2 1/2" x 3/8"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2231.6</v>
      </c>
      <c r="L1127" s="6" t="n">
        <v>2231.6</v>
      </c>
      <c r="M1127" s="6" t="n">
        <v>2231.6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MAT-20-049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3" x 1/4"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1785</v>
      </c>
      <c r="L1128" s="6" t="n">
        <v>1785</v>
      </c>
      <c r="M1128" s="6" t="n">
        <v>1785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MAT-20-050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3" x 3/8"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2677.62</v>
      </c>
      <c r="L1129" s="6" t="n">
        <v>2677.62</v>
      </c>
      <c r="M1129" s="6" t="n">
        <v>2677.62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MAT-20-051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4" x 1/4"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2380</v>
      </c>
      <c r="L1130" s="6" t="n">
        <v>2380</v>
      </c>
      <c r="M1130" s="6" t="n">
        <v>2380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MAT-20-052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4" x 3/8"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3982.5</v>
      </c>
      <c r="L1131" s="6" t="n">
        <v>3982.5</v>
      </c>
      <c r="M1131" s="6" t="n">
        <v>3982.5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MAT-20-053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acero inoxidable 2" x 1/8"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premium</t>
        </is>
      </c>
      <c r="I1132" s="3" t="inlineStr">
        <is>
          <t>importado</t>
        </is>
      </c>
      <c r="J1132" s="5" t="n">
        <v>1</v>
      </c>
      <c r="K1132" s="6" t="n">
        <v>1397.2</v>
      </c>
      <c r="L1132" s="6" t="n">
        <v>1397.2</v>
      </c>
      <c r="M1132" s="6" t="n">
        <v>1397.2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MAT-20-054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cuadrada de acero 7/16"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411.76</v>
      </c>
      <c r="L1133" s="6" t="n">
        <v>411.76</v>
      </c>
      <c r="M1133" s="6" t="n">
        <v>411.76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MAT-20-055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cuadrada de acero 1/2"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538.46</v>
      </c>
      <c r="L1134" s="6" t="n">
        <v>538.46</v>
      </c>
      <c r="M1134" s="6" t="n">
        <v>538.46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MAT-20-056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cuadrada de acero 5/8"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843.37</v>
      </c>
      <c r="L1135" s="6" t="n">
        <v>843.37</v>
      </c>
      <c r="M1135" s="6" t="n">
        <v>843.37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MAT-20-057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3/8"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238.1</v>
      </c>
      <c r="L1136" s="6" t="n">
        <v>238.1</v>
      </c>
      <c r="M1136" s="6" t="n">
        <v>238.1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MAT-20-058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de acero 1/2"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421.68</v>
      </c>
      <c r="L1137" s="6" t="n">
        <v>421.68</v>
      </c>
      <c r="M1137" s="6" t="n">
        <v>421.68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MAT-20-059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de acero 5/8"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660.38</v>
      </c>
      <c r="L1138" s="6" t="n">
        <v>660.38</v>
      </c>
      <c r="M1138" s="6" t="n">
        <v>660.38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MAT-20-060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de acero 3/4"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945.95</v>
      </c>
      <c r="L1139" s="6" t="n">
        <v>945.95</v>
      </c>
      <c r="M1139" s="6" t="n">
        <v>945.95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MAT-20-061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redonda de acero 1" x 20 pies</t>
        </is>
      </c>
      <c r="E1140" s="4" t="inlineStr"/>
      <c r="F1140" s="3" t="inlineStr">
        <is>
          <t>unidad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1666.67</v>
      </c>
      <c r="L1140" s="6" t="n">
        <v>1666.67</v>
      </c>
      <c r="M1140" s="6" t="n">
        <v>1666.67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MAT-20-062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torneada de acero 7/16" x 20 pies</t>
        </is>
      </c>
      <c r="E1141" s="4" t="inlineStr"/>
      <c r="F1141" s="3" t="inlineStr">
        <is>
          <t>unidad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426.77</v>
      </c>
      <c r="L1141" s="6" t="n">
        <v>426.77</v>
      </c>
      <c r="M1141" s="6" t="n">
        <v>426.77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MAT-20-063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torneada de acero 1/2" x 20 pies</t>
        </is>
      </c>
      <c r="E1142" s="4" t="inlineStr"/>
      <c r="F1142" s="3" t="inlineStr">
        <is>
          <t>unidad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553.47</v>
      </c>
      <c r="L1142" s="6" t="n">
        <v>553.47</v>
      </c>
      <c r="M1142" s="6" t="n">
        <v>553.47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MAT-20-064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Barra redonda torneada de acero 5/8" x 20 pies</t>
        </is>
      </c>
      <c r="E1143" s="4" t="inlineStr"/>
      <c r="F1143" s="3" t="inlineStr">
        <is>
          <t>unidad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858.38</v>
      </c>
      <c r="L1143" s="6" t="n">
        <v>858.38</v>
      </c>
      <c r="M1143" s="6" t="n">
        <v>858.38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MAT-21-001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1/32", plancha 4 x 8 pies</t>
        </is>
      </c>
      <c r="E1144" s="4" t="inlineStr">
        <is>
          <t>Peso 40.8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1113.61</v>
      </c>
      <c r="L1144" s="6" t="n">
        <v>1113.61</v>
      </c>
      <c r="M1144" s="6" t="n">
        <v>1113.61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MAT-21-002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1/22", plancha 4 x 8 pies</t>
        </is>
      </c>
      <c r="E1145" s="4" t="inlineStr">
        <is>
          <t>Peso 59.34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1497.04</v>
      </c>
      <c r="L1145" s="6" t="n">
        <v>1497.04</v>
      </c>
      <c r="M1145" s="6" t="n">
        <v>1497.04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MAT-21-003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1/16", plancha 4 x 10 pies</t>
        </is>
      </c>
      <c r="E1146" s="4" t="inlineStr">
        <is>
          <t>Peso 102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2938.54</v>
      </c>
      <c r="L1146" s="6" t="n">
        <v>2938.54</v>
      </c>
      <c r="M1146" s="6" t="n">
        <v>2938.54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MAT-21-004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1/16", plancha 4 x 8 pies</t>
        </is>
      </c>
      <c r="E1147" s="4" t="inlineStr">
        <is>
          <t>Peso 81.61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2224.54</v>
      </c>
      <c r="L1147" s="6" t="n">
        <v>2224.54</v>
      </c>
      <c r="M1147" s="6" t="n">
        <v>2224.54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MAT-21-005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3/32", plancha 4 x 8 pies</t>
        </is>
      </c>
      <c r="E1148" s="4" t="inlineStr">
        <is>
          <t>Peso 122.4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3132.92</v>
      </c>
      <c r="L1148" s="6" t="n">
        <v>3132.92</v>
      </c>
      <c r="M1148" s="6" t="n">
        <v>3132.92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MAT-21-006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1/8", plancha 4 x 10 pies</t>
        </is>
      </c>
      <c r="E1149" s="4" t="inlineStr">
        <is>
          <t>Peso 204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5622.83</v>
      </c>
      <c r="L1149" s="6" t="n">
        <v>5622.83</v>
      </c>
      <c r="M1149" s="6" t="n">
        <v>5622.83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MAT-21-007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1/8", plancha 4 x 8 pies</t>
        </is>
      </c>
      <c r="E1150" s="4" t="inlineStr">
        <is>
          <t>Peso 163.2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4104.8</v>
      </c>
      <c r="L1150" s="6" t="n">
        <v>4104.8</v>
      </c>
      <c r="M1150" s="6" t="n">
        <v>4104.8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MAT-21-008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1/8", plancha 5 x 10 pies</t>
        </is>
      </c>
      <c r="E1151" s="4" t="inlineStr">
        <is>
          <t>Peso 255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6428.83</v>
      </c>
      <c r="L1151" s="6" t="n">
        <v>6428.83</v>
      </c>
      <c r="M1151" s="6" t="n">
        <v>6428.83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MAT-21-009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3/16", plancha 4 x 8 pies</t>
        </is>
      </c>
      <c r="E1152" s="4" t="inlineStr">
        <is>
          <t>Peso 244.8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6678.8</v>
      </c>
      <c r="L1152" s="6" t="n">
        <v>6678.8</v>
      </c>
      <c r="M1152" s="6" t="n">
        <v>6678.8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MAT-21-010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3/16", plancha 5 x 10 pies</t>
        </is>
      </c>
      <c r="E1153" s="4" t="inlineStr">
        <is>
          <t>Peso 382.5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10410.48</v>
      </c>
      <c r="L1153" s="6" t="n">
        <v>10410.48</v>
      </c>
      <c r="M1153" s="6" t="n">
        <v>10410.48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MAT-21-011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3/16", plancha 6 x 10 pies</t>
        </is>
      </c>
      <c r="E1154" s="4" t="inlineStr">
        <is>
          <t>Peso 459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12392.84</v>
      </c>
      <c r="L1154" s="6" t="n">
        <v>12392.84</v>
      </c>
      <c r="M1154" s="6" t="n">
        <v>12392.84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MAT-21-012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1/4", plancha 4 x 8 pies</t>
        </is>
      </c>
      <c r="E1155" s="4" t="inlineStr">
        <is>
          <t>Peso 326.4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8276.58</v>
      </c>
      <c r="L1155" s="6" t="n">
        <v>8276.58</v>
      </c>
      <c r="M1155" s="6" t="n">
        <v>8276.58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MAT-21-013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1/4", plancha 6 x 10 pies</t>
        </is>
      </c>
      <c r="E1156" s="4" t="inlineStr">
        <is>
          <t>Peso 612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16280.34</v>
      </c>
      <c r="L1156" s="6" t="n">
        <v>16280.34</v>
      </c>
      <c r="M1156" s="6" t="n">
        <v>16280.34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MAT-21-014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3/8", plancha 4 x 8 pies</t>
        </is>
      </c>
      <c r="E1157" s="4" t="inlineStr">
        <is>
          <t>Peso 489.6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12665.86</v>
      </c>
      <c r="L1157" s="6" t="n">
        <v>12665.86</v>
      </c>
      <c r="M1157" s="6" t="n">
        <v>12665.86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MAT-21-015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5/8", plancha 4 x 8 pies</t>
        </is>
      </c>
      <c r="E1158" s="4" t="inlineStr">
        <is>
          <t>Peso 819.2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21001.52</v>
      </c>
      <c r="L1158" s="6" t="n">
        <v>21001.52</v>
      </c>
      <c r="M1158" s="6" t="n">
        <v>21001.52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MAT-21-016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negra 1", plancha 4 x 8 pies</t>
        </is>
      </c>
      <c r="E1159" s="4" t="inlineStr">
        <is>
          <t>Peso 1305.6 lb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37319.49</v>
      </c>
      <c r="L1159" s="6" t="n">
        <v>37319.49</v>
      </c>
      <c r="M1159" s="6" t="n">
        <v>37319.49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MAT-21-017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corrugada 3/32", plancha 4 x 8 pies</t>
        </is>
      </c>
      <c r="E1160" s="4" t="inlineStr">
        <is>
          <t>Peso 133 lb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3253.65</v>
      </c>
      <c r="L1160" s="6" t="n">
        <v>3253.65</v>
      </c>
      <c r="M1160" s="6" t="n">
        <v>3253.65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MAT-21-018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corrugada 1/8", plancha 4 x 8 pies</t>
        </is>
      </c>
      <c r="E1161" s="4" t="inlineStr">
        <is>
          <t>Peso 186.5 lb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4279.86</v>
      </c>
      <c r="L1161" s="6" t="n">
        <v>4279.86</v>
      </c>
      <c r="M1161" s="6" t="n">
        <v>4279.86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MAT-21-019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corrugada 3/16", plancha 4 x 8 pies</t>
        </is>
      </c>
      <c r="E1162" s="4" t="inlineStr">
        <is>
          <t>Peso 244.8 lb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6433.47</v>
      </c>
      <c r="L1162" s="6" t="n">
        <v>6433.47</v>
      </c>
      <c r="M1162" s="6" t="n">
        <v>6433.47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MAT-21-020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25 lb</t>
        </is>
      </c>
      <c r="E1163" s="4" t="inlineStr">
        <is>
          <t>Calibre 26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825.17</v>
      </c>
      <c r="L1163" s="6" t="n">
        <v>825.17</v>
      </c>
      <c r="M1163" s="6" t="n">
        <v>825.17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MAT-21-021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32 lb</t>
        </is>
      </c>
      <c r="E1164" s="4" t="inlineStr">
        <is>
          <t>Calibre 24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952.1900000000001</v>
      </c>
      <c r="L1164" s="6" t="n">
        <v>952.1900000000001</v>
      </c>
      <c r="M1164" s="6" t="n">
        <v>952.1900000000001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MAT-21-022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galvanizada 4 x 8 pies, 44 lb</t>
        </is>
      </c>
      <c r="E1165" s="4" t="inlineStr">
        <is>
          <t>Calibre 22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1169.6</v>
      </c>
      <c r="L1165" s="6" t="n">
        <v>1169.6</v>
      </c>
      <c r="M1165" s="6" t="n">
        <v>1169.6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MAT-21-023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galvanizada 4 x 8 pies, 52 lb</t>
        </is>
      </c>
      <c r="E1166" s="4" t="inlineStr">
        <is>
          <t>Calibre 20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1551.37</v>
      </c>
      <c r="L1166" s="6" t="n">
        <v>1551.37</v>
      </c>
      <c r="M1166" s="6" t="n">
        <v>1551.37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MAT-21-024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galvanizada 4 x 8 pies, 83.75 lb</t>
        </is>
      </c>
      <c r="E1167" s="4" t="inlineStr">
        <is>
          <t>Calibre 16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2364.86</v>
      </c>
      <c r="L1167" s="6" t="n">
        <v>2364.86</v>
      </c>
      <c r="M1167" s="6" t="n">
        <v>2364.86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MAT-21-025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3/8",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2209.05</v>
      </c>
      <c r="L1168" s="6" t="n">
        <v>2209.05</v>
      </c>
      <c r="M1168" s="6" t="n">
        <v>2209.05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MAT-21-026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1/2", plancha 4 x 8 pies</t>
        </is>
      </c>
      <c r="E1169" s="4" t="inlineStr">
        <is>
          <t>La ficha no declara el calibre</t>
        </is>
      </c>
      <c r="F1169" s="3" t="inlineStr">
        <is>
          <t>plancha</t>
        </is>
      </c>
      <c r="G1169" s="3" t="inlineStr">
        <is>
          <t>Estructura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765.55</v>
      </c>
      <c r="L1169" s="6" t="n">
        <v>765.55</v>
      </c>
      <c r="M1169" s="6" t="n">
        <v>765.55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MAT-21-027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Metal desplegable plano 3/4", plancha 4 x 8 pies</t>
        </is>
      </c>
      <c r="E1170" s="4" t="inlineStr">
        <is>
          <t>La ficha no declara el calibre</t>
        </is>
      </c>
      <c r="F1170" s="3" t="inlineStr">
        <is>
          <t>plancha</t>
        </is>
      </c>
      <c r="G1170" s="3" t="inlineStr">
        <is>
          <t>Estructura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850</v>
      </c>
      <c r="L1170" s="6" t="n">
        <v>850</v>
      </c>
      <c r="M1170" s="6" t="n">
        <v>850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</row>
    <row r="1171">
      <c r="A1171" s="3" t="inlineStr">
        <is>
          <t>MAT-21-028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Metal desplegable plano 1", plancha 4 x 8 pies</t>
        </is>
      </c>
      <c r="E1171" s="4" t="inlineStr">
        <is>
          <t>La ficha no declara el calibre</t>
        </is>
      </c>
      <c r="F1171" s="3" t="inlineStr">
        <is>
          <t>plancha</t>
        </is>
      </c>
      <c r="G1171" s="3" t="inlineStr">
        <is>
          <t>Estructura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1080.47</v>
      </c>
      <c r="L1171" s="6" t="n">
        <v>1080.47</v>
      </c>
      <c r="M1171" s="6" t="n">
        <v>1080.47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MAT-21-029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Metal desplegable plano 1 1/2", plancha 4 x 8 pies</t>
        </is>
      </c>
      <c r="E1172" s="4" t="inlineStr">
        <is>
          <t>La ficha no declara el calibre</t>
        </is>
      </c>
      <c r="F1172" s="3" t="inlineStr">
        <is>
          <t>plancha</t>
        </is>
      </c>
      <c r="G1172" s="3" t="inlineStr">
        <is>
          <t>Estructura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939.35</v>
      </c>
      <c r="L1172" s="6" t="n">
        <v>939.35</v>
      </c>
      <c r="M1172" s="6" t="n">
        <v>939.35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MAT-22-001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3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5223.1</v>
      </c>
      <c r="L1173" s="6" t="n">
        <v>5223.1</v>
      </c>
      <c r="M1173" s="6" t="n">
        <v>5223.1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MAT-22-002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4 pies de alto, rollo de 50 pies</t>
        </is>
      </c>
      <c r="E1174" s="4" t="inlineStr">
        <is>
          <t>Galvanizada</t>
        </is>
      </c>
      <c r="F1174" s="3" t="inlineStr">
        <is>
          <t>rollo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2</v>
      </c>
      <c r="K1174" s="6" t="n">
        <v>6740.23</v>
      </c>
      <c r="L1174" s="6" t="n">
        <v>6121.98</v>
      </c>
      <c r="M1174" s="6" t="n">
        <v>7358.48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</t>
        </is>
      </c>
    </row>
    <row r="1175">
      <c r="A1175" s="3" t="inlineStr">
        <is>
          <t>MAT-22-003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Malla ciclónica calibre 9, 6 pies de alto, rollo de 50 pies</t>
        </is>
      </c>
      <c r="E1175" s="4" t="inlineStr">
        <is>
          <t>Galvanizada</t>
        </is>
      </c>
      <c r="F1175" s="3" t="inlineStr">
        <is>
          <t>rollo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2</v>
      </c>
      <c r="K1175" s="6" t="n">
        <v>10808.21</v>
      </c>
      <c r="L1175" s="6" t="n">
        <v>9867.16</v>
      </c>
      <c r="M1175" s="6" t="n">
        <v>11749.26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MC · Ferretería Ochoa (8A)</t>
        </is>
      </c>
    </row>
    <row r="1176">
      <c r="A1176" s="3" t="inlineStr">
        <is>
          <t>MAT-22-004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Malla ciclónica calibre 9 revestida en PVC, 6 pies de alto, rollo de 50 pies</t>
        </is>
      </c>
      <c r="E1176" s="4" t="inlineStr">
        <is>
          <t>Galvanizada</t>
        </is>
      </c>
      <c r="F1176" s="3" t="inlineStr">
        <is>
          <t>rollo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13223.83</v>
      </c>
      <c r="L1176" s="6" t="n">
        <v>11757.65</v>
      </c>
      <c r="M1176" s="6" t="n">
        <v>14690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 · InnovaCentro (La Innovación)</t>
        </is>
      </c>
    </row>
    <row r="1177">
      <c r="A1177" s="3" t="inlineStr">
        <is>
          <t>MAT-22-005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Malla ciclónica calibre 9, 8 pies de alto, rollo de 50 pies</t>
        </is>
      </c>
      <c r="E1177" s="4" t="inlineStr">
        <is>
          <t>Galvanizada</t>
        </is>
      </c>
      <c r="F1177" s="3" t="inlineStr">
        <is>
          <t>rollo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2</v>
      </c>
      <c r="K1177" s="6" t="n">
        <v>14467.25</v>
      </c>
      <c r="L1177" s="6" t="n">
        <v>13273.54</v>
      </c>
      <c r="M1177" s="6" t="n">
        <v>15660.96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</t>
        </is>
      </c>
    </row>
    <row r="1178">
      <c r="A1178" s="3" t="inlineStr">
        <is>
          <t>MAT-22-006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Tubo galvanizado para malla ciclónica 1 1/4" x 20 pies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711.54</v>
      </c>
      <c r="L1178" s="6" t="n">
        <v>527.0599999999999</v>
      </c>
      <c r="M1178" s="6" t="n">
        <v>730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MAT-22-007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Tubo galvanizado para malla ciclónica 1 1/2" x 15 pies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3</v>
      </c>
      <c r="K1179" s="6" t="n">
        <v>542.8</v>
      </c>
      <c r="L1179" s="6" t="n">
        <v>462.61</v>
      </c>
      <c r="M1179" s="6" t="n">
        <v>625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 · InnovaCentro (La Innovación)</t>
        </is>
      </c>
    </row>
    <row r="1180">
      <c r="A1180" s="3" t="inlineStr">
        <is>
          <t>MAT-22-008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Tubo galvanizado para malla ciclónica 2" x 20 pies</t>
        </is>
      </c>
      <c r="E1180" s="4" t="inlineStr"/>
      <c r="F1180" s="3" t="inlineStr">
        <is>
          <t>unidad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2</v>
      </c>
      <c r="K1180" s="6" t="n">
        <v>762.96</v>
      </c>
      <c r="L1180" s="6" t="n">
        <v>699.92</v>
      </c>
      <c r="M1180" s="6" t="n">
        <v>826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MC · Ferretería Ochoa (8A)</t>
        </is>
      </c>
    </row>
    <row r="1181">
      <c r="A1181" s="3" t="inlineStr">
        <is>
          <t>MAT-22-009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11, 3 pies de alto, rollo de 50 pies</t>
        </is>
      </c>
      <c r="E1181" s="4" t="inlineStr">
        <is>
          <t>Galvanizada</t>
        </is>
      </c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4335.91</v>
      </c>
      <c r="L1181" s="6" t="n">
        <v>4335.91</v>
      </c>
      <c r="M1181" s="6" t="n">
        <v>4335.91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MAT-22-010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Malla ciclónica calibre 11, 6 pies de alto, rollo de 50 pies</t>
        </is>
      </c>
      <c r="E1182" s="4" t="inlineStr">
        <is>
          <t>Galvanizada</t>
        </is>
      </c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3</v>
      </c>
      <c r="K1182" s="6" t="n">
        <v>10250</v>
      </c>
      <c r="L1182" s="6" t="n">
        <v>8694.459999999999</v>
      </c>
      <c r="M1182" s="6" t="n">
        <v>10360.4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MC · Ferretería Ochoa (8A) · InnovaCentro (La Innovación)</t>
        </is>
      </c>
    </row>
    <row r="1183">
      <c r="A1183" s="3" t="inlineStr">
        <is>
          <t>MAT-22-011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1.50 mm, rollo de 250 metros</t>
        </is>
      </c>
      <c r="E1183" s="4" t="inlineStr">
        <is>
          <t>La ficha lo declara calibre 16</t>
        </is>
      </c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2601.2</v>
      </c>
      <c r="L1183" s="6" t="n">
        <v>2601.2</v>
      </c>
      <c r="M1183" s="6" t="n">
        <v>2601.2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MAT-22-012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15, rollo de 250 metros</t>
        </is>
      </c>
      <c r="E1184" s="4" t="inlineStr"/>
      <c r="F1184" s="3" t="inlineStr">
        <is>
          <t>rollo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2541.47</v>
      </c>
      <c r="L1184" s="6" t="n">
        <v>2541.47</v>
      </c>
      <c r="M1184" s="6" t="n">
        <v>2541.47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</row>
    <row r="1185">
      <c r="A1185" s="3" t="inlineStr">
        <is>
          <t>MAT-22-013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Alambre de púas calibre 16, rollo de 110 metros</t>
        </is>
      </c>
      <c r="E1185" s="4" t="inlineStr"/>
      <c r="F1185" s="3" t="inlineStr">
        <is>
          <t>rollo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2</v>
      </c>
      <c r="K1185" s="6" t="n">
        <v>904.5599999999999</v>
      </c>
      <c r="L1185" s="6" t="n">
        <v>845</v>
      </c>
      <c r="M1185" s="6" t="n">
        <v>964.11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 · InnovaCentro (La Innovación)</t>
        </is>
      </c>
    </row>
    <row r="1186">
      <c r="A1186" s="3" t="inlineStr">
        <is>
          <t>MAT-22-014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Alambre de púas calibre 16, rollo de 250 metros</t>
        </is>
      </c>
      <c r="E1186" s="4" t="inlineStr"/>
      <c r="F1186" s="3" t="inlineStr">
        <is>
          <t>rollo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4</v>
      </c>
      <c r="K1186" s="6" t="n">
        <v>2696.5</v>
      </c>
      <c r="L1186" s="6" t="n">
        <v>1885</v>
      </c>
      <c r="M1186" s="6" t="n">
        <v>3785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Cima · Ferretería Ochoa (8A) · InnovaCentro (La Innovación) · Max Ferretería</t>
        </is>
      </c>
    </row>
    <row r="1187">
      <c r="A1187" s="3" t="inlineStr">
        <is>
          <t>MAT-22-015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Alambre de púas calibre 17, rollo de 250 metros</t>
        </is>
      </c>
      <c r="E1187" s="4" t="inlineStr"/>
      <c r="F1187" s="3" t="inlineStr">
        <is>
          <t>rollo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1933.36</v>
      </c>
      <c r="L1187" s="6" t="n">
        <v>1933.36</v>
      </c>
      <c r="M1187" s="6" t="n">
        <v>1933.36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MAT-22-016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16, retícula 1" x 2", 4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113.78</v>
      </c>
      <c r="L1188" s="6" t="n">
        <v>113.78</v>
      </c>
      <c r="M1188" s="6" t="n">
        <v>113.78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MAT-22-017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18, retícula 1/2" x 1/2", 4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192.26</v>
      </c>
      <c r="L1189" s="6" t="n">
        <v>192.26</v>
      </c>
      <c r="M1189" s="6" t="n">
        <v>192.26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MAT-22-018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18, retícula 1" x 1/2", 3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106.11</v>
      </c>
      <c r="L1190" s="6" t="n">
        <v>106.11</v>
      </c>
      <c r="M1190" s="6" t="n">
        <v>106.11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MAT-22-019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metálica calibre 18, retícula 1" x 1/2", 4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145.1</v>
      </c>
      <c r="L1191" s="6" t="n">
        <v>145.1</v>
      </c>
      <c r="M1191" s="6" t="n">
        <v>145.1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MAT-22-020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metálica calibre 20, retícula 1" x 2", 3 pies de alto</t>
        </is>
      </c>
      <c r="E1192" s="4" t="inlineStr">
        <is>
          <t>Rollo de 100 pies</t>
        </is>
      </c>
      <c r="F1192" s="3" t="inlineStr">
        <is>
          <t>yarda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37.54</v>
      </c>
      <c r="L1192" s="6" t="n">
        <v>37.54</v>
      </c>
      <c r="M1192" s="6" t="n">
        <v>37.54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MAT-22-021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metálica calibre 21, retícula 3/8" x 3/8", 3 pies de alto</t>
        </is>
      </c>
      <c r="E1193" s="4" t="inlineStr">
        <is>
          <t>Rollo de 100 pies</t>
        </is>
      </c>
      <c r="F1193" s="3" t="inlineStr">
        <is>
          <t>yarda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72.61</v>
      </c>
      <c r="L1193" s="6" t="n">
        <v>72.61</v>
      </c>
      <c r="M1193" s="6" t="n">
        <v>72.61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MAT-22-022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para gallinero calibre 19, 3 pies de alto</t>
        </is>
      </c>
      <c r="E1194" s="4" t="inlineStr">
        <is>
          <t>Rollo de 100 pies</t>
        </is>
      </c>
      <c r="F1194" s="3" t="inlineStr">
        <is>
          <t>yarda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54.04</v>
      </c>
      <c r="L1194" s="6" t="n">
        <v>54.04</v>
      </c>
      <c r="M1194" s="6" t="n">
        <v>54.04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MAT-22-023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Tela para gallinero calibre 20, 3 pies de alto</t>
        </is>
      </c>
      <c r="E1195" s="4" t="inlineStr">
        <is>
          <t>Rollo de 100 pies</t>
        </is>
      </c>
      <c r="F1195" s="3" t="inlineStr">
        <is>
          <t>yarda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46.53</v>
      </c>
      <c r="L1195" s="6" t="n">
        <v>46.53</v>
      </c>
      <c r="M1195" s="6" t="n">
        <v>46.53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Ochoa (8A)</t>
        </is>
      </c>
    </row>
    <row r="1196">
      <c r="A1196" s="3" t="inlineStr">
        <is>
          <t>MAT-22-024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Alambre de trinchera, 45 Mts</t>
        </is>
      </c>
      <c r="E1196" s="4" t="inlineStr"/>
      <c r="F1196" s="3" t="inlineStr">
        <is>
          <t>rollo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595</v>
      </c>
      <c r="L1196" s="6" t="n">
        <v>595</v>
      </c>
      <c r="M1196" s="6" t="n">
        <v>595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InnovaCentro (La Innovación)</t>
        </is>
      </c>
      <c r="AD1196" s="7" t="inlineStr">
        <is>
          <t>45 Mts</t>
        </is>
      </c>
    </row>
    <row r="1197">
      <c r="A1197" s="3" t="inlineStr">
        <is>
          <t>MAT-22-025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Protección de verja, 1mt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990</v>
      </c>
      <c r="L1197" s="6" t="n">
        <v>985</v>
      </c>
      <c r="M1197" s="6" t="n">
        <v>995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InnovaCentro (La Innovación)</t>
        </is>
      </c>
      <c r="AD1197" s="7" t="inlineStr">
        <is>
          <t>1mt</t>
        </is>
      </c>
    </row>
    <row r="1198">
      <c r="A1198" s="3" t="inlineStr">
        <is>
          <t>MAT-22-026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Abrazadera corta para malla ciclónica 1 1/4"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2</v>
      </c>
      <c r="K1198" s="6" t="n">
        <v>28.52</v>
      </c>
      <c r="L1198" s="6" t="n">
        <v>16.91</v>
      </c>
      <c r="M1198" s="6" t="n">
        <v>40.12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 · Ferretería Ochoa (8A)</t>
        </is>
      </c>
    </row>
    <row r="1199">
      <c r="A1199" s="3" t="inlineStr">
        <is>
          <t>MAT-22-027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Copa pasante para malla ciclónica 1 1/4" x 1 1/2"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3</v>
      </c>
      <c r="K1199" s="6" t="n">
        <v>98</v>
      </c>
      <c r="L1199" s="6" t="n">
        <v>76.66</v>
      </c>
      <c r="M1199" s="6" t="n">
        <v>136.41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 · Ferretería Ochoa (8A) · InnovaCentro (La Innovación)</t>
        </is>
      </c>
    </row>
    <row r="1200">
      <c r="A1200" s="3" t="inlineStr">
        <is>
          <t>MAT-22-028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Copa tensora para malla ciclónica 1 1/4"</t>
        </is>
      </c>
      <c r="E1200" s="4" t="inlineStr"/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55.61</v>
      </c>
      <c r="L1200" s="6" t="n">
        <v>55.61</v>
      </c>
      <c r="M1200" s="6" t="n">
        <v>55.61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Ochoa (8A)</t>
        </is>
      </c>
    </row>
    <row r="1201">
      <c r="A1201" s="3" t="inlineStr">
        <is>
          <t>MAT-22-029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Copa terminal para malla ciclónica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2</v>
      </c>
      <c r="K1201" s="6" t="n">
        <v>66.62</v>
      </c>
      <c r="L1201" s="6" t="n">
        <v>36.96</v>
      </c>
      <c r="M1201" s="6" t="n">
        <v>96.29000000000001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 · Ferretería Ochoa (8A)</t>
        </is>
      </c>
    </row>
    <row r="1202">
      <c r="A1202" s="3" t="inlineStr">
        <is>
          <t>MAT-22-030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Unión reforzada para malla ciclónica 1 1/4"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60.03</v>
      </c>
      <c r="L1202" s="6" t="n">
        <v>60.03</v>
      </c>
      <c r="M1202" s="6" t="n">
        <v>60.03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Ochoa (8A)</t>
        </is>
      </c>
    </row>
    <row r="1203">
      <c r="A1203" s="3" t="inlineStr">
        <is>
          <t>MAT-22-031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corta para malla ciclónica 1 1/2"</t>
        </is>
      </c>
      <c r="E1203" s="4" t="inlineStr"/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2</v>
      </c>
      <c r="K1203" s="6" t="n">
        <v>24.66</v>
      </c>
      <c r="L1203" s="6" t="n">
        <v>19.14</v>
      </c>
      <c r="M1203" s="6" t="n">
        <v>30.17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 · Ferretería Ochoa (8A)</t>
        </is>
      </c>
    </row>
    <row r="1204">
      <c r="A1204" s="3" t="inlineStr">
        <is>
          <t>MAT-22-032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Abrazadera larga para malla ciclónica 1 1/2"</t>
        </is>
      </c>
      <c r="E1204" s="4" t="inlineStr">
        <is>
          <t>Sin tornillo · se compra aparte</t>
        </is>
      </c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39.91</v>
      </c>
      <c r="L1204" s="6" t="n">
        <v>28.77</v>
      </c>
      <c r="M1204" s="6" t="n">
        <v>46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MAT-22-033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Brazo doble para malla ciclónica 1 1/2" x 1 1/4"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3</v>
      </c>
      <c r="K1205" s="6" t="n">
        <v>277</v>
      </c>
      <c r="L1205" s="6" t="n">
        <v>187.9</v>
      </c>
      <c r="M1205" s="6" t="n">
        <v>337.48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 · InnovaCentro (La Innovación)</t>
        </is>
      </c>
    </row>
    <row r="1206">
      <c r="A1206" s="3" t="inlineStr">
        <is>
          <t>MAT-22-034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Brazo sencillo para malla ciclónica 1 1/2" x 1 1/4"</t>
        </is>
      </c>
      <c r="E1206" s="4" t="inlineStr"/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3</v>
      </c>
      <c r="K1206" s="6" t="n">
        <v>168</v>
      </c>
      <c r="L1206" s="6" t="n">
        <v>124.76</v>
      </c>
      <c r="M1206" s="6" t="n">
        <v>257.24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 · Ferretería Ochoa (8A) · InnovaCentro (La Innovación)</t>
        </is>
      </c>
    </row>
    <row r="1207">
      <c r="A1207" s="3" t="inlineStr">
        <is>
          <t>MAT-22-035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Copa pasante para malla ciclónica 1 1/2" x 1 1/2"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76.66</v>
      </c>
      <c r="L1207" s="6" t="n">
        <v>76.66</v>
      </c>
      <c r="M1207" s="6" t="n">
        <v>76.66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Ochoa (8A)</t>
        </is>
      </c>
    </row>
    <row r="1208">
      <c r="A1208" s="3" t="inlineStr">
        <is>
          <t>MAT-22-036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Copa terminal para malla ciclónica 1 1/2"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3</v>
      </c>
      <c r="K1208" s="6" t="n">
        <v>96.29000000000001</v>
      </c>
      <c r="L1208" s="6" t="n">
        <v>61.63</v>
      </c>
      <c r="M1208" s="6" t="n">
        <v>105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 · InnovaCentro (La Innovación)</t>
        </is>
      </c>
    </row>
    <row r="1209">
      <c r="A1209" s="3" t="inlineStr">
        <is>
          <t>MAT-22-037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corta para malla ciclónica 2"</t>
        </is>
      </c>
      <c r="E1209" s="4" t="inlineStr"/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33.79</v>
      </c>
      <c r="L1209" s="6" t="n">
        <v>21.04</v>
      </c>
      <c r="M1209" s="6" t="n">
        <v>46.54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MAT-22-038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Abrazadera larga para malla ciclónica 2"</t>
        </is>
      </c>
      <c r="E1210" s="4" t="inlineStr">
        <is>
          <t>Sin tornillo · se compra aparte</t>
        </is>
      </c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34.26</v>
      </c>
      <c r="L1210" s="6" t="n">
        <v>20.38</v>
      </c>
      <c r="M1210" s="6" t="n">
        <v>48.14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Ferretería Ochoa (8A)</t>
        </is>
      </c>
    </row>
    <row r="1211">
      <c r="A1211" s="3" t="inlineStr">
        <is>
          <t>MAT-22-039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sencillo para malla ciclónica 2" x 1 1/4"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252.96</v>
      </c>
      <c r="L1211" s="6" t="n">
        <v>187.9</v>
      </c>
      <c r="M1211" s="6" t="n">
        <v>318.01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 · Ferretería Ochoa (8A)</t>
        </is>
      </c>
    </row>
    <row r="1212">
      <c r="A1212" s="3" t="inlineStr">
        <is>
          <t>MAT-22-040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Brazo doble para malla ciclónica 2" x 1 1/2"</t>
        </is>
      </c>
      <c r="E1212" s="4" t="inlineStr"/>
      <c r="F1212" s="3" t="inlineStr">
        <is>
          <t>unidad</t>
        </is>
      </c>
      <c r="G1212" s="3" t="inlineStr">
        <is>
          <t>Exteriores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355.33</v>
      </c>
      <c r="L1212" s="6" t="n">
        <v>337.48</v>
      </c>
      <c r="M1212" s="6" t="n">
        <v>373.18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 · Ferretería Ochoa (8A)</t>
        </is>
      </c>
    </row>
    <row r="1213">
      <c r="A1213" s="3" t="inlineStr">
        <is>
          <t>MAT-22-041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Copa terminal para malla ciclónica 2"</t>
        </is>
      </c>
      <c r="E1213" s="4" t="inlineStr"/>
      <c r="F1213" s="3" t="inlineStr">
        <is>
          <t>unidad</t>
        </is>
      </c>
      <c r="G1213" s="3" t="inlineStr">
        <is>
          <t>Exteriores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2</v>
      </c>
      <c r="K1213" s="6" t="n">
        <v>77.70999999999999</v>
      </c>
      <c r="L1213" s="6" t="n">
        <v>51.11</v>
      </c>
      <c r="M1213" s="6" t="n">
        <v>104.31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MC · Ferretería Ochoa (8A)</t>
        </is>
      </c>
    </row>
    <row r="1214">
      <c r="A1214" s="3" t="inlineStr">
        <is>
          <t>MAT-22-042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Brazo para malla ciclónica 2 3/8" x 1 1/2"</t>
        </is>
      </c>
      <c r="E1214" s="4" t="inlineStr"/>
      <c r="F1214" s="3" t="inlineStr">
        <is>
          <t>unidad</t>
        </is>
      </c>
      <c r="G1214" s="3" t="inlineStr">
        <is>
          <t>Exteriores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300.64</v>
      </c>
      <c r="L1214" s="6" t="n">
        <v>300.64</v>
      </c>
      <c r="M1214" s="6" t="n">
        <v>300.64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MAT-22-043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Copa terminal para malla ciclónica 3"</t>
        </is>
      </c>
      <c r="E1215" s="4" t="inlineStr"/>
      <c r="F1215" s="3" t="inlineStr">
        <is>
          <t>unidad</t>
        </is>
      </c>
      <c r="G1215" s="3" t="inlineStr">
        <is>
          <t>Exteriores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36.5</v>
      </c>
      <c r="L1215" s="6" t="n">
        <v>36.5</v>
      </c>
      <c r="M1215" s="6" t="n">
        <v>36.5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</t>
        </is>
      </c>
    </row>
    <row r="1216">
      <c r="A1216" s="3" t="inlineStr">
        <is>
          <t>MAT-23-001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Tubo redondo de aluminio 3/8" x 19.20 pies</t>
        </is>
      </c>
      <c r="E1216" s="4" t="inlineStr">
        <is>
          <t>La ficha no declara la pared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299.9</v>
      </c>
      <c r="L1216" s="6" t="n">
        <v>299.9</v>
      </c>
      <c r="M1216" s="6" t="n">
        <v>299.9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MAT-23-002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Tubo redondo de aluminio 1/2" x 19.20 pies</t>
        </is>
      </c>
      <c r="E1217" s="4" t="inlineStr">
        <is>
          <t>La ficha no declara la pared</t>
        </is>
      </c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373.61</v>
      </c>
      <c r="L1217" s="6" t="n">
        <v>373.61</v>
      </c>
      <c r="M1217" s="6" t="n">
        <v>373.61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MAT-23-003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Planchuela de aluminio 1/2" x 1/8" x 19.20 pies</t>
        </is>
      </c>
      <c r="E1218" s="4" t="inlineStr"/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452.36</v>
      </c>
      <c r="L1218" s="6" t="n">
        <v>452.36</v>
      </c>
      <c r="M1218" s="6" t="n">
        <v>452.36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</t>
        </is>
      </c>
    </row>
    <row r="1219">
      <c r="A1219" s="3" t="inlineStr">
        <is>
          <t>MAT-23-004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Angular de aluminio 1/2" x 1/2"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2</v>
      </c>
      <c r="K1219" s="6" t="n">
        <v>344.86</v>
      </c>
      <c r="L1219" s="6" t="n">
        <v>295</v>
      </c>
      <c r="M1219" s="6" t="n">
        <v>394.72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 · InnovaCentro (La Innovación)</t>
        </is>
      </c>
    </row>
    <row r="1220">
      <c r="A1220" s="3" t="inlineStr">
        <is>
          <t>MAT-23-005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Moldura U de aluminio 1/2" x 1/2" x 19.20 pies</t>
        </is>
      </c>
      <c r="E1220" s="4" t="inlineStr">
        <is>
          <t>La ficha no declara el espesor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377.71</v>
      </c>
      <c r="L1220" s="6" t="n">
        <v>377.71</v>
      </c>
      <c r="M1220" s="6" t="n">
        <v>377.71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MAT-23-006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Moldura U de aluminio 5/8" x 5/8" x 19.20 pies</t>
        </is>
      </c>
      <c r="E1221" s="4" t="inlineStr">
        <is>
          <t>La ficha no declara el espesor</t>
        </is>
      </c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827.9</v>
      </c>
      <c r="L1221" s="6" t="n">
        <v>827.9</v>
      </c>
      <c r="M1221" s="6" t="n">
        <v>827.9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MAT-23-007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Tubo redondo de aluminio 3/4" x 19.20 pies</t>
        </is>
      </c>
      <c r="E1222" s="4" t="inlineStr">
        <is>
          <t>La ficha no declara la pared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772.42</v>
      </c>
      <c r="L1222" s="6" t="n">
        <v>772.42</v>
      </c>
      <c r="M1222" s="6" t="n">
        <v>772.42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</t>
        </is>
      </c>
    </row>
    <row r="1223">
      <c r="A1223" s="3" t="inlineStr">
        <is>
          <t>MAT-23-008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Angular de aluminio 3/4" x 3/4" x 19.20 pies</t>
        </is>
      </c>
      <c r="E1223" s="4" t="inlineStr">
        <is>
          <t>La ficha no declara el espesor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2</v>
      </c>
      <c r="K1223" s="6" t="n">
        <v>440.65</v>
      </c>
      <c r="L1223" s="6" t="n">
        <v>436.29</v>
      </c>
      <c r="M1223" s="6" t="n">
        <v>445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 · InnovaCentro (La Innovación)</t>
        </is>
      </c>
    </row>
    <row r="1224">
      <c r="A1224" s="3" t="inlineStr">
        <is>
          <t>MAT-23-009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Tubo redondo de aluminio 1" x 19.20 pies</t>
        </is>
      </c>
      <c r="E1224" s="4" t="inlineStr">
        <is>
          <t>La ficha no declara la pared</t>
        </is>
      </c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957.33</v>
      </c>
      <c r="L1224" s="6" t="n">
        <v>957.33</v>
      </c>
      <c r="M1224" s="6" t="n">
        <v>957.33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MAT-23-010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Planchuela de aluminio 1" x 1/4" x 19.20 pies</t>
        </is>
      </c>
      <c r="E1225" s="4" t="inlineStr"/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1709.91</v>
      </c>
      <c r="L1225" s="6" t="n">
        <v>1709.91</v>
      </c>
      <c r="M1225" s="6" t="n">
        <v>1709.91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</t>
        </is>
      </c>
    </row>
    <row r="1226">
      <c r="A1226" s="3" t="inlineStr">
        <is>
          <t>MAT-23-011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Angular de aluminio 1" x 3/4" x 19.20 pies</t>
        </is>
      </c>
      <c r="E1226" s="4" t="inlineStr">
        <is>
          <t>La ficha no declara el espesor</t>
        </is>
      </c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2</v>
      </c>
      <c r="K1226" s="6" t="n">
        <v>690.79</v>
      </c>
      <c r="L1226" s="6" t="n">
        <v>626.5700000000001</v>
      </c>
      <c r="M1226" s="6" t="n">
        <v>755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 · InnovaCentro (La Innovación)</t>
        </is>
      </c>
    </row>
    <row r="1227">
      <c r="A1227" s="3" t="inlineStr">
        <is>
          <t>MAT-23-012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Perfil de aluminio 1" x 1" x 19.20 pies</t>
        </is>
      </c>
      <c r="E1227" s="4" t="inlineStr">
        <is>
          <t>La ficha no declara la pared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1336.93</v>
      </c>
      <c r="L1227" s="6" t="n">
        <v>1336.93</v>
      </c>
      <c r="M1227" s="6" t="n">
        <v>1336.93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MAT-23-013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Tubo redondo de aluminio 1 1/4" x 19.20 pies</t>
        </is>
      </c>
      <c r="E1228" s="4" t="inlineStr">
        <is>
          <t>La ficha no declara la pared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2185.58</v>
      </c>
      <c r="L1228" s="6" t="n">
        <v>2185.58</v>
      </c>
      <c r="M1228" s="6" t="n">
        <v>2185.58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</t>
        </is>
      </c>
    </row>
    <row r="1229">
      <c r="A1229" s="3" t="inlineStr">
        <is>
          <t>MAT-23-014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Angular de aluminio 1 1/4" x 1 1/4" x 19.20 pies</t>
        </is>
      </c>
      <c r="E1229" s="4" t="inlineStr">
        <is>
          <t>La ficha no declara el espesor</t>
        </is>
      </c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2</v>
      </c>
      <c r="K1229" s="6" t="n">
        <v>1073.61</v>
      </c>
      <c r="L1229" s="6" t="n">
        <v>982.22</v>
      </c>
      <c r="M1229" s="6" t="n">
        <v>1165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 · InnovaCentro (La Innovación)</t>
        </is>
      </c>
    </row>
    <row r="1230">
      <c r="A1230" s="3" t="inlineStr">
        <is>
          <t>MAT-23-015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Planchuela de aluminio 1 1/2" x 1/4" x 19.20 pies</t>
        </is>
      </c>
      <c r="E1230" s="4" t="inlineStr"/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2567.7</v>
      </c>
      <c r="L1230" s="6" t="n">
        <v>2567.7</v>
      </c>
      <c r="M1230" s="6" t="n">
        <v>2567.7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MAT-23-016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Moldura U de aluminio 1 1/2" x 3/4"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1117.37</v>
      </c>
      <c r="L1231" s="6" t="n">
        <v>1117.37</v>
      </c>
      <c r="M1231" s="6" t="n">
        <v>1117.37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MAT-23-017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Angular de aluminio 1 1/2" x 1 1/2" x 19.20 pies</t>
        </is>
      </c>
      <c r="E1232" s="4" t="inlineStr">
        <is>
          <t>La ficha no declara el espesor</t>
        </is>
      </c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2473.52</v>
      </c>
      <c r="L1232" s="6" t="n">
        <v>2473.52</v>
      </c>
      <c r="M1232" s="6" t="n">
        <v>2473.52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MAT-23-018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cuadrado de aluminio 1 1/2" x 1 1/2"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1701.73</v>
      </c>
      <c r="L1233" s="6" t="n">
        <v>1701.73</v>
      </c>
      <c r="M1233" s="6" t="n">
        <v>1701.73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MAT-23-019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Perfil rectangular de aluminio 2" x 1" x 19.20 pies</t>
        </is>
      </c>
      <c r="E1234" s="4" t="inlineStr">
        <is>
          <t>La ficha no declara la pared</t>
        </is>
      </c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1846.63</v>
      </c>
      <c r="L1234" s="6" t="n">
        <v>1846.63</v>
      </c>
      <c r="M1234" s="6" t="n">
        <v>1846.63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MAT-23-020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Angular de aluminio 2" x 2" x 19.20 pies</t>
        </is>
      </c>
      <c r="E1235" s="4" t="inlineStr">
        <is>
          <t>La ficha no declara el espesor</t>
        </is>
      </c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3334.76</v>
      </c>
      <c r="L1235" s="6" t="n">
        <v>3334.76</v>
      </c>
      <c r="M1235" s="6" t="n">
        <v>3334.76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MAT-23-021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Planchuela de aluminio 3" x 3/16" x 19.20 pies</t>
        </is>
      </c>
      <c r="E1236" s="4" t="inlineStr"/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2695.59</v>
      </c>
      <c r="L1236" s="6" t="n">
        <v>2695.59</v>
      </c>
      <c r="M1236" s="6" t="n">
        <v>2695.59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Ochoa (8A)</t>
        </is>
      </c>
    </row>
    <row r="1237">
      <c r="A1237" s="3" t="inlineStr">
        <is>
          <t>MAT-23-022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Perfil rectangular de aluminio 3" x 1 1/2" x 19.20 pies</t>
        </is>
      </c>
      <c r="E1237" s="4" t="inlineStr">
        <is>
          <t>La ficha no declara la pared</t>
        </is>
      </c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3956.93</v>
      </c>
      <c r="L1237" s="6" t="n">
        <v>3956.93</v>
      </c>
      <c r="M1237" s="6" t="n">
        <v>3956.93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</row>
    <row r="1238">
      <c r="A1238" s="3" t="inlineStr">
        <is>
          <t>MAT-23-023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Planchuela de aluminio 4" x 1/8" x 19.20 pies</t>
        </is>
      </c>
      <c r="E1238" s="4" t="inlineStr"/>
      <c r="F1238" s="3" t="inlineStr">
        <is>
          <t>unidad</t>
        </is>
      </c>
      <c r="G1238" s="3" t="inlineStr">
        <is>
          <t>Puertas y ventanas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3464.55</v>
      </c>
      <c r="L1238" s="6" t="n">
        <v>3464.55</v>
      </c>
      <c r="M1238" s="6" t="n">
        <v>3464.55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Ochoa (8A)</t>
        </is>
      </c>
    </row>
    <row r="1239">
      <c r="A1239" s="3" t="inlineStr">
        <is>
          <t>MAT-23-024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Perfil rectangular de aluminio 4" x 1 3/4" x 19.20 pies</t>
        </is>
      </c>
      <c r="E1239" s="4" t="inlineStr">
        <is>
          <t>La ficha no declara la pared</t>
        </is>
      </c>
      <c r="F1239" s="3" t="inlineStr">
        <is>
          <t>unidad</t>
        </is>
      </c>
      <c r="G1239" s="3" t="inlineStr">
        <is>
          <t>Puertas y ventanas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5142.65</v>
      </c>
      <c r="L1239" s="6" t="n">
        <v>5142.65</v>
      </c>
      <c r="M1239" s="6" t="n">
        <v>5142.65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Ochoa (8A)</t>
        </is>
      </c>
    </row>
    <row r="1240">
      <c r="A1240" s="3" t="inlineStr">
        <is>
          <t>MAT-23-025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aluminio, 1X1"X19'</t>
        </is>
      </c>
      <c r="E1240" s="4" t="inlineStr"/>
      <c r="F1240" s="3" t="inlineStr">
        <is>
          <t>unidad</t>
        </is>
      </c>
      <c r="G1240" s="3" t="inlineStr">
        <is>
          <t>Puertas y ventanas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750</v>
      </c>
      <c r="L1240" s="6" t="n">
        <v>750</v>
      </c>
      <c r="M1240" s="6" t="n">
        <v>750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AD1240" s="7" t="inlineStr">
        <is>
          <t>1X1"X19'</t>
        </is>
      </c>
    </row>
    <row r="1241">
      <c r="A1241" s="3" t="inlineStr">
        <is>
          <t>MAT-23-026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Angular de aluminio, 3/4X1/2"X19'</t>
        </is>
      </c>
      <c r="E1241" s="4" t="inlineStr"/>
      <c r="F1241" s="3" t="inlineStr">
        <is>
          <t>unidad</t>
        </is>
      </c>
      <c r="G1241" s="3" t="inlineStr">
        <is>
          <t>Puertas y ventanas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398</v>
      </c>
      <c r="L1241" s="6" t="n">
        <v>398</v>
      </c>
      <c r="M1241" s="6" t="n">
        <v>398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InnovaCentro (La Innovación)</t>
        </is>
      </c>
      <c r="AD1241" s="7" t="inlineStr">
        <is>
          <t>3/4X1/2"X19'</t>
        </is>
      </c>
    </row>
    <row r="1242">
      <c r="A1242" s="3" t="inlineStr">
        <is>
          <t>MAT-24-001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de una pieza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6</v>
      </c>
      <c r="K1242" s="6" t="n">
        <v>9860</v>
      </c>
      <c r="L1242" s="6" t="n">
        <v>4225</v>
      </c>
      <c r="M1242" s="6" t="n">
        <v>112642.82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Bellón · CerArte · Ferretería Cima · Ferretería Ochoa (8A) · InnovaCentro (La Innovación) · La Ibérica</t>
        </is>
      </c>
      <c r="AF1242" s="4" t="inlineStr">
        <is>
          <t>Largo (mm): 710 · Ancho (mm): 380 · Alto (mm): 750</t>
        </is>
      </c>
    </row>
    <row r="1243">
      <c r="A1243" s="3" t="inlineStr">
        <is>
          <t>MAT-24-002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Inodoro infantil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11543.61</v>
      </c>
      <c r="L1243" s="6" t="n">
        <v>7490.66</v>
      </c>
      <c r="M1243" s="6" t="n">
        <v>13750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Bellón · CerArte · La Ibérica</t>
        </is>
      </c>
    </row>
    <row r="1244">
      <c r="A1244" s="3" t="inlineStr">
        <is>
          <t>MAT-24-004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Inodoro de dos piezas</t>
        </is>
      </c>
      <c r="E1244" s="4" t="inlineStr">
        <is>
          <t>Tanque y basineta incluidos</t>
        </is>
      </c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3</v>
      </c>
      <c r="K1244" s="6" t="n">
        <v>8905.379999999999</v>
      </c>
      <c r="L1244" s="6" t="n">
        <v>5100</v>
      </c>
      <c r="M1244" s="6" t="n">
        <v>25810.28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2026-09-10</t>
        </is>
      </c>
      <c r="Q1244" s="4" t="inlineStr">
        <is>
          <t>Bellón · CerArte · Ferretería Cima</t>
        </is>
      </c>
    </row>
    <row r="1245">
      <c r="A1245" s="3" t="inlineStr">
        <is>
          <t>MAT-24-005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Tanque para inodoro de dos piezas</t>
        </is>
      </c>
      <c r="E1245" s="4" t="inlineStr">
        <is>
          <t>Sin basineta · se compra aparte</t>
        </is>
      </c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2</v>
      </c>
      <c r="K1245" s="6" t="n">
        <v>4198.79</v>
      </c>
      <c r="L1245" s="6" t="n">
        <v>586.47</v>
      </c>
      <c r="M1245" s="6" t="n">
        <v>18906.72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Ochoa (8A) · InnovaCentro (La Innovación)</t>
        </is>
      </c>
      <c r="R1245" s="7" t="inlineStr">
        <is>
          <t>redondo</t>
        </is>
      </c>
      <c r="AF1245" s="4" t="inlineStr">
        <is>
          <t>Largo (mm): 710 · Ancho (mm): 415 · Alto (mm): 800 · Descarga (L): 4.8</t>
        </is>
      </c>
    </row>
    <row r="1246">
      <c r="A1246" s="3" t="inlineStr">
        <is>
          <t>MAT-24-006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Basineta para inodoro de dos piezas</t>
        </is>
      </c>
      <c r="E1246" s="4" t="inlineStr">
        <is>
          <t>Sin tanque · se compra aparte</t>
        </is>
      </c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2</v>
      </c>
      <c r="K1246" s="6" t="n">
        <v>5574.97</v>
      </c>
      <c r="L1246" s="6" t="n">
        <v>2129.12</v>
      </c>
      <c r="M1246" s="6" t="n">
        <v>31632.12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2026-09-10</t>
        </is>
      </c>
      <c r="Q1246" s="4" t="inlineStr">
        <is>
          <t>CerArte · Ferretería Ochoa (8A)</t>
        </is>
      </c>
    </row>
    <row r="1247">
      <c r="A1247" s="3" t="inlineStr">
        <is>
          <t>MAT-24-007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Taza para fluxómetro</t>
        </is>
      </c>
      <c r="E1247" s="4" t="inlineStr">
        <is>
          <t>Sin tanque · el fluxómetro va aparte</t>
        </is>
      </c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3</v>
      </c>
      <c r="K1247" s="6" t="n">
        <v>9091</v>
      </c>
      <c r="L1247" s="6" t="n">
        <v>3925</v>
      </c>
      <c r="M1247" s="6" t="n">
        <v>16838.01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CerArte · InnovaCentro (La Innovación) · La Ibérica</t>
        </is>
      </c>
      <c r="R1247" s="7" t="inlineStr">
        <is>
          <t>elongado</t>
        </is>
      </c>
    </row>
    <row r="1248">
      <c r="A1248" s="3" t="inlineStr">
        <is>
          <t>MAT-24-008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Urinario de porcelana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5</v>
      </c>
      <c r="K1248" s="6" t="n">
        <v>9070.48</v>
      </c>
      <c r="L1248" s="6" t="n">
        <v>3265</v>
      </c>
      <c r="M1248" s="6" t="n">
        <v>30546.11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Bellón · CerArte · Ferretería Ochoa (8A) · InnovaCentro (La Innovación) · La Ibérica</t>
        </is>
      </c>
    </row>
    <row r="1249">
      <c r="A1249" s="3" t="inlineStr">
        <is>
          <t>MAT-24-009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Bidé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5</v>
      </c>
      <c r="K1249" s="6" t="n">
        <v>20495</v>
      </c>
      <c r="L1249" s="6" t="n">
        <v>3998</v>
      </c>
      <c r="M1249" s="6" t="n">
        <v>48499.99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2026-09-11</t>
        </is>
      </c>
      <c r="Q1249" s="4" t="inlineStr">
        <is>
          <t>Carabela · CerArte · Ferretería Cima · InnovaCentro (La Innovación) · La Ibérica</t>
        </is>
      </c>
    </row>
    <row r="1250">
      <c r="A1250" s="3" t="inlineStr">
        <is>
          <t>MAT-24-010</t>
        </is>
      </c>
      <c r="B1250" s="3" t="inlineStr">
        <is>
          <t>Materiales</t>
        </is>
      </c>
      <c r="C1250" s="3" t="inlineStr">
        <is>
          <t>Inodoros y urinarios</t>
        </is>
      </c>
      <c r="D1250" s="4" t="inlineStr">
        <is>
          <t>Kit de instalación de inodoro</t>
        </is>
      </c>
      <c r="E1250" s="4" t="inlineStr"/>
      <c r="F1250" s="3" t="inlineStr">
        <is>
          <t>juego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1773</v>
      </c>
      <c r="L1250" s="6" t="n">
        <v>1773</v>
      </c>
      <c r="M1250" s="6" t="n">
        <v>1773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Ochoa (8A)</t>
        </is>
      </c>
    </row>
    <row r="1251">
      <c r="A1251" s="3" t="inlineStr">
        <is>
          <t>MAT-25-001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3</v>
      </c>
      <c r="K1251" s="6" t="n">
        <v>8500</v>
      </c>
      <c r="L1251" s="6" t="n">
        <v>910</v>
      </c>
      <c r="M1251" s="6" t="n">
        <v>88600.00999999999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Ferremix (Grupo Alterra) · Ferretería Ochoa (8A) · La Ibérica</t>
        </is>
      </c>
      <c r="AF1251" s="4" t="inlineStr">
        <is>
          <t>Largo (mm): 810 · Ancho (mm): 460 · Alto (mm): 170</t>
        </is>
      </c>
    </row>
    <row r="1252">
      <c r="A1252" s="3" t="inlineStr">
        <is>
          <t>MAT-25-002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empotrar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5</v>
      </c>
      <c r="K1252" s="6" t="n">
        <v>3403.56</v>
      </c>
      <c r="L1252" s="6" t="n">
        <v>684.67</v>
      </c>
      <c r="M1252" s="6" t="n">
        <v>17160.88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Bellón · CerArte · Ferretería Ochoa (8A) · InnovaCentro (La Innovación) · La Ibérica</t>
        </is>
      </c>
      <c r="S1252" s="7" t="inlineStr">
        <is>
          <t>empotrar</t>
        </is>
      </c>
      <c r="AF1252" s="4" t="inlineStr">
        <is>
          <t>Alto (mm): 175</t>
        </is>
      </c>
    </row>
    <row r="1253">
      <c r="A1253" s="3" t="inlineStr">
        <is>
          <t>MAT-25-003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exento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244189.99</v>
      </c>
      <c r="L1253" s="6" t="n">
        <v>218499.99</v>
      </c>
      <c r="M1253" s="6" t="n">
        <v>269879.99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CerArte</t>
        </is>
      </c>
      <c r="S1253" s="7" t="inlineStr">
        <is>
          <t>exento</t>
        </is>
      </c>
    </row>
    <row r="1254">
      <c r="A1254" s="3" t="inlineStr">
        <is>
          <t>MAT-25-005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Lavamanos, de pedestal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6</v>
      </c>
      <c r="K1254" s="6" t="n">
        <v>2676.3</v>
      </c>
      <c r="L1254" s="6" t="n">
        <v>216</v>
      </c>
      <c r="M1254" s="6" t="n">
        <v>79846.39999999999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2026-09-10</t>
        </is>
      </c>
      <c r="Q1254" s="4" t="inlineStr">
        <is>
          <t>Bellón · CerArte · Ferretería Cima · Ferretería Ochoa (8A) · InnovaCentro (La Innovación) · La Ibérica</t>
        </is>
      </c>
      <c r="S1254" s="7" t="inlineStr">
        <is>
          <t>pedestal</t>
        </is>
      </c>
      <c r="AF1254" s="4" t="inlineStr">
        <is>
          <t>Agujeros: 1 · Largo (mm): 310 · Alto (mm): 110</t>
        </is>
      </c>
    </row>
    <row r="1255">
      <c r="A1255" s="3" t="inlineStr">
        <is>
          <t>MAT-25-006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Lavamanos, de sobreponer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6</v>
      </c>
      <c r="K1255" s="6" t="n">
        <v>4140.13</v>
      </c>
      <c r="L1255" s="6" t="n">
        <v>1150</v>
      </c>
      <c r="M1255" s="6" t="n">
        <v>127140.01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2026-09-10</t>
        </is>
      </c>
      <c r="Q1255" s="4" t="inlineStr">
        <is>
          <t>Bellón · CerArte · Ferretería Cima · Ferretería Ochoa (8A) · InnovaCentro (La Innovación) · La Ibérica</t>
        </is>
      </c>
      <c r="S1255" s="7" t="inlineStr">
        <is>
          <t>sobreponer</t>
        </is>
      </c>
      <c r="AF1255" s="4" t="inlineStr">
        <is>
          <t>Agujeros: 1</t>
        </is>
      </c>
    </row>
    <row r="1256">
      <c r="A1256" s="3" t="inlineStr">
        <is>
          <t>MAT-25-007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Pedestal para lavamanos</t>
        </is>
      </c>
      <c r="E1256" s="4" t="inlineStr">
        <is>
          <t>Sin lavamanos · se compra aparte</t>
        </is>
      </c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2</v>
      </c>
      <c r="K1256" s="6" t="n">
        <v>2014.01</v>
      </c>
      <c r="L1256" s="6" t="n">
        <v>891.27</v>
      </c>
      <c r="M1256" s="6" t="n">
        <v>3334.17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2026-09-10</t>
        </is>
      </c>
      <c r="Q1256" s="4" t="inlineStr">
        <is>
          <t>Ferretería Ochoa (8A) · La Ibérica</t>
        </is>
      </c>
    </row>
    <row r="1257">
      <c r="A1257" s="3" t="inlineStr">
        <is>
          <t>MAT-25-008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Palometa para lavamanos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2</v>
      </c>
      <c r="K1257" s="6" t="n">
        <v>80.59</v>
      </c>
      <c r="L1257" s="6" t="n">
        <v>57.88</v>
      </c>
      <c r="M1257" s="6" t="n">
        <v>189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 · Ferretería Ochoa (8A)</t>
        </is>
      </c>
    </row>
    <row r="1258">
      <c r="A1258" s="3" t="inlineStr">
        <is>
          <t>MAT-25-009</t>
        </is>
      </c>
      <c r="B1258" s="3" t="inlineStr">
        <is>
          <t>Materiales</t>
        </is>
      </c>
      <c r="C1258" s="3" t="inlineStr">
        <is>
          <t>Lavamanos y pedestales</t>
        </is>
      </c>
      <c r="D1258" s="4" t="inlineStr">
        <is>
          <t>Conector de desagüe para lavamanos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255.94</v>
      </c>
      <c r="L1258" s="6" t="n">
        <v>255.94</v>
      </c>
      <c r="M1258" s="6" t="n">
        <v>255.94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Ochoa (8A)</t>
        </is>
      </c>
    </row>
    <row r="1259">
      <c r="A1259" s="3" t="inlineStr">
        <is>
          <t>MAT-26-001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2</v>
      </c>
      <c r="K1259" s="6" t="n">
        <v>14401.48</v>
      </c>
      <c r="L1259" s="6" t="n">
        <v>6495</v>
      </c>
      <c r="M1259" s="6" t="n">
        <v>45479.87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Ochoa (8A) · InnovaCentro (La Innovación)</t>
        </is>
      </c>
    </row>
    <row r="1260">
      <c r="A1260" s="3" t="inlineStr">
        <is>
          <t>MAT-26-002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Mueble de baño, de pared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4</v>
      </c>
      <c r="K1260" s="6" t="n">
        <v>17169.24</v>
      </c>
      <c r="L1260" s="6" t="n">
        <v>5433.44</v>
      </c>
      <c r="M1260" s="6" t="n">
        <v>58000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Ferremix (Grupo Alterra) · Ferretería Ochoa (8A) · InnovaCentro (La Innovación) · La Ibérica</t>
        </is>
      </c>
      <c r="S1260" s="7" t="inlineStr">
        <is>
          <t>pared</t>
        </is>
      </c>
    </row>
    <row r="1261">
      <c r="A1261" s="3" t="inlineStr">
        <is>
          <t>MAT-26-003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Mueble de baño, de piso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6</v>
      </c>
      <c r="K1261" s="6" t="n">
        <v>24588.58</v>
      </c>
      <c r="L1261" s="6" t="n">
        <v>2725</v>
      </c>
      <c r="M1261" s="6" t="n">
        <v>197500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2026-09-11</t>
        </is>
      </c>
      <c r="Q1261" s="4" t="inlineStr">
        <is>
          <t>Carabela · CerArte · Ferremix (Grupo Alterra) · Ferretería Cima · InnovaCentro (La Innovación) · La Ibérica</t>
        </is>
      </c>
      <c r="S1261" s="7" t="inlineStr">
        <is>
          <t>piso</t>
        </is>
      </c>
    </row>
    <row r="1262">
      <c r="A1262" s="3" t="inlineStr">
        <is>
          <t>MAT-26-004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Botiquín de baño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3</v>
      </c>
      <c r="K1262" s="6" t="n">
        <v>1481</v>
      </c>
      <c r="L1262" s="6" t="n">
        <v>725.87</v>
      </c>
      <c r="M1262" s="6" t="n">
        <v>6543.83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 · Ferretería Ochoa (8A) · InnovaCentro (La Innovación)</t>
        </is>
      </c>
      <c r="AF1262" s="4" t="inlineStr">
        <is>
          <t>Largo (mm): 300 · Alto (mm): 120</t>
        </is>
      </c>
    </row>
    <row r="1263">
      <c r="A1263" s="3" t="inlineStr">
        <is>
          <t>MAT-26-005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Botiquín de baño, con luz LED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15456.85</v>
      </c>
      <c r="L1263" s="6" t="n">
        <v>10320.96</v>
      </c>
      <c r="M1263" s="6" t="n">
        <v>24256.84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Ochoa (8A)</t>
        </is>
      </c>
      <c r="AF1263" s="4" t="inlineStr">
        <is>
          <t>Luz: led</t>
        </is>
      </c>
    </row>
    <row r="1264">
      <c r="A1264" s="3" t="inlineStr">
        <is>
          <t>MAT-26-006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Espejo de baño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5</v>
      </c>
      <c r="K1264" s="6" t="n">
        <v>2319.01</v>
      </c>
      <c r="L1264" s="6" t="n">
        <v>665</v>
      </c>
      <c r="M1264" s="6" t="n">
        <v>56400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2026-09-11</t>
        </is>
      </c>
      <c r="Q1264" s="4" t="inlineStr">
        <is>
          <t>Carabela · CerArte · Ferretería Ochoa (8A) · InnovaCentro (La Innovación) · La Ibérica</t>
        </is>
      </c>
    </row>
    <row r="1265">
      <c r="A1265" s="3" t="inlineStr">
        <is>
          <t>MAT-26-007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Espejo de baño, con luz LED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6</v>
      </c>
      <c r="K1265" s="6" t="n">
        <v>8043.53</v>
      </c>
      <c r="L1265" s="6" t="n">
        <v>1795</v>
      </c>
      <c r="M1265" s="6" t="n">
        <v>40600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2026-09-11</t>
        </is>
      </c>
      <c r="Q1265" s="4" t="inlineStr">
        <is>
          <t>Carabela · CerArte · Ferremix (Grupo Alterra) · Ferretería Ochoa (8A) · InnovaCentro (La Innovación) · La Ibérica</t>
        </is>
      </c>
      <c r="AF1265" s="4" t="inlineStr">
        <is>
          <t>Luz: led</t>
        </is>
      </c>
    </row>
    <row r="1266">
      <c r="A1266" s="3" t="inlineStr">
        <is>
          <t>MAT-26-008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Cabina o panel de ducha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3</v>
      </c>
      <c r="K1266" s="6" t="n">
        <v>6079</v>
      </c>
      <c r="L1266" s="6" t="n">
        <v>3118.5</v>
      </c>
      <c r="M1266" s="6" t="n">
        <v>18914.37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2026-09-10</t>
        </is>
      </c>
      <c r="Q1266" s="4" t="inlineStr">
        <is>
          <t>CerArte · InnovaCentro (La Innovación) · La Ibérica</t>
        </is>
      </c>
    </row>
    <row r="1267">
      <c r="A1267" s="3" t="inlineStr">
        <is>
          <t>MAT-26-009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Bañera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4</v>
      </c>
      <c r="K1267" s="6" t="n">
        <v>99104.78999999999</v>
      </c>
      <c r="L1267" s="6" t="n">
        <v>9469</v>
      </c>
      <c r="M1267" s="6" t="n">
        <v>430700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2026-09-11</t>
        </is>
      </c>
      <c r="Q1267" s="4" t="inlineStr">
        <is>
          <t>Bellón · Carabela · CerArte · La Ibérica</t>
        </is>
      </c>
    </row>
    <row r="1268">
      <c r="A1268" s="3" t="inlineStr">
        <is>
          <t>MAT-26-010</t>
        </is>
      </c>
      <c r="B1268" s="3" t="inlineStr">
        <is>
          <t>Materiales</t>
        </is>
      </c>
      <c r="C1268" s="3" t="inlineStr">
        <is>
          <t>Muebles y espejos de baño</t>
        </is>
      </c>
      <c r="D1268" s="4" t="inlineStr">
        <is>
          <t>Plato de ducha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2</v>
      </c>
      <c r="K1268" s="6" t="n">
        <v>19278.36</v>
      </c>
      <c r="L1268" s="6" t="n">
        <v>14999.99</v>
      </c>
      <c r="M1268" s="6" t="n">
        <v>29990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2026-09-10</t>
        </is>
      </c>
      <c r="Q1268" s="4" t="inlineStr">
        <is>
          <t>CerArte · La Ibérica</t>
        </is>
      </c>
    </row>
    <row r="1269">
      <c r="A1269" s="3" t="inlineStr">
        <is>
          <t>MAT-27-001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abatible, 20 cm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2439</v>
      </c>
      <c r="L1269" s="6" t="n">
        <v>2439</v>
      </c>
      <c r="M1269" s="6" t="n">
        <v>2439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InnovaCentro (La Innovación)</t>
        </is>
      </c>
      <c r="R1269" s="7" t="inlineStr">
        <is>
          <t>abatible</t>
        </is>
      </c>
      <c r="U1269" s="7" t="n">
        <v>20</v>
      </c>
    </row>
    <row r="1270">
      <c r="A1270" s="3" t="inlineStr">
        <is>
          <t>MAT-27-002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curva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1416.67</v>
      </c>
      <c r="L1270" s="6" t="n">
        <v>1416.67</v>
      </c>
      <c r="M1270" s="6" t="n">
        <v>1416.67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Ochoa (8A)</t>
        </is>
      </c>
      <c r="R1270" s="7" t="inlineStr">
        <is>
          <t>curva</t>
        </is>
      </c>
    </row>
    <row r="1271">
      <c r="A1271" s="3" t="inlineStr">
        <is>
          <t>MAT-27-003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30 cm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1200</v>
      </c>
      <c r="L1271" s="6" t="n">
        <v>1200</v>
      </c>
      <c r="M1271" s="6" t="n">
        <v>1200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InnovaCentro (La Innovación)</t>
        </is>
      </c>
      <c r="R1271" s="7" t="inlineStr">
        <is>
          <t>en L</t>
        </is>
      </c>
      <c r="U1271" s="7" t="n">
        <v>30</v>
      </c>
    </row>
    <row r="1272">
      <c r="A1272" s="3" t="inlineStr">
        <is>
          <t>MAT-27-004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45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925</v>
      </c>
      <c r="L1272" s="6" t="n">
        <v>925</v>
      </c>
      <c r="M1272" s="6" t="n">
        <v>925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en L</t>
        </is>
      </c>
      <c r="U1272" s="7" t="n">
        <v>45</v>
      </c>
    </row>
    <row r="1273">
      <c r="A1273" s="3" t="inlineStr">
        <is>
          <t>MAT-27-005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en L, 55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2619</v>
      </c>
      <c r="L1273" s="6" t="n">
        <v>2619</v>
      </c>
      <c r="M1273" s="6" t="n">
        <v>2619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InnovaCentro (La Innovación)</t>
        </is>
      </c>
      <c r="R1273" s="7" t="inlineStr">
        <is>
          <t>en L</t>
        </is>
      </c>
      <c r="U1273" s="7" t="n">
        <v>55</v>
      </c>
    </row>
    <row r="1274">
      <c r="A1274" s="3" t="inlineStr">
        <is>
          <t>MAT-27-006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en L, 75 cm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2</v>
      </c>
      <c r="K1274" s="6" t="n">
        <v>6294</v>
      </c>
      <c r="L1274" s="6" t="n">
        <v>5648.35</v>
      </c>
      <c r="M1274" s="6" t="n">
        <v>6294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CerArte · InnovaCentro (La Innovación)</t>
        </is>
      </c>
      <c r="R1274" s="7" t="inlineStr">
        <is>
          <t>en L</t>
        </is>
      </c>
      <c r="U1274" s="7" t="n">
        <v>75</v>
      </c>
    </row>
    <row r="1275">
      <c r="A1275" s="3" t="inlineStr">
        <is>
          <t>MAT-27-007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2</v>
      </c>
      <c r="K1275" s="6" t="n">
        <v>1940</v>
      </c>
      <c r="L1275" s="6" t="n">
        <v>1615</v>
      </c>
      <c r="M1275" s="6" t="n">
        <v>7495.91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2026-09-10</t>
        </is>
      </c>
      <c r="Q1275" s="4" t="inlineStr">
        <is>
          <t>Ferremix (Grupo Alterra) · Ferretería Ochoa (8A)</t>
        </is>
      </c>
      <c r="R1275" s="7" t="inlineStr">
        <is>
          <t>recta</t>
        </is>
      </c>
    </row>
    <row r="1276">
      <c r="A1276" s="3" t="inlineStr">
        <is>
          <t>MAT-27-008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105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2750</v>
      </c>
      <c r="L1276" s="6" t="n">
        <v>2750</v>
      </c>
      <c r="M1276" s="6" t="n">
        <v>2750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105</v>
      </c>
    </row>
    <row r="1277">
      <c r="A1277" s="3" t="inlineStr">
        <is>
          <t>MAT-27-009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120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3092</v>
      </c>
      <c r="L1277" s="6" t="n">
        <v>3092</v>
      </c>
      <c r="M1277" s="6" t="n">
        <v>3092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InnovaCentro (La Innovación)</t>
        </is>
      </c>
      <c r="R1277" s="7" t="inlineStr">
        <is>
          <t>recta</t>
        </is>
      </c>
      <c r="U1277" s="7" t="n">
        <v>120</v>
      </c>
    </row>
    <row r="1278">
      <c r="A1278" s="3" t="inlineStr">
        <is>
          <t>MAT-27-010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30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3</v>
      </c>
      <c r="K1278" s="6" t="n">
        <v>1805.4</v>
      </c>
      <c r="L1278" s="6" t="n">
        <v>1200</v>
      </c>
      <c r="M1278" s="6" t="n">
        <v>3007.09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2026-09-10</t>
        </is>
      </c>
      <c r="Q1278" s="4" t="inlineStr">
        <is>
          <t>CerArte · Ferretería Ochoa (8A) · InnovaCentro (La Innovación)</t>
        </is>
      </c>
      <c r="R1278" s="7" t="inlineStr">
        <is>
          <t>recta</t>
        </is>
      </c>
      <c r="U1278" s="7" t="n">
        <v>30</v>
      </c>
    </row>
    <row r="1279">
      <c r="A1279" s="3" t="inlineStr">
        <is>
          <t>MAT-27-011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40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2</v>
      </c>
      <c r="K1279" s="6" t="n">
        <v>925.98</v>
      </c>
      <c r="L1279" s="6" t="n">
        <v>675</v>
      </c>
      <c r="M1279" s="6" t="n">
        <v>1176.96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Ochoa (8A) · InnovaCentro (La Innovación)</t>
        </is>
      </c>
      <c r="R1279" s="7" t="inlineStr">
        <is>
          <t>recta</t>
        </is>
      </c>
      <c r="U1279" s="7" t="n">
        <v>40</v>
      </c>
    </row>
    <row r="1280">
      <c r="A1280" s="3" t="inlineStr">
        <is>
          <t>MAT-27-012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45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1665</v>
      </c>
      <c r="L1280" s="6" t="n">
        <v>1595</v>
      </c>
      <c r="M1280" s="6" t="n">
        <v>1735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InnovaCentro (La Innovación)</t>
        </is>
      </c>
      <c r="R1280" s="7" t="inlineStr">
        <is>
          <t>recta</t>
        </is>
      </c>
      <c r="U1280" s="7" t="n">
        <v>45</v>
      </c>
    </row>
    <row r="1281">
      <c r="A1281" s="3" t="inlineStr">
        <is>
          <t>MAT-27-013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50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1195</v>
      </c>
      <c r="L1281" s="6" t="n">
        <v>745</v>
      </c>
      <c r="M1281" s="6" t="n">
        <v>1522.47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50</v>
      </c>
    </row>
    <row r="1282">
      <c r="A1282" s="3" t="inlineStr">
        <is>
          <t>MAT-27-014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60 cm</t>
        </is>
      </c>
      <c r="E1282" s="4" t="inlineStr"/>
      <c r="F1282" s="3" t="inlineStr">
        <is>
          <t>unidad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2</v>
      </c>
      <c r="K1282" s="6" t="n">
        <v>1995</v>
      </c>
      <c r="L1282" s="6" t="n">
        <v>1869</v>
      </c>
      <c r="M1282" s="6" t="n">
        <v>3297.37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 · InnovaCentro (La Innovación)</t>
        </is>
      </c>
      <c r="R1282" s="7" t="inlineStr">
        <is>
          <t>recta</t>
        </is>
      </c>
      <c r="U1282" s="7" t="n">
        <v>60</v>
      </c>
    </row>
    <row r="1283">
      <c r="A1283" s="3" t="inlineStr">
        <is>
          <t>MAT-27-015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70 cm</t>
        </is>
      </c>
      <c r="E1283" s="4" t="inlineStr"/>
      <c r="F1283" s="3" t="inlineStr">
        <is>
          <t>unidad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2</v>
      </c>
      <c r="K1283" s="6" t="n">
        <v>3983.41</v>
      </c>
      <c r="L1283" s="6" t="n">
        <v>3271.81</v>
      </c>
      <c r="M1283" s="6" t="n">
        <v>4695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Ochoa (8A) · InnovaCentro (La Innovación)</t>
        </is>
      </c>
      <c r="R1283" s="7" t="inlineStr">
        <is>
          <t>recta</t>
        </is>
      </c>
      <c r="U1283" s="7" t="n">
        <v>70</v>
      </c>
    </row>
    <row r="1284">
      <c r="A1284" s="3" t="inlineStr">
        <is>
          <t>MAT-27-016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75 cm</t>
        </is>
      </c>
      <c r="E1284" s="4" t="inlineStr"/>
      <c r="F1284" s="3" t="inlineStr">
        <is>
          <t>unidad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2185</v>
      </c>
      <c r="L1284" s="6" t="n">
        <v>2185</v>
      </c>
      <c r="M1284" s="6" t="n">
        <v>2185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InnovaCentro (La Innovación)</t>
        </is>
      </c>
      <c r="R1284" s="7" t="inlineStr">
        <is>
          <t>recta</t>
        </is>
      </c>
      <c r="U1284" s="7" t="n">
        <v>75</v>
      </c>
    </row>
    <row r="1285">
      <c r="A1285" s="3" t="inlineStr">
        <is>
          <t>MAT-27-017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Barra de seguridad, recta, 90 cm</t>
        </is>
      </c>
      <c r="E1285" s="4" t="inlineStr"/>
      <c r="F1285" s="3" t="inlineStr">
        <is>
          <t>unidad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2</v>
      </c>
      <c r="K1285" s="6" t="n">
        <v>2439</v>
      </c>
      <c r="L1285" s="6" t="n">
        <v>2395</v>
      </c>
      <c r="M1285" s="6" t="n">
        <v>6226.47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Ochoa (8A) · InnovaCentro (La Innovación)</t>
        </is>
      </c>
      <c r="R1285" s="7" t="inlineStr">
        <is>
          <t>recta</t>
        </is>
      </c>
      <c r="U1285" s="7" t="n">
        <v>90</v>
      </c>
    </row>
    <row r="1286">
      <c r="A1286" s="3" t="inlineStr">
        <is>
          <t>MAT-27-018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3</v>
      </c>
      <c r="K1286" s="6" t="n">
        <v>2367.36</v>
      </c>
      <c r="L1286" s="6" t="n">
        <v>345</v>
      </c>
      <c r="M1286" s="6" t="n">
        <v>6782.1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2026-09-10</t>
        </is>
      </c>
      <c r="Q1286" s="4" t="inlineStr">
        <is>
          <t>CerArte · Ferremix (Grupo Alterra) · Ferretería Ochoa (8A)</t>
        </is>
      </c>
      <c r="AF1286" s="4" t="inlineStr">
        <is>
          <t>ambito: domestico</t>
        </is>
      </c>
    </row>
    <row r="1287">
      <c r="A1287" s="3" t="inlineStr">
        <is>
          <t>MAT-27-019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3 piezas</t>
        </is>
      </c>
      <c r="E1287" s="4" t="inlineStr"/>
      <c r="F1287" s="3" t="inlineStr">
        <is>
          <t>juego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1673.59</v>
      </c>
      <c r="L1287" s="6" t="n">
        <v>1081.92</v>
      </c>
      <c r="M1287" s="6" t="n">
        <v>1673.59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</t>
        </is>
      </c>
      <c r="T1287" s="7" t="n">
        <v>3</v>
      </c>
      <c r="AF1287" s="4" t="inlineStr">
        <is>
          <t>ambito: domestico</t>
        </is>
      </c>
    </row>
    <row r="1288">
      <c r="A1288" s="3" t="inlineStr">
        <is>
          <t>MAT-27-020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4 piezas</t>
        </is>
      </c>
      <c r="E1288" s="4" t="inlineStr"/>
      <c r="F1288" s="3" t="inlineStr">
        <is>
          <t>juego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2</v>
      </c>
      <c r="K1288" s="6" t="n">
        <v>2927.39</v>
      </c>
      <c r="L1288" s="6" t="n">
        <v>1605.2</v>
      </c>
      <c r="M1288" s="6" t="n">
        <v>3995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 · InnovaCentro (La Innovación)</t>
        </is>
      </c>
      <c r="T1288" s="7" t="n">
        <v>4</v>
      </c>
      <c r="AF1288" s="4" t="inlineStr">
        <is>
          <t>ambito: domestico</t>
        </is>
      </c>
    </row>
    <row r="1289">
      <c r="A1289" s="3" t="inlineStr">
        <is>
          <t>MAT-27-021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Juego de accesorios de baño, 5 piezas</t>
        </is>
      </c>
      <c r="E1289" s="4" t="inlineStr"/>
      <c r="F1289" s="3" t="inlineStr">
        <is>
          <t>juego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1139</v>
      </c>
      <c r="L1289" s="6" t="n">
        <v>394</v>
      </c>
      <c r="M1289" s="6" t="n">
        <v>1883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 · Ferretería Ochoa (8A) · InnovaCentro (La Innovación)</t>
        </is>
      </c>
      <c r="T1289" s="7" t="n">
        <v>5</v>
      </c>
      <c r="AF1289" s="4" t="inlineStr">
        <is>
          <t>ambito: domestico</t>
        </is>
      </c>
    </row>
    <row r="1290">
      <c r="A1290" s="3" t="inlineStr">
        <is>
          <t>MAT-27-022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Juego de accesorios de baño, 6 piezas</t>
        </is>
      </c>
      <c r="E1290" s="4" t="inlineStr"/>
      <c r="F1290" s="3" t="inlineStr">
        <is>
          <t>juego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3</v>
      </c>
      <c r="K1290" s="6" t="n">
        <v>3019.72</v>
      </c>
      <c r="L1290" s="6" t="n">
        <v>1342.61</v>
      </c>
      <c r="M1290" s="6" t="n">
        <v>4372.84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 · Ferretería Ochoa (8A) · InnovaCentro (La Innovación)</t>
        </is>
      </c>
      <c r="T1290" s="7" t="n">
        <v>6</v>
      </c>
      <c r="AF1290" s="4" t="inlineStr">
        <is>
          <t>ambito: domestico</t>
        </is>
      </c>
    </row>
    <row r="1291">
      <c r="A1291" s="3" t="inlineStr">
        <is>
          <t>MAT-27-023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3467.5</v>
      </c>
      <c r="L1291" s="6" t="n">
        <v>3335</v>
      </c>
      <c r="M1291" s="6" t="n">
        <v>3600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InnovaCentro (La Innovación)</t>
        </is>
      </c>
      <c r="AF1291" s="4" t="inlineStr">
        <is>
          <t>ambito: domestico</t>
        </is>
      </c>
    </row>
    <row r="1292">
      <c r="A1292" s="3" t="inlineStr">
        <is>
          <t>MAT-27-024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de botón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16368.74</v>
      </c>
      <c r="L1292" s="6" t="n">
        <v>16368.74</v>
      </c>
      <c r="M1292" s="6" t="n">
        <v>16368.74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Ochoa (8A)</t>
        </is>
      </c>
      <c r="AF1292" s="4" t="inlineStr">
        <is>
          <t>ambito: domestico · Activación: boton</t>
        </is>
      </c>
    </row>
    <row r="1293">
      <c r="A1293" s="3" t="inlineStr">
        <is>
          <t>MAT-27-025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con sensor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3</v>
      </c>
      <c r="K1293" s="6" t="n">
        <v>16755</v>
      </c>
      <c r="L1293" s="6" t="n">
        <v>12495</v>
      </c>
      <c r="M1293" s="6" t="n">
        <v>63455.69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Ferremix (Grupo Alterra) · Ferretería Ochoa (8A) · InnovaCentro (La Innovación)</t>
        </is>
      </c>
      <c r="AF1293" s="4" t="inlineStr">
        <is>
          <t>ambito: domestico · Activación: sensor · Ancho (mm): 270</t>
        </is>
      </c>
    </row>
    <row r="1294">
      <c r="A1294" s="3" t="inlineStr">
        <is>
          <t>MAT-27-026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Secador de manos, institucional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2</v>
      </c>
      <c r="K1294" s="6" t="n">
        <v>33477.34</v>
      </c>
      <c r="L1294" s="6" t="n">
        <v>27487.14</v>
      </c>
      <c r="M1294" s="6" t="n">
        <v>39467.53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2026-09-10</t>
        </is>
      </c>
      <c r="Q1294" s="4" t="inlineStr">
        <is>
          <t>CerArte · Ferretería Ochoa (8A)</t>
        </is>
      </c>
      <c r="AF1294" s="4" t="inlineStr">
        <is>
          <t>ambito: institucional</t>
        </is>
      </c>
    </row>
    <row r="1295">
      <c r="A1295" s="3" t="inlineStr">
        <is>
          <t>MAT-27-027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Secador de manos, institucional, con sensor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32765.78</v>
      </c>
      <c r="L1295" s="6" t="n">
        <v>32765.78</v>
      </c>
      <c r="M1295" s="6" t="n">
        <v>32765.78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Ochoa (8A)</t>
        </is>
      </c>
      <c r="AF1295" s="4" t="inlineStr">
        <is>
          <t>ambito: institucional · Activación: sensor</t>
        </is>
      </c>
    </row>
    <row r="1296">
      <c r="A1296" s="3" t="inlineStr">
        <is>
          <t>MAT-27-028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2</v>
      </c>
      <c r="K1296" s="6" t="n">
        <v>672</v>
      </c>
      <c r="L1296" s="6" t="n">
        <v>156</v>
      </c>
      <c r="M1296" s="6" t="n">
        <v>2309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2026-09-10</t>
        </is>
      </c>
      <c r="Q1296" s="4" t="inlineStr">
        <is>
          <t>Ferremix (Grupo Alterra) · InnovaCentro (La Innovación)</t>
        </is>
      </c>
      <c r="AF1296" s="4" t="inlineStr">
        <is>
          <t>ambito: domestico</t>
        </is>
      </c>
    </row>
    <row r="1297">
      <c r="A1297" s="3" t="inlineStr">
        <is>
          <t>MAT-27-029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jabón, con sensor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33870.73</v>
      </c>
      <c r="L1297" s="6" t="n">
        <v>33870.73</v>
      </c>
      <c r="M1297" s="6" t="n">
        <v>33870.73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2026-09-10</t>
        </is>
      </c>
      <c r="Q1297" s="4" t="inlineStr">
        <is>
          <t>CerArte</t>
        </is>
      </c>
      <c r="AF1297" s="4" t="inlineStr">
        <is>
          <t>ambito: domestico · Activación: sensor</t>
        </is>
      </c>
    </row>
    <row r="1298">
      <c r="A1298" s="3" t="inlineStr">
        <is>
          <t>MAT-27-030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jabón, institucional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2</v>
      </c>
      <c r="K1298" s="6" t="n">
        <v>3782.5</v>
      </c>
      <c r="L1298" s="6" t="n">
        <v>1270</v>
      </c>
      <c r="M1298" s="6" t="n">
        <v>15547.21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Ochoa (8A) · InnovaCentro (La Innovación)</t>
        </is>
      </c>
      <c r="AF1298" s="4" t="inlineStr">
        <is>
          <t>ambito: institucional</t>
        </is>
      </c>
    </row>
    <row r="1299">
      <c r="A1299" s="3" t="inlineStr">
        <is>
          <t>MAT-27-031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de papel higiénico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587.5</v>
      </c>
      <c r="L1299" s="6" t="n">
        <v>485</v>
      </c>
      <c r="M1299" s="6" t="n">
        <v>690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InnovaCentro (La Innovación)</t>
        </is>
      </c>
      <c r="AF1299" s="4" t="inlineStr">
        <is>
          <t>ambito: domestico · Tipo de papel: papel higiénico · Ancho (mm): 270</t>
        </is>
      </c>
    </row>
    <row r="1300">
      <c r="A1300" s="3" t="inlineStr">
        <is>
          <t>MAT-27-032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de toalla</t>
        </is>
      </c>
      <c r="E1300" s="4" t="inlineStr"/>
      <c r="F1300" s="3" t="inlineStr">
        <is>
          <t>unidad</t>
        </is>
      </c>
      <c r="G1300" s="3" t="inlineStr">
        <is>
          <t>Terminación de superficies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2</v>
      </c>
      <c r="K1300" s="6" t="n">
        <v>2595</v>
      </c>
      <c r="L1300" s="6" t="n">
        <v>274</v>
      </c>
      <c r="M1300" s="6" t="n">
        <v>7965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 · InnovaCentro (La Innovación)</t>
        </is>
      </c>
      <c r="AF1300" s="4" t="inlineStr">
        <is>
          <t>ambito: domestico · Tipo de papel: toalla · Ancho (mm): 310</t>
        </is>
      </c>
    </row>
    <row r="1301">
      <c r="A1301" s="3" t="inlineStr">
        <is>
          <t>MAT-27-033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papel, institucional, de papel higiénico</t>
        </is>
      </c>
      <c r="E1301" s="4" t="inlineStr"/>
      <c r="F1301" s="3" t="inlineStr">
        <is>
          <t>unidad</t>
        </is>
      </c>
      <c r="G1301" s="3" t="inlineStr">
        <is>
          <t>Terminación de superficies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2870</v>
      </c>
      <c r="L1301" s="6" t="n">
        <v>1105</v>
      </c>
      <c r="M1301" s="6" t="n">
        <v>8995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InnovaCentro (La Innovación)</t>
        </is>
      </c>
      <c r="AF1301" s="4" t="inlineStr">
        <is>
          <t>ambito: institucional · Tipo de papel: papel higiénico</t>
        </is>
      </c>
    </row>
    <row r="1302">
      <c r="A1302" s="3" t="inlineStr">
        <is>
          <t>MAT-27-034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Dispensador de papel, institucional, de toalla</t>
        </is>
      </c>
      <c r="E1302" s="4" t="inlineStr"/>
      <c r="F1302" s="3" t="inlineStr">
        <is>
          <t>unidad</t>
        </is>
      </c>
      <c r="G1302" s="3" t="inlineStr">
        <is>
          <t>Terminación de superficies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3245</v>
      </c>
      <c r="L1302" s="6" t="n">
        <v>2515</v>
      </c>
      <c r="M1302" s="6" t="n">
        <v>12190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InnovaCentro (La Innovación)</t>
        </is>
      </c>
      <c r="AF1302" s="4" t="inlineStr">
        <is>
          <t>ambito: institucional · Tipo de papel: toalla</t>
        </is>
      </c>
    </row>
    <row r="1303">
      <c r="A1303" s="3" t="inlineStr">
        <is>
          <t>MAT-27-035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Cambiador de bebés de pared</t>
        </is>
      </c>
      <c r="E1303" s="4" t="inlineStr"/>
      <c r="F1303" s="3" t="inlineStr">
        <is>
          <t>unidad</t>
        </is>
      </c>
      <c r="G1303" s="3" t="inlineStr">
        <is>
          <t>Terminación de superficies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8705</v>
      </c>
      <c r="L1303" s="6" t="n">
        <v>8705</v>
      </c>
      <c r="M1303" s="6" t="n">
        <v>8705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InnovaCentro (La Innovación)</t>
        </is>
      </c>
      <c r="AF1303" s="4" t="inlineStr">
        <is>
          <t>Largo (mm): 860 · Ancho (mm): 550 · Alto (mm): 140</t>
        </is>
      </c>
    </row>
    <row r="1304">
      <c r="A1304" s="3" t="inlineStr">
        <is>
          <t>MAT-28-001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Kit de alarma</t>
        </is>
      </c>
      <c r="E1304" s="4" t="inlineStr"/>
      <c r="F1304" s="3" t="inlineStr">
        <is>
          <t>juego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7107.67</v>
      </c>
      <c r="L1304" s="6" t="n">
        <v>7107.67</v>
      </c>
      <c r="M1304" s="6" t="n">
        <v>7107.67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</row>
    <row r="1305">
      <c r="A1305" s="3" t="inlineStr">
        <is>
          <t>MAT-28-002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15771.4</v>
      </c>
      <c r="L1305" s="6" t="n">
        <v>3536.16</v>
      </c>
      <c r="M1305" s="6" t="n">
        <v>40009.07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</row>
    <row r="1306">
      <c r="A1306" s="3" t="inlineStr">
        <is>
          <t>MAT-28-003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28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7194.58</v>
      </c>
      <c r="L1306" s="6" t="n">
        <v>7194.58</v>
      </c>
      <c r="M1306" s="6" t="n">
        <v>7194.58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28</t>
        </is>
      </c>
    </row>
    <row r="1307">
      <c r="A1307" s="3" t="inlineStr">
        <is>
          <t>MAT-28-004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320 zonas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16552.7</v>
      </c>
      <c r="L1307" s="6" t="n">
        <v>13889.31</v>
      </c>
      <c r="M1307" s="6" t="n">
        <v>19216.09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F1307" s="4" t="inlineStr">
        <is>
          <t>Zonas: 320</t>
        </is>
      </c>
    </row>
    <row r="1308">
      <c r="A1308" s="3" t="inlineStr">
        <is>
          <t>MAT-28-005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4 zonas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18682.71</v>
      </c>
      <c r="L1308" s="6" t="n">
        <v>18682.71</v>
      </c>
      <c r="M1308" s="6" t="n">
        <v>18682.71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Zonas: 4</t>
        </is>
      </c>
    </row>
    <row r="1309">
      <c r="A1309" s="3" t="inlineStr">
        <is>
          <t>MAT-28-006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Panel de alarma 48 zonas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8277.66</v>
      </c>
      <c r="L1309" s="6" t="n">
        <v>8277.66</v>
      </c>
      <c r="M1309" s="6" t="n">
        <v>8277.66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Zonas: 48</t>
        </is>
      </c>
    </row>
    <row r="1310">
      <c r="A1310" s="3" t="inlineStr">
        <is>
          <t>MAT-28-007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Panel de alarma 8 zonas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11668.57</v>
      </c>
      <c r="L1310" s="6" t="n">
        <v>11668.57</v>
      </c>
      <c r="M1310" s="6" t="n">
        <v>11668.57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  <c r="AF1310" s="4" t="inlineStr">
        <is>
          <t>Zonas: 8</t>
        </is>
      </c>
    </row>
    <row r="1311">
      <c r="A1311" s="3" t="inlineStr">
        <is>
          <t>MAT-28-008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Teclado para alarma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6879.53</v>
      </c>
      <c r="L1311" s="6" t="n">
        <v>3449.44</v>
      </c>
      <c r="M1311" s="6" t="n">
        <v>13205.36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</row>
    <row r="1312">
      <c r="A1312" s="3" t="inlineStr">
        <is>
          <t>MAT-28-009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1486.93</v>
      </c>
      <c r="L1312" s="6" t="n">
        <v>266.05</v>
      </c>
      <c r="M1312" s="6" t="n">
        <v>11447.71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Enlace: inalámbrico</t>
        </is>
      </c>
    </row>
    <row r="1313">
      <c r="A1313" s="3" t="inlineStr">
        <is>
          <t>MAT-28-010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10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7135.36</v>
      </c>
      <c r="L1313" s="6" t="n">
        <v>7135.36</v>
      </c>
      <c r="M1313" s="6" t="n">
        <v>7135.36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10 · Enlace: inalámbrico</t>
        </is>
      </c>
    </row>
    <row r="1314">
      <c r="A1314" s="3" t="inlineStr">
        <is>
          <t>MAT-28-011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11 m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5567.22</v>
      </c>
      <c r="L1314" s="6" t="n">
        <v>5567.22</v>
      </c>
      <c r="M1314" s="6" t="n">
        <v>5567.22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Alcance (m): 11 · Enlace: inalámbrico</t>
        </is>
      </c>
    </row>
    <row r="1315">
      <c r="A1315" s="3" t="inlineStr">
        <is>
          <t>MAT-28-012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12 m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2831.47</v>
      </c>
      <c r="L1315" s="6" t="n">
        <v>820.3</v>
      </c>
      <c r="M1315" s="6" t="n">
        <v>5338.48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Alcance (m): 12 · Enlace: inalámbrico</t>
        </is>
      </c>
    </row>
    <row r="1316">
      <c r="A1316" s="3" t="inlineStr">
        <is>
          <t>MAT-28-013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Detector de movimiento alcance 15 m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2675.69</v>
      </c>
      <c r="L1316" s="6" t="n">
        <v>2675.69</v>
      </c>
      <c r="M1316" s="6" t="n">
        <v>2675.69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Alcance (m): 15 · Enlace: inalámbrico</t>
        </is>
      </c>
    </row>
    <row r="1317">
      <c r="A1317" s="3" t="inlineStr">
        <is>
          <t>MAT-28-014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Detector de movimiento alcance 16 m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2944.96</v>
      </c>
      <c r="L1317" s="6" t="n">
        <v>2944.96</v>
      </c>
      <c r="M1317" s="6" t="n">
        <v>2944.96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  <c r="AF1317" s="4" t="inlineStr">
        <is>
          <t>Alcance (m): 16</t>
        </is>
      </c>
    </row>
    <row r="1318">
      <c r="A1318" s="3" t="inlineStr">
        <is>
          <t>MAT-28-015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Contacto magnético para puerta o ventana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1673.26</v>
      </c>
      <c r="L1318" s="6" t="n">
        <v>506.24</v>
      </c>
      <c r="M1318" s="6" t="n">
        <v>1989.25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</row>
    <row r="1319">
      <c r="A1319" s="3" t="inlineStr">
        <is>
          <t>MAT-28-016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12406.5</v>
      </c>
      <c r="L1319" s="6" t="n">
        <v>713.99</v>
      </c>
      <c r="M1319" s="6" t="n">
        <v>49478.37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Potencia (dB): 102</t>
        </is>
      </c>
    </row>
    <row r="1320">
      <c r="A1320" s="3" t="inlineStr">
        <is>
          <t>MAT-28-017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Sirena de alarma de exterior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5053.69</v>
      </c>
      <c r="L1320" s="6" t="n">
        <v>5053.69</v>
      </c>
      <c r="M1320" s="6" t="n">
        <v>5053.69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F1320" s="4" t="inlineStr">
        <is>
          <t>Ubicación: exterior · Potencia (dB): 104</t>
        </is>
      </c>
    </row>
    <row r="1321">
      <c r="A1321" s="3" t="inlineStr">
        <is>
          <t>MAT-28-018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Sirena de alarma de interior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3381.4</v>
      </c>
      <c r="L1321" s="6" t="n">
        <v>3381.4</v>
      </c>
      <c r="M1321" s="6" t="n">
        <v>3381.4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AF1321" s="4" t="inlineStr">
        <is>
          <t>Ubicación: interior · Potencia (dB): 95</t>
        </is>
      </c>
    </row>
    <row r="1322">
      <c r="A1322" s="3" t="inlineStr">
        <is>
          <t>MAT-28-019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14529.44</v>
      </c>
      <c r="L1322" s="6" t="n">
        <v>5063.11</v>
      </c>
      <c r="M1322" s="6" t="n">
        <v>51002.38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</row>
    <row r="1323">
      <c r="A1323" s="3" t="inlineStr">
        <is>
          <t>MAT-28-020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huella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16289.94</v>
      </c>
      <c r="L1323" s="6" t="n">
        <v>10930.42</v>
      </c>
      <c r="M1323" s="6" t="n">
        <v>48902.72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X1323" s="7" t="inlineStr">
        <is>
          <t>huella</t>
        </is>
      </c>
    </row>
    <row r="1324">
      <c r="A1324" s="3" t="inlineStr">
        <is>
          <t>MAT-28-021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Control de acceso proximidad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9465.780000000001</v>
      </c>
      <c r="L1324" s="6" t="n">
        <v>8365.110000000001</v>
      </c>
      <c r="M1324" s="6" t="n">
        <v>10566.44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X1324" s="7" t="inlineStr">
        <is>
          <t>proximidad</t>
        </is>
      </c>
    </row>
    <row r="1325">
      <c r="A1325" s="3" t="inlineStr">
        <is>
          <t>MAT-28-022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Control de acceso teclado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12767.79</v>
      </c>
      <c r="L1325" s="6" t="n">
        <v>12767.79</v>
      </c>
      <c r="M1325" s="6" t="n">
        <v>12767.79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X1325" s="7" t="inlineStr">
        <is>
          <t>teclado</t>
        </is>
      </c>
    </row>
    <row r="1326">
      <c r="A1326" s="3" t="inlineStr">
        <is>
          <t>MAT-28-024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Accesorio de sistema de alarma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1838.69</v>
      </c>
      <c r="L1326" s="6" t="n">
        <v>146.83</v>
      </c>
      <c r="M1326" s="6" t="n">
        <v>34654.38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</row>
    <row r="1327">
      <c r="A1327" s="3" t="inlineStr">
        <is>
          <t>MAT-29-003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calor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1780.89</v>
      </c>
      <c r="L1327" s="6" t="n">
        <v>1508.54</v>
      </c>
      <c r="M1327" s="6" t="n">
        <v>2053.24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AF1327" s="4" t="inlineStr">
        <is>
          <t>Detección: calor</t>
        </is>
      </c>
    </row>
    <row r="1328">
      <c r="A1328" s="3" t="inlineStr">
        <is>
          <t>MAT-29-004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Detector para sistema de incendio de humo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2135.37</v>
      </c>
      <c r="L1328" s="6" t="n">
        <v>1934.03</v>
      </c>
      <c r="M1328" s="6" t="n">
        <v>23981.94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Detección: humo</t>
        </is>
      </c>
    </row>
    <row r="1329">
      <c r="A1329" s="3" t="inlineStr">
        <is>
          <t>MAT-29-005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Detector para sistema de incendio de humo y calor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1657.72</v>
      </c>
      <c r="L1329" s="6" t="n">
        <v>1657.72</v>
      </c>
      <c r="M1329" s="6" t="n">
        <v>1657.72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AF1329" s="4" t="inlineStr">
        <is>
          <t>Detección: humo y calor</t>
        </is>
      </c>
    </row>
    <row r="1330">
      <c r="A1330" s="3" t="inlineStr">
        <is>
          <t>MAT-29-006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Estación manual de incendio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2358.36</v>
      </c>
      <c r="L1330" s="6" t="n">
        <v>870.3</v>
      </c>
      <c r="M1330" s="6" t="n">
        <v>4065.41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</row>
    <row r="1331">
      <c r="A1331" s="3" t="inlineStr">
        <is>
          <t>MAT-29-007</t>
        </is>
      </c>
      <c r="B1331" s="3" t="inlineStr">
        <is>
          <t>Materiales</t>
        </is>
      </c>
      <c r="C1331" s="3" t="inlineStr">
        <is>
          <t>Detección de incendios</t>
        </is>
      </c>
      <c r="D1331" s="4" t="inlineStr">
        <is>
          <t>Sirena o estrobo de incendio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3502.55</v>
      </c>
      <c r="L1331" s="6" t="n">
        <v>3502.55</v>
      </c>
      <c r="M1331" s="6" t="n">
        <v>3502.55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</row>
    <row r="1332">
      <c r="A1332" s="3" t="inlineStr">
        <is>
          <t>MAT-29-008</t>
        </is>
      </c>
      <c r="B1332" s="3" t="inlineStr">
        <is>
          <t>Materiales</t>
        </is>
      </c>
      <c r="C1332" s="3" t="inlineStr">
        <is>
          <t>Detección de incendios</t>
        </is>
      </c>
      <c r="D1332" s="4" t="inlineStr">
        <is>
          <t>Accesorio de sistema de incendio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270.76</v>
      </c>
      <c r="L1332" s="6" t="n">
        <v>232.07</v>
      </c>
      <c r="M1332" s="6" t="n">
        <v>615.97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</row>
    <row r="1333">
      <c r="A1333" s="3" t="inlineStr">
        <is>
          <t>MAT-30-003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blindado</t>
        </is>
      </c>
      <c r="E1333" s="4" t="inlineStr"/>
      <c r="F1333" s="3" t="inlineStr">
        <is>
          <t>rollo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1675.6</v>
      </c>
      <c r="L1333" s="6" t="n">
        <v>1675.6</v>
      </c>
      <c r="M1333" s="6" t="n">
        <v>1675.6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Blindaje: blindado</t>
        </is>
      </c>
    </row>
    <row r="1334">
      <c r="A1334" s="3" t="inlineStr">
        <is>
          <t>MAT-30-004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5</t>
        </is>
      </c>
      <c r="E1334" s="4" t="inlineStr"/>
      <c r="F1334" s="3" t="inlineStr">
        <is>
          <t>rollo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106.6</v>
      </c>
      <c r="L1334" s="6" t="n">
        <v>72.59999999999999</v>
      </c>
      <c r="M1334" s="6" t="n">
        <v>125.64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5 · Largo (m): 305</t>
        </is>
      </c>
    </row>
    <row r="1335">
      <c r="A1335" s="3" t="inlineStr">
        <is>
          <t>MAT-30-005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Cable de red Cat 5 blindado</t>
        </is>
      </c>
      <c r="E1335" s="4" t="inlineStr"/>
      <c r="F1335" s="3" t="inlineStr">
        <is>
          <t>rollo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813.6</v>
      </c>
      <c r="L1335" s="6" t="n">
        <v>813.6</v>
      </c>
      <c r="M1335" s="6" t="n">
        <v>813.6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5 · Blindaje: blindado</t>
        </is>
      </c>
    </row>
    <row r="1336">
      <c r="A1336" s="3" t="inlineStr">
        <is>
          <t>MAT-30-007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Cable de red Cat 6A</t>
        </is>
      </c>
      <c r="E1336" s="4" t="inlineStr"/>
      <c r="F1336" s="3" t="inlineStr">
        <is>
          <t>rollo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466.67</v>
      </c>
      <c r="L1336" s="6" t="n">
        <v>215.59</v>
      </c>
      <c r="M1336" s="6" t="n">
        <v>860.04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6A</t>
        </is>
      </c>
    </row>
    <row r="1337">
      <c r="A1337" s="3" t="inlineStr">
        <is>
          <t>MAT-30-009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5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106.97</v>
      </c>
      <c r="L1337" s="6" t="n">
        <v>106.97</v>
      </c>
      <c r="M1337" s="6" t="n">
        <v>106.97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  <c r="AF1337" s="4" t="inlineStr">
        <is>
          <t>Categoría de cable: 5</t>
        </is>
      </c>
    </row>
    <row r="1338">
      <c r="A1338" s="3" t="inlineStr">
        <is>
          <t>MAT-30-010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254.97</v>
      </c>
      <c r="L1338" s="6" t="n">
        <v>189.16</v>
      </c>
      <c r="M1338" s="6" t="n">
        <v>1513.22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Categoría de cable: 6</t>
        </is>
      </c>
    </row>
    <row r="1339">
      <c r="A1339" s="3" t="inlineStr">
        <is>
          <t>MAT-30-011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Jack RJ45 Cat 6A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256.97</v>
      </c>
      <c r="L1339" s="6" t="n">
        <v>256.97</v>
      </c>
      <c r="M1339" s="6" t="n">
        <v>256.97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Categoría de cable: 6A</t>
        </is>
      </c>
    </row>
    <row r="1340">
      <c r="A1340" s="3" t="inlineStr">
        <is>
          <t>MAT-30-012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Jack RJ45 Cat 6A blindado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334.53</v>
      </c>
      <c r="L1340" s="6" t="n">
        <v>275.76</v>
      </c>
      <c r="M1340" s="6" t="n">
        <v>439.42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  <c r="AF1340" s="4" t="inlineStr">
        <is>
          <t>Categoría de cable: 6A · Blindaje: blindado</t>
        </is>
      </c>
    </row>
    <row r="1341">
      <c r="A1341" s="3" t="inlineStr">
        <is>
          <t>MAT-30-013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1305.12</v>
      </c>
      <c r="L1341" s="6" t="n">
        <v>192.87</v>
      </c>
      <c r="M1341" s="6" t="n">
        <v>1396.76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</row>
    <row r="1342">
      <c r="A1342" s="3" t="inlineStr">
        <is>
          <t>MAT-30-014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Patch panel 24 puertos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5568.67</v>
      </c>
      <c r="L1342" s="6" t="n">
        <v>5568.67</v>
      </c>
      <c r="M1342" s="6" t="n">
        <v>5568.67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  <c r="AF1342" s="4" t="inlineStr">
        <is>
          <t>Puertos: 24</t>
        </is>
      </c>
    </row>
    <row r="1343">
      <c r="A1343" s="3" t="inlineStr">
        <is>
          <t>MAT-30-015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Patch panel 48 puertos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1782.28</v>
      </c>
      <c r="L1343" s="6" t="n">
        <v>1782.28</v>
      </c>
      <c r="M1343" s="6" t="n">
        <v>1782.28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  <c r="AF1343" s="4" t="inlineStr">
        <is>
          <t>Puertos: 48</t>
        </is>
      </c>
    </row>
    <row r="1344">
      <c r="A1344" s="3" t="inlineStr">
        <is>
          <t>MAT-30-016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Placa de pared para datos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102.17</v>
      </c>
      <c r="L1344" s="6" t="n">
        <v>77.06</v>
      </c>
      <c r="M1344" s="6" t="n">
        <v>612.77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</row>
    <row r="1345">
      <c r="A1345" s="3" t="inlineStr">
        <is>
          <t>MAT-30-019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Placa de pared para datos 3 puertos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1196.92</v>
      </c>
      <c r="L1345" s="6" t="n">
        <v>1196.92</v>
      </c>
      <c r="M1345" s="6" t="n">
        <v>1196.92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  <c r="AF1345" s="4" t="inlineStr">
        <is>
          <t>Puertos: 3</t>
        </is>
      </c>
    </row>
    <row r="1346">
      <c r="A1346" s="3" t="inlineStr">
        <is>
          <t>MAT-30-021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Equipo de red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4902.12</v>
      </c>
      <c r="L1346" s="6" t="n">
        <v>587.39</v>
      </c>
      <c r="M1346" s="6" t="n">
        <v>18998.93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</row>
    <row r="1347">
      <c r="A1347" s="3" t="inlineStr">
        <is>
          <t>MAT-30-022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Equipo de red 24 puertos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16692.67</v>
      </c>
      <c r="L1347" s="6" t="n">
        <v>16692.67</v>
      </c>
      <c r="M1347" s="6" t="n">
        <v>16692.67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Puertos: 24</t>
        </is>
      </c>
    </row>
    <row r="1348">
      <c r="A1348" s="3" t="inlineStr">
        <is>
          <t>MAT-30-027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12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2813.06</v>
      </c>
      <c r="L1348" s="6" t="n">
        <v>1111.78</v>
      </c>
      <c r="M1348" s="6" t="n">
        <v>4514.34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12 · Amperaje (A): 4</t>
        </is>
      </c>
    </row>
    <row r="1349">
      <c r="A1349" s="3" t="inlineStr">
        <is>
          <t>MAT-30-028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120 V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1031.86</v>
      </c>
      <c r="L1349" s="6" t="n">
        <v>906.34</v>
      </c>
      <c r="M1349" s="6" t="n">
        <v>1157.38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AF1349" s="4" t="inlineStr">
        <is>
          <t>Voltaje (V): 120</t>
        </is>
      </c>
    </row>
    <row r="1350">
      <c r="A1350" s="3" t="inlineStr">
        <is>
          <t>MAT-30-029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24 V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13861.06</v>
      </c>
      <c r="L1350" s="6" t="n">
        <v>11089.49</v>
      </c>
      <c r="M1350" s="6" t="n">
        <v>16632.64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AF1350" s="4" t="inlineStr">
        <is>
          <t>Voltaje (V): 24 · Amperaje (A): 8</t>
        </is>
      </c>
    </row>
    <row r="1351">
      <c r="A1351" s="3" t="inlineStr">
        <is>
          <t>MAT-30-030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Fuente de alimentación para sistemas 275 V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28.95</v>
      </c>
      <c r="L1351" s="6" t="n">
        <v>28.95</v>
      </c>
      <c r="M1351" s="6" t="n">
        <v>28.95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AF1351" s="4" t="inlineStr">
        <is>
          <t>Voltaje (V): 275</t>
        </is>
      </c>
    </row>
    <row r="1352">
      <c r="A1352" s="3" t="inlineStr">
        <is>
          <t>MAT-30-031</t>
        </is>
      </c>
      <c r="B1352" s="3" t="inlineStr">
        <is>
          <t>Materiales</t>
        </is>
      </c>
      <c r="C1352" s="3" t="inlineStr">
        <is>
          <t>Cableado estructurado y redes</t>
        </is>
      </c>
      <c r="D1352" s="4" t="inlineStr">
        <is>
          <t>Fuente de alimentación para sistemas 277 V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2150.5</v>
      </c>
      <c r="L1352" s="6" t="n">
        <v>2150.5</v>
      </c>
      <c r="M1352" s="6" t="n">
        <v>2150.5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AF1352" s="4" t="inlineStr">
        <is>
          <t>Voltaje (V): 277</t>
        </is>
      </c>
    </row>
    <row r="1353">
      <c r="A1353" s="3" t="inlineStr">
        <is>
          <t>MAT-31-003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</t>
        </is>
      </c>
      <c r="E1353" s="4" t="inlineStr">
        <is>
          <t>Necesita neutro en la caja</t>
        </is>
      </c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1549.16</v>
      </c>
      <c r="L1353" s="6" t="n">
        <v>1089.61</v>
      </c>
      <c r="M1353" s="6" t="n">
        <v>2008.71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1</v>
      </c>
    </row>
    <row r="1354">
      <c r="A1354" s="3" t="inlineStr">
        <is>
          <t>MAT-31-004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1 canales con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2892.27</v>
      </c>
      <c r="L1354" s="6" t="n">
        <v>2892.27</v>
      </c>
      <c r="M1354" s="6" t="n">
        <v>2892.27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1</v>
      </c>
      <c r="AF1354" s="4" t="inlineStr">
        <is>
          <t>Neutro: con</t>
        </is>
      </c>
    </row>
    <row r="1355">
      <c r="A1355" s="3" t="inlineStr">
        <is>
          <t>MAT-31-005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1 canales sin neutro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2958.46</v>
      </c>
      <c r="L1355" s="6" t="n">
        <v>2958.46</v>
      </c>
      <c r="M1355" s="6" t="n">
        <v>2958.46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1</v>
      </c>
      <c r="AF1355" s="4" t="inlineStr">
        <is>
          <t>Neutro: sin</t>
        </is>
      </c>
    </row>
    <row r="1356">
      <c r="A1356" s="3" t="inlineStr">
        <is>
          <t>MAT-31-006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</t>
        </is>
      </c>
      <c r="E1356" s="4" t="inlineStr">
        <is>
          <t>Necesita neutro en la caja</t>
        </is>
      </c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1632.51</v>
      </c>
      <c r="L1356" s="6" t="n">
        <v>1210.31</v>
      </c>
      <c r="M1356" s="6" t="n">
        <v>2054.7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  <c r="Y1356" s="7" t="n">
        <v>2</v>
      </c>
    </row>
    <row r="1357">
      <c r="A1357" s="3" t="inlineStr">
        <is>
          <t>MAT-31-007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2 canales con neutro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2743.31</v>
      </c>
      <c r="L1357" s="6" t="n">
        <v>2743.31</v>
      </c>
      <c r="M1357" s="6" t="n">
        <v>2743.31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Y1357" s="7" t="n">
        <v>2</v>
      </c>
      <c r="AF1357" s="4" t="inlineStr">
        <is>
          <t>Neutro: con</t>
        </is>
      </c>
    </row>
    <row r="1358">
      <c r="A1358" s="3" t="inlineStr">
        <is>
          <t>MAT-31-008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2 canales sin neutro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2743.31</v>
      </c>
      <c r="L1358" s="6" t="n">
        <v>2743.31</v>
      </c>
      <c r="M1358" s="6" t="n">
        <v>2743.31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Y1358" s="7" t="n">
        <v>2</v>
      </c>
      <c r="AF1358" s="4" t="inlineStr">
        <is>
          <t>Neutro: sin</t>
        </is>
      </c>
    </row>
    <row r="1359">
      <c r="A1359" s="3" t="inlineStr">
        <is>
          <t>MAT-31-009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Interruptor inteligente 3 canales</t>
        </is>
      </c>
      <c r="E1359" s="4" t="inlineStr">
        <is>
          <t>Necesita neutro en la caja</t>
        </is>
      </c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4577.22</v>
      </c>
      <c r="L1359" s="6" t="n">
        <v>1497.83</v>
      </c>
      <c r="M1359" s="6" t="n">
        <v>7656.61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  <c r="Y1359" s="7" t="n">
        <v>3</v>
      </c>
    </row>
    <row r="1360">
      <c r="A1360" s="3" t="inlineStr">
        <is>
          <t>MAT-31-011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Central de domótica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5847.29</v>
      </c>
      <c r="L1360" s="6" t="n">
        <v>1143.26</v>
      </c>
      <c r="M1360" s="6" t="n">
        <v>85380.83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</row>
    <row r="1361">
      <c r="A1361" s="3" t="inlineStr">
        <is>
          <t>MAT-31-012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4 apartamentos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32009.7</v>
      </c>
      <c r="L1361" s="6" t="n">
        <v>32009.7</v>
      </c>
      <c r="M1361" s="6" t="n">
        <v>32009.7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Apartamentos: 4 · Video: si</t>
        </is>
      </c>
    </row>
    <row r="1362">
      <c r="A1362" s="3" t="inlineStr">
        <is>
          <t>MAT-31-013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6 apartamentos con video</t>
        </is>
      </c>
      <c r="E1362" s="4" t="inlineStr"/>
      <c r="F1362" s="3" t="inlineStr">
        <is>
          <t>juego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41504.58</v>
      </c>
      <c r="L1362" s="6" t="n">
        <v>41504.58</v>
      </c>
      <c r="M1362" s="6" t="n">
        <v>41504.58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  <c r="AF1362" s="4" t="inlineStr">
        <is>
          <t>Apartamentos: 6 · Video: si</t>
        </is>
      </c>
    </row>
    <row r="1363">
      <c r="A1363" s="3" t="inlineStr">
        <is>
          <t>MAT-31-014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8 apartamentos solo audio</t>
        </is>
      </c>
      <c r="E1363" s="4" t="inlineStr"/>
      <c r="F1363" s="3" t="inlineStr">
        <is>
          <t>juego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16951.2</v>
      </c>
      <c r="L1363" s="6" t="n">
        <v>16951.2</v>
      </c>
      <c r="M1363" s="6" t="n">
        <v>16951.2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Apartamentos: 8 · Video: no</t>
        </is>
      </c>
    </row>
    <row r="1364">
      <c r="A1364" s="3" t="inlineStr">
        <is>
          <t>MAT-31-015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Kit de intercomunicador 8 apartamentos con video</t>
        </is>
      </c>
      <c r="E1364" s="4" t="inlineStr"/>
      <c r="F1364" s="3" t="inlineStr">
        <is>
          <t>juego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50715.2</v>
      </c>
      <c r="L1364" s="6" t="n">
        <v>50715.2</v>
      </c>
      <c r="M1364" s="6" t="n">
        <v>50715.2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  <c r="AF1364" s="4" t="inlineStr">
        <is>
          <t>Apartamentos: 8 · Video: si</t>
        </is>
      </c>
    </row>
    <row r="1365">
      <c r="A1365" s="3" t="inlineStr">
        <is>
          <t>MAT-31-016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Kit de intercomunicador con video</t>
        </is>
      </c>
      <c r="E1365" s="4" t="inlineStr"/>
      <c r="F1365" s="3" t="inlineStr">
        <is>
          <t>juego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12858.25</v>
      </c>
      <c r="L1365" s="6" t="n">
        <v>8802.870000000001</v>
      </c>
      <c r="M1365" s="6" t="n">
        <v>22538.2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Ochoa (8A)</t>
        </is>
      </c>
      <c r="AF1365" s="4" t="inlineStr">
        <is>
          <t>Video: si</t>
        </is>
      </c>
    </row>
    <row r="1366">
      <c r="A1366" s="3" t="inlineStr">
        <is>
          <t>MAT-31-017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Estación de intercomunicador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9200.34</v>
      </c>
      <c r="L1366" s="6" t="n">
        <v>9200.34</v>
      </c>
      <c r="M1366" s="6" t="n">
        <v>9200.34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Ochoa (8A)</t>
        </is>
      </c>
    </row>
    <row r="1367">
      <c r="A1367" s="3" t="inlineStr">
        <is>
          <t>MAT-31-018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Estación de intercomunicador 7"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14861.01</v>
      </c>
      <c r="L1367" s="6" t="n">
        <v>14861.01</v>
      </c>
      <c r="M1367" s="6" t="n">
        <v>14861.01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Ochoa (8A)</t>
        </is>
      </c>
      <c r="AF1367" s="4" t="inlineStr">
        <is>
          <t>Pulgadas: 7</t>
        </is>
      </c>
    </row>
    <row r="1368">
      <c r="A1368" s="3" t="inlineStr">
        <is>
          <t>MAT-31-019</t>
        </is>
      </c>
      <c r="B1368" s="3" t="inlineStr">
        <is>
          <t>Materiales</t>
        </is>
      </c>
      <c r="C1368" s="3" t="inlineStr">
        <is>
          <t>Domótica e intercomunicadores</t>
        </is>
      </c>
      <c r="D1368" s="4" t="inlineStr">
        <is>
          <t>Accesorio de intercomunicador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1765.47</v>
      </c>
      <c r="L1368" s="6" t="n">
        <v>305.08</v>
      </c>
      <c r="M1368" s="6" t="n">
        <v>11519.81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Ochoa (8A)</t>
        </is>
      </c>
    </row>
    <row r="1369">
      <c r="A1369" s="3" t="inlineStr">
        <is>
          <t>MAT-32-008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Acero Inoxidable SCH-40 1/2" x 20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3075</v>
      </c>
      <c r="L1369" s="6" t="n">
        <v>3075</v>
      </c>
      <c r="M1369" s="6" t="n">
        <v>3075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20</v>
      </c>
      <c r="AF1369" s="4" t="inlineStr">
        <is>
          <t>material: Acero Inoxidable · norma: SCH-40 · diametro: 1/2"</t>
        </is>
      </c>
    </row>
    <row r="1370">
      <c r="A1370" s="3" t="inlineStr">
        <is>
          <t>MAT-32-009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1/2" x 10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231</v>
      </c>
      <c r="L1370" s="6" t="n">
        <v>231</v>
      </c>
      <c r="M1370" s="6" t="n">
        <v>231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Z1370" s="7" t="n">
        <v>10</v>
      </c>
      <c r="AF1370" s="4" t="inlineStr">
        <is>
          <t>material: CPVC · norma: SDR-11 · diametro: 1/2"</t>
        </is>
      </c>
    </row>
    <row r="1371">
      <c r="A1371" s="3" t="inlineStr">
        <is>
          <t>MAT-32-010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CPVC SDR-11 1" x 10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650</v>
      </c>
      <c r="L1371" s="6" t="n">
        <v>650</v>
      </c>
      <c r="M1371" s="6" t="n">
        <v>650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Z1371" s="7" t="n">
        <v>10</v>
      </c>
      <c r="AF1371" s="4" t="inlineStr">
        <is>
          <t>material: CPVC · norma: SDR-11 · diametro: 1"</t>
        </is>
      </c>
    </row>
    <row r="1372">
      <c r="A1372" s="3" t="inlineStr">
        <is>
          <t>MAT-32-011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CPVC SDR-11 3/4" x 10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347</v>
      </c>
      <c r="L1372" s="6" t="n">
        <v>347</v>
      </c>
      <c r="M1372" s="6" t="n">
        <v>347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10</v>
      </c>
      <c r="AF1372" s="4" t="inlineStr">
        <is>
          <t>material: CPVC · norma: SDR-11 · diametro: 3/4"</t>
        </is>
      </c>
    </row>
    <row r="1373">
      <c r="A1373" s="3" t="inlineStr">
        <is>
          <t>MAT-32-012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2"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498</v>
      </c>
      <c r="L1373" s="6" t="n">
        <v>267</v>
      </c>
      <c r="M1373" s="6" t="n">
        <v>729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</t>
        </is>
      </c>
      <c r="Z1373" s="7" t="n">
        <v>19</v>
      </c>
      <c r="AF1373" s="4" t="inlineStr">
        <is>
          <t>material: PVC · norma: DRENAJE · diametro: 2"</t>
        </is>
      </c>
    </row>
    <row r="1374">
      <c r="A1374" s="3" t="inlineStr">
        <is>
          <t>MAT-32-013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3"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2</v>
      </c>
      <c r="K1374" s="6" t="n">
        <v>875.63</v>
      </c>
      <c r="L1374" s="6" t="n">
        <v>784.26</v>
      </c>
      <c r="M1374" s="6" t="n">
        <v>967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 · Ferretería Cima</t>
        </is>
      </c>
      <c r="Z1374" s="7" t="n">
        <v>19</v>
      </c>
      <c r="AF1374" s="4" t="inlineStr">
        <is>
          <t>material: PVC · norma: DRENAJE · diametro: 3"</t>
        </is>
      </c>
    </row>
    <row r="1375">
      <c r="A1375" s="3" t="inlineStr">
        <is>
          <t>MAT-32-014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4"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2</v>
      </c>
      <c r="K1375" s="6" t="n">
        <v>1021</v>
      </c>
      <c r="L1375" s="6" t="n">
        <v>1001</v>
      </c>
      <c r="M1375" s="6" t="n">
        <v>1041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 · Ferretería Cima</t>
        </is>
      </c>
      <c r="Z1375" s="7" t="n">
        <v>19</v>
      </c>
      <c r="AF1375" s="4" t="inlineStr">
        <is>
          <t>material: PVC · norma: DRENAJE · diametro: 4"</t>
        </is>
      </c>
    </row>
    <row r="1376">
      <c r="A1376" s="3" t="inlineStr">
        <is>
          <t>MAT-32-015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DRENAJE 6"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3133.17</v>
      </c>
      <c r="L1376" s="6" t="n">
        <v>3133.17</v>
      </c>
      <c r="M1376" s="6" t="n">
        <v>3133.17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19</v>
      </c>
      <c r="AF1376" s="4" t="inlineStr">
        <is>
          <t>material: PVC · norma: DRENAJE · diametro: 6"</t>
        </is>
      </c>
    </row>
    <row r="1377">
      <c r="A1377" s="3" t="inlineStr">
        <is>
          <t>MAT-32-016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DRENAJE 8"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5301.3</v>
      </c>
      <c r="L1377" s="6" t="n">
        <v>5301.3</v>
      </c>
      <c r="M1377" s="6" t="n">
        <v>5301.3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</t>
        </is>
      </c>
      <c r="Z1377" s="7" t="n">
        <v>19</v>
      </c>
      <c r="AF1377" s="4" t="inlineStr">
        <is>
          <t>material: PVC · norma: DRENAJE · diametro: 8"</t>
        </is>
      </c>
    </row>
    <row r="1378">
      <c r="A1378" s="3" t="inlineStr">
        <is>
          <t>MAT-32-017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 1/2"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3</v>
      </c>
      <c r="K1378" s="6" t="n">
        <v>944</v>
      </c>
      <c r="L1378" s="6" t="n">
        <v>535</v>
      </c>
      <c r="M1378" s="6" t="n">
        <v>1059.64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 · Ferretería MC · Max Ferretería</t>
        </is>
      </c>
      <c r="Z1378" s="7" t="n">
        <v>19</v>
      </c>
      <c r="AF1378" s="4" t="inlineStr">
        <is>
          <t>material: PVC · norma: SCH-40 · diametro: 1 1/2"</t>
        </is>
      </c>
    </row>
    <row r="1379">
      <c r="A1379" s="3" t="inlineStr">
        <is>
          <t>MAT-32-018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1/2"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2</v>
      </c>
      <c r="K1379" s="6" t="n">
        <v>298.78</v>
      </c>
      <c r="L1379" s="6" t="n">
        <v>275</v>
      </c>
      <c r="M1379" s="6" t="n">
        <v>1025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MC</t>
        </is>
      </c>
      <c r="Z1379" s="7" t="n">
        <v>19</v>
      </c>
      <c r="AF1379" s="4" t="inlineStr">
        <is>
          <t>material: PVC · norma: SCH-40 · diametro: 1/2"</t>
        </is>
      </c>
    </row>
    <row r="1380">
      <c r="A1380" s="3" t="inlineStr">
        <is>
          <t>MAT-32-019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1"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4</v>
      </c>
      <c r="K1380" s="6" t="n">
        <v>596.5</v>
      </c>
      <c r="L1380" s="6" t="n">
        <v>315</v>
      </c>
      <c r="M1380" s="6" t="n">
        <v>627.05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 · Ferretería Cima · Ferretería MC · Max Ferretería</t>
        </is>
      </c>
      <c r="Z1380" s="7" t="n">
        <v>19</v>
      </c>
      <c r="AF1380" s="4" t="inlineStr">
        <is>
          <t>material: PVC · norma: SCH-40 · diametro: 1"</t>
        </is>
      </c>
    </row>
    <row r="1381">
      <c r="A1381" s="3" t="inlineStr">
        <is>
          <t>MAT-32-020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2"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3</v>
      </c>
      <c r="K1381" s="6" t="n">
        <v>1416</v>
      </c>
      <c r="L1381" s="6" t="n">
        <v>745</v>
      </c>
      <c r="M1381" s="6" t="n">
        <v>1424.97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 · Ferretería MC · Max Ferretería</t>
        </is>
      </c>
      <c r="Z1381" s="7" t="n">
        <v>19</v>
      </c>
      <c r="AF1381" s="4" t="inlineStr">
        <is>
          <t>material: PVC · norma: SCH-40 · diametro: 2"</t>
        </is>
      </c>
    </row>
    <row r="1382">
      <c r="A1382" s="3" t="inlineStr">
        <is>
          <t>MAT-32-021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2" x 9.5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698</v>
      </c>
      <c r="L1382" s="6" t="n">
        <v>698</v>
      </c>
      <c r="M1382" s="6" t="n">
        <v>698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</t>
        </is>
      </c>
      <c r="Z1382" s="7" t="n">
        <v>9.5</v>
      </c>
      <c r="AF1382" s="4" t="inlineStr">
        <is>
          <t>material: PVC · norma: SCH-40 · diametro: 2"</t>
        </is>
      </c>
    </row>
    <row r="1383">
      <c r="A1383" s="3" t="inlineStr">
        <is>
          <t>MAT-32-022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3/4"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4</v>
      </c>
      <c r="K1383" s="6" t="n">
        <v>388</v>
      </c>
      <c r="L1383" s="6" t="n">
        <v>217</v>
      </c>
      <c r="M1383" s="6" t="n">
        <v>423.5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 · Ferretería Cima · Ferretería MC · Max Ferretería</t>
        </is>
      </c>
      <c r="Z1383" s="7" t="n">
        <v>19</v>
      </c>
      <c r="AF1383" s="4" t="inlineStr">
        <is>
          <t>material: PVC · norma: SCH-40 · diametro: 3/4"</t>
        </is>
      </c>
    </row>
    <row r="1384">
      <c r="A1384" s="3" t="inlineStr">
        <is>
          <t>MAT-32-023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3/4" x 9.5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154</v>
      </c>
      <c r="L1384" s="6" t="n">
        <v>154</v>
      </c>
      <c r="M1384" s="6" t="n">
        <v>154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</t>
        </is>
      </c>
      <c r="Z1384" s="7" t="n">
        <v>9.5</v>
      </c>
      <c r="AF1384" s="4" t="inlineStr">
        <is>
          <t>material: PVC · norma: SCH-40 · diametro: 3/4"</t>
        </is>
      </c>
    </row>
    <row r="1385">
      <c r="A1385" s="3" t="inlineStr">
        <is>
          <t>MAT-32-024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3"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2</v>
      </c>
      <c r="K1385" s="6" t="n">
        <v>2895.19</v>
      </c>
      <c r="L1385" s="6" t="n">
        <v>2832</v>
      </c>
      <c r="M1385" s="6" t="n">
        <v>2958.38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MC</t>
        </is>
      </c>
      <c r="Z1385" s="7" t="n">
        <v>19</v>
      </c>
      <c r="AF1385" s="4" t="inlineStr">
        <is>
          <t>material: PVC · norma: SCH-40 · diametro: 3"</t>
        </is>
      </c>
    </row>
    <row r="1386">
      <c r="A1386" s="3" t="inlineStr">
        <is>
          <t>MAT-32-025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4"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2</v>
      </c>
      <c r="K1386" s="6" t="n">
        <v>4117.09</v>
      </c>
      <c r="L1386" s="6" t="n">
        <v>4020.28</v>
      </c>
      <c r="M1386" s="6" t="n">
        <v>4213.9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 · Ferretería MC</t>
        </is>
      </c>
      <c r="Z1386" s="7" t="n">
        <v>19</v>
      </c>
      <c r="AF1386" s="4" t="inlineStr">
        <is>
          <t>material: PVC · norma: SCH-40 · diametro: 4"</t>
        </is>
      </c>
    </row>
    <row r="1387">
      <c r="A1387" s="3" t="inlineStr">
        <is>
          <t>MAT-32-026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6"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2</v>
      </c>
      <c r="K1387" s="6" t="n">
        <v>8008.1</v>
      </c>
      <c r="L1387" s="6" t="n">
        <v>7865</v>
      </c>
      <c r="M1387" s="6" t="n">
        <v>8151.2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 · Ferretería MC</t>
        </is>
      </c>
      <c r="Z1387" s="7" t="n">
        <v>19</v>
      </c>
      <c r="AF1387" s="4" t="inlineStr">
        <is>
          <t>material: PVC · norma: SCH-40 · diametro: 6"</t>
        </is>
      </c>
    </row>
    <row r="1388">
      <c r="A1388" s="3" t="inlineStr">
        <is>
          <t>MAT-32-027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SCH-40 8"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2</v>
      </c>
      <c r="K1388" s="6" t="n">
        <v>12041.54</v>
      </c>
      <c r="L1388" s="6" t="n">
        <v>11841.41</v>
      </c>
      <c r="M1388" s="6" t="n">
        <v>12241.67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 · Ferretería MC</t>
        </is>
      </c>
      <c r="Z1388" s="7" t="n">
        <v>19</v>
      </c>
      <c r="AF1388" s="4" t="inlineStr">
        <is>
          <t>material: PVC · norma: SCH-40 · diametro: 8"</t>
        </is>
      </c>
    </row>
    <row r="1389">
      <c r="A1389" s="3" t="inlineStr">
        <is>
          <t>MAT-32-028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1/2"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1098.5</v>
      </c>
      <c r="L1389" s="6" t="n">
        <v>465</v>
      </c>
      <c r="M1389" s="6" t="n">
        <v>1732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1/2"</t>
        </is>
      </c>
    </row>
    <row r="1390">
      <c r="A1390" s="3" t="inlineStr">
        <is>
          <t>MAT-32-029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1"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905</v>
      </c>
      <c r="L1390" s="6" t="n">
        <v>905</v>
      </c>
      <c r="M1390" s="6" t="n">
        <v>905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SCH-80 · diametro: 1"</t>
        </is>
      </c>
    </row>
    <row r="1391">
      <c r="A1391" s="3" t="inlineStr">
        <is>
          <t>MAT-32-030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2"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2276</v>
      </c>
      <c r="L1391" s="6" t="n">
        <v>2276</v>
      </c>
      <c r="M1391" s="6" t="n">
        <v>2276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SCH-80 · diametro: 2"</t>
        </is>
      </c>
    </row>
    <row r="1392">
      <c r="A1392" s="3" t="inlineStr">
        <is>
          <t>MAT-32-031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SCH-80 3/4"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621</v>
      </c>
      <c r="L1392" s="6" t="n">
        <v>621</v>
      </c>
      <c r="M1392" s="6" t="n">
        <v>621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19</v>
      </c>
      <c r="AF1392" s="4" t="inlineStr">
        <is>
          <t>material: PVC · norma: SCH-80 · diametro: 3/4"</t>
        </is>
      </c>
    </row>
    <row r="1393">
      <c r="A1393" s="3" t="inlineStr">
        <is>
          <t>MAT-32-032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SCH-80 3"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4177</v>
      </c>
      <c r="L1393" s="6" t="n">
        <v>4177</v>
      </c>
      <c r="M1393" s="6" t="n">
        <v>4177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SCH-80 · diametro: 3"</t>
        </is>
      </c>
    </row>
    <row r="1394">
      <c r="A1394" s="3" t="inlineStr">
        <is>
          <t>MAT-32-033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SDR-13.5 1/2"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181</v>
      </c>
      <c r="L1394" s="6" t="n">
        <v>181</v>
      </c>
      <c r="M1394" s="6" t="n">
        <v>181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19</v>
      </c>
      <c r="AF1394" s="4" t="inlineStr">
        <is>
          <t>material: PVC · norma: SDR-13.5 · diametro: 1/2"</t>
        </is>
      </c>
    </row>
    <row r="1395">
      <c r="A1395" s="3" t="inlineStr">
        <is>
          <t>MAT-32-034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1"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320</v>
      </c>
      <c r="L1395" s="6" t="n">
        <v>320</v>
      </c>
      <c r="M1395" s="6" t="n">
        <v>320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Z1395" s="7" t="n">
        <v>19</v>
      </c>
      <c r="AF1395" s="4" t="inlineStr">
        <is>
          <t>material: PVC · norma: SDR-21 · diametro: 1"</t>
        </is>
      </c>
    </row>
    <row r="1396">
      <c r="A1396" s="3" t="inlineStr">
        <is>
          <t>MAT-32-035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1" x 9.5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176</v>
      </c>
      <c r="L1396" s="6" t="n">
        <v>176</v>
      </c>
      <c r="M1396" s="6" t="n">
        <v>176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Z1396" s="7" t="n">
        <v>9.5</v>
      </c>
      <c r="AF1396" s="4" t="inlineStr">
        <is>
          <t>material: PVC · norma: SDR-21 · diametro: 1"</t>
        </is>
      </c>
    </row>
    <row r="1397">
      <c r="A1397" s="3" t="inlineStr">
        <is>
          <t>MAT-32-036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SDR-21 3/4" x 19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260</v>
      </c>
      <c r="L1397" s="6" t="n">
        <v>260</v>
      </c>
      <c r="M1397" s="6" t="n">
        <v>260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19</v>
      </c>
      <c r="AF1397" s="4" t="inlineStr">
        <is>
          <t>material: PVC · norma: SDR-21 · diametro: 3/4"</t>
        </is>
      </c>
    </row>
    <row r="1398">
      <c r="A1398" s="3" t="inlineStr">
        <is>
          <t>MAT-32-037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SDR-21 3/4" x 9.5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146</v>
      </c>
      <c r="L1398" s="6" t="n">
        <v>146</v>
      </c>
      <c r="M1398" s="6" t="n">
        <v>146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2026-09-10</t>
        </is>
      </c>
      <c r="Q1398" s="4" t="inlineStr">
        <is>
          <t>Bellón</t>
        </is>
      </c>
      <c r="Z1398" s="7" t="n">
        <v>9.5</v>
      </c>
      <c r="AF1398" s="4" t="inlineStr">
        <is>
          <t>material: PVC · norma: SDR-21 · diametro: 3/4"</t>
        </is>
      </c>
    </row>
    <row r="1399">
      <c r="A1399" s="3" t="inlineStr">
        <is>
          <t>MAT-32-038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 1/2"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585.99</v>
      </c>
      <c r="L1399" s="6" t="n">
        <v>585.99</v>
      </c>
      <c r="M1399" s="6" t="n">
        <v>585.99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MC</t>
        </is>
      </c>
      <c r="Z1399" s="7" t="n">
        <v>19</v>
      </c>
      <c r="AF1399" s="4" t="inlineStr">
        <is>
          <t>material: PVC · norma: SDR-26 · diametro: 1 1/2"</t>
        </is>
      </c>
    </row>
    <row r="1400">
      <c r="A1400" s="3" t="inlineStr">
        <is>
          <t>MAT-32-039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1/2" x 19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3</v>
      </c>
      <c r="K1400" s="6" t="n">
        <v>113.88</v>
      </c>
      <c r="L1400" s="6" t="n">
        <v>70.78</v>
      </c>
      <c r="M1400" s="6" t="n">
        <v>565.4400000000001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 · Ferretería Cima · Ferretería MC</t>
        </is>
      </c>
      <c r="Z1400" s="7" t="n">
        <v>19</v>
      </c>
      <c r="AF1400" s="4" t="inlineStr">
        <is>
          <t>material: PVC · norma: SDR-26 · diametro: 1/2"</t>
        </is>
      </c>
    </row>
    <row r="1401">
      <c r="A1401" s="3" t="inlineStr">
        <is>
          <t>MAT-32-040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1/2" x 9.5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293</v>
      </c>
      <c r="L1401" s="6" t="n">
        <v>293</v>
      </c>
      <c r="M1401" s="6" t="n">
        <v>293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</t>
        </is>
      </c>
      <c r="Z1401" s="7" t="n">
        <v>9.5</v>
      </c>
      <c r="AF1401" s="4" t="inlineStr">
        <is>
          <t>material: PVC · norma: SDR-26 · diametro: 1/2"</t>
        </is>
      </c>
    </row>
    <row r="1402">
      <c r="A1402" s="3" t="inlineStr">
        <is>
          <t>MAT-32-041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1" x 19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3</v>
      </c>
      <c r="K1402" s="6" t="n">
        <v>294.06</v>
      </c>
      <c r="L1402" s="6" t="n">
        <v>269</v>
      </c>
      <c r="M1402" s="6" t="n">
        <v>305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 · Ferretería Cima · Ferretería MC</t>
        </is>
      </c>
      <c r="Z1402" s="7" t="n">
        <v>19</v>
      </c>
      <c r="AF1402" s="4" t="inlineStr">
        <is>
          <t>material: PVC · norma: SDR-26 · diametro: 1"</t>
        </is>
      </c>
    </row>
    <row r="1403">
      <c r="A1403" s="3" t="inlineStr">
        <is>
          <t>MAT-32-042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1" x 9.5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150</v>
      </c>
      <c r="L1403" s="6" t="n">
        <v>150</v>
      </c>
      <c r="M1403" s="6" t="n">
        <v>150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</t>
        </is>
      </c>
      <c r="Z1403" s="7" t="n">
        <v>9.5</v>
      </c>
      <c r="AF1403" s="4" t="inlineStr">
        <is>
          <t>material: PVC · norma: SDR-26 · diametro: 1"</t>
        </is>
      </c>
    </row>
    <row r="1404">
      <c r="A1404" s="3" t="inlineStr">
        <is>
          <t>MAT-32-043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2" x 19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2</v>
      </c>
      <c r="K1404" s="6" t="n">
        <v>897.37</v>
      </c>
      <c r="L1404" s="6" t="n">
        <v>881.41</v>
      </c>
      <c r="M1404" s="6" t="n">
        <v>913.3200000000001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 · Ferretería MC</t>
        </is>
      </c>
      <c r="Z1404" s="7" t="n">
        <v>19</v>
      </c>
      <c r="AF1404" s="4" t="inlineStr">
        <is>
          <t>material: PVC · norma: SDR-26 · diametro: 2"</t>
        </is>
      </c>
    </row>
    <row r="1405">
      <c r="A1405" s="3" t="inlineStr">
        <is>
          <t>MAT-32-044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2" x 9.5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455</v>
      </c>
      <c r="L1405" s="6" t="n">
        <v>455</v>
      </c>
      <c r="M1405" s="6" t="n">
        <v>455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</t>
        </is>
      </c>
      <c r="Z1405" s="7" t="n">
        <v>9.5</v>
      </c>
      <c r="AF1405" s="4" t="inlineStr">
        <is>
          <t>material: PVC · norma: SDR-26 · diametro: 2"</t>
        </is>
      </c>
    </row>
    <row r="1406">
      <c r="A1406" s="3" t="inlineStr">
        <is>
          <t>MAT-32-045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3/4" x 19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4</v>
      </c>
      <c r="K1406" s="6" t="n">
        <v>175</v>
      </c>
      <c r="L1406" s="6" t="n">
        <v>90</v>
      </c>
      <c r="M1406" s="6" t="n">
        <v>181.13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 · Ferretería Cima · Ferretería MC · Max Ferretería</t>
        </is>
      </c>
      <c r="Z1406" s="7" t="n">
        <v>19</v>
      </c>
      <c r="AF1406" s="4" t="inlineStr">
        <is>
          <t>material: PVC · norma: SDR-26 · diametro: 3/4"</t>
        </is>
      </c>
    </row>
    <row r="1407">
      <c r="A1407" s="3" t="inlineStr">
        <is>
          <t>MAT-32-046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3/4" x 9.5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94</v>
      </c>
      <c r="L1407" s="6" t="n">
        <v>94</v>
      </c>
      <c r="M1407" s="6" t="n">
        <v>94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</t>
        </is>
      </c>
      <c r="Z1407" s="7" t="n">
        <v>9.5</v>
      </c>
      <c r="AF1407" s="4" t="inlineStr">
        <is>
          <t>material: PVC · norma: SDR-26 · diametro: 3/4"</t>
        </is>
      </c>
    </row>
    <row r="1408">
      <c r="A1408" s="3" t="inlineStr">
        <is>
          <t>MAT-32-047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3" x 19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3</v>
      </c>
      <c r="K1408" s="6" t="n">
        <v>1998.09</v>
      </c>
      <c r="L1408" s="6" t="n">
        <v>1928.2</v>
      </c>
      <c r="M1408" s="6" t="n">
        <v>2172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 · Ferretería Cima · Ferretería MC</t>
        </is>
      </c>
      <c r="Z1408" s="7" t="n">
        <v>19</v>
      </c>
      <c r="AF1408" s="4" t="inlineStr">
        <is>
          <t>material: PVC · norma: SDR-26 · diametro: 3"</t>
        </is>
      </c>
    </row>
    <row r="1409">
      <c r="A1409" s="3" t="inlineStr">
        <is>
          <t>MAT-32-048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3" x 9.5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988</v>
      </c>
      <c r="L1409" s="6" t="n">
        <v>988</v>
      </c>
      <c r="M1409" s="6" t="n">
        <v>988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</t>
        </is>
      </c>
      <c r="Z1409" s="7" t="n">
        <v>9.5</v>
      </c>
      <c r="AF1409" s="4" t="inlineStr">
        <is>
          <t>material: PVC · norma: SDR-26 · diametro: 3"</t>
        </is>
      </c>
    </row>
    <row r="1410">
      <c r="A1410" s="3" t="inlineStr">
        <is>
          <t>MAT-32-049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4"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2</v>
      </c>
      <c r="K1410" s="6" t="n">
        <v>3207.29</v>
      </c>
      <c r="L1410" s="6" t="n">
        <v>3133</v>
      </c>
      <c r="M1410" s="6" t="n">
        <v>3281.58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 · Ferretería MC</t>
        </is>
      </c>
      <c r="Z1410" s="7" t="n">
        <v>19</v>
      </c>
      <c r="AF1410" s="4" t="inlineStr">
        <is>
          <t>material: PVC · norma: SDR-26 · diametro: 4"</t>
        </is>
      </c>
    </row>
    <row r="1411">
      <c r="A1411" s="3" t="inlineStr">
        <is>
          <t>MAT-32-050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6"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2</v>
      </c>
      <c r="K1411" s="6" t="n">
        <v>7000.73</v>
      </c>
      <c r="L1411" s="6" t="n">
        <v>6884.88</v>
      </c>
      <c r="M1411" s="6" t="n">
        <v>7116.58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 · Ferretería MC</t>
        </is>
      </c>
      <c r="Z1411" s="7" t="n">
        <v>19</v>
      </c>
      <c r="AF1411" s="4" t="inlineStr">
        <is>
          <t>material: PVC · norma: SDR-26 · diametro: 6"</t>
        </is>
      </c>
    </row>
    <row r="1412">
      <c r="A1412" s="3" t="inlineStr">
        <is>
          <t>MAT-32-051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SDR-26 8"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3</v>
      </c>
      <c r="K1412" s="6" t="n">
        <v>11666.54</v>
      </c>
      <c r="L1412" s="6" t="n">
        <v>10360</v>
      </c>
      <c r="M1412" s="6" t="n">
        <v>11929.92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 · Ferretería MC · Max Ferretería</t>
        </is>
      </c>
      <c r="Z1412" s="7" t="n">
        <v>19</v>
      </c>
      <c r="AF1412" s="4" t="inlineStr">
        <is>
          <t>material: PVC · norma: SDR-26 · diametro: 8"</t>
        </is>
      </c>
    </row>
    <row r="1413">
      <c r="A1413" s="3" t="inlineStr">
        <is>
          <t>MAT-32-052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10"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15540.55</v>
      </c>
      <c r="L1413" s="6" t="n">
        <v>15540.55</v>
      </c>
      <c r="M1413" s="6" t="n">
        <v>15540.55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10"</t>
        </is>
      </c>
    </row>
    <row r="1414">
      <c r="A1414" s="3" t="inlineStr">
        <is>
          <t>MAT-32-053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2"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711.42</v>
      </c>
      <c r="L1414" s="6" t="n">
        <v>711.42</v>
      </c>
      <c r="M1414" s="6" t="n">
        <v>711.42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2"</t>
        </is>
      </c>
    </row>
    <row r="1415">
      <c r="A1415" s="3" t="inlineStr">
        <is>
          <t>MAT-32-054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3"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1549.5</v>
      </c>
      <c r="L1415" s="6" t="n">
        <v>1549.5</v>
      </c>
      <c r="M1415" s="6" t="n">
        <v>1549.5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Z1415" s="7" t="n">
        <v>19</v>
      </c>
      <c r="AF1415" s="4" t="inlineStr">
        <is>
          <t>material: PVC · norma: SDR-32.5 · diametro: 3"</t>
        </is>
      </c>
    </row>
    <row r="1416">
      <c r="A1416" s="3" t="inlineStr">
        <is>
          <t>MAT-32-055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4"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2548.33</v>
      </c>
      <c r="L1416" s="6" t="n">
        <v>2548.33</v>
      </c>
      <c r="M1416" s="6" t="n">
        <v>2548.33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SDR-32.5 · diametro: 4"</t>
        </is>
      </c>
    </row>
    <row r="1417">
      <c r="A1417" s="3" t="inlineStr">
        <is>
          <t>MAT-32-056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SDR-32.5 6" x 19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9381.73</v>
      </c>
      <c r="L1417" s="6" t="n">
        <v>9381.73</v>
      </c>
      <c r="M1417" s="6" t="n">
        <v>9381.73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19</v>
      </c>
      <c r="AF1417" s="4" t="inlineStr">
        <is>
          <t>material: PVC · norma: SDR-32.5 · diametro: 6"</t>
        </is>
      </c>
    </row>
    <row r="1418">
      <c r="A1418" s="3" t="inlineStr">
        <is>
          <t>MAT-32-057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SDR-32.5 8"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9381.73</v>
      </c>
      <c r="L1418" s="6" t="n">
        <v>9381.73</v>
      </c>
      <c r="M1418" s="6" t="n">
        <v>9381.73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</t>
        </is>
      </c>
      <c r="Z1418" s="7" t="n">
        <v>19</v>
      </c>
      <c r="AF1418" s="4" t="inlineStr">
        <is>
          <t>material: PVC · norma: SDR-32.5 · diametro: 8"</t>
        </is>
      </c>
    </row>
    <row r="1419">
      <c r="A1419" s="3" t="inlineStr">
        <is>
          <t>MAT-32-058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 1/2"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2</v>
      </c>
      <c r="K1419" s="6" t="n">
        <v>425.8</v>
      </c>
      <c r="L1419" s="6" t="n">
        <v>398.6</v>
      </c>
      <c r="M1419" s="6" t="n">
        <v>453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Cima · Ferretería MC</t>
        </is>
      </c>
      <c r="Z1419" s="7" t="n">
        <v>19</v>
      </c>
      <c r="AF1419" s="4" t="inlineStr">
        <is>
          <t>material: PVC · norma: SDR-41 · diametro: 1 1/2"</t>
        </is>
      </c>
    </row>
    <row r="1420">
      <c r="A1420" s="3" t="inlineStr">
        <is>
          <t>MAT-32-059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1/2" x 19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386</v>
      </c>
      <c r="L1420" s="6" t="n">
        <v>386</v>
      </c>
      <c r="M1420" s="6" t="n">
        <v>386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Z1420" s="7" t="n">
        <v>19</v>
      </c>
      <c r="AF1420" s="4" t="inlineStr">
        <is>
          <t>material: PVC · norma: SDR-41 · diametro: 1/2"</t>
        </is>
      </c>
    </row>
    <row r="1421">
      <c r="A1421" s="3" t="inlineStr">
        <is>
          <t>MAT-32-060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1/2" x 9.5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202</v>
      </c>
      <c r="L1421" s="6" t="n">
        <v>202</v>
      </c>
      <c r="M1421" s="6" t="n">
        <v>202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Z1421" s="7" t="n">
        <v>9.5</v>
      </c>
      <c r="AF1421" s="4" t="inlineStr">
        <is>
          <t>material: PVC · norma: SDR-41 · diametro: 1/2"</t>
        </is>
      </c>
    </row>
    <row r="1422">
      <c r="A1422" s="3" t="inlineStr">
        <is>
          <t>MAT-32-061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10"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12736.57</v>
      </c>
      <c r="L1422" s="6" t="n">
        <v>12736.57</v>
      </c>
      <c r="M1422" s="6" t="n">
        <v>12736.57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Z1422" s="7" t="n">
        <v>19</v>
      </c>
      <c r="AF1422" s="4" t="inlineStr">
        <is>
          <t>material: PVC · norma: SDR-41 · diametro: 10"</t>
        </is>
      </c>
    </row>
    <row r="1423">
      <c r="A1423" s="3" t="inlineStr">
        <is>
          <t>MAT-32-062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12" x 19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17906.86</v>
      </c>
      <c r="L1423" s="6" t="n">
        <v>17906.86</v>
      </c>
      <c r="M1423" s="6" t="n">
        <v>17906.86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</t>
        </is>
      </c>
      <c r="Z1423" s="7" t="n">
        <v>19</v>
      </c>
      <c r="AF1423" s="4" t="inlineStr">
        <is>
          <t>material: PVC · norma: SDR-41 · diametro: 12"</t>
        </is>
      </c>
    </row>
    <row r="1424">
      <c r="A1424" s="3" t="inlineStr">
        <is>
          <t>MAT-32-063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2"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2</v>
      </c>
      <c r="K1424" s="6" t="n">
        <v>573.67</v>
      </c>
      <c r="L1424" s="6" t="n">
        <v>561</v>
      </c>
      <c r="M1424" s="6" t="n">
        <v>586.34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MC</t>
        </is>
      </c>
      <c r="Z1424" s="7" t="n">
        <v>19</v>
      </c>
      <c r="AF1424" s="4" t="inlineStr">
        <is>
          <t>material: PVC · norma: SDR-41 · diametro: 2"</t>
        </is>
      </c>
    </row>
    <row r="1425">
      <c r="A1425" s="3" t="inlineStr">
        <is>
          <t>MAT-32-064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3"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4</v>
      </c>
      <c r="K1425" s="6" t="n">
        <v>1036.92</v>
      </c>
      <c r="L1425" s="6" t="n">
        <v>670</v>
      </c>
      <c r="M1425" s="6" t="n">
        <v>1150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Cima · Ferretería MC · Max Ferretería</t>
        </is>
      </c>
      <c r="Z1425" s="7" t="n">
        <v>19</v>
      </c>
      <c r="AF1425" s="4" t="inlineStr">
        <is>
          <t>material: PVC · norma: SDR-41 · diametro: 3"</t>
        </is>
      </c>
    </row>
    <row r="1426">
      <c r="A1426" s="3" t="inlineStr">
        <is>
          <t>MAT-32-065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4" x 19 pies</t>
        </is>
      </c>
      <c r="E1426" s="4" t="inlineStr"/>
      <c r="F1426" s="3" t="inlineStr">
        <is>
          <t>tubo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2</v>
      </c>
      <c r="K1426" s="6" t="n">
        <v>1770.23</v>
      </c>
      <c r="L1426" s="6" t="n">
        <v>1738.6</v>
      </c>
      <c r="M1426" s="6" t="n">
        <v>1801.86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 · Ferretería MC</t>
        </is>
      </c>
      <c r="Z1426" s="7" t="n">
        <v>19</v>
      </c>
      <c r="AF1426" s="4" t="inlineStr">
        <is>
          <t>material: PVC · norma: SDR-41 · diametro: 4"</t>
        </is>
      </c>
    </row>
    <row r="1427">
      <c r="A1427" s="3" t="inlineStr">
        <is>
          <t>MAT-32-066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4" x 9.5 pies</t>
        </is>
      </c>
      <c r="E1427" s="4" t="inlineStr"/>
      <c r="F1427" s="3" t="inlineStr">
        <is>
          <t>tubo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868</v>
      </c>
      <c r="L1427" s="6" t="n">
        <v>868</v>
      </c>
      <c r="M1427" s="6" t="n">
        <v>868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</t>
        </is>
      </c>
      <c r="Z1427" s="7" t="n">
        <v>9.5</v>
      </c>
      <c r="AF1427" s="4" t="inlineStr">
        <is>
          <t>material: PVC · norma: SDR-41 · diametro: 4"</t>
        </is>
      </c>
    </row>
    <row r="1428">
      <c r="A1428" s="3" t="inlineStr">
        <is>
          <t>MAT-32-067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6" x 19 pies</t>
        </is>
      </c>
      <c r="E1428" s="4" t="inlineStr"/>
      <c r="F1428" s="3" t="inlineStr">
        <is>
          <t>tubo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2</v>
      </c>
      <c r="K1428" s="6" t="n">
        <v>5010.42</v>
      </c>
      <c r="L1428" s="6" t="n">
        <v>4920.87</v>
      </c>
      <c r="M1428" s="6" t="n">
        <v>5099.96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MC</t>
        </is>
      </c>
      <c r="Z1428" s="7" t="n">
        <v>19</v>
      </c>
      <c r="AF1428" s="4" t="inlineStr">
        <is>
          <t>material: PVC · norma: SDR-41 · diametro: 6"</t>
        </is>
      </c>
    </row>
    <row r="1429">
      <c r="A1429" s="3" t="inlineStr">
        <is>
          <t>MAT-32-068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SDR-41 8" x 19 pies</t>
        </is>
      </c>
      <c r="E1429" s="4" t="inlineStr"/>
      <c r="F1429" s="3" t="inlineStr">
        <is>
          <t>tubo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3</v>
      </c>
      <c r="K1429" s="6" t="n">
        <v>7570</v>
      </c>
      <c r="L1429" s="6" t="n">
        <v>4819.99</v>
      </c>
      <c r="M1429" s="6" t="n">
        <v>7930.66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2026-09-10</t>
        </is>
      </c>
      <c r="Q1429" s="4" t="inlineStr">
        <is>
          <t>Bellón · Ferretería MC · Max Ferretería</t>
        </is>
      </c>
      <c r="Z1429" s="7" t="n">
        <v>19</v>
      </c>
      <c r="AF1429" s="4" t="inlineStr">
        <is>
          <t>material: PVC · norma: SDR-41 · diametro: 8"</t>
        </is>
      </c>
    </row>
    <row r="1430">
      <c r="A1430" s="3" t="inlineStr">
        <is>
          <t>MAT-32-069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53</v>
      </c>
      <c r="L1430" s="6" t="n">
        <v>39</v>
      </c>
      <c r="M1430" s="6" t="n">
        <v>67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1 1/2"</t>
        </is>
      </c>
    </row>
    <row r="1431">
      <c r="A1431" s="3" t="inlineStr">
        <is>
          <t>MAT-32-070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1/2"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53</v>
      </c>
      <c r="L1431" s="6" t="n">
        <v>53</v>
      </c>
      <c r="M1431" s="6" t="n">
        <v>53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F1431" s="4" t="inlineStr">
        <is>
          <t>tipo: abrazadera · material: manguera · medida: 1/2"</t>
        </is>
      </c>
    </row>
    <row r="1432">
      <c r="A1432" s="3" t="inlineStr">
        <is>
          <t>MAT-32-071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1"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56</v>
      </c>
      <c r="L1432" s="6" t="n">
        <v>56</v>
      </c>
      <c r="M1432" s="6" t="n">
        <v>56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F1432" s="4" t="inlineStr">
        <is>
          <t>tipo: abrazadera · material: manguera · medida: 1"</t>
        </is>
      </c>
    </row>
    <row r="1433">
      <c r="A1433" s="3" t="inlineStr">
        <is>
          <t>MAT-32-072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Abrazadera de manguera 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68</v>
      </c>
      <c r="L1433" s="6" t="n">
        <v>68</v>
      </c>
      <c r="M1433" s="6" t="n">
        <v>68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F1433" s="4" t="inlineStr">
        <is>
          <t>tipo: abrazadera · material: manguera · medida: 2"</t>
        </is>
      </c>
    </row>
    <row r="1434">
      <c r="A1434" s="3" t="inlineStr">
        <is>
          <t>MAT-32-073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Abrazadera de manguera 3/4"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65</v>
      </c>
      <c r="L1434" s="6" t="n">
        <v>65</v>
      </c>
      <c r="M1434" s="6" t="n">
        <v>65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F1434" s="4" t="inlineStr">
        <is>
          <t>tipo: abrazadera · material: manguera · medida: 3/4"</t>
        </is>
      </c>
    </row>
    <row r="1435">
      <c r="A1435" s="3" t="inlineStr">
        <is>
          <t>MAT-32-074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12" x 1/2"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265</v>
      </c>
      <c r="L1435" s="6" t="n">
        <v>265</v>
      </c>
      <c r="M1435" s="6" t="n">
        <v>265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12" x 1/2"</t>
        </is>
      </c>
    </row>
    <row r="1436">
      <c r="A1436" s="3" t="inlineStr">
        <is>
          <t>MAT-32-075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12" x 3/8"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282</v>
      </c>
      <c r="L1436" s="6" t="n">
        <v>282</v>
      </c>
      <c r="M1436" s="6" t="n">
        <v>282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12" x 3/8"</t>
        </is>
      </c>
    </row>
    <row r="1437">
      <c r="A1437" s="3" t="inlineStr">
        <is>
          <t>MAT-32-076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1/2"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204</v>
      </c>
      <c r="L1437" s="6" t="n">
        <v>204</v>
      </c>
      <c r="M1437" s="6" t="n">
        <v>204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15" x 1/2"</t>
        </is>
      </c>
    </row>
    <row r="1438">
      <c r="A1438" s="3" t="inlineStr">
        <is>
          <t>MAT-32-077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15" x 3/4"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349</v>
      </c>
      <c r="L1438" s="6" t="n">
        <v>349</v>
      </c>
      <c r="M1438" s="6" t="n">
        <v>349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15" x 3/4"</t>
        </is>
      </c>
    </row>
    <row r="1439">
      <c r="A1439" s="3" t="inlineStr">
        <is>
          <t>MAT-32-078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15" x 3/8"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279</v>
      </c>
      <c r="L1439" s="6" t="n">
        <v>279</v>
      </c>
      <c r="M1439" s="6" t="n">
        <v>279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15" x 3/8"</t>
        </is>
      </c>
    </row>
    <row r="1440">
      <c r="A1440" s="3" t="inlineStr">
        <is>
          <t>MAT-32-079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18" x 1/2"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253</v>
      </c>
      <c r="L1440" s="6" t="n">
        <v>253</v>
      </c>
      <c r="M1440" s="6" t="n">
        <v>253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18" x 1/2"</t>
        </is>
      </c>
    </row>
    <row r="1441">
      <c r="A1441" s="3" t="inlineStr">
        <is>
          <t>MAT-32-080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18"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356</v>
      </c>
      <c r="L1441" s="6" t="n">
        <v>356</v>
      </c>
      <c r="M1441" s="6" t="n">
        <v>356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18" x 3/4"</t>
        </is>
      </c>
    </row>
    <row r="1442">
      <c r="A1442" s="3" t="inlineStr">
        <is>
          <t>MAT-32-081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25" x 3/4"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423</v>
      </c>
      <c r="L1442" s="6" t="n">
        <v>423</v>
      </c>
      <c r="M1442" s="6" t="n">
        <v>423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25" x 3/4"</t>
        </is>
      </c>
    </row>
    <row r="1443">
      <c r="A1443" s="3" t="inlineStr">
        <is>
          <t>MAT-32-082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1/2"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144.5</v>
      </c>
      <c r="L1443" s="6" t="n">
        <v>135</v>
      </c>
      <c r="M1443" s="6" t="n">
        <v>154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3/8" x 1/2"</t>
        </is>
      </c>
    </row>
    <row r="1444">
      <c r="A1444" s="3" t="inlineStr">
        <is>
          <t>MAT-32-083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1/4"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104</v>
      </c>
      <c r="L1444" s="6" t="n">
        <v>104</v>
      </c>
      <c r="M1444" s="6" t="n">
        <v>104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bronce · medida: 3/8" x 1/4"</t>
        </is>
      </c>
    </row>
    <row r="1445">
      <c r="A1445" s="3" t="inlineStr">
        <is>
          <t>MAT-32-084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3/8" x 3/4"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183</v>
      </c>
      <c r="L1445" s="6" t="n">
        <v>183</v>
      </c>
      <c r="M1445" s="6" t="n">
        <v>183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bronce · medida: 3/8" x 3/4"</t>
        </is>
      </c>
    </row>
    <row r="1446">
      <c r="A1446" s="3" t="inlineStr">
        <is>
          <t>MAT-32-085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3/8" x 3/8"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90</v>
      </c>
      <c r="L1446" s="6" t="n">
        <v>90</v>
      </c>
      <c r="M1446" s="6" t="n">
        <v>90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bronce · medida: 3/8" x 3/8"</t>
        </is>
      </c>
    </row>
    <row r="1447">
      <c r="A1447" s="3" t="inlineStr">
        <is>
          <t>MAT-32-086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bronce 32" x 1"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535</v>
      </c>
      <c r="L1447" s="6" t="n">
        <v>535</v>
      </c>
      <c r="M1447" s="6" t="n">
        <v>535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bronce · medida: 32" x 1"</t>
        </is>
      </c>
    </row>
    <row r="1448">
      <c r="A1448" s="3" t="inlineStr">
        <is>
          <t>MAT-32-087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1/2"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11.01</v>
      </c>
      <c r="L1448" s="6" t="n">
        <v>11.01</v>
      </c>
      <c r="M1448" s="6" t="n">
        <v>11.01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adaptador-hembra · material: CPVC · medida: 1/2"</t>
        </is>
      </c>
    </row>
    <row r="1449">
      <c r="A1449" s="3" t="inlineStr">
        <is>
          <t>MAT-32-088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CPVC 1"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26.25</v>
      </c>
      <c r="L1449" s="6" t="n">
        <v>26.25</v>
      </c>
      <c r="M1449" s="6" t="n">
        <v>26.25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CPVC · medida: 1"</t>
        </is>
      </c>
    </row>
    <row r="1450">
      <c r="A1450" s="3" t="inlineStr">
        <is>
          <t>MAT-32-089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CPVC 3/4"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27.22</v>
      </c>
      <c r="L1450" s="6" t="n">
        <v>27.22</v>
      </c>
      <c r="M1450" s="6" t="n">
        <v>27.22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CPVC · medida: 3/4"</t>
        </is>
      </c>
    </row>
    <row r="1451">
      <c r="A1451" s="3" t="inlineStr">
        <is>
          <t>MAT-32-090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plástico 5/8"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106</v>
      </c>
      <c r="L1451" s="6" t="n">
        <v>106</v>
      </c>
      <c r="M1451" s="6" t="n">
        <v>106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F1451" s="4" t="inlineStr">
        <is>
          <t>tipo: adaptador-hembra · material: plástico · medida: 5/8"</t>
        </is>
      </c>
    </row>
    <row r="1452">
      <c r="A1452" s="3" t="inlineStr">
        <is>
          <t>MAT-32-091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20 mm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2</v>
      </c>
      <c r="K1452" s="6" t="n">
        <v>69</v>
      </c>
      <c r="L1452" s="6" t="n">
        <v>58.58</v>
      </c>
      <c r="M1452" s="6" t="n">
        <v>172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 · Ferretería Cima</t>
        </is>
      </c>
      <c r="AF1452" s="4" t="inlineStr">
        <is>
          <t>tipo: adaptador-hembra · material: PPR · medida: 20 mm</t>
        </is>
      </c>
    </row>
    <row r="1453">
      <c r="A1453" s="3" t="inlineStr">
        <is>
          <t>MAT-32-092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25 mm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68</v>
      </c>
      <c r="L1453" s="6" t="n">
        <v>60</v>
      </c>
      <c r="M1453" s="6" t="n">
        <v>76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adaptador-hembra · material: PPR · medida: 25 mm</t>
        </is>
      </c>
    </row>
    <row r="1454">
      <c r="A1454" s="3" t="inlineStr">
        <is>
          <t>MAT-32-093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PPR 32 mm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80</v>
      </c>
      <c r="L1454" s="6" t="n">
        <v>56.64</v>
      </c>
      <c r="M1454" s="6" t="n">
        <v>140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adaptador-hembra · material: PPR · medida: 32 mm</t>
        </is>
      </c>
    </row>
    <row r="1455">
      <c r="A1455" s="3" t="inlineStr">
        <is>
          <t>MAT-32-094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PPR 50 mm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270</v>
      </c>
      <c r="L1455" s="6" t="n">
        <v>270</v>
      </c>
      <c r="M1455" s="6" t="n">
        <v>270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</t>
        </is>
      </c>
      <c r="AF1455" s="4" t="inlineStr">
        <is>
          <t>tipo: adaptador-hembra · material: PPR · medida: 50 mm</t>
        </is>
      </c>
    </row>
    <row r="1456">
      <c r="A1456" s="3" t="inlineStr">
        <is>
          <t>MAT-32-095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 1/2"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47.15</v>
      </c>
      <c r="L1456" s="6" t="n">
        <v>19.21</v>
      </c>
      <c r="M1456" s="6" t="n">
        <v>75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1 1/2"</t>
        </is>
      </c>
    </row>
    <row r="1457">
      <c r="A1457" s="3" t="inlineStr">
        <is>
          <t>MAT-32-096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1/2"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10.51</v>
      </c>
      <c r="L1457" s="6" t="n">
        <v>4.73</v>
      </c>
      <c r="M1457" s="6" t="n">
        <v>20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1/2"</t>
        </is>
      </c>
    </row>
    <row r="1458">
      <c r="A1458" s="3" t="inlineStr">
        <is>
          <t>MAT-32-097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1"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23.63</v>
      </c>
      <c r="L1458" s="6" t="n">
        <v>11.28</v>
      </c>
      <c r="M1458" s="6" t="n">
        <v>45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1"</t>
        </is>
      </c>
    </row>
    <row r="1459">
      <c r="A1459" s="3" t="inlineStr">
        <is>
          <t>MAT-32-098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2"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67.28</v>
      </c>
      <c r="L1459" s="6" t="n">
        <v>27.15</v>
      </c>
      <c r="M1459" s="6" t="n">
        <v>130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adaptador-hembra · material: PVC · medida: 2"</t>
        </is>
      </c>
    </row>
    <row r="1460">
      <c r="A1460" s="3" t="inlineStr">
        <is>
          <t>MAT-32-099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3/4"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2</v>
      </c>
      <c r="K1460" s="6" t="n">
        <v>25.11</v>
      </c>
      <c r="L1460" s="6" t="n">
        <v>6.78</v>
      </c>
      <c r="M1460" s="6" t="n">
        <v>29.4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 · Ferretería Cima</t>
        </is>
      </c>
      <c r="AF1460" s="4" t="inlineStr">
        <is>
          <t>tipo: adaptador-hembra · material: PVC · medida: 3/4"</t>
        </is>
      </c>
    </row>
    <row r="1461">
      <c r="A1461" s="3" t="inlineStr">
        <is>
          <t>MAT-32-100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3"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2</v>
      </c>
      <c r="K1461" s="6" t="n">
        <v>81.23</v>
      </c>
      <c r="L1461" s="6" t="n">
        <v>70.8</v>
      </c>
      <c r="M1461" s="6" t="n">
        <v>177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 · Ferretería Cima</t>
        </is>
      </c>
      <c r="AF1461" s="4" t="inlineStr">
        <is>
          <t>tipo: adaptador-hembra · material: PVC · medida: 3"</t>
        </is>
      </c>
    </row>
    <row r="1462">
      <c r="A1462" s="3" t="inlineStr">
        <is>
          <t>MAT-32-101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4"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2</v>
      </c>
      <c r="K1462" s="6" t="n">
        <v>128.31</v>
      </c>
      <c r="L1462" s="6" t="n">
        <v>94</v>
      </c>
      <c r="M1462" s="6" t="n">
        <v>172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 · Ferretería Cima</t>
        </is>
      </c>
      <c r="AF1462" s="4" t="inlineStr">
        <is>
          <t>tipo: adaptador-hembra · material: PVC · medida: 4"</t>
        </is>
      </c>
    </row>
    <row r="1463">
      <c r="A1463" s="3" t="inlineStr">
        <is>
          <t>MAT-32-102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PVC 6"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790</v>
      </c>
      <c r="L1463" s="6" t="n">
        <v>790</v>
      </c>
      <c r="M1463" s="6" t="n">
        <v>790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adaptador-hembra · material: PVC · medida: 6"</t>
        </is>
      </c>
    </row>
    <row r="1464">
      <c r="A1464" s="3" t="inlineStr">
        <is>
          <t>MAT-32-103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0.31" x 3/8"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88</v>
      </c>
      <c r="L1464" s="6" t="n">
        <v>88</v>
      </c>
      <c r="M1464" s="6" t="n">
        <v>88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0.31" x 3/8"</t>
        </is>
      </c>
    </row>
    <row r="1465">
      <c r="A1465" s="3" t="inlineStr">
        <is>
          <t>MAT-32-104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1/2"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154</v>
      </c>
      <c r="L1465" s="6" t="n">
        <v>111</v>
      </c>
      <c r="M1465" s="6" t="n">
        <v>200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1/2" x 1/2"</t>
        </is>
      </c>
    </row>
    <row r="1466">
      <c r="A1466" s="3" t="inlineStr">
        <is>
          <t>MAT-32-105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1/2" x 3/4"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196</v>
      </c>
      <c r="L1466" s="6" t="n">
        <v>196</v>
      </c>
      <c r="M1466" s="6" t="n">
        <v>196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1/2" x 3/4"</t>
        </is>
      </c>
    </row>
    <row r="1467">
      <c r="A1467" s="3" t="inlineStr">
        <is>
          <t>MAT-32-106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1/2" x 3/8"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115.5</v>
      </c>
      <c r="L1467" s="6" t="n">
        <v>94</v>
      </c>
      <c r="M1467" s="6" t="n">
        <v>137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1/2" x 3/8"</t>
        </is>
      </c>
    </row>
    <row r="1468">
      <c r="A1468" s="3" t="inlineStr">
        <is>
          <t>MAT-32-107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120</v>
      </c>
      <c r="L1468" s="6" t="n">
        <v>120</v>
      </c>
      <c r="M1468" s="6" t="n">
        <v>120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1/4" x 1/2"</t>
        </is>
      </c>
    </row>
    <row r="1469">
      <c r="A1469" s="3" t="inlineStr">
        <is>
          <t>MAT-32-108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1/4"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75.09</v>
      </c>
      <c r="L1469" s="6" t="n">
        <v>62.17</v>
      </c>
      <c r="M1469" s="6" t="n">
        <v>88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1/4" x 1/4"</t>
        </is>
      </c>
    </row>
    <row r="1470">
      <c r="A1470" s="3" t="inlineStr">
        <is>
          <t>MAT-32-109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1/4" x 1/8"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51.5</v>
      </c>
      <c r="L1470" s="6" t="n">
        <v>43</v>
      </c>
      <c r="M1470" s="6" t="n">
        <v>60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1/4" x 1/8"</t>
        </is>
      </c>
    </row>
    <row r="1471">
      <c r="A1471" s="3" t="inlineStr">
        <is>
          <t>MAT-32-110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1/4" x 3/8"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81</v>
      </c>
      <c r="L1471" s="6" t="n">
        <v>81</v>
      </c>
      <c r="M1471" s="6" t="n">
        <v>81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1/4" x 3/8"</t>
        </is>
      </c>
    </row>
    <row r="1472">
      <c r="A1472" s="3" t="inlineStr">
        <is>
          <t>MAT-32-111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12" x 1/2"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232</v>
      </c>
      <c r="L1472" s="6" t="n">
        <v>232</v>
      </c>
      <c r="M1472" s="6" t="n">
        <v>232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12" x 1/2"</t>
        </is>
      </c>
    </row>
    <row r="1473">
      <c r="A1473" s="3" t="inlineStr">
        <is>
          <t>MAT-32-112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12" x 3/8"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326</v>
      </c>
      <c r="L1473" s="6" t="n">
        <v>326</v>
      </c>
      <c r="M1473" s="6" t="n">
        <v>326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12" x 3/8"</t>
        </is>
      </c>
    </row>
    <row r="1474">
      <c r="A1474" s="3" t="inlineStr">
        <is>
          <t>MAT-32-113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1/2"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205</v>
      </c>
      <c r="L1474" s="6" t="n">
        <v>205</v>
      </c>
      <c r="M1474" s="6" t="n">
        <v>205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15" x 1/2"</t>
        </is>
      </c>
    </row>
    <row r="1475">
      <c r="A1475" s="3" t="inlineStr">
        <is>
          <t>MAT-32-114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15" x 3/4"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377</v>
      </c>
      <c r="L1475" s="6" t="n">
        <v>377</v>
      </c>
      <c r="M1475" s="6" t="n">
        <v>377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15" x 3/4"</t>
        </is>
      </c>
    </row>
    <row r="1476">
      <c r="A1476" s="3" t="inlineStr">
        <is>
          <t>MAT-32-115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15" x 3/8"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309</v>
      </c>
      <c r="L1476" s="6" t="n">
        <v>309</v>
      </c>
      <c r="M1476" s="6" t="n">
        <v>309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15" x 3/8"</t>
        </is>
      </c>
    </row>
    <row r="1477">
      <c r="A1477" s="3" t="inlineStr">
        <is>
          <t>MAT-32-116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18" x 1/2"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232</v>
      </c>
      <c r="L1477" s="6" t="n">
        <v>232</v>
      </c>
      <c r="M1477" s="6" t="n">
        <v>232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18" x 1/2"</t>
        </is>
      </c>
    </row>
    <row r="1478">
      <c r="A1478" s="3" t="inlineStr">
        <is>
          <t>MAT-32-117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18" x 3/4"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315</v>
      </c>
      <c r="L1478" s="6" t="n">
        <v>315</v>
      </c>
      <c r="M1478" s="6" t="n">
        <v>315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18" x 3/4"</t>
        </is>
      </c>
    </row>
    <row r="1479">
      <c r="A1479" s="3" t="inlineStr">
        <is>
          <t>MAT-32-118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25" x 3/4"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390</v>
      </c>
      <c r="L1479" s="6" t="n">
        <v>390</v>
      </c>
      <c r="M1479" s="6" t="n">
        <v>390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25" x 3/4"</t>
        </is>
      </c>
    </row>
    <row r="1480">
      <c r="A1480" s="3" t="inlineStr">
        <is>
          <t>MAT-32-119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3/8" x 1/2"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149</v>
      </c>
      <c r="L1480" s="6" t="n">
        <v>149</v>
      </c>
      <c r="M1480" s="6" t="n">
        <v>149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bronce · medida: 3/8" x 1/2"</t>
        </is>
      </c>
    </row>
    <row r="1481">
      <c r="A1481" s="3" t="inlineStr">
        <is>
          <t>MAT-32-120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3/8" x 3/8"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78</v>
      </c>
      <c r="L1481" s="6" t="n">
        <v>68</v>
      </c>
      <c r="M1481" s="6" t="n">
        <v>88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bronce · medida: 3/8" x 3/8"</t>
        </is>
      </c>
    </row>
    <row r="1482">
      <c r="A1482" s="3" t="inlineStr">
        <is>
          <t>MAT-32-121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32" x 1"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597</v>
      </c>
      <c r="L1482" s="6" t="n">
        <v>597</v>
      </c>
      <c r="M1482" s="6" t="n">
        <v>597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bronce · medida: 32" x 1"</t>
        </is>
      </c>
    </row>
    <row r="1483">
      <c r="A1483" s="3" t="inlineStr">
        <is>
          <t>MAT-32-122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bronce 5/8" x 1/2"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152</v>
      </c>
      <c r="L1483" s="6" t="n">
        <v>152</v>
      </c>
      <c r="M1483" s="6" t="n">
        <v>152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bronce · medida: 5/8" x 1/2"</t>
        </is>
      </c>
    </row>
    <row r="1484">
      <c r="A1484" s="3" t="inlineStr">
        <is>
          <t>MAT-32-123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cobre 1" x 1 1/8"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119</v>
      </c>
      <c r="L1484" s="6" t="n">
        <v>119</v>
      </c>
      <c r="M1484" s="6" t="n">
        <v>119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cobre · medida: 1" x 1 1/8"</t>
        </is>
      </c>
    </row>
    <row r="1485">
      <c r="A1485" s="3" t="inlineStr">
        <is>
          <t>MAT-32-124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13</v>
      </c>
      <c r="L1485" s="6" t="n">
        <v>13</v>
      </c>
      <c r="M1485" s="6" t="n">
        <v>13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CPVC · medida: 1/2"</t>
        </is>
      </c>
    </row>
    <row r="1486">
      <c r="A1486" s="3" t="inlineStr">
        <is>
          <t>MAT-32-125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CPVC 1"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32.71</v>
      </c>
      <c r="L1486" s="6" t="n">
        <v>32.71</v>
      </c>
      <c r="M1486" s="6" t="n">
        <v>32.71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CPVC · medida: 1"</t>
        </is>
      </c>
    </row>
    <row r="1487">
      <c r="A1487" s="3" t="inlineStr">
        <is>
          <t>MAT-32-126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CPVC 3/4"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18.22</v>
      </c>
      <c r="L1487" s="6" t="n">
        <v>18.22</v>
      </c>
      <c r="M1487" s="6" t="n">
        <v>18.22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CPVC · medida: 3/4"</t>
        </is>
      </c>
    </row>
    <row r="1488">
      <c r="A1488" s="3" t="inlineStr">
        <is>
          <t>MAT-32-127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1/2"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155</v>
      </c>
      <c r="L1488" s="6" t="n">
        <v>155</v>
      </c>
      <c r="M1488" s="6" t="n">
        <v>155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adaptador-macho · material: plástico · medida: 1/2"</t>
        </is>
      </c>
    </row>
    <row r="1489">
      <c r="A1489" s="3" t="inlineStr">
        <is>
          <t>MAT-32-128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1"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190</v>
      </c>
      <c r="L1489" s="6" t="n">
        <v>190</v>
      </c>
      <c r="M1489" s="6" t="n">
        <v>190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adaptador-macho · material: plástico · medida: 1"</t>
        </is>
      </c>
    </row>
    <row r="1490">
      <c r="A1490" s="3" t="inlineStr">
        <is>
          <t>MAT-32-129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plástico 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285</v>
      </c>
      <c r="L1490" s="6" t="n">
        <v>285</v>
      </c>
      <c r="M1490" s="6" t="n">
        <v>285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plástico · medida: 2"</t>
        </is>
      </c>
    </row>
    <row r="1491">
      <c r="A1491" s="3" t="inlineStr">
        <is>
          <t>MAT-32-130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plástico 3/4" x 0"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187</v>
      </c>
      <c r="L1491" s="6" t="n">
        <v>187</v>
      </c>
      <c r="M1491" s="6" t="n">
        <v>187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</t>
        </is>
      </c>
      <c r="AF1491" s="4" t="inlineStr">
        <is>
          <t>tipo: adaptador-macho · material: plástico · medida: 3/4" x 0"</t>
        </is>
      </c>
    </row>
    <row r="1492">
      <c r="A1492" s="3" t="inlineStr">
        <is>
          <t>MAT-32-131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20 mm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136.06</v>
      </c>
      <c r="L1492" s="6" t="n">
        <v>63.5</v>
      </c>
      <c r="M1492" s="6" t="n">
        <v>205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PPR · medida: 20 mm</t>
        </is>
      </c>
    </row>
    <row r="1493">
      <c r="A1493" s="3" t="inlineStr">
        <is>
          <t>MAT-32-132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25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91</v>
      </c>
      <c r="L1493" s="6" t="n">
        <v>74.16</v>
      </c>
      <c r="M1493" s="6" t="n">
        <v>253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 · Ferretería Cima</t>
        </is>
      </c>
      <c r="AF1493" s="4" t="inlineStr">
        <is>
          <t>tipo: adaptador-macho · material: PPR · medida: 25 mm</t>
        </is>
      </c>
    </row>
    <row r="1494">
      <c r="A1494" s="3" t="inlineStr">
        <is>
          <t>MAT-32-133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PPR 32 mm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83.45</v>
      </c>
      <c r="L1494" s="6" t="n">
        <v>78.15000000000001</v>
      </c>
      <c r="M1494" s="6" t="n">
        <v>175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adaptador-macho · material: PPR · medida: 32 mm</t>
        </is>
      </c>
    </row>
    <row r="1495">
      <c r="A1495" s="3" t="inlineStr">
        <is>
          <t>MAT-32-134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PPR 50 mm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310</v>
      </c>
      <c r="L1495" s="6" t="n">
        <v>310</v>
      </c>
      <c r="M1495" s="6" t="n">
        <v>310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</t>
        </is>
      </c>
      <c r="AF1495" s="4" t="inlineStr">
        <is>
          <t>tipo: adaptador-macho · material: PPR · medida: 50 mm</t>
        </is>
      </c>
    </row>
    <row r="1496">
      <c r="A1496" s="3" t="inlineStr">
        <is>
          <t>MAT-32-135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34.5</v>
      </c>
      <c r="L1496" s="6" t="n">
        <v>19.31</v>
      </c>
      <c r="M1496" s="6" t="n">
        <v>95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1 1/2"</t>
        </is>
      </c>
    </row>
    <row r="1497">
      <c r="A1497" s="3" t="inlineStr">
        <is>
          <t>MAT-32-136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1/2"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5.36</v>
      </c>
      <c r="L1497" s="6" t="n">
        <v>4.08</v>
      </c>
      <c r="M1497" s="6" t="n">
        <v>26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1/2"</t>
        </is>
      </c>
    </row>
    <row r="1498">
      <c r="A1498" s="3" t="inlineStr">
        <is>
          <t>MAT-32-137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1"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18.2</v>
      </c>
      <c r="L1498" s="6" t="n">
        <v>8.73</v>
      </c>
      <c r="M1498" s="6" t="n">
        <v>40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1"</t>
        </is>
      </c>
    </row>
    <row r="1499">
      <c r="A1499" s="3" t="inlineStr">
        <is>
          <t>MAT-32-138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2"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60.76</v>
      </c>
      <c r="L1499" s="6" t="n">
        <v>28.05</v>
      </c>
      <c r="M1499" s="6" t="n">
        <v>126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F1499" s="4" t="inlineStr">
        <is>
          <t>tipo: adaptador-macho · material: PVC · medida: 2"</t>
        </is>
      </c>
    </row>
    <row r="1500">
      <c r="A1500" s="3" t="inlineStr">
        <is>
          <t>MAT-32-139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3/4"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10.75</v>
      </c>
      <c r="L1500" s="6" t="n">
        <v>5.62</v>
      </c>
      <c r="M1500" s="6" t="n">
        <v>26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adaptador-macho · material: PVC · medida: 3/4"</t>
        </is>
      </c>
    </row>
    <row r="1501">
      <c r="A1501" s="3" t="inlineStr">
        <is>
          <t>MAT-32-140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3"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157</v>
      </c>
      <c r="L1501" s="6" t="n">
        <v>85</v>
      </c>
      <c r="M1501" s="6" t="n">
        <v>271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adaptador-macho · material: PVC · medida: 3"</t>
        </is>
      </c>
    </row>
    <row r="1502">
      <c r="A1502" s="3" t="inlineStr">
        <is>
          <t>MAT-32-141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4"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2</v>
      </c>
      <c r="K1502" s="6" t="n">
        <v>234.99</v>
      </c>
      <c r="L1502" s="6" t="n">
        <v>120</v>
      </c>
      <c r="M1502" s="6" t="n">
        <v>341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 · Ferretería Cima</t>
        </is>
      </c>
      <c r="AF1502" s="4" t="inlineStr">
        <is>
          <t>tipo: adaptador-macho · material: PVC · medida: 4"</t>
        </is>
      </c>
    </row>
    <row r="1503">
      <c r="A1503" s="3" t="inlineStr">
        <is>
          <t>MAT-32-142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PVC 6"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567</v>
      </c>
      <c r="L1503" s="6" t="n">
        <v>567</v>
      </c>
      <c r="M1503" s="6" t="n">
        <v>567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F1503" s="4" t="inlineStr">
        <is>
          <t>tipo: adaptador-macho · material: PVC · medida: 6"</t>
        </is>
      </c>
    </row>
    <row r="1504">
      <c r="A1504" s="3" t="inlineStr">
        <is>
          <t>MAT-32-143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de bronce 7/8" x 1/2"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176</v>
      </c>
      <c r="L1504" s="6" t="n">
        <v>176</v>
      </c>
      <c r="M1504" s="6" t="n">
        <v>176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2026-09-10</t>
        </is>
      </c>
      <c r="Q1504" s="4" t="inlineStr">
        <is>
          <t>Bellón</t>
        </is>
      </c>
      <c r="AF1504" s="4" t="inlineStr">
        <is>
          <t>tipo: adaptador · material: bronce · medida: 7/8" x 1/2"</t>
        </is>
      </c>
    </row>
    <row r="1505">
      <c r="A1505" s="3" t="inlineStr">
        <is>
          <t>MAT-32-144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0.19"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31</v>
      </c>
      <c r="L1505" s="6" t="n">
        <v>31</v>
      </c>
      <c r="M1505" s="6" t="n">
        <v>31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0.19"</t>
        </is>
      </c>
    </row>
    <row r="1506">
      <c r="A1506" s="3" t="inlineStr">
        <is>
          <t>MAT-32-145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0.31"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19</v>
      </c>
      <c r="L1506" s="6" t="n">
        <v>19</v>
      </c>
      <c r="M1506" s="6" t="n">
        <v>19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F1506" s="4" t="inlineStr">
        <is>
          <t>tipo: anilla · material: cobre · medida: 0.31"</t>
        </is>
      </c>
    </row>
    <row r="1507">
      <c r="A1507" s="3" t="inlineStr">
        <is>
          <t>MAT-32-146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32</v>
      </c>
      <c r="L1507" s="6" t="n">
        <v>32</v>
      </c>
      <c r="M1507" s="6" t="n">
        <v>32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F1507" s="4" t="inlineStr">
        <is>
          <t>tipo: anilla · material: cobre · medida: 1/2"</t>
        </is>
      </c>
    </row>
    <row r="1508">
      <c r="A1508" s="3" t="inlineStr">
        <is>
          <t>MAT-32-147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Anilla de cobre 1/4"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31</v>
      </c>
      <c r="L1508" s="6" t="n">
        <v>31</v>
      </c>
      <c r="M1508" s="6" t="n">
        <v>31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F1508" s="4" t="inlineStr">
        <is>
          <t>tipo: anilla · material: cobre · medida: 1/4"</t>
        </is>
      </c>
    </row>
    <row r="1509">
      <c r="A1509" s="3" t="inlineStr">
        <is>
          <t>MAT-32-148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Anilla de cobre 3/8"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31</v>
      </c>
      <c r="L1509" s="6" t="n">
        <v>31</v>
      </c>
      <c r="M1509" s="6" t="n">
        <v>31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2026-09-09</t>
        </is>
      </c>
      <c r="Q1509" s="4" t="inlineStr">
        <is>
          <t>Ferretería Cima</t>
        </is>
      </c>
      <c r="AF1509" s="4" t="inlineStr">
        <is>
          <t>tipo: anilla · material: cobre · medida: 3/8"</t>
        </is>
      </c>
    </row>
    <row r="1510">
      <c r="A1510" s="3" t="inlineStr">
        <is>
          <t>MAT-32-149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1/2"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10.5</v>
      </c>
      <c r="L1510" s="6" t="n">
        <v>10.5</v>
      </c>
      <c r="M1510" s="6" t="n">
        <v>10.5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CPVC · medida: 1/2"</t>
        </is>
      </c>
    </row>
    <row r="1511">
      <c r="A1511" s="3" t="inlineStr">
        <is>
          <t>MAT-32-150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CPVC 1"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33.39</v>
      </c>
      <c r="L1511" s="6" t="n">
        <v>33.39</v>
      </c>
      <c r="M1511" s="6" t="n">
        <v>33.39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CPVC · medida: 1"</t>
        </is>
      </c>
    </row>
    <row r="1512">
      <c r="A1512" s="3" t="inlineStr">
        <is>
          <t>MAT-32-151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CPVC 3/4"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25.61</v>
      </c>
      <c r="L1512" s="6" t="n">
        <v>25.61</v>
      </c>
      <c r="M1512" s="6" t="n">
        <v>25.61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CPVC · medida: 3/4"</t>
        </is>
      </c>
    </row>
    <row r="1513">
      <c r="A1513" s="3" t="inlineStr">
        <is>
          <t>MAT-32-152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120</v>
      </c>
      <c r="L1513" s="6" t="n">
        <v>120</v>
      </c>
      <c r="M1513" s="6" t="n">
        <v>120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1 1/2"</t>
        </is>
      </c>
    </row>
    <row r="1514">
      <c r="A1514" s="3" t="inlineStr">
        <is>
          <t>MAT-32-153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1/2"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25.82</v>
      </c>
      <c r="L1514" s="6" t="n">
        <v>25.82</v>
      </c>
      <c r="M1514" s="6" t="n">
        <v>25.82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1/2"</t>
        </is>
      </c>
    </row>
    <row r="1515">
      <c r="A1515" s="3" t="inlineStr">
        <is>
          <t>MAT-32-154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1/4"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35.9</v>
      </c>
      <c r="L1515" s="6" t="n">
        <v>35.9</v>
      </c>
      <c r="M1515" s="6" t="n">
        <v>35.9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HG · medida: 1/4"</t>
        </is>
      </c>
    </row>
    <row r="1516">
      <c r="A1516" s="3" t="inlineStr">
        <is>
          <t>MAT-32-155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1"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57</v>
      </c>
      <c r="L1516" s="6" t="n">
        <v>57</v>
      </c>
      <c r="M1516" s="6" t="n">
        <v>57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codo-45 · material: HG · medida: 1"</t>
        </is>
      </c>
    </row>
    <row r="1517">
      <c r="A1517" s="3" t="inlineStr">
        <is>
          <t>MAT-32-156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HG 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181</v>
      </c>
      <c r="L1517" s="6" t="n">
        <v>181</v>
      </c>
      <c r="M1517" s="6" t="n">
        <v>181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HG · medida: 2"</t>
        </is>
      </c>
    </row>
    <row r="1518">
      <c r="A1518" s="3" t="inlineStr">
        <is>
          <t>MAT-32-157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HG 3/8"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4.27</v>
      </c>
      <c r="L1518" s="6" t="n">
        <v>4.27</v>
      </c>
      <c r="M1518" s="6" t="n">
        <v>4.27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HG · medida: 3/8"</t>
        </is>
      </c>
    </row>
    <row r="1519">
      <c r="A1519" s="3" t="inlineStr">
        <is>
          <t>MAT-32-158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20 mm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5.85</v>
      </c>
      <c r="L1519" s="6" t="n">
        <v>5.85</v>
      </c>
      <c r="M1519" s="6" t="n">
        <v>5.85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</t>
        </is>
      </c>
      <c r="AF1519" s="4" t="inlineStr">
        <is>
          <t>tipo: codo-45 · material: PPR · medida: 20 mm</t>
        </is>
      </c>
    </row>
    <row r="1520">
      <c r="A1520" s="3" t="inlineStr">
        <is>
          <t>MAT-32-159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25 mm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2</v>
      </c>
      <c r="K1520" s="6" t="n">
        <v>22.54</v>
      </c>
      <c r="L1520" s="6" t="n">
        <v>8.08</v>
      </c>
      <c r="M1520" s="6" t="n">
        <v>37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 · Ferretería Cima</t>
        </is>
      </c>
      <c r="AF1520" s="4" t="inlineStr">
        <is>
          <t>tipo: codo-45 · material: PPR · medida: 25 mm</t>
        </is>
      </c>
    </row>
    <row r="1521">
      <c r="A1521" s="3" t="inlineStr">
        <is>
          <t>MAT-32-160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PPR 32 mm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14.42</v>
      </c>
      <c r="L1521" s="6" t="n">
        <v>14.42</v>
      </c>
      <c r="M1521" s="6" t="n">
        <v>14.42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codo-45 · material: PPR · medida: 32 mm</t>
        </is>
      </c>
    </row>
    <row r="1522">
      <c r="A1522" s="3" t="inlineStr">
        <is>
          <t>MAT-32-161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PPR 50 mm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46.63</v>
      </c>
      <c r="L1522" s="6" t="n">
        <v>46.63</v>
      </c>
      <c r="M1522" s="6" t="n">
        <v>46.63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</t>
        </is>
      </c>
      <c r="AF1522" s="4" t="inlineStr">
        <is>
          <t>tipo: codo-45 · material: PPR · medida: 50 mm</t>
        </is>
      </c>
    </row>
    <row r="1523">
      <c r="A1523" s="3" t="inlineStr">
        <is>
          <t>MAT-32-162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1 1/2"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14.84</v>
      </c>
      <c r="L1523" s="6" t="n">
        <v>11</v>
      </c>
      <c r="M1523" s="6" t="n">
        <v>45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1 1/2"</t>
        </is>
      </c>
    </row>
    <row r="1524">
      <c r="A1524" s="3" t="inlineStr">
        <is>
          <t>MAT-32-163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2</v>
      </c>
      <c r="K1524" s="6" t="n">
        <v>20.33</v>
      </c>
      <c r="L1524" s="6" t="n">
        <v>15.6</v>
      </c>
      <c r="M1524" s="6" t="n">
        <v>55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 · Ferretería Cima</t>
        </is>
      </c>
      <c r="AF1524" s="4" t="inlineStr">
        <is>
          <t>tipo: codo-45 · material: PVC drenaje · medida: 2"</t>
        </is>
      </c>
    </row>
    <row r="1525">
      <c r="A1525" s="3" t="inlineStr">
        <is>
          <t>MAT-32-164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3"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2</v>
      </c>
      <c r="K1525" s="6" t="n">
        <v>55.48</v>
      </c>
      <c r="L1525" s="6" t="n">
        <v>41</v>
      </c>
      <c r="M1525" s="6" t="n">
        <v>85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 · Ferretería Cima</t>
        </is>
      </c>
      <c r="AF1525" s="4" t="inlineStr">
        <is>
          <t>tipo: codo-45 · material: PVC drenaje · medida: 3"</t>
        </is>
      </c>
    </row>
    <row r="1526">
      <c r="A1526" s="3" t="inlineStr">
        <is>
          <t>MAT-32-165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drenaje 4"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2</v>
      </c>
      <c r="K1526" s="6" t="n">
        <v>90.86</v>
      </c>
      <c r="L1526" s="6" t="n">
        <v>66</v>
      </c>
      <c r="M1526" s="6" t="n">
        <v>135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 · Ferretería Cima</t>
        </is>
      </c>
      <c r="AF1526" s="4" t="inlineStr">
        <is>
          <t>tipo: codo-45 · material: PVC drenaje · medida: 4"</t>
        </is>
      </c>
    </row>
    <row r="1527">
      <c r="A1527" s="3" t="inlineStr">
        <is>
          <t>MAT-32-166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drenaje 6"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2</v>
      </c>
      <c r="K1527" s="6" t="n">
        <v>528.5</v>
      </c>
      <c r="L1527" s="6" t="n">
        <v>445</v>
      </c>
      <c r="M1527" s="6" t="n">
        <v>612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 · Ferretería Cima</t>
        </is>
      </c>
      <c r="AF1527" s="4" t="inlineStr">
        <is>
          <t>tipo: codo-45 · material: PVC drenaje · medida: 6"</t>
        </is>
      </c>
    </row>
    <row r="1528">
      <c r="A1528" s="3" t="inlineStr">
        <is>
          <t>MAT-32-167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101</v>
      </c>
      <c r="L1528" s="6" t="n">
        <v>101</v>
      </c>
      <c r="M1528" s="6" t="n">
        <v>101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1 1/2"</t>
        </is>
      </c>
    </row>
    <row r="1529">
      <c r="A1529" s="3" t="inlineStr">
        <is>
          <t>MAT-32-168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12.69</v>
      </c>
      <c r="L1529" s="6" t="n">
        <v>12.69</v>
      </c>
      <c r="M1529" s="6" t="n">
        <v>12.69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F1529" s="4" t="inlineStr">
        <is>
          <t>tipo: codo-45 · material: PVC · medida: 1/2"</t>
        </is>
      </c>
    </row>
    <row r="1530">
      <c r="A1530" s="3" t="inlineStr">
        <is>
          <t>MAT-32-169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1"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33.87</v>
      </c>
      <c r="L1530" s="6" t="n">
        <v>33.87</v>
      </c>
      <c r="M1530" s="6" t="n">
        <v>33.87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</t>
        </is>
      </c>
      <c r="AF1530" s="4" t="inlineStr">
        <is>
          <t>tipo: codo-45 · material: PVC · medida: 1"</t>
        </is>
      </c>
    </row>
    <row r="1531">
      <c r="A1531" s="3" t="inlineStr">
        <is>
          <t>MAT-32-170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2"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85.05</v>
      </c>
      <c r="L1531" s="6" t="n">
        <v>85.05</v>
      </c>
      <c r="M1531" s="6" t="n">
        <v>85.05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F1531" s="4" t="inlineStr">
        <is>
          <t>tipo: codo-45 · material: PVC · medida: 2"</t>
        </is>
      </c>
    </row>
    <row r="1532">
      <c r="A1532" s="3" t="inlineStr">
        <is>
          <t>MAT-32-171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3/4"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20.29</v>
      </c>
      <c r="L1532" s="6" t="n">
        <v>20.29</v>
      </c>
      <c r="M1532" s="6" t="n">
        <v>20.29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</t>
        </is>
      </c>
      <c r="AF1532" s="4" t="inlineStr">
        <is>
          <t>tipo: codo-45 · material: PVC · medida: 3/4"</t>
        </is>
      </c>
    </row>
    <row r="1533">
      <c r="A1533" s="3" t="inlineStr">
        <is>
          <t>MAT-32-172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47.28</v>
      </c>
      <c r="L1533" s="6" t="n">
        <v>29.55</v>
      </c>
      <c r="M1533" s="6" t="n">
        <v>65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1 1/2"</t>
        </is>
      </c>
    </row>
    <row r="1534">
      <c r="A1534" s="3" t="inlineStr">
        <is>
          <t>MAT-32-173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7.08</v>
      </c>
      <c r="L1534" s="6" t="n">
        <v>4.75</v>
      </c>
      <c r="M1534" s="6" t="n">
        <v>35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codo-45 · material: PVC presión · medida: 1/2"</t>
        </is>
      </c>
    </row>
    <row r="1535">
      <c r="A1535" s="3" t="inlineStr">
        <is>
          <t>MAT-32-174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1"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2</v>
      </c>
      <c r="K1535" s="6" t="n">
        <v>22.03</v>
      </c>
      <c r="L1535" s="6" t="n">
        <v>14.1</v>
      </c>
      <c r="M1535" s="6" t="n">
        <v>90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 · Ferretería Cima</t>
        </is>
      </c>
      <c r="AF1535" s="4" t="inlineStr">
        <is>
          <t>tipo: codo-45 · material: PVC presión · medida: 1"</t>
        </is>
      </c>
    </row>
    <row r="1536">
      <c r="A1536" s="3" t="inlineStr">
        <is>
          <t>MAT-32-175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2"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40.63</v>
      </c>
      <c r="L1536" s="6" t="n">
        <v>33.12</v>
      </c>
      <c r="M1536" s="6" t="n">
        <v>48.14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</t>
        </is>
      </c>
      <c r="AF1536" s="4" t="inlineStr">
        <is>
          <t>tipo: codo-45 · material: PVC presión · medida: 2"</t>
        </is>
      </c>
    </row>
    <row r="1537">
      <c r="A1537" s="3" t="inlineStr">
        <is>
          <t>MAT-32-176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3/4"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2</v>
      </c>
      <c r="K1537" s="6" t="n">
        <v>12.38</v>
      </c>
      <c r="L1537" s="6" t="n">
        <v>9.050000000000001</v>
      </c>
      <c r="M1537" s="6" t="n">
        <v>25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 · Ferretería Cima</t>
        </is>
      </c>
      <c r="AF1537" s="4" t="inlineStr">
        <is>
          <t>tipo: codo-45 · material: PVC presión · medida: 3/4"</t>
        </is>
      </c>
    </row>
    <row r="1538">
      <c r="A1538" s="3" t="inlineStr">
        <is>
          <t>MAT-32-177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3"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142.32</v>
      </c>
      <c r="L1538" s="6" t="n">
        <v>142.32</v>
      </c>
      <c r="M1538" s="6" t="n">
        <v>142.32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codo-45 · material: PVC presión · medida: 3"</t>
        </is>
      </c>
    </row>
    <row r="1539">
      <c r="A1539" s="3" t="inlineStr">
        <is>
          <t>MAT-32-178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4"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273.86</v>
      </c>
      <c r="L1539" s="6" t="n">
        <v>273.86</v>
      </c>
      <c r="M1539" s="6" t="n">
        <v>273.86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codo-45 · material: PVC presión · medida: 4"</t>
        </is>
      </c>
    </row>
    <row r="1540">
      <c r="A1540" s="3" t="inlineStr">
        <is>
          <t>MAT-32-179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6"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745.5</v>
      </c>
      <c r="L1540" s="6" t="n">
        <v>576</v>
      </c>
      <c r="M1540" s="6" t="n">
        <v>915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codo-45 · material: PVC presión · medida: 6"</t>
        </is>
      </c>
    </row>
    <row r="1541">
      <c r="A1541" s="3" t="inlineStr">
        <is>
          <t>MAT-32-180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PVC presión 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4409</v>
      </c>
      <c r="L1541" s="6" t="n">
        <v>4409</v>
      </c>
      <c r="M1541" s="6" t="n">
        <v>4409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codo-45 · material: PVC presión · medida: 8"</t>
        </is>
      </c>
    </row>
    <row r="1542">
      <c r="A1542" s="3" t="inlineStr">
        <is>
          <t>MAT-32-181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1 1/8"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380</v>
      </c>
      <c r="L1542" s="6" t="n">
        <v>380</v>
      </c>
      <c r="M1542" s="6" t="n">
        <v>380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1 1/8"</t>
        </is>
      </c>
    </row>
    <row r="1543">
      <c r="A1543" s="3" t="inlineStr">
        <is>
          <t>MAT-32-182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1/2"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49.82</v>
      </c>
      <c r="L1543" s="6" t="n">
        <v>49.82</v>
      </c>
      <c r="M1543" s="6" t="n">
        <v>49.82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1/2"</t>
        </is>
      </c>
    </row>
    <row r="1544">
      <c r="A1544" s="3" t="inlineStr">
        <is>
          <t>MAT-32-183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3/4"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107</v>
      </c>
      <c r="L1544" s="6" t="n">
        <v>107</v>
      </c>
      <c r="M1544" s="6" t="n">
        <v>107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cobre · medida: 3/4"</t>
        </is>
      </c>
    </row>
    <row r="1545">
      <c r="A1545" s="3" t="inlineStr">
        <is>
          <t>MAT-32-184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3/8"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46.98</v>
      </c>
      <c r="L1545" s="6" t="n">
        <v>46.98</v>
      </c>
      <c r="M1545" s="6" t="n">
        <v>46.98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cobre · medida: 3/8"</t>
        </is>
      </c>
    </row>
    <row r="1546">
      <c r="A1546" s="3" t="inlineStr">
        <is>
          <t>MAT-32-185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cobre 5/8"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80</v>
      </c>
      <c r="L1546" s="6" t="n">
        <v>80</v>
      </c>
      <c r="M1546" s="6" t="n">
        <v>80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cobre · medida: 5/8"</t>
        </is>
      </c>
    </row>
    <row r="1547">
      <c r="A1547" s="3" t="inlineStr">
        <is>
          <t>MAT-32-186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cobre 7/8"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159</v>
      </c>
      <c r="L1547" s="6" t="n">
        <v>159</v>
      </c>
      <c r="M1547" s="6" t="n">
        <v>159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cobre · medida: 7/8"</t>
        </is>
      </c>
    </row>
    <row r="1548">
      <c r="A1548" s="3" t="inlineStr">
        <is>
          <t>MAT-32-187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1/2"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10.61</v>
      </c>
      <c r="L1548" s="6" t="n">
        <v>10.61</v>
      </c>
      <c r="M1548" s="6" t="n">
        <v>10.61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CPVC · medida: 1/2"</t>
        </is>
      </c>
    </row>
    <row r="1549">
      <c r="A1549" s="3" t="inlineStr">
        <is>
          <t>MAT-32-188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CPVC 1"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45.15</v>
      </c>
      <c r="L1549" s="6" t="n">
        <v>45.15</v>
      </c>
      <c r="M1549" s="6" t="n">
        <v>45.15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CPVC · medida: 1"</t>
        </is>
      </c>
    </row>
    <row r="1550">
      <c r="A1550" s="3" t="inlineStr">
        <is>
          <t>MAT-32-189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CPVC 3/4"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15.75</v>
      </c>
      <c r="L1550" s="6" t="n">
        <v>15.75</v>
      </c>
      <c r="M1550" s="6" t="n">
        <v>15.75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CPVC · medida: 3/4"</t>
        </is>
      </c>
    </row>
    <row r="1551">
      <c r="A1551" s="3" t="inlineStr">
        <is>
          <t>MAT-32-190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 1/2"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106</v>
      </c>
      <c r="L1551" s="6" t="n">
        <v>106</v>
      </c>
      <c r="M1551" s="6" t="n">
        <v>106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 1/2"</t>
        </is>
      </c>
    </row>
    <row r="1552">
      <c r="A1552" s="3" t="inlineStr">
        <is>
          <t>MAT-32-191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 1/4"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87</v>
      </c>
      <c r="L1552" s="6" t="n">
        <v>87</v>
      </c>
      <c r="M1552" s="6" t="n">
        <v>87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1 1/4"</t>
        </is>
      </c>
    </row>
    <row r="1553">
      <c r="A1553" s="3" t="inlineStr">
        <is>
          <t>MAT-32-192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1/2"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24</v>
      </c>
      <c r="L1553" s="6" t="n">
        <v>24</v>
      </c>
      <c r="M1553" s="6" t="n">
        <v>24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1/2"</t>
        </is>
      </c>
    </row>
    <row r="1554">
      <c r="A1554" s="3" t="inlineStr">
        <is>
          <t>MAT-32-193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1/4"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38.35</v>
      </c>
      <c r="L1554" s="6" t="n">
        <v>38.35</v>
      </c>
      <c r="M1554" s="6" t="n">
        <v>38.35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1/4"</t>
        </is>
      </c>
    </row>
    <row r="1555">
      <c r="A1555" s="3" t="inlineStr">
        <is>
          <t>MAT-32-194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1"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51</v>
      </c>
      <c r="L1555" s="6" t="n">
        <v>51</v>
      </c>
      <c r="M1555" s="6" t="n">
        <v>51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1"</t>
        </is>
      </c>
    </row>
    <row r="1556">
      <c r="A1556" s="3" t="inlineStr">
        <is>
          <t>MAT-32-195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2"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170</v>
      </c>
      <c r="L1556" s="6" t="n">
        <v>170</v>
      </c>
      <c r="M1556" s="6" t="n">
        <v>170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2"</t>
        </is>
      </c>
    </row>
    <row r="1557">
      <c r="A1557" s="3" t="inlineStr">
        <is>
          <t>MAT-32-196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3/4"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34</v>
      </c>
      <c r="L1557" s="6" t="n">
        <v>34</v>
      </c>
      <c r="M1557" s="6" t="n">
        <v>34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HG · medida: 3/4"</t>
        </is>
      </c>
    </row>
    <row r="1558">
      <c r="A1558" s="3" t="inlineStr">
        <is>
          <t>MAT-32-197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3/8"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51.55</v>
      </c>
      <c r="L1558" s="6" t="n">
        <v>51.55</v>
      </c>
      <c r="M1558" s="6" t="n">
        <v>51.55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HG · medida: 3/8"</t>
        </is>
      </c>
    </row>
    <row r="1559">
      <c r="A1559" s="3" t="inlineStr">
        <is>
          <t>MAT-32-198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3"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464</v>
      </c>
      <c r="L1559" s="6" t="n">
        <v>464</v>
      </c>
      <c r="M1559" s="6" t="n">
        <v>464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codo-90 · material: HG · medida: 3"</t>
        </is>
      </c>
    </row>
    <row r="1560">
      <c r="A1560" s="3" t="inlineStr">
        <is>
          <t>MAT-32-199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HG 4"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840</v>
      </c>
      <c r="L1560" s="6" t="n">
        <v>840</v>
      </c>
      <c r="M1560" s="6" t="n">
        <v>840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codo-90 · material: HG · medida: 4"</t>
        </is>
      </c>
    </row>
    <row r="1561">
      <c r="A1561" s="3" t="inlineStr">
        <is>
          <t>MAT-32-200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plástico 50"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315</v>
      </c>
      <c r="L1561" s="6" t="n">
        <v>315</v>
      </c>
      <c r="M1561" s="6" t="n">
        <v>315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plástico · medida: 50"</t>
        </is>
      </c>
    </row>
    <row r="1562">
      <c r="A1562" s="3" t="inlineStr">
        <is>
          <t>MAT-32-201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plástico 63"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415</v>
      </c>
      <c r="L1562" s="6" t="n">
        <v>370</v>
      </c>
      <c r="M1562" s="6" t="n">
        <v>460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F1562" s="4" t="inlineStr">
        <is>
          <t>tipo: codo-90 · material: plástico · medida: 63"</t>
        </is>
      </c>
    </row>
    <row r="1563">
      <c r="A1563" s="3" t="inlineStr">
        <is>
          <t>MAT-32-202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20 mm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19.63</v>
      </c>
      <c r="L1563" s="6" t="n">
        <v>6.25</v>
      </c>
      <c r="M1563" s="6" t="n">
        <v>33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PPR · medida: 20 mm</t>
        </is>
      </c>
    </row>
    <row r="1564">
      <c r="A1564" s="3" t="inlineStr">
        <is>
          <t>MAT-32-203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25 mm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2</v>
      </c>
      <c r="K1564" s="6" t="n">
        <v>24.96</v>
      </c>
      <c r="L1564" s="6" t="n">
        <v>9.92</v>
      </c>
      <c r="M1564" s="6" t="n">
        <v>40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 · Ferretería Cima</t>
        </is>
      </c>
      <c r="AF1564" s="4" t="inlineStr">
        <is>
          <t>tipo: codo-90 · material: PPR · medida: 25 mm</t>
        </is>
      </c>
    </row>
    <row r="1565">
      <c r="A1565" s="3" t="inlineStr">
        <is>
          <t>MAT-32-204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PPR 32 mm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17.67</v>
      </c>
      <c r="L1565" s="6" t="n">
        <v>17.67</v>
      </c>
      <c r="M1565" s="6" t="n">
        <v>17.67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codo-90 · material: PPR · medida: 32 mm</t>
        </is>
      </c>
    </row>
    <row r="1566">
      <c r="A1566" s="3" t="inlineStr">
        <is>
          <t>MAT-32-205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PPR 50 mm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60</v>
      </c>
      <c r="L1566" s="6" t="n">
        <v>60</v>
      </c>
      <c r="M1566" s="6" t="n">
        <v>60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</t>
        </is>
      </c>
      <c r="AF1566" s="4" t="inlineStr">
        <is>
          <t>tipo: codo-90 · material: PPR · medida: 50 mm</t>
        </is>
      </c>
    </row>
    <row r="1567">
      <c r="A1567" s="3" t="inlineStr">
        <is>
          <t>MAT-32-206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1 1/2"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23.66</v>
      </c>
      <c r="L1567" s="6" t="n">
        <v>17.32</v>
      </c>
      <c r="M1567" s="6" t="n">
        <v>30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 · Ferretería Cima</t>
        </is>
      </c>
      <c r="AF1567" s="4" t="inlineStr">
        <is>
          <t>tipo: codo-90 · material: PVC drenaje · medida: 1 1/2"</t>
        </is>
      </c>
    </row>
    <row r="1568">
      <c r="A1568" s="3" t="inlineStr">
        <is>
          <t>MAT-32-207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2"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26.8</v>
      </c>
      <c r="L1568" s="6" t="n">
        <v>16.01</v>
      </c>
      <c r="M1568" s="6" t="n">
        <v>35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codo-90 · material: PVC drenaje · medida: 2"</t>
        </is>
      </c>
    </row>
    <row r="1569">
      <c r="A1569" s="3" t="inlineStr">
        <is>
          <t>MAT-32-208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3"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2</v>
      </c>
      <c r="K1569" s="6" t="n">
        <v>75.16</v>
      </c>
      <c r="L1569" s="6" t="n">
        <v>54.53</v>
      </c>
      <c r="M1569" s="6" t="n">
        <v>95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 · Ferretería Cima</t>
        </is>
      </c>
      <c r="AF1569" s="4" t="inlineStr">
        <is>
          <t>tipo: codo-90 · material: PVC drenaje · medida: 3"</t>
        </is>
      </c>
    </row>
    <row r="1570">
      <c r="A1570" s="3" t="inlineStr">
        <is>
          <t>MAT-32-209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drenaje 4"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113.88</v>
      </c>
      <c r="L1570" s="6" t="n">
        <v>89.5</v>
      </c>
      <c r="M1570" s="6" t="n">
        <v>138.26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drenaje · medida: 4"</t>
        </is>
      </c>
    </row>
    <row r="1571">
      <c r="A1571" s="3" t="inlineStr">
        <is>
          <t>MAT-32-210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drenaje 6"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360.5</v>
      </c>
      <c r="L1571" s="6" t="n">
        <v>256</v>
      </c>
      <c r="M1571" s="6" t="n">
        <v>465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drenaje · medida: 6"</t>
        </is>
      </c>
    </row>
    <row r="1572">
      <c r="A1572" s="3" t="inlineStr">
        <is>
          <t>MAT-32-211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1 1/2"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70.2</v>
      </c>
      <c r="L1572" s="6" t="n">
        <v>70.2</v>
      </c>
      <c r="M1572" s="6" t="n">
        <v>70.2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</t>
        </is>
      </c>
      <c r="AF1572" s="4" t="inlineStr">
        <is>
          <t>tipo: codo-90 · material: PVC · medida: 1 1/2"</t>
        </is>
      </c>
    </row>
    <row r="1573">
      <c r="A1573" s="3" t="inlineStr">
        <is>
          <t>MAT-32-212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1"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40.38</v>
      </c>
      <c r="L1573" s="6" t="n">
        <v>40.38</v>
      </c>
      <c r="M1573" s="6" t="n">
        <v>40.38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</t>
        </is>
      </c>
      <c r="AF1573" s="4" t="inlineStr">
        <is>
          <t>tipo: codo-90 · material: PVC · medida: 1"</t>
        </is>
      </c>
    </row>
    <row r="1574">
      <c r="A1574" s="3" t="inlineStr">
        <is>
          <t>MAT-32-213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2"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120</v>
      </c>
      <c r="L1574" s="6" t="n">
        <v>120</v>
      </c>
      <c r="M1574" s="6" t="n">
        <v>120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</t>
        </is>
      </c>
      <c r="AF1574" s="4" t="inlineStr">
        <is>
          <t>tipo: codo-90 · material: PVC · medida: 2"</t>
        </is>
      </c>
    </row>
    <row r="1575">
      <c r="A1575" s="3" t="inlineStr">
        <is>
          <t>MAT-32-214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3/4"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22.22</v>
      </c>
      <c r="L1575" s="6" t="n">
        <v>22.22</v>
      </c>
      <c r="M1575" s="6" t="n">
        <v>22.22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</t>
        </is>
      </c>
      <c r="AF1575" s="4" t="inlineStr">
        <is>
          <t>tipo: codo-90 · material: PVC · medida: 3/4"</t>
        </is>
      </c>
    </row>
    <row r="1576">
      <c r="A1576" s="3" t="inlineStr">
        <is>
          <t>MAT-32-215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 1/2"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44.53</v>
      </c>
      <c r="L1576" s="6" t="n">
        <v>28.52</v>
      </c>
      <c r="M1576" s="6" t="n">
        <v>55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1 1/2"</t>
        </is>
      </c>
    </row>
    <row r="1577">
      <c r="A1577" s="3" t="inlineStr">
        <is>
          <t>MAT-32-216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1/2"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10</v>
      </c>
      <c r="L1577" s="6" t="n">
        <v>5.75</v>
      </c>
      <c r="M1577" s="6" t="n">
        <v>15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1/2"</t>
        </is>
      </c>
    </row>
    <row r="1578">
      <c r="A1578" s="3" t="inlineStr">
        <is>
          <t>MAT-32-217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1"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20.05</v>
      </c>
      <c r="L1578" s="6" t="n">
        <v>11.38</v>
      </c>
      <c r="M1578" s="6" t="n">
        <v>27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1"</t>
        </is>
      </c>
    </row>
    <row r="1579">
      <c r="A1579" s="3" t="inlineStr">
        <is>
          <t>MAT-32-218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2"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2</v>
      </c>
      <c r="K1579" s="6" t="n">
        <v>67.15000000000001</v>
      </c>
      <c r="L1579" s="6" t="n">
        <v>46.28</v>
      </c>
      <c r="M1579" s="6" t="n">
        <v>145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 · Ferretería Cima</t>
        </is>
      </c>
      <c r="AF1579" s="4" t="inlineStr">
        <is>
          <t>tipo: codo-90 · material: PVC presión · medida: 2"</t>
        </is>
      </c>
    </row>
    <row r="1580">
      <c r="A1580" s="3" t="inlineStr">
        <is>
          <t>MAT-32-219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3/4"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2</v>
      </c>
      <c r="K1580" s="6" t="n">
        <v>12.15</v>
      </c>
      <c r="L1580" s="6" t="n">
        <v>8.42</v>
      </c>
      <c r="M1580" s="6" t="n">
        <v>15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 · Ferretería Cima</t>
        </is>
      </c>
      <c r="AF1580" s="4" t="inlineStr">
        <is>
          <t>tipo: codo-90 · material: PVC presión · medida: 3/4"</t>
        </is>
      </c>
    </row>
    <row r="1581">
      <c r="A1581" s="3" t="inlineStr">
        <is>
          <t>MAT-32-220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3"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2</v>
      </c>
      <c r="K1581" s="6" t="n">
        <v>187.35</v>
      </c>
      <c r="L1581" s="6" t="n">
        <v>126</v>
      </c>
      <c r="M1581" s="6" t="n">
        <v>233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 · Ferretería Cima</t>
        </is>
      </c>
      <c r="AF1581" s="4" t="inlineStr">
        <is>
          <t>tipo: codo-90 · material: PVC presión · medida: 3"</t>
        </is>
      </c>
    </row>
    <row r="1582">
      <c r="A1582" s="3" t="inlineStr">
        <is>
          <t>MAT-32-221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4"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2</v>
      </c>
      <c r="K1582" s="6" t="n">
        <v>309.43</v>
      </c>
      <c r="L1582" s="6" t="n">
        <v>206</v>
      </c>
      <c r="M1582" s="6" t="n">
        <v>370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 · Ferretería Cima</t>
        </is>
      </c>
      <c r="AF1582" s="4" t="inlineStr">
        <is>
          <t>tipo: codo-90 · material: PVC presión · medida: 4"</t>
        </is>
      </c>
    </row>
    <row r="1583">
      <c r="A1583" s="3" t="inlineStr">
        <is>
          <t>MAT-32-222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6"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787.5</v>
      </c>
      <c r="L1583" s="6" t="n">
        <v>710</v>
      </c>
      <c r="M1583" s="6" t="n">
        <v>865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codo-90 · material: PVC presión · medida: 6"</t>
        </is>
      </c>
    </row>
    <row r="1584">
      <c r="A1584" s="3" t="inlineStr">
        <is>
          <t>MAT-32-223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PVC presión 8"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4205</v>
      </c>
      <c r="L1584" s="6" t="n">
        <v>4205</v>
      </c>
      <c r="M1584" s="6" t="n">
        <v>4205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codo-90 · material: PVC presión · medida: 8"</t>
        </is>
      </c>
    </row>
    <row r="1585">
      <c r="A1585" s="3" t="inlineStr">
        <is>
          <t>MAT-32-224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1/2"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195</v>
      </c>
      <c r="L1585" s="6" t="n">
        <v>195</v>
      </c>
      <c r="M1585" s="6" t="n">
        <v>195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1/2"</t>
        </is>
      </c>
    </row>
    <row r="1586">
      <c r="A1586" s="3" t="inlineStr">
        <is>
          <t>MAT-32-225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1/4"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65</v>
      </c>
      <c r="L1586" s="6" t="n">
        <v>60</v>
      </c>
      <c r="M1586" s="6" t="n">
        <v>70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1/4"</t>
        </is>
      </c>
    </row>
    <row r="1587">
      <c r="A1587" s="3" t="inlineStr">
        <is>
          <t>MAT-32-226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407</v>
      </c>
      <c r="L1587" s="6" t="n">
        <v>407</v>
      </c>
      <c r="M1587" s="6" t="n">
        <v>407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12"</t>
        </is>
      </c>
    </row>
    <row r="1588">
      <c r="A1588" s="3" t="inlineStr">
        <is>
          <t>MAT-32-227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12" x 1/2"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287</v>
      </c>
      <c r="L1588" s="6" t="n">
        <v>279</v>
      </c>
      <c r="M1588" s="6" t="n">
        <v>295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12" x 1/2"</t>
        </is>
      </c>
    </row>
    <row r="1589">
      <c r="A1589" s="3" t="inlineStr">
        <is>
          <t>MAT-32-228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432</v>
      </c>
      <c r="L1589" s="6" t="n">
        <v>422</v>
      </c>
      <c r="M1589" s="6" t="n">
        <v>442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15"</t>
        </is>
      </c>
    </row>
    <row r="1590">
      <c r="A1590" s="3" t="inlineStr">
        <is>
          <t>MAT-32-229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15" x 1/2"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294.5</v>
      </c>
      <c r="L1590" s="6" t="n">
        <v>269</v>
      </c>
      <c r="M1590" s="6" t="n">
        <v>320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15" x 1/2"</t>
        </is>
      </c>
    </row>
    <row r="1591">
      <c r="A1591" s="3" t="inlineStr">
        <is>
          <t>MAT-32-230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15" x 3/4"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430</v>
      </c>
      <c r="L1591" s="6" t="n">
        <v>430</v>
      </c>
      <c r="M1591" s="6" t="n">
        <v>430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15" x 3/4"</t>
        </is>
      </c>
    </row>
    <row r="1592">
      <c r="A1592" s="3" t="inlineStr">
        <is>
          <t>MAT-32-231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592</v>
      </c>
      <c r="L1592" s="6" t="n">
        <v>592</v>
      </c>
      <c r="M1592" s="6" t="n">
        <v>592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18"</t>
        </is>
      </c>
    </row>
    <row r="1593">
      <c r="A1593" s="3" t="inlineStr">
        <is>
          <t>MAT-32-232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18" x 1/2"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421</v>
      </c>
      <c r="L1593" s="6" t="n">
        <v>370</v>
      </c>
      <c r="M1593" s="6" t="n">
        <v>472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18" x 1/2"</t>
        </is>
      </c>
    </row>
    <row r="1594">
      <c r="A1594" s="3" t="inlineStr">
        <is>
          <t>MAT-32-233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18" x 3/4"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499</v>
      </c>
      <c r="L1594" s="6" t="n">
        <v>415</v>
      </c>
      <c r="M1594" s="6" t="n">
        <v>583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18" x 3/4"</t>
        </is>
      </c>
    </row>
    <row r="1595">
      <c r="A1595" s="3" t="inlineStr">
        <is>
          <t>MAT-32-234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25 mm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724</v>
      </c>
      <c r="L1595" s="6" t="n">
        <v>724</v>
      </c>
      <c r="M1595" s="6" t="n">
        <v>724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25 mm</t>
        </is>
      </c>
    </row>
    <row r="1596">
      <c r="A1596" s="3" t="inlineStr">
        <is>
          <t>MAT-32-235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25"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500</v>
      </c>
      <c r="L1596" s="6" t="n">
        <v>500</v>
      </c>
      <c r="M1596" s="6" t="n">
        <v>500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</t>
        </is>
      </c>
      <c r="AF1596" s="4" t="inlineStr">
        <is>
          <t>tipo: codo · material: bronce · medida: 25"</t>
        </is>
      </c>
    </row>
    <row r="1597">
      <c r="A1597" s="3" t="inlineStr">
        <is>
          <t>MAT-32-236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3/8"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147</v>
      </c>
      <c r="L1597" s="6" t="n">
        <v>99</v>
      </c>
      <c r="M1597" s="6" t="n">
        <v>195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2026-09-10</t>
        </is>
      </c>
      <c r="Q1597" s="4" t="inlineStr">
        <is>
          <t>Bellón</t>
        </is>
      </c>
      <c r="AF1597" s="4" t="inlineStr">
        <is>
          <t>tipo: codo · material: bronce · medida: 3/8"</t>
        </is>
      </c>
    </row>
    <row r="1598">
      <c r="A1598" s="3" t="inlineStr">
        <is>
          <t>MAT-32-237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32 mm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1429</v>
      </c>
      <c r="L1598" s="6" t="n">
        <v>1429</v>
      </c>
      <c r="M1598" s="6" t="n">
        <v>1429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</t>
        </is>
      </c>
      <c r="AF1598" s="4" t="inlineStr">
        <is>
          <t>tipo: codo · material: bronce · medida: 32 mm</t>
        </is>
      </c>
    </row>
    <row r="1599">
      <c r="A1599" s="3" t="inlineStr">
        <is>
          <t>MAT-32-238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bronce 32"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882</v>
      </c>
      <c r="L1599" s="6" t="n">
        <v>882</v>
      </c>
      <c r="M1599" s="6" t="n">
        <v>882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2026-09-10</t>
        </is>
      </c>
      <c r="Q1599" s="4" t="inlineStr">
        <is>
          <t>Bellón</t>
        </is>
      </c>
      <c r="AF1599" s="4" t="inlineStr">
        <is>
          <t>tipo: codo · material: bronce · medida: 32"</t>
        </is>
      </c>
    </row>
    <row r="1600">
      <c r="A1600" s="3" t="inlineStr">
        <is>
          <t>MAT-32-239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 1/2"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2</v>
      </c>
      <c r="K1600" s="6" t="n">
        <v>184</v>
      </c>
      <c r="L1600" s="6" t="n">
        <v>134</v>
      </c>
      <c r="M1600" s="6" t="n">
        <v>234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2026-09-10</t>
        </is>
      </c>
      <c r="Q1600" s="4" t="inlineStr">
        <is>
          <t>Bellón · Ferretería Cima</t>
        </is>
      </c>
      <c r="AF1600" s="4" t="inlineStr">
        <is>
          <t>tipo: codo · material: HG · medida: 1 1/2"</t>
        </is>
      </c>
    </row>
    <row r="1601">
      <c r="A1601" s="3" t="inlineStr">
        <is>
          <t>MAT-32-240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 1/4"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130</v>
      </c>
      <c r="L1601" s="6" t="n">
        <v>130</v>
      </c>
      <c r="M1601" s="6" t="n">
        <v>130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F1601" s="4" t="inlineStr">
        <is>
          <t>tipo: codo · material: HG · medida: 1 1/4"</t>
        </is>
      </c>
    </row>
    <row r="1602">
      <c r="A1602" s="3" t="inlineStr">
        <is>
          <t>MAT-32-241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1/2"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2</v>
      </c>
      <c r="K1602" s="6" t="n">
        <v>28</v>
      </c>
      <c r="L1602" s="6" t="n">
        <v>26</v>
      </c>
      <c r="M1602" s="6" t="n">
        <v>30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2026-09-10</t>
        </is>
      </c>
      <c r="Q1602" s="4" t="inlineStr">
        <is>
          <t>Bellón · Ferretería Cima</t>
        </is>
      </c>
      <c r="AF1602" s="4" t="inlineStr">
        <is>
          <t>tipo: codo · material: HG · medida: 1/2"</t>
        </is>
      </c>
    </row>
    <row r="1603">
      <c r="A1603" s="3" t="inlineStr">
        <is>
          <t>MAT-32-242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1/4"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75</v>
      </c>
      <c r="L1603" s="6" t="n">
        <v>75</v>
      </c>
      <c r="M1603" s="6" t="n">
        <v>75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1/4"</t>
        </is>
      </c>
    </row>
    <row r="1604">
      <c r="A1604" s="3" t="inlineStr">
        <is>
          <t>MAT-32-243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1"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65</v>
      </c>
      <c r="L1604" s="6" t="n">
        <v>65</v>
      </c>
      <c r="M1604" s="6" t="n">
        <v>65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4" t="inlineStr">
        <is>
          <t>tipo: codo · material: HG · medida: 1"</t>
        </is>
      </c>
    </row>
    <row r="1605">
      <c r="A1605" s="3" t="inlineStr">
        <is>
          <t>MAT-32-244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2"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2</v>
      </c>
      <c r="K1605" s="6" t="n">
        <v>241</v>
      </c>
      <c r="L1605" s="6" t="n">
        <v>191</v>
      </c>
      <c r="M1605" s="6" t="n">
        <v>291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2026-09-10</t>
        </is>
      </c>
      <c r="Q1605" s="4" t="inlineStr">
        <is>
          <t>Bellón · Ferretería Cima</t>
        </is>
      </c>
      <c r="AF1605" s="4" t="inlineStr">
        <is>
          <t>tipo: codo · material: HG · medida: 2"</t>
        </is>
      </c>
    </row>
    <row r="1606">
      <c r="A1606" s="3" t="inlineStr">
        <is>
          <t>MAT-32-245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3/4"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51</v>
      </c>
      <c r="L1606" s="6" t="n">
        <v>51</v>
      </c>
      <c r="M1606" s="6" t="n">
        <v>51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codo · material: HG · medida: 3/4"</t>
        </is>
      </c>
    </row>
    <row r="1607">
      <c r="A1607" s="3" t="inlineStr">
        <is>
          <t>MAT-32-246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HG 3/8"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50</v>
      </c>
      <c r="L1607" s="6" t="n">
        <v>50</v>
      </c>
      <c r="M1607" s="6" t="n">
        <v>50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codo · material: HG · medida: 3/8"</t>
        </is>
      </c>
    </row>
    <row r="1608">
      <c r="A1608" s="3" t="inlineStr">
        <is>
          <t>MAT-32-247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niquelado 1/2"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363</v>
      </c>
      <c r="L1608" s="6" t="n">
        <v>363</v>
      </c>
      <c r="M1608" s="6" t="n">
        <v>363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F1608" s="4" t="inlineStr">
        <is>
          <t>tipo: codo · material: niquelado · medida: 1/2"</t>
        </is>
      </c>
    </row>
    <row r="1609">
      <c r="A1609" s="3" t="inlineStr">
        <is>
          <t>MAT-32-248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plástico 16 mm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28.58</v>
      </c>
      <c r="L1609" s="6" t="n">
        <v>28.58</v>
      </c>
      <c r="M1609" s="6" t="n">
        <v>28.58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plástico · medida: 16 mm</t>
        </is>
      </c>
    </row>
    <row r="1610">
      <c r="A1610" s="3" t="inlineStr">
        <is>
          <t>MAT-32-249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20 mm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65.56999999999999</v>
      </c>
      <c r="L1610" s="6" t="n">
        <v>8.59</v>
      </c>
      <c r="M1610" s="6" t="n">
        <v>78.45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PPR · medida: 20 mm</t>
        </is>
      </c>
    </row>
    <row r="1611">
      <c r="A1611" s="3" t="inlineStr">
        <is>
          <t>MAT-32-250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PPR 25 mm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80</v>
      </c>
      <c r="L1611" s="6" t="n">
        <v>15.37</v>
      </c>
      <c r="M1611" s="6" t="n">
        <v>128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2026-09-10</t>
        </is>
      </c>
      <c r="Q1611" s="4" t="inlineStr">
        <is>
          <t>Bellón</t>
        </is>
      </c>
      <c r="AF1611" s="4" t="inlineStr">
        <is>
          <t>tipo: codo · material: PPR · medida: 25 mm</t>
        </is>
      </c>
    </row>
    <row r="1612">
      <c r="A1612" s="3" t="inlineStr">
        <is>
          <t>MAT-32-251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PPR 32 mm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92.89</v>
      </c>
      <c r="L1612" s="6" t="n">
        <v>87.15000000000001</v>
      </c>
      <c r="M1612" s="6" t="n">
        <v>228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2026-09-10</t>
        </is>
      </c>
      <c r="Q1612" s="4" t="inlineStr">
        <is>
          <t>Bellón</t>
        </is>
      </c>
      <c r="AF1612" s="4" t="inlineStr">
        <is>
          <t>tipo: codo · material: PPR · medida: 32 mm</t>
        </is>
      </c>
    </row>
    <row r="1613">
      <c r="A1613" s="3" t="inlineStr">
        <is>
          <t>MAT-32-252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PVC 1" x 1"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47.12</v>
      </c>
      <c r="L1613" s="6" t="n">
        <v>47.12</v>
      </c>
      <c r="M1613" s="6" t="n">
        <v>47.12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2026-09-10</t>
        </is>
      </c>
      <c r="Q1613" s="4" t="inlineStr">
        <is>
          <t>Bellón</t>
        </is>
      </c>
      <c r="AF1613" s="4" t="inlineStr">
        <is>
          <t>tipo: codo · material: PVC · medida: 1" x 1"</t>
        </is>
      </c>
    </row>
    <row r="1614">
      <c r="A1614" s="3" t="inlineStr">
        <is>
          <t>MAT-32-253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PVC 3/4"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40</v>
      </c>
      <c r="L1614" s="6" t="n">
        <v>40</v>
      </c>
      <c r="M1614" s="6" t="n">
        <v>40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2026-09-10</t>
        </is>
      </c>
      <c r="Q1614" s="4" t="inlineStr">
        <is>
          <t>Bellón</t>
        </is>
      </c>
      <c r="AF1614" s="4" t="inlineStr">
        <is>
          <t>tipo: codo · material: PVC · medida: 3/4"</t>
        </is>
      </c>
    </row>
    <row r="1615">
      <c r="A1615" s="3" t="inlineStr">
        <is>
          <t>MAT-32-254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bronce 3/8"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179</v>
      </c>
      <c r="L1615" s="6" t="n">
        <v>179</v>
      </c>
      <c r="M1615" s="6" t="n">
        <v>179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bronce · medida: 3/8"</t>
        </is>
      </c>
    </row>
    <row r="1616">
      <c r="A1616" s="3" t="inlineStr">
        <is>
          <t>MAT-32-255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 1/2"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215</v>
      </c>
      <c r="L1616" s="6" t="n">
        <v>215</v>
      </c>
      <c r="M1616" s="6" t="n">
        <v>215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 1/2"</t>
        </is>
      </c>
    </row>
    <row r="1617">
      <c r="A1617" s="3" t="inlineStr">
        <is>
          <t>MAT-32-256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 1/4"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160</v>
      </c>
      <c r="L1617" s="6" t="n">
        <v>160</v>
      </c>
      <c r="M1617" s="6" t="n">
        <v>160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1 1/4"</t>
        </is>
      </c>
    </row>
    <row r="1618">
      <c r="A1618" s="3" t="inlineStr">
        <is>
          <t>MAT-32-257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1/2"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45</v>
      </c>
      <c r="L1618" s="6" t="n">
        <v>45</v>
      </c>
      <c r="M1618" s="6" t="n">
        <v>45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1/2"</t>
        </is>
      </c>
    </row>
    <row r="1619">
      <c r="A1619" s="3" t="inlineStr">
        <is>
          <t>MAT-32-258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1/4"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39</v>
      </c>
      <c r="L1619" s="6" t="n">
        <v>39</v>
      </c>
      <c r="M1619" s="6" t="n">
        <v>39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HG · medida: 1/4"</t>
        </is>
      </c>
    </row>
    <row r="1620">
      <c r="A1620" s="3" t="inlineStr">
        <is>
          <t>MAT-32-259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1"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149</v>
      </c>
      <c r="L1620" s="6" t="n">
        <v>149</v>
      </c>
      <c r="M1620" s="6" t="n">
        <v>149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codoniple · material: HG · medida: 1"</t>
        </is>
      </c>
    </row>
    <row r="1621">
      <c r="A1621" s="3" t="inlineStr">
        <is>
          <t>MAT-32-260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2"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266</v>
      </c>
      <c r="L1621" s="6" t="n">
        <v>266</v>
      </c>
      <c r="M1621" s="6" t="n">
        <v>266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codoniple · material: HG · medida: 2"</t>
        </is>
      </c>
    </row>
    <row r="1622">
      <c r="A1622" s="3" t="inlineStr">
        <is>
          <t>MAT-32-261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HG 3/4"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92</v>
      </c>
      <c r="L1622" s="6" t="n">
        <v>92</v>
      </c>
      <c r="M1622" s="6" t="n">
        <v>92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codoniple · material: HG · medida: 3/4"</t>
        </is>
      </c>
    </row>
    <row r="1623">
      <c r="A1623" s="3" t="inlineStr">
        <is>
          <t>MAT-32-262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niple de niquelado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333</v>
      </c>
      <c r="L1623" s="6" t="n">
        <v>333</v>
      </c>
      <c r="M1623" s="6" t="n">
        <v>333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codoniple · material: niquelado · medida: 1/2"</t>
        </is>
      </c>
    </row>
    <row r="1624">
      <c r="A1624" s="3" t="inlineStr">
        <is>
          <t>MAT-32-263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 1/2"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199</v>
      </c>
      <c r="L1624" s="6" t="n">
        <v>199</v>
      </c>
      <c r="M1624" s="6" t="n">
        <v>199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1 1/2"</t>
        </is>
      </c>
    </row>
    <row r="1625">
      <c r="A1625" s="3" t="inlineStr">
        <is>
          <t>MAT-32-264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 1/4"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141</v>
      </c>
      <c r="L1625" s="6" t="n">
        <v>141</v>
      </c>
      <c r="M1625" s="6" t="n">
        <v>141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1 1/4"</t>
        </is>
      </c>
    </row>
    <row r="1626">
      <c r="A1626" s="3" t="inlineStr">
        <is>
          <t>MAT-32-265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1/2"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25</v>
      </c>
      <c r="L1626" s="6" t="n">
        <v>25</v>
      </c>
      <c r="M1626" s="6" t="n">
        <v>25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1/2"</t>
        </is>
      </c>
    </row>
    <row r="1627">
      <c r="A1627" s="3" t="inlineStr">
        <is>
          <t>MAT-32-266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1"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65</v>
      </c>
      <c r="L1627" s="6" t="n">
        <v>65</v>
      </c>
      <c r="M1627" s="6" t="n">
        <v>65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HG · medida: 1"</t>
        </is>
      </c>
    </row>
    <row r="1628">
      <c r="A1628" s="3" t="inlineStr">
        <is>
          <t>MAT-32-267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2"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237</v>
      </c>
      <c r="L1628" s="6" t="n">
        <v>237</v>
      </c>
      <c r="M1628" s="6" t="n">
        <v>237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HG · medida: 2"</t>
        </is>
      </c>
    </row>
    <row r="1629">
      <c r="A1629" s="3" t="inlineStr">
        <is>
          <t>MAT-32-268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3/4"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35</v>
      </c>
      <c r="L1629" s="6" t="n">
        <v>35</v>
      </c>
      <c r="M1629" s="6" t="n">
        <v>35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HG · medida: 3/4"</t>
        </is>
      </c>
    </row>
    <row r="1630">
      <c r="A1630" s="3" t="inlineStr">
        <is>
          <t>MAT-32-269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HG 3/8"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42</v>
      </c>
      <c r="L1630" s="6" t="n">
        <v>42</v>
      </c>
      <c r="M1630" s="6" t="n">
        <v>42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HG · medida: 3/8"</t>
        </is>
      </c>
    </row>
    <row r="1631">
      <c r="A1631" s="3" t="inlineStr">
        <is>
          <t>MAT-32-270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niquelado 1/2"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247</v>
      </c>
      <c r="L1631" s="6" t="n">
        <v>247</v>
      </c>
      <c r="M1631" s="6" t="n">
        <v>247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niquelado · medida: 1/2"</t>
        </is>
      </c>
    </row>
    <row r="1632">
      <c r="A1632" s="3" t="inlineStr">
        <is>
          <t>MAT-32-271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PPR 25 mm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40</v>
      </c>
      <c r="L1632" s="6" t="n">
        <v>40</v>
      </c>
      <c r="M1632" s="6" t="n">
        <v>40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PPR · medida: 25 mm</t>
        </is>
      </c>
    </row>
    <row r="1633">
      <c r="A1633" s="3" t="inlineStr">
        <is>
          <t>MAT-32-272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PPR 32 mm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35</v>
      </c>
      <c r="L1633" s="6" t="n">
        <v>35</v>
      </c>
      <c r="M1633" s="6" t="n">
        <v>35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PPR · medida: 32 mm</t>
        </is>
      </c>
    </row>
    <row r="1634">
      <c r="A1634" s="3" t="inlineStr">
        <is>
          <t>MAT-32-273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 1/2"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65</v>
      </c>
      <c r="L1634" s="6" t="n">
        <v>65</v>
      </c>
      <c r="M1634" s="6" t="n">
        <v>65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1 1/2"</t>
        </is>
      </c>
    </row>
    <row r="1635">
      <c r="A1635" s="3" t="inlineStr">
        <is>
          <t>MAT-32-274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1/2"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27</v>
      </c>
      <c r="L1635" s="6" t="n">
        <v>27</v>
      </c>
      <c r="M1635" s="6" t="n">
        <v>27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1/2"</t>
        </is>
      </c>
    </row>
    <row r="1636">
      <c r="A1636" s="3" t="inlineStr">
        <is>
          <t>MAT-32-275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1"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41</v>
      </c>
      <c r="L1636" s="6" t="n">
        <v>41</v>
      </c>
      <c r="M1636" s="6" t="n">
        <v>41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1"</t>
        </is>
      </c>
    </row>
    <row r="1637">
      <c r="A1637" s="3" t="inlineStr">
        <is>
          <t>MAT-32-276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2"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95</v>
      </c>
      <c r="L1637" s="6" t="n">
        <v>95</v>
      </c>
      <c r="M1637" s="6" t="n">
        <v>95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coupling · material: PVC presión · medida: 2"</t>
        </is>
      </c>
    </row>
    <row r="1638">
      <c r="A1638" s="3" t="inlineStr">
        <is>
          <t>MAT-32-277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3/4"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26</v>
      </c>
      <c r="L1638" s="6" t="n">
        <v>26</v>
      </c>
      <c r="M1638" s="6" t="n">
        <v>26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coupling · material: PVC presión · medida: 3/4"</t>
        </is>
      </c>
    </row>
    <row r="1639">
      <c r="A1639" s="3" t="inlineStr">
        <is>
          <t>MAT-32-278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3"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215</v>
      </c>
      <c r="L1639" s="6" t="n">
        <v>215</v>
      </c>
      <c r="M1639" s="6" t="n">
        <v>215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coupling · material: PVC presión · medida: 3"</t>
        </is>
      </c>
    </row>
    <row r="1640">
      <c r="A1640" s="3" t="inlineStr">
        <is>
          <t>MAT-32-279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Coupling de PVC presión 4"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335</v>
      </c>
      <c r="L1640" s="6" t="n">
        <v>335</v>
      </c>
      <c r="M1640" s="6" t="n">
        <v>335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coupling · material: PVC presión · medida: 4"</t>
        </is>
      </c>
    </row>
    <row r="1641">
      <c r="A1641" s="3" t="inlineStr">
        <is>
          <t>MAT-32-280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Cruz de PVC presión 1"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136</v>
      </c>
      <c r="L1641" s="6" t="n">
        <v>136</v>
      </c>
      <c r="M1641" s="6" t="n">
        <v>136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cruz · material: PVC presión · medida: 1"</t>
        </is>
      </c>
    </row>
    <row r="1642">
      <c r="A1642" s="3" t="inlineStr">
        <is>
          <t>MAT-32-281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1/2" x 1/4"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165</v>
      </c>
      <c r="L1642" s="6" t="n">
        <v>165</v>
      </c>
      <c r="M1642" s="6" t="n">
        <v>165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fitting · material: manguera · medida: 1/2" x 1/4"</t>
        </is>
      </c>
    </row>
    <row r="1643">
      <c r="A1643" s="3" t="inlineStr">
        <is>
          <t>MAT-32-282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1/2" x 3/8"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205</v>
      </c>
      <c r="L1643" s="6" t="n">
        <v>205</v>
      </c>
      <c r="M1643" s="6" t="n">
        <v>205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fitting · material: manguera · medida: 1/2" x 3/8"</t>
        </is>
      </c>
    </row>
    <row r="1644">
      <c r="A1644" s="3" t="inlineStr">
        <is>
          <t>MAT-32-283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Fitting de manguera 1/4" x 3/8"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122</v>
      </c>
      <c r="L1644" s="6" t="n">
        <v>122</v>
      </c>
      <c r="M1644" s="6" t="n">
        <v>122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fitting · material: manguera · medida: 1/4" x 3/8"</t>
        </is>
      </c>
    </row>
    <row r="1645">
      <c r="A1645" s="3" t="inlineStr">
        <is>
          <t>MAT-32-284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Fitting de manguera 3/8" x 1/4"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102</v>
      </c>
      <c r="L1645" s="6" t="n">
        <v>102</v>
      </c>
      <c r="M1645" s="6" t="n">
        <v>102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fitting · material: manguera · medida: 3/8" x 1/4"</t>
        </is>
      </c>
    </row>
    <row r="1646">
      <c r="A1646" s="3" t="inlineStr">
        <is>
          <t>MAT-32-285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 1/2"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308</v>
      </c>
      <c r="L1646" s="6" t="n">
        <v>308</v>
      </c>
      <c r="M1646" s="6" t="n">
        <v>308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2026-09-09</t>
        </is>
      </c>
      <c r="Q1646" s="4" t="inlineStr">
        <is>
          <t>Ferretería Cima</t>
        </is>
      </c>
      <c r="AF1646" s="4" t="inlineStr">
        <is>
          <t>tipo: junta · material: PVC · medida: 1 1/2"</t>
        </is>
      </c>
    </row>
    <row r="1647">
      <c r="A1647" s="3" t="inlineStr">
        <is>
          <t>MAT-32-286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1/2"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86</v>
      </c>
      <c r="L1647" s="6" t="n">
        <v>86</v>
      </c>
      <c r="M1647" s="6" t="n">
        <v>86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2026-09-09</t>
        </is>
      </c>
      <c r="Q1647" s="4" t="inlineStr">
        <is>
          <t>Ferretería Cima</t>
        </is>
      </c>
      <c r="AF1647" s="4" t="inlineStr">
        <is>
          <t>tipo: junta · material: PVC · medida: 1/2"</t>
        </is>
      </c>
    </row>
    <row r="1648">
      <c r="A1648" s="3" t="inlineStr">
        <is>
          <t>MAT-32-287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Junta de PVC 1"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160</v>
      </c>
      <c r="L1648" s="6" t="n">
        <v>160</v>
      </c>
      <c r="M1648" s="6" t="n">
        <v>160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2026-09-09</t>
        </is>
      </c>
      <c r="Q1648" s="4" t="inlineStr">
        <is>
          <t>Ferretería Cima</t>
        </is>
      </c>
      <c r="AF1648" s="4" t="inlineStr">
        <is>
          <t>tipo: junta · material: PVC · medida: 1"</t>
        </is>
      </c>
    </row>
    <row r="1649">
      <c r="A1649" s="3" t="inlineStr">
        <is>
          <t>MAT-32-288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Junta de PVC 3/4"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135</v>
      </c>
      <c r="L1649" s="6" t="n">
        <v>135</v>
      </c>
      <c r="M1649" s="6" t="n">
        <v>135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2026-09-09</t>
        </is>
      </c>
      <c r="Q1649" s="4" t="inlineStr">
        <is>
          <t>Ferretería Cima</t>
        </is>
      </c>
      <c r="AF1649" s="4" t="inlineStr">
        <is>
          <t>tipo: junta · material: PVC · medida: 3/4"</t>
        </is>
      </c>
    </row>
    <row r="1650">
      <c r="A1650" s="3" t="inlineStr">
        <is>
          <t>MAT-32-289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1/2" x 2"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133</v>
      </c>
      <c r="L1650" s="6" t="n">
        <v>133</v>
      </c>
      <c r="M1650" s="6" t="n">
        <v>133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1/2" x 2"</t>
        </is>
      </c>
    </row>
    <row r="1651">
      <c r="A1651" s="3" t="inlineStr">
        <is>
          <t>MAT-32-290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1/2" x 3"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192</v>
      </c>
      <c r="L1651" s="6" t="n">
        <v>192</v>
      </c>
      <c r="M1651" s="6" t="n">
        <v>192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1/2" x 3"</t>
        </is>
      </c>
    </row>
    <row r="1652">
      <c r="A1652" s="3" t="inlineStr">
        <is>
          <t>MAT-32-291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1/4" x 1 1/2"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66</v>
      </c>
      <c r="L1652" s="6" t="n">
        <v>66</v>
      </c>
      <c r="M1652" s="6" t="n">
        <v>66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1/4" x 1 1/2"</t>
        </is>
      </c>
    </row>
    <row r="1653">
      <c r="A1653" s="3" t="inlineStr">
        <is>
          <t>MAT-32-292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1/4" x 3"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165</v>
      </c>
      <c r="L1653" s="6" t="n">
        <v>165</v>
      </c>
      <c r="M1653" s="6" t="n">
        <v>165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</t>
        </is>
      </c>
      <c r="AF1653" s="4" t="inlineStr">
        <is>
          <t>tipo: niple · material: bronce · medida: 1/4" x 3"</t>
        </is>
      </c>
    </row>
    <row r="1654">
      <c r="A1654" s="3" t="inlineStr">
        <is>
          <t>MAT-32-293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1/8" x 1 1/2"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51</v>
      </c>
      <c r="L1654" s="6" t="n">
        <v>51</v>
      </c>
      <c r="M1654" s="6" t="n">
        <v>51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</t>
        </is>
      </c>
      <c r="AF1654" s="4" t="inlineStr">
        <is>
          <t>tipo: niple · material: bronce · medida: 1/8" x 1 1/2"</t>
        </is>
      </c>
    </row>
    <row r="1655">
      <c r="A1655" s="3" t="inlineStr">
        <is>
          <t>MAT-32-294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3/8" x 1 1/2"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87</v>
      </c>
      <c r="L1655" s="6" t="n">
        <v>87</v>
      </c>
      <c r="M1655" s="6" t="n">
        <v>87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bronce · medida: 3/8" x 1 1/2"</t>
        </is>
      </c>
    </row>
    <row r="1656">
      <c r="A1656" s="3" t="inlineStr">
        <is>
          <t>MAT-32-295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bronce 3/8" x 2"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90</v>
      </c>
      <c r="L1656" s="6" t="n">
        <v>90</v>
      </c>
      <c r="M1656" s="6" t="n">
        <v>90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2026-09-10</t>
        </is>
      </c>
      <c r="Q1656" s="4" t="inlineStr">
        <is>
          <t>Bellón</t>
        </is>
      </c>
      <c r="AF1656" s="4" t="inlineStr">
        <is>
          <t>tipo: niple · material: bronce · medida: 3/8" x 2"</t>
        </is>
      </c>
    </row>
    <row r="1657">
      <c r="A1657" s="3" t="inlineStr">
        <is>
          <t>MAT-32-296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1/4" x 1 1/2"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121</v>
      </c>
      <c r="L1657" s="6" t="n">
        <v>121</v>
      </c>
      <c r="M1657" s="6" t="n">
        <v>121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1/4" x 1 1/2"</t>
        </is>
      </c>
    </row>
    <row r="1658">
      <c r="A1658" s="3" t="inlineStr">
        <is>
          <t>MAT-32-297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3/4" x 3"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230</v>
      </c>
      <c r="L1658" s="6" t="n">
        <v>230</v>
      </c>
      <c r="M1658" s="6" t="n">
        <v>230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cobre · medida: 3/4" x 3"</t>
        </is>
      </c>
    </row>
    <row r="1659">
      <c r="A1659" s="3" t="inlineStr">
        <is>
          <t>MAT-32-298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1 1/2"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193</v>
      </c>
      <c r="L1659" s="6" t="n">
        <v>193</v>
      </c>
      <c r="M1659" s="6" t="n">
        <v>193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2026-09-09</t>
        </is>
      </c>
      <c r="Q1659" s="4" t="inlineStr">
        <is>
          <t>Ferretería Cima</t>
        </is>
      </c>
      <c r="AF1659" s="4" t="inlineStr">
        <is>
          <t>tipo: niple · material: cobre · medida: 3/8" x 1 1/2"</t>
        </is>
      </c>
    </row>
    <row r="1660">
      <c r="A1660" s="3" t="inlineStr">
        <is>
          <t>MAT-32-299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cobre 3/8" x 1"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177</v>
      </c>
      <c r="L1660" s="6" t="n">
        <v>177</v>
      </c>
      <c r="M1660" s="6" t="n">
        <v>177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2026-09-09</t>
        </is>
      </c>
      <c r="Q1660" s="4" t="inlineStr">
        <is>
          <t>Ferretería Cima</t>
        </is>
      </c>
      <c r="AF1660" s="4" t="inlineStr">
        <is>
          <t>tipo: niple · material: cobre · medida: 3/8" x 1"</t>
        </is>
      </c>
    </row>
    <row r="1661">
      <c r="A1661" s="3" t="inlineStr">
        <is>
          <t>MAT-32-300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cobre 3/8" x 2"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1</v>
      </c>
      <c r="K1661" s="6" t="n">
        <v>189</v>
      </c>
      <c r="L1661" s="6" t="n">
        <v>189</v>
      </c>
      <c r="M1661" s="6" t="n">
        <v>189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2026-09-09</t>
        </is>
      </c>
      <c r="Q1661" s="4" t="inlineStr">
        <is>
          <t>Ferretería Cima</t>
        </is>
      </c>
      <c r="AF1661" s="4" t="inlineStr">
        <is>
          <t>tipo: niple · material: cobre · medida: 3/8" x 2"</t>
        </is>
      </c>
    </row>
    <row r="1662">
      <c r="A1662" s="3" t="inlineStr">
        <is>
          <t>MAT-32-301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10"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372</v>
      </c>
      <c r="L1662" s="6" t="n">
        <v>372</v>
      </c>
      <c r="M1662" s="6" t="n">
        <v>372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2026-09-09</t>
        </is>
      </c>
      <c r="Q1662" s="4" t="inlineStr">
        <is>
          <t>Ferretería Cima</t>
        </is>
      </c>
      <c r="AF1662" s="4" t="inlineStr">
        <is>
          <t>tipo: niple · material: HG · medida: 1 1/2" x 10"</t>
        </is>
      </c>
    </row>
    <row r="1663">
      <c r="A1663" s="3" t="inlineStr">
        <is>
          <t>MAT-32-302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2 1/2"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82</v>
      </c>
      <c r="L1663" s="6" t="n">
        <v>82</v>
      </c>
      <c r="M1663" s="6" t="n">
        <v>82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2 1/2"</t>
        </is>
      </c>
    </row>
    <row r="1664">
      <c r="A1664" s="3" t="inlineStr">
        <is>
          <t>MAT-32-303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2"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1</v>
      </c>
      <c r="K1664" s="6" t="n">
        <v>85</v>
      </c>
      <c r="L1664" s="6" t="n">
        <v>85</v>
      </c>
      <c r="M1664" s="6" t="n">
        <v>85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</t>
        </is>
      </c>
      <c r="AF1664" s="4" t="inlineStr">
        <is>
          <t>tipo: niple · material: HG · medida: 1 1/2" x 2"</t>
        </is>
      </c>
    </row>
    <row r="1665">
      <c r="A1665" s="3" t="inlineStr">
        <is>
          <t>MAT-32-304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3"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144.5</v>
      </c>
      <c r="L1665" s="6" t="n">
        <v>102</v>
      </c>
      <c r="M1665" s="6" t="n">
        <v>187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1 1/2" x 3"</t>
        </is>
      </c>
    </row>
    <row r="1666">
      <c r="A1666" s="3" t="inlineStr">
        <is>
          <t>MAT-32-305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4"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2</v>
      </c>
      <c r="K1666" s="6" t="n">
        <v>180.5</v>
      </c>
      <c r="L1666" s="6" t="n">
        <v>104</v>
      </c>
      <c r="M1666" s="6" t="n">
        <v>257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 · Ferretería Cima</t>
        </is>
      </c>
      <c r="AF1666" s="4" t="inlineStr">
        <is>
          <t>tipo: niple · material: HG · medida: 1 1/2" x 4"</t>
        </is>
      </c>
    </row>
    <row r="1667">
      <c r="A1667" s="3" t="inlineStr">
        <is>
          <t>MAT-32-306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5"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1</v>
      </c>
      <c r="K1667" s="6" t="n">
        <v>150</v>
      </c>
      <c r="L1667" s="6" t="n">
        <v>150</v>
      </c>
      <c r="M1667" s="6" t="n">
        <v>150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</t>
        </is>
      </c>
      <c r="AF1667" s="4" t="inlineStr">
        <is>
          <t>tipo: niple · material: HG · medida: 1 1/2" x 5"</t>
        </is>
      </c>
    </row>
    <row r="1668">
      <c r="A1668" s="3" t="inlineStr">
        <is>
          <t>MAT-32-307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1/2" x 6"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2</v>
      </c>
      <c r="K1668" s="6" t="n">
        <v>260</v>
      </c>
      <c r="L1668" s="6" t="n">
        <v>141</v>
      </c>
      <c r="M1668" s="6" t="n">
        <v>379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 · Ferretería Cima</t>
        </is>
      </c>
      <c r="AF1668" s="4" t="inlineStr">
        <is>
          <t>tipo: niple · material: HG · medida: 1 1/2" x 6"</t>
        </is>
      </c>
    </row>
    <row r="1669">
      <c r="A1669" s="3" t="inlineStr">
        <is>
          <t>MAT-32-308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2"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1</v>
      </c>
      <c r="K1669" s="6" t="n">
        <v>170</v>
      </c>
      <c r="L1669" s="6" t="n">
        <v>170</v>
      </c>
      <c r="M1669" s="6" t="n">
        <v>170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2026-09-09</t>
        </is>
      </c>
      <c r="Q1669" s="4" t="inlineStr">
        <is>
          <t>Ferretería Cima</t>
        </is>
      </c>
      <c r="AF1669" s="4" t="inlineStr">
        <is>
          <t>tipo: niple · material: HG · medida: 1 1/4" x 2"</t>
        </is>
      </c>
    </row>
    <row r="1670">
      <c r="A1670" s="3" t="inlineStr">
        <is>
          <t>MAT-32-309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3"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126</v>
      </c>
      <c r="L1670" s="6" t="n">
        <v>78</v>
      </c>
      <c r="M1670" s="6" t="n">
        <v>174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 1/4" x 3"</t>
        </is>
      </c>
    </row>
    <row r="1671">
      <c r="A1671" s="3" t="inlineStr">
        <is>
          <t>MAT-32-310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4"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2</v>
      </c>
      <c r="K1671" s="6" t="n">
        <v>146</v>
      </c>
      <c r="L1671" s="6" t="n">
        <v>101</v>
      </c>
      <c r="M1671" s="6" t="n">
        <v>191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 · Ferretería Cima</t>
        </is>
      </c>
      <c r="AF1671" s="4" t="inlineStr">
        <is>
          <t>tipo: niple · material: HG · medida: 1 1/4" x 4"</t>
        </is>
      </c>
    </row>
    <row r="1672">
      <c r="A1672" s="3" t="inlineStr">
        <is>
          <t>MAT-32-311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1/4" x 5"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1</v>
      </c>
      <c r="K1672" s="6" t="n">
        <v>98</v>
      </c>
      <c r="L1672" s="6" t="n">
        <v>98</v>
      </c>
      <c r="M1672" s="6" t="n">
        <v>98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</t>
        </is>
      </c>
      <c r="AF1672" s="4" t="inlineStr">
        <is>
          <t>tipo: niple · material: HG · medida: 1 1/4" x 5"</t>
        </is>
      </c>
    </row>
    <row r="1673">
      <c r="A1673" s="3" t="inlineStr">
        <is>
          <t>MAT-32-312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 1/4" x 6"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177</v>
      </c>
      <c r="L1673" s="6" t="n">
        <v>118</v>
      </c>
      <c r="M1673" s="6" t="n">
        <v>236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 1/4" x 6"</t>
        </is>
      </c>
    </row>
    <row r="1674">
      <c r="A1674" s="3" t="inlineStr">
        <is>
          <t>MAT-32-313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 1/2"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46.24</v>
      </c>
      <c r="L1674" s="6" t="n">
        <v>17.47</v>
      </c>
      <c r="M1674" s="6" t="n">
        <v>75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1 1/2"</t>
        </is>
      </c>
    </row>
    <row r="1675">
      <c r="A1675" s="3" t="inlineStr">
        <is>
          <t>MAT-32-314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10"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157</v>
      </c>
      <c r="L1675" s="6" t="n">
        <v>115</v>
      </c>
      <c r="M1675" s="6" t="n">
        <v>199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10"</t>
        </is>
      </c>
    </row>
    <row r="1676">
      <c r="A1676" s="3" t="inlineStr">
        <is>
          <t>MAT-32-315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12"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189</v>
      </c>
      <c r="L1676" s="6" t="n">
        <v>119</v>
      </c>
      <c r="M1676" s="6" t="n">
        <v>259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12"</t>
        </is>
      </c>
    </row>
    <row r="1677">
      <c r="A1677" s="3" t="inlineStr">
        <is>
          <t>MAT-32-316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1"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41.69</v>
      </c>
      <c r="L1677" s="6" t="n">
        <v>16.38</v>
      </c>
      <c r="M1677" s="6" t="n">
        <v>67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1"</t>
        </is>
      </c>
    </row>
    <row r="1678">
      <c r="A1678" s="3" t="inlineStr">
        <is>
          <t>MAT-32-317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2 1/2"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44.51</v>
      </c>
      <c r="L1678" s="6" t="n">
        <v>24.02</v>
      </c>
      <c r="M1678" s="6" t="n">
        <v>65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2 1/2"</t>
        </is>
      </c>
    </row>
    <row r="1679">
      <c r="A1679" s="3" t="inlineStr">
        <is>
          <t>MAT-32-318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2"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42.33</v>
      </c>
      <c r="L1679" s="6" t="n">
        <v>19.66</v>
      </c>
      <c r="M1679" s="6" t="n">
        <v>65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2"</t>
        </is>
      </c>
    </row>
    <row r="1680">
      <c r="A1680" s="3" t="inlineStr">
        <is>
          <t>MAT-32-319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3"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46.15</v>
      </c>
      <c r="L1680" s="6" t="n">
        <v>27.3</v>
      </c>
      <c r="M1680" s="6" t="n">
        <v>65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3"</t>
        </is>
      </c>
    </row>
    <row r="1681">
      <c r="A1681" s="3" t="inlineStr">
        <is>
          <t>MAT-32-320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4"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94.75</v>
      </c>
      <c r="L1681" s="6" t="n">
        <v>34.5</v>
      </c>
      <c r="M1681" s="6" t="n">
        <v>155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1/2" x 4"</t>
        </is>
      </c>
    </row>
    <row r="1682">
      <c r="A1682" s="3" t="inlineStr">
        <is>
          <t>MAT-32-321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5"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111.75</v>
      </c>
      <c r="L1682" s="6" t="n">
        <v>41.5</v>
      </c>
      <c r="M1682" s="6" t="n">
        <v>182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1/2" x 5"</t>
        </is>
      </c>
    </row>
    <row r="1683">
      <c r="A1683" s="3" t="inlineStr">
        <is>
          <t>MAT-32-322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6"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59.5</v>
      </c>
      <c r="L1683" s="6" t="n">
        <v>49</v>
      </c>
      <c r="M1683" s="6" t="n">
        <v>70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1/2" x 6"</t>
        </is>
      </c>
    </row>
    <row r="1684">
      <c r="A1684" s="3" t="inlineStr">
        <is>
          <t>MAT-32-323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1/2" x 8"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2</v>
      </c>
      <c r="K1684" s="6" t="n">
        <v>132</v>
      </c>
      <c r="L1684" s="6" t="n">
        <v>77</v>
      </c>
      <c r="M1684" s="6" t="n">
        <v>187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 · Ferretería Cima</t>
        </is>
      </c>
      <c r="AF1684" s="4" t="inlineStr">
        <is>
          <t>tipo: niple · material: HG · medida: 1/2" x 8"</t>
        </is>
      </c>
    </row>
    <row r="1685">
      <c r="A1685" s="3" t="inlineStr">
        <is>
          <t>MAT-32-324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1 1/2"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1</v>
      </c>
      <c r="K1685" s="6" t="n">
        <v>27.3</v>
      </c>
      <c r="L1685" s="6" t="n">
        <v>27.3</v>
      </c>
      <c r="M1685" s="6" t="n">
        <v>27.3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</t>
        </is>
      </c>
      <c r="AF1685" s="4" t="inlineStr">
        <is>
          <t>tipo: niple · material: HG · medida: 1/4" x 1 1/2"</t>
        </is>
      </c>
    </row>
    <row r="1686">
      <c r="A1686" s="3" t="inlineStr">
        <is>
          <t>MAT-32-325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2"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2</v>
      </c>
      <c r="K1686" s="6" t="n">
        <v>99.73</v>
      </c>
      <c r="L1686" s="6" t="n">
        <v>29.45</v>
      </c>
      <c r="M1686" s="6" t="n">
        <v>170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 · Ferretería Cima</t>
        </is>
      </c>
      <c r="AF1686" s="4" t="inlineStr">
        <is>
          <t>tipo: niple · material: HG · medida: 1/4" x 2"</t>
        </is>
      </c>
    </row>
    <row r="1687">
      <c r="A1687" s="3" t="inlineStr">
        <is>
          <t>MAT-32-326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1/4" x 3"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1</v>
      </c>
      <c r="K1687" s="6" t="n">
        <v>26.76</v>
      </c>
      <c r="L1687" s="6" t="n">
        <v>26.76</v>
      </c>
      <c r="M1687" s="6" t="n">
        <v>26.76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</t>
        </is>
      </c>
      <c r="AF1687" s="4" t="inlineStr">
        <is>
          <t>tipo: niple · material: HG · medida: 1/4" x 3"</t>
        </is>
      </c>
    </row>
    <row r="1688">
      <c r="A1688" s="3" t="inlineStr">
        <is>
          <t>MAT-32-327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1/4" x 4"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2</v>
      </c>
      <c r="K1688" s="6" t="n">
        <v>119.94</v>
      </c>
      <c r="L1688" s="6" t="n">
        <v>35.88</v>
      </c>
      <c r="M1688" s="6" t="n">
        <v>204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 · Ferretería Cima</t>
        </is>
      </c>
      <c r="AF1688" s="4" t="inlineStr">
        <is>
          <t>tipo: niple · material: HG · medida: 1/4" x 4"</t>
        </is>
      </c>
    </row>
    <row r="1689">
      <c r="A1689" s="3" t="inlineStr">
        <is>
          <t>MAT-32-328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1 1/2"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38.22</v>
      </c>
      <c r="L1689" s="6" t="n">
        <v>38.22</v>
      </c>
      <c r="M1689" s="6" t="n">
        <v>38.22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2026-09-10</t>
        </is>
      </c>
      <c r="Q1689" s="4" t="inlineStr">
        <is>
          <t>Bellón</t>
        </is>
      </c>
      <c r="AF1689" s="4" t="inlineStr">
        <is>
          <t>tipo: niple · material: HG · medida: 1" x 1 1/2"</t>
        </is>
      </c>
    </row>
    <row r="1690">
      <c r="A1690" s="3" t="inlineStr">
        <is>
          <t>MAT-32-329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10"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1</v>
      </c>
      <c r="K1690" s="6" t="n">
        <v>344</v>
      </c>
      <c r="L1690" s="6" t="n">
        <v>344</v>
      </c>
      <c r="M1690" s="6" t="n">
        <v>344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2026-09-09</t>
        </is>
      </c>
      <c r="Q1690" s="4" t="inlineStr">
        <is>
          <t>Ferretería Cima</t>
        </is>
      </c>
      <c r="AF1690" s="4" t="inlineStr">
        <is>
          <t>tipo: niple · material: HG · medida: 1" x 10"</t>
        </is>
      </c>
    </row>
    <row r="1691">
      <c r="A1691" s="3" t="inlineStr">
        <is>
          <t>MAT-32-330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2 1/2"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87.93000000000001</v>
      </c>
      <c r="L1691" s="6" t="n">
        <v>45.86</v>
      </c>
      <c r="M1691" s="6" t="n">
        <v>130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2 1/2"</t>
        </is>
      </c>
    </row>
    <row r="1692">
      <c r="A1692" s="3" t="inlineStr">
        <is>
          <t>MAT-32-331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2"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2</v>
      </c>
      <c r="K1692" s="6" t="n">
        <v>50.81</v>
      </c>
      <c r="L1692" s="6" t="n">
        <v>48.61</v>
      </c>
      <c r="M1692" s="6" t="n">
        <v>53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 · Ferretería Cima</t>
        </is>
      </c>
      <c r="AF1692" s="4" t="inlineStr">
        <is>
          <t>tipo: niple · material: HG · medida: 1" x 2"</t>
        </is>
      </c>
    </row>
    <row r="1693">
      <c r="A1693" s="3" t="inlineStr">
        <is>
          <t>MAT-32-332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3"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1</v>
      </c>
      <c r="K1693" s="6" t="n">
        <v>63</v>
      </c>
      <c r="L1693" s="6" t="n">
        <v>63</v>
      </c>
      <c r="M1693" s="6" t="n">
        <v>63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2026-09-09</t>
        </is>
      </c>
      <c r="Q1693" s="4" t="inlineStr">
        <is>
          <t>Ferretería Cima</t>
        </is>
      </c>
      <c r="AF1693" s="4" t="inlineStr">
        <is>
          <t>tipo: niple · material: HG · medida: 1" x 3"</t>
        </is>
      </c>
    </row>
    <row r="1694">
      <c r="A1694" s="3" t="inlineStr">
        <is>
          <t>MAT-32-333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4"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76.5</v>
      </c>
      <c r="L1694" s="6" t="n">
        <v>65</v>
      </c>
      <c r="M1694" s="6" t="n">
        <v>88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1" x 4"</t>
        </is>
      </c>
    </row>
    <row r="1695">
      <c r="A1695" s="3" t="inlineStr">
        <is>
          <t>MAT-32-334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5"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69.5</v>
      </c>
      <c r="L1695" s="6" t="n">
        <v>31</v>
      </c>
      <c r="M1695" s="6" t="n">
        <v>108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1" x 5"</t>
        </is>
      </c>
    </row>
    <row r="1696">
      <c r="A1696" s="3" t="inlineStr">
        <is>
          <t>MAT-32-335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1" x 6"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2</v>
      </c>
      <c r="K1696" s="6" t="n">
        <v>88.5</v>
      </c>
      <c r="L1696" s="6" t="n">
        <v>86</v>
      </c>
      <c r="M1696" s="6" t="n">
        <v>91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 · Ferretería Cima</t>
        </is>
      </c>
      <c r="AF1696" s="4" t="inlineStr">
        <is>
          <t>tipo: niple · material: HG · medida: 1" x 6"</t>
        </is>
      </c>
    </row>
    <row r="1697">
      <c r="A1697" s="3" t="inlineStr">
        <is>
          <t>MAT-32-336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2"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1</v>
      </c>
      <c r="K1697" s="6" t="n">
        <v>78</v>
      </c>
      <c r="L1697" s="6" t="n">
        <v>78</v>
      </c>
      <c r="M1697" s="6" t="n">
        <v>78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</t>
        </is>
      </c>
      <c r="AF1697" s="4" t="inlineStr">
        <is>
          <t>tipo: niple · material: HG · medida: 2" x 2"</t>
        </is>
      </c>
    </row>
    <row r="1698">
      <c r="A1698" s="3" t="inlineStr">
        <is>
          <t>MAT-32-337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3"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218.5</v>
      </c>
      <c r="L1698" s="6" t="n">
        <v>99</v>
      </c>
      <c r="M1698" s="6" t="n">
        <v>338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2" x 3"</t>
        </is>
      </c>
    </row>
    <row r="1699">
      <c r="A1699" s="3" t="inlineStr">
        <is>
          <t>MAT-32-338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4"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245.5</v>
      </c>
      <c r="L1699" s="6" t="n">
        <v>123</v>
      </c>
      <c r="M1699" s="6" t="n">
        <v>368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F1699" s="4" t="inlineStr">
        <is>
          <t>tipo: niple · material: HG · medida: 2" x 4"</t>
        </is>
      </c>
    </row>
    <row r="1700">
      <c r="A1700" s="3" t="inlineStr">
        <is>
          <t>MAT-32-339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2" x 5"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2</v>
      </c>
      <c r="K1700" s="6" t="n">
        <v>222.5</v>
      </c>
      <c r="L1700" s="6" t="n">
        <v>188</v>
      </c>
      <c r="M1700" s="6" t="n">
        <v>257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 · Ferretería Cima</t>
        </is>
      </c>
      <c r="AF1700" s="4" t="inlineStr">
        <is>
          <t>tipo: niple · material: HG · medida: 2" x 5"</t>
        </is>
      </c>
    </row>
    <row r="1701">
      <c r="A1701" s="3" t="inlineStr">
        <is>
          <t>MAT-32-340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2" x 6"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1</v>
      </c>
      <c r="K1701" s="6" t="n">
        <v>234</v>
      </c>
      <c r="L1701" s="6" t="n">
        <v>234</v>
      </c>
      <c r="M1701" s="6" t="n">
        <v>234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</t>
        </is>
      </c>
      <c r="AF1701" s="4" t="inlineStr">
        <is>
          <t>tipo: niple · material: HG · medida: 2" x 6"</t>
        </is>
      </c>
    </row>
    <row r="1702">
      <c r="A1702" s="3" t="inlineStr">
        <is>
          <t>MAT-32-341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 1/2"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2</v>
      </c>
      <c r="K1702" s="6" t="n">
        <v>51.06</v>
      </c>
      <c r="L1702" s="6" t="n">
        <v>25.12</v>
      </c>
      <c r="M1702" s="6" t="n">
        <v>77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 · Ferretería Cima</t>
        </is>
      </c>
      <c r="AF1702" s="4" t="inlineStr">
        <is>
          <t>tipo: niple · material: HG · medida: 3/4" x 1 1/2"</t>
        </is>
      </c>
    </row>
    <row r="1703">
      <c r="A1703" s="3" t="inlineStr">
        <is>
          <t>MAT-32-342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10"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88</v>
      </c>
      <c r="L1703" s="6" t="n">
        <v>88</v>
      </c>
      <c r="M1703" s="6" t="n">
        <v>88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niple · material: HG · medida: 3/4" x 10"</t>
        </is>
      </c>
    </row>
    <row r="1704">
      <c r="A1704" s="3" t="inlineStr">
        <is>
          <t>MAT-32-343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12"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1</v>
      </c>
      <c r="K1704" s="6" t="n">
        <v>109</v>
      </c>
      <c r="L1704" s="6" t="n">
        <v>109</v>
      </c>
      <c r="M1704" s="6" t="n">
        <v>109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</t>
        </is>
      </c>
      <c r="AF1704" s="4" t="inlineStr">
        <is>
          <t>tipo: niple · material: HG · medida: 3/4" x 12"</t>
        </is>
      </c>
    </row>
    <row r="1705">
      <c r="A1705" s="3" t="inlineStr">
        <is>
          <t>MAT-32-344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1"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41.77</v>
      </c>
      <c r="L1705" s="6" t="n">
        <v>21.54</v>
      </c>
      <c r="M1705" s="6" t="n">
        <v>62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1"</t>
        </is>
      </c>
    </row>
    <row r="1706">
      <c r="A1706" s="3" t="inlineStr">
        <is>
          <t>MAT-32-345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2 1/2"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79.15000000000001</v>
      </c>
      <c r="L1706" s="6" t="n">
        <v>27.3</v>
      </c>
      <c r="M1706" s="6" t="n">
        <v>131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2 1/2"</t>
        </is>
      </c>
    </row>
    <row r="1707">
      <c r="A1707" s="3" t="inlineStr">
        <is>
          <t>MAT-32-346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2</v>
      </c>
      <c r="K1707" s="6" t="n">
        <v>70.92</v>
      </c>
      <c r="L1707" s="6" t="n">
        <v>21.84</v>
      </c>
      <c r="M1707" s="6" t="n">
        <v>120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 · Ferretería Cima</t>
        </is>
      </c>
      <c r="AF1707" s="4" t="inlineStr">
        <is>
          <t>tipo: niple · material: HG · medida: 3/4" x 2"</t>
        </is>
      </c>
    </row>
    <row r="1708">
      <c r="A1708" s="3" t="inlineStr">
        <is>
          <t>MAT-32-347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3 1/2"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1</v>
      </c>
      <c r="K1708" s="6" t="n">
        <v>35.35</v>
      </c>
      <c r="L1708" s="6" t="n">
        <v>35.35</v>
      </c>
      <c r="M1708" s="6" t="n">
        <v>35.35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</t>
        </is>
      </c>
      <c r="AF1708" s="4" t="inlineStr">
        <is>
          <t>tipo: niple · material: HG · medida: 3/4" x 3 1/2"</t>
        </is>
      </c>
    </row>
    <row r="1709">
      <c r="A1709" s="3" t="inlineStr">
        <is>
          <t>MAT-32-348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3"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2</v>
      </c>
      <c r="K1709" s="6" t="n">
        <v>91.39</v>
      </c>
      <c r="L1709" s="6" t="n">
        <v>33.77</v>
      </c>
      <c r="M1709" s="6" t="n">
        <v>149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 · Ferretería Cima</t>
        </is>
      </c>
      <c r="AF1709" s="4" t="inlineStr">
        <is>
          <t>tipo: niple · material: HG · medida: 3/4" x 3"</t>
        </is>
      </c>
    </row>
    <row r="1710">
      <c r="A1710" s="3" t="inlineStr">
        <is>
          <t>MAT-32-349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4"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105.5</v>
      </c>
      <c r="L1710" s="6" t="n">
        <v>51</v>
      </c>
      <c r="M1710" s="6" t="n">
        <v>160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3/4" x 4"</t>
        </is>
      </c>
    </row>
    <row r="1711">
      <c r="A1711" s="3" t="inlineStr">
        <is>
          <t>MAT-32-350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5"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124</v>
      </c>
      <c r="L1711" s="6" t="n">
        <v>54</v>
      </c>
      <c r="M1711" s="6" t="n">
        <v>194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3/4" x 5"</t>
        </is>
      </c>
    </row>
    <row r="1712">
      <c r="A1712" s="3" t="inlineStr">
        <is>
          <t>MAT-32-351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6"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2</v>
      </c>
      <c r="K1712" s="6" t="n">
        <v>167.5</v>
      </c>
      <c r="L1712" s="6" t="n">
        <v>87</v>
      </c>
      <c r="M1712" s="6" t="n">
        <v>248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 · Ferretería Cima</t>
        </is>
      </c>
      <c r="AF1712" s="4" t="inlineStr">
        <is>
          <t>tipo: niple · material: HG · medida: 3/4" x 6"</t>
        </is>
      </c>
    </row>
    <row r="1713">
      <c r="A1713" s="3" t="inlineStr">
        <is>
          <t>MAT-32-352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3/4" x 8"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1</v>
      </c>
      <c r="K1713" s="6" t="n">
        <v>81</v>
      </c>
      <c r="L1713" s="6" t="n">
        <v>81</v>
      </c>
      <c r="M1713" s="6" t="n">
        <v>81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</t>
        </is>
      </c>
      <c r="AF1713" s="4" t="inlineStr">
        <is>
          <t>tipo: niple · material: HG · medida: 3/4" x 8"</t>
        </is>
      </c>
    </row>
    <row r="1714">
      <c r="A1714" s="3" t="inlineStr">
        <is>
          <t>MAT-32-353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2 1/2"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89.87</v>
      </c>
      <c r="L1714" s="6" t="n">
        <v>24.74</v>
      </c>
      <c r="M1714" s="6" t="n">
        <v>155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niple · material: HG · medida: 3/8" x 2 1/2"</t>
        </is>
      </c>
    </row>
    <row r="1715">
      <c r="A1715" s="3" t="inlineStr">
        <is>
          <t>MAT-32-354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2</v>
      </c>
      <c r="K1715" s="6" t="n">
        <v>110.8</v>
      </c>
      <c r="L1715" s="6" t="n">
        <v>61.6</v>
      </c>
      <c r="M1715" s="6" t="n">
        <v>160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2026-09-10</t>
        </is>
      </c>
      <c r="Q1715" s="4" t="inlineStr">
        <is>
          <t>Bellón · Ferretería Cima</t>
        </is>
      </c>
      <c r="AF1715" s="4" t="inlineStr">
        <is>
          <t>tipo: niple · material: HG · medida: 3/8" x 2"</t>
        </is>
      </c>
    </row>
    <row r="1716">
      <c r="A1716" s="3" t="inlineStr">
        <is>
          <t>MAT-32-355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3 1/2"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1</v>
      </c>
      <c r="K1716" s="6" t="n">
        <v>194</v>
      </c>
      <c r="L1716" s="6" t="n">
        <v>194</v>
      </c>
      <c r="M1716" s="6" t="n">
        <v>194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2026-09-09</t>
        </is>
      </c>
      <c r="Q1716" s="4" t="inlineStr">
        <is>
          <t>Ferretería Cima</t>
        </is>
      </c>
      <c r="AF1716" s="4" t="inlineStr">
        <is>
          <t>tipo: niple · material: HG · medida: 3/8" x 3 1/2"</t>
        </is>
      </c>
    </row>
    <row r="1717">
      <c r="A1717" s="3" t="inlineStr">
        <is>
          <t>MAT-32-356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3"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2</v>
      </c>
      <c r="K1717" s="6" t="n">
        <v>106.15</v>
      </c>
      <c r="L1717" s="6" t="n">
        <v>27.3</v>
      </c>
      <c r="M1717" s="6" t="n">
        <v>185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2026-09-10</t>
        </is>
      </c>
      <c r="Q1717" s="4" t="inlineStr">
        <is>
          <t>Bellón · Ferretería Cima</t>
        </is>
      </c>
      <c r="AF1717" s="4" t="inlineStr">
        <is>
          <t>tipo: niple · material: HG · medida: 3/8" x 3"</t>
        </is>
      </c>
    </row>
    <row r="1718">
      <c r="A1718" s="3" t="inlineStr">
        <is>
          <t>MAT-32-357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4 1/2"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194</v>
      </c>
      <c r="L1718" s="6" t="n">
        <v>194</v>
      </c>
      <c r="M1718" s="6" t="n">
        <v>194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2026-09-09</t>
        </is>
      </c>
      <c r="Q1718" s="4" t="inlineStr">
        <is>
          <t>Ferretería Cima</t>
        </is>
      </c>
      <c r="AF1718" s="4" t="inlineStr">
        <is>
          <t>tipo: niple · material: HG · medida: 3/8" x 4 1/2"</t>
        </is>
      </c>
    </row>
    <row r="1719">
      <c r="A1719" s="3" t="inlineStr">
        <is>
          <t>MAT-32-359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5 1/2"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229</v>
      </c>
      <c r="L1719" s="6" t="n">
        <v>229</v>
      </c>
      <c r="M1719" s="6" t="n">
        <v>229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2026-09-09</t>
        </is>
      </c>
      <c r="Q1719" s="4" t="inlineStr">
        <is>
          <t>Ferretería Cima</t>
        </is>
      </c>
      <c r="AF1719" s="4" t="inlineStr">
        <is>
          <t>tipo: niple · material: HG · medida: 3/8" x 5 1/2"</t>
        </is>
      </c>
    </row>
    <row r="1720">
      <c r="A1720" s="3" t="inlineStr">
        <is>
          <t>MAT-32-360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5"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1</v>
      </c>
      <c r="K1720" s="6" t="n">
        <v>255</v>
      </c>
      <c r="L1720" s="6" t="n">
        <v>255</v>
      </c>
      <c r="M1720" s="6" t="n">
        <v>255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2026-09-09</t>
        </is>
      </c>
      <c r="Q1720" s="4" t="inlineStr">
        <is>
          <t>Ferretería Cima</t>
        </is>
      </c>
      <c r="AF1720" s="4" t="inlineStr">
        <is>
          <t>tipo: niple · material: HG · medida: 3/8" x 5"</t>
        </is>
      </c>
    </row>
    <row r="1721">
      <c r="A1721" s="3" t="inlineStr">
        <is>
          <t>MAT-32-361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3/8" x 6"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327</v>
      </c>
      <c r="L1721" s="6" t="n">
        <v>327</v>
      </c>
      <c r="M1721" s="6" t="n">
        <v>327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2026-09-09</t>
        </is>
      </c>
      <c r="Q1721" s="4" t="inlineStr">
        <is>
          <t>Ferretería Cima</t>
        </is>
      </c>
      <c r="AF1721" s="4" t="inlineStr">
        <is>
          <t>tipo: niple · material: HG · medida: 3/8" x 6"</t>
        </is>
      </c>
    </row>
    <row r="1722">
      <c r="A1722" s="3" t="inlineStr">
        <is>
          <t>MAT-32-362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3" x 4"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277</v>
      </c>
      <c r="L1722" s="6" t="n">
        <v>277</v>
      </c>
      <c r="M1722" s="6" t="n">
        <v>277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HG · medida: 3" x 4"</t>
        </is>
      </c>
    </row>
    <row r="1723">
      <c r="A1723" s="3" t="inlineStr">
        <is>
          <t>MAT-32-363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1 1/2"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1</v>
      </c>
      <c r="K1723" s="6" t="n">
        <v>17</v>
      </c>
      <c r="L1723" s="6" t="n">
        <v>17</v>
      </c>
      <c r="M1723" s="6" t="n">
        <v>17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</t>
        </is>
      </c>
      <c r="AF1723" s="4" t="inlineStr">
        <is>
          <t>tipo: niple · material: niquelado · medida: 1/2" x 1 1/2"</t>
        </is>
      </c>
    </row>
    <row r="1724">
      <c r="A1724" s="3" t="inlineStr">
        <is>
          <t>MAT-32-364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1/2" x 2 1/2"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144.5</v>
      </c>
      <c r="L1724" s="6" t="n">
        <v>24</v>
      </c>
      <c r="M1724" s="6" t="n">
        <v>326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1/2" x 2 1/2"</t>
        </is>
      </c>
    </row>
    <row r="1725">
      <c r="A1725" s="3" t="inlineStr">
        <is>
          <t>MAT-32-365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1/2" x 2"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2</v>
      </c>
      <c r="K1725" s="6" t="n">
        <v>101</v>
      </c>
      <c r="L1725" s="6" t="n">
        <v>15.75</v>
      </c>
      <c r="M1725" s="6" t="n">
        <v>224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 · Ferretería Cima</t>
        </is>
      </c>
      <c r="AF1725" s="4" t="inlineStr">
        <is>
          <t>tipo: niple · material: niquelado · medida: 1/2" x 2"</t>
        </is>
      </c>
    </row>
    <row r="1726">
      <c r="A1726" s="3" t="inlineStr">
        <is>
          <t>MAT-32-368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2 1/2"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24.04</v>
      </c>
      <c r="L1726" s="6" t="n">
        <v>24.04</v>
      </c>
      <c r="M1726" s="6" t="n">
        <v>24.04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2026-09-10</t>
        </is>
      </c>
      <c r="Q1726" s="4" t="inlineStr">
        <is>
          <t>Bellón</t>
        </is>
      </c>
      <c r="AF1726" s="4" t="inlineStr">
        <is>
          <t>tipo: niple · material: niquelado · medida: 3/8" x 2 1/2"</t>
        </is>
      </c>
    </row>
    <row r="1727">
      <c r="A1727" s="3" t="inlineStr">
        <is>
          <t>MAT-32-369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niquelado 3/8" x 2"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47</v>
      </c>
      <c r="L1727" s="6" t="n">
        <v>47</v>
      </c>
      <c r="M1727" s="6" t="n">
        <v>47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2026-09-09</t>
        </is>
      </c>
      <c r="Q1727" s="4" t="inlineStr">
        <is>
          <t>Ferretería Cima</t>
        </is>
      </c>
      <c r="AF1727" s="4" t="inlineStr">
        <is>
          <t>tipo: niple · material: niquelado · medida: 3/8" x 2"</t>
        </is>
      </c>
    </row>
    <row r="1728">
      <c r="A1728" s="3" t="inlineStr">
        <is>
          <t>MAT-32-370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niquelado 3/8" x 3"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2</v>
      </c>
      <c r="K1728" s="6" t="n">
        <v>42.63</v>
      </c>
      <c r="L1728" s="6" t="n">
        <v>26.25</v>
      </c>
      <c r="M1728" s="6" t="n">
        <v>59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 · Ferretería Cima</t>
        </is>
      </c>
      <c r="AF1728" s="4" t="inlineStr">
        <is>
          <t>tipo: niple · material: niquelado · medida: 3/8" x 3"</t>
        </is>
      </c>
    </row>
    <row r="1729">
      <c r="A1729" s="3" t="inlineStr">
        <is>
          <t>MAT-32-371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1/4"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90</v>
      </c>
      <c r="L1729" s="6" t="n">
        <v>90</v>
      </c>
      <c r="M1729" s="6" t="n">
        <v>90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</t>
        </is>
      </c>
      <c r="AF1729" s="4" t="inlineStr">
        <is>
          <t>tipo: reduccion-bushing · material: bronce · medida: 1/2" x 1/4"</t>
        </is>
      </c>
    </row>
    <row r="1730">
      <c r="A1730" s="3" t="inlineStr">
        <is>
          <t>MAT-32-372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1/2" x 1/8"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102</v>
      </c>
      <c r="L1730" s="6" t="n">
        <v>102</v>
      </c>
      <c r="M1730" s="6" t="n">
        <v>102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bronce · medida: 1/2" x 1/8"</t>
        </is>
      </c>
    </row>
    <row r="1731">
      <c r="A1731" s="3" t="inlineStr">
        <is>
          <t>MAT-32-373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1/2" x 3/8"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81</v>
      </c>
      <c r="L1731" s="6" t="n">
        <v>81</v>
      </c>
      <c r="M1731" s="6" t="n">
        <v>81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bronce · medida: 1/2" x 3/8"</t>
        </is>
      </c>
    </row>
    <row r="1732">
      <c r="A1732" s="3" t="inlineStr">
        <is>
          <t>MAT-32-374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1/4" x 1/8"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27.47</v>
      </c>
      <c r="L1732" s="6" t="n">
        <v>27.47</v>
      </c>
      <c r="M1732" s="6" t="n">
        <v>27.47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2026-09-10</t>
        </is>
      </c>
      <c r="Q1732" s="4" t="inlineStr">
        <is>
          <t>Bellón</t>
        </is>
      </c>
      <c r="AF1732" s="4" t="inlineStr">
        <is>
          <t>tipo: reduccion-bushing · material: bronce · medida: 1/4" x 1/8"</t>
        </is>
      </c>
    </row>
    <row r="1733">
      <c r="A1733" s="3" t="inlineStr">
        <is>
          <t>MAT-32-375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1/4" x 3/8"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132</v>
      </c>
      <c r="L1733" s="6" t="n">
        <v>132</v>
      </c>
      <c r="M1733" s="6" t="n">
        <v>132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2026-09-09</t>
        </is>
      </c>
      <c r="Q1733" s="4" t="inlineStr">
        <is>
          <t>Ferretería Cima</t>
        </is>
      </c>
      <c r="AF1733" s="4" t="inlineStr">
        <is>
          <t>tipo: reduccion-bushing · material: bronce · medida: 1/4" x 3/8"</t>
        </is>
      </c>
    </row>
    <row r="1734">
      <c r="A1734" s="3" t="inlineStr">
        <is>
          <t>MAT-32-376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1/8" x 1/4"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101</v>
      </c>
      <c r="L1734" s="6" t="n">
        <v>101</v>
      </c>
      <c r="M1734" s="6" t="n">
        <v>101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2026-09-09</t>
        </is>
      </c>
      <c r="Q1734" s="4" t="inlineStr">
        <is>
          <t>Ferretería Cima</t>
        </is>
      </c>
      <c r="AF1734" s="4" t="inlineStr">
        <is>
          <t>tipo: reduccion-bushing · material: bronce · medida: 1/8" x 1/4"</t>
        </is>
      </c>
    </row>
    <row r="1735">
      <c r="A1735" s="3" t="inlineStr">
        <is>
          <t>MAT-32-377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1/8" x 3/8"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77</v>
      </c>
      <c r="L1735" s="6" t="n">
        <v>77</v>
      </c>
      <c r="M1735" s="6" t="n">
        <v>77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2026-09-09</t>
        </is>
      </c>
      <c r="Q1735" s="4" t="inlineStr">
        <is>
          <t>Ferretería Cima</t>
        </is>
      </c>
      <c r="AF1735" s="4" t="inlineStr">
        <is>
          <t>tipo: reduccion-bushing · material: bronce · medida: 1/8" x 3/8"</t>
        </is>
      </c>
    </row>
    <row r="1736">
      <c r="A1736" s="3" t="inlineStr">
        <is>
          <t>MAT-32-378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1" x 3/4"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202</v>
      </c>
      <c r="L1736" s="6" t="n">
        <v>202</v>
      </c>
      <c r="M1736" s="6" t="n">
        <v>202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1" x 3/4"</t>
        </is>
      </c>
    </row>
    <row r="1737">
      <c r="A1737" s="3" t="inlineStr">
        <is>
          <t>MAT-32-379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3/4" x 1/2"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97.88</v>
      </c>
      <c r="L1737" s="6" t="n">
        <v>97.88</v>
      </c>
      <c r="M1737" s="6" t="n">
        <v>97.88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bronce · medida: 3/4" x 1/2"</t>
        </is>
      </c>
    </row>
    <row r="1738">
      <c r="A1738" s="3" t="inlineStr">
        <is>
          <t>MAT-32-380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3/4" x 3/8"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137</v>
      </c>
      <c r="L1738" s="6" t="n">
        <v>137</v>
      </c>
      <c r="M1738" s="6" t="n">
        <v>137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bronce · medida: 3/4" x 3/8"</t>
        </is>
      </c>
    </row>
    <row r="1739">
      <c r="A1739" s="3" t="inlineStr">
        <is>
          <t>MAT-32-381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3/8"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78.73999999999999</v>
      </c>
      <c r="L1739" s="6" t="n">
        <v>78.73999999999999</v>
      </c>
      <c r="M1739" s="6" t="n">
        <v>78.73999999999999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bronce · medida: 3/8"</t>
        </is>
      </c>
    </row>
    <row r="1740">
      <c r="A1740" s="3" t="inlineStr">
        <is>
          <t>MAT-32-382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bronce 3/8" x 1/8"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57</v>
      </c>
      <c r="L1740" s="6" t="n">
        <v>57</v>
      </c>
      <c r="M1740" s="6" t="n">
        <v>57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bronce · medida: 3/8" x 1/8"</t>
        </is>
      </c>
    </row>
    <row r="1741">
      <c r="A1741" s="3" t="inlineStr">
        <is>
          <t>MAT-32-383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1" x 1/2"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45.68</v>
      </c>
      <c r="L1741" s="6" t="n">
        <v>45.68</v>
      </c>
      <c r="M1741" s="6" t="n">
        <v>45.68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F1741" s="4" t="inlineStr">
        <is>
          <t>tipo: reduccion-bushing · material: CPVC · medida: 1" x 1/2"</t>
        </is>
      </c>
    </row>
    <row r="1742">
      <c r="A1742" s="3" t="inlineStr">
        <is>
          <t>MAT-32-384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1" x 3/4"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13.97</v>
      </c>
      <c r="L1742" s="6" t="n">
        <v>13.97</v>
      </c>
      <c r="M1742" s="6" t="n">
        <v>13.97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F1742" s="4" t="inlineStr">
        <is>
          <t>tipo: reduccion-bushing · material: CPVC · medida: 1" x 3/4"</t>
        </is>
      </c>
    </row>
    <row r="1743">
      <c r="A1743" s="3" t="inlineStr">
        <is>
          <t>MAT-32-385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CPVC 2" x 1"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322</v>
      </c>
      <c r="L1743" s="6" t="n">
        <v>322</v>
      </c>
      <c r="M1743" s="6" t="n">
        <v>322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</t>
        </is>
      </c>
      <c r="AF1743" s="4" t="inlineStr">
        <is>
          <t>tipo: reduccion-bushing · material: CPVC · medida: 2" x 1"</t>
        </is>
      </c>
    </row>
    <row r="1744">
      <c r="A1744" s="3" t="inlineStr">
        <is>
          <t>MAT-32-386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CPVC 3/4" x 1/2"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1</v>
      </c>
      <c r="K1744" s="6" t="n">
        <v>10.62</v>
      </c>
      <c r="L1744" s="6" t="n">
        <v>10.62</v>
      </c>
      <c r="M1744" s="6" t="n">
        <v>10.62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</t>
        </is>
      </c>
      <c r="AF1744" s="4" t="inlineStr">
        <is>
          <t>tipo: reduccion-bushing · material: CPVC · medida: 3/4" x 1/2"</t>
        </is>
      </c>
    </row>
    <row r="1745">
      <c r="A1745" s="3" t="inlineStr">
        <is>
          <t>MAT-32-387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 1/4"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186</v>
      </c>
      <c r="L1745" s="6" t="n">
        <v>125</v>
      </c>
      <c r="M1745" s="6" t="n">
        <v>247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1/2" x 1 1/4"</t>
        </is>
      </c>
    </row>
    <row r="1746">
      <c r="A1746" s="3" t="inlineStr">
        <is>
          <t>MAT-32-388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1/2"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89.5</v>
      </c>
      <c r="L1746" s="6" t="n">
        <v>76</v>
      </c>
      <c r="M1746" s="6" t="n">
        <v>103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1/2" x 1/2"</t>
        </is>
      </c>
    </row>
    <row r="1747">
      <c r="A1747" s="3" t="inlineStr">
        <is>
          <t>MAT-32-389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1/2" x 1"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140.5</v>
      </c>
      <c r="L1747" s="6" t="n">
        <v>67</v>
      </c>
      <c r="M1747" s="6" t="n">
        <v>214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HG · medida: 1 1/2" x 1"</t>
        </is>
      </c>
    </row>
    <row r="1748">
      <c r="A1748" s="3" t="inlineStr">
        <is>
          <t>MAT-32-390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1/2" x 3/4"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2</v>
      </c>
      <c r="K1748" s="6" t="n">
        <v>98.5</v>
      </c>
      <c r="L1748" s="6" t="n">
        <v>87</v>
      </c>
      <c r="M1748" s="6" t="n">
        <v>110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 · Ferretería Cima</t>
        </is>
      </c>
      <c r="AF1748" s="4" t="inlineStr">
        <is>
          <t>tipo: reduccion-bushing · material: HG · medida: 1 1/2" x 3/4"</t>
        </is>
      </c>
    </row>
    <row r="1749">
      <c r="A1749" s="3" t="inlineStr">
        <is>
          <t>MAT-32-391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1/2"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74</v>
      </c>
      <c r="L1749" s="6" t="n">
        <v>61</v>
      </c>
      <c r="M1749" s="6" t="n">
        <v>87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 1/4" x 1/2"</t>
        </is>
      </c>
    </row>
    <row r="1750">
      <c r="A1750" s="3" t="inlineStr">
        <is>
          <t>MAT-32-392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1/4" x 1"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2</v>
      </c>
      <c r="K1750" s="6" t="n">
        <v>124.5</v>
      </c>
      <c r="L1750" s="6" t="n">
        <v>51</v>
      </c>
      <c r="M1750" s="6" t="n">
        <v>198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 · Ferretería Cima</t>
        </is>
      </c>
      <c r="AF1750" s="4" t="inlineStr">
        <is>
          <t>tipo: reduccion-bushing · material: HG · medida: 1 1/4" x 1"</t>
        </is>
      </c>
    </row>
    <row r="1751">
      <c r="A1751" s="3" t="inlineStr">
        <is>
          <t>MAT-32-393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 1/4" x 3/4"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50</v>
      </c>
      <c r="L1751" s="6" t="n">
        <v>50</v>
      </c>
      <c r="M1751" s="6" t="n">
        <v>50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2026-09-10</t>
        </is>
      </c>
      <c r="Q1751" s="4" t="inlineStr">
        <is>
          <t>Bellón</t>
        </is>
      </c>
      <c r="AF1751" s="4" t="inlineStr">
        <is>
          <t>tipo: reduccion-bushing · material: HG · medida: 1 1/4" x 3/4"</t>
        </is>
      </c>
    </row>
    <row r="1752">
      <c r="A1752" s="3" t="inlineStr">
        <is>
          <t>MAT-32-394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1/2" x 1/4"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1</v>
      </c>
      <c r="K1752" s="6" t="n">
        <v>80</v>
      </c>
      <c r="L1752" s="6" t="n">
        <v>80</v>
      </c>
      <c r="M1752" s="6" t="n">
        <v>80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2026-09-09</t>
        </is>
      </c>
      <c r="Q1752" s="4" t="inlineStr">
        <is>
          <t>Ferretería Cima</t>
        </is>
      </c>
      <c r="AF1752" s="4" t="inlineStr">
        <is>
          <t>tipo: reduccion-bushing · material: HG · medida: 1/2" x 1/4"</t>
        </is>
      </c>
    </row>
    <row r="1753">
      <c r="A1753" s="3" t="inlineStr">
        <is>
          <t>MAT-32-395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1/2" x 3/8"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45</v>
      </c>
      <c r="L1753" s="6" t="n">
        <v>25</v>
      </c>
      <c r="M1753" s="6" t="n">
        <v>65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F1753" s="4" t="inlineStr">
        <is>
          <t>tipo: reduccion-bushing · material: HG · medida: 1/2" x 3/8"</t>
        </is>
      </c>
    </row>
    <row r="1754">
      <c r="A1754" s="3" t="inlineStr">
        <is>
          <t>MAT-32-396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1/2"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2</v>
      </c>
      <c r="K1754" s="6" t="n">
        <v>66</v>
      </c>
      <c r="L1754" s="6" t="n">
        <v>40</v>
      </c>
      <c r="M1754" s="6" t="n">
        <v>92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 · Ferretería Cima</t>
        </is>
      </c>
      <c r="AF1754" s="4" t="inlineStr">
        <is>
          <t>tipo: reduccion-bushing · material: HG · medida: 1" x 1/2"</t>
        </is>
      </c>
    </row>
    <row r="1755">
      <c r="A1755" s="3" t="inlineStr">
        <is>
          <t>MAT-32-397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1" x 1/4"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1</v>
      </c>
      <c r="K1755" s="6" t="n">
        <v>58.94</v>
      </c>
      <c r="L1755" s="6" t="n">
        <v>58.94</v>
      </c>
      <c r="M1755" s="6" t="n">
        <v>58.94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</t>
        </is>
      </c>
      <c r="AF1755" s="4" t="inlineStr">
        <is>
          <t>tipo: reduccion-bushing · material: HG · medida: 1" x 1/4"</t>
        </is>
      </c>
    </row>
    <row r="1756">
      <c r="A1756" s="3" t="inlineStr">
        <is>
          <t>MAT-32-398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1" x 3/4"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2</v>
      </c>
      <c r="K1756" s="6" t="n">
        <v>64</v>
      </c>
      <c r="L1756" s="6" t="n">
        <v>31</v>
      </c>
      <c r="M1756" s="6" t="n">
        <v>97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 · Ferretería Cima</t>
        </is>
      </c>
      <c r="AF1756" s="4" t="inlineStr">
        <is>
          <t>tipo: reduccion-bushing · material: HG · medida: 1" x 3/4"</t>
        </is>
      </c>
    </row>
    <row r="1757">
      <c r="A1757" s="3" t="inlineStr">
        <is>
          <t>MAT-32-399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 1/2" x 2"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52.64</v>
      </c>
      <c r="L1757" s="6" t="n">
        <v>52.64</v>
      </c>
      <c r="M1757" s="6" t="n">
        <v>52.64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</t>
        </is>
      </c>
      <c r="AF1757" s="4" t="inlineStr">
        <is>
          <t>tipo: reduccion-bushing · material: HG · medida: 2 1/2" x 2"</t>
        </is>
      </c>
    </row>
    <row r="1758">
      <c r="A1758" s="3" t="inlineStr">
        <is>
          <t>MAT-32-400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 1/2"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2</v>
      </c>
      <c r="K1758" s="6" t="n">
        <v>141.5</v>
      </c>
      <c r="L1758" s="6" t="n">
        <v>94</v>
      </c>
      <c r="M1758" s="6" t="n">
        <v>189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 · Ferretería Cima</t>
        </is>
      </c>
      <c r="AF1758" s="4" t="inlineStr">
        <is>
          <t>tipo: reduccion-bushing · material: HG · medida: 2" x 1 1/2"</t>
        </is>
      </c>
    </row>
    <row r="1759">
      <c r="A1759" s="3" t="inlineStr">
        <is>
          <t>MAT-32-401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 1/4"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95</v>
      </c>
      <c r="L1759" s="6" t="n">
        <v>95</v>
      </c>
      <c r="M1759" s="6" t="n">
        <v>95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2" x 1 1/4"</t>
        </is>
      </c>
    </row>
    <row r="1760">
      <c r="A1760" s="3" t="inlineStr">
        <is>
          <t>MAT-32-402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2" x 1/2"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140</v>
      </c>
      <c r="L1760" s="6" t="n">
        <v>140</v>
      </c>
      <c r="M1760" s="6" t="n">
        <v>140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2" x 1/2"</t>
        </is>
      </c>
    </row>
    <row r="1761">
      <c r="A1761" s="3" t="inlineStr">
        <is>
          <t>MAT-32-403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2" x 1"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1</v>
      </c>
      <c r="K1761" s="6" t="n">
        <v>95</v>
      </c>
      <c r="L1761" s="6" t="n">
        <v>95</v>
      </c>
      <c r="M1761" s="6" t="n">
        <v>95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</t>
        </is>
      </c>
      <c r="AF1761" s="4" t="inlineStr">
        <is>
          <t>tipo: reduccion-bushing · material: HG · medida: 2" x 1"</t>
        </is>
      </c>
    </row>
    <row r="1762">
      <c r="A1762" s="3" t="inlineStr">
        <is>
          <t>MAT-32-404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1/2"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2</v>
      </c>
      <c r="K1762" s="6" t="n">
        <v>50</v>
      </c>
      <c r="L1762" s="6" t="n">
        <v>25</v>
      </c>
      <c r="M1762" s="6" t="n">
        <v>75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 · Ferretería Cima</t>
        </is>
      </c>
      <c r="AF1762" s="4" t="inlineStr">
        <is>
          <t>tipo: reduccion-bushing · material: HG · medida: 3/4" x 1/2"</t>
        </is>
      </c>
    </row>
    <row r="1763">
      <c r="A1763" s="3" t="inlineStr">
        <is>
          <t>MAT-32-405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3/4" x 1/4"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25</v>
      </c>
      <c r="L1763" s="6" t="n">
        <v>25</v>
      </c>
      <c r="M1763" s="6" t="n">
        <v>25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3/4" x 1/4"</t>
        </is>
      </c>
    </row>
    <row r="1764">
      <c r="A1764" s="3" t="inlineStr">
        <is>
          <t>MAT-32-406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3/4" x 3/8"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67</v>
      </c>
      <c r="L1764" s="6" t="n">
        <v>67</v>
      </c>
      <c r="M1764" s="6" t="n">
        <v>67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2026-09-10</t>
        </is>
      </c>
      <c r="Q1764" s="4" t="inlineStr">
        <is>
          <t>Bellón</t>
        </is>
      </c>
      <c r="AF1764" s="4" t="inlineStr">
        <is>
          <t>tipo: reduccion-bushing · material: HG · medida: 3/4" x 3/8"</t>
        </is>
      </c>
    </row>
    <row r="1765">
      <c r="A1765" s="3" t="inlineStr">
        <is>
          <t>MAT-32-407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3/8" x 1/4"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34</v>
      </c>
      <c r="L1765" s="6" t="n">
        <v>34</v>
      </c>
      <c r="M1765" s="6" t="n">
        <v>34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2026-09-10</t>
        </is>
      </c>
      <c r="Q1765" s="4" t="inlineStr">
        <is>
          <t>Bellón</t>
        </is>
      </c>
      <c r="AF1765" s="4" t="inlineStr">
        <is>
          <t>tipo: reduccion-bushing · material: HG · medida: 3/8" x 1/4"</t>
        </is>
      </c>
    </row>
    <row r="1766">
      <c r="A1766" s="3" t="inlineStr">
        <is>
          <t>MAT-32-408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3" x 2"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261</v>
      </c>
      <c r="L1766" s="6" t="n">
        <v>261</v>
      </c>
      <c r="M1766" s="6" t="n">
        <v>261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2026-09-10</t>
        </is>
      </c>
      <c r="Q1766" s="4" t="inlineStr">
        <is>
          <t>Bellón</t>
        </is>
      </c>
      <c r="AF1766" s="4" t="inlineStr">
        <is>
          <t>tipo: reduccion-bushing · material: HG · medida: 3" x 2"</t>
        </is>
      </c>
    </row>
    <row r="1767">
      <c r="A1767" s="3" t="inlineStr">
        <is>
          <t>MAT-32-409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4" x 3"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1</v>
      </c>
      <c r="K1767" s="6" t="n">
        <v>454</v>
      </c>
      <c r="L1767" s="6" t="n">
        <v>454</v>
      </c>
      <c r="M1767" s="6" t="n">
        <v>454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2026-09-10</t>
        </is>
      </c>
      <c r="Q1767" s="4" t="inlineStr">
        <is>
          <t>Bellón</t>
        </is>
      </c>
      <c r="AF1767" s="4" t="inlineStr">
        <is>
          <t>tipo: reduccion-bushing · material: HG · medida: 4" x 3"</t>
        </is>
      </c>
    </row>
    <row r="1768">
      <c r="A1768" s="3" t="inlineStr">
        <is>
          <t>MAT-32-410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1/2"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2</v>
      </c>
      <c r="K1768" s="6" t="n">
        <v>39.23</v>
      </c>
      <c r="L1768" s="6" t="n">
        <v>14.47</v>
      </c>
      <c r="M1768" s="6" t="n">
        <v>64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Cima · Ferretería MC</t>
        </is>
      </c>
      <c r="AF1768" s="4" t="inlineStr">
        <is>
          <t>tipo: reduccion-bushing · material: PVC drenaje · medida: 2" x 1/2"</t>
        </is>
      </c>
    </row>
    <row r="1769">
      <c r="A1769" s="3" t="inlineStr">
        <is>
          <t>MAT-32-411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2" x 1"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16.8</v>
      </c>
      <c r="L1769" s="6" t="n">
        <v>16.8</v>
      </c>
      <c r="M1769" s="6" t="n">
        <v>16.8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2" x 1"</t>
        </is>
      </c>
    </row>
    <row r="1770">
      <c r="A1770" s="3" t="inlineStr">
        <is>
          <t>MAT-32-412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2" x 3/4"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16.32</v>
      </c>
      <c r="L1770" s="6" t="n">
        <v>16.32</v>
      </c>
      <c r="M1770" s="6" t="n">
        <v>16.32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2026-09-09</t>
        </is>
      </c>
      <c r="Q1770" s="4" t="inlineStr">
        <is>
          <t>Ferretería MC</t>
        </is>
      </c>
      <c r="AF1770" s="4" t="inlineStr">
        <is>
          <t>tipo: reduccion-bushing · material: PVC drenaje · medida: 2" x 3/4"</t>
        </is>
      </c>
    </row>
    <row r="1771">
      <c r="A1771" s="3" t="inlineStr">
        <is>
          <t>MAT-32-413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3" x 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39.19</v>
      </c>
      <c r="L1771" s="6" t="n">
        <v>39.19</v>
      </c>
      <c r="M1771" s="6" t="n">
        <v>39.19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3" x 2"</t>
        </is>
      </c>
    </row>
    <row r="1772">
      <c r="A1772" s="3" t="inlineStr">
        <is>
          <t>MAT-32-414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4" x 2"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75.87</v>
      </c>
      <c r="L1772" s="6" t="n">
        <v>75.87</v>
      </c>
      <c r="M1772" s="6" t="n">
        <v>75.87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4" x 2"</t>
        </is>
      </c>
    </row>
    <row r="1773">
      <c r="A1773" s="3" t="inlineStr">
        <is>
          <t>MAT-32-415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4" x 3"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1</v>
      </c>
      <c r="K1773" s="6" t="n">
        <v>75.40000000000001</v>
      </c>
      <c r="L1773" s="6" t="n">
        <v>75.40000000000001</v>
      </c>
      <c r="M1773" s="6" t="n">
        <v>75.40000000000001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2026-09-09</t>
        </is>
      </c>
      <c r="Q1773" s="4" t="inlineStr">
        <is>
          <t>Ferretería MC</t>
        </is>
      </c>
      <c r="AF1773" s="4" t="inlineStr">
        <is>
          <t>tipo: reduccion-bushing · material: PVC drenaje · medida: 4" x 3"</t>
        </is>
      </c>
    </row>
    <row r="1774">
      <c r="A1774" s="3" t="inlineStr">
        <is>
          <t>MAT-32-416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6" x 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2</v>
      </c>
      <c r="K1774" s="6" t="n">
        <v>280.01</v>
      </c>
      <c r="L1774" s="6" t="n">
        <v>132</v>
      </c>
      <c r="M1774" s="6" t="n">
        <v>370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2026-09-10</t>
        </is>
      </c>
      <c r="Q1774" s="4" t="inlineStr">
        <is>
          <t>Bellón · Ferretería MC</t>
        </is>
      </c>
      <c r="AF1774" s="4" t="inlineStr">
        <is>
          <t>tipo: reduccion-bushing · material: PVC drenaje · medida: 6" x 4"</t>
        </is>
      </c>
    </row>
    <row r="1775">
      <c r="A1775" s="3" t="inlineStr">
        <is>
          <t>MAT-32-417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8" x 4"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2509.51</v>
      </c>
      <c r="L1775" s="6" t="n">
        <v>2509.51</v>
      </c>
      <c r="M1775" s="6" t="n">
        <v>2509.51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F1775" s="4" t="inlineStr">
        <is>
          <t>tipo: reduccion-bushing · material: PVC drenaje · medida: 8" x 4"</t>
        </is>
      </c>
    </row>
    <row r="1776">
      <c r="A1776" s="3" t="inlineStr">
        <is>
          <t>MAT-32-418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drenaje 8" x 6"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1918.68</v>
      </c>
      <c r="L1776" s="6" t="n">
        <v>1918.68</v>
      </c>
      <c r="M1776" s="6" t="n">
        <v>1918.68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2026-09-09</t>
        </is>
      </c>
      <c r="Q1776" s="4" t="inlineStr">
        <is>
          <t>Ferretería MC</t>
        </is>
      </c>
      <c r="AF1776" s="4" t="inlineStr">
        <is>
          <t>tipo: reduccion-bushing · material: PVC drenaje · medida: 8" x 6"</t>
        </is>
      </c>
    </row>
    <row r="1777">
      <c r="A1777" s="3" t="inlineStr">
        <is>
          <t>MAT-32-419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 1/2" x 1"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1</v>
      </c>
      <c r="K1777" s="6" t="n">
        <v>87</v>
      </c>
      <c r="L1777" s="6" t="n">
        <v>87</v>
      </c>
      <c r="M1777" s="6" t="n">
        <v>87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2026-09-09</t>
        </is>
      </c>
      <c r="Q1777" s="4" t="inlineStr">
        <is>
          <t>Ferretería Cima</t>
        </is>
      </c>
      <c r="AF1777" s="4" t="inlineStr">
        <is>
          <t>tipo: reduccion-bushing · material: PVC · medida: 1 1/2" x 1"</t>
        </is>
      </c>
    </row>
    <row r="1778">
      <c r="A1778" s="3" t="inlineStr">
        <is>
          <t>MAT-32-420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 1/2" x 3/4"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2</v>
      </c>
      <c r="K1778" s="6" t="n">
        <v>57.5</v>
      </c>
      <c r="L1778" s="6" t="n">
        <v>30</v>
      </c>
      <c r="M1778" s="6" t="n">
        <v>85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2026-09-10</t>
        </is>
      </c>
      <c r="Q1778" s="4" t="inlineStr">
        <is>
          <t>Bellón · Ferretería Cima</t>
        </is>
      </c>
      <c r="AF1778" s="4" t="inlineStr">
        <is>
          <t>tipo: reduccion-bushing · material: PVC · medida: 1 1/2" x 3/4"</t>
        </is>
      </c>
    </row>
    <row r="1779">
      <c r="A1779" s="3" t="inlineStr">
        <is>
          <t>MAT-32-421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1" x 1/2"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1</v>
      </c>
      <c r="K1779" s="6" t="n">
        <v>35</v>
      </c>
      <c r="L1779" s="6" t="n">
        <v>35</v>
      </c>
      <c r="M1779" s="6" t="n">
        <v>35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2026-09-09</t>
        </is>
      </c>
      <c r="Q1779" s="4" t="inlineStr">
        <is>
          <t>Ferretería Cima</t>
        </is>
      </c>
      <c r="AF1779" s="4" t="inlineStr">
        <is>
          <t>tipo: reduccion-bushing · material: PVC · medida: 1" x 1/2"</t>
        </is>
      </c>
    </row>
    <row r="1780">
      <c r="A1780" s="3" t="inlineStr">
        <is>
          <t>MAT-32-422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1" x 3/4"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2</v>
      </c>
      <c r="K1780" s="6" t="n">
        <v>19.44</v>
      </c>
      <c r="L1780" s="6" t="n">
        <v>12.88</v>
      </c>
      <c r="M1780" s="6" t="n">
        <v>26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 · Ferretería Cima</t>
        </is>
      </c>
      <c r="AF1780" s="4" t="inlineStr">
        <is>
          <t>tipo: reduccion-bushing · material: PVC · medida: 1" x 3/4"</t>
        </is>
      </c>
    </row>
    <row r="1781">
      <c r="A1781" s="3" t="inlineStr">
        <is>
          <t>MAT-32-423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1 1/2"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2</v>
      </c>
      <c r="K1781" s="6" t="n">
        <v>59</v>
      </c>
      <c r="L1781" s="6" t="n">
        <v>53</v>
      </c>
      <c r="M1781" s="6" t="n">
        <v>65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2026-09-10</t>
        </is>
      </c>
      <c r="Q1781" s="4" t="inlineStr">
        <is>
          <t>Bellón · Ferretería Cima</t>
        </is>
      </c>
      <c r="AF1781" s="4" t="inlineStr">
        <is>
          <t>tipo: reduccion-bushing · material: PVC · medida: 2" x 1 1/2"</t>
        </is>
      </c>
    </row>
    <row r="1782">
      <c r="A1782" s="3" t="inlineStr">
        <is>
          <t>MAT-32-424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2" x 1"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64</v>
      </c>
      <c r="L1782" s="6" t="n">
        <v>64</v>
      </c>
      <c r="M1782" s="6" t="n">
        <v>64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2" x 1"</t>
        </is>
      </c>
    </row>
    <row r="1783">
      <c r="A1783" s="3" t="inlineStr">
        <is>
          <t>MAT-32-425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2" x 3/4"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41</v>
      </c>
      <c r="L1783" s="6" t="n">
        <v>41</v>
      </c>
      <c r="M1783" s="6" t="n">
        <v>41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2" x 3/4"</t>
        </is>
      </c>
    </row>
    <row r="1784">
      <c r="A1784" s="3" t="inlineStr">
        <is>
          <t>MAT-32-426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3/4" x 1/2"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20</v>
      </c>
      <c r="L1784" s="6" t="n">
        <v>20</v>
      </c>
      <c r="M1784" s="6" t="n">
        <v>20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2026-09-09</t>
        </is>
      </c>
      <c r="Q1784" s="4" t="inlineStr">
        <is>
          <t>Ferretería Cima</t>
        </is>
      </c>
      <c r="AF1784" s="4" t="inlineStr">
        <is>
          <t>tipo: reduccion-bushing · material: PVC · medida: 3/4" x 1/2"</t>
        </is>
      </c>
    </row>
    <row r="1785">
      <c r="A1785" s="3" t="inlineStr">
        <is>
          <t>MAT-32-427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3" x 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210</v>
      </c>
      <c r="L1785" s="6" t="n">
        <v>210</v>
      </c>
      <c r="M1785" s="6" t="n">
        <v>210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3" x 2"</t>
        </is>
      </c>
    </row>
    <row r="1786">
      <c r="A1786" s="3" t="inlineStr">
        <is>
          <t>MAT-32-428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4" x 2"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175</v>
      </c>
      <c r="L1786" s="6" t="n">
        <v>175</v>
      </c>
      <c r="M1786" s="6" t="n">
        <v>175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Cima</t>
        </is>
      </c>
      <c r="AF1786" s="4" t="inlineStr">
        <is>
          <t>tipo: reduccion-bushing · material: PVC · medida: 4" x 2"</t>
        </is>
      </c>
    </row>
    <row r="1787">
      <c r="A1787" s="3" t="inlineStr">
        <is>
          <t>MAT-32-429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4" x 3"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195</v>
      </c>
      <c r="L1787" s="6" t="n">
        <v>195</v>
      </c>
      <c r="M1787" s="6" t="n">
        <v>195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2026-09-09</t>
        </is>
      </c>
      <c r="Q1787" s="4" t="inlineStr">
        <is>
          <t>Ferretería Cima</t>
        </is>
      </c>
      <c r="AF1787" s="4" t="inlineStr">
        <is>
          <t>tipo: reduccion-bushing · material: PVC · medida: 4" x 3"</t>
        </is>
      </c>
    </row>
    <row r="1788">
      <c r="A1788" s="3" t="inlineStr">
        <is>
          <t>MAT-32-430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6" x 3"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1430</v>
      </c>
      <c r="L1788" s="6" t="n">
        <v>1430</v>
      </c>
      <c r="M1788" s="6" t="n">
        <v>1430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2026-09-10</t>
        </is>
      </c>
      <c r="Q1788" s="4" t="inlineStr">
        <is>
          <t>Bellón</t>
        </is>
      </c>
      <c r="AF1788" s="4" t="inlineStr">
        <is>
          <t>tipo: reduccion-bushing · material: PVC · medida: 6" x 3"</t>
        </is>
      </c>
    </row>
    <row r="1789">
      <c r="A1789" s="3" t="inlineStr">
        <is>
          <t>MAT-32-431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6" x 4"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702</v>
      </c>
      <c r="L1789" s="6" t="n">
        <v>702</v>
      </c>
      <c r="M1789" s="6" t="n">
        <v>702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2026-09-09</t>
        </is>
      </c>
      <c r="Q1789" s="4" t="inlineStr">
        <is>
          <t>Ferretería Cima</t>
        </is>
      </c>
      <c r="AF1789" s="4" t="inlineStr">
        <is>
          <t>tipo: reduccion-bushing · material: PVC · medida: 6" x 4"</t>
        </is>
      </c>
    </row>
    <row r="1790">
      <c r="A1790" s="3" t="inlineStr">
        <is>
          <t>MAT-32-432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1/2"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26.85</v>
      </c>
      <c r="L1790" s="6" t="n">
        <v>26.85</v>
      </c>
      <c r="M1790" s="6" t="n">
        <v>26.85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 1/2" x 1/2"</t>
        </is>
      </c>
    </row>
    <row r="1791">
      <c r="A1791" s="3" t="inlineStr">
        <is>
          <t>MAT-32-433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 1/2" x 1"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1</v>
      </c>
      <c r="K1791" s="6" t="n">
        <v>26.41</v>
      </c>
      <c r="L1791" s="6" t="n">
        <v>26.41</v>
      </c>
      <c r="M1791" s="6" t="n">
        <v>26.41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2026-09-09</t>
        </is>
      </c>
      <c r="Q1791" s="4" t="inlineStr">
        <is>
          <t>Ferretería MC</t>
        </is>
      </c>
      <c r="AF1791" s="4" t="inlineStr">
        <is>
          <t>tipo: reduccion-bushing · material: PVC presión · medida: 1 1/2" x 1"</t>
        </is>
      </c>
    </row>
    <row r="1792">
      <c r="A1792" s="3" t="inlineStr">
        <is>
          <t>MAT-32-434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 1/2" x 3/4"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2</v>
      </c>
      <c r="K1792" s="6" t="n">
        <v>21.36</v>
      </c>
      <c r="L1792" s="6" t="n">
        <v>10.48</v>
      </c>
      <c r="M1792" s="6" t="n">
        <v>35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 · Ferretería MC</t>
        </is>
      </c>
      <c r="AF1792" s="4" t="inlineStr">
        <is>
          <t>tipo: reduccion-bushing · material: PVC presión · medida: 1 1/2" x 3/4"</t>
        </is>
      </c>
    </row>
    <row r="1793">
      <c r="A1793" s="3" t="inlineStr">
        <is>
          <t>MAT-32-435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12" x 8"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15891.21</v>
      </c>
      <c r="L1793" s="6" t="n">
        <v>15891.21</v>
      </c>
      <c r="M1793" s="6" t="n">
        <v>15891.21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2026-09-10</t>
        </is>
      </c>
      <c r="Q1793" s="4" t="inlineStr">
        <is>
          <t>Bellón</t>
        </is>
      </c>
      <c r="AF1793" s="4" t="inlineStr">
        <is>
          <t>tipo: reduccion-bushing · material: PVC presión · medida: 12" x 8"</t>
        </is>
      </c>
    </row>
    <row r="1794">
      <c r="A1794" s="3" t="inlineStr">
        <is>
          <t>MAT-32-436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1" x 1/2"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10.56</v>
      </c>
      <c r="L1794" s="6" t="n">
        <v>10.56</v>
      </c>
      <c r="M1794" s="6" t="n">
        <v>10.56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1" x 1/2"</t>
        </is>
      </c>
    </row>
    <row r="1795">
      <c r="A1795" s="3" t="inlineStr">
        <is>
          <t>MAT-32-437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1" x 3/4"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8.300000000000001</v>
      </c>
      <c r="L1795" s="6" t="n">
        <v>8.300000000000001</v>
      </c>
      <c r="M1795" s="6" t="n">
        <v>8.300000000000001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1" x 3/4"</t>
        </is>
      </c>
    </row>
    <row r="1796">
      <c r="A1796" s="3" t="inlineStr">
        <is>
          <t>MAT-32-438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22.93</v>
      </c>
      <c r="L1796" s="6" t="n">
        <v>22.93</v>
      </c>
      <c r="M1796" s="6" t="n">
        <v>22.93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2" x 1 1/2"</t>
        </is>
      </c>
    </row>
    <row r="1797">
      <c r="A1797" s="3" t="inlineStr">
        <is>
          <t>MAT-32-439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1/2"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30.85</v>
      </c>
      <c r="L1797" s="6" t="n">
        <v>30.85</v>
      </c>
      <c r="M1797" s="6" t="n">
        <v>30.85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2026-09-09</t>
        </is>
      </c>
      <c r="Q1797" s="4" t="inlineStr">
        <is>
          <t>Ferretería MC</t>
        </is>
      </c>
      <c r="AF1797" s="4" t="inlineStr">
        <is>
          <t>tipo: reduccion-bushing · material: PVC presión · medida: 2" x 1/2"</t>
        </is>
      </c>
    </row>
    <row r="1798">
      <c r="A1798" s="3" t="inlineStr">
        <is>
          <t>MAT-32-440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2" x 1"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33.22</v>
      </c>
      <c r="L1798" s="6" t="n">
        <v>33.22</v>
      </c>
      <c r="M1798" s="6" t="n">
        <v>33.22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2026-09-09</t>
        </is>
      </c>
      <c r="Q1798" s="4" t="inlineStr">
        <is>
          <t>Ferretería MC</t>
        </is>
      </c>
      <c r="AF1798" s="4" t="inlineStr">
        <is>
          <t>tipo: reduccion-bushing · material: PVC presión · medida: 2" x 1"</t>
        </is>
      </c>
    </row>
    <row r="1799">
      <c r="A1799" s="3" t="inlineStr">
        <is>
          <t>MAT-32-441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2" x 3/4"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40.34</v>
      </c>
      <c r="L1799" s="6" t="n">
        <v>40.34</v>
      </c>
      <c r="M1799" s="6" t="n">
        <v>40.34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2026-09-09</t>
        </is>
      </c>
      <c r="Q1799" s="4" t="inlineStr">
        <is>
          <t>Ferretería MC</t>
        </is>
      </c>
      <c r="AF1799" s="4" t="inlineStr">
        <is>
          <t>tipo: reduccion-bushing · material: PVC presión · medida: 2" x 3/4"</t>
        </is>
      </c>
    </row>
    <row r="1800">
      <c r="A1800" s="3" t="inlineStr">
        <is>
          <t>MAT-32-442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3/4" x 1/2"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4.96</v>
      </c>
      <c r="L1800" s="6" t="n">
        <v>4.96</v>
      </c>
      <c r="M1800" s="6" t="n">
        <v>4.96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2026-09-09</t>
        </is>
      </c>
      <c r="Q1800" s="4" t="inlineStr">
        <is>
          <t>Ferretería MC</t>
        </is>
      </c>
      <c r="AF1800" s="4" t="inlineStr">
        <is>
          <t>tipo: reduccion-bushing · material: PVC presión · medida: 3/4" x 1/2"</t>
        </is>
      </c>
    </row>
    <row r="1801">
      <c r="A1801" s="3" t="inlineStr">
        <is>
          <t>MAT-32-443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3" x 1 1/2"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205.82</v>
      </c>
      <c r="L1801" s="6" t="n">
        <v>61.64</v>
      </c>
      <c r="M1801" s="6" t="n">
        <v>350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3" x 1 1/2"</t>
        </is>
      </c>
    </row>
    <row r="1802">
      <c r="A1802" s="3" t="inlineStr">
        <is>
          <t>MAT-32-444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3" x 1"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350</v>
      </c>
      <c r="L1802" s="6" t="n">
        <v>350</v>
      </c>
      <c r="M1802" s="6" t="n">
        <v>350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reduccion-bushing · material: PVC presión · medida: 3" x 1"</t>
        </is>
      </c>
    </row>
    <row r="1803">
      <c r="A1803" s="3" t="inlineStr">
        <is>
          <t>MAT-32-445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4" x 2"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195</v>
      </c>
      <c r="L1803" s="6" t="n">
        <v>195</v>
      </c>
      <c r="M1803" s="6" t="n">
        <v>195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reduccion-bushing · material: PVC presión · medida: 4" x 2"</t>
        </is>
      </c>
    </row>
    <row r="1804">
      <c r="A1804" s="3" t="inlineStr">
        <is>
          <t>MAT-32-446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6" x 4"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435.5</v>
      </c>
      <c r="L1804" s="6" t="n">
        <v>136</v>
      </c>
      <c r="M1804" s="6" t="n">
        <v>735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reduccion-bushing · material: PVC presión · medida: 6" x 4"</t>
        </is>
      </c>
    </row>
    <row r="1805">
      <c r="A1805" s="3" t="inlineStr">
        <is>
          <t>MAT-32-447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presión 8" x 6"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3880</v>
      </c>
      <c r="L1805" s="6" t="n">
        <v>3880</v>
      </c>
      <c r="M1805" s="6" t="n">
        <v>3880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reduccion-bushing · material: PVC presión · medida: 8" x 6"</t>
        </is>
      </c>
    </row>
    <row r="1806">
      <c r="A1806" s="3" t="inlineStr">
        <is>
          <t>MAT-32-448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1 3/8" x 5/8"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121</v>
      </c>
      <c r="L1806" s="6" t="n">
        <v>121</v>
      </c>
      <c r="M1806" s="6" t="n">
        <v>121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cobre · medida: 1 3/8" x 5/8"</t>
        </is>
      </c>
    </row>
    <row r="1807">
      <c r="A1807" s="3" t="inlineStr">
        <is>
          <t>MAT-32-449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cobre 1 5/8" x 1 1/8"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159</v>
      </c>
      <c r="L1807" s="6" t="n">
        <v>159</v>
      </c>
      <c r="M1807" s="6" t="n">
        <v>159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F1807" s="4" t="inlineStr">
        <is>
          <t>tipo: reduccion · material: cobre · medida: 1 5/8" x 1 1/8"</t>
        </is>
      </c>
    </row>
    <row r="1808">
      <c r="A1808" s="3" t="inlineStr">
        <is>
          <t>MAT-32-450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cobre 7/8" x 5/8"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48.07</v>
      </c>
      <c r="L1808" s="6" t="n">
        <v>48.07</v>
      </c>
      <c r="M1808" s="6" t="n">
        <v>48.07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cobre · medida: 7/8" x 5/8"</t>
        </is>
      </c>
    </row>
    <row r="1809">
      <c r="A1809" s="3" t="inlineStr">
        <is>
          <t>MAT-32-451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 1/4"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120</v>
      </c>
      <c r="L1809" s="6" t="n">
        <v>120</v>
      </c>
      <c r="M1809" s="6" t="n">
        <v>120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 1/2" x 1 1/4"</t>
        </is>
      </c>
    </row>
    <row r="1810">
      <c r="A1810" s="3" t="inlineStr">
        <is>
          <t>MAT-32-452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1/2" x 1/2"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1</v>
      </c>
      <c r="K1810" s="6" t="n">
        <v>83</v>
      </c>
      <c r="L1810" s="6" t="n">
        <v>83</v>
      </c>
      <c r="M1810" s="6" t="n">
        <v>83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</t>
        </is>
      </c>
      <c r="AF1810" s="4" t="inlineStr">
        <is>
          <t>tipo: reduccion · material: HG · medida: 1 1/2" x 1/2"</t>
        </is>
      </c>
    </row>
    <row r="1811">
      <c r="A1811" s="3" t="inlineStr">
        <is>
          <t>MAT-32-453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 1/2" x 1"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2</v>
      </c>
      <c r="K1811" s="6" t="n">
        <v>175</v>
      </c>
      <c r="L1811" s="6" t="n">
        <v>113</v>
      </c>
      <c r="M1811" s="6" t="n">
        <v>237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 · Ferretería Cima</t>
        </is>
      </c>
      <c r="AF1811" s="4" t="inlineStr">
        <is>
          <t>tipo: reduccion · material: HG · medida: 1 1/2" x 1"</t>
        </is>
      </c>
    </row>
    <row r="1812">
      <c r="A1812" s="3" t="inlineStr">
        <is>
          <t>MAT-32-454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 1/4" x 1"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62</v>
      </c>
      <c r="L1812" s="6" t="n">
        <v>62</v>
      </c>
      <c r="M1812" s="6" t="n">
        <v>62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HG · medida: 1 1/4" x 1"</t>
        </is>
      </c>
    </row>
    <row r="1813">
      <c r="A1813" s="3" t="inlineStr">
        <is>
          <t>MAT-32-455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1/2" x 1/4"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36.34</v>
      </c>
      <c r="L1813" s="6" t="n">
        <v>36.34</v>
      </c>
      <c r="M1813" s="6" t="n">
        <v>36.34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F1813" s="4" t="inlineStr">
        <is>
          <t>tipo: reduccion · material: HG · medida: 1/2" x 1/4"</t>
        </is>
      </c>
    </row>
    <row r="1814">
      <c r="A1814" s="3" t="inlineStr">
        <is>
          <t>MAT-32-456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1/2" x 3/8"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2</v>
      </c>
      <c r="K1814" s="6" t="n">
        <v>53.13</v>
      </c>
      <c r="L1814" s="6" t="n">
        <v>36.25</v>
      </c>
      <c r="M1814" s="6" t="n">
        <v>70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 · Ferretería Cima</t>
        </is>
      </c>
      <c r="AF1814" s="4" t="inlineStr">
        <is>
          <t>tipo: reduccion · material: HG · medida: 1/2" x 3/8"</t>
        </is>
      </c>
    </row>
    <row r="1815">
      <c r="A1815" s="3" t="inlineStr">
        <is>
          <t>MAT-32-457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1" x 1/2"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2</v>
      </c>
      <c r="K1815" s="6" t="n">
        <v>71</v>
      </c>
      <c r="L1815" s="6" t="n">
        <v>47</v>
      </c>
      <c r="M1815" s="6" t="n">
        <v>95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 · Ferretería Cima</t>
        </is>
      </c>
      <c r="AF1815" s="4" t="inlineStr">
        <is>
          <t>tipo: reduccion · material: HG · medida: 1" x 1/2"</t>
        </is>
      </c>
    </row>
    <row r="1816">
      <c r="A1816" s="3" t="inlineStr">
        <is>
          <t>MAT-32-458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1" x 3/4"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2</v>
      </c>
      <c r="K1816" s="6" t="n">
        <v>74.48</v>
      </c>
      <c r="L1816" s="6" t="n">
        <v>47.96</v>
      </c>
      <c r="M1816" s="6" t="n">
        <v>101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 · Ferretería Cima</t>
        </is>
      </c>
      <c r="AF1816" s="4" t="inlineStr">
        <is>
          <t>tipo: reduccion · material: HG · medida: 1" x 3/4"</t>
        </is>
      </c>
    </row>
    <row r="1817">
      <c r="A1817" s="3" t="inlineStr">
        <is>
          <t>MAT-32-459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2" x 1 1/2"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135</v>
      </c>
      <c r="L1817" s="6" t="n">
        <v>135</v>
      </c>
      <c r="M1817" s="6" t="n">
        <v>135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2" x 1 1/2"</t>
        </is>
      </c>
    </row>
    <row r="1818">
      <c r="A1818" s="3" t="inlineStr">
        <is>
          <t>MAT-32-460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2" x 1"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117</v>
      </c>
      <c r="L1818" s="6" t="n">
        <v>117</v>
      </c>
      <c r="M1818" s="6" t="n">
        <v>117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HG · medida: 2" x 1"</t>
        </is>
      </c>
    </row>
    <row r="1819">
      <c r="A1819" s="3" t="inlineStr">
        <is>
          <t>MAT-32-461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3/4" x 1/2"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34</v>
      </c>
      <c r="L1819" s="6" t="n">
        <v>34</v>
      </c>
      <c r="M1819" s="6" t="n">
        <v>34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HG · medida: 3/4" x 1/2"</t>
        </is>
      </c>
    </row>
    <row r="1820">
      <c r="A1820" s="3" t="inlineStr">
        <is>
          <t>MAT-32-462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3/4" x 3/8"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26.32</v>
      </c>
      <c r="L1820" s="6" t="n">
        <v>26.32</v>
      </c>
      <c r="M1820" s="6" t="n">
        <v>26.32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HG · medida: 3/4" x 3/8"</t>
        </is>
      </c>
    </row>
    <row r="1821">
      <c r="A1821" s="3" t="inlineStr">
        <is>
          <t>MAT-32-463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HG 3" x 2"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440</v>
      </c>
      <c r="L1821" s="6" t="n">
        <v>440</v>
      </c>
      <c r="M1821" s="6" t="n">
        <v>440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HG · medida: 3" x 2"</t>
        </is>
      </c>
    </row>
    <row r="1822">
      <c r="A1822" s="3" t="inlineStr">
        <is>
          <t>MAT-32-464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1/2" x 1"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7.36</v>
      </c>
      <c r="L1822" s="6" t="n">
        <v>7.36</v>
      </c>
      <c r="M1822" s="6" t="n">
        <v>7.36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1/2" x 1"</t>
        </is>
      </c>
    </row>
    <row r="1823">
      <c r="A1823" s="3" t="inlineStr">
        <is>
          <t>MAT-32-465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1/2" x 7/8"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3.5</v>
      </c>
      <c r="L1823" s="6" t="n">
        <v>3.5</v>
      </c>
      <c r="M1823" s="6" t="n">
        <v>3.5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1/2" x 7/8"</t>
        </is>
      </c>
    </row>
    <row r="1824">
      <c r="A1824" s="3" t="inlineStr">
        <is>
          <t>MAT-32-466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1/2"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10.35</v>
      </c>
      <c r="L1824" s="6" t="n">
        <v>10.35</v>
      </c>
      <c r="M1824" s="6" t="n">
        <v>10.35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plástico · medida: 1 1/4" x 1/2"</t>
        </is>
      </c>
    </row>
    <row r="1825">
      <c r="A1825" s="3" t="inlineStr">
        <is>
          <t>MAT-32-467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3/4"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2.33</v>
      </c>
      <c r="L1825" s="6" t="n">
        <v>2.33</v>
      </c>
      <c r="M1825" s="6" t="n">
        <v>2.33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plástico · medida: 1 1/4" x 3/4"</t>
        </is>
      </c>
    </row>
    <row r="1826">
      <c r="A1826" s="3" t="inlineStr">
        <is>
          <t>MAT-32-468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plástico 1 1/4" x 5/8"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2.44</v>
      </c>
      <c r="L1826" s="6" t="n">
        <v>2.44</v>
      </c>
      <c r="M1826" s="6" t="n">
        <v>2.44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reduccion · material: plástico · medida: 1 1/4" x 5/8"</t>
        </is>
      </c>
    </row>
    <row r="1827">
      <c r="A1827" s="3" t="inlineStr">
        <is>
          <t>MAT-32-469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plástico 1 1/4" x 7/8"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8.800000000000001</v>
      </c>
      <c r="L1827" s="6" t="n">
        <v>8.800000000000001</v>
      </c>
      <c r="M1827" s="6" t="n">
        <v>8.800000000000001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plástico · medida: 1 1/4" x 7/8"</t>
        </is>
      </c>
    </row>
    <row r="1828">
      <c r="A1828" s="3" t="inlineStr">
        <is>
          <t>MAT-32-470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20 mm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6.84</v>
      </c>
      <c r="L1828" s="6" t="n">
        <v>5.59</v>
      </c>
      <c r="M1828" s="6" t="n">
        <v>8.08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PPR · medida: 20 mm</t>
        </is>
      </c>
    </row>
    <row r="1829">
      <c r="A1829" s="3" t="inlineStr">
        <is>
          <t>MAT-32-471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25 mm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13.91</v>
      </c>
      <c r="L1829" s="6" t="n">
        <v>7.98</v>
      </c>
      <c r="M1829" s="6" t="n">
        <v>19.84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F1829" s="4" t="inlineStr">
        <is>
          <t>tipo: reduccion · material: PPR · medida: 25 mm</t>
        </is>
      </c>
    </row>
    <row r="1830">
      <c r="A1830" s="3" t="inlineStr">
        <is>
          <t>MAT-32-472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PPR 25 mm x 20 mm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53</v>
      </c>
      <c r="L1830" s="6" t="n">
        <v>53</v>
      </c>
      <c r="M1830" s="6" t="n">
        <v>53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2026-09-09</t>
        </is>
      </c>
      <c r="Q1830" s="4" t="inlineStr">
        <is>
          <t>Ferretería Cima</t>
        </is>
      </c>
      <c r="AF1830" s="4" t="inlineStr">
        <is>
          <t>tipo: reduccion · material: PPR · medida: 25 mm x 20 mm</t>
        </is>
      </c>
    </row>
    <row r="1831">
      <c r="A1831" s="3" t="inlineStr">
        <is>
          <t>MAT-32-473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PPR 32 mm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22.53</v>
      </c>
      <c r="L1831" s="6" t="n">
        <v>22.53</v>
      </c>
      <c r="M1831" s="6" t="n">
        <v>22.53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PPR · medida: 32 mm</t>
        </is>
      </c>
    </row>
    <row r="1832">
      <c r="A1832" s="3" t="inlineStr">
        <is>
          <t>MAT-32-474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1 1/2" x 1"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15</v>
      </c>
      <c r="L1832" s="6" t="n">
        <v>15</v>
      </c>
      <c r="M1832" s="6" t="n">
        <v>15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1 1/2" x 1"</t>
        </is>
      </c>
    </row>
    <row r="1833">
      <c r="A1833" s="3" t="inlineStr">
        <is>
          <t>MAT-32-475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1/2"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14.69</v>
      </c>
      <c r="L1833" s="6" t="n">
        <v>14.69</v>
      </c>
      <c r="M1833" s="6" t="n">
        <v>14.69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2" x 1/2"</t>
        </is>
      </c>
    </row>
    <row r="1834">
      <c r="A1834" s="3" t="inlineStr">
        <is>
          <t>MAT-32-476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2" x 1"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14.96</v>
      </c>
      <c r="L1834" s="6" t="n">
        <v>14.96</v>
      </c>
      <c r="M1834" s="6" t="n">
        <v>14.96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2" x 1"</t>
        </is>
      </c>
    </row>
    <row r="1835">
      <c r="A1835" s="3" t="inlineStr">
        <is>
          <t>MAT-32-477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2" x 3/4"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14.52</v>
      </c>
      <c r="L1835" s="6" t="n">
        <v>14.52</v>
      </c>
      <c r="M1835" s="6" t="n">
        <v>14.52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2026-09-10</t>
        </is>
      </c>
      <c r="Q1835" s="4" t="inlineStr">
        <is>
          <t>Bellón</t>
        </is>
      </c>
      <c r="AF1835" s="4" t="inlineStr">
        <is>
          <t>tipo: reduccion · material: PVC drenaje · medida: 2" x 3/4"</t>
        </is>
      </c>
    </row>
    <row r="1836">
      <c r="A1836" s="3" t="inlineStr">
        <is>
          <t>MAT-32-478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3" x 2"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31.93</v>
      </c>
      <c r="L1836" s="6" t="n">
        <v>28.6</v>
      </c>
      <c r="M1836" s="6" t="n">
        <v>35.26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reduccion · material: PVC drenaje · medida: 3" x 2"</t>
        </is>
      </c>
    </row>
    <row r="1837">
      <c r="A1837" s="3" t="inlineStr">
        <is>
          <t>MAT-32-479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4" x 2"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66.90000000000001</v>
      </c>
      <c r="L1837" s="6" t="n">
        <v>57.06</v>
      </c>
      <c r="M1837" s="6" t="n">
        <v>76.73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reduccion · material: PVC drenaje · medida: 4" x 2"</t>
        </is>
      </c>
    </row>
    <row r="1838">
      <c r="A1838" s="3" t="inlineStr">
        <is>
          <t>MAT-32-480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drenaje 4" x 3"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59.26</v>
      </c>
      <c r="L1838" s="6" t="n">
        <v>52</v>
      </c>
      <c r="M1838" s="6" t="n">
        <v>66.51000000000001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F1838" s="4" t="inlineStr">
        <is>
          <t>tipo: reduccion · material: PVC drenaje · medida: 4" x 3"</t>
        </is>
      </c>
    </row>
    <row r="1839">
      <c r="A1839" s="3" t="inlineStr">
        <is>
          <t>MAT-32-481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1/2"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63</v>
      </c>
      <c r="L1839" s="6" t="n">
        <v>63</v>
      </c>
      <c r="M1839" s="6" t="n">
        <v>63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2026-09-09</t>
        </is>
      </c>
      <c r="Q1839" s="4" t="inlineStr">
        <is>
          <t>Ferretería Cima</t>
        </is>
      </c>
      <c r="AF1839" s="4" t="inlineStr">
        <is>
          <t>tipo: reduccion · material: PVC · medida: 1 1/2" x 1/2"</t>
        </is>
      </c>
    </row>
    <row r="1840">
      <c r="A1840" s="3" t="inlineStr">
        <is>
          <t>MAT-32-482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 1/2" x 1"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111</v>
      </c>
      <c r="L1840" s="6" t="n">
        <v>111</v>
      </c>
      <c r="M1840" s="6" t="n">
        <v>111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1 1/2" x 1"</t>
        </is>
      </c>
    </row>
    <row r="1841">
      <c r="A1841" s="3" t="inlineStr">
        <is>
          <t>MAT-32-483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 1/2" x 3/4"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85</v>
      </c>
      <c r="L1841" s="6" t="n">
        <v>85</v>
      </c>
      <c r="M1841" s="6" t="n">
        <v>85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2026-09-09</t>
        </is>
      </c>
      <c r="Q1841" s="4" t="inlineStr">
        <is>
          <t>Ferretería Cima</t>
        </is>
      </c>
      <c r="AF1841" s="4" t="inlineStr">
        <is>
          <t>tipo: reduccion · material: PVC · medida: 1 1/2" x 3/4"</t>
        </is>
      </c>
    </row>
    <row r="1842">
      <c r="A1842" s="3" t="inlineStr">
        <is>
          <t>MAT-32-484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12" x 8"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13614</v>
      </c>
      <c r="L1842" s="6" t="n">
        <v>13614</v>
      </c>
      <c r="M1842" s="6" t="n">
        <v>13614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12" x 8"</t>
        </is>
      </c>
    </row>
    <row r="1843">
      <c r="A1843" s="3" t="inlineStr">
        <is>
          <t>MAT-32-485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16" x 12"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9256.889999999999</v>
      </c>
      <c r="L1843" s="6" t="n">
        <v>9256.889999999999</v>
      </c>
      <c r="M1843" s="6" t="n">
        <v>9256.889999999999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2026-09-10</t>
        </is>
      </c>
      <c r="Q1843" s="4" t="inlineStr">
        <is>
          <t>Bellón</t>
        </is>
      </c>
      <c r="AF1843" s="4" t="inlineStr">
        <is>
          <t>tipo: reduccion · material: PVC · medida: 16" x 12"</t>
        </is>
      </c>
    </row>
    <row r="1844">
      <c r="A1844" s="3" t="inlineStr">
        <is>
          <t>MAT-32-486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2" x 1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1</v>
      </c>
      <c r="K1844" s="6" t="n">
        <v>234</v>
      </c>
      <c r="L1844" s="6" t="n">
        <v>234</v>
      </c>
      <c r="M1844" s="6" t="n">
        <v>234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2026-09-09</t>
        </is>
      </c>
      <c r="Q1844" s="4" t="inlineStr">
        <is>
          <t>Ferretería Cima</t>
        </is>
      </c>
      <c r="AF1844" s="4" t="inlineStr">
        <is>
          <t>tipo: reduccion · material: PVC · medida: 2" x 1 1/2"</t>
        </is>
      </c>
    </row>
    <row r="1845">
      <c r="A1845" s="3" t="inlineStr">
        <is>
          <t>MAT-32-487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3/4" x 1/2"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2</v>
      </c>
      <c r="K1845" s="6" t="n">
        <v>21.47</v>
      </c>
      <c r="L1845" s="6" t="n">
        <v>5.77</v>
      </c>
      <c r="M1845" s="6" t="n">
        <v>46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 · Ferretería Cima</t>
        </is>
      </c>
      <c r="AF1845" s="4" t="inlineStr">
        <is>
          <t>tipo: reduccion · material: PVC · medida: 3/4" x 1/2"</t>
        </is>
      </c>
    </row>
    <row r="1846">
      <c r="A1846" s="3" t="inlineStr">
        <is>
          <t>MAT-32-488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4" x 2"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348</v>
      </c>
      <c r="L1846" s="6" t="n">
        <v>348</v>
      </c>
      <c r="M1846" s="6" t="n">
        <v>348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· medida: 4" x 2"</t>
        </is>
      </c>
    </row>
    <row r="1847">
      <c r="A1847" s="3" t="inlineStr">
        <is>
          <t>MAT-32-489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4" x 3"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376</v>
      </c>
      <c r="L1847" s="6" t="n">
        <v>122</v>
      </c>
      <c r="M1847" s="6" t="n">
        <v>630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· medida: 4" x 3"</t>
        </is>
      </c>
    </row>
    <row r="1848">
      <c r="A1848" s="3" t="inlineStr">
        <is>
          <t>MAT-32-490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25.53</v>
      </c>
      <c r="L1848" s="6" t="n">
        <v>25.53</v>
      </c>
      <c r="M1848" s="6" t="n">
        <v>25.53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1 1/2"</t>
        </is>
      </c>
    </row>
    <row r="1849">
      <c r="A1849" s="3" t="inlineStr">
        <is>
          <t>MAT-32-491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 1/2"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26.39</v>
      </c>
      <c r="L1849" s="6" t="n">
        <v>26.39</v>
      </c>
      <c r="M1849" s="6" t="n">
        <v>26.39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1 1/2" x 1/2"</t>
        </is>
      </c>
    </row>
    <row r="1850">
      <c r="A1850" s="3" t="inlineStr">
        <is>
          <t>MAT-32-492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1" x 1/2"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9.130000000000001</v>
      </c>
      <c r="L1850" s="6" t="n">
        <v>7.7</v>
      </c>
      <c r="M1850" s="6" t="n">
        <v>10.56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1" x 1/2"</t>
        </is>
      </c>
    </row>
    <row r="1851">
      <c r="A1851" s="3" t="inlineStr">
        <is>
          <t>MAT-32-493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1" x 3/4"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7.19</v>
      </c>
      <c r="L1851" s="6" t="n">
        <v>6.11</v>
      </c>
      <c r="M1851" s="6" t="n">
        <v>8.27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1" x 3/4"</t>
        </is>
      </c>
    </row>
    <row r="1852">
      <c r="A1852" s="3" t="inlineStr">
        <is>
          <t>MAT-32-494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22.64</v>
      </c>
      <c r="L1852" s="6" t="n">
        <v>22.64</v>
      </c>
      <c r="M1852" s="6" t="n">
        <v>22.64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2" x 1 1/2"</t>
        </is>
      </c>
    </row>
    <row r="1853">
      <c r="A1853" s="3" t="inlineStr">
        <is>
          <t>MAT-32-495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1/2"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36.92</v>
      </c>
      <c r="L1853" s="6" t="n">
        <v>20</v>
      </c>
      <c r="M1853" s="6" t="n">
        <v>53.85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2" x 1/2"</t>
        </is>
      </c>
    </row>
    <row r="1854">
      <c r="A1854" s="3" t="inlineStr">
        <is>
          <t>MAT-32-496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2" x 1"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53.85</v>
      </c>
      <c r="L1854" s="6" t="n">
        <v>53.85</v>
      </c>
      <c r="M1854" s="6" t="n">
        <v>53.85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2" x 1"</t>
        </is>
      </c>
    </row>
    <row r="1855">
      <c r="A1855" s="3" t="inlineStr">
        <is>
          <t>MAT-32-497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2" x 3/4"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53.61</v>
      </c>
      <c r="L1855" s="6" t="n">
        <v>53.61</v>
      </c>
      <c r="M1855" s="6" t="n">
        <v>53.61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reduccion · material: PVC presión · medida: 2" x 3/4"</t>
        </is>
      </c>
    </row>
    <row r="1856">
      <c r="A1856" s="3" t="inlineStr">
        <is>
          <t>MAT-32-498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3/4" x 1/2"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3.09</v>
      </c>
      <c r="L1856" s="6" t="n">
        <v>2.28</v>
      </c>
      <c r="M1856" s="6" t="n">
        <v>3.9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reduccion · material: PVC presión · medida: 3/4" x 1/2"</t>
        </is>
      </c>
    </row>
    <row r="1857">
      <c r="A1857" s="3" t="inlineStr">
        <is>
          <t>MAT-32-499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3" x 2"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104.52</v>
      </c>
      <c r="L1857" s="6" t="n">
        <v>104.52</v>
      </c>
      <c r="M1857" s="6" t="n">
        <v>104.52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</t>
        </is>
      </c>
      <c r="AF1857" s="4" t="inlineStr">
        <is>
          <t>tipo: reduccion · material: PVC presión · medida: 3" x 2"</t>
        </is>
      </c>
    </row>
    <row r="1858">
      <c r="A1858" s="3" t="inlineStr">
        <is>
          <t>MAT-32-500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presión 4" x 3"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158.69</v>
      </c>
      <c r="L1858" s="6" t="n">
        <v>72.37</v>
      </c>
      <c r="M1858" s="6" t="n">
        <v>245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</t>
        </is>
      </c>
      <c r="AF1858" s="4" t="inlineStr">
        <is>
          <t>tipo: reduccion · material: PVC presión · medida: 4" x 3"</t>
        </is>
      </c>
    </row>
    <row r="1859">
      <c r="A1859" s="3" t="inlineStr">
        <is>
          <t>MAT-32-501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1/4"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101</v>
      </c>
      <c r="L1859" s="6" t="n">
        <v>101</v>
      </c>
      <c r="M1859" s="6" t="n">
        <v>101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2026-09-09</t>
        </is>
      </c>
      <c r="Q1859" s="4" t="inlineStr">
        <is>
          <t>Ferretería Cima</t>
        </is>
      </c>
      <c r="AF1859" s="4" t="inlineStr">
        <is>
          <t>tipo: tapon-hembra · material: bronce · medida: 1/4"</t>
        </is>
      </c>
    </row>
    <row r="1860">
      <c r="A1860" s="3" t="inlineStr">
        <is>
          <t>MAT-32-502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bronce 3/4"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100</v>
      </c>
      <c r="L1860" s="6" t="n">
        <v>100</v>
      </c>
      <c r="M1860" s="6" t="n">
        <v>100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</t>
        </is>
      </c>
      <c r="AF1860" s="4" t="inlineStr">
        <is>
          <t>tipo: tapon-hembra · material: bronce · medida: 3/4"</t>
        </is>
      </c>
    </row>
    <row r="1861">
      <c r="A1861" s="3" t="inlineStr">
        <is>
          <t>MAT-32-503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bronce 3/8"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170</v>
      </c>
      <c r="L1861" s="6" t="n">
        <v>170</v>
      </c>
      <c r="M1861" s="6" t="n">
        <v>170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2026-09-09</t>
        </is>
      </c>
      <c r="Q1861" s="4" t="inlineStr">
        <is>
          <t>Ferretería Cima</t>
        </is>
      </c>
      <c r="AF1861" s="4" t="inlineStr">
        <is>
          <t>tipo: tapon-hembra · material: bronce · medida: 3/8"</t>
        </is>
      </c>
    </row>
    <row r="1862">
      <c r="A1862" s="3" t="inlineStr">
        <is>
          <t>MAT-32-504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1/2"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5.78</v>
      </c>
      <c r="L1862" s="6" t="n">
        <v>5.78</v>
      </c>
      <c r="M1862" s="6" t="n">
        <v>5.78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tapon-hembra · material: CPVC · medida: 1/2"</t>
        </is>
      </c>
    </row>
    <row r="1863">
      <c r="A1863" s="3" t="inlineStr">
        <is>
          <t>MAT-32-505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CPVC 1"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21</v>
      </c>
      <c r="L1863" s="6" t="n">
        <v>21</v>
      </c>
      <c r="M1863" s="6" t="n">
        <v>21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F1863" s="4" t="inlineStr">
        <is>
          <t>tipo: tapon-hembra · material: CPVC · medida: 1"</t>
        </is>
      </c>
    </row>
    <row r="1864">
      <c r="A1864" s="3" t="inlineStr">
        <is>
          <t>MAT-32-506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CPVC 3/4"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8.720000000000001</v>
      </c>
      <c r="L1864" s="6" t="n">
        <v>8.720000000000001</v>
      </c>
      <c r="M1864" s="6" t="n">
        <v>8.720000000000001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2026-09-10</t>
        </is>
      </c>
      <c r="Q1864" s="4" t="inlineStr">
        <is>
          <t>Bellón</t>
        </is>
      </c>
      <c r="AF1864" s="4" t="inlineStr">
        <is>
          <t>tipo: tapon-hembra · material: CPVC · medida: 3/4"</t>
        </is>
      </c>
    </row>
    <row r="1865">
      <c r="A1865" s="3" t="inlineStr">
        <is>
          <t>MAT-32-507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 1/2"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270</v>
      </c>
      <c r="L1865" s="6" t="n">
        <v>270</v>
      </c>
      <c r="M1865" s="6" t="n">
        <v>270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1 1/2"</t>
        </is>
      </c>
    </row>
    <row r="1866">
      <c r="A1866" s="3" t="inlineStr">
        <is>
          <t>MAT-32-508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1/2"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20</v>
      </c>
      <c r="L1866" s="6" t="n">
        <v>20</v>
      </c>
      <c r="M1866" s="6" t="n">
        <v>20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2026-09-09</t>
        </is>
      </c>
      <c r="Q1866" s="4" t="inlineStr">
        <is>
          <t>Ferretería Cima</t>
        </is>
      </c>
      <c r="AF1866" s="4" t="inlineStr">
        <is>
          <t>tipo: tapon-hembra · material: HG · medida: 1/2"</t>
        </is>
      </c>
    </row>
    <row r="1867">
      <c r="A1867" s="3" t="inlineStr">
        <is>
          <t>MAT-32-509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1/4"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35</v>
      </c>
      <c r="L1867" s="6" t="n">
        <v>35</v>
      </c>
      <c r="M1867" s="6" t="n">
        <v>35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2026-09-09</t>
        </is>
      </c>
      <c r="Q1867" s="4" t="inlineStr">
        <is>
          <t>Ferretería Cima</t>
        </is>
      </c>
      <c r="AF1867" s="4" t="inlineStr">
        <is>
          <t>tipo: tapon-hembra · material: HG · medida: 1/4"</t>
        </is>
      </c>
    </row>
    <row r="1868">
      <c r="A1868" s="3" t="inlineStr">
        <is>
          <t>MAT-32-510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HG 1"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44</v>
      </c>
      <c r="L1868" s="6" t="n">
        <v>44</v>
      </c>
      <c r="M1868" s="6" t="n">
        <v>44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2026-09-09</t>
        </is>
      </c>
      <c r="Q1868" s="4" t="inlineStr">
        <is>
          <t>Ferretería Cima</t>
        </is>
      </c>
      <c r="AF1868" s="4" t="inlineStr">
        <is>
          <t>tipo: tapon-hembra · material: HG · medida: 1"</t>
        </is>
      </c>
    </row>
    <row r="1869">
      <c r="A1869" s="3" t="inlineStr">
        <is>
          <t>MAT-32-511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HG 2"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189</v>
      </c>
      <c r="L1869" s="6" t="n">
        <v>189</v>
      </c>
      <c r="M1869" s="6" t="n">
        <v>189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2026-09-09</t>
        </is>
      </c>
      <c r="Q1869" s="4" t="inlineStr">
        <is>
          <t>Ferretería Cima</t>
        </is>
      </c>
      <c r="AF1869" s="4" t="inlineStr">
        <is>
          <t>tipo: tapon-hembra · material: HG · medida: 2"</t>
        </is>
      </c>
    </row>
    <row r="1870">
      <c r="A1870" s="3" t="inlineStr">
        <is>
          <t>MAT-32-513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PPR 25 mm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4.16</v>
      </c>
      <c r="L1870" s="6" t="n">
        <v>4.16</v>
      </c>
      <c r="M1870" s="6" t="n">
        <v>4.16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PPR · medida: 25 mm</t>
        </is>
      </c>
    </row>
    <row r="1871">
      <c r="A1871" s="3" t="inlineStr">
        <is>
          <t>MAT-32-514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PPR 32 mm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7.47</v>
      </c>
      <c r="L1871" s="6" t="n">
        <v>7.47</v>
      </c>
      <c r="M1871" s="6" t="n">
        <v>7.47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PPR · medida: 32 mm</t>
        </is>
      </c>
    </row>
    <row r="1872">
      <c r="A1872" s="3" t="inlineStr">
        <is>
          <t>MAT-32-515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2"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45.68</v>
      </c>
      <c r="L1872" s="6" t="n">
        <v>45.68</v>
      </c>
      <c r="M1872" s="6" t="n">
        <v>45.68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drenaje · medida: 2"</t>
        </is>
      </c>
    </row>
    <row r="1873">
      <c r="A1873" s="3" t="inlineStr">
        <is>
          <t>MAT-32-516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drenaje 3"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71</v>
      </c>
      <c r="L1873" s="6" t="n">
        <v>71</v>
      </c>
      <c r="M1873" s="6" t="n">
        <v>71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drenaje · medida: 3"</t>
        </is>
      </c>
    </row>
    <row r="1874">
      <c r="A1874" s="3" t="inlineStr">
        <is>
          <t>MAT-32-517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drenaje 4"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112</v>
      </c>
      <c r="L1874" s="6" t="n">
        <v>112</v>
      </c>
      <c r="M1874" s="6" t="n">
        <v>112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tapon-hembra · material: PVC drenaje · medida: 4"</t>
        </is>
      </c>
    </row>
    <row r="1875">
      <c r="A1875" s="3" t="inlineStr">
        <is>
          <t>MAT-32-518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1/2"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4.22</v>
      </c>
      <c r="L1875" s="6" t="n">
        <v>4.22</v>
      </c>
      <c r="M1875" s="6" t="n">
        <v>4.22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tapon-hembra · material: PVC · medida: 1/2"</t>
        </is>
      </c>
    </row>
    <row r="1876">
      <c r="A1876" s="3" t="inlineStr">
        <is>
          <t>MAT-32-519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12"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8495</v>
      </c>
      <c r="L1876" s="6" t="n">
        <v>8495</v>
      </c>
      <c r="M1876" s="6" t="n">
        <v>8495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tapon-hembra · material: PVC · medida: 12"</t>
        </is>
      </c>
    </row>
    <row r="1877">
      <c r="A1877" s="3" t="inlineStr">
        <is>
          <t>MAT-32-520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8"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840</v>
      </c>
      <c r="L1877" s="6" t="n">
        <v>840</v>
      </c>
      <c r="M1877" s="6" t="n">
        <v>840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F1877" s="4" t="inlineStr">
        <is>
          <t>tipo: tapon-hembra · material: PVC · medida: 8"</t>
        </is>
      </c>
    </row>
    <row r="1878">
      <c r="A1878" s="3" t="inlineStr">
        <is>
          <t>MAT-32-521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 1/2"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16.56</v>
      </c>
      <c r="L1878" s="6" t="n">
        <v>11.93</v>
      </c>
      <c r="M1878" s="6" t="n">
        <v>50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1 1/2"</t>
        </is>
      </c>
    </row>
    <row r="1879">
      <c r="A1879" s="3" t="inlineStr">
        <is>
          <t>MAT-32-522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1/2"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10.85</v>
      </c>
      <c r="L1879" s="6" t="n">
        <v>2.21</v>
      </c>
      <c r="M1879" s="6" t="n">
        <v>31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1/2"</t>
        </is>
      </c>
    </row>
    <row r="1880">
      <c r="A1880" s="3" t="inlineStr">
        <is>
          <t>MAT-32-523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1"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2</v>
      </c>
      <c r="K1880" s="6" t="n">
        <v>21.98</v>
      </c>
      <c r="L1880" s="6" t="n">
        <v>5.41</v>
      </c>
      <c r="M1880" s="6" t="n">
        <v>48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 · Ferretería Cima</t>
        </is>
      </c>
      <c r="AF1880" s="4" t="inlineStr">
        <is>
          <t>tipo: tapon-hembra · material: PVC presión · medida: 1"</t>
        </is>
      </c>
    </row>
    <row r="1881">
      <c r="A1881" s="3" t="inlineStr">
        <is>
          <t>MAT-32-524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2"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22.44</v>
      </c>
      <c r="L1881" s="6" t="n">
        <v>17.57</v>
      </c>
      <c r="M1881" s="6" t="n">
        <v>27.3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F1881" s="4" t="inlineStr">
        <is>
          <t>tipo: tapon-hembra · material: PVC presión · medida: 2"</t>
        </is>
      </c>
    </row>
    <row r="1882">
      <c r="A1882" s="3" t="inlineStr">
        <is>
          <t>MAT-32-525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3/4"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2</v>
      </c>
      <c r="K1882" s="6" t="n">
        <v>5.17</v>
      </c>
      <c r="L1882" s="6" t="n">
        <v>3.6</v>
      </c>
      <c r="M1882" s="6" t="n">
        <v>20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 · Ferretería Cima</t>
        </is>
      </c>
      <c r="AF1882" s="4" t="inlineStr">
        <is>
          <t>tipo: tapon-hembra · material: PVC presión · medida: 3/4"</t>
        </is>
      </c>
    </row>
    <row r="1883">
      <c r="A1883" s="3" t="inlineStr">
        <is>
          <t>MAT-32-526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3"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2</v>
      </c>
      <c r="K1883" s="6" t="n">
        <v>74.88</v>
      </c>
      <c r="L1883" s="6" t="n">
        <v>50</v>
      </c>
      <c r="M1883" s="6" t="n">
        <v>205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 · Ferretería Cima</t>
        </is>
      </c>
      <c r="AF1883" s="4" t="inlineStr">
        <is>
          <t>tipo: tapon-hembra · material: PVC presión · medida: 3"</t>
        </is>
      </c>
    </row>
    <row r="1884">
      <c r="A1884" s="3" t="inlineStr">
        <is>
          <t>MAT-32-527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4"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102.64</v>
      </c>
      <c r="L1884" s="6" t="n">
        <v>81.05</v>
      </c>
      <c r="M1884" s="6" t="n">
        <v>124.23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tapon-hembra · material: PVC presión · medida: 4"</t>
        </is>
      </c>
    </row>
    <row r="1885">
      <c r="A1885" s="3" t="inlineStr">
        <is>
          <t>MAT-32-528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PVC presión 6"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379.5</v>
      </c>
      <c r="L1885" s="6" t="n">
        <v>309</v>
      </c>
      <c r="M1885" s="6" t="n">
        <v>450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tapon-hembra · material: PVC presión · medida: 6"</t>
        </is>
      </c>
    </row>
    <row r="1886">
      <c r="A1886" s="3" t="inlineStr">
        <is>
          <t>MAT-32-529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1/2"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80</v>
      </c>
      <c r="L1886" s="6" t="n">
        <v>80</v>
      </c>
      <c r="M1886" s="6" t="n">
        <v>80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F1886" s="4" t="inlineStr">
        <is>
          <t>tipo: tapon-macho · material: bronce · medida: 1/2"</t>
        </is>
      </c>
    </row>
    <row r="1887">
      <c r="A1887" s="3" t="inlineStr">
        <is>
          <t>MAT-32-530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1/4"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29.29</v>
      </c>
      <c r="L1887" s="6" t="n">
        <v>21.58</v>
      </c>
      <c r="M1887" s="6" t="n">
        <v>37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</t>
        </is>
      </c>
      <c r="AF1887" s="4" t="inlineStr">
        <is>
          <t>tipo: tapon-macho · material: bronce · medida: 1/4"</t>
        </is>
      </c>
    </row>
    <row r="1888">
      <c r="A1888" s="3" t="inlineStr">
        <is>
          <t>MAT-32-531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bronce 1/8"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40.2</v>
      </c>
      <c r="L1888" s="6" t="n">
        <v>40.2</v>
      </c>
      <c r="M1888" s="6" t="n">
        <v>40.2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</t>
        </is>
      </c>
      <c r="AF1888" s="4" t="inlineStr">
        <is>
          <t>tipo: tapon-macho · material: bronce · medida: 1/8"</t>
        </is>
      </c>
    </row>
    <row r="1889">
      <c r="A1889" s="3" t="inlineStr">
        <is>
          <t>MAT-32-532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bronce 3/4"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1</v>
      </c>
      <c r="K1889" s="6" t="n">
        <v>140</v>
      </c>
      <c r="L1889" s="6" t="n">
        <v>140</v>
      </c>
      <c r="M1889" s="6" t="n">
        <v>140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</t>
        </is>
      </c>
      <c r="AF1889" s="4" t="inlineStr">
        <is>
          <t>tipo: tapon-macho · material: bronce · medida: 3/4"</t>
        </is>
      </c>
    </row>
    <row r="1890">
      <c r="A1890" s="3" t="inlineStr">
        <is>
          <t>MAT-32-533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 1/2"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79</v>
      </c>
      <c r="L1890" s="6" t="n">
        <v>58</v>
      </c>
      <c r="M1890" s="6" t="n">
        <v>100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 1/2"</t>
        </is>
      </c>
    </row>
    <row r="1891">
      <c r="A1891" s="3" t="inlineStr">
        <is>
          <t>MAT-32-534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 1/4"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2</v>
      </c>
      <c r="K1891" s="6" t="n">
        <v>91.27</v>
      </c>
      <c r="L1891" s="6" t="n">
        <v>41.54</v>
      </c>
      <c r="M1891" s="6" t="n">
        <v>141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 · Ferretería Cima</t>
        </is>
      </c>
      <c r="AF1891" s="4" t="inlineStr">
        <is>
          <t>tipo: tapon-macho · material: HG · medida: 1 1/4"</t>
        </is>
      </c>
    </row>
    <row r="1892">
      <c r="A1892" s="3" t="inlineStr">
        <is>
          <t>MAT-32-535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1/2"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18.5</v>
      </c>
      <c r="L1892" s="6" t="n">
        <v>15</v>
      </c>
      <c r="M1892" s="6" t="n">
        <v>22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1/2"</t>
        </is>
      </c>
    </row>
    <row r="1893">
      <c r="A1893" s="3" t="inlineStr">
        <is>
          <t>MAT-32-536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1/4"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21.09</v>
      </c>
      <c r="L1893" s="6" t="n">
        <v>19.18</v>
      </c>
      <c r="M1893" s="6" t="n">
        <v>23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1/4"</t>
        </is>
      </c>
    </row>
    <row r="1894">
      <c r="A1894" s="3" t="inlineStr">
        <is>
          <t>MAT-32-537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1"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2</v>
      </c>
      <c r="K1894" s="6" t="n">
        <v>68.06</v>
      </c>
      <c r="L1894" s="6" t="n">
        <v>35.11</v>
      </c>
      <c r="M1894" s="6" t="n">
        <v>101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 · Ferretería Cima</t>
        </is>
      </c>
      <c r="AF1894" s="4" t="inlineStr">
        <is>
          <t>tipo: tapon-macho · material: HG · medida: 1"</t>
        </is>
      </c>
    </row>
    <row r="1895">
      <c r="A1895" s="3" t="inlineStr">
        <is>
          <t>MAT-32-538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2"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1</v>
      </c>
      <c r="K1895" s="6" t="n">
        <v>105</v>
      </c>
      <c r="L1895" s="6" t="n">
        <v>105</v>
      </c>
      <c r="M1895" s="6" t="n">
        <v>105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</t>
        </is>
      </c>
      <c r="AF1895" s="4" t="inlineStr">
        <is>
          <t>tipo: tapon-macho · material: HG · medida: 2"</t>
        </is>
      </c>
    </row>
    <row r="1896">
      <c r="A1896" s="3" t="inlineStr">
        <is>
          <t>MAT-32-539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3/4"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2</v>
      </c>
      <c r="K1896" s="6" t="n">
        <v>29.44</v>
      </c>
      <c r="L1896" s="6" t="n">
        <v>25.87</v>
      </c>
      <c r="M1896" s="6" t="n">
        <v>33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 · Ferretería Cima</t>
        </is>
      </c>
      <c r="AF1896" s="4" t="inlineStr">
        <is>
          <t>tipo: tapon-macho · material: HG · medida: 3/4"</t>
        </is>
      </c>
    </row>
    <row r="1897">
      <c r="A1897" s="3" t="inlineStr">
        <is>
          <t>MAT-32-540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3/8"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2</v>
      </c>
      <c r="K1897" s="6" t="n">
        <v>21.55</v>
      </c>
      <c r="L1897" s="6" t="n">
        <v>21.1</v>
      </c>
      <c r="M1897" s="6" t="n">
        <v>22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 · Ferretería Cima</t>
        </is>
      </c>
      <c r="AF1897" s="4" t="inlineStr">
        <is>
          <t>tipo: tapon-macho · material: HG · medida: 3/8"</t>
        </is>
      </c>
    </row>
    <row r="1898">
      <c r="A1898" s="3" t="inlineStr">
        <is>
          <t>MAT-32-541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HG 3"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2</v>
      </c>
      <c r="K1898" s="6" t="n">
        <v>213</v>
      </c>
      <c r="L1898" s="6" t="n">
        <v>206</v>
      </c>
      <c r="M1898" s="6" t="n">
        <v>220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 · Ferretería Cima</t>
        </is>
      </c>
      <c r="AF1898" s="4" t="inlineStr">
        <is>
          <t>tipo: tapon-macho · material: HG · medida: 3"</t>
        </is>
      </c>
    </row>
    <row r="1899">
      <c r="A1899" s="3" t="inlineStr">
        <is>
          <t>MAT-32-542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20 mm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4.66</v>
      </c>
      <c r="L1899" s="6" t="n">
        <v>4.66</v>
      </c>
      <c r="M1899" s="6" t="n">
        <v>4.66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tapon-macho · material: PPR · medida: 20 mm</t>
        </is>
      </c>
    </row>
    <row r="1900">
      <c r="A1900" s="3" t="inlineStr">
        <is>
          <t>MAT-32-543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PPR 25 mm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8.23</v>
      </c>
      <c r="L1900" s="6" t="n">
        <v>8.23</v>
      </c>
      <c r="M1900" s="6" t="n">
        <v>8.23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PPR · medida: 25 mm</t>
        </is>
      </c>
    </row>
    <row r="1901">
      <c r="A1901" s="3" t="inlineStr">
        <is>
          <t>MAT-32-544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PPR 32 mm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10.98</v>
      </c>
      <c r="L1901" s="6" t="n">
        <v>10.98</v>
      </c>
      <c r="M1901" s="6" t="n">
        <v>10.98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PPR · medida: 32 mm</t>
        </is>
      </c>
    </row>
    <row r="1902">
      <c r="A1902" s="3" t="inlineStr">
        <is>
          <t>MAT-32-545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1 1/2"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1</v>
      </c>
      <c r="K1902" s="6" t="n">
        <v>30.65</v>
      </c>
      <c r="L1902" s="6" t="n">
        <v>30.65</v>
      </c>
      <c r="M1902" s="6" t="n">
        <v>30.65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</t>
        </is>
      </c>
      <c r="AF1902" s="4" t="inlineStr">
        <is>
          <t>tipo: tapon-macho · material: PVC · medida: 1 1/2"</t>
        </is>
      </c>
    </row>
    <row r="1903">
      <c r="A1903" s="3" t="inlineStr">
        <is>
          <t>MAT-32-546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1"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2</v>
      </c>
      <c r="K1903" s="6" t="n">
        <v>35.11</v>
      </c>
      <c r="L1903" s="6" t="n">
        <v>5.61</v>
      </c>
      <c r="M1903" s="6" t="n">
        <v>62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 · Ferretería Cima</t>
        </is>
      </c>
      <c r="AF1903" s="4" t="inlineStr">
        <is>
          <t>tipo: tapon-macho · material: PVC · medida: 1"</t>
        </is>
      </c>
    </row>
    <row r="1904">
      <c r="A1904" s="3" t="inlineStr">
        <is>
          <t>MAT-32-547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PVC 2"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31</v>
      </c>
      <c r="L1904" s="6" t="n">
        <v>31</v>
      </c>
      <c r="M1904" s="6" t="n">
        <v>31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tapon-macho · material: PVC · medida: 2"</t>
        </is>
      </c>
    </row>
    <row r="1905">
      <c r="A1905" s="3" t="inlineStr">
        <is>
          <t>MAT-32-548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macho de PVC 3/4"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7.04</v>
      </c>
      <c r="L1905" s="6" t="n">
        <v>3.57</v>
      </c>
      <c r="M1905" s="6" t="n">
        <v>10.5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tapon-macho · material: PVC · medida: 3/4"</t>
        </is>
      </c>
    </row>
    <row r="1906">
      <c r="A1906" s="3" t="inlineStr">
        <is>
          <t>MAT-32-549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 1/2"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71</v>
      </c>
      <c r="L1906" s="6" t="n">
        <v>71</v>
      </c>
      <c r="M1906" s="6" t="n">
        <v>71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1 1/2"</t>
        </is>
      </c>
    </row>
    <row r="1907">
      <c r="A1907" s="3" t="inlineStr">
        <is>
          <t>MAT-32-550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1/2"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47.69</v>
      </c>
      <c r="L1907" s="6" t="n">
        <v>47.69</v>
      </c>
      <c r="M1907" s="6" t="n">
        <v>47.69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1/2"</t>
        </is>
      </c>
    </row>
    <row r="1908">
      <c r="A1908" s="3" t="inlineStr">
        <is>
          <t>MAT-32-551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1"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35.13</v>
      </c>
      <c r="L1908" s="6" t="n">
        <v>35.13</v>
      </c>
      <c r="M1908" s="6" t="n">
        <v>35.13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1"</t>
        </is>
      </c>
    </row>
    <row r="1909">
      <c r="A1909" s="3" t="inlineStr">
        <is>
          <t>MAT-32-552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2"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88</v>
      </c>
      <c r="L1909" s="6" t="n">
        <v>88</v>
      </c>
      <c r="M1909" s="6" t="n">
        <v>88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2"</t>
        </is>
      </c>
    </row>
    <row r="1910">
      <c r="A1910" s="3" t="inlineStr">
        <is>
          <t>MAT-32-553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3/4"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25.2</v>
      </c>
      <c r="L1910" s="6" t="n">
        <v>25.2</v>
      </c>
      <c r="M1910" s="6" t="n">
        <v>25.2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HG · medida: 3/4"</t>
        </is>
      </c>
    </row>
    <row r="1911">
      <c r="A1911" s="3" t="inlineStr">
        <is>
          <t>MAT-32-554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3/8"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28.78</v>
      </c>
      <c r="L1911" s="6" t="n">
        <v>28.78</v>
      </c>
      <c r="M1911" s="6" t="n">
        <v>28.78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HG · medida: 3/8"</t>
        </is>
      </c>
    </row>
    <row r="1912">
      <c r="A1912" s="3" t="inlineStr">
        <is>
          <t>MAT-32-555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3"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281</v>
      </c>
      <c r="L1912" s="6" t="n">
        <v>281</v>
      </c>
      <c r="M1912" s="6" t="n">
        <v>281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HG · medida: 3"</t>
        </is>
      </c>
    </row>
    <row r="1913">
      <c r="A1913" s="3" t="inlineStr">
        <is>
          <t>MAT-32-556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HG 4"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454</v>
      </c>
      <c r="L1913" s="6" t="n">
        <v>454</v>
      </c>
      <c r="M1913" s="6" t="n">
        <v>454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HG · medida: 4"</t>
        </is>
      </c>
    </row>
    <row r="1914">
      <c r="A1914" s="3" t="inlineStr">
        <is>
          <t>MAT-32-557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 1/2"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9.25</v>
      </c>
      <c r="L1914" s="6" t="n">
        <v>8.5</v>
      </c>
      <c r="M1914" s="6" t="n">
        <v>10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1 1/2"</t>
        </is>
      </c>
    </row>
    <row r="1915">
      <c r="A1915" s="3" t="inlineStr">
        <is>
          <t>MAT-32-558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16"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211</v>
      </c>
      <c r="L1915" s="6" t="n">
        <v>211</v>
      </c>
      <c r="M1915" s="6" t="n">
        <v>211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F1915" s="4" t="inlineStr">
        <is>
          <t>tipo: tapon · material: plástico · medida: 16"</t>
        </is>
      </c>
    </row>
    <row r="1916">
      <c r="A1916" s="3" t="inlineStr">
        <is>
          <t>MAT-32-559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1"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5.27</v>
      </c>
      <c r="L1916" s="6" t="n">
        <v>3.9</v>
      </c>
      <c r="M1916" s="6" t="n">
        <v>6.63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tapon · material: plástico · medida: 1"</t>
        </is>
      </c>
    </row>
    <row r="1917">
      <c r="A1917" s="3" t="inlineStr">
        <is>
          <t>MAT-32-560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plástico 2"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5.25</v>
      </c>
      <c r="L1917" s="6" t="n">
        <v>5.25</v>
      </c>
      <c r="M1917" s="6" t="n">
        <v>5.25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tapon · material: plástico · medida: 2"</t>
        </is>
      </c>
    </row>
    <row r="1918">
      <c r="A1918" s="3" t="inlineStr">
        <is>
          <t>MAT-32-561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plástico 3/4"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4.48</v>
      </c>
      <c r="L1918" s="6" t="n">
        <v>4.48</v>
      </c>
      <c r="M1918" s="6" t="n">
        <v>4.48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2026-09-10</t>
        </is>
      </c>
      <c r="Q1918" s="4" t="inlineStr">
        <is>
          <t>Bellón</t>
        </is>
      </c>
      <c r="AF1918" s="4" t="inlineStr">
        <is>
          <t>tipo: tapon · material: plástico · medida: 3/4"</t>
        </is>
      </c>
    </row>
    <row r="1919">
      <c r="A1919" s="3" t="inlineStr">
        <is>
          <t>MAT-32-562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1 1/2"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101</v>
      </c>
      <c r="L1919" s="6" t="n">
        <v>101</v>
      </c>
      <c r="M1919" s="6" t="n">
        <v>101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2026-09-09</t>
        </is>
      </c>
      <c r="Q1919" s="4" t="inlineStr">
        <is>
          <t>Ferretería Cima</t>
        </is>
      </c>
      <c r="AF1919" s="4" t="inlineStr">
        <is>
          <t>tipo: tapon · material: PVC · medida: 1 1/2"</t>
        </is>
      </c>
    </row>
    <row r="1920">
      <c r="A1920" s="3" t="inlineStr">
        <is>
          <t>MAT-32-563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2"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135</v>
      </c>
      <c r="L1920" s="6" t="n">
        <v>135</v>
      </c>
      <c r="M1920" s="6" t="n">
        <v>135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2026-09-09</t>
        </is>
      </c>
      <c r="Q1920" s="4" t="inlineStr">
        <is>
          <t>Ferretería Cima</t>
        </is>
      </c>
      <c r="AF1920" s="4" t="inlineStr">
        <is>
          <t>tipo: tapon · material: PVC · medida: 2"</t>
        </is>
      </c>
    </row>
    <row r="1921">
      <c r="A1921" s="3" t="inlineStr">
        <is>
          <t>MAT-32-564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3"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263</v>
      </c>
      <c r="L1921" s="6" t="n">
        <v>263</v>
      </c>
      <c r="M1921" s="6" t="n">
        <v>263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2026-09-09</t>
        </is>
      </c>
      <c r="Q1921" s="4" t="inlineStr">
        <is>
          <t>Ferretería Cima</t>
        </is>
      </c>
      <c r="AF1921" s="4" t="inlineStr">
        <is>
          <t>tipo: tapon · material: PVC · medida: 3"</t>
        </is>
      </c>
    </row>
    <row r="1922">
      <c r="A1922" s="3" t="inlineStr">
        <is>
          <t>MAT-32-565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4"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372</v>
      </c>
      <c r="L1922" s="6" t="n">
        <v>372</v>
      </c>
      <c r="M1922" s="6" t="n">
        <v>372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2026-09-09</t>
        </is>
      </c>
      <c r="Q1922" s="4" t="inlineStr">
        <is>
          <t>Ferretería Cima</t>
        </is>
      </c>
      <c r="AF1922" s="4" t="inlineStr">
        <is>
          <t>tipo: tapon · material: PVC · medida: 4"</t>
        </is>
      </c>
    </row>
    <row r="1923">
      <c r="A1923" s="3" t="inlineStr">
        <is>
          <t>MAT-32-566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6"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374.5</v>
      </c>
      <c r="L1923" s="6" t="n">
        <v>279</v>
      </c>
      <c r="M1923" s="6" t="n">
        <v>470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· medida: 6"</t>
        </is>
      </c>
    </row>
    <row r="1924">
      <c r="A1924" s="3" t="inlineStr">
        <is>
          <t>MAT-32-567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1 1/2"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24.74</v>
      </c>
      <c r="L1924" s="6" t="n">
        <v>24.74</v>
      </c>
      <c r="M1924" s="6" t="n">
        <v>24.74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tapon · material: PVC presión · medida: 1 1/2"</t>
        </is>
      </c>
    </row>
    <row r="1925">
      <c r="A1925" s="3" t="inlineStr">
        <is>
          <t>MAT-32-568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2"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34.88</v>
      </c>
      <c r="L1925" s="6" t="n">
        <v>28.27</v>
      </c>
      <c r="M1925" s="6" t="n">
        <v>41.49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tapon · material: PVC presión · medida: 2"</t>
        </is>
      </c>
    </row>
    <row r="1926">
      <c r="A1926" s="3" t="inlineStr">
        <is>
          <t>MAT-32-569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presión 3"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100.24</v>
      </c>
      <c r="L1926" s="6" t="n">
        <v>100.24</v>
      </c>
      <c r="M1926" s="6" t="n">
        <v>100.24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tapon · material: PVC presión · medida: 3"</t>
        </is>
      </c>
    </row>
    <row r="1927">
      <c r="A1927" s="3" t="inlineStr">
        <is>
          <t>MAT-32-570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de PVC presión 4"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159</v>
      </c>
      <c r="L1927" s="6" t="n">
        <v>159</v>
      </c>
      <c r="M1927" s="6" t="n">
        <v>159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tapon · material: PVC presión · medida: 4"</t>
        </is>
      </c>
    </row>
    <row r="1928">
      <c r="A1928" s="3" t="inlineStr">
        <is>
          <t>MAT-32-571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1/2"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150</v>
      </c>
      <c r="L1928" s="6" t="n">
        <v>150</v>
      </c>
      <c r="M1928" s="6" t="n">
        <v>150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1/2"</t>
        </is>
      </c>
    </row>
    <row r="1929">
      <c r="A1929" s="3" t="inlineStr">
        <is>
          <t>MAT-32-572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1/4"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85.5</v>
      </c>
      <c r="L1929" s="6" t="n">
        <v>52</v>
      </c>
      <c r="M1929" s="6" t="n">
        <v>119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1/4"</t>
        </is>
      </c>
    </row>
    <row r="1930">
      <c r="A1930" s="3" t="inlineStr">
        <is>
          <t>MAT-32-573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12"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686</v>
      </c>
      <c r="L1930" s="6" t="n">
        <v>686</v>
      </c>
      <c r="M1930" s="6" t="n">
        <v>686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F1930" s="4" t="inlineStr">
        <is>
          <t>tipo: tee · material: bronce · medida: 12"</t>
        </is>
      </c>
    </row>
    <row r="1931">
      <c r="A1931" s="3" t="inlineStr">
        <is>
          <t>MAT-32-574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15"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605</v>
      </c>
      <c r="L1931" s="6" t="n">
        <v>473</v>
      </c>
      <c r="M1931" s="6" t="n">
        <v>628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15"</t>
        </is>
      </c>
    </row>
    <row r="1932">
      <c r="A1932" s="3" t="inlineStr">
        <is>
          <t>MAT-32-575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18"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702</v>
      </c>
      <c r="L1932" s="6" t="n">
        <v>207</v>
      </c>
      <c r="M1932" s="6" t="n">
        <v>770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bronce · medida: 18"</t>
        </is>
      </c>
    </row>
    <row r="1933">
      <c r="A1933" s="3" t="inlineStr">
        <is>
          <t>MAT-32-576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25"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1</v>
      </c>
      <c r="K1933" s="6" t="n">
        <v>1255</v>
      </c>
      <c r="L1933" s="6" t="n">
        <v>1255</v>
      </c>
      <c r="M1933" s="6" t="n">
        <v>1255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</t>
        </is>
      </c>
      <c r="AF1933" s="4" t="inlineStr">
        <is>
          <t>tipo: tee · material: bronce · medida: 25"</t>
        </is>
      </c>
    </row>
    <row r="1934">
      <c r="A1934" s="3" t="inlineStr">
        <is>
          <t>MAT-32-577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3/8"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2</v>
      </c>
      <c r="K1934" s="6" t="n">
        <v>179</v>
      </c>
      <c r="L1934" s="6" t="n">
        <v>78</v>
      </c>
      <c r="M1934" s="6" t="n">
        <v>186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 · Ferretería Cima</t>
        </is>
      </c>
      <c r="AF1934" s="4" t="inlineStr">
        <is>
          <t>tipo: tee · material: bronce · medida: 3/8"</t>
        </is>
      </c>
    </row>
    <row r="1935">
      <c r="A1935" s="3" t="inlineStr">
        <is>
          <t>MAT-32-578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bronce 32"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2108</v>
      </c>
      <c r="L1935" s="6" t="n">
        <v>2108</v>
      </c>
      <c r="M1935" s="6" t="n">
        <v>2108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bronce · medida: 32"</t>
        </is>
      </c>
    </row>
    <row r="1936">
      <c r="A1936" s="3" t="inlineStr">
        <is>
          <t>MAT-32-579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 1/8"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143</v>
      </c>
      <c r="L1936" s="6" t="n">
        <v>143</v>
      </c>
      <c r="M1936" s="6" t="n">
        <v>143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cobre · medida: 1 1/8"</t>
        </is>
      </c>
    </row>
    <row r="1937">
      <c r="A1937" s="3" t="inlineStr">
        <is>
          <t>MAT-32-580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1/2"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66</v>
      </c>
      <c r="L1937" s="6" t="n">
        <v>66</v>
      </c>
      <c r="M1937" s="6" t="n">
        <v>66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1/2"</t>
        </is>
      </c>
    </row>
    <row r="1938">
      <c r="A1938" s="3" t="inlineStr">
        <is>
          <t>MAT-32-581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1 3/8"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293</v>
      </c>
      <c r="L1938" s="6" t="n">
        <v>293</v>
      </c>
      <c r="M1938" s="6" t="n">
        <v>293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cobre · medida: 1 3/8"</t>
        </is>
      </c>
    </row>
    <row r="1939">
      <c r="A1939" s="3" t="inlineStr">
        <is>
          <t>MAT-32-582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3/4"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237</v>
      </c>
      <c r="L1939" s="6" t="n">
        <v>237</v>
      </c>
      <c r="M1939" s="6" t="n">
        <v>237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</t>
        </is>
      </c>
      <c r="AF1939" s="4" t="inlineStr">
        <is>
          <t>tipo: tee · material: cobre · medida: 3/4"</t>
        </is>
      </c>
    </row>
    <row r="1940">
      <c r="A1940" s="3" t="inlineStr">
        <is>
          <t>MAT-32-583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cobre 3/8"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256</v>
      </c>
      <c r="L1940" s="6" t="n">
        <v>256</v>
      </c>
      <c r="M1940" s="6" t="n">
        <v>256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2026-09-09</t>
        </is>
      </c>
      <c r="Q1940" s="4" t="inlineStr">
        <is>
          <t>Ferretería Cima</t>
        </is>
      </c>
      <c r="AF1940" s="4" t="inlineStr">
        <is>
          <t>tipo: tee · material: cobre · medida: 3/8"</t>
        </is>
      </c>
    </row>
    <row r="1941">
      <c r="A1941" s="3" t="inlineStr">
        <is>
          <t>MAT-32-584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cobre 7/8"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257</v>
      </c>
      <c r="L1941" s="6" t="n">
        <v>257</v>
      </c>
      <c r="M1941" s="6" t="n">
        <v>257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cobre · medida: 7/8"</t>
        </is>
      </c>
    </row>
    <row r="1942">
      <c r="A1942" s="3" t="inlineStr">
        <is>
          <t>MAT-32-585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1/2"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10.34</v>
      </c>
      <c r="L1942" s="6" t="n">
        <v>10.34</v>
      </c>
      <c r="M1942" s="6" t="n">
        <v>10.34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CPVC · medida: 1/2"</t>
        </is>
      </c>
    </row>
    <row r="1943">
      <c r="A1943" s="3" t="inlineStr">
        <is>
          <t>MAT-32-586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CPVC 1"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40.95</v>
      </c>
      <c r="L1943" s="6" t="n">
        <v>40.95</v>
      </c>
      <c r="M1943" s="6" t="n">
        <v>40.95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F1943" s="4" t="inlineStr">
        <is>
          <t>tipo: tee · material: CPVC · medida: 1"</t>
        </is>
      </c>
    </row>
    <row r="1944">
      <c r="A1944" s="3" t="inlineStr">
        <is>
          <t>MAT-32-587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CPVC 3/4"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1</v>
      </c>
      <c r="K1944" s="6" t="n">
        <v>27.04</v>
      </c>
      <c r="L1944" s="6" t="n">
        <v>27.04</v>
      </c>
      <c r="M1944" s="6" t="n">
        <v>27.04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</t>
        </is>
      </c>
      <c r="AF1944" s="4" t="inlineStr">
        <is>
          <t>tipo: tee · material: CPVC · medida: 3/4"</t>
        </is>
      </c>
    </row>
    <row r="1945">
      <c r="A1945" s="3" t="inlineStr">
        <is>
          <t>MAT-32-588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 1/2"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2</v>
      </c>
      <c r="K1945" s="6" t="n">
        <v>210</v>
      </c>
      <c r="L1945" s="6" t="n">
        <v>143</v>
      </c>
      <c r="M1945" s="6" t="n">
        <v>277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 · Ferretería Cima</t>
        </is>
      </c>
      <c r="AF1945" s="4" t="inlineStr">
        <is>
          <t>tipo: tee · material: HG · medida: 1 1/2"</t>
        </is>
      </c>
    </row>
    <row r="1946">
      <c r="A1946" s="3" t="inlineStr">
        <is>
          <t>MAT-32-589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 1/4"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1</v>
      </c>
      <c r="K1946" s="6" t="n">
        <v>119</v>
      </c>
      <c r="L1946" s="6" t="n">
        <v>119</v>
      </c>
      <c r="M1946" s="6" t="n">
        <v>119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</t>
        </is>
      </c>
      <c r="AF1946" s="4" t="inlineStr">
        <is>
          <t>tipo: tee · material: HG · medida: 1 1/4"</t>
        </is>
      </c>
    </row>
    <row r="1947">
      <c r="A1947" s="3" t="inlineStr">
        <is>
          <t>MAT-32-590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1/2"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37</v>
      </c>
      <c r="L1947" s="6" t="n">
        <v>34</v>
      </c>
      <c r="M1947" s="6" t="n">
        <v>40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1/2"</t>
        </is>
      </c>
    </row>
    <row r="1948">
      <c r="A1948" s="3" t="inlineStr">
        <is>
          <t>MAT-32-591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1/4"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83.5</v>
      </c>
      <c r="L1948" s="6" t="n">
        <v>37</v>
      </c>
      <c r="M1948" s="6" t="n">
        <v>130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1/4"</t>
        </is>
      </c>
    </row>
    <row r="1949">
      <c r="A1949" s="3" t="inlineStr">
        <is>
          <t>MAT-32-592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1"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2</v>
      </c>
      <c r="K1949" s="6" t="n">
        <v>118.5</v>
      </c>
      <c r="L1949" s="6" t="n">
        <v>77</v>
      </c>
      <c r="M1949" s="6" t="n">
        <v>160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 · Ferretería Cima</t>
        </is>
      </c>
      <c r="AF1949" s="4" t="inlineStr">
        <is>
          <t>tipo: tee · material: HG · medida: 1"</t>
        </is>
      </c>
    </row>
    <row r="1950">
      <c r="A1950" s="3" t="inlineStr">
        <is>
          <t>MAT-32-593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2 1/2"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1</v>
      </c>
      <c r="K1950" s="6" t="n">
        <v>526</v>
      </c>
      <c r="L1950" s="6" t="n">
        <v>526</v>
      </c>
      <c r="M1950" s="6" t="n">
        <v>526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</t>
        </is>
      </c>
      <c r="AF1950" s="4" t="inlineStr">
        <is>
          <t>tipo: tee · material: HG · medida: 2 1/2"</t>
        </is>
      </c>
    </row>
    <row r="1951">
      <c r="A1951" s="3" t="inlineStr">
        <is>
          <t>MAT-32-594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2"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2</v>
      </c>
      <c r="K1951" s="6" t="n">
        <v>297.5</v>
      </c>
      <c r="L1951" s="6" t="n">
        <v>212</v>
      </c>
      <c r="M1951" s="6" t="n">
        <v>383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 · Ferretería Cima</t>
        </is>
      </c>
      <c r="AF1951" s="4" t="inlineStr">
        <is>
          <t>tipo: tee · material: HG · medida: 2"</t>
        </is>
      </c>
    </row>
    <row r="1952">
      <c r="A1952" s="3" t="inlineStr">
        <is>
          <t>MAT-32-595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3/4"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72</v>
      </c>
      <c r="L1952" s="6" t="n">
        <v>49</v>
      </c>
      <c r="M1952" s="6" t="n">
        <v>95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F1952" s="4" t="inlineStr">
        <is>
          <t>tipo: tee · material: HG · medida: 3/4"</t>
        </is>
      </c>
    </row>
    <row r="1953">
      <c r="A1953" s="3" t="inlineStr">
        <is>
          <t>MAT-32-596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3/8"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2</v>
      </c>
      <c r="K1953" s="6" t="n">
        <v>50.11</v>
      </c>
      <c r="L1953" s="6" t="n">
        <v>42.23</v>
      </c>
      <c r="M1953" s="6" t="n">
        <v>58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 · Ferretería Cima</t>
        </is>
      </c>
      <c r="AF1953" s="4" t="inlineStr">
        <is>
          <t>tipo: tee · material: HG · medida: 3/8"</t>
        </is>
      </c>
    </row>
    <row r="1954">
      <c r="A1954" s="3" t="inlineStr">
        <is>
          <t>MAT-32-597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3"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603</v>
      </c>
      <c r="L1954" s="6" t="n">
        <v>603</v>
      </c>
      <c r="M1954" s="6" t="n">
        <v>603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</t>
        </is>
      </c>
      <c r="AF1954" s="4" t="inlineStr">
        <is>
          <t>tipo: tee · material: HG · medida: 3"</t>
        </is>
      </c>
    </row>
    <row r="1955">
      <c r="A1955" s="3" t="inlineStr">
        <is>
          <t>MAT-32-598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HG 4"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1187</v>
      </c>
      <c r="L1955" s="6" t="n">
        <v>1187</v>
      </c>
      <c r="M1955" s="6" t="n">
        <v>1187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2026-09-10</t>
        </is>
      </c>
      <c r="Q1955" s="4" t="inlineStr">
        <is>
          <t>Bellón</t>
        </is>
      </c>
      <c r="AF1955" s="4" t="inlineStr">
        <is>
          <t>tipo: tee · material: HG · medida: 4"</t>
        </is>
      </c>
    </row>
    <row r="1956">
      <c r="A1956" s="3" t="inlineStr">
        <is>
          <t>MAT-32-599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niquelado 1/2"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444</v>
      </c>
      <c r="L1956" s="6" t="n">
        <v>444</v>
      </c>
      <c r="M1956" s="6" t="n">
        <v>444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2026-09-09</t>
        </is>
      </c>
      <c r="Q1956" s="4" t="inlineStr">
        <is>
          <t>Ferretería Cima</t>
        </is>
      </c>
      <c r="AF1956" s="4" t="inlineStr">
        <is>
          <t>tipo: tee · material: niquelado · medida: 1/2"</t>
        </is>
      </c>
    </row>
    <row r="1957">
      <c r="A1957" s="3" t="inlineStr">
        <is>
          <t>MAT-32-600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plástico 63"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1</v>
      </c>
      <c r="K1957" s="6" t="n">
        <v>1020</v>
      </c>
      <c r="L1957" s="6" t="n">
        <v>1020</v>
      </c>
      <c r="M1957" s="6" t="n">
        <v>1020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</t>
        </is>
      </c>
      <c r="AF1957" s="4" t="inlineStr">
        <is>
          <t>tipo: tee · material: plástico · medida: 63"</t>
        </is>
      </c>
    </row>
    <row r="1958">
      <c r="A1958" s="3" t="inlineStr">
        <is>
          <t>MAT-32-601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20 mm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28.95</v>
      </c>
      <c r="L1958" s="6" t="n">
        <v>7.98</v>
      </c>
      <c r="M1958" s="6" t="n">
        <v>293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PPR · medida: 20 mm</t>
        </is>
      </c>
    </row>
    <row r="1959">
      <c r="A1959" s="3" t="inlineStr">
        <is>
          <t>MAT-32-602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25 mm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29.36</v>
      </c>
      <c r="L1959" s="6" t="n">
        <v>12.12</v>
      </c>
      <c r="M1959" s="6" t="n">
        <v>50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PPR · medida: 25 mm</t>
        </is>
      </c>
    </row>
    <row r="1960">
      <c r="A1960" s="3" t="inlineStr">
        <is>
          <t>MAT-32-603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PPR 32 mm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2</v>
      </c>
      <c r="K1960" s="6" t="n">
        <v>51.19</v>
      </c>
      <c r="L1960" s="6" t="n">
        <v>19.4</v>
      </c>
      <c r="M1960" s="6" t="n">
        <v>75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 · Ferretería Cima</t>
        </is>
      </c>
      <c r="AF1960" s="4" t="inlineStr">
        <is>
          <t>tipo: tee · material: PPR · medida: 32 mm</t>
        </is>
      </c>
    </row>
    <row r="1961">
      <c r="A1961" s="3" t="inlineStr">
        <is>
          <t>MAT-32-604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PPR 50 mm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63.12</v>
      </c>
      <c r="L1961" s="6" t="n">
        <v>63.12</v>
      </c>
      <c r="M1961" s="6" t="n">
        <v>63.12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</t>
        </is>
      </c>
      <c r="AF1961" s="4" t="inlineStr">
        <is>
          <t>tipo: tee · material: PPR · medida: 50 mm</t>
        </is>
      </c>
    </row>
    <row r="1962">
      <c r="A1962" s="3" t="inlineStr">
        <is>
          <t>MAT-32-605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1 1/2"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31.55</v>
      </c>
      <c r="L1962" s="6" t="n">
        <v>22.5</v>
      </c>
      <c r="M1962" s="6" t="n">
        <v>86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1 1/2"</t>
        </is>
      </c>
    </row>
    <row r="1963">
      <c r="A1963" s="3" t="inlineStr">
        <is>
          <t>MAT-32-606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2"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47.64</v>
      </c>
      <c r="L1963" s="6" t="n">
        <v>33.78</v>
      </c>
      <c r="M1963" s="6" t="n">
        <v>135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tee · material: PVC drenaje · medida: 2"</t>
        </is>
      </c>
    </row>
    <row r="1964">
      <c r="A1964" s="3" t="inlineStr">
        <is>
          <t>MAT-32-607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3"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2</v>
      </c>
      <c r="K1964" s="6" t="n">
        <v>153.5</v>
      </c>
      <c r="L1964" s="6" t="n">
        <v>108</v>
      </c>
      <c r="M1964" s="6" t="n">
        <v>257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 · Ferretería Cima</t>
        </is>
      </c>
      <c r="AF1964" s="4" t="inlineStr">
        <is>
          <t>tipo: tee · material: PVC drenaje · medida: 3"</t>
        </is>
      </c>
    </row>
    <row r="1965">
      <c r="A1965" s="3" t="inlineStr">
        <is>
          <t>MAT-32-608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3" x 2"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1</v>
      </c>
      <c r="K1965" s="6" t="n">
        <v>84.17</v>
      </c>
      <c r="L1965" s="6" t="n">
        <v>84.17</v>
      </c>
      <c r="M1965" s="6" t="n">
        <v>84.17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</t>
        </is>
      </c>
      <c r="AF1965" s="4" t="inlineStr">
        <is>
          <t>tipo: tee · material: PVC drenaje · medida: 3" x 2"</t>
        </is>
      </c>
    </row>
    <row r="1966">
      <c r="A1966" s="3" t="inlineStr">
        <is>
          <t>MAT-32-609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2</v>
      </c>
      <c r="K1966" s="6" t="n">
        <v>227.32</v>
      </c>
      <c r="L1966" s="6" t="n">
        <v>139</v>
      </c>
      <c r="M1966" s="6" t="n">
        <v>429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 · Ferretería Cima</t>
        </is>
      </c>
      <c r="AF1966" s="4" t="inlineStr">
        <is>
          <t>tipo: tee · material: PVC drenaje · medida: 4"</t>
        </is>
      </c>
    </row>
    <row r="1967">
      <c r="A1967" s="3" t="inlineStr">
        <is>
          <t>MAT-32-610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4" x 2"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100.25</v>
      </c>
      <c r="L1967" s="6" t="n">
        <v>88.56</v>
      </c>
      <c r="M1967" s="6" t="n">
        <v>111.93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drenaje · medida: 4" x 2"</t>
        </is>
      </c>
    </row>
    <row r="1968">
      <c r="A1968" s="3" t="inlineStr">
        <is>
          <t>MAT-32-611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4" x 3"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153.77</v>
      </c>
      <c r="L1968" s="6" t="n">
        <v>153.77</v>
      </c>
      <c r="M1968" s="6" t="n">
        <v>153.77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drenaje · medida: 4" x 3"</t>
        </is>
      </c>
    </row>
    <row r="1969">
      <c r="A1969" s="3" t="inlineStr">
        <is>
          <t>MAT-32-612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drenaje 6"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458</v>
      </c>
      <c r="L1969" s="6" t="n">
        <v>291</v>
      </c>
      <c r="M1969" s="6" t="n">
        <v>625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drenaje · medida: 6"</t>
        </is>
      </c>
    </row>
    <row r="1970">
      <c r="A1970" s="3" t="inlineStr">
        <is>
          <t>MAT-32-613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 1/2"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100</v>
      </c>
      <c r="L1970" s="6" t="n">
        <v>92</v>
      </c>
      <c r="M1970" s="6" t="n">
        <v>108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1 1/2"</t>
        </is>
      </c>
    </row>
    <row r="1971">
      <c r="A1971" s="3" t="inlineStr">
        <is>
          <t>MAT-32-614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1"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48</v>
      </c>
      <c r="L1971" s="6" t="n">
        <v>48</v>
      </c>
      <c r="M1971" s="6" t="n">
        <v>48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1"</t>
        </is>
      </c>
    </row>
    <row r="1972">
      <c r="A1972" s="3" t="inlineStr">
        <is>
          <t>MAT-32-615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1" x 3/4"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37.36</v>
      </c>
      <c r="L1972" s="6" t="n">
        <v>37.36</v>
      </c>
      <c r="M1972" s="6" t="n">
        <v>37.36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tee · material: PVC · medida: 1" x 3/4"</t>
        </is>
      </c>
    </row>
    <row r="1973">
      <c r="A1973" s="3" t="inlineStr">
        <is>
          <t>MAT-32-616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2"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165</v>
      </c>
      <c r="L1973" s="6" t="n">
        <v>165</v>
      </c>
      <c r="M1973" s="6" t="n">
        <v>165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tee · material: PVC · medida: 2"</t>
        </is>
      </c>
    </row>
    <row r="1974">
      <c r="A1974" s="3" t="inlineStr">
        <is>
          <t>MAT-32-617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3/4"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46.68</v>
      </c>
      <c r="L1974" s="6" t="n">
        <v>33.35</v>
      </c>
      <c r="M1974" s="6" t="n">
        <v>60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tee · material: PVC · medida: 3/4"</t>
        </is>
      </c>
    </row>
    <row r="1975">
      <c r="A1975" s="3" t="inlineStr">
        <is>
          <t>MAT-32-618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3"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1</v>
      </c>
      <c r="K1975" s="6" t="n">
        <v>502</v>
      </c>
      <c r="L1975" s="6" t="n">
        <v>502</v>
      </c>
      <c r="M1975" s="6" t="n">
        <v>502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</t>
        </is>
      </c>
      <c r="AF1975" s="4" t="inlineStr">
        <is>
          <t>tipo: tee · material: PVC · medida: 3"</t>
        </is>
      </c>
    </row>
    <row r="1976">
      <c r="A1976" s="3" t="inlineStr">
        <is>
          <t>MAT-32-619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 1/2"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54.48</v>
      </c>
      <c r="L1976" s="6" t="n">
        <v>45.97</v>
      </c>
      <c r="M1976" s="6" t="n">
        <v>135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1 1/2"</t>
        </is>
      </c>
    </row>
    <row r="1977">
      <c r="A1977" s="3" t="inlineStr">
        <is>
          <t>MAT-32-620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1/2"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13.68</v>
      </c>
      <c r="L1977" s="6" t="n">
        <v>8.140000000000001</v>
      </c>
      <c r="M1977" s="6" t="n">
        <v>28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1/2"</t>
        </is>
      </c>
    </row>
    <row r="1978">
      <c r="A1978" s="3" t="inlineStr">
        <is>
          <t>MAT-32-621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1"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27.06</v>
      </c>
      <c r="L1978" s="6" t="n">
        <v>16</v>
      </c>
      <c r="M1978" s="6" t="n">
        <v>56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tee · material: PVC presión · medida: 1"</t>
        </is>
      </c>
    </row>
    <row r="1979">
      <c r="A1979" s="3" t="inlineStr">
        <is>
          <t>MAT-32-622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2"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82.48999999999999</v>
      </c>
      <c r="L1979" s="6" t="n">
        <v>45.98</v>
      </c>
      <c r="M1979" s="6" t="n">
        <v>195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tee · material: PVC presión · medida: 2"</t>
        </is>
      </c>
    </row>
    <row r="1980">
      <c r="A1980" s="3" t="inlineStr">
        <is>
          <t>MAT-32-623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3/4"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2</v>
      </c>
      <c r="K1980" s="6" t="n">
        <v>17.7</v>
      </c>
      <c r="L1980" s="6" t="n">
        <v>8.83</v>
      </c>
      <c r="M1980" s="6" t="n">
        <v>35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 · Ferretería Cima</t>
        </is>
      </c>
      <c r="AF1980" s="4" t="inlineStr">
        <is>
          <t>tipo: tee · material: PVC presión · medida: 3/4"</t>
        </is>
      </c>
    </row>
    <row r="1981">
      <c r="A1981" s="3" t="inlineStr">
        <is>
          <t>MAT-32-624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3"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2</v>
      </c>
      <c r="K1981" s="6" t="n">
        <v>235.03</v>
      </c>
      <c r="L1981" s="6" t="n">
        <v>169</v>
      </c>
      <c r="M1981" s="6" t="n">
        <v>453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 · Ferretería Cima</t>
        </is>
      </c>
      <c r="AF1981" s="4" t="inlineStr">
        <is>
          <t>tipo: tee · material: PVC presión · medida: 3"</t>
        </is>
      </c>
    </row>
    <row r="1982">
      <c r="A1982" s="3" t="inlineStr">
        <is>
          <t>MAT-32-625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4"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336.44</v>
      </c>
      <c r="L1982" s="6" t="n">
        <v>278</v>
      </c>
      <c r="M1982" s="6" t="n">
        <v>394.88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F1982" s="4" t="inlineStr">
        <is>
          <t>tipo: tee · material: PVC presión · medida: 4"</t>
        </is>
      </c>
    </row>
    <row r="1983">
      <c r="A1983" s="3" t="inlineStr">
        <is>
          <t>MAT-32-626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4" x 3"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687.34</v>
      </c>
      <c r="L1983" s="6" t="n">
        <v>687.34</v>
      </c>
      <c r="M1983" s="6" t="n">
        <v>687.34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</t>
        </is>
      </c>
      <c r="AF1983" s="4" t="inlineStr">
        <is>
          <t>tipo: tee · material: PVC presión · medida: 4" x 3"</t>
        </is>
      </c>
    </row>
    <row r="1984">
      <c r="A1984" s="3" t="inlineStr">
        <is>
          <t>MAT-32-627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6"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1002.5</v>
      </c>
      <c r="L1984" s="6" t="n">
        <v>915</v>
      </c>
      <c r="M1984" s="6" t="n">
        <v>1090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</t>
        </is>
      </c>
      <c r="AF1984" s="4" t="inlineStr">
        <is>
          <t>tipo: tee · material: PVC presión · medida: 6"</t>
        </is>
      </c>
    </row>
    <row r="1985">
      <c r="A1985" s="3" t="inlineStr">
        <is>
          <t>MAT-32-628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presión 8"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8379</v>
      </c>
      <c r="L1985" s="6" t="n">
        <v>8379</v>
      </c>
      <c r="M1985" s="6" t="n">
        <v>8379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2026-09-10</t>
        </is>
      </c>
      <c r="Q1985" s="4" t="inlineStr">
        <is>
          <t>Bellón</t>
        </is>
      </c>
      <c r="AF1985" s="4" t="inlineStr">
        <is>
          <t>tipo: tee · material: PVC presión · medida: 8"</t>
        </is>
      </c>
    </row>
    <row r="1986">
      <c r="A1986" s="3" t="inlineStr">
        <is>
          <t>MAT-32-629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reducida de PPR 25 mm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45</v>
      </c>
      <c r="L1986" s="6" t="n">
        <v>45</v>
      </c>
      <c r="M1986" s="6" t="n">
        <v>45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tee-reducida · material: PPR · medida: 25 mm</t>
        </is>
      </c>
    </row>
    <row r="1987">
      <c r="A1987" s="3" t="inlineStr">
        <is>
          <t>MAT-32-630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reducida de PVC 1" x 3/4"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144</v>
      </c>
      <c r="L1987" s="6" t="n">
        <v>144</v>
      </c>
      <c r="M1987" s="6" t="n">
        <v>144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tee-reducida · material: PVC · medida: 1" x 3/4"</t>
        </is>
      </c>
    </row>
    <row r="1988">
      <c r="A1988" s="3" t="inlineStr">
        <is>
          <t>MAT-32-631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1/2"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235</v>
      </c>
      <c r="L1988" s="6" t="n">
        <v>235</v>
      </c>
      <c r="M1988" s="6" t="n">
        <v>235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bronce · medida: 1/2"</t>
        </is>
      </c>
    </row>
    <row r="1989">
      <c r="A1989" s="3" t="inlineStr">
        <is>
          <t>MAT-32-632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bronce 3/4"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275</v>
      </c>
      <c r="L1989" s="6" t="n">
        <v>275</v>
      </c>
      <c r="M1989" s="6" t="n">
        <v>275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bronce · medida: 3/4"</t>
        </is>
      </c>
    </row>
    <row r="1990">
      <c r="A1990" s="3" t="inlineStr">
        <is>
          <t>MAT-32-633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bronce 5/8"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335</v>
      </c>
      <c r="L1990" s="6" t="n">
        <v>335</v>
      </c>
      <c r="M1990" s="6" t="n">
        <v>335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bronce · medida: 5/8"</t>
        </is>
      </c>
    </row>
    <row r="1991">
      <c r="A1991" s="3" t="inlineStr">
        <is>
          <t>MAT-32-634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cobre 1"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319</v>
      </c>
      <c r="L1991" s="6" t="n">
        <v>319</v>
      </c>
      <c r="M1991" s="6" t="n">
        <v>319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cobre · medida: 1"</t>
        </is>
      </c>
    </row>
    <row r="1992">
      <c r="A1992" s="3" t="inlineStr">
        <is>
          <t>MAT-32-635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1/2"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165.5</v>
      </c>
      <c r="L1992" s="6" t="n">
        <v>131</v>
      </c>
      <c r="M1992" s="6" t="n">
        <v>210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2026-09-09</t>
        </is>
      </c>
      <c r="Q1992" s="4" t="inlineStr">
        <is>
          <t>Ferretería Cima</t>
        </is>
      </c>
      <c r="AF1992" s="4" t="inlineStr">
        <is>
          <t>tipo: terminal · material: manguera · medida: 1/2"</t>
        </is>
      </c>
    </row>
    <row r="1993">
      <c r="A1993" s="3" t="inlineStr">
        <is>
          <t>MAT-32-636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3/4"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247</v>
      </c>
      <c r="L1993" s="6" t="n">
        <v>247</v>
      </c>
      <c r="M1993" s="6" t="n">
        <v>247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2026-09-09</t>
        </is>
      </c>
      <c r="Q1993" s="4" t="inlineStr">
        <is>
          <t>Ferretería Cima</t>
        </is>
      </c>
      <c r="AF1993" s="4" t="inlineStr">
        <is>
          <t>tipo: terminal · material: manguera · medida: 3/4"</t>
        </is>
      </c>
    </row>
    <row r="1994">
      <c r="A1994" s="3" t="inlineStr">
        <is>
          <t>MAT-32-637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manguera 5/8"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233</v>
      </c>
      <c r="L1994" s="6" t="n">
        <v>233</v>
      </c>
      <c r="M1994" s="6" t="n">
        <v>233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2026-09-09</t>
        </is>
      </c>
      <c r="Q1994" s="4" t="inlineStr">
        <is>
          <t>Ferretería Cima</t>
        </is>
      </c>
      <c r="AF1994" s="4" t="inlineStr">
        <is>
          <t>tipo: terminal · material: manguera · medida: 5/8"</t>
        </is>
      </c>
    </row>
    <row r="1995">
      <c r="A1995" s="3" t="inlineStr">
        <is>
          <t>MAT-32-638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Terminal de manguera 5"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295</v>
      </c>
      <c r="L1995" s="6" t="n">
        <v>295</v>
      </c>
      <c r="M1995" s="6" t="n">
        <v>295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2026-09-09</t>
        </is>
      </c>
      <c r="Q1995" s="4" t="inlineStr">
        <is>
          <t>Ferretería Cima</t>
        </is>
      </c>
      <c r="AF1995" s="4" t="inlineStr">
        <is>
          <t>tipo: terminal · material: manguera · medida: 5"</t>
        </is>
      </c>
    </row>
    <row r="1996">
      <c r="A1996" s="3" t="inlineStr">
        <is>
          <t>MAT-32-639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0.19"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1</v>
      </c>
      <c r="K1996" s="6" t="n">
        <v>35.78</v>
      </c>
      <c r="L1996" s="6" t="n">
        <v>35.78</v>
      </c>
      <c r="M1996" s="6" t="n">
        <v>35.78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</t>
        </is>
      </c>
      <c r="AF1996" s="4" t="inlineStr">
        <is>
          <t>tipo: union · material: bronce · medida: 0.19"</t>
        </is>
      </c>
    </row>
    <row r="1997">
      <c r="A1997" s="3" t="inlineStr">
        <is>
          <t>MAT-32-640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1/2"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2</v>
      </c>
      <c r="K1997" s="6" t="n">
        <v>115.6</v>
      </c>
      <c r="L1997" s="6" t="n">
        <v>66.19</v>
      </c>
      <c r="M1997" s="6" t="n">
        <v>165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 · Ferretería Cima</t>
        </is>
      </c>
      <c r="AF1997" s="4" t="inlineStr">
        <is>
          <t>tipo: union · material: bronce · medida: 1/2"</t>
        </is>
      </c>
    </row>
    <row r="1998">
      <c r="A1998" s="3" t="inlineStr">
        <is>
          <t>MAT-32-641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1/4"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69</v>
      </c>
      <c r="L1998" s="6" t="n">
        <v>28</v>
      </c>
      <c r="M1998" s="6" t="n">
        <v>110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1/4"</t>
        </is>
      </c>
    </row>
    <row r="1999">
      <c r="A1999" s="3" t="inlineStr">
        <is>
          <t>MAT-32-642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1/8"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16</v>
      </c>
      <c r="L1999" s="6" t="n">
        <v>16</v>
      </c>
      <c r="M1999" s="6" t="n">
        <v>16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1/8"</t>
        </is>
      </c>
    </row>
    <row r="2000">
      <c r="A2000" s="3" t="inlineStr">
        <is>
          <t>MAT-32-643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12"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1</v>
      </c>
      <c r="K2000" s="6" t="n">
        <v>346</v>
      </c>
      <c r="L2000" s="6" t="n">
        <v>346</v>
      </c>
      <c r="M2000" s="6" t="n">
        <v>346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</t>
        </is>
      </c>
      <c r="AF2000" s="4" t="inlineStr">
        <is>
          <t>tipo: union · material: bronce · medida: 12"</t>
        </is>
      </c>
    </row>
    <row r="2001">
      <c r="A2001" s="3" t="inlineStr">
        <is>
          <t>MAT-32-644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15"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375</v>
      </c>
      <c r="L2001" s="6" t="n">
        <v>375</v>
      </c>
      <c r="M2001" s="6" t="n">
        <v>375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15"</t>
        </is>
      </c>
    </row>
    <row r="2002">
      <c r="A2002" s="3" t="inlineStr">
        <is>
          <t>MAT-32-645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18"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1</v>
      </c>
      <c r="K2002" s="6" t="n">
        <v>413</v>
      </c>
      <c r="L2002" s="6" t="n">
        <v>413</v>
      </c>
      <c r="M2002" s="6" t="n">
        <v>413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</t>
        </is>
      </c>
      <c r="AF2002" s="4" t="inlineStr">
        <is>
          <t>tipo: union · material: bronce · medida: 18"</t>
        </is>
      </c>
    </row>
    <row r="2003">
      <c r="A2003" s="3" t="inlineStr">
        <is>
          <t>MAT-32-646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25"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1</v>
      </c>
      <c r="K2003" s="6" t="n">
        <v>796</v>
      </c>
      <c r="L2003" s="6" t="n">
        <v>796</v>
      </c>
      <c r="M2003" s="6" t="n">
        <v>796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</t>
        </is>
      </c>
      <c r="AF2003" s="4" t="inlineStr">
        <is>
          <t>tipo: union · material: bronce · medida: 25"</t>
        </is>
      </c>
    </row>
    <row r="2004">
      <c r="A2004" s="3" t="inlineStr">
        <is>
          <t>MAT-32-647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3/8"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2</v>
      </c>
      <c r="K2004" s="6" t="n">
        <v>118</v>
      </c>
      <c r="L2004" s="6" t="n">
        <v>44</v>
      </c>
      <c r="M2004" s="6" t="n">
        <v>147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 · Ferretería Cima</t>
        </is>
      </c>
      <c r="AF2004" s="4" t="inlineStr">
        <is>
          <t>tipo: union · material: bronce · medida: 3/8"</t>
        </is>
      </c>
    </row>
    <row r="2005">
      <c r="A2005" s="3" t="inlineStr">
        <is>
          <t>MAT-32-648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bronce 32 mm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1</v>
      </c>
      <c r="K2005" s="6" t="n">
        <v>906</v>
      </c>
      <c r="L2005" s="6" t="n">
        <v>906</v>
      </c>
      <c r="M2005" s="6" t="n">
        <v>906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</t>
        </is>
      </c>
      <c r="AF2005" s="4" t="inlineStr">
        <is>
          <t>tipo: union · material: bronce · medida: 32 mm</t>
        </is>
      </c>
    </row>
    <row r="2006">
      <c r="A2006" s="3" t="inlineStr">
        <is>
          <t>MAT-32-649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plástico 1/2"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2</v>
      </c>
      <c r="K2006" s="6" t="n">
        <v>145.5</v>
      </c>
      <c r="L2006" s="6" t="n">
        <v>111</v>
      </c>
      <c r="M2006" s="6" t="n">
        <v>180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 · Ferretería Cima</t>
        </is>
      </c>
      <c r="AF2006" s="4" t="inlineStr">
        <is>
          <t>tipo: union · material: plástico · medida: 1/2"</t>
        </is>
      </c>
    </row>
    <row r="2007">
      <c r="A2007" s="3" t="inlineStr">
        <is>
          <t>MAT-32-650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de plástico 5/8"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131</v>
      </c>
      <c r="L2007" s="6" t="n">
        <v>131</v>
      </c>
      <c r="M2007" s="6" t="n">
        <v>131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union · material: plástico · medida: 5/8"</t>
        </is>
      </c>
    </row>
    <row r="2008">
      <c r="A2008" s="3" t="inlineStr">
        <is>
          <t>MAT-32-651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1/2"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31.5</v>
      </c>
      <c r="L2008" s="6" t="n">
        <v>31.5</v>
      </c>
      <c r="M2008" s="6" t="n">
        <v>31.5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union-universal · material: CPVC · medida: 1/2"</t>
        </is>
      </c>
    </row>
    <row r="2009">
      <c r="A2009" s="3" t="inlineStr">
        <is>
          <t>MAT-32-652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CPVC 1"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150</v>
      </c>
      <c r="L2009" s="6" t="n">
        <v>150</v>
      </c>
      <c r="M2009" s="6" t="n">
        <v>150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union-universal · material: CPVC · medida: 1"</t>
        </is>
      </c>
    </row>
    <row r="2010">
      <c r="A2010" s="3" t="inlineStr">
        <is>
          <t>MAT-32-653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CPVC 3/4"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1</v>
      </c>
      <c r="K2010" s="6" t="n">
        <v>100</v>
      </c>
      <c r="L2010" s="6" t="n">
        <v>100</v>
      </c>
      <c r="M2010" s="6" t="n">
        <v>100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</t>
        </is>
      </c>
      <c r="AF2010" s="4" t="inlineStr">
        <is>
          <t>tipo: union-universal · material: CPVC · medida: 3/4"</t>
        </is>
      </c>
    </row>
    <row r="2011">
      <c r="A2011" s="3" t="inlineStr">
        <is>
          <t>MAT-32-654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 1/2"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437.5</v>
      </c>
      <c r="L2011" s="6" t="n">
        <v>350</v>
      </c>
      <c r="M2011" s="6" t="n">
        <v>525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F2011" s="4" t="inlineStr">
        <is>
          <t>tipo: union-universal · material: HG · medida: 1 1/2"</t>
        </is>
      </c>
    </row>
    <row r="2012">
      <c r="A2012" s="3" t="inlineStr">
        <is>
          <t>MAT-32-655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 1/4"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335.5</v>
      </c>
      <c r="L2012" s="6" t="n">
        <v>249</v>
      </c>
      <c r="M2012" s="6" t="n">
        <v>422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1 1/4"</t>
        </is>
      </c>
    </row>
    <row r="2013">
      <c r="A2013" s="3" t="inlineStr">
        <is>
          <t>MAT-32-656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1/2"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2</v>
      </c>
      <c r="K2013" s="6" t="n">
        <v>142.5</v>
      </c>
      <c r="L2013" s="6" t="n">
        <v>115</v>
      </c>
      <c r="M2013" s="6" t="n">
        <v>170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Bellón · Ferretería Cima</t>
        </is>
      </c>
      <c r="AF2013" s="4" t="inlineStr">
        <is>
          <t>tipo: union-universal · material: HG · medida: 1/2"</t>
        </is>
      </c>
    </row>
    <row r="2014">
      <c r="A2014" s="3" t="inlineStr">
        <is>
          <t>MAT-32-657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1/4"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44</v>
      </c>
      <c r="L2014" s="6" t="n">
        <v>44</v>
      </c>
      <c r="M2014" s="6" t="n">
        <v>44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2026-09-09</t>
        </is>
      </c>
      <c r="Q2014" s="4" t="inlineStr">
        <is>
          <t>Ferretería Cima</t>
        </is>
      </c>
      <c r="AF2014" s="4" t="inlineStr">
        <is>
          <t>tipo: union-universal · material: HG · medida: 1/4"</t>
        </is>
      </c>
    </row>
    <row r="2015">
      <c r="A2015" s="3" t="inlineStr">
        <is>
          <t>MAT-32-658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1"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174</v>
      </c>
      <c r="L2015" s="6" t="n">
        <v>174</v>
      </c>
      <c r="M2015" s="6" t="n">
        <v>174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F2015" s="4" t="inlineStr">
        <is>
          <t>tipo: union-universal · material: HG · medida: 1"</t>
        </is>
      </c>
    </row>
    <row r="2016">
      <c r="A2016" s="3" t="inlineStr">
        <is>
          <t>MAT-32-659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2"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2</v>
      </c>
      <c r="K2016" s="6" t="n">
        <v>638.5</v>
      </c>
      <c r="L2016" s="6" t="n">
        <v>450</v>
      </c>
      <c r="M2016" s="6" t="n">
        <v>827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 · Ferretería Cima</t>
        </is>
      </c>
      <c r="AF2016" s="4" t="inlineStr">
        <is>
          <t>tipo: union-universal · material: HG · medida: 2"</t>
        </is>
      </c>
    </row>
    <row r="2017">
      <c r="A2017" s="3" t="inlineStr">
        <is>
          <t>MAT-32-660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3/4"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2</v>
      </c>
      <c r="K2017" s="6" t="n">
        <v>171</v>
      </c>
      <c r="L2017" s="6" t="n">
        <v>162</v>
      </c>
      <c r="M2017" s="6" t="n">
        <v>180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 · Ferretería Cima</t>
        </is>
      </c>
      <c r="AF2017" s="4" t="inlineStr">
        <is>
          <t>tipo: union-universal · material: HG · medida: 3/4"</t>
        </is>
      </c>
    </row>
    <row r="2018">
      <c r="A2018" s="3" t="inlineStr">
        <is>
          <t>MAT-32-661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3/8"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12</v>
      </c>
      <c r="L2018" s="6" t="n">
        <v>12</v>
      </c>
      <c r="M2018" s="6" t="n">
        <v>12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2026-09-09</t>
        </is>
      </c>
      <c r="Q2018" s="4" t="inlineStr">
        <is>
          <t>Ferretería Cima</t>
        </is>
      </c>
      <c r="AF2018" s="4" t="inlineStr">
        <is>
          <t>tipo: union-universal · material: HG · medida: 3/8"</t>
        </is>
      </c>
    </row>
    <row r="2019">
      <c r="A2019" s="3" t="inlineStr">
        <is>
          <t>MAT-32-662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3"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1376</v>
      </c>
      <c r="L2019" s="6" t="n">
        <v>1376</v>
      </c>
      <c r="M2019" s="6" t="n">
        <v>1376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HG · medida: 3"</t>
        </is>
      </c>
    </row>
    <row r="2020">
      <c r="A2020" s="3" t="inlineStr">
        <is>
          <t>MAT-32-663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HG 4"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1835</v>
      </c>
      <c r="L2020" s="6" t="n">
        <v>1835</v>
      </c>
      <c r="M2020" s="6" t="n">
        <v>1835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HG · medida: 4"</t>
        </is>
      </c>
    </row>
    <row r="2021">
      <c r="A2021" s="3" t="inlineStr">
        <is>
          <t>MAT-32-664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20 mm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1</v>
      </c>
      <c r="K2021" s="6" t="n">
        <v>25.14</v>
      </c>
      <c r="L2021" s="6" t="n">
        <v>25.14</v>
      </c>
      <c r="M2021" s="6" t="n">
        <v>25.14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</t>
        </is>
      </c>
      <c r="AF2021" s="4" t="inlineStr">
        <is>
          <t>tipo: union-universal · material: PPR · medida: 20 mm</t>
        </is>
      </c>
    </row>
    <row r="2022">
      <c r="A2022" s="3" t="inlineStr">
        <is>
          <t>MAT-32-665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25 mm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2</v>
      </c>
      <c r="K2022" s="6" t="n">
        <v>99.56999999999999</v>
      </c>
      <c r="L2022" s="6" t="n">
        <v>33.14</v>
      </c>
      <c r="M2022" s="6" t="n">
        <v>166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 · Ferretería Cima</t>
        </is>
      </c>
      <c r="AF2022" s="4" t="inlineStr">
        <is>
          <t>tipo: union-universal · material: PPR · medida: 25 mm</t>
        </is>
      </c>
    </row>
    <row r="2023">
      <c r="A2023" s="3" t="inlineStr">
        <is>
          <t>MAT-32-666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PPR 32 mm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50.46</v>
      </c>
      <c r="L2023" s="6" t="n">
        <v>50.46</v>
      </c>
      <c r="M2023" s="6" t="n">
        <v>50.46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</t>
        </is>
      </c>
      <c r="AF2023" s="4" t="inlineStr">
        <is>
          <t>tipo: union-universal · material: PPR · medida: 32 mm</t>
        </is>
      </c>
    </row>
    <row r="2024">
      <c r="A2024" s="3" t="inlineStr">
        <is>
          <t>MAT-32-667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PPR 50 mm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1</v>
      </c>
      <c r="K2024" s="6" t="n">
        <v>120</v>
      </c>
      <c r="L2024" s="6" t="n">
        <v>120</v>
      </c>
      <c r="M2024" s="6" t="n">
        <v>120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</t>
        </is>
      </c>
      <c r="AF2024" s="4" t="inlineStr">
        <is>
          <t>tipo: union-universal · material: PPR · medida: 50 mm</t>
        </is>
      </c>
    </row>
    <row r="2025">
      <c r="A2025" s="3" t="inlineStr">
        <is>
          <t>MAT-32-668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 1/2"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2</v>
      </c>
      <c r="K2025" s="6" t="n">
        <v>104.52</v>
      </c>
      <c r="L2025" s="6" t="n">
        <v>74.06</v>
      </c>
      <c r="M2025" s="6" t="n">
        <v>217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MC</t>
        </is>
      </c>
      <c r="AF2025" s="4" t="inlineStr">
        <is>
          <t>tipo: union-universal · material: PVC · medida: 1 1/2"</t>
        </is>
      </c>
    </row>
    <row r="2026">
      <c r="A2026" s="3" t="inlineStr">
        <is>
          <t>MAT-32-669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1/2"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3</v>
      </c>
      <c r="K2026" s="6" t="n">
        <v>30.27</v>
      </c>
      <c r="L2026" s="6" t="n">
        <v>17.7</v>
      </c>
      <c r="M2026" s="6" t="n">
        <v>75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Cima · Ferretería MC</t>
        </is>
      </c>
      <c r="AF2026" s="4" t="inlineStr">
        <is>
          <t>tipo: union-universal · material: PVC · medida: 1/2"</t>
        </is>
      </c>
    </row>
    <row r="2027">
      <c r="A2027" s="3" t="inlineStr">
        <is>
          <t>MAT-32-670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1"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3</v>
      </c>
      <c r="K2027" s="6" t="n">
        <v>49.47</v>
      </c>
      <c r="L2027" s="6" t="n">
        <v>37</v>
      </c>
      <c r="M2027" s="6" t="n">
        <v>147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 · Ferretería Cima · Ferretería MC</t>
        </is>
      </c>
      <c r="AF2027" s="4" t="inlineStr">
        <is>
          <t>tipo: union-universal · material: PVC · medida: 1"</t>
        </is>
      </c>
    </row>
    <row r="2028">
      <c r="A2028" s="3" t="inlineStr">
        <is>
          <t>MAT-32-671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2"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3</v>
      </c>
      <c r="K2028" s="6" t="n">
        <v>161.66</v>
      </c>
      <c r="L2028" s="6" t="n">
        <v>125.07</v>
      </c>
      <c r="M2028" s="6" t="n">
        <v>401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Bellón · Ferretería Cima · Ferretería MC</t>
        </is>
      </c>
      <c r="AF2028" s="4" t="inlineStr">
        <is>
          <t>tipo: union-universal · material: PVC · medida: 2"</t>
        </is>
      </c>
    </row>
    <row r="2029">
      <c r="A2029" s="3" t="inlineStr">
        <is>
          <t>MAT-32-672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3/4"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3</v>
      </c>
      <c r="K2029" s="6" t="n">
        <v>33.24</v>
      </c>
      <c r="L2029" s="6" t="n">
        <v>23.2</v>
      </c>
      <c r="M2029" s="6" t="n">
        <v>105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Cima · Ferretería MC</t>
        </is>
      </c>
      <c r="AF2029" s="4" t="inlineStr">
        <is>
          <t>tipo: union-universal · material: PVC · medida: 3/4"</t>
        </is>
      </c>
    </row>
    <row r="2030">
      <c r="A2030" s="3" t="inlineStr">
        <is>
          <t>MAT-32-673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3"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2</v>
      </c>
      <c r="K2030" s="6" t="n">
        <v>588</v>
      </c>
      <c r="L2030" s="6" t="n">
        <v>531</v>
      </c>
      <c r="M2030" s="6" t="n">
        <v>645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 · Ferretería MC</t>
        </is>
      </c>
      <c r="AF2030" s="4" t="inlineStr">
        <is>
          <t>tipo: union-universal · material: PVC · medida: 3"</t>
        </is>
      </c>
    </row>
    <row r="2031">
      <c r="A2031" s="3" t="inlineStr">
        <is>
          <t>MAT-32-674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4"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1256</v>
      </c>
      <c r="L2031" s="6" t="n">
        <v>895</v>
      </c>
      <c r="M2031" s="6" t="n">
        <v>1617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2026-09-10</t>
        </is>
      </c>
      <c r="Q2031" s="4" t="inlineStr">
        <is>
          <t>Bellón</t>
        </is>
      </c>
      <c r="AF2031" s="4" t="inlineStr">
        <is>
          <t>tipo: union-universal · material: PVC · medida: 4"</t>
        </is>
      </c>
    </row>
    <row r="2032">
      <c r="A2032" s="3" t="inlineStr">
        <is>
          <t>MAT-32-675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PVC SCH-80 1"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1</v>
      </c>
      <c r="K2032" s="6" t="n">
        <v>98.28</v>
      </c>
      <c r="L2032" s="6" t="n">
        <v>98.28</v>
      </c>
      <c r="M2032" s="6" t="n">
        <v>98.28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2026-09-09</t>
        </is>
      </c>
      <c r="Q2032" s="4" t="inlineStr">
        <is>
          <t>Ferretería MC</t>
        </is>
      </c>
      <c r="AF2032" s="4" t="inlineStr">
        <is>
          <t>tipo: union-universal · material: PVC SCH-80 · medida: 1"</t>
        </is>
      </c>
    </row>
    <row r="2033">
      <c r="A2033" s="3" t="inlineStr">
        <is>
          <t>MAT-32-676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1 1/2"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43.45</v>
      </c>
      <c r="L2033" s="6" t="n">
        <v>39.9</v>
      </c>
      <c r="M2033" s="6" t="n">
        <v>47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1 1/2"</t>
        </is>
      </c>
    </row>
    <row r="2034">
      <c r="A2034" s="3" t="inlineStr">
        <is>
          <t>MAT-32-677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2"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2</v>
      </c>
      <c r="K2034" s="6" t="n">
        <v>46.1</v>
      </c>
      <c r="L2034" s="6" t="n">
        <v>39.22</v>
      </c>
      <c r="M2034" s="6" t="n">
        <v>145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 · Ferretería Cima</t>
        </is>
      </c>
      <c r="AF2034" s="4" t="inlineStr">
        <is>
          <t>tipo: yee · material: PVC drenaje · medida: 2"</t>
        </is>
      </c>
    </row>
    <row r="2035">
      <c r="A2035" s="3" t="inlineStr">
        <is>
          <t>MAT-32-678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3"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1</v>
      </c>
      <c r="K2035" s="6" t="n">
        <v>113.54</v>
      </c>
      <c r="L2035" s="6" t="n">
        <v>76.79000000000001</v>
      </c>
      <c r="M2035" s="6" t="n">
        <v>150.29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</t>
        </is>
      </c>
      <c r="AF2035" s="4" t="inlineStr">
        <is>
          <t>tipo: yee · material: PVC drenaje · medida: 3"</t>
        </is>
      </c>
    </row>
    <row r="2036">
      <c r="A2036" s="3" t="inlineStr">
        <is>
          <t>MAT-32-679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3" x 2"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2</v>
      </c>
      <c r="K2036" s="6" t="n">
        <v>147.29</v>
      </c>
      <c r="L2036" s="6" t="n">
        <v>89.56999999999999</v>
      </c>
      <c r="M2036" s="6" t="n">
        <v>205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 · Ferretería Cima</t>
        </is>
      </c>
      <c r="AF2036" s="4" t="inlineStr">
        <is>
          <t>tipo: yee · material: PVC drenaje · medida: 3" x 2"</t>
        </is>
      </c>
    </row>
    <row r="2037">
      <c r="A2037" s="3" t="inlineStr">
        <is>
          <t>MAT-32-680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2</v>
      </c>
      <c r="K2037" s="6" t="n">
        <v>224.26</v>
      </c>
      <c r="L2037" s="6" t="n">
        <v>160</v>
      </c>
      <c r="M2037" s="6" t="n">
        <v>425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 · Ferretería Cima</t>
        </is>
      </c>
      <c r="AF2037" s="4" t="inlineStr">
        <is>
          <t>tipo: yee · material: PVC drenaje · medida: 4"</t>
        </is>
      </c>
    </row>
    <row r="2038">
      <c r="A2038" s="3" t="inlineStr">
        <is>
          <t>MAT-32-681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4" x 2"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2</v>
      </c>
      <c r="K2038" s="6" t="n">
        <v>120.22</v>
      </c>
      <c r="L2038" s="6" t="n">
        <v>97</v>
      </c>
      <c r="M2038" s="6" t="n">
        <v>265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 · Ferretería Cima</t>
        </is>
      </c>
      <c r="AF2038" s="4" t="inlineStr">
        <is>
          <t>tipo: yee · material: PVC drenaje · medida: 4" x 2"</t>
        </is>
      </c>
    </row>
    <row r="2039">
      <c r="A2039" s="3" t="inlineStr">
        <is>
          <t>MAT-32-682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4" x 3"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191.92</v>
      </c>
      <c r="L2039" s="6" t="n">
        <v>191.92</v>
      </c>
      <c r="M2039" s="6" t="n">
        <v>191.92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drenaje · medida: 4" x 3"</t>
        </is>
      </c>
    </row>
    <row r="2040">
      <c r="A2040" s="3" t="inlineStr">
        <is>
          <t>MAT-32-683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6"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923.5</v>
      </c>
      <c r="L2040" s="6" t="n">
        <v>875</v>
      </c>
      <c r="M2040" s="6" t="n">
        <v>972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drenaje · medida: 6"</t>
        </is>
      </c>
    </row>
    <row r="2041">
      <c r="A2041" s="3" t="inlineStr">
        <is>
          <t>MAT-32-684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6" x 4"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855</v>
      </c>
      <c r="L2041" s="6" t="n">
        <v>855</v>
      </c>
      <c r="M2041" s="6" t="n">
        <v>855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Bellón</t>
        </is>
      </c>
      <c r="AF2041" s="4" t="inlineStr">
        <is>
          <t>tipo: yee · material: PVC drenaje · medida: 6" x 4"</t>
        </is>
      </c>
    </row>
    <row r="2042">
      <c r="A2042" s="3" t="inlineStr">
        <is>
          <t>MAT-32-685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drenaje 8" x 4"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5151</v>
      </c>
      <c r="L2042" s="6" t="n">
        <v>5151</v>
      </c>
      <c r="M2042" s="6" t="n">
        <v>5151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Bellón</t>
        </is>
      </c>
      <c r="AF2042" s="4" t="inlineStr">
        <is>
          <t>tipo: yee · material: PVC drenaje · medida: 8" x 4"</t>
        </is>
      </c>
    </row>
    <row r="2043">
      <c r="A2043" s="3" t="inlineStr">
        <is>
          <t>MAT-32-686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presión 3" x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546</v>
      </c>
      <c r="L2043" s="6" t="n">
        <v>546</v>
      </c>
      <c r="M2043" s="6" t="n">
        <v>546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Bellón</t>
        </is>
      </c>
      <c r="AF2043" s="4" t="inlineStr">
        <is>
          <t>tipo: yee · material: PVC presión · medida: 3" x 2"</t>
        </is>
      </c>
    </row>
    <row r="2044">
      <c r="A2044" s="3" t="inlineStr">
        <is>
          <t>MAT-32-687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Yee de PVC presión 4" x 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429</v>
      </c>
      <c r="L2044" s="6" t="n">
        <v>429</v>
      </c>
      <c r="M2044" s="6" t="n">
        <v>429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Bellón</t>
        </is>
      </c>
      <c r="AF2044" s="4" t="inlineStr">
        <is>
          <t>tipo: yee · material: PVC presión · medida: 4" x 2"</t>
        </is>
      </c>
    </row>
    <row r="2045">
      <c r="A2045" s="3" t="inlineStr">
        <is>
          <t>MAT-32-688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latón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1</v>
      </c>
      <c r="K2045" s="6" t="n">
        <v>375</v>
      </c>
      <c r="L2045" s="6" t="n">
        <v>355</v>
      </c>
      <c r="M2045" s="6" t="n">
        <v>395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Ferremix (Grupo Alterra)</t>
        </is>
      </c>
      <c r="AF2045" s="4" t="inlineStr">
        <is>
          <t>tipo: angular · material: latón · medida: 1/2"</t>
        </is>
      </c>
    </row>
    <row r="2046">
      <c r="A2046" s="3" t="inlineStr">
        <is>
          <t>MAT-32-689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angular de metal 1/2"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2</v>
      </c>
      <c r="K2046" s="6" t="n">
        <v>271</v>
      </c>
      <c r="L2046" s="6" t="n">
        <v>140</v>
      </c>
      <c r="M2046" s="6" t="n">
        <v>565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Ferremix (Grupo Alterra) · Ferretería Cima</t>
        </is>
      </c>
      <c r="AF2046" s="4" t="inlineStr">
        <is>
          <t>tipo: angular · material: metal · medida: 1/2"</t>
        </is>
      </c>
    </row>
    <row r="2047">
      <c r="A2047" s="3" t="inlineStr">
        <is>
          <t>MAT-32-690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angular de metal 3/8"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2</v>
      </c>
      <c r="K2047" s="6" t="n">
        <v>285</v>
      </c>
      <c r="L2047" s="6" t="n">
        <v>257</v>
      </c>
      <c r="M2047" s="6" t="n">
        <v>453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Ferremix (Grupo Alterra) · Ferretería Cima</t>
        </is>
      </c>
      <c r="AF2047" s="4" t="inlineStr">
        <is>
          <t>tipo: angular · material: metal · medida: 3/8"</t>
        </is>
      </c>
    </row>
    <row r="2048">
      <c r="A2048" s="3" t="inlineStr">
        <is>
          <t>MAT-32-691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1/2"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205</v>
      </c>
      <c r="L2048" s="6" t="n">
        <v>205</v>
      </c>
      <c r="M2048" s="6" t="n">
        <v>205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PPR · medida: 1/2"</t>
        </is>
      </c>
    </row>
    <row r="2049">
      <c r="A2049" s="3" t="inlineStr">
        <is>
          <t>MAT-32-692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PPR 1"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270</v>
      </c>
      <c r="L2049" s="6" t="n">
        <v>270</v>
      </c>
      <c r="M2049" s="6" t="n">
        <v>270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</t>
        </is>
      </c>
      <c r="AF2049" s="4" t="inlineStr">
        <is>
          <t>tipo: bola · material: PPR · medida: 1"</t>
        </is>
      </c>
    </row>
    <row r="2050">
      <c r="A2050" s="3" t="inlineStr">
        <is>
          <t>MAT-32-693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PPR 3/4"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255</v>
      </c>
      <c r="L2050" s="6" t="n">
        <v>255</v>
      </c>
      <c r="M2050" s="6" t="n">
        <v>255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</t>
        </is>
      </c>
      <c r="AF2050" s="4" t="inlineStr">
        <is>
          <t>tipo: bola · material: PPR · medida: 3/4"</t>
        </is>
      </c>
    </row>
    <row r="2051">
      <c r="A2051" s="3" t="inlineStr">
        <is>
          <t>MAT-32-694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bola de PVC 1"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388</v>
      </c>
      <c r="L2051" s="6" t="n">
        <v>388</v>
      </c>
      <c r="M2051" s="6" t="n">
        <v>388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tipo: bola · material: PVC · medida: 1"</t>
        </is>
      </c>
    </row>
    <row r="2052">
      <c r="A2052" s="3" t="inlineStr">
        <is>
          <t>MAT-32-695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bola de PVC 3/4"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311</v>
      </c>
      <c r="L2052" s="6" t="n">
        <v>311</v>
      </c>
      <c r="M2052" s="6" t="n">
        <v>311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Bellón</t>
        </is>
      </c>
      <c r="AF2052" s="4" t="inlineStr">
        <is>
          <t>tipo: bola · material: PVC · medida: 3/4"</t>
        </is>
      </c>
    </row>
    <row r="2053">
      <c r="A2053" s="3" t="inlineStr">
        <is>
          <t>MAT-32-696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 1/2"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1299</v>
      </c>
      <c r="L2053" s="6" t="n">
        <v>1299</v>
      </c>
      <c r="M2053" s="6" t="n">
        <v>1299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1 1/2"</t>
        </is>
      </c>
    </row>
    <row r="2054">
      <c r="A2054" s="3" t="inlineStr">
        <is>
          <t>MAT-32-697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 1/4"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1075</v>
      </c>
      <c r="L2054" s="6" t="n">
        <v>1075</v>
      </c>
      <c r="M2054" s="6" t="n">
        <v>1075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1 1/4"</t>
        </is>
      </c>
    </row>
    <row r="2055">
      <c r="A2055" s="3" t="inlineStr">
        <is>
          <t>MAT-32-698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1/2"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355</v>
      </c>
      <c r="L2055" s="6" t="n">
        <v>355</v>
      </c>
      <c r="M2055" s="6" t="n">
        <v>355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Ferremix (Grupo Alterra)</t>
        </is>
      </c>
      <c r="AF2055" s="4" t="inlineStr">
        <is>
          <t>tipo: compuerta · material: latón · medida: 1/2"</t>
        </is>
      </c>
    </row>
    <row r="2056">
      <c r="A2056" s="3" t="inlineStr">
        <is>
          <t>MAT-32-699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1"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655</v>
      </c>
      <c r="L2056" s="6" t="n">
        <v>655</v>
      </c>
      <c r="M2056" s="6" t="n">
        <v>655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Ferremix (Grupo Alterra)</t>
        </is>
      </c>
      <c r="AF2056" s="4" t="inlineStr">
        <is>
          <t>tipo: compuerta · material: latón · medida: 1"</t>
        </is>
      </c>
    </row>
    <row r="2057">
      <c r="A2057" s="3" t="inlineStr">
        <is>
          <t>MAT-32-700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compuerta de latón 2"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1855</v>
      </c>
      <c r="L2057" s="6" t="n">
        <v>1855</v>
      </c>
      <c r="M2057" s="6" t="n">
        <v>1855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Ferremix (Grupo Alterra)</t>
        </is>
      </c>
      <c r="AF2057" s="4" t="inlineStr">
        <is>
          <t>tipo: compuerta · material: latón · medida: 2"</t>
        </is>
      </c>
    </row>
    <row r="2058">
      <c r="A2058" s="3" t="inlineStr">
        <is>
          <t>MAT-32-701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compuerta de latón 3/4"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449</v>
      </c>
      <c r="L2058" s="6" t="n">
        <v>449</v>
      </c>
      <c r="M2058" s="6" t="n">
        <v>449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2026-09-10</t>
        </is>
      </c>
      <c r="Q2058" s="4" t="inlineStr">
        <is>
          <t>Ferremix (Grupo Alterra)</t>
        </is>
      </c>
      <c r="AF2058" s="4" t="inlineStr">
        <is>
          <t>tipo: compuerta · material: latón · medida: 3/4"</t>
        </is>
      </c>
    </row>
    <row r="2059">
      <c r="A2059" s="3" t="inlineStr">
        <is>
          <t>MAT-32-702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CPVC 1/2"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435</v>
      </c>
      <c r="L2059" s="6" t="n">
        <v>435</v>
      </c>
      <c r="M2059" s="6" t="n">
        <v>435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CPVC · medida: 1/2"</t>
        </is>
      </c>
    </row>
    <row r="2060">
      <c r="A2060" s="3" t="inlineStr">
        <is>
          <t>MAT-32-703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1961</v>
      </c>
      <c r="L2060" s="6" t="n">
        <v>1961</v>
      </c>
      <c r="M2060" s="6" t="n">
        <v>1961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1 1/2"</t>
        </is>
      </c>
    </row>
    <row r="2061">
      <c r="A2061" s="3" t="inlineStr">
        <is>
          <t>MAT-32-704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1/2"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545</v>
      </c>
      <c r="L2061" s="6" t="n">
        <v>259</v>
      </c>
      <c r="M2061" s="6" t="n">
        <v>635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1/2"</t>
        </is>
      </c>
    </row>
    <row r="2062">
      <c r="A2062" s="3" t="inlineStr">
        <is>
          <t>MAT-32-705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1/4"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343</v>
      </c>
      <c r="L2062" s="6" t="n">
        <v>343</v>
      </c>
      <c r="M2062" s="6" t="n">
        <v>343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1/4"</t>
        </is>
      </c>
    </row>
    <row r="2063">
      <c r="A2063" s="3" t="inlineStr">
        <is>
          <t>MAT-32-706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1"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831</v>
      </c>
      <c r="L2063" s="6" t="n">
        <v>831</v>
      </c>
      <c r="M2063" s="6" t="n">
        <v>831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metal · medida: 1"</t>
        </is>
      </c>
    </row>
    <row r="2064">
      <c r="A2064" s="3" t="inlineStr">
        <is>
          <t>MAT-32-707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2"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3227</v>
      </c>
      <c r="L2064" s="6" t="n">
        <v>3227</v>
      </c>
      <c r="M2064" s="6" t="n">
        <v>3227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metal · medida: 2"</t>
        </is>
      </c>
    </row>
    <row r="2065">
      <c r="A2065" s="3" t="inlineStr">
        <is>
          <t>MAT-32-708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3/4"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592.5</v>
      </c>
      <c r="L2065" s="6" t="n">
        <v>555</v>
      </c>
      <c r="M2065" s="6" t="n">
        <v>630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metal · medida: 3/4"</t>
        </is>
      </c>
    </row>
    <row r="2066">
      <c r="A2066" s="3" t="inlineStr">
        <is>
          <t>MAT-32-709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metal 3/8"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336</v>
      </c>
      <c r="L2066" s="6" t="n">
        <v>327</v>
      </c>
      <c r="M2066" s="6" t="n">
        <v>455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metal · medida: 3/8"</t>
        </is>
      </c>
    </row>
    <row r="2067">
      <c r="A2067" s="3" t="inlineStr">
        <is>
          <t>MAT-32-710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465</v>
      </c>
      <c r="L2067" s="6" t="n">
        <v>465</v>
      </c>
      <c r="M2067" s="6" t="n">
        <v>465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1 1/2"</t>
        </is>
      </c>
    </row>
    <row r="2068">
      <c r="A2068" s="3" t="inlineStr">
        <is>
          <t>MAT-32-711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1/2"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83</v>
      </c>
      <c r="L2068" s="6" t="n">
        <v>41</v>
      </c>
      <c r="M2068" s="6" t="n">
        <v>125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bola · material: PVC · medida: 1/2"</t>
        </is>
      </c>
    </row>
    <row r="2069">
      <c r="A2069" s="3" t="inlineStr">
        <is>
          <t>MAT-32-712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1"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170</v>
      </c>
      <c r="L2069" s="6" t="n">
        <v>170</v>
      </c>
      <c r="M2069" s="6" t="n">
        <v>170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bola · material: PVC · medida: 1"</t>
        </is>
      </c>
    </row>
    <row r="2070">
      <c r="A2070" s="3" t="inlineStr">
        <is>
          <t>MAT-32-713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PVC 2"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616</v>
      </c>
      <c r="L2070" s="6" t="n">
        <v>616</v>
      </c>
      <c r="M2070" s="6" t="n">
        <v>616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bola · material: PVC · medida: 2"</t>
        </is>
      </c>
    </row>
    <row r="2071">
      <c r="A2071" s="3" t="inlineStr">
        <is>
          <t>MAT-32-714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bola de PVC 3/4"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116</v>
      </c>
      <c r="L2071" s="6" t="n">
        <v>107</v>
      </c>
      <c r="M2071" s="6" t="n">
        <v>125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bola · material: PVC · medida: 3/4"</t>
        </is>
      </c>
    </row>
    <row r="2072">
      <c r="A2072" s="3" t="inlineStr">
        <is>
          <t>MAT-32-715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2262</v>
      </c>
      <c r="L2072" s="6" t="n">
        <v>2262</v>
      </c>
      <c r="M2072" s="6" t="n">
        <v>2262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compuerta · material: metal · medida: 1 1/2"</t>
        </is>
      </c>
    </row>
    <row r="2073">
      <c r="A2073" s="3" t="inlineStr">
        <is>
          <t>MAT-32-716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1/2"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858</v>
      </c>
      <c r="L2073" s="6" t="n">
        <v>858</v>
      </c>
      <c r="M2073" s="6" t="n">
        <v>858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compuerta · material: metal · medida: 1/2"</t>
        </is>
      </c>
    </row>
    <row r="2074">
      <c r="A2074" s="3" t="inlineStr">
        <is>
          <t>MAT-32-717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compuerta de metal 1"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1595</v>
      </c>
      <c r="L2074" s="6" t="n">
        <v>1595</v>
      </c>
      <c r="M2074" s="6" t="n">
        <v>1595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4" t="inlineStr">
        <is>
          <t>tipo: de compuerta · material: metal · medida: 1"</t>
        </is>
      </c>
    </row>
    <row r="2075">
      <c r="A2075" s="3" t="inlineStr">
        <is>
          <t>MAT-32-718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compuerta de metal 3/4"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1248</v>
      </c>
      <c r="L2075" s="6" t="n">
        <v>1248</v>
      </c>
      <c r="M2075" s="6" t="n">
        <v>1248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4" t="inlineStr">
        <is>
          <t>tipo: de compuerta · material: metal · medida: 3/4"</t>
        </is>
      </c>
    </row>
    <row r="2076">
      <c r="A2076" s="3" t="inlineStr">
        <is>
          <t>MAT-32-719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rosca macho de metal 1/2"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875</v>
      </c>
      <c r="L2076" s="6" t="n">
        <v>338</v>
      </c>
      <c r="M2076" s="6" t="n">
        <v>1071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4" t="inlineStr">
        <is>
          <t>tipo: de rosca macho · material: metal · medida: 1/2"</t>
        </is>
      </c>
    </row>
    <row r="2077">
      <c r="A2077" s="3" t="inlineStr">
        <is>
          <t>MAT-32-720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de rosca macho de metal 3/4"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1</v>
      </c>
      <c r="K2077" s="6" t="n">
        <v>816</v>
      </c>
      <c r="L2077" s="6" t="n">
        <v>487</v>
      </c>
      <c r="M2077" s="6" t="n">
        <v>1145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2026-09-09</t>
        </is>
      </c>
      <c r="Q2077" s="4" t="inlineStr">
        <is>
          <t>Ferretería Cima</t>
        </is>
      </c>
      <c r="AF2077" s="4" t="inlineStr">
        <is>
          <t>tipo: de rosca macho · material: metal · medida: 3/4"</t>
        </is>
      </c>
    </row>
    <row r="2078">
      <c r="A2078" s="3" t="inlineStr">
        <is>
          <t>MAT-32-721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 1/2"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2</v>
      </c>
      <c r="K2078" s="6" t="n">
        <v>1858</v>
      </c>
      <c r="L2078" s="6" t="n">
        <v>995</v>
      </c>
      <c r="M2078" s="6" t="n">
        <v>2465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 · Ferretería Cima</t>
        </is>
      </c>
      <c r="AF2078" s="4" t="inlineStr">
        <is>
          <t>medida: 1 1/2"</t>
        </is>
      </c>
    </row>
    <row r="2079">
      <c r="A2079" s="3" t="inlineStr">
        <is>
          <t>MAT-32-722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 1/4"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1</v>
      </c>
      <c r="K2079" s="6" t="n">
        <v>1444.5</v>
      </c>
      <c r="L2079" s="6" t="n">
        <v>1394</v>
      </c>
      <c r="M2079" s="6" t="n">
        <v>1495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</t>
        </is>
      </c>
      <c r="AF2079" s="4" t="inlineStr">
        <is>
          <t>medida: 1 1/4"</t>
        </is>
      </c>
    </row>
    <row r="2080">
      <c r="A2080" s="3" t="inlineStr">
        <is>
          <t>MAT-32-723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1/2"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2</v>
      </c>
      <c r="K2080" s="6" t="n">
        <v>535</v>
      </c>
      <c r="L2080" s="6" t="n">
        <v>502</v>
      </c>
      <c r="M2080" s="6" t="n">
        <v>629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 · Ferretería Cima</t>
        </is>
      </c>
      <c r="AF2080" s="4" t="inlineStr">
        <is>
          <t>medida: 1/2"</t>
        </is>
      </c>
    </row>
    <row r="2081">
      <c r="A2081" s="3" t="inlineStr">
        <is>
          <t>MAT-32-724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1"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955</v>
      </c>
      <c r="L2081" s="6" t="n">
        <v>399</v>
      </c>
      <c r="M2081" s="6" t="n">
        <v>1073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 · Ferretería Cima</t>
        </is>
      </c>
      <c r="AF2081" s="4" t="inlineStr">
        <is>
          <t>medida: 1"</t>
        </is>
      </c>
    </row>
    <row r="2082">
      <c r="A2082" s="3" t="inlineStr">
        <is>
          <t>MAT-32-725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2"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2864</v>
      </c>
      <c r="L2082" s="6" t="n">
        <v>435</v>
      </c>
      <c r="M2082" s="6" t="n">
        <v>3499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Bellón · Ferretería Cima</t>
        </is>
      </c>
      <c r="AF2082" s="4" t="inlineStr">
        <is>
          <t>medida: 2"</t>
        </is>
      </c>
    </row>
    <row r="2083">
      <c r="A2083" s="3" t="inlineStr">
        <is>
          <t>MAT-32-726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3/4"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2</v>
      </c>
      <c r="K2083" s="6" t="n">
        <v>695</v>
      </c>
      <c r="L2083" s="6" t="n">
        <v>586</v>
      </c>
      <c r="M2083" s="6" t="n">
        <v>975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 · Ferretería Cima</t>
        </is>
      </c>
      <c r="AF2083" s="4" t="inlineStr">
        <is>
          <t>medida: 3/4"</t>
        </is>
      </c>
    </row>
    <row r="2084">
      <c r="A2084" s="3" t="inlineStr">
        <is>
          <t>MAT-32-727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3"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7885</v>
      </c>
      <c r="L2084" s="6" t="n">
        <v>6059</v>
      </c>
      <c r="M2084" s="6" t="n">
        <v>11058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2026-09-10</t>
        </is>
      </c>
      <c r="Q2084" s="4" t="inlineStr">
        <is>
          <t>Bellón</t>
        </is>
      </c>
      <c r="AF2084" s="4" t="inlineStr">
        <is>
          <t>medida: 3"</t>
        </is>
      </c>
    </row>
    <row r="2085">
      <c r="A2085" s="3" t="inlineStr">
        <is>
          <t>MAT-32-728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retención (cheque) 4"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14372</v>
      </c>
      <c r="L2085" s="6" t="n">
        <v>12582</v>
      </c>
      <c r="M2085" s="6" t="n">
        <v>18722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2026-09-10</t>
        </is>
      </c>
      <c r="Q2085" s="4" t="inlineStr">
        <is>
          <t>Bellón</t>
        </is>
      </c>
      <c r="AF2085" s="4" t="inlineStr">
        <is>
          <t>medida: 4"</t>
        </is>
      </c>
    </row>
    <row r="2086">
      <c r="A2086" s="3" t="inlineStr">
        <is>
          <t>MAT-32-729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cisterna con flotante 1/2"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734.5</v>
      </c>
      <c r="L2086" s="6" t="n">
        <v>616</v>
      </c>
      <c r="M2086" s="6" t="n">
        <v>853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1/2"</t>
        </is>
      </c>
    </row>
    <row r="2087">
      <c r="A2087" s="3" t="inlineStr">
        <is>
          <t>MAT-32-730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Válvula de cisterna con flotante 3/4"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943</v>
      </c>
      <c r="L2087" s="6" t="n">
        <v>615</v>
      </c>
      <c r="M2087" s="6" t="n">
        <v>1271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3/4"</t>
        </is>
      </c>
    </row>
    <row r="2088">
      <c r="A2088" s="3" t="inlineStr">
        <is>
          <t>MAT-32-731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 x 10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310</v>
      </c>
      <c r="L2088" s="6" t="n">
        <v>306</v>
      </c>
      <c r="M2088" s="6" t="n">
        <v>685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10 x 10 cm</t>
        </is>
      </c>
    </row>
    <row r="2089">
      <c r="A2089" s="3" t="inlineStr">
        <is>
          <t>MAT-32-732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100 x 100 cm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1173</v>
      </c>
      <c r="L2089" s="6" t="n">
        <v>1173</v>
      </c>
      <c r="M2089" s="6" t="n">
        <v>1173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100 x 100 cm</t>
        </is>
      </c>
    </row>
    <row r="2090">
      <c r="A2090" s="3" t="inlineStr">
        <is>
          <t>MAT-32-733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10"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1196</v>
      </c>
      <c r="L2090" s="6" t="n">
        <v>968</v>
      </c>
      <c r="M2090" s="6" t="n">
        <v>1510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10" · material: acero inoxidable</t>
        </is>
      </c>
    </row>
    <row r="2091">
      <c r="A2091" s="3" t="inlineStr">
        <is>
          <t>MAT-32-734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15 x 15 cm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1233.5</v>
      </c>
      <c r="L2091" s="6" t="n">
        <v>413</v>
      </c>
      <c r="M2091" s="6" t="n">
        <v>2054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15 x 15 cm · material: acero inoxidable</t>
        </is>
      </c>
    </row>
    <row r="2092">
      <c r="A2092" s="3" t="inlineStr">
        <is>
          <t>MAT-32-735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20 x 20 cm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572</v>
      </c>
      <c r="L2092" s="6" t="n">
        <v>572</v>
      </c>
      <c r="M2092" s="6" t="n">
        <v>572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20 x 20 cm</t>
        </is>
      </c>
    </row>
    <row r="2093">
      <c r="A2093" s="3" t="inlineStr">
        <is>
          <t>MAT-32-736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2"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648</v>
      </c>
      <c r="L2093" s="6" t="n">
        <v>199</v>
      </c>
      <c r="M2093" s="6" t="n">
        <v>858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4" t="inlineStr">
        <is>
          <t>medida: 2" · material: aluminio</t>
        </is>
      </c>
    </row>
    <row r="2094">
      <c r="A2094" s="3" t="inlineStr">
        <is>
          <t>MAT-32-737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3 1/2"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384.5</v>
      </c>
      <c r="L2094" s="6" t="n">
        <v>368</v>
      </c>
      <c r="M2094" s="6" t="n">
        <v>401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3 1/2"</t>
        </is>
      </c>
    </row>
    <row r="2095">
      <c r="A2095" s="3" t="inlineStr">
        <is>
          <t>MAT-32-738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3"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460.5</v>
      </c>
      <c r="L2095" s="6" t="n">
        <v>356</v>
      </c>
      <c r="M2095" s="6" t="n">
        <v>565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3" · material: aluminio</t>
        </is>
      </c>
    </row>
    <row r="2096">
      <c r="A2096" s="3" t="inlineStr">
        <is>
          <t>MAT-32-739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4"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481.5</v>
      </c>
      <c r="L2096" s="6" t="n">
        <v>453</v>
      </c>
      <c r="M2096" s="6" t="n">
        <v>510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F2096" s="4" t="inlineStr">
        <is>
          <t>medida: 4" · material: aluminio</t>
        </is>
      </c>
    </row>
    <row r="2097">
      <c r="A2097" s="3" t="inlineStr">
        <is>
          <t>MAT-32-740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6 x 6"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3129</v>
      </c>
      <c r="L2097" s="6" t="n">
        <v>3129</v>
      </c>
      <c r="M2097" s="6" t="n">
        <v>3129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2026-09-10</t>
        </is>
      </c>
      <c r="Q2097" s="4" t="inlineStr">
        <is>
          <t>Ferremix (Grupo Alterra)</t>
        </is>
      </c>
      <c r="AF2097" s="4" t="inlineStr">
        <is>
          <t>medida: 6 x 6"</t>
        </is>
      </c>
    </row>
    <row r="2098">
      <c r="A2098" s="3" t="inlineStr">
        <is>
          <t>MAT-32-741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6"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2403</v>
      </c>
      <c r="L2098" s="6" t="n">
        <v>2403</v>
      </c>
      <c r="M2098" s="6" t="n">
        <v>2403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4" t="inlineStr">
        <is>
          <t>medida: 6" · material: aluminio</t>
        </is>
      </c>
    </row>
    <row r="2099">
      <c r="A2099" s="3" t="inlineStr">
        <is>
          <t>MAT-32-742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Rejilla de piso 80 x 80 cm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865</v>
      </c>
      <c r="L2099" s="6" t="n">
        <v>865</v>
      </c>
      <c r="M2099" s="6" t="n">
        <v>865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F2099" s="4" t="inlineStr">
        <is>
          <t>medida: 80 x 80 cm</t>
        </is>
      </c>
    </row>
    <row r="2100">
      <c r="A2100" s="3" t="inlineStr">
        <is>
          <t>MAT-32-743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metal cromado para desagüe 1 1/4"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1425</v>
      </c>
      <c r="L2100" s="6" t="n">
        <v>1425</v>
      </c>
      <c r="M2100" s="6" t="n">
        <v>1425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desagüe</t>
        </is>
      </c>
      <c r="AF2100" s="4" t="inlineStr">
        <is>
          <t>material: metal cromado · medida: 1 1/4"</t>
        </is>
      </c>
    </row>
    <row r="2101">
      <c r="A2101" s="3" t="inlineStr">
        <is>
          <t>MAT-32-744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desagüe 1 1/2"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501.5</v>
      </c>
      <c r="L2101" s="6" t="n">
        <v>356</v>
      </c>
      <c r="M2101" s="6" t="n">
        <v>647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desagüe</t>
        </is>
      </c>
      <c r="AF2101" s="4" t="inlineStr">
        <is>
          <t>material: PVC · medida: 1 1/2"</t>
        </is>
      </c>
    </row>
    <row r="2102">
      <c r="A2102" s="3" t="inlineStr">
        <is>
          <t>MAT-32-745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desagüe 2"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225</v>
      </c>
      <c r="L2102" s="6" t="n">
        <v>225</v>
      </c>
      <c r="M2102" s="6" t="n">
        <v>225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desagüe</t>
        </is>
      </c>
      <c r="AF2102" s="4" t="inlineStr">
        <is>
          <t>material: PVC · medida: 2"</t>
        </is>
      </c>
    </row>
    <row r="2103">
      <c r="A2103" s="3" t="inlineStr">
        <is>
          <t>MAT-32-746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PVC para fregadero 1 1/2"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475</v>
      </c>
      <c r="L2103" s="6" t="n">
        <v>475</v>
      </c>
      <c r="M2103" s="6" t="n">
        <v>475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fregadero</t>
        </is>
      </c>
      <c r="AF2103" s="4" t="inlineStr">
        <is>
          <t>material: PVC · medida: 1 1/2"</t>
        </is>
      </c>
    </row>
    <row r="2104">
      <c r="A2104" s="3" t="inlineStr">
        <is>
          <t>MAT-32-747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PVC para fregadero 1 1/4"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585</v>
      </c>
      <c r="L2104" s="6" t="n">
        <v>585</v>
      </c>
      <c r="M2104" s="6" t="n">
        <v>585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2026-09-09</t>
        </is>
      </c>
      <c r="Q2104" s="4" t="inlineStr">
        <is>
          <t>Ferretería Cima</t>
        </is>
      </c>
      <c r="AE2104" s="7" t="inlineStr">
        <is>
          <t>fregadero</t>
        </is>
      </c>
      <c r="AF2104" s="4" t="inlineStr">
        <is>
          <t>material: PVC · medida: 1 1/4"</t>
        </is>
      </c>
    </row>
    <row r="2105">
      <c r="A2105" s="3" t="inlineStr">
        <is>
          <t>MAT-32-748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 1/2"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1252</v>
      </c>
      <c r="L2105" s="6" t="n">
        <v>1252</v>
      </c>
      <c r="M2105" s="6" t="n">
        <v>1252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</t>
        </is>
      </c>
      <c r="AE2105" s="7" t="inlineStr">
        <is>
          <t>lavamanos</t>
        </is>
      </c>
      <c r="AF2105" s="4" t="inlineStr">
        <is>
          <t>material: metal · medida: 1 1/2"</t>
        </is>
      </c>
    </row>
    <row r="2106">
      <c r="A2106" s="3" t="inlineStr">
        <is>
          <t>MAT-32-749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metal para lavamanos 1 1/4"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1274</v>
      </c>
      <c r="L2106" s="6" t="n">
        <v>1274</v>
      </c>
      <c r="M2106" s="6" t="n">
        <v>1274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Bellón</t>
        </is>
      </c>
      <c r="AE2106" s="7" t="inlineStr">
        <is>
          <t>lavamanos</t>
        </is>
      </c>
      <c r="AF2106" s="4" t="inlineStr">
        <is>
          <t>material: metal · medida: 1 1/4"</t>
        </is>
      </c>
    </row>
    <row r="2107">
      <c r="A2107" s="3" t="inlineStr">
        <is>
          <t>MAT-32-750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metal para lavamanos 1/4"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925</v>
      </c>
      <c r="L2107" s="6" t="n">
        <v>925</v>
      </c>
      <c r="M2107" s="6" t="n">
        <v>925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2026-09-10</t>
        </is>
      </c>
      <c r="Q2107" s="4" t="inlineStr">
        <is>
          <t>Ferremix (Grupo Alterra)</t>
        </is>
      </c>
      <c r="AE2107" s="7" t="inlineStr">
        <is>
          <t>lavamanos</t>
        </is>
      </c>
      <c r="AF2107" s="4" t="inlineStr">
        <is>
          <t>material: metal · medida: 1/4"</t>
        </is>
      </c>
    </row>
    <row r="2108">
      <c r="A2108" s="3" t="inlineStr">
        <is>
          <t>MAT-32-751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1 1/2"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1</v>
      </c>
      <c r="K2108" s="6" t="n">
        <v>150</v>
      </c>
      <c r="L2108" s="6" t="n">
        <v>70.38</v>
      </c>
      <c r="M2108" s="6" t="n">
        <v>912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Bellón</t>
        </is>
      </c>
      <c r="AE2108" s="7" t="inlineStr">
        <is>
          <t>lavamanos</t>
        </is>
      </c>
      <c r="AF2108" s="4" t="inlineStr">
        <is>
          <t>material: PVC · medida: 1 1/2"</t>
        </is>
      </c>
    </row>
    <row r="2109">
      <c r="A2109" s="3" t="inlineStr">
        <is>
          <t>MAT-32-752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lavamanos 1 1/4"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2</v>
      </c>
      <c r="K2109" s="6" t="n">
        <v>312.5</v>
      </c>
      <c r="L2109" s="6" t="n">
        <v>93.86</v>
      </c>
      <c r="M2109" s="6" t="n">
        <v>345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2026-09-10</t>
        </is>
      </c>
      <c r="Q2109" s="4" t="inlineStr">
        <is>
          <t>Bellón · Ferremix (Grupo Alterra)</t>
        </is>
      </c>
      <c r="AE2109" s="7" t="inlineStr">
        <is>
          <t>lavamanos</t>
        </is>
      </c>
      <c r="AF2109" s="4" t="inlineStr">
        <is>
          <t>material: PVC · medida: 1 1/4"</t>
        </is>
      </c>
    </row>
    <row r="2110">
      <c r="A2110" s="3" t="inlineStr">
        <is>
          <t>MAT-32-753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Sifón de PVC para lavamanos 2"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96.84999999999999</v>
      </c>
      <c r="L2110" s="6" t="n">
        <v>81.5</v>
      </c>
      <c r="M2110" s="6" t="n">
        <v>112.21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2026-09-10</t>
        </is>
      </c>
      <c r="Q2110" s="4" t="inlineStr">
        <is>
          <t>Bellón</t>
        </is>
      </c>
      <c r="AE2110" s="7" t="inlineStr">
        <is>
          <t>lavamanos</t>
        </is>
      </c>
      <c r="AF2110" s="4" t="inlineStr">
        <is>
          <t>material: PVC · medida: 2"</t>
        </is>
      </c>
    </row>
    <row r="2111">
      <c r="A2111" s="3" t="inlineStr">
        <is>
          <t>MAT-32-754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metal para fregadero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1</v>
      </c>
      <c r="K2111" s="6" t="n">
        <v>470</v>
      </c>
      <c r="L2111" s="6" t="n">
        <v>470</v>
      </c>
      <c r="M2111" s="6" t="n">
        <v>470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2026-09-09</t>
        </is>
      </c>
      <c r="Q2111" s="4" t="inlineStr">
        <is>
          <t>Ferretería Cima</t>
        </is>
      </c>
      <c r="AE2111" s="7" t="inlineStr">
        <is>
          <t>fregadero</t>
        </is>
      </c>
      <c r="AF2111" s="4" t="inlineStr">
        <is>
          <t>material: metal</t>
        </is>
      </c>
    </row>
    <row r="2112">
      <c r="A2112" s="3" t="inlineStr">
        <is>
          <t>MAT-32-755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plástico para fregadero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2</v>
      </c>
      <c r="K2112" s="6" t="n">
        <v>563.55</v>
      </c>
      <c r="L2112" s="6" t="n">
        <v>285</v>
      </c>
      <c r="M2112" s="6" t="n">
        <v>842.11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2026-09-10</t>
        </is>
      </c>
      <c r="Q2112" s="4" t="inlineStr">
        <is>
          <t>CerArte · Ferretería Cima</t>
        </is>
      </c>
      <c r="AE2112" s="7" t="inlineStr">
        <is>
          <t>fregadero</t>
        </is>
      </c>
      <c r="AF2112" s="4" t="inlineStr">
        <is>
          <t>material: plástico</t>
        </is>
      </c>
    </row>
    <row r="2113">
      <c r="A2113" s="3" t="inlineStr">
        <is>
          <t>MAT-32-756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metal para lavadero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429</v>
      </c>
      <c r="L2113" s="6" t="n">
        <v>429</v>
      </c>
      <c r="M2113" s="6" t="n">
        <v>429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2026-09-09</t>
        </is>
      </c>
      <c r="Q2113" s="4" t="inlineStr">
        <is>
          <t>Ferretería Cima</t>
        </is>
      </c>
      <c r="AE2113" s="7" t="inlineStr">
        <is>
          <t>lavadero</t>
        </is>
      </c>
      <c r="AF2113" s="4" t="inlineStr">
        <is>
          <t>material: metal</t>
        </is>
      </c>
    </row>
    <row r="2114">
      <c r="A2114" s="3" t="inlineStr">
        <is>
          <t>MAT-32-757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Boquilla de desagüe de metal para lavamanos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2</v>
      </c>
      <c r="K2114" s="6" t="n">
        <v>1145</v>
      </c>
      <c r="L2114" s="6" t="n">
        <v>255</v>
      </c>
      <c r="M2114" s="6" t="n">
        <v>5990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2026-09-10</t>
        </is>
      </c>
      <c r="Q2114" s="4" t="inlineStr">
        <is>
          <t>Ferretería Cima · La Ibérica</t>
        </is>
      </c>
      <c r="AE2114" s="7" t="inlineStr">
        <is>
          <t>lavamanos</t>
        </is>
      </c>
      <c r="AF2114" s="4" t="inlineStr">
        <is>
          <t>material: metal</t>
        </is>
      </c>
    </row>
    <row r="2115">
      <c r="A2115" s="3" t="inlineStr">
        <is>
          <t>MAT-32-758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Boquilla de desagüe de plástico para lavamanos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2</v>
      </c>
      <c r="K2115" s="6" t="n">
        <v>955.51</v>
      </c>
      <c r="L2115" s="6" t="n">
        <v>265.5</v>
      </c>
      <c r="M2115" s="6" t="n">
        <v>5590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2026-09-10</t>
        </is>
      </c>
      <c r="Q2115" s="4" t="inlineStr">
        <is>
          <t>CerArte · La Ibérica</t>
        </is>
      </c>
      <c r="AE2115" s="7" t="inlineStr">
        <is>
          <t>lavamanos</t>
        </is>
      </c>
      <c r="AF2115" s="4" t="inlineStr">
        <is>
          <t>material: plástico</t>
        </is>
      </c>
    </row>
    <row r="2116">
      <c r="A2116" s="3" t="inlineStr">
        <is>
          <t>MAT-32-759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bomba 24"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970</v>
      </c>
      <c r="L2116" s="6" t="n">
        <v>970</v>
      </c>
      <c r="M2116" s="6" t="n">
        <v>970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bomba</t>
        </is>
      </c>
      <c r="AF2116" s="4" t="inlineStr">
        <is>
          <t>medida: 24"</t>
        </is>
      </c>
    </row>
    <row r="2117">
      <c r="A2117" s="3" t="inlineStr">
        <is>
          <t>MAT-32-760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bomba 36"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475</v>
      </c>
      <c r="L2117" s="6" t="n">
        <v>475</v>
      </c>
      <c r="M2117" s="6" t="n">
        <v>475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bomba</t>
        </is>
      </c>
      <c r="AF2117" s="4" t="inlineStr">
        <is>
          <t>medida: 36"</t>
        </is>
      </c>
    </row>
    <row r="2118">
      <c r="A2118" s="3" t="inlineStr">
        <is>
          <t>MAT-32-761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24"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895</v>
      </c>
      <c r="L2118" s="6" t="n">
        <v>895</v>
      </c>
      <c r="M2118" s="6" t="n">
        <v>895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calentador</t>
        </is>
      </c>
      <c r="AF2118" s="4" t="inlineStr">
        <is>
          <t>medida: 24"</t>
        </is>
      </c>
    </row>
    <row r="2119">
      <c r="A2119" s="3" t="inlineStr">
        <is>
          <t>MAT-32-762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3/4" x 1 pulgadas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620</v>
      </c>
      <c r="L2119" s="6" t="n">
        <v>620</v>
      </c>
      <c r="M2119" s="6" t="n">
        <v>620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calentador</t>
        </is>
      </c>
      <c r="AF2119" s="4" t="inlineStr">
        <is>
          <t>medida: 3/4" x 1 pulgadas</t>
        </is>
      </c>
    </row>
    <row r="2120">
      <c r="A2120" s="3" t="inlineStr">
        <is>
          <t>MAT-32-763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calentador 3/4" x 2 pulgadas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878</v>
      </c>
      <c r="L2120" s="6" t="n">
        <v>685</v>
      </c>
      <c r="M2120" s="6" t="n">
        <v>1071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calentador</t>
        </is>
      </c>
      <c r="AF2120" s="4" t="inlineStr">
        <is>
          <t>medida: 3/4" x 2 pulgadas</t>
        </is>
      </c>
    </row>
    <row r="2121">
      <c r="A2121" s="3" t="inlineStr">
        <is>
          <t>MAT-32-764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calentador 60"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1094</v>
      </c>
      <c r="L2121" s="6" t="n">
        <v>1094</v>
      </c>
      <c r="M2121" s="6" t="n">
        <v>1094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calentador</t>
        </is>
      </c>
      <c r="AF2121" s="4" t="inlineStr">
        <is>
          <t>medida: 60"</t>
        </is>
      </c>
    </row>
    <row r="2122">
      <c r="A2122" s="3" t="inlineStr">
        <is>
          <t>MAT-32-765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gas 12"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50</v>
      </c>
      <c r="L2122" s="6" t="n">
        <v>50</v>
      </c>
      <c r="M2122" s="6" t="n">
        <v>50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gas</t>
        </is>
      </c>
      <c r="AF2122" s="4" t="inlineStr">
        <is>
          <t>medida: 12"</t>
        </is>
      </c>
    </row>
    <row r="2123">
      <c r="A2123" s="3" t="inlineStr">
        <is>
          <t>MAT-32-766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gas 18"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65</v>
      </c>
      <c r="L2123" s="6" t="n">
        <v>65</v>
      </c>
      <c r="M2123" s="6" t="n">
        <v>65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gas</t>
        </is>
      </c>
      <c r="AF2123" s="4" t="inlineStr">
        <is>
          <t>medida: 18"</t>
        </is>
      </c>
    </row>
    <row r="2124">
      <c r="A2124" s="3" t="inlineStr">
        <is>
          <t>MAT-32-767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inodoro 16"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250</v>
      </c>
      <c r="L2124" s="6" t="n">
        <v>250</v>
      </c>
      <c r="M2124" s="6" t="n">
        <v>250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inodoro</t>
        </is>
      </c>
      <c r="AF2124" s="4" t="inlineStr">
        <is>
          <t>medida: 16"</t>
        </is>
      </c>
    </row>
    <row r="2125">
      <c r="A2125" s="3" t="inlineStr">
        <is>
          <t>MAT-32-768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1288</v>
      </c>
      <c r="L2125" s="6" t="n">
        <v>535</v>
      </c>
      <c r="M2125" s="6" t="n">
        <v>1940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1/2"</t>
        </is>
      </c>
    </row>
    <row r="2126">
      <c r="A2126" s="3" t="inlineStr">
        <is>
          <t>MAT-32-769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100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1475</v>
      </c>
      <c r="L2126" s="6" t="n">
        <v>1475</v>
      </c>
      <c r="M2126" s="6" t="n">
        <v>1475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1/2" x 100 pies</t>
        </is>
      </c>
    </row>
    <row r="2127">
      <c r="A2127" s="3" t="inlineStr">
        <is>
          <t>MAT-32-770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1/2" x 25 pies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544</v>
      </c>
      <c r="L2127" s="6" t="n">
        <v>544</v>
      </c>
      <c r="M2127" s="6" t="n">
        <v>544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jardín</t>
        </is>
      </c>
      <c r="AF2127" s="4" t="inlineStr">
        <is>
          <t>medida: 1/2" x 25 pies</t>
        </is>
      </c>
    </row>
    <row r="2128">
      <c r="A2128" s="3" t="inlineStr">
        <is>
          <t>MAT-32-771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1/2" x 50 pies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1042</v>
      </c>
      <c r="L2128" s="6" t="n">
        <v>1042</v>
      </c>
      <c r="M2128" s="6" t="n">
        <v>1042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jardín</t>
        </is>
      </c>
      <c r="AF2128" s="4" t="inlineStr">
        <is>
          <t>medida: 1/2" x 50 pies</t>
        </is>
      </c>
    </row>
    <row r="2129">
      <c r="A2129" s="3" t="inlineStr">
        <is>
          <t>MAT-32-772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jardín 5/8"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2397</v>
      </c>
      <c r="L2129" s="6" t="n">
        <v>2054</v>
      </c>
      <c r="M2129" s="6" t="n">
        <v>2741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jardín</t>
        </is>
      </c>
      <c r="AF2129" s="4" t="inlineStr">
        <is>
          <t>medida: 5/8"</t>
        </is>
      </c>
    </row>
    <row r="2130">
      <c r="A2130" s="3" t="inlineStr">
        <is>
          <t>MAT-32-773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jardín 5/8" x 75 pies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1365</v>
      </c>
      <c r="L2130" s="6" t="n">
        <v>1365</v>
      </c>
      <c r="M2130" s="6" t="n">
        <v>1365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jardín</t>
        </is>
      </c>
      <c r="AF2130" s="4" t="inlineStr">
        <is>
          <t>medida: 5/8" x 75 pies</t>
        </is>
      </c>
    </row>
    <row r="2131">
      <c r="A2131" s="3" t="inlineStr">
        <is>
          <t>MAT-32-774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48"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556</v>
      </c>
      <c r="L2131" s="6" t="n">
        <v>556</v>
      </c>
      <c r="M2131" s="6" t="n">
        <v>556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lavadora</t>
        </is>
      </c>
      <c r="AF2131" s="4" t="inlineStr">
        <is>
          <t>medida: 48"</t>
        </is>
      </c>
    </row>
    <row r="2132">
      <c r="A2132" s="3" t="inlineStr">
        <is>
          <t>MAT-32-775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lavadora 60"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410</v>
      </c>
      <c r="L2132" s="6" t="n">
        <v>410</v>
      </c>
      <c r="M2132" s="6" t="n">
        <v>410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lavadora</t>
        </is>
      </c>
      <c r="AF2132" s="4" t="inlineStr">
        <is>
          <t>medida: 60"</t>
        </is>
      </c>
    </row>
    <row r="2133">
      <c r="A2133" s="3" t="inlineStr">
        <is>
          <t>MAT-32-776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lavadora 72"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375</v>
      </c>
      <c r="L2133" s="6" t="n">
        <v>375</v>
      </c>
      <c r="M2133" s="6" t="n">
        <v>375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lavadora</t>
        </is>
      </c>
      <c r="AF2133" s="4" t="inlineStr">
        <is>
          <t>medida: 72"</t>
        </is>
      </c>
    </row>
    <row r="2134">
      <c r="A2134" s="3" t="inlineStr">
        <is>
          <t>MAT-32-777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1/2"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384</v>
      </c>
      <c r="L2134" s="6" t="n">
        <v>295</v>
      </c>
      <c r="M2134" s="6" t="n">
        <v>451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1/2"</t>
        </is>
      </c>
    </row>
    <row r="2135">
      <c r="A2135" s="3" t="inlineStr">
        <is>
          <t>MAT-32-778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16"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265</v>
      </c>
      <c r="L2135" s="6" t="n">
        <v>265</v>
      </c>
      <c r="M2135" s="6" t="n">
        <v>265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16"</t>
        </is>
      </c>
    </row>
    <row r="2136">
      <c r="A2136" s="3" t="inlineStr">
        <is>
          <t>MAT-32-779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20"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325</v>
      </c>
      <c r="L2136" s="6" t="n">
        <v>325</v>
      </c>
      <c r="M2136" s="6" t="n">
        <v>325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20"</t>
        </is>
      </c>
    </row>
    <row r="2137">
      <c r="A2137" s="3" t="inlineStr">
        <is>
          <t>MAT-32-780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22"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425</v>
      </c>
      <c r="L2137" s="6" t="n">
        <v>365</v>
      </c>
      <c r="M2137" s="6" t="n">
        <v>499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22"</t>
        </is>
      </c>
    </row>
    <row r="2138">
      <c r="A2138" s="3" t="inlineStr">
        <is>
          <t>MAT-32-781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24"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279</v>
      </c>
      <c r="L2138" s="6" t="n">
        <v>265</v>
      </c>
      <c r="M2138" s="6" t="n">
        <v>293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24"</t>
        </is>
      </c>
    </row>
    <row r="2139">
      <c r="A2139" s="3" t="inlineStr">
        <is>
          <t>MAT-32-782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3/8"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505</v>
      </c>
      <c r="L2139" s="6" t="n">
        <v>505</v>
      </c>
      <c r="M2139" s="6" t="n">
        <v>505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lavamanos</t>
        </is>
      </c>
      <c r="AF2139" s="4" t="inlineStr">
        <is>
          <t>medida: 3/8"</t>
        </is>
      </c>
    </row>
    <row r="2140">
      <c r="A2140" s="3" t="inlineStr">
        <is>
          <t>MAT-32-783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3/8" x 32 pulgadas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198</v>
      </c>
      <c r="L2140" s="6" t="n">
        <v>198</v>
      </c>
      <c r="M2140" s="6" t="n">
        <v>198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lavamanos</t>
        </is>
      </c>
      <c r="AF2140" s="4" t="inlineStr">
        <is>
          <t>medida: 3/8" x 32 pulgadas</t>
        </is>
      </c>
    </row>
    <row r="2141">
      <c r="A2141" s="3" t="inlineStr">
        <is>
          <t>MAT-32-784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30"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330</v>
      </c>
      <c r="L2141" s="6" t="n">
        <v>330</v>
      </c>
      <c r="M2141" s="6" t="n">
        <v>330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lavamanos</t>
        </is>
      </c>
      <c r="AF2141" s="4" t="inlineStr">
        <is>
          <t>medida: 30"</t>
        </is>
      </c>
    </row>
    <row r="2142">
      <c r="A2142" s="3" t="inlineStr">
        <is>
          <t>MAT-32-785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lavamanos 36"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319</v>
      </c>
      <c r="L2142" s="6" t="n">
        <v>319</v>
      </c>
      <c r="M2142" s="6" t="n">
        <v>319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lavamanos</t>
        </is>
      </c>
      <c r="AF2142" s="4" t="inlineStr">
        <is>
          <t>medida: 36"</t>
        </is>
      </c>
    </row>
    <row r="2143">
      <c r="A2143" s="3" t="inlineStr">
        <is>
          <t>MAT-32-786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mezcladora 3/8" x 20 pulgadas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195</v>
      </c>
      <c r="L2143" s="6" t="n">
        <v>195</v>
      </c>
      <c r="M2143" s="6" t="n">
        <v>195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mezcladora</t>
        </is>
      </c>
      <c r="AF2143" s="4" t="inlineStr">
        <is>
          <t>medida: 3/8" x 20 pulgadas</t>
        </is>
      </c>
    </row>
    <row r="2144">
      <c r="A2144" s="3" t="inlineStr">
        <is>
          <t>MAT-32-787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mezcladora 32"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297</v>
      </c>
      <c r="L2144" s="6" t="n">
        <v>297</v>
      </c>
      <c r="M2144" s="6" t="n">
        <v>297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mezcladora</t>
        </is>
      </c>
      <c r="AF2144" s="4" t="inlineStr">
        <is>
          <t>medida: 32"</t>
        </is>
      </c>
    </row>
    <row r="2145">
      <c r="A2145" s="3" t="inlineStr">
        <is>
          <t>MAT-32-788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0.31"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25</v>
      </c>
      <c r="L2145" s="6" t="n">
        <v>25</v>
      </c>
      <c r="M2145" s="6" t="n">
        <v>25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0.31"</t>
        </is>
      </c>
    </row>
    <row r="2146">
      <c r="A2146" s="3" t="inlineStr">
        <is>
          <t>MAT-32-789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1/2"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43.5</v>
      </c>
      <c r="L2146" s="6" t="n">
        <v>40</v>
      </c>
      <c r="M2146" s="6" t="n">
        <v>47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1/2"</t>
        </is>
      </c>
    </row>
    <row r="2147">
      <c r="A2147" s="3" t="inlineStr">
        <is>
          <t>MAT-32-790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1/4"</t>
        </is>
      </c>
      <c r="E2147" s="4" t="inlineStr"/>
      <c r="F2147" s="3" t="inlineStr">
        <is>
          <t>unidad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35</v>
      </c>
      <c r="L2147" s="6" t="n">
        <v>35</v>
      </c>
      <c r="M2147" s="6" t="n">
        <v>35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E2147" s="7" t="inlineStr">
        <is>
          <t>uso general, transparente</t>
        </is>
      </c>
      <c r="AF2147" s="4" t="inlineStr">
        <is>
          <t>medida: 1/4"</t>
        </is>
      </c>
    </row>
    <row r="2148">
      <c r="A2148" s="3" t="inlineStr">
        <is>
          <t>MAT-32-791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1"</t>
        </is>
      </c>
      <c r="E2148" s="4" t="inlineStr"/>
      <c r="F2148" s="3" t="inlineStr">
        <is>
          <t>unidad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100</v>
      </c>
      <c r="L2148" s="6" t="n">
        <v>100</v>
      </c>
      <c r="M2148" s="6" t="n">
        <v>100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E2148" s="7" t="inlineStr">
        <is>
          <t>uso general, transparente</t>
        </is>
      </c>
      <c r="AF2148" s="4" t="inlineStr">
        <is>
          <t>medida: 1"</t>
        </is>
      </c>
    </row>
    <row r="2149">
      <c r="A2149" s="3" t="inlineStr">
        <is>
          <t>MAT-32-792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uso general, transparente 3/4"</t>
        </is>
      </c>
      <c r="E2149" s="4" t="inlineStr"/>
      <c r="F2149" s="3" t="inlineStr">
        <is>
          <t>unidad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36</v>
      </c>
      <c r="L2149" s="6" t="n">
        <v>36</v>
      </c>
      <c r="M2149" s="6" t="n">
        <v>36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E2149" s="7" t="inlineStr">
        <is>
          <t>uso general, transparente</t>
        </is>
      </c>
      <c r="AF2149" s="4" t="inlineStr">
        <is>
          <t>medida: 3/4"</t>
        </is>
      </c>
    </row>
    <row r="2150">
      <c r="A2150" s="3" t="inlineStr">
        <is>
          <t>MAT-32-793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uso general, transparente 3/8"</t>
        </is>
      </c>
      <c r="E2150" s="4" t="inlineStr"/>
      <c r="F2150" s="3" t="inlineStr">
        <is>
          <t>unidad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32</v>
      </c>
      <c r="L2150" s="6" t="n">
        <v>32</v>
      </c>
      <c r="M2150" s="6" t="n">
        <v>32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E2150" s="7" t="inlineStr">
        <is>
          <t>uso general, transparente</t>
        </is>
      </c>
      <c r="AF2150" s="4" t="inlineStr">
        <is>
          <t>medida: 3/8"</t>
        </is>
      </c>
    </row>
    <row r="2151">
      <c r="A2151" s="3" t="inlineStr">
        <is>
          <t>MAT-32-794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teflón 1"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75</v>
      </c>
      <c r="L2151" s="6" t="n">
        <v>75</v>
      </c>
      <c r="M2151" s="6" t="n">
        <v>75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1"</t>
        </is>
      </c>
    </row>
    <row r="2152">
      <c r="A2152" s="3" t="inlineStr">
        <is>
          <t>MAT-32-795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teflón 3/4"</t>
        </is>
      </c>
      <c r="E2152" s="4" t="inlineStr"/>
      <c r="F2152" s="3" t="inlineStr">
        <is>
          <t>rollo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117.5</v>
      </c>
      <c r="L2152" s="6" t="n">
        <v>60</v>
      </c>
      <c r="M2152" s="6" t="n">
        <v>175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medida: 3/4"</t>
        </is>
      </c>
    </row>
    <row r="2153">
      <c r="A2153" s="3" t="inlineStr">
        <is>
          <t>MAT-32-796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0.19" x 15 pies</t>
        </is>
      </c>
      <c r="E2153" s="4" t="inlineStr"/>
      <c r="F2153" s="3" t="inlineStr">
        <is>
          <t>rollo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304</v>
      </c>
      <c r="L2153" s="6" t="n">
        <v>304</v>
      </c>
      <c r="M2153" s="6" t="n">
        <v>304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medida: 0.19" x 15 pies</t>
        </is>
      </c>
    </row>
    <row r="2154">
      <c r="A2154" s="3" t="inlineStr">
        <is>
          <t>MAT-32-797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Cinta de plomero 1/2" x 50 pies</t>
        </is>
      </c>
      <c r="E2154" s="4" t="inlineStr"/>
      <c r="F2154" s="3" t="inlineStr">
        <is>
          <t>rollo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2525</v>
      </c>
      <c r="L2154" s="6" t="n">
        <v>2525</v>
      </c>
      <c r="M2154" s="6" t="n">
        <v>2525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medida: 1/2" x 50 pies</t>
        </is>
      </c>
    </row>
    <row r="2155">
      <c r="A2155" s="3" t="inlineStr">
        <is>
          <t>MAT-32-798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Cinta de plomero 1/8" x 25 pies</t>
        </is>
      </c>
      <c r="E2155" s="4" t="inlineStr"/>
      <c r="F2155" s="3" t="inlineStr">
        <is>
          <t>rollo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412</v>
      </c>
      <c r="L2155" s="6" t="n">
        <v>412</v>
      </c>
      <c r="M2155" s="6" t="n">
        <v>412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medida: 1/8" x 25 pies</t>
        </is>
      </c>
    </row>
    <row r="2156">
      <c r="A2156" s="3" t="inlineStr">
        <is>
          <t>MAT-32-799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16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979</v>
      </c>
      <c r="L2156" s="6" t="n">
        <v>979</v>
      </c>
      <c r="M2156" s="6" t="n">
        <v>979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16 oz</t>
        </is>
      </c>
    </row>
    <row r="2157">
      <c r="A2157" s="3" t="inlineStr">
        <is>
          <t>MAT-32-800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32 oz</t>
        </is>
      </c>
      <c r="E2157" s="4" t="inlineStr"/>
      <c r="F2157" s="3" t="inlineStr">
        <is>
          <t>envase</t>
        </is>
      </c>
      <c r="G2157" s="3" t="inlineStr">
        <is>
          <t>Instalaciones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1</v>
      </c>
      <c r="K2157" s="6" t="n">
        <v>1765</v>
      </c>
      <c r="L2157" s="6" t="n">
        <v>1765</v>
      </c>
      <c r="M2157" s="6" t="n">
        <v>1765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2026-09-09</t>
        </is>
      </c>
      <c r="Q2157" s="4" t="inlineStr">
        <is>
          <t>Ferretería Cima</t>
        </is>
      </c>
      <c r="AF2157" s="4" t="inlineStr">
        <is>
          <t>presentacion: 32 oz</t>
        </is>
      </c>
    </row>
    <row r="2158">
      <c r="A2158" s="3" t="inlineStr">
        <is>
          <t>MAT-32-801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4 oz</t>
        </is>
      </c>
      <c r="E2158" s="4" t="inlineStr"/>
      <c r="F2158" s="3" t="inlineStr">
        <is>
          <t>envase</t>
        </is>
      </c>
      <c r="G2158" s="3" t="inlineStr">
        <is>
          <t>Instalaciones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1</v>
      </c>
      <c r="K2158" s="6" t="n">
        <v>391.5</v>
      </c>
      <c r="L2158" s="6" t="n">
        <v>335</v>
      </c>
      <c r="M2158" s="6" t="n">
        <v>522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2026-09-09</t>
        </is>
      </c>
      <c r="Q2158" s="4" t="inlineStr">
        <is>
          <t>Ferretería Cima</t>
        </is>
      </c>
      <c r="AF2158" s="4" t="inlineStr">
        <is>
          <t>presentacion: 4 oz</t>
        </is>
      </c>
    </row>
    <row r="2159">
      <c r="A2159" s="3" t="inlineStr">
        <is>
          <t>MAT-32-802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Cemento solvente para PVC, 50 ml</t>
        </is>
      </c>
      <c r="E2159" s="4" t="inlineStr"/>
      <c r="F2159" s="3" t="inlineStr">
        <is>
          <t>envase</t>
        </is>
      </c>
      <c r="G2159" s="3" t="inlineStr">
        <is>
          <t>Instalaciones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1</v>
      </c>
      <c r="K2159" s="6" t="n">
        <v>205</v>
      </c>
      <c r="L2159" s="6" t="n">
        <v>205</v>
      </c>
      <c r="M2159" s="6" t="n">
        <v>205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2026-09-09</t>
        </is>
      </c>
      <c r="Q2159" s="4" t="inlineStr">
        <is>
          <t>Ferretería Cima</t>
        </is>
      </c>
      <c r="AF2159" s="4" t="inlineStr">
        <is>
          <t>presentacion: 50 ml</t>
        </is>
      </c>
    </row>
    <row r="2160">
      <c r="A2160" s="3" t="inlineStr">
        <is>
          <t>MAT-32-803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Cemento solvente para PVC, 8 oz</t>
        </is>
      </c>
      <c r="E2160" s="4" t="inlineStr"/>
      <c r="F2160" s="3" t="inlineStr">
        <is>
          <t>envase</t>
        </is>
      </c>
      <c r="G2160" s="3" t="inlineStr">
        <is>
          <t>Instalaciones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1</v>
      </c>
      <c r="K2160" s="6" t="n">
        <v>520</v>
      </c>
      <c r="L2160" s="6" t="n">
        <v>473</v>
      </c>
      <c r="M2160" s="6" t="n">
        <v>567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2026-09-09</t>
        </is>
      </c>
      <c r="Q2160" s="4" t="inlineStr">
        <is>
          <t>Ferretería Cima</t>
        </is>
      </c>
      <c r="AF2160" s="4" t="inlineStr">
        <is>
          <t>presentacion: 8 oz</t>
        </is>
      </c>
    </row>
    <row r="2161">
      <c r="A2161" s="3" t="inlineStr">
        <is>
          <t>MAT-33-001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mesa</t>
        </is>
      </c>
      <c r="E2161" s="4" t="inlineStr">
        <is>
          <t>Se presupuesta por rango: la pieza se elige por diseño y el catálogo no la compara modelo a modelo</t>
        </is>
      </c>
      <c r="F2161" s="3" t="inlineStr">
        <is>
          <t>unidad</t>
        </is>
      </c>
      <c r="G2161" s="3" t="inlineStr">
        <is>
          <t>Terminación de superficies</t>
        </is>
      </c>
      <c r="H2161" s="3" t="inlineStr">
        <is>
          <t>estandar</t>
        </is>
      </c>
      <c r="I2161" s="3" t="inlineStr">
        <is>
          <t>importado</t>
        </is>
      </c>
      <c r="J2161" s="5" t="n">
        <v>2</v>
      </c>
      <c r="K2161" s="6" t="n">
        <v>4000</v>
      </c>
      <c r="L2161" s="6" t="n">
        <v>1200</v>
      </c>
      <c r="M2161" s="6" t="n">
        <v>29561.63</v>
      </c>
      <c r="N2161" s="3" t="inlineStr">
        <is>
          <t>Sí</t>
        </is>
      </c>
      <c r="O2161" s="6">
        <f>IF(K2161="","",IF(N2161="Sí",ROUND(K2161/1.18,2),K2161))</f>
        <v/>
      </c>
      <c r="P2161" s="3" t="inlineStr">
        <is>
          <t>2026-09-10</t>
        </is>
      </c>
      <c r="Q2161" s="4" t="inlineStr">
        <is>
          <t>Luminatti · Mundo LED</t>
        </is>
      </c>
      <c r="S2161" s="7" t="inlineStr">
        <is>
          <t>mesa</t>
        </is>
      </c>
    </row>
    <row r="2162">
      <c r="A2162" s="3" t="inlineStr">
        <is>
          <t>MAT-33-002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pared</t>
        </is>
      </c>
      <c r="E2162" s="4" t="inlineStr">
        <is>
          <t>Se presupuesta por rango: la pieza se elige por diseño y el catálogo no la compara modelo a modelo</t>
        </is>
      </c>
      <c r="F2162" s="3" t="inlineStr">
        <is>
          <t>unidad</t>
        </is>
      </c>
      <c r="G2162" s="3" t="inlineStr">
        <is>
          <t>Terminación de superficies</t>
        </is>
      </c>
      <c r="H2162" s="3" t="inlineStr">
        <is>
          <t>estandar</t>
        </is>
      </c>
      <c r="I2162" s="3" t="inlineStr">
        <is>
          <t>importado</t>
        </is>
      </c>
      <c r="J2162" s="5" t="n">
        <v>4</v>
      </c>
      <c r="K2162" s="6" t="n">
        <v>3000</v>
      </c>
      <c r="L2162" s="6" t="n">
        <v>500</v>
      </c>
      <c r="M2162" s="6" t="n">
        <v>37040.2</v>
      </c>
      <c r="N2162" s="3" t="inlineStr">
        <is>
          <t>Sí</t>
        </is>
      </c>
      <c r="O2162" s="6">
        <f>IF(K2162="","",IF(N2162="Sí",ROUND(K2162/1.18,2),K2162))</f>
        <v/>
      </c>
      <c r="P2162" s="3" t="inlineStr">
        <is>
          <t>2026-09-11</t>
        </is>
      </c>
      <c r="Q2162" s="4" t="inlineStr">
        <is>
          <t>Carabela · Ilumel · Luminatti · Mundo LED</t>
        </is>
      </c>
      <c r="S2162" s="7" t="inlineStr">
        <is>
          <t>pared</t>
        </is>
      </c>
    </row>
    <row r="2163">
      <c r="A2163" s="3" t="inlineStr">
        <is>
          <t>MAT-33-003</t>
        </is>
      </c>
      <c r="B2163" s="3" t="inlineStr">
        <is>
          <t>Materiales</t>
        </is>
      </c>
      <c r="C2163" s="3" t="inlineStr">
        <is>
          <t>Iluminación decorativa</t>
        </is>
      </c>
      <c r="D2163" s="4" t="inlineStr">
        <is>
          <t>Lámpara decorativa de pie</t>
        </is>
      </c>
      <c r="E2163" s="4" t="inlineStr">
        <is>
          <t>Se presupuesta por rango: la pieza se elige por diseño y el catálogo no la compara modelo a modelo</t>
        </is>
      </c>
      <c r="F2163" s="3" t="inlineStr">
        <is>
          <t>unidad</t>
        </is>
      </c>
      <c r="G2163" s="3" t="inlineStr">
        <is>
          <t>Terminación de superficies</t>
        </is>
      </c>
      <c r="H2163" s="3" t="inlineStr">
        <is>
          <t>estandar</t>
        </is>
      </c>
      <c r="I2163" s="3" t="inlineStr">
        <is>
          <t>importado</t>
        </is>
      </c>
      <c r="J2163" s="5" t="n">
        <v>2</v>
      </c>
      <c r="K2163" s="6" t="n">
        <v>8250</v>
      </c>
      <c r="L2163" s="6" t="n">
        <v>4000</v>
      </c>
      <c r="M2163" s="6" t="n">
        <v>36560.58</v>
      </c>
      <c r="N2163" s="3" t="inlineStr">
        <is>
          <t>Sí</t>
        </is>
      </c>
      <c r="O2163" s="6">
        <f>IF(K2163="","",IF(N2163="Sí",ROUND(K2163/1.18,2),K2163))</f>
        <v/>
      </c>
      <c r="P2163" s="3" t="inlineStr">
        <is>
          <t>2026-09-10</t>
        </is>
      </c>
      <c r="Q2163" s="4" t="inlineStr">
        <is>
          <t>Luminatti · Mundo LED</t>
        </is>
      </c>
      <c r="S2163" s="7" t="inlineStr">
        <is>
          <t>pie</t>
        </is>
      </c>
    </row>
    <row r="2164">
      <c r="A2164" s="3" t="inlineStr">
        <is>
          <t>MAT-33-004</t>
        </is>
      </c>
      <c r="B2164" s="3" t="inlineStr">
        <is>
          <t>Materiales</t>
        </is>
      </c>
      <c r="C2164" s="3" t="inlineStr">
        <is>
          <t>Iluminación decorativa</t>
        </is>
      </c>
      <c r="D2164" s="4" t="inlineStr">
        <is>
          <t>Lámpara decorativa de techo</t>
        </is>
      </c>
      <c r="E2164" s="4" t="inlineStr">
        <is>
          <t>Se presupuesta por rango: la pieza se elige por diseño y el catálogo no la compara modelo a modelo</t>
        </is>
      </c>
      <c r="F2164" s="3" t="inlineStr">
        <is>
          <t>unidad</t>
        </is>
      </c>
      <c r="G2164" s="3" t="inlineStr">
        <is>
          <t>Terminación de superficies</t>
        </is>
      </c>
      <c r="H2164" s="3" t="inlineStr">
        <is>
          <t>estandar</t>
        </is>
      </c>
      <c r="I2164" s="3" t="inlineStr">
        <is>
          <t>importado</t>
        </is>
      </c>
      <c r="J2164" s="5" t="n">
        <v>3</v>
      </c>
      <c r="K2164" s="6" t="n">
        <v>8000</v>
      </c>
      <c r="L2164" s="6" t="n">
        <v>1089</v>
      </c>
      <c r="M2164" s="6" t="n">
        <v>186717.45</v>
      </c>
      <c r="N2164" s="3" t="inlineStr">
        <is>
          <t>Sí</t>
        </is>
      </c>
      <c r="O2164" s="6">
        <f>IF(K2164="","",IF(N2164="Sí",ROUND(K2164/1.18,2),K2164))</f>
        <v/>
      </c>
      <c r="P2164" s="3" t="inlineStr">
        <is>
          <t>2026-09-11</t>
        </is>
      </c>
      <c r="Q2164" s="4" t="inlineStr">
        <is>
          <t>Ilumel · Luminatti · Mundo LED</t>
        </is>
      </c>
      <c r="S2164" s="7" t="inlineStr">
        <is>
          <t>techo</t>
        </is>
      </c>
    </row>
    <row r="2165">
      <c r="A2165" s="3" t="inlineStr">
        <is>
          <t>MAT-34-001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 acústico, 21 mm</t>
        </is>
      </c>
      <c r="E2165" s="4" t="inlineStr"/>
      <c r="F2165" s="3" t="inlineStr">
        <is>
          <t>m²</t>
        </is>
      </c>
      <c r="G2165" s="3" t="inlineStr">
        <is>
          <t>Terminación de superficies</t>
        </is>
      </c>
      <c r="H2165" s="3" t="inlineStr">
        <is>
          <t>estandar</t>
        </is>
      </c>
      <c r="I2165" s="3" t="inlineStr">
        <is>
          <t>importado</t>
        </is>
      </c>
      <c r="J2165" s="5" t="n">
        <v>1</v>
      </c>
      <c r="K2165" s="6" t="n">
        <v>1609.2</v>
      </c>
      <c r="L2165" s="6" t="n">
        <v>1609.2</v>
      </c>
      <c r="M2165" s="6" t="n">
        <v>1609.2</v>
      </c>
      <c r="N2165" s="3" t="inlineStr">
        <is>
          <t>Sí</t>
        </is>
      </c>
      <c r="O2165" s="6">
        <f>IF(K2165="","",IF(N2165="Sí",ROUND(K2165/1.18,2),K2165))</f>
        <v/>
      </c>
      <c r="P2165" s="3" t="inlineStr">
        <is>
          <t>2026-09-10</t>
        </is>
      </c>
      <c r="Q2165" s="4" t="inlineStr">
        <is>
          <t>Hogardeco</t>
        </is>
      </c>
      <c r="AF2165" s="4" t="inlineStr">
        <is>
          <t>material: PVC acústico · espesor_mm: 21</t>
        </is>
      </c>
    </row>
    <row r="2166">
      <c r="A2166" s="3" t="inlineStr">
        <is>
          <t>MAT-34-002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10 mm</t>
        </is>
      </c>
      <c r="E2166" s="4" t="inlineStr"/>
      <c r="F2166" s="3" t="inlineStr">
        <is>
          <t>m²</t>
        </is>
      </c>
      <c r="G2166" s="3" t="inlineStr">
        <is>
          <t>Terminación de superficies</t>
        </is>
      </c>
      <c r="H2166" s="3" t="inlineStr">
        <is>
          <t>estandar</t>
        </is>
      </c>
      <c r="I2166" s="3" t="inlineStr">
        <is>
          <t>importado</t>
        </is>
      </c>
      <c r="J2166" s="5" t="n">
        <v>1</v>
      </c>
      <c r="K2166" s="6" t="n">
        <v>1354.68</v>
      </c>
      <c r="L2166" s="6" t="n">
        <v>1354.68</v>
      </c>
      <c r="M2166" s="6" t="n">
        <v>1354.68</v>
      </c>
      <c r="N2166" s="3" t="inlineStr">
        <is>
          <t>Sí</t>
        </is>
      </c>
      <c r="O2166" s="6">
        <f>IF(K2166="","",IF(N2166="Sí",ROUND(K2166/1.18,2),K2166))</f>
        <v/>
      </c>
      <c r="P2166" s="3" t="inlineStr">
        <is>
          <t>2026-09-10</t>
        </is>
      </c>
      <c r="Q2166" s="4" t="inlineStr">
        <is>
          <t>Hogardeco</t>
        </is>
      </c>
      <c r="AF2166" s="4" t="inlineStr">
        <is>
          <t>material: PVC · espesor_mm: 10</t>
        </is>
      </c>
    </row>
    <row r="2167">
      <c r="A2167" s="3" t="inlineStr">
        <is>
          <t>MAT-34-003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12 mm</t>
        </is>
      </c>
      <c r="E2167" s="4" t="inlineStr"/>
      <c r="F2167" s="3" t="inlineStr">
        <is>
          <t>m²</t>
        </is>
      </c>
      <c r="G2167" s="3" t="inlineStr">
        <is>
          <t>Terminación de superficies</t>
        </is>
      </c>
      <c r="H2167" s="3" t="inlineStr">
        <is>
          <t>estandar</t>
        </is>
      </c>
      <c r="I2167" s="3" t="inlineStr">
        <is>
          <t>importado</t>
        </is>
      </c>
      <c r="J2167" s="5" t="n">
        <v>1</v>
      </c>
      <c r="K2167" s="6" t="n">
        <v>998.1900000000001</v>
      </c>
      <c r="L2167" s="6" t="n">
        <v>998.1900000000001</v>
      </c>
      <c r="M2167" s="6" t="n">
        <v>998.1900000000001</v>
      </c>
      <c r="N2167" s="3" t="inlineStr">
        <is>
          <t>Sí</t>
        </is>
      </c>
      <c r="O2167" s="6">
        <f>IF(K2167="","",IF(N2167="Sí",ROUND(K2167/1.18,2),K2167))</f>
        <v/>
      </c>
      <c r="P2167" s="3" t="inlineStr">
        <is>
          <t>2026-09-10</t>
        </is>
      </c>
      <c r="Q2167" s="4" t="inlineStr">
        <is>
          <t>Hogardeco</t>
        </is>
      </c>
      <c r="AF2167" s="4" t="inlineStr">
        <is>
          <t>material: PVC · espesor_mm: 12</t>
        </is>
      </c>
    </row>
    <row r="2168">
      <c r="A2168" s="3" t="inlineStr">
        <is>
          <t>MAT-34-004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13 mm</t>
        </is>
      </c>
      <c r="E2168" s="4" t="inlineStr"/>
      <c r="F2168" s="3" t="inlineStr">
        <is>
          <t>m²</t>
        </is>
      </c>
      <c r="G2168" s="3" t="inlineStr">
        <is>
          <t>Terminación de superficies</t>
        </is>
      </c>
      <c r="H2168" s="3" t="inlineStr">
        <is>
          <t>estandar</t>
        </is>
      </c>
      <c r="I2168" s="3" t="inlineStr">
        <is>
          <t>importado</t>
        </is>
      </c>
      <c r="J2168" s="5" t="n">
        <v>1</v>
      </c>
      <c r="K2168" s="6" t="n">
        <v>1252.27</v>
      </c>
      <c r="L2168" s="6" t="n">
        <v>1252.27</v>
      </c>
      <c r="M2168" s="6" t="n">
        <v>1252.27</v>
      </c>
      <c r="N2168" s="3" t="inlineStr">
        <is>
          <t>Sí</t>
        </is>
      </c>
      <c r="O2168" s="6">
        <f>IF(K2168="","",IF(N2168="Sí",ROUND(K2168/1.18,2),K2168))</f>
        <v/>
      </c>
      <c r="P2168" s="3" t="inlineStr">
        <is>
          <t>2026-09-10</t>
        </is>
      </c>
      <c r="Q2168" s="4" t="inlineStr">
        <is>
          <t>Hogardeco</t>
        </is>
      </c>
      <c r="AF2168" s="4" t="inlineStr">
        <is>
          <t>material: PVC · espesor_mm: 13</t>
        </is>
      </c>
    </row>
    <row r="2169">
      <c r="A2169" s="3" t="inlineStr">
        <is>
          <t>MAT-34-005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14 mm</t>
        </is>
      </c>
      <c r="E2169" s="4" t="inlineStr"/>
      <c r="F2169" s="3" t="inlineStr">
        <is>
          <t>m²</t>
        </is>
      </c>
      <c r="G2169" s="3" t="inlineStr">
        <is>
          <t>Terminación de superficies</t>
        </is>
      </c>
      <c r="H2169" s="3" t="inlineStr">
        <is>
          <t>estandar</t>
        </is>
      </c>
      <c r="I2169" s="3" t="inlineStr">
        <is>
          <t>importado</t>
        </is>
      </c>
      <c r="J2169" s="5" t="n">
        <v>1</v>
      </c>
      <c r="K2169" s="6" t="n">
        <v>1133</v>
      </c>
      <c r="L2169" s="6" t="n">
        <v>1133</v>
      </c>
      <c r="M2169" s="6" t="n">
        <v>1586.21</v>
      </c>
      <c r="N2169" s="3" t="inlineStr">
        <is>
          <t>Sí</t>
        </is>
      </c>
      <c r="O2169" s="6">
        <f>IF(K2169="","",IF(N2169="Sí",ROUND(K2169/1.18,2),K2169))</f>
        <v/>
      </c>
      <c r="P2169" s="3" t="inlineStr">
        <is>
          <t>2026-09-10</t>
        </is>
      </c>
      <c r="Q2169" s="4" t="inlineStr">
        <is>
          <t>Hogardeco</t>
        </is>
      </c>
      <c r="AF2169" s="4" t="inlineStr">
        <is>
          <t>material: PVC · espesor_mm: 14</t>
        </is>
      </c>
    </row>
    <row r="2170">
      <c r="A2170" s="3" t="inlineStr">
        <is>
          <t>MAT-34-006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15 mm</t>
        </is>
      </c>
      <c r="E2170" s="4" t="inlineStr"/>
      <c r="F2170" s="3" t="inlineStr">
        <is>
          <t>m²</t>
        </is>
      </c>
      <c r="G2170" s="3" t="inlineStr">
        <is>
          <t>Terminación de superficies</t>
        </is>
      </c>
      <c r="H2170" s="3" t="inlineStr">
        <is>
          <t>estandar</t>
        </is>
      </c>
      <c r="I2170" s="3" t="inlineStr">
        <is>
          <t>importado</t>
        </is>
      </c>
      <c r="J2170" s="5" t="n">
        <v>1</v>
      </c>
      <c r="K2170" s="6" t="n">
        <v>1586.21</v>
      </c>
      <c r="L2170" s="6" t="n">
        <v>1252.27</v>
      </c>
      <c r="M2170" s="6" t="n">
        <v>1586.21</v>
      </c>
      <c r="N2170" s="3" t="inlineStr">
        <is>
          <t>Sí</t>
        </is>
      </c>
      <c r="O2170" s="6">
        <f>IF(K2170="","",IF(N2170="Sí",ROUND(K2170/1.18,2),K2170))</f>
        <v/>
      </c>
      <c r="P2170" s="3" t="inlineStr">
        <is>
          <t>2026-09-10</t>
        </is>
      </c>
      <c r="Q2170" s="4" t="inlineStr">
        <is>
          <t>Hogardeco</t>
        </is>
      </c>
      <c r="AF2170" s="4" t="inlineStr">
        <is>
          <t>material: PVC · espesor_mm: 15</t>
        </is>
      </c>
    </row>
    <row r="2171">
      <c r="A2171" s="3" t="inlineStr">
        <is>
          <t>MAT-34-007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20 mm</t>
        </is>
      </c>
      <c r="E2171" s="4" t="inlineStr"/>
      <c r="F2171" s="3" t="inlineStr">
        <is>
          <t>m²</t>
        </is>
      </c>
      <c r="G2171" s="3" t="inlineStr">
        <is>
          <t>Terminación de superficies</t>
        </is>
      </c>
      <c r="H2171" s="3" t="inlineStr">
        <is>
          <t>estandar</t>
        </is>
      </c>
      <c r="I2171" s="3" t="inlineStr">
        <is>
          <t>importado</t>
        </is>
      </c>
      <c r="J2171" s="5" t="n">
        <v>1</v>
      </c>
      <c r="K2171" s="6" t="n">
        <v>1487.07</v>
      </c>
      <c r="L2171" s="6" t="n">
        <v>1487.07</v>
      </c>
      <c r="M2171" s="6" t="n">
        <v>1487.07</v>
      </c>
      <c r="N2171" s="3" t="inlineStr">
        <is>
          <t>Sí</t>
        </is>
      </c>
      <c r="O2171" s="6">
        <f>IF(K2171="","",IF(N2171="Sí",ROUND(K2171/1.18,2),K2171))</f>
        <v/>
      </c>
      <c r="P2171" s="3" t="inlineStr">
        <is>
          <t>2026-09-10</t>
        </is>
      </c>
      <c r="Q2171" s="4" t="inlineStr">
        <is>
          <t>Hogardeco</t>
        </is>
      </c>
      <c r="AF2171" s="4" t="inlineStr">
        <is>
          <t>material: PVC · espesor_mm: 20</t>
        </is>
      </c>
    </row>
    <row r="2172">
      <c r="A2172" s="3" t="inlineStr">
        <is>
          <t>MAT-34-008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PVC, 24 mm</t>
        </is>
      </c>
      <c r="E2172" s="4" t="inlineStr"/>
      <c r="F2172" s="3" t="inlineStr">
        <is>
          <t>m²</t>
        </is>
      </c>
      <c r="G2172" s="3" t="inlineStr">
        <is>
          <t>Terminación de superficies</t>
        </is>
      </c>
      <c r="H2172" s="3" t="inlineStr">
        <is>
          <t>estandar</t>
        </is>
      </c>
      <c r="I2172" s="3" t="inlineStr">
        <is>
          <t>importado</t>
        </is>
      </c>
      <c r="J2172" s="5" t="n">
        <v>1</v>
      </c>
      <c r="K2172" s="6" t="n">
        <v>1487.07</v>
      </c>
      <c r="L2172" s="6" t="n">
        <v>1487.07</v>
      </c>
      <c r="M2172" s="6" t="n">
        <v>1487.07</v>
      </c>
      <c r="N2172" s="3" t="inlineStr">
        <is>
          <t>Sí</t>
        </is>
      </c>
      <c r="O2172" s="6">
        <f>IF(K2172="","",IF(N2172="Sí",ROUND(K2172/1.18,2),K2172))</f>
        <v/>
      </c>
      <c r="P2172" s="3" t="inlineStr">
        <is>
          <t>2026-09-10</t>
        </is>
      </c>
      <c r="Q2172" s="4" t="inlineStr">
        <is>
          <t>Hogardeco</t>
        </is>
      </c>
      <c r="AF2172" s="4" t="inlineStr">
        <is>
          <t>material: PVC · espesor_mm: 24</t>
        </is>
      </c>
    </row>
    <row r="2173">
      <c r="A2173" s="3" t="inlineStr">
        <is>
          <t>MAT-34-009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WPC, 13 mm</t>
        </is>
      </c>
      <c r="E2173" s="4" t="inlineStr"/>
      <c r="F2173" s="3" t="inlineStr">
        <is>
          <t>m²</t>
        </is>
      </c>
      <c r="G2173" s="3" t="inlineStr">
        <is>
          <t>Terminación de superficies</t>
        </is>
      </c>
      <c r="H2173" s="3" t="inlineStr">
        <is>
          <t>estandar</t>
        </is>
      </c>
      <c r="I2173" s="3" t="inlineStr">
        <is>
          <t>importado</t>
        </is>
      </c>
      <c r="J2173" s="5" t="n">
        <v>1</v>
      </c>
      <c r="K2173" s="6" t="n">
        <v>3266.79</v>
      </c>
      <c r="L2173" s="6" t="n">
        <v>3266.79</v>
      </c>
      <c r="M2173" s="6" t="n">
        <v>3266.79</v>
      </c>
      <c r="N2173" s="3" t="inlineStr">
        <is>
          <t>Sí</t>
        </is>
      </c>
      <c r="O2173" s="6">
        <f>IF(K2173="","",IF(N2173="Sí",ROUND(K2173/1.18,2),K2173))</f>
        <v/>
      </c>
      <c r="P2173" s="3" t="inlineStr">
        <is>
          <t>2026-09-10</t>
        </is>
      </c>
      <c r="Q2173" s="4" t="inlineStr">
        <is>
          <t>Hogardeco</t>
        </is>
      </c>
      <c r="AF2173" s="4" t="inlineStr">
        <is>
          <t>material: WPC · espesor_mm: 13</t>
        </is>
      </c>
    </row>
    <row r="2174">
      <c r="A2174" s="3" t="inlineStr">
        <is>
          <t>MAT-34-010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Panel de pared de WPC, 26 mm</t>
        </is>
      </c>
      <c r="E2174" s="4" t="inlineStr"/>
      <c r="F2174" s="3" t="inlineStr">
        <is>
          <t>m²</t>
        </is>
      </c>
      <c r="G2174" s="3" t="inlineStr">
        <is>
          <t>Terminación de superficies</t>
        </is>
      </c>
      <c r="H2174" s="3" t="inlineStr">
        <is>
          <t>estandar</t>
        </is>
      </c>
      <c r="I2174" s="3" t="inlineStr">
        <is>
          <t>importado</t>
        </is>
      </c>
      <c r="J2174" s="5" t="n">
        <v>1</v>
      </c>
      <c r="K2174" s="6" t="n">
        <v>2955.67</v>
      </c>
      <c r="L2174" s="6" t="n">
        <v>2955.67</v>
      </c>
      <c r="M2174" s="6" t="n">
        <v>2955.67</v>
      </c>
      <c r="N2174" s="3" t="inlineStr">
        <is>
          <t>Sí</t>
        </is>
      </c>
      <c r="O2174" s="6">
        <f>IF(K2174="","",IF(N2174="Sí",ROUND(K2174/1.18,2),K2174))</f>
        <v/>
      </c>
      <c r="P2174" s="3" t="inlineStr">
        <is>
          <t>2026-09-10</t>
        </is>
      </c>
      <c r="Q2174" s="4" t="inlineStr">
        <is>
          <t>Hogardeco</t>
        </is>
      </c>
      <c r="AF2174" s="4" t="inlineStr">
        <is>
          <t>material: WPC · espesor_mm: 26</t>
        </is>
      </c>
    </row>
    <row r="2175">
      <c r="A2175" s="3" t="inlineStr">
        <is>
          <t>MAT-34-011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bambú, 8 mm</t>
        </is>
      </c>
      <c r="E2175" s="4" t="inlineStr">
        <is>
          <t>Formato de 1.22 m de ancho</t>
        </is>
      </c>
      <c r="F2175" s="3" t="inlineStr">
        <is>
          <t>m²</t>
        </is>
      </c>
      <c r="G2175" s="3" t="inlineStr">
        <is>
          <t>Terminación de superficies</t>
        </is>
      </c>
      <c r="H2175" s="3" t="inlineStr">
        <is>
          <t>estandar</t>
        </is>
      </c>
      <c r="I2175" s="3" t="inlineStr">
        <is>
          <t>importado</t>
        </is>
      </c>
      <c r="J2175" s="5" t="n">
        <v>1</v>
      </c>
      <c r="K2175" s="6" t="n">
        <v>791.41</v>
      </c>
      <c r="L2175" s="6" t="n">
        <v>791.41</v>
      </c>
      <c r="M2175" s="6" t="n">
        <v>791.41</v>
      </c>
      <c r="N2175" s="3" t="inlineStr">
        <is>
          <t>Sí</t>
        </is>
      </c>
      <c r="O2175" s="6">
        <f>IF(K2175="","",IF(N2175="Sí",ROUND(K2175/1.18,2),K2175))</f>
        <v/>
      </c>
      <c r="P2175" s="3" t="inlineStr">
        <is>
          <t>2026-09-10</t>
        </is>
      </c>
      <c r="Q2175" s="4" t="inlineStr">
        <is>
          <t>Hogardeco</t>
        </is>
      </c>
      <c r="AF2175" s="4" t="inlineStr">
        <is>
          <t>material: bambú · espesor_mm: 8</t>
        </is>
      </c>
    </row>
    <row r="2176">
      <c r="A2176" s="3" t="inlineStr">
        <is>
          <t>MAT-34-012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mármol, 3 mm</t>
        </is>
      </c>
      <c r="E2176" s="4" t="inlineStr">
        <is>
          <t>Formato de 1.22 m de ancho</t>
        </is>
      </c>
      <c r="F2176" s="3" t="inlineStr">
        <is>
          <t>m²</t>
        </is>
      </c>
      <c r="G2176" s="3" t="inlineStr">
        <is>
          <t>Terminación de superficies</t>
        </is>
      </c>
      <c r="H2176" s="3" t="inlineStr">
        <is>
          <t>estandar</t>
        </is>
      </c>
      <c r="I2176" s="3" t="inlineStr">
        <is>
          <t>importado</t>
        </is>
      </c>
      <c r="J2176" s="5" t="n">
        <v>1</v>
      </c>
      <c r="K2176" s="6" t="n">
        <v>650.08</v>
      </c>
      <c r="L2176" s="6" t="n">
        <v>650.08</v>
      </c>
      <c r="M2176" s="6" t="n">
        <v>772.64</v>
      </c>
      <c r="N2176" s="3" t="inlineStr">
        <is>
          <t>Sí</t>
        </is>
      </c>
      <c r="O2176" s="6">
        <f>IF(K2176="","",IF(N2176="Sí",ROUND(K2176/1.18,2),K2176))</f>
        <v/>
      </c>
      <c r="P2176" s="3" t="inlineStr">
        <is>
          <t>2026-09-10</t>
        </is>
      </c>
      <c r="Q2176" s="4" t="inlineStr">
        <is>
          <t>Hogardeco</t>
        </is>
      </c>
      <c r="AF2176" s="4" t="inlineStr">
        <is>
          <t>material: mármol · espesor_mm: 3</t>
        </is>
      </c>
    </row>
    <row r="2177">
      <c r="A2177" s="3" t="inlineStr">
        <is>
          <t>MAT-34-013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ónix, 6 mm</t>
        </is>
      </c>
      <c r="E2177" s="4" t="inlineStr">
        <is>
          <t>Formato de 1.22 m de ancho</t>
        </is>
      </c>
      <c r="F2177" s="3" t="inlineStr">
        <is>
          <t>m²</t>
        </is>
      </c>
      <c r="G2177" s="3" t="inlineStr">
        <is>
          <t>Terminación de superficies</t>
        </is>
      </c>
      <c r="H2177" s="3" t="inlineStr">
        <is>
          <t>estandar</t>
        </is>
      </c>
      <c r="I2177" s="3" t="inlineStr">
        <is>
          <t>importado</t>
        </is>
      </c>
      <c r="J2177" s="5" t="n">
        <v>1</v>
      </c>
      <c r="K2177" s="6" t="n">
        <v>3512.88</v>
      </c>
      <c r="L2177" s="6" t="n">
        <v>1463.7</v>
      </c>
      <c r="M2177" s="6" t="n">
        <v>4391.1</v>
      </c>
      <c r="N2177" s="3" t="inlineStr">
        <is>
          <t>Sí</t>
        </is>
      </c>
      <c r="O2177" s="6">
        <f>IF(K2177="","",IF(N2177="Sí",ROUND(K2177/1.18,2),K2177))</f>
        <v/>
      </c>
      <c r="P2177" s="3" t="inlineStr">
        <is>
          <t>2026-09-10</t>
        </is>
      </c>
      <c r="Q2177" s="4" t="inlineStr">
        <is>
          <t>Hogardeco</t>
        </is>
      </c>
      <c r="AF2177" s="4" t="inlineStr">
        <is>
          <t>material: ónix · espesor_mm: 6</t>
        </is>
      </c>
    </row>
    <row r="2178">
      <c r="A2178" s="3" t="inlineStr">
        <is>
          <t>MAT-34-014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Plancha decorativa de poliuretano, 8 mm</t>
        </is>
      </c>
      <c r="E2178" s="4" t="inlineStr">
        <is>
          <t>Formato de 1.22 m de ancho</t>
        </is>
      </c>
      <c r="F2178" s="3" t="inlineStr">
        <is>
          <t>m²</t>
        </is>
      </c>
      <c r="G2178" s="3" t="inlineStr">
        <is>
          <t>Terminación de superficies</t>
        </is>
      </c>
      <c r="H2178" s="3" t="inlineStr">
        <is>
          <t>estandar</t>
        </is>
      </c>
      <c r="I2178" s="3" t="inlineStr">
        <is>
          <t>importado</t>
        </is>
      </c>
      <c r="J2178" s="5" t="n">
        <v>1</v>
      </c>
      <c r="K2178" s="6" t="n">
        <v>791.41</v>
      </c>
      <c r="L2178" s="6" t="n">
        <v>791.41</v>
      </c>
      <c r="M2178" s="6" t="n">
        <v>791.41</v>
      </c>
      <c r="N2178" s="3" t="inlineStr">
        <is>
          <t>Sí</t>
        </is>
      </c>
      <c r="O2178" s="6">
        <f>IF(K2178="","",IF(N2178="Sí",ROUND(K2178/1.18,2),K2178))</f>
        <v/>
      </c>
      <c r="P2178" s="3" t="inlineStr">
        <is>
          <t>2026-09-10</t>
        </is>
      </c>
      <c r="Q2178" s="4" t="inlineStr">
        <is>
          <t>Hogardeco</t>
        </is>
      </c>
      <c r="AF2178" s="4" t="inlineStr">
        <is>
          <t>material: poliuretano · espesor_mm: 8</t>
        </is>
      </c>
    </row>
    <row r="2179">
      <c r="A2179" s="3" t="inlineStr">
        <is>
          <t>MAT-34-015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Plancha decorativa de PVC, 9 mm</t>
        </is>
      </c>
      <c r="E2179" s="4" t="inlineStr">
        <is>
          <t>Formato de 1.22 m de ancho</t>
        </is>
      </c>
      <c r="F2179" s="3" t="inlineStr">
        <is>
          <t>m²</t>
        </is>
      </c>
      <c r="G2179" s="3" t="inlineStr">
        <is>
          <t>Terminación de superficies</t>
        </is>
      </c>
      <c r="H2179" s="3" t="inlineStr">
        <is>
          <t>estandar</t>
        </is>
      </c>
      <c r="I2179" s="3" t="inlineStr">
        <is>
          <t>importado</t>
        </is>
      </c>
      <c r="J2179" s="5" t="n">
        <v>1</v>
      </c>
      <c r="K2179" s="6" t="n">
        <v>1379.31</v>
      </c>
      <c r="L2179" s="6" t="n">
        <v>1379.31</v>
      </c>
      <c r="M2179" s="6" t="n">
        <v>1379.31</v>
      </c>
      <c r="N2179" s="3" t="inlineStr">
        <is>
          <t>Sí</t>
        </is>
      </c>
      <c r="O2179" s="6">
        <f>IF(K2179="","",IF(N2179="Sí",ROUND(K2179/1.18,2),K2179))</f>
        <v/>
      </c>
      <c r="P2179" s="3" t="inlineStr">
        <is>
          <t>2026-09-10</t>
        </is>
      </c>
      <c r="Q2179" s="4" t="inlineStr">
        <is>
          <t>Hogardeco</t>
        </is>
      </c>
      <c r="AF2179" s="4" t="inlineStr">
        <is>
          <t>material: PVC · espesor_mm: 9</t>
        </is>
      </c>
    </row>
    <row r="2180">
      <c r="A2180" s="3" t="inlineStr">
        <is>
          <t>MAT-34-016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Papel tapiz</t>
        </is>
      </c>
      <c r="E2180" s="4" t="inlineStr">
        <is>
          <t>Se presupuesta por rango: el rollo se elige por diseño y el catálogo no lo compara modelo a modelo</t>
        </is>
      </c>
      <c r="F2180" s="3" t="inlineStr">
        <is>
          <t>m²</t>
        </is>
      </c>
      <c r="G2180" s="3" t="inlineStr">
        <is>
          <t>Terminación de superficies</t>
        </is>
      </c>
      <c r="H2180" s="3" t="inlineStr">
        <is>
          <t>estandar</t>
        </is>
      </c>
      <c r="I2180" s="3" t="inlineStr">
        <is>
          <t>importado</t>
        </is>
      </c>
      <c r="J2180" s="5" t="n">
        <v>3</v>
      </c>
      <c r="K2180" s="6" t="n">
        <v>1051.59</v>
      </c>
      <c r="L2180" s="6" t="n">
        <v>310</v>
      </c>
      <c r="M2180" s="6" t="n">
        <v>3055.16</v>
      </c>
      <c r="N2180" s="3" t="inlineStr">
        <is>
          <t>Sí</t>
        </is>
      </c>
      <c r="O2180" s="6">
        <f>IF(K2180="","",IF(N2180="Sí",ROUND(K2180/1.18,2),K2180))</f>
        <v/>
      </c>
      <c r="P2180" s="3" t="inlineStr">
        <is>
          <t>2026-09-11</t>
        </is>
      </c>
      <c r="Q2180" s="4" t="inlineStr">
        <is>
          <t>Cortinaje · DCO · Hogardeco</t>
        </is>
      </c>
    </row>
    <row r="2181">
      <c r="A2181" s="3" t="inlineStr">
        <is>
          <t>MAT-34-017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Revestimiento flexible de piedra, de interior</t>
        </is>
      </c>
      <c r="E2181" s="4" t="inlineStr">
        <is>
          <t>Lámina flexible que sigue la curva del muro</t>
        </is>
      </c>
      <c r="F2181" s="3" t="inlineStr">
        <is>
          <t>m²</t>
        </is>
      </c>
      <c r="G2181" s="3" t="inlineStr">
        <is>
          <t>Terminación de superficies</t>
        </is>
      </c>
      <c r="H2181" s="3" t="inlineStr">
        <is>
          <t>estandar</t>
        </is>
      </c>
      <c r="I2181" s="3" t="inlineStr">
        <is>
          <t>importado</t>
        </is>
      </c>
      <c r="J2181" s="5" t="n">
        <v>1</v>
      </c>
      <c r="K2181" s="6" t="n">
        <v>2013.89</v>
      </c>
      <c r="L2181" s="6" t="n">
        <v>937.5</v>
      </c>
      <c r="M2181" s="6" t="n">
        <v>2708.33</v>
      </c>
      <c r="N2181" s="3" t="inlineStr">
        <is>
          <t>Sí</t>
        </is>
      </c>
      <c r="O2181" s="6">
        <f>IF(K2181="","",IF(N2181="Sí",ROUND(K2181/1.18,2),K2181))</f>
        <v/>
      </c>
      <c r="P2181" s="3" t="inlineStr">
        <is>
          <t>2026-09-10</t>
        </is>
      </c>
      <c r="Q2181" s="4" t="inlineStr">
        <is>
          <t>Hogardeco</t>
        </is>
      </c>
      <c r="AE2181" s="7" t="inlineStr">
        <is>
          <t>interior</t>
        </is>
      </c>
    </row>
    <row r="2182">
      <c r="A2182" s="3" t="inlineStr">
        <is>
          <t>MAT-34-018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Mosaico decorativo de madera</t>
        </is>
      </c>
      <c r="E2182" s="4" t="inlineStr"/>
      <c r="F2182" s="3" t="inlineStr">
        <is>
          <t>m²</t>
        </is>
      </c>
      <c r="G2182" s="3" t="inlineStr">
        <is>
          <t>Terminación de superficies</t>
        </is>
      </c>
      <c r="H2182" s="3" t="inlineStr">
        <is>
          <t>estandar</t>
        </is>
      </c>
      <c r="I2182" s="3" t="inlineStr">
        <is>
          <t>importado</t>
        </is>
      </c>
      <c r="J2182" s="5" t="n">
        <v>1</v>
      </c>
      <c r="K2182" s="6" t="n">
        <v>9444.440000000001</v>
      </c>
      <c r="L2182" s="6" t="n">
        <v>4714.29</v>
      </c>
      <c r="M2182" s="6" t="n">
        <v>11666.67</v>
      </c>
      <c r="N2182" s="3" t="inlineStr">
        <is>
          <t>Sí</t>
        </is>
      </c>
      <c r="O2182" s="6">
        <f>IF(K2182="","",IF(N2182="Sí",ROUND(K2182/1.18,2),K2182))</f>
        <v/>
      </c>
      <c r="P2182" s="3" t="inlineStr">
        <is>
          <t>2026-09-10</t>
        </is>
      </c>
      <c r="Q2182" s="4" t="inlineStr">
        <is>
          <t>Hogardeco</t>
        </is>
      </c>
      <c r="AF2182" s="4" t="inlineStr">
        <is>
          <t>material: madera</t>
        </is>
      </c>
    </row>
    <row r="2183">
      <c r="A2183" s="3" t="inlineStr">
        <is>
          <t>MAT-34-019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Mosaico decorativo de mármol</t>
        </is>
      </c>
      <c r="E2183" s="4" t="inlineStr"/>
      <c r="F2183" s="3" t="inlineStr">
        <is>
          <t>m²</t>
        </is>
      </c>
      <c r="G2183" s="3" t="inlineStr">
        <is>
          <t>Terminación de superficies</t>
        </is>
      </c>
      <c r="H2183" s="3" t="inlineStr">
        <is>
          <t>estandar</t>
        </is>
      </c>
      <c r="I2183" s="3" t="inlineStr">
        <is>
          <t>importado</t>
        </is>
      </c>
      <c r="J2183" s="5" t="n">
        <v>1</v>
      </c>
      <c r="K2183" s="6" t="n">
        <v>10337.55</v>
      </c>
      <c r="L2183" s="6" t="n">
        <v>4166.67</v>
      </c>
      <c r="M2183" s="6" t="n">
        <v>14518.76</v>
      </c>
      <c r="N2183" s="3" t="inlineStr">
        <is>
          <t>Sí</t>
        </is>
      </c>
      <c r="O2183" s="6">
        <f>IF(K2183="","",IF(N2183="Sí",ROUND(K2183/1.18,2),K2183))</f>
        <v/>
      </c>
      <c r="P2183" s="3" t="inlineStr">
        <is>
          <t>2026-09-10</t>
        </is>
      </c>
      <c r="Q2183" s="4" t="inlineStr">
        <is>
          <t>Hogardeco</t>
        </is>
      </c>
      <c r="AF2183" s="4" t="inlineStr">
        <is>
          <t>material: mármol</t>
        </is>
      </c>
    </row>
    <row r="2184">
      <c r="A2184" s="3" t="inlineStr">
        <is>
          <t>MAT-34-020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Mosaico decorativo de piedra</t>
        </is>
      </c>
      <c r="E2184" s="4" t="inlineStr"/>
      <c r="F2184" s="3" t="inlineStr">
        <is>
          <t>m²</t>
        </is>
      </c>
      <c r="G2184" s="3" t="inlineStr">
        <is>
          <t>Terminación de superficies</t>
        </is>
      </c>
      <c r="H2184" s="3" t="inlineStr">
        <is>
          <t>estandar</t>
        </is>
      </c>
      <c r="I2184" s="3" t="inlineStr">
        <is>
          <t>importado</t>
        </is>
      </c>
      <c r="J2184" s="5" t="n">
        <v>1</v>
      </c>
      <c r="K2184" s="6" t="n">
        <v>8489.209999999999</v>
      </c>
      <c r="L2184" s="6" t="n">
        <v>6111.11</v>
      </c>
      <c r="M2184" s="6" t="n">
        <v>13888.89</v>
      </c>
      <c r="N2184" s="3" t="inlineStr">
        <is>
          <t>Sí</t>
        </is>
      </c>
      <c r="O2184" s="6">
        <f>IF(K2184="","",IF(N2184="Sí",ROUND(K2184/1.18,2),K2184))</f>
        <v/>
      </c>
      <c r="P2184" s="3" t="inlineStr">
        <is>
          <t>2026-09-10</t>
        </is>
      </c>
      <c r="Q2184" s="4" t="inlineStr">
        <is>
          <t>Hogardeco</t>
        </is>
      </c>
      <c r="AF2184" s="4" t="inlineStr">
        <is>
          <t>material: piedra</t>
        </is>
      </c>
    </row>
    <row r="2185">
      <c r="A2185" s="3" t="inlineStr">
        <is>
          <t>MAT-34-021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Pieza 3D de pared de cuero</t>
        </is>
      </c>
      <c r="E2185" s="4" t="inlineStr"/>
      <c r="F2185" s="3" t="inlineStr">
        <is>
          <t>m²</t>
        </is>
      </c>
      <c r="G2185" s="3" t="inlineStr">
        <is>
          <t>Terminación de superficies</t>
        </is>
      </c>
      <c r="H2185" s="3" t="inlineStr">
        <is>
          <t>estandar</t>
        </is>
      </c>
      <c r="I2185" s="3" t="inlineStr">
        <is>
          <t>importado</t>
        </is>
      </c>
      <c r="J2185" s="5" t="n">
        <v>1</v>
      </c>
      <c r="K2185" s="6" t="n">
        <v>4669.54</v>
      </c>
      <c r="L2185" s="6" t="n">
        <v>3277.78</v>
      </c>
      <c r="M2185" s="6" t="n">
        <v>6357.76</v>
      </c>
      <c r="N2185" s="3" t="inlineStr">
        <is>
          <t>Sí</t>
        </is>
      </c>
      <c r="O2185" s="6">
        <f>IF(K2185="","",IF(N2185="Sí",ROUND(K2185/1.18,2),K2185))</f>
        <v/>
      </c>
      <c r="P2185" s="3" t="inlineStr">
        <is>
          <t>2026-09-10</t>
        </is>
      </c>
      <c r="Q2185" s="4" t="inlineStr">
        <is>
          <t>Hogardeco</t>
        </is>
      </c>
      <c r="AF2185" s="4" t="inlineStr">
        <is>
          <t>material: cuero</t>
        </is>
      </c>
    </row>
    <row r="2186">
      <c r="A2186" s="3" t="inlineStr">
        <is>
          <t>MAT-34-022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Malla decorativa de ratán</t>
        </is>
      </c>
      <c r="E2186" s="4" t="inlineStr"/>
      <c r="F2186" s="3" t="inlineStr">
        <is>
          <t>m²</t>
        </is>
      </c>
      <c r="G2186" s="3" t="inlineStr">
        <is>
          <t>Terminación de superficies</t>
        </is>
      </c>
      <c r="H2186" s="3" t="inlineStr">
        <is>
          <t>estandar</t>
        </is>
      </c>
      <c r="I2186" s="3" t="inlineStr">
        <is>
          <t>importado</t>
        </is>
      </c>
      <c r="J2186" s="5" t="n">
        <v>1</v>
      </c>
      <c r="K2186" s="6" t="n">
        <v>1247.69</v>
      </c>
      <c r="L2186" s="6" t="n">
        <v>1247.69</v>
      </c>
      <c r="M2186" s="6" t="n">
        <v>1247.69</v>
      </c>
      <c r="N2186" s="3" t="inlineStr">
        <is>
          <t>Sí</t>
        </is>
      </c>
      <c r="O2186" s="6">
        <f>IF(K2186="","",IF(N2186="Sí",ROUND(K2186/1.18,2),K2186))</f>
        <v/>
      </c>
      <c r="P2186" s="3" t="inlineStr">
        <is>
          <t>2026-09-10</t>
        </is>
      </c>
      <c r="Q2186" s="4" t="inlineStr">
        <is>
          <t>Hogardeco</t>
        </is>
      </c>
      <c r="AF2186" s="4" t="inlineStr">
        <is>
          <t>material: ratán</t>
        </is>
      </c>
    </row>
    <row r="2187">
      <c r="A2187" s="3" t="inlineStr">
        <is>
          <t>MAT-34-023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Tirador para mueble</t>
        </is>
      </c>
      <c r="E2187" s="4" t="inlineStr">
        <is>
          <t>Se presupuesta por rango: la pieza se elige por diseño</t>
        </is>
      </c>
      <c r="F2187" s="3" t="inlineStr">
        <is>
          <t>unidad</t>
        </is>
      </c>
      <c r="G2187" s="3" t="inlineStr">
        <is>
          <t>Terminación de superficies</t>
        </is>
      </c>
      <c r="H2187" s="3" t="inlineStr">
        <is>
          <t>estandar</t>
        </is>
      </c>
      <c r="I2187" s="3" t="inlineStr">
        <is>
          <t>importado</t>
        </is>
      </c>
      <c r="J2187" s="5" t="n">
        <v>1</v>
      </c>
      <c r="K2187" s="6" t="n">
        <v>350</v>
      </c>
      <c r="L2187" s="6" t="n">
        <v>350</v>
      </c>
      <c r="M2187" s="6" t="n">
        <v>900</v>
      </c>
      <c r="N2187" s="3" t="inlineStr">
        <is>
          <t>Sí</t>
        </is>
      </c>
      <c r="O2187" s="6">
        <f>IF(K2187="","",IF(N2187="Sí",ROUND(K2187/1.18,2),K2187))</f>
        <v/>
      </c>
      <c r="P2187" s="3" t="inlineStr">
        <is>
          <t>2026-09-10</t>
        </is>
      </c>
      <c r="Q2187" s="4" t="inlineStr">
        <is>
          <t>Hogardeco</t>
        </is>
      </c>
    </row>
  </sheetData>
  <autoFilter ref="A2:AF2187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3" customWidth="1" min="22" max="22"/>
    <col width="13" customWidth="1" min="23" max="23"/>
    <col width="13" customWidth="1" min="24" max="24"/>
    <col width="11" customWidth="1" min="25" max="25"/>
    <col width="24" customWidth="1" min="26" max="26"/>
    <col width="15" customWidth="1" min="27" max="27"/>
    <col width="11" customWidth="1" min="28" max="28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Imper System (Impersystem Tecnologies)</t>
        </is>
      </c>
      <c r="U2" s="2" t="inlineStr">
        <is>
          <t>Cortinaje</t>
        </is>
      </c>
      <c r="V2" s="2" t="inlineStr">
        <is>
          <t>Mínimo (RD$)</t>
        </is>
      </c>
      <c r="W2" s="2" t="inlineStr">
        <is>
          <t>Mediana (RD$)</t>
        </is>
      </c>
      <c r="X2" s="2" t="inlineStr">
        <is>
          <t>Máximo (RD$)</t>
        </is>
      </c>
      <c r="Y2" s="2" t="inlineStr">
        <is>
          <t>Dispersión</t>
        </is>
      </c>
      <c r="Z2" s="2" t="inlineStr">
        <is>
          <t>Más barato</t>
        </is>
      </c>
      <c r="AA2" s="2" t="inlineStr">
        <is>
          <t>Referencia del sitio (RD$)</t>
        </is>
      </c>
      <c r="AB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>
        <v>26589.51</v>
      </c>
      <c r="U3" s="8" t="n"/>
      <c r="V3" s="8">
        <f>IF(COUNT(D3:U3)=0,"",MIN(D3:U3))</f>
        <v/>
      </c>
      <c r="W3" s="8">
        <f>IF(COUNT(D3:U3)=0,"",MEDIAN(D3:U3))</f>
        <v/>
      </c>
      <c r="X3" s="8">
        <f>IF(COUNT(D3:U3)=0,"",MAX(D3:U3))</f>
        <v/>
      </c>
      <c r="Y3" s="9">
        <f>IF(OR(V3="",V3=0),"",(X3-V3)/V3)</f>
        <v/>
      </c>
      <c r="Z3" s="7">
        <f>IF(COUNT(D3:U3)=0,"",INDEX($D$1:$U$1,MATCH(MIN(D3:U3),D3:U3,0)))</f>
        <v/>
      </c>
      <c r="AA3" s="8" t="n">
        <v>31375.62</v>
      </c>
      <c r="AB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>
        <v>112266.82</v>
      </c>
      <c r="U4" s="8" t="n"/>
      <c r="V4" s="8">
        <f>IF(COUNT(D4:U4)=0,"",MIN(D4:U4))</f>
        <v/>
      </c>
      <c r="W4" s="8">
        <f>IF(COUNT(D4:U4)=0,"",MEDIAN(D4:U4))</f>
        <v/>
      </c>
      <c r="X4" s="8">
        <f>IF(COUNT(D4:U4)=0,"",MAX(D4:U4))</f>
        <v/>
      </c>
      <c r="Y4" s="9">
        <f>IF(OR(V4="",V4=0),"",(X4-V4)/V4)</f>
        <v/>
      </c>
      <c r="Z4" s="7">
        <f>IF(COUNT(D4:U4)=0,"",INDEX($D$1:$U$1,MATCH(MIN(D4:U4),D4:U4,0)))</f>
        <v/>
      </c>
      <c r="AA4" s="8" t="n">
        <v>132474.85</v>
      </c>
      <c r="AB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>
        <v>472702.4</v>
      </c>
      <c r="U5" s="8" t="n"/>
      <c r="V5" s="8">
        <f>IF(COUNT(D5:U5)=0,"",MIN(D5:U5))</f>
        <v/>
      </c>
      <c r="W5" s="8">
        <f>IF(COUNT(D5:U5)=0,"",MEDIAN(D5:U5))</f>
        <v/>
      </c>
      <c r="X5" s="8">
        <f>IF(COUNT(D5:U5)=0,"",MAX(D5:U5))</f>
        <v/>
      </c>
      <c r="Y5" s="9">
        <f>IF(OR(V5="",V5=0),"",(X5-V5)/V5)</f>
        <v/>
      </c>
      <c r="Z5" s="7">
        <f>IF(COUNT(D5:U5)=0,"",INDEX($D$1:$U$1,MATCH(MIN(D5:U5),D5:U5,0)))</f>
        <v/>
      </c>
      <c r="AA5" s="8" t="n">
        <v>557788.83</v>
      </c>
      <c r="AB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>
        <v>20680.73</v>
      </c>
      <c r="U6" s="8" t="n"/>
      <c r="V6" s="8">
        <f>IF(COUNT(D6:U6)=0,"",MIN(D6:U6))</f>
        <v/>
      </c>
      <c r="W6" s="8">
        <f>IF(COUNT(D6:U6)=0,"",MEDIAN(D6:U6))</f>
        <v/>
      </c>
      <c r="X6" s="8">
        <f>IF(COUNT(D6:U6)=0,"",MAX(D6:U6))</f>
        <v/>
      </c>
      <c r="Y6" s="9">
        <f>IF(OR(V6="",V6=0),"",(X6-V6)/V6)</f>
        <v/>
      </c>
      <c r="Z6" s="7">
        <f>IF(COUNT(D6:U6)=0,"",INDEX($D$1:$U$1,MATCH(MIN(D6:U6),D6:U6,0)))</f>
        <v/>
      </c>
      <c r="AA6" s="8" t="n">
        <v>24403.26</v>
      </c>
      <c r="AB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>
        <v>94540.48</v>
      </c>
      <c r="U7" s="8" t="n"/>
      <c r="V7" s="8">
        <f>IF(COUNT(D7:U7)=0,"",MIN(D7:U7))</f>
        <v/>
      </c>
      <c r="W7" s="8">
        <f>IF(COUNT(D7:U7)=0,"",MEDIAN(D7:U7))</f>
        <v/>
      </c>
      <c r="X7" s="8">
        <f>IF(COUNT(D7:U7)=0,"",MAX(D7:U7))</f>
        <v/>
      </c>
      <c r="Y7" s="9">
        <f>IF(OR(V7="",V7=0),"",(X7-V7)/V7)</f>
        <v/>
      </c>
      <c r="Z7" s="7">
        <f>IF(COUNT(D7:U7)=0,"",INDEX($D$1:$U$1,MATCH(MIN(D7:U7),D7:U7,0)))</f>
        <v/>
      </c>
      <c r="AA7" s="8" t="n">
        <v>111557.77</v>
      </c>
      <c r="AB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>
        <v>389979.48</v>
      </c>
      <c r="U8" s="8" t="n"/>
      <c r="V8" s="8">
        <f>IF(COUNT(D8:U8)=0,"",MIN(D8:U8))</f>
        <v/>
      </c>
      <c r="W8" s="8">
        <f>IF(COUNT(D8:U8)=0,"",MEDIAN(D8:U8))</f>
        <v/>
      </c>
      <c r="X8" s="8">
        <f>IF(COUNT(D8:U8)=0,"",MAX(D8:U8))</f>
        <v/>
      </c>
      <c r="Y8" s="9">
        <f>IF(OR(V8="",V8=0),"",(X8-V8)/V8)</f>
        <v/>
      </c>
      <c r="Z8" s="7">
        <f>IF(COUNT(D8:U8)=0,"",INDEX($D$1:$U$1,MATCH(MIN(D8:U8),D8:U8,0)))</f>
        <v/>
      </c>
      <c r="AA8" s="8" t="n">
        <v>460175.79</v>
      </c>
      <c r="AB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>
        <v>47270.24</v>
      </c>
      <c r="U9" s="8" t="n"/>
      <c r="V9" s="8">
        <f>IF(COUNT(D9:U9)=0,"",MIN(D9:U9))</f>
        <v/>
      </c>
      <c r="W9" s="8">
        <f>IF(COUNT(D9:U9)=0,"",MEDIAN(D9:U9))</f>
        <v/>
      </c>
      <c r="X9" s="8">
        <f>IF(COUNT(D9:U9)=0,"",MAX(D9:U9))</f>
        <v/>
      </c>
      <c r="Y9" s="9">
        <f>IF(OR(V9="",V9=0),"",(X9-V9)/V9)</f>
        <v/>
      </c>
      <c r="Z9" s="7">
        <f>IF(COUNT(D9:U9)=0,"",INDEX($D$1:$U$1,MATCH(MIN(D9:U9),D9:U9,0)))</f>
        <v/>
      </c>
      <c r="AA9" s="8" t="n">
        <v>55778.88</v>
      </c>
      <c r="AB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>
        <v>177263.4</v>
      </c>
      <c r="U10" s="8" t="n"/>
      <c r="V10" s="8">
        <f>IF(COUNT(D10:U10)=0,"",MIN(D10:U10))</f>
        <v/>
      </c>
      <c r="W10" s="8">
        <f>IF(COUNT(D10:U10)=0,"",MEDIAN(D10:U10))</f>
        <v/>
      </c>
      <c r="X10" s="8">
        <f>IF(COUNT(D10:U10)=0,"",MAX(D10:U10))</f>
        <v/>
      </c>
      <c r="Y10" s="9">
        <f>IF(OR(V10="",V10=0),"",(X10-V10)/V10)</f>
        <v/>
      </c>
      <c r="Z10" s="7">
        <f>IF(COUNT(D10:U10)=0,"",INDEX($D$1:$U$1,MATCH(MIN(D10:U10),D10:U10,0)))</f>
        <v/>
      </c>
      <c r="AA10" s="8" t="n">
        <v>209170.81</v>
      </c>
      <c r="AB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>
        <v>763709.8199999999</v>
      </c>
      <c r="U11" s="8" t="n"/>
      <c r="V11" s="8">
        <f>IF(COUNT(D11:U11)=0,"",MIN(D11:U11))</f>
        <v/>
      </c>
      <c r="W11" s="8">
        <f>IF(COUNT(D11:U11)=0,"",MEDIAN(D11:U11))</f>
        <v/>
      </c>
      <c r="X11" s="8">
        <f>IF(COUNT(D11:U11)=0,"",MAX(D11:U11))</f>
        <v/>
      </c>
      <c r="Y11" s="9">
        <f>IF(OR(V11="",V11=0),"",(X11-V11)/V11)</f>
        <v/>
      </c>
      <c r="Z11" s="7">
        <f>IF(COUNT(D11:U11)=0,"",INDEX($D$1:$U$1,MATCH(MIN(D11:U11),D11:U11,0)))</f>
        <v/>
      </c>
      <c r="AA11" s="8" t="n">
        <v>901177.59</v>
      </c>
      <c r="AB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>
        <v>15362.83</v>
      </c>
      <c r="U12" s="8" t="n"/>
      <c r="V12" s="8">
        <f>IF(COUNT(D12:U12)=0,"",MIN(D12:U12))</f>
        <v/>
      </c>
      <c r="W12" s="8">
        <f>IF(COUNT(D12:U12)=0,"",MEDIAN(D12:U12))</f>
        <v/>
      </c>
      <c r="X12" s="8">
        <f>IF(COUNT(D12:U12)=0,"",MAX(D12:U12))</f>
        <v/>
      </c>
      <c r="Y12" s="9">
        <f>IF(OR(V12="",V12=0),"",(X12-V12)/V12)</f>
        <v/>
      </c>
      <c r="Z12" s="7">
        <f>IF(COUNT(D12:U12)=0,"",INDEX($D$1:$U$1,MATCH(MIN(D12:U12),D12:U12,0)))</f>
        <v/>
      </c>
      <c r="AA12" s="8" t="n">
        <v>18128.14</v>
      </c>
      <c r="AB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>
        <v>64996.58</v>
      </c>
      <c r="U13" s="8" t="n"/>
      <c r="V13" s="8">
        <f>IF(COUNT(D13:U13)=0,"",MIN(D13:U13))</f>
        <v/>
      </c>
      <c r="W13" s="8">
        <f>IF(COUNT(D13:U13)=0,"",MEDIAN(D13:U13))</f>
        <v/>
      </c>
      <c r="X13" s="8">
        <f>IF(COUNT(D13:U13)=0,"",MAX(D13:U13))</f>
        <v/>
      </c>
      <c r="Y13" s="9">
        <f>IF(OR(V13="",V13=0),"",(X13-V13)/V13)</f>
        <v/>
      </c>
      <c r="Z13" s="7">
        <f>IF(COUNT(D13:U13)=0,"",INDEX($D$1:$U$1,MATCH(MIN(D13:U13),D13:U13,0)))</f>
        <v/>
      </c>
      <c r="AA13" s="8" t="n">
        <v>76695.96000000001</v>
      </c>
      <c r="AB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>
        <v>307256.56</v>
      </c>
      <c r="U14" s="8" t="n"/>
      <c r="V14" s="8">
        <f>IF(COUNT(D14:U14)=0,"",MIN(D14:U14))</f>
        <v/>
      </c>
      <c r="W14" s="8">
        <f>IF(COUNT(D14:U14)=0,"",MEDIAN(D14:U14))</f>
        <v/>
      </c>
      <c r="X14" s="8">
        <f>IF(COUNT(D14:U14)=0,"",MAX(D14:U14))</f>
        <v/>
      </c>
      <c r="Y14" s="9">
        <f>IF(OR(V14="",V14=0),"",(X14-V14)/V14)</f>
        <v/>
      </c>
      <c r="Z14" s="7">
        <f>IF(COUNT(D14:U14)=0,"",INDEX($D$1:$U$1,MATCH(MIN(D14:U14),D14:U14,0)))</f>
        <v/>
      </c>
      <c r="AA14" s="8" t="n">
        <v>362562.74</v>
      </c>
      <c r="AB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>
        <v>11226.68</v>
      </c>
      <c r="U15" s="8" t="n"/>
      <c r="V15" s="8">
        <f>IF(COUNT(D15:U15)=0,"",MIN(D15:U15))</f>
        <v/>
      </c>
      <c r="W15" s="8">
        <f>IF(COUNT(D15:U15)=0,"",MEDIAN(D15:U15))</f>
        <v/>
      </c>
      <c r="X15" s="8">
        <f>IF(COUNT(D15:U15)=0,"",MAX(D15:U15))</f>
        <v/>
      </c>
      <c r="Y15" s="9">
        <f>IF(OR(V15="",V15=0),"",(X15-V15)/V15)</f>
        <v/>
      </c>
      <c r="Z15" s="7">
        <f>IF(COUNT(D15:U15)=0,"",INDEX($D$1:$U$1,MATCH(MIN(D15:U15),D15:U15,0)))</f>
        <v/>
      </c>
      <c r="AA15" s="8" t="n">
        <v>13247.48</v>
      </c>
      <c r="AB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>
        <v>50224.63</v>
      </c>
      <c r="U16" s="8" t="n"/>
      <c r="V16" s="8">
        <f>IF(COUNT(D16:U16)=0,"",MIN(D16:U16))</f>
        <v/>
      </c>
      <c r="W16" s="8">
        <f>IF(COUNT(D16:U16)=0,"",MEDIAN(D16:U16))</f>
        <v/>
      </c>
      <c r="X16" s="8">
        <f>IF(COUNT(D16:U16)=0,"",MAX(D16:U16))</f>
        <v/>
      </c>
      <c r="Y16" s="9">
        <f>IF(OR(V16="",V16=0),"",(X16-V16)/V16)</f>
        <v/>
      </c>
      <c r="Z16" s="7">
        <f>IF(COUNT(D16:U16)=0,"",INDEX($D$1:$U$1,MATCH(MIN(D16:U16),D16:U16,0)))</f>
        <v/>
      </c>
      <c r="AA16" s="8" t="n">
        <v>59265.06</v>
      </c>
      <c r="AB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>
        <v>224533.64</v>
      </c>
      <c r="U17" s="8" t="n"/>
      <c r="V17" s="8">
        <f>IF(COUNT(D17:U17)=0,"",MIN(D17:U17))</f>
        <v/>
      </c>
      <c r="W17" s="8">
        <f>IF(COUNT(D17:U17)=0,"",MEDIAN(D17:U17))</f>
        <v/>
      </c>
      <c r="X17" s="8">
        <f>IF(COUNT(D17:U17)=0,"",MAX(D17:U17))</f>
        <v/>
      </c>
      <c r="Y17" s="9">
        <f>IF(OR(V17="",V17=0),"",(X17-V17)/V17)</f>
        <v/>
      </c>
      <c r="Z17" s="7">
        <f>IF(COUNT(D17:U17)=0,"",INDEX($D$1:$U$1,MATCH(MIN(D17:U17),D17:U17,0)))</f>
        <v/>
      </c>
      <c r="AA17" s="8" t="n">
        <v>264949.7</v>
      </c>
      <c r="AB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>
        <f>IF(COUNT(D18:U18)=0,"",MIN(D18:U18))</f>
        <v/>
      </c>
      <c r="W18" s="8">
        <f>IF(COUNT(D18:U18)=0,"",MEDIAN(D18:U18))</f>
        <v/>
      </c>
      <c r="X18" s="8">
        <f>IF(COUNT(D18:U18)=0,"",MAX(D18:U18))</f>
        <v/>
      </c>
      <c r="Y18" s="9">
        <f>IF(OR(V18="",V18=0),"",(X18-V18)/V18)</f>
        <v/>
      </c>
      <c r="Z18" s="7">
        <f>IF(COUNT(D18:U18)=0,"",INDEX($D$1:$U$1,MATCH(MIN(D18:U18),D18:U18,0)))</f>
        <v/>
      </c>
      <c r="AA18" s="8" t="n">
        <v>595</v>
      </c>
      <c r="AB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>
        <f>IF(COUNT(D19:U19)=0,"",MIN(D19:U19))</f>
        <v/>
      </c>
      <c r="W19" s="8">
        <f>IF(COUNT(D19:U19)=0,"",MEDIAN(D19:U19))</f>
        <v/>
      </c>
      <c r="X19" s="8">
        <f>IF(COUNT(D19:U19)=0,"",MAX(D19:U19))</f>
        <v/>
      </c>
      <c r="Y19" s="9">
        <f>IF(OR(V19="",V19=0),"",(X19-V19)/V19)</f>
        <v/>
      </c>
      <c r="Z19" s="7">
        <f>IF(COUNT(D19:U19)=0,"",INDEX($D$1:$U$1,MATCH(MIN(D19:U19),D19:U19,0)))</f>
        <v/>
      </c>
      <c r="AA19" s="8" t="n">
        <v>755</v>
      </c>
      <c r="AB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>
        <f>IF(COUNT(D20:U20)=0,"",MIN(D20:U20))</f>
        <v/>
      </c>
      <c r="W20" s="8">
        <f>IF(COUNT(D20:U20)=0,"",MEDIAN(D20:U20))</f>
        <v/>
      </c>
      <c r="X20" s="8">
        <f>IF(COUNT(D20:U20)=0,"",MAX(D20:U20))</f>
        <v/>
      </c>
      <c r="Y20" s="9">
        <f>IF(OR(V20="",V20=0),"",(X20-V20)/V20)</f>
        <v/>
      </c>
      <c r="Z20" s="7">
        <f>IF(COUNT(D20:U20)=0,"",INDEX($D$1:$U$1,MATCH(MIN(D20:U20),D20:U20,0)))</f>
        <v/>
      </c>
      <c r="AA20" s="8" t="n">
        <v>1295</v>
      </c>
      <c r="AB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>
        <f>IF(COUNT(D21:U21)=0,"",MIN(D21:U21))</f>
        <v/>
      </c>
      <c r="W21" s="8">
        <f>IF(COUNT(D21:U21)=0,"",MEDIAN(D21:U21))</f>
        <v/>
      </c>
      <c r="X21" s="8">
        <f>IF(COUNT(D21:U21)=0,"",MAX(D21:U21))</f>
        <v/>
      </c>
      <c r="Y21" s="9">
        <f>IF(OR(V21="",V21=0),"",(X21-V21)/V21)</f>
        <v/>
      </c>
      <c r="Z21" s="7">
        <f>IF(COUNT(D21:U21)=0,"",INDEX($D$1:$U$1,MATCH(MIN(D21:U21),D21:U21,0)))</f>
        <v/>
      </c>
      <c r="AA21" s="8" t="n">
        <v>503.66</v>
      </c>
      <c r="AB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>
        <f>IF(COUNT(D22:U22)=0,"",MIN(D22:U22))</f>
        <v/>
      </c>
      <c r="W22" s="8">
        <f>IF(COUNT(D22:U22)=0,"",MEDIAN(D22:U22))</f>
        <v/>
      </c>
      <c r="X22" s="8">
        <f>IF(COUNT(D22:U22)=0,"",MAX(D22:U22))</f>
        <v/>
      </c>
      <c r="Y22" s="9">
        <f>IF(OR(V22="",V22=0),"",(X22-V22)/V22)</f>
        <v/>
      </c>
      <c r="Z22" s="7">
        <f>IF(COUNT(D22:U22)=0,"",INDEX($D$1:$U$1,MATCH(MIN(D22:U22),D22:U22,0)))</f>
        <v/>
      </c>
      <c r="AA22" s="8" t="n">
        <v>345</v>
      </c>
      <c r="AB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>
        <f>IF(COUNT(D23:U23)=0,"",MIN(D23:U23))</f>
        <v/>
      </c>
      <c r="W23" s="8">
        <f>IF(COUNT(D23:U23)=0,"",MEDIAN(D23:U23))</f>
        <v/>
      </c>
      <c r="X23" s="8">
        <f>IF(COUNT(D23:U23)=0,"",MAX(D23:U23))</f>
        <v/>
      </c>
      <c r="Y23" s="9">
        <f>IF(OR(V23="",V23=0),"",(X23-V23)/V23)</f>
        <v/>
      </c>
      <c r="Z23" s="7">
        <f>IF(COUNT(D23:U23)=0,"",INDEX($D$1:$U$1,MATCH(MIN(D23:U23),D23:U23,0)))</f>
        <v/>
      </c>
      <c r="AA23" s="8" t="n">
        <v>825</v>
      </c>
      <c r="AB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>
        <f>IF(COUNT(D24:U24)=0,"",MIN(D24:U24))</f>
        <v/>
      </c>
      <c r="W24" s="8">
        <f>IF(COUNT(D24:U24)=0,"",MEDIAN(D24:U24))</f>
        <v/>
      </c>
      <c r="X24" s="8">
        <f>IF(COUNT(D24:U24)=0,"",MAX(D24:U24))</f>
        <v/>
      </c>
      <c r="Y24" s="9">
        <f>IF(OR(V24="",V24=0),"",(X24-V24)/V24)</f>
        <v/>
      </c>
      <c r="Z24" s="7">
        <f>IF(COUNT(D24:U24)=0,"",INDEX($D$1:$U$1,MATCH(MIN(D24:U24),D24:U24,0)))</f>
        <v/>
      </c>
      <c r="AA24" s="8" t="n">
        <v>365</v>
      </c>
      <c r="AB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>
        <f>IF(COUNT(D25:U25)=0,"",MIN(D25:U25))</f>
        <v/>
      </c>
      <c r="W25" s="8">
        <f>IF(COUNT(D25:U25)=0,"",MEDIAN(D25:U25))</f>
        <v/>
      </c>
      <c r="X25" s="8">
        <f>IF(COUNT(D25:U25)=0,"",MAX(D25:U25))</f>
        <v/>
      </c>
      <c r="Y25" s="9">
        <f>IF(OR(V25="",V25=0),"",(X25-V25)/V25)</f>
        <v/>
      </c>
      <c r="Z25" s="7">
        <f>IF(COUNT(D25:U25)=0,"",INDEX($D$1:$U$1,MATCH(MIN(D25:U25),D25:U25,0)))</f>
        <v/>
      </c>
      <c r="AA25" s="8" t="n">
        <v>323.12</v>
      </c>
      <c r="AB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>
        <f>IF(COUNT(D26:U26)=0,"",MIN(D26:U26))</f>
        <v/>
      </c>
      <c r="W26" s="8">
        <f>IF(COUNT(D26:U26)=0,"",MEDIAN(D26:U26))</f>
        <v/>
      </c>
      <c r="X26" s="8">
        <f>IF(COUNT(D26:U26)=0,"",MAX(D26:U26))</f>
        <v/>
      </c>
      <c r="Y26" s="9">
        <f>IF(OR(V26="",V26=0),"",(X26-V26)/V26)</f>
        <v/>
      </c>
      <c r="Z26" s="7">
        <f>IF(COUNT(D26:U26)=0,"",INDEX($D$1:$U$1,MATCH(MIN(D26:U26),D26:U26,0)))</f>
        <v/>
      </c>
      <c r="AA26" s="8" t="n">
        <v>249.98</v>
      </c>
      <c r="AB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>
        <f>IF(COUNT(D27:U27)=0,"",MIN(D27:U27))</f>
        <v/>
      </c>
      <c r="W27" s="8">
        <f>IF(COUNT(D27:U27)=0,"",MEDIAN(D27:U27))</f>
        <v/>
      </c>
      <c r="X27" s="8">
        <f>IF(COUNT(D27:U27)=0,"",MAX(D27:U27))</f>
        <v/>
      </c>
      <c r="Y27" s="9">
        <f>IF(OR(V27="",V27=0),"",(X27-V27)/V27)</f>
        <v/>
      </c>
      <c r="Z27" s="7">
        <f>IF(COUNT(D27:U27)=0,"",INDEX($D$1:$U$1,MATCH(MIN(D27:U27),D27:U27,0)))</f>
        <v/>
      </c>
      <c r="AA27" s="8" t="n">
        <v>445.88</v>
      </c>
      <c r="AB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>
        <f>IF(COUNT(D28:U28)=0,"",MIN(D28:U28))</f>
        <v/>
      </c>
      <c r="W28" s="8">
        <f>IF(COUNT(D28:U28)=0,"",MEDIAN(D28:U28))</f>
        <v/>
      </c>
      <c r="X28" s="8">
        <f>IF(COUNT(D28:U28)=0,"",MAX(D28:U28))</f>
        <v/>
      </c>
      <c r="Y28" s="9">
        <f>IF(OR(V28="",V28=0),"",(X28-V28)/V28)</f>
        <v/>
      </c>
      <c r="Z28" s="7">
        <f>IF(COUNT(D28:U28)=0,"",INDEX($D$1:$U$1,MATCH(MIN(D28:U28),D28:U28,0)))</f>
        <v/>
      </c>
      <c r="AA28" s="8" t="n">
        <v>1006.75</v>
      </c>
      <c r="AB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>
        <f>IF(COUNT(D29:U29)=0,"",MIN(D29:U29))</f>
        <v/>
      </c>
      <c r="W29" s="8">
        <f>IF(COUNT(D29:U29)=0,"",MEDIAN(D29:U29))</f>
        <v/>
      </c>
      <c r="X29" s="8">
        <f>IF(COUNT(D29:U29)=0,"",MAX(D29:U29))</f>
        <v/>
      </c>
      <c r="Y29" s="9">
        <f>IF(OR(V29="",V29=0),"",(X29-V29)/V29)</f>
        <v/>
      </c>
      <c r="Z29" s="7">
        <f>IF(COUNT(D29:U29)=0,"",INDEX($D$1:$U$1,MATCH(MIN(D29:U29),D29:U29,0)))</f>
        <v/>
      </c>
      <c r="AA29" s="8" t="n">
        <v>1773.79</v>
      </c>
      <c r="AB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>
        <f>IF(COUNT(D30:U30)=0,"",MIN(D30:U30))</f>
        <v/>
      </c>
      <c r="W30" s="8">
        <f>IF(COUNT(D30:U30)=0,"",MEDIAN(D30:U30))</f>
        <v/>
      </c>
      <c r="X30" s="8">
        <f>IF(COUNT(D30:U30)=0,"",MAX(D30:U30))</f>
        <v/>
      </c>
      <c r="Y30" s="9">
        <f>IF(OR(V30="",V30=0),"",(X30-V30)/V30)</f>
        <v/>
      </c>
      <c r="Z30" s="7">
        <f>IF(COUNT(D30:U30)=0,"",INDEX($D$1:$U$1,MATCH(MIN(D30:U30),D30:U30,0)))</f>
        <v/>
      </c>
      <c r="AA30" s="8" t="n">
        <v>18252.92</v>
      </c>
      <c r="AB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>
        <f>IF(COUNT(D31:U31)=0,"",MIN(D31:U31))</f>
        <v/>
      </c>
      <c r="W31" s="8">
        <f>IF(COUNT(D31:U31)=0,"",MEDIAN(D31:U31))</f>
        <v/>
      </c>
      <c r="X31" s="8">
        <f>IF(COUNT(D31:U31)=0,"",MAX(D31:U31))</f>
        <v/>
      </c>
      <c r="Y31" s="9">
        <f>IF(OR(V31="",V31=0),"",(X31-V31)/V31)</f>
        <v/>
      </c>
      <c r="Z31" s="7">
        <f>IF(COUNT(D31:U31)=0,"",INDEX($D$1:$U$1,MATCH(MIN(D31:U31),D31:U31,0)))</f>
        <v/>
      </c>
      <c r="AA31" s="8" t="n">
        <v>20871.84</v>
      </c>
      <c r="AB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>
        <f>IF(COUNT(D32:U32)=0,"",MIN(D32:U32))</f>
        <v/>
      </c>
      <c r="W32" s="8">
        <f>IF(COUNT(D32:U32)=0,"",MEDIAN(D32:U32))</f>
        <v/>
      </c>
      <c r="X32" s="8">
        <f>IF(COUNT(D32:U32)=0,"",MAX(D32:U32))</f>
        <v/>
      </c>
      <c r="Y32" s="9">
        <f>IF(OR(V32="",V32=0),"",(X32-V32)/V32)</f>
        <v/>
      </c>
      <c r="Z32" s="7">
        <f>IF(COUNT(D32:U32)=0,"",INDEX($D$1:$U$1,MATCH(MIN(D32:U32),D32:U32,0)))</f>
        <v/>
      </c>
      <c r="AA32" s="8" t="n">
        <v>20629.26</v>
      </c>
      <c r="AB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>
        <f>IF(COUNT(D33:U33)=0,"",MIN(D33:U33))</f>
        <v/>
      </c>
      <c r="W33" s="8">
        <f>IF(COUNT(D33:U33)=0,"",MEDIAN(D33:U33))</f>
        <v/>
      </c>
      <c r="X33" s="8">
        <f>IF(COUNT(D33:U33)=0,"",MAX(D33:U33))</f>
        <v/>
      </c>
      <c r="Y33" s="9">
        <f>IF(OR(V33="",V33=0),"",(X33-V33)/V33)</f>
        <v/>
      </c>
      <c r="Z33" s="7">
        <f>IF(COUNT(D33:U33)=0,"",INDEX($D$1:$U$1,MATCH(MIN(D33:U33),D33:U33,0)))</f>
        <v/>
      </c>
      <c r="AA33" s="8" t="n">
        <v>62.48</v>
      </c>
      <c r="AB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>
        <f>IF(COUNT(D34:U34)=0,"",MIN(D34:U34))</f>
        <v/>
      </c>
      <c r="W34" s="8">
        <f>IF(COUNT(D34:U34)=0,"",MEDIAN(D34:U34))</f>
        <v/>
      </c>
      <c r="X34" s="8">
        <f>IF(COUNT(D34:U34)=0,"",MAX(D34:U34))</f>
        <v/>
      </c>
      <c r="Y34" s="9">
        <f>IF(OR(V34="",V34=0),"",(X34-V34)/V34)</f>
        <v/>
      </c>
      <c r="Z34" s="7">
        <f>IF(COUNT(D34:U34)=0,"",INDEX($D$1:$U$1,MATCH(MIN(D34:U34),D34:U34,0)))</f>
        <v/>
      </c>
      <c r="AA34" s="8" t="n">
        <v>61.12</v>
      </c>
      <c r="AB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>
        <f>IF(COUNT(D35:U35)=0,"",MIN(D35:U35))</f>
        <v/>
      </c>
      <c r="W35" s="8">
        <f>IF(COUNT(D35:U35)=0,"",MEDIAN(D35:U35))</f>
        <v/>
      </c>
      <c r="X35" s="8">
        <f>IF(COUNT(D35:U35)=0,"",MAX(D35:U35))</f>
        <v/>
      </c>
      <c r="Y35" s="9">
        <f>IF(OR(V35="",V35=0),"",(X35-V35)/V35)</f>
        <v/>
      </c>
      <c r="Z35" s="7">
        <f>IF(COUNT(D35:U35)=0,"",INDEX($D$1:$U$1,MATCH(MIN(D35:U35),D35:U35,0)))</f>
        <v/>
      </c>
      <c r="AA35" s="8" t="n">
        <v>861</v>
      </c>
      <c r="AB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>
        <f>IF(COUNT(D36:U36)=0,"",MIN(D36:U36))</f>
        <v/>
      </c>
      <c r="W36" s="8">
        <f>IF(COUNT(D36:U36)=0,"",MEDIAN(D36:U36))</f>
        <v/>
      </c>
      <c r="X36" s="8">
        <f>IF(COUNT(D36:U36)=0,"",MAX(D36:U36))</f>
        <v/>
      </c>
      <c r="Y36" s="9">
        <f>IF(OR(V36="",V36=0),"",(X36-V36)/V36)</f>
        <v/>
      </c>
      <c r="Z36" s="7">
        <f>IF(COUNT(D36:U36)=0,"",INDEX($D$1:$U$1,MATCH(MIN(D36:U36),D36:U36,0)))</f>
        <v/>
      </c>
      <c r="AA36" s="8" t="n">
        <v>860</v>
      </c>
      <c r="AB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>
        <f>IF(COUNT(D37:U37)=0,"",MIN(D37:U37))</f>
        <v/>
      </c>
      <c r="W37" s="8">
        <f>IF(COUNT(D37:U37)=0,"",MEDIAN(D37:U37))</f>
        <v/>
      </c>
      <c r="X37" s="8">
        <f>IF(COUNT(D37:U37)=0,"",MAX(D37:U37))</f>
        <v/>
      </c>
      <c r="Y37" s="9">
        <f>IF(OR(V37="",V37=0),"",(X37-V37)/V37)</f>
        <v/>
      </c>
      <c r="Z37" s="7">
        <f>IF(COUNT(D37:U37)=0,"",INDEX($D$1:$U$1,MATCH(MIN(D37:U37),D37:U37,0)))</f>
        <v/>
      </c>
      <c r="AA37" s="8" t="n">
        <v>1472.5</v>
      </c>
      <c r="AB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>
        <f>IF(COUNT(D38:U38)=0,"",MIN(D38:U38))</f>
        <v/>
      </c>
      <c r="W38" s="8">
        <f>IF(COUNT(D38:U38)=0,"",MEDIAN(D38:U38))</f>
        <v/>
      </c>
      <c r="X38" s="8">
        <f>IF(COUNT(D38:U38)=0,"",MAX(D38:U38))</f>
        <v/>
      </c>
      <c r="Y38" s="9">
        <f>IF(OR(V38="",V38=0),"",(X38-V38)/V38)</f>
        <v/>
      </c>
      <c r="Z38" s="7">
        <f>IF(COUNT(D38:U38)=0,"",INDEX($D$1:$U$1,MATCH(MIN(D38:U38),D38:U38,0)))</f>
        <v/>
      </c>
      <c r="AA38" s="8" t="n">
        <v>1992.5</v>
      </c>
      <c r="AB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>
        <f>IF(COUNT(D39:U39)=0,"",MIN(D39:U39))</f>
        <v/>
      </c>
      <c r="W39" s="8">
        <f>IF(COUNT(D39:U39)=0,"",MEDIAN(D39:U39))</f>
        <v/>
      </c>
      <c r="X39" s="8">
        <f>IF(COUNT(D39:U39)=0,"",MAX(D39:U39))</f>
        <v/>
      </c>
      <c r="Y39" s="9">
        <f>IF(OR(V39="",V39=0),"",(X39-V39)/V39)</f>
        <v/>
      </c>
      <c r="Z39" s="7">
        <f>IF(COUNT(D39:U39)=0,"",INDEX($D$1:$U$1,MATCH(MIN(D39:U39),D39:U39,0)))</f>
        <v/>
      </c>
      <c r="AA39" s="8" t="n">
        <v>764.63</v>
      </c>
      <c r="AB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>
        <f>IF(COUNT(D40:U40)=0,"",MIN(D40:U40))</f>
        <v/>
      </c>
      <c r="W40" s="8">
        <f>IF(COUNT(D40:U40)=0,"",MEDIAN(D40:U40))</f>
        <v/>
      </c>
      <c r="X40" s="8">
        <f>IF(COUNT(D40:U40)=0,"",MAX(D40:U40))</f>
        <v/>
      </c>
      <c r="Y40" s="9">
        <f>IF(OR(V40="",V40=0),"",(X40-V40)/V40)</f>
        <v/>
      </c>
      <c r="Z40" s="7">
        <f>IF(COUNT(D40:U40)=0,"",INDEX($D$1:$U$1,MATCH(MIN(D40:U40),D40:U40,0)))</f>
        <v/>
      </c>
      <c r="AA40" s="8" t="n">
        <v>1266.7</v>
      </c>
      <c r="AB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>
        <f>IF(COUNT(D41:U41)=0,"",MIN(D41:U41))</f>
        <v/>
      </c>
      <c r="W41" s="8">
        <f>IF(COUNT(D41:U41)=0,"",MEDIAN(D41:U41))</f>
        <v/>
      </c>
      <c r="X41" s="8">
        <f>IF(COUNT(D41:U41)=0,"",MAX(D41:U41))</f>
        <v/>
      </c>
      <c r="Y41" s="9">
        <f>IF(OR(V41="",V41=0),"",(X41-V41)/V41)</f>
        <v/>
      </c>
      <c r="Z41" s="7">
        <f>IF(COUNT(D41:U41)=0,"",INDEX($D$1:$U$1,MATCH(MIN(D41:U41),D41:U41,0)))</f>
        <v/>
      </c>
      <c r="AA41" s="8" t="n">
        <v>1101.34</v>
      </c>
      <c r="AB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>
        <f>IF(COUNT(D42:U42)=0,"",MIN(D42:U42))</f>
        <v/>
      </c>
      <c r="W42" s="8">
        <f>IF(COUNT(D42:U42)=0,"",MEDIAN(D42:U42))</f>
        <v/>
      </c>
      <c r="X42" s="8">
        <f>IF(COUNT(D42:U42)=0,"",MAX(D42:U42))</f>
        <v/>
      </c>
      <c r="Y42" s="9">
        <f>IF(OR(V42="",V42=0),"",(X42-V42)/V42)</f>
        <v/>
      </c>
      <c r="Z42" s="7">
        <f>IF(COUNT(D42:U42)=0,"",INDEX($D$1:$U$1,MATCH(MIN(D42:U42),D42:U42,0)))</f>
        <v/>
      </c>
      <c r="AA42" s="8" t="n">
        <v>1494.58</v>
      </c>
      <c r="AB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>
        <f>IF(COUNT(D43:U43)=0,"",MIN(D43:U43))</f>
        <v/>
      </c>
      <c r="W43" s="8">
        <f>IF(COUNT(D43:U43)=0,"",MEDIAN(D43:U43))</f>
        <v/>
      </c>
      <c r="X43" s="8">
        <f>IF(COUNT(D43:U43)=0,"",MAX(D43:U43))</f>
        <v/>
      </c>
      <c r="Y43" s="9">
        <f>IF(OR(V43="",V43=0),"",(X43-V43)/V43)</f>
        <v/>
      </c>
      <c r="Z43" s="7">
        <f>IF(COUNT(D43:U43)=0,"",INDEX($D$1:$U$1,MATCH(MIN(D43:U43),D43:U43,0)))</f>
        <v/>
      </c>
      <c r="AA43" s="8" t="n">
        <v>503.78</v>
      </c>
      <c r="AB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>
        <f>IF(COUNT(D44:U44)=0,"",MIN(D44:U44))</f>
        <v/>
      </c>
      <c r="W44" s="8">
        <f>IF(COUNT(D44:U44)=0,"",MEDIAN(D44:U44))</f>
        <v/>
      </c>
      <c r="X44" s="8">
        <f>IF(COUNT(D44:U44)=0,"",MAX(D44:U44))</f>
        <v/>
      </c>
      <c r="Y44" s="9">
        <f>IF(OR(V44="",V44=0),"",(X44-V44)/V44)</f>
        <v/>
      </c>
      <c r="Z44" s="7">
        <f>IF(COUNT(D44:U44)=0,"",INDEX($D$1:$U$1,MATCH(MIN(D44:U44),D44:U44,0)))</f>
        <v/>
      </c>
      <c r="AA44" s="8" t="n">
        <v>2900</v>
      </c>
      <c r="AB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>
        <f>IF(COUNT(D45:U45)=0,"",MIN(D45:U45))</f>
        <v/>
      </c>
      <c r="W45" s="8">
        <f>IF(COUNT(D45:U45)=0,"",MEDIAN(D45:U45))</f>
        <v/>
      </c>
      <c r="X45" s="8">
        <f>IF(COUNT(D45:U45)=0,"",MAX(D45:U45))</f>
        <v/>
      </c>
      <c r="Y45" s="9">
        <f>IF(OR(V45="",V45=0),"",(X45-V45)/V45)</f>
        <v/>
      </c>
      <c r="Z45" s="7">
        <f>IF(COUNT(D45:U45)=0,"",INDEX($D$1:$U$1,MATCH(MIN(D45:U45),D45:U45,0)))</f>
        <v/>
      </c>
      <c r="AA45" s="8" t="n">
        <v>245.01</v>
      </c>
      <c r="AB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>
        <f>IF(COUNT(D46:U46)=0,"",MIN(D46:U46))</f>
        <v/>
      </c>
      <c r="W46" s="8">
        <f>IF(COUNT(D46:U46)=0,"",MEDIAN(D46:U46))</f>
        <v/>
      </c>
      <c r="X46" s="8">
        <f>IF(COUNT(D46:U46)=0,"",MAX(D46:U46))</f>
        <v/>
      </c>
      <c r="Y46" s="9">
        <f>IF(OR(V46="",V46=0),"",(X46-V46)/V46)</f>
        <v/>
      </c>
      <c r="Z46" s="7">
        <f>IF(COUNT(D46:U46)=0,"",INDEX($D$1:$U$1,MATCH(MIN(D46:U46),D46:U46,0)))</f>
        <v/>
      </c>
      <c r="AA46" s="8" t="n">
        <v>165</v>
      </c>
      <c r="AB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>
        <f>IF(COUNT(D47:U47)=0,"",MIN(D47:U47))</f>
        <v/>
      </c>
      <c r="W47" s="8">
        <f>IF(COUNT(D47:U47)=0,"",MEDIAN(D47:U47))</f>
        <v/>
      </c>
      <c r="X47" s="8">
        <f>IF(COUNT(D47:U47)=0,"",MAX(D47:U47))</f>
        <v/>
      </c>
      <c r="Y47" s="9">
        <f>IF(OR(V47="",V47=0),"",(X47-V47)/V47)</f>
        <v/>
      </c>
      <c r="Z47" s="7">
        <f>IF(COUNT(D47:U47)=0,"",INDEX($D$1:$U$1,MATCH(MIN(D47:U47),D47:U47,0)))</f>
        <v/>
      </c>
      <c r="AA47" s="8" t="n">
        <v>6107.2</v>
      </c>
      <c r="AB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>
        <f>IF(COUNT(D48:U48)=0,"",MIN(D48:U48))</f>
        <v/>
      </c>
      <c r="W48" s="8">
        <f>IF(COUNT(D48:U48)=0,"",MEDIAN(D48:U48))</f>
        <v/>
      </c>
      <c r="X48" s="8">
        <f>IF(COUNT(D48:U48)=0,"",MAX(D48:U48))</f>
        <v/>
      </c>
      <c r="Y48" s="9">
        <f>IF(OR(V48="",V48=0),"",(X48-V48)/V48)</f>
        <v/>
      </c>
      <c r="Z48" s="7">
        <f>IF(COUNT(D48:U48)=0,"",INDEX($D$1:$U$1,MATCH(MIN(D48:U48),D48:U48,0)))</f>
        <v/>
      </c>
      <c r="AA48" s="8" t="n">
        <v>1614.24</v>
      </c>
      <c r="AB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>
        <f>IF(COUNT(D49:U49)=0,"",MIN(D49:U49))</f>
        <v/>
      </c>
      <c r="W49" s="8">
        <f>IF(COUNT(D49:U49)=0,"",MEDIAN(D49:U49))</f>
        <v/>
      </c>
      <c r="X49" s="8">
        <f>IF(COUNT(D49:U49)=0,"",MAX(D49:U49))</f>
        <v/>
      </c>
      <c r="Y49" s="9">
        <f>IF(OR(V49="",V49=0),"",(X49-V49)/V49)</f>
        <v/>
      </c>
      <c r="Z49" s="7">
        <f>IF(COUNT(D49:U49)=0,"",INDEX($D$1:$U$1,MATCH(MIN(D49:U49),D49:U49,0)))</f>
        <v/>
      </c>
      <c r="AA49" s="8" t="n">
        <v>2560.6</v>
      </c>
      <c r="AB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>
        <f>IF(COUNT(D50:U50)=0,"",MIN(D50:U50))</f>
        <v/>
      </c>
      <c r="W50" s="8">
        <f>IF(COUNT(D50:U50)=0,"",MEDIAN(D50:U50))</f>
        <v/>
      </c>
      <c r="X50" s="8">
        <f>IF(COUNT(D50:U50)=0,"",MAX(D50:U50))</f>
        <v/>
      </c>
      <c r="Y50" s="9">
        <f>IF(OR(V50="",V50=0),"",(X50-V50)/V50)</f>
        <v/>
      </c>
      <c r="Z50" s="7">
        <f>IF(COUNT(D50:U50)=0,"",INDEX($D$1:$U$1,MATCH(MIN(D50:U50),D50:U50,0)))</f>
        <v/>
      </c>
      <c r="AA50" s="8" t="n">
        <v>4092.24</v>
      </c>
      <c r="AB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>
        <f>IF(COUNT(D51:U51)=0,"",MIN(D51:U51))</f>
        <v/>
      </c>
      <c r="W51" s="8">
        <f>IF(COUNT(D51:U51)=0,"",MEDIAN(D51:U51))</f>
        <v/>
      </c>
      <c r="X51" s="8">
        <f>IF(COUNT(D51:U51)=0,"",MAX(D51:U51))</f>
        <v/>
      </c>
      <c r="Y51" s="9">
        <f>IF(OR(V51="",V51=0),"",(X51-V51)/V51)</f>
        <v/>
      </c>
      <c r="Z51" s="7">
        <f>IF(COUNT(D51:U51)=0,"",INDEX($D$1:$U$1,MATCH(MIN(D51:U51),D51:U51,0)))</f>
        <v/>
      </c>
      <c r="AA51" s="8" t="n">
        <v>194.99</v>
      </c>
      <c r="AB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>
        <f>IF(COUNT(D52:U52)=0,"",MIN(D52:U52))</f>
        <v/>
      </c>
      <c r="W52" s="8">
        <f>IF(COUNT(D52:U52)=0,"",MEDIAN(D52:U52))</f>
        <v/>
      </c>
      <c r="X52" s="8">
        <f>IF(COUNT(D52:U52)=0,"",MAX(D52:U52))</f>
        <v/>
      </c>
      <c r="Y52" s="9">
        <f>IF(OR(V52="",V52=0),"",(X52-V52)/V52)</f>
        <v/>
      </c>
      <c r="Z52" s="7">
        <f>IF(COUNT(D52:U52)=0,"",INDEX($D$1:$U$1,MATCH(MIN(D52:U52),D52:U52,0)))</f>
        <v/>
      </c>
      <c r="AA52" s="8" t="n">
        <v>194.99</v>
      </c>
      <c r="AB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>
        <f>IF(COUNT(D53:U53)=0,"",MIN(D53:U53))</f>
        <v/>
      </c>
      <c r="W53" s="8">
        <f>IF(COUNT(D53:U53)=0,"",MEDIAN(D53:U53))</f>
        <v/>
      </c>
      <c r="X53" s="8">
        <f>IF(COUNT(D53:U53)=0,"",MAX(D53:U53))</f>
        <v/>
      </c>
      <c r="Y53" s="9">
        <f>IF(OR(V53="",V53=0),"",(X53-V53)/V53)</f>
        <v/>
      </c>
      <c r="Z53" s="7">
        <f>IF(COUNT(D53:U53)=0,"",INDEX($D$1:$U$1,MATCH(MIN(D53:U53),D53:U53,0)))</f>
        <v/>
      </c>
      <c r="AA53" s="8" t="n">
        <v>472.72</v>
      </c>
      <c r="AB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>
        <f>IF(COUNT(D54:U54)=0,"",MIN(D54:U54))</f>
        <v/>
      </c>
      <c r="W54" s="8">
        <f>IF(COUNT(D54:U54)=0,"",MEDIAN(D54:U54))</f>
        <v/>
      </c>
      <c r="X54" s="8">
        <f>IF(COUNT(D54:U54)=0,"",MAX(D54:U54))</f>
        <v/>
      </c>
      <c r="Y54" s="9">
        <f>IF(OR(V54="",V54=0),"",(X54-V54)/V54)</f>
        <v/>
      </c>
      <c r="Z54" s="7">
        <f>IF(COUNT(D54:U54)=0,"",INDEX($D$1:$U$1,MATCH(MIN(D54:U54),D54:U54,0)))</f>
        <v/>
      </c>
      <c r="AA54" s="8" t="n">
        <v>925.59</v>
      </c>
      <c r="AB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>
        <f>IF(COUNT(D55:U55)=0,"",MIN(D55:U55))</f>
        <v/>
      </c>
      <c r="W55" s="8">
        <f>IF(COUNT(D55:U55)=0,"",MEDIAN(D55:U55))</f>
        <v/>
      </c>
      <c r="X55" s="8">
        <f>IF(COUNT(D55:U55)=0,"",MAX(D55:U55))</f>
        <v/>
      </c>
      <c r="Y55" s="9">
        <f>IF(OR(V55="",V55=0),"",(X55-V55)/V55)</f>
        <v/>
      </c>
      <c r="Z55" s="7">
        <f>IF(COUNT(D55:U55)=0,"",INDEX($D$1:$U$1,MATCH(MIN(D55:U55),D55:U55,0)))</f>
        <v/>
      </c>
      <c r="AA55" s="8" t="n">
        <v>595</v>
      </c>
      <c r="AB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>
        <f>IF(COUNT(D56:U56)=0,"",MIN(D56:U56))</f>
        <v/>
      </c>
      <c r="W56" s="8">
        <f>IF(COUNT(D56:U56)=0,"",MEDIAN(D56:U56))</f>
        <v/>
      </c>
      <c r="X56" s="8">
        <f>IF(COUNT(D56:U56)=0,"",MAX(D56:U56))</f>
        <v/>
      </c>
      <c r="Y56" s="9">
        <f>IF(OR(V56="",V56=0),"",(X56-V56)/V56)</f>
        <v/>
      </c>
      <c r="Z56" s="7">
        <f>IF(COUNT(D56:U56)=0,"",INDEX($D$1:$U$1,MATCH(MIN(D56:U56),D56:U56,0)))</f>
        <v/>
      </c>
      <c r="AA56" s="8" t="n">
        <v>85.88</v>
      </c>
      <c r="AB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>
        <f>IF(COUNT(D57:U57)=0,"",MIN(D57:U57))</f>
        <v/>
      </c>
      <c r="W57" s="8">
        <f>IF(COUNT(D57:U57)=0,"",MEDIAN(D57:U57))</f>
        <v/>
      </c>
      <c r="X57" s="8">
        <f>IF(COUNT(D57:U57)=0,"",MAX(D57:U57))</f>
        <v/>
      </c>
      <c r="Y57" s="9">
        <f>IF(OR(V57="",V57=0),"",(X57-V57)/V57)</f>
        <v/>
      </c>
      <c r="Z57" s="7">
        <f>IF(COUNT(D57:U57)=0,"",INDEX($D$1:$U$1,MATCH(MIN(D57:U57),D57:U57,0)))</f>
        <v/>
      </c>
      <c r="AA57" s="8" t="n">
        <v>75.15000000000001</v>
      </c>
      <c r="AB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>
        <f>IF(COUNT(D58:U58)=0,"",MIN(D58:U58))</f>
        <v/>
      </c>
      <c r="W58" s="8">
        <f>IF(COUNT(D58:U58)=0,"",MEDIAN(D58:U58))</f>
        <v/>
      </c>
      <c r="X58" s="8">
        <f>IF(COUNT(D58:U58)=0,"",MAX(D58:U58))</f>
        <v/>
      </c>
      <c r="Y58" s="9">
        <f>IF(OR(V58="",V58=0),"",(X58-V58)/V58)</f>
        <v/>
      </c>
      <c r="Z58" s="7">
        <f>IF(COUNT(D58:U58)=0,"",INDEX($D$1:$U$1,MATCH(MIN(D58:U58),D58:U58,0)))</f>
        <v/>
      </c>
      <c r="AA58" s="8" t="n">
        <v>45</v>
      </c>
      <c r="AB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>
        <f>IF(COUNT(D59:U59)=0,"",MIN(D59:U59))</f>
        <v/>
      </c>
      <c r="W59" s="8">
        <f>IF(COUNT(D59:U59)=0,"",MEDIAN(D59:U59))</f>
        <v/>
      </c>
      <c r="X59" s="8">
        <f>IF(COUNT(D59:U59)=0,"",MAX(D59:U59))</f>
        <v/>
      </c>
      <c r="Y59" s="9">
        <f>IF(OR(V59="",V59=0),"",(X59-V59)/V59)</f>
        <v/>
      </c>
      <c r="Z59" s="7">
        <f>IF(COUNT(D59:U59)=0,"",INDEX($D$1:$U$1,MATCH(MIN(D59:U59),D59:U59,0)))</f>
        <v/>
      </c>
      <c r="AA59" s="8" t="n">
        <v>101.99</v>
      </c>
      <c r="AB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>
        <f>IF(COUNT(D60:U60)=0,"",MIN(D60:U60))</f>
        <v/>
      </c>
      <c r="W60" s="8">
        <f>IF(COUNT(D60:U60)=0,"",MEDIAN(D60:U60))</f>
        <v/>
      </c>
      <c r="X60" s="8">
        <f>IF(COUNT(D60:U60)=0,"",MAX(D60:U60))</f>
        <v/>
      </c>
      <c r="Y60" s="9">
        <f>IF(OR(V60="",V60=0),"",(X60-V60)/V60)</f>
        <v/>
      </c>
      <c r="Z60" s="7">
        <f>IF(COUNT(D60:U60)=0,"",INDEX($D$1:$U$1,MATCH(MIN(D60:U60),D60:U60,0)))</f>
        <v/>
      </c>
      <c r="AA60" s="8" t="n">
        <v>123.46</v>
      </c>
      <c r="AB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>
        <f>IF(COUNT(D61:U61)=0,"",MIN(D61:U61))</f>
        <v/>
      </c>
      <c r="W61" s="8">
        <f>IF(COUNT(D61:U61)=0,"",MEDIAN(D61:U61))</f>
        <v/>
      </c>
      <c r="X61" s="8">
        <f>IF(COUNT(D61:U61)=0,"",MAX(D61:U61))</f>
        <v/>
      </c>
      <c r="Y61" s="9">
        <f>IF(OR(V61="",V61=0),"",(X61-V61)/V61)</f>
        <v/>
      </c>
      <c r="Z61" s="7">
        <f>IF(COUNT(D61:U61)=0,"",INDEX($D$1:$U$1,MATCH(MIN(D61:U61),D61:U61,0)))</f>
        <v/>
      </c>
      <c r="AA61" s="8" t="n">
        <v>150.31</v>
      </c>
      <c r="AB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>
        <f>IF(COUNT(D62:U62)=0,"",MIN(D62:U62))</f>
        <v/>
      </c>
      <c r="W62" s="8">
        <f>IF(COUNT(D62:U62)=0,"",MEDIAN(D62:U62))</f>
        <v/>
      </c>
      <c r="X62" s="8">
        <f>IF(COUNT(D62:U62)=0,"",MAX(D62:U62))</f>
        <v/>
      </c>
      <c r="Y62" s="9">
        <f>IF(OR(V62="",V62=0),"",(X62-V62)/V62)</f>
        <v/>
      </c>
      <c r="Z62" s="7">
        <f>IF(COUNT(D62:U62)=0,"",INDEX($D$1:$U$1,MATCH(MIN(D62:U62),D62:U62,0)))</f>
        <v/>
      </c>
      <c r="AA62" s="8" t="n">
        <v>203.99</v>
      </c>
      <c r="AB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>
        <f>IF(COUNT(D63:U63)=0,"",MIN(D63:U63))</f>
        <v/>
      </c>
      <c r="W63" s="8">
        <f>IF(COUNT(D63:U63)=0,"",MEDIAN(D63:U63))</f>
        <v/>
      </c>
      <c r="X63" s="8">
        <f>IF(COUNT(D63:U63)=0,"",MAX(D63:U63))</f>
        <v/>
      </c>
      <c r="Y63" s="9">
        <f>IF(OR(V63="",V63=0),"",(X63-V63)/V63)</f>
        <v/>
      </c>
      <c r="Z63" s="7">
        <f>IF(COUNT(D63:U63)=0,"",INDEX($D$1:$U$1,MATCH(MIN(D63:U63),D63:U63,0)))</f>
        <v/>
      </c>
      <c r="AA63" s="8" t="n">
        <v>305</v>
      </c>
      <c r="AB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>
        <f>IF(COUNT(D64:U64)=0,"",MIN(D64:U64))</f>
        <v/>
      </c>
      <c r="W64" s="8">
        <f>IF(COUNT(D64:U64)=0,"",MEDIAN(D64:U64))</f>
        <v/>
      </c>
      <c r="X64" s="8">
        <f>IF(COUNT(D64:U64)=0,"",MAX(D64:U64))</f>
        <v/>
      </c>
      <c r="Y64" s="9">
        <f>IF(OR(V64="",V64=0),"",(X64-V64)/V64)</f>
        <v/>
      </c>
      <c r="Z64" s="7">
        <f>IF(COUNT(D64:U64)=0,"",INDEX($D$1:$U$1,MATCH(MIN(D64:U64),D64:U64,0)))</f>
        <v/>
      </c>
      <c r="AA64" s="8" t="n">
        <v>335</v>
      </c>
      <c r="AB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>
        <f>IF(COUNT(D65:U65)=0,"",MIN(D65:U65))</f>
        <v/>
      </c>
      <c r="W65" s="8">
        <f>IF(COUNT(D65:U65)=0,"",MEDIAN(D65:U65))</f>
        <v/>
      </c>
      <c r="X65" s="8">
        <f>IF(COUNT(D65:U65)=0,"",MAX(D65:U65))</f>
        <v/>
      </c>
      <c r="Y65" s="9">
        <f>IF(OR(V65="",V65=0),"",(X65-V65)/V65)</f>
        <v/>
      </c>
      <c r="Z65" s="7">
        <f>IF(COUNT(D65:U65)=0,"",INDEX($D$1:$U$1,MATCH(MIN(D65:U65),D65:U65,0)))</f>
        <v/>
      </c>
      <c r="AA65" s="8" t="n">
        <v>237.5</v>
      </c>
      <c r="AB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>
        <f>IF(COUNT(D66:U66)=0,"",MIN(D66:U66))</f>
        <v/>
      </c>
      <c r="W66" s="8">
        <f>IF(COUNT(D66:U66)=0,"",MEDIAN(D66:U66))</f>
        <v/>
      </c>
      <c r="X66" s="8">
        <f>IF(COUNT(D66:U66)=0,"",MAX(D66:U66))</f>
        <v/>
      </c>
      <c r="Y66" s="9">
        <f>IF(OR(V66="",V66=0),"",(X66-V66)/V66)</f>
        <v/>
      </c>
      <c r="Z66" s="7">
        <f>IF(COUNT(D66:U66)=0,"",INDEX($D$1:$U$1,MATCH(MIN(D66:U66),D66:U66,0)))</f>
        <v/>
      </c>
      <c r="AA66" s="8" t="n">
        <v>249</v>
      </c>
      <c r="AB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>
        <f>IF(COUNT(D67:U67)=0,"",MIN(D67:U67))</f>
        <v/>
      </c>
      <c r="W67" s="8">
        <f>IF(COUNT(D67:U67)=0,"",MEDIAN(D67:U67))</f>
        <v/>
      </c>
      <c r="X67" s="8">
        <f>IF(COUNT(D67:U67)=0,"",MAX(D67:U67))</f>
        <v/>
      </c>
      <c r="Y67" s="9">
        <f>IF(OR(V67="",V67=0),"",(X67-V67)/V67)</f>
        <v/>
      </c>
      <c r="Z67" s="7">
        <f>IF(COUNT(D67:U67)=0,"",INDEX($D$1:$U$1,MATCH(MIN(D67:U67),D67:U67,0)))</f>
        <v/>
      </c>
      <c r="AA67" s="8" t="n">
        <v>128.83</v>
      </c>
      <c r="AB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>
        <f>IF(COUNT(D68:U68)=0,"",MIN(D68:U68))</f>
        <v/>
      </c>
      <c r="W68" s="8">
        <f>IF(COUNT(D68:U68)=0,"",MEDIAN(D68:U68))</f>
        <v/>
      </c>
      <c r="X68" s="8">
        <f>IF(COUNT(D68:U68)=0,"",MAX(D68:U68))</f>
        <v/>
      </c>
      <c r="Y68" s="9">
        <f>IF(OR(V68="",V68=0),"",(X68-V68)/V68)</f>
        <v/>
      </c>
      <c r="Z68" s="7">
        <f>IF(COUNT(D68:U68)=0,"",INDEX($D$1:$U$1,MATCH(MIN(D68:U68),D68:U68,0)))</f>
        <v/>
      </c>
      <c r="AA68" s="8" t="n">
        <v>380</v>
      </c>
      <c r="AB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>
        <f>IF(COUNT(D69:U69)=0,"",MIN(D69:U69))</f>
        <v/>
      </c>
      <c r="W69" s="8">
        <f>IF(COUNT(D69:U69)=0,"",MEDIAN(D69:U69))</f>
        <v/>
      </c>
      <c r="X69" s="8">
        <f>IF(COUNT(D69:U69)=0,"",MAX(D69:U69))</f>
        <v/>
      </c>
      <c r="Y69" s="9">
        <f>IF(OR(V69="",V69=0),"",(X69-V69)/V69)</f>
        <v/>
      </c>
      <c r="Z69" s="7">
        <f>IF(COUNT(D69:U69)=0,"",INDEX($D$1:$U$1,MATCH(MIN(D69:U69),D69:U69,0)))</f>
        <v/>
      </c>
      <c r="AA69" s="8" t="n">
        <v>265</v>
      </c>
      <c r="AB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>
        <f>IF(COUNT(D70:U70)=0,"",MIN(D70:U70))</f>
        <v/>
      </c>
      <c r="W70" s="8">
        <f>IF(COUNT(D70:U70)=0,"",MEDIAN(D70:U70))</f>
        <v/>
      </c>
      <c r="X70" s="8">
        <f>IF(COUNT(D70:U70)=0,"",MAX(D70:U70))</f>
        <v/>
      </c>
      <c r="Y70" s="9">
        <f>IF(OR(V70="",V70=0),"",(X70-V70)/V70)</f>
        <v/>
      </c>
      <c r="Z70" s="7">
        <f>IF(COUNT(D70:U70)=0,"",INDEX($D$1:$U$1,MATCH(MIN(D70:U70),D70:U70,0)))</f>
        <v/>
      </c>
      <c r="AA70" s="8" t="n">
        <v>249</v>
      </c>
      <c r="AB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>
        <f>IF(COUNT(D71:U71)=0,"",MIN(D71:U71))</f>
        <v/>
      </c>
      <c r="W71" s="8">
        <f>IF(COUNT(D71:U71)=0,"",MEDIAN(D71:U71))</f>
        <v/>
      </c>
      <c r="X71" s="8">
        <f>IF(COUNT(D71:U71)=0,"",MAX(D71:U71))</f>
        <v/>
      </c>
      <c r="Y71" s="9">
        <f>IF(OR(V71="",V71=0),"",(X71-V71)/V71)</f>
        <v/>
      </c>
      <c r="Z71" s="7">
        <f>IF(COUNT(D71:U71)=0,"",INDEX($D$1:$U$1,MATCH(MIN(D71:U71),D71:U71,0)))</f>
        <v/>
      </c>
      <c r="AA71" s="8" t="n">
        <v>115</v>
      </c>
      <c r="AB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>
        <f>IF(COUNT(D72:U72)=0,"",MIN(D72:U72))</f>
        <v/>
      </c>
      <c r="W72" s="8">
        <f>IF(COUNT(D72:U72)=0,"",MEDIAN(D72:U72))</f>
        <v/>
      </c>
      <c r="X72" s="8">
        <f>IF(COUNT(D72:U72)=0,"",MAX(D72:U72))</f>
        <v/>
      </c>
      <c r="Y72" s="9">
        <f>IF(OR(V72="",V72=0),"",(X72-V72)/V72)</f>
        <v/>
      </c>
      <c r="Z72" s="7">
        <f>IF(COUNT(D72:U72)=0,"",INDEX($D$1:$U$1,MATCH(MIN(D72:U72),D72:U72,0)))</f>
        <v/>
      </c>
      <c r="AA72" s="8" t="n">
        <v>119</v>
      </c>
      <c r="AB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>
        <f>IF(COUNT(D73:U73)=0,"",MIN(D73:U73))</f>
        <v/>
      </c>
      <c r="W73" s="8">
        <f>IF(COUNT(D73:U73)=0,"",MEDIAN(D73:U73))</f>
        <v/>
      </c>
      <c r="X73" s="8">
        <f>IF(COUNT(D73:U73)=0,"",MAX(D73:U73))</f>
        <v/>
      </c>
      <c r="Y73" s="9">
        <f>IF(OR(V73="",V73=0),"",(X73-V73)/V73)</f>
        <v/>
      </c>
      <c r="Z73" s="7">
        <f>IF(COUNT(D73:U73)=0,"",INDEX($D$1:$U$1,MATCH(MIN(D73:U73),D73:U73,0)))</f>
        <v/>
      </c>
      <c r="AA73" s="8" t="n">
        <v>240</v>
      </c>
      <c r="AB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>
        <f>IF(COUNT(D74:U74)=0,"",MIN(D74:U74))</f>
        <v/>
      </c>
      <c r="W74" s="8">
        <f>IF(COUNT(D74:U74)=0,"",MEDIAN(D74:U74))</f>
        <v/>
      </c>
      <c r="X74" s="8">
        <f>IF(COUNT(D74:U74)=0,"",MAX(D74:U74))</f>
        <v/>
      </c>
      <c r="Y74" s="9">
        <f>IF(OR(V74="",V74=0),"",(X74-V74)/V74)</f>
        <v/>
      </c>
      <c r="Z74" s="7">
        <f>IF(COUNT(D74:U74)=0,"",INDEX($D$1:$U$1,MATCH(MIN(D74:U74),D74:U74,0)))</f>
        <v/>
      </c>
      <c r="AA74" s="8" t="n">
        <v>70</v>
      </c>
      <c r="AB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>
        <f>IF(COUNT(D75:U75)=0,"",MIN(D75:U75))</f>
        <v/>
      </c>
      <c r="W75" s="8">
        <f>IF(COUNT(D75:U75)=0,"",MEDIAN(D75:U75))</f>
        <v/>
      </c>
      <c r="X75" s="8">
        <f>IF(COUNT(D75:U75)=0,"",MAX(D75:U75))</f>
        <v/>
      </c>
      <c r="Y75" s="9">
        <f>IF(OR(V75="",V75=0),"",(X75-V75)/V75)</f>
        <v/>
      </c>
      <c r="Z75" s="7">
        <f>IF(COUNT(D75:U75)=0,"",INDEX($D$1:$U$1,MATCH(MIN(D75:U75),D75:U75,0)))</f>
        <v/>
      </c>
      <c r="AA75" s="8" t="n">
        <v>395</v>
      </c>
      <c r="AB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>
        <f>IF(COUNT(D76:U76)=0,"",MIN(D76:U76))</f>
        <v/>
      </c>
      <c r="W76" s="8">
        <f>IF(COUNT(D76:U76)=0,"",MEDIAN(D76:U76))</f>
        <v/>
      </c>
      <c r="X76" s="8">
        <f>IF(COUNT(D76:U76)=0,"",MAX(D76:U76))</f>
        <v/>
      </c>
      <c r="Y76" s="9">
        <f>IF(OR(V76="",V76=0),"",(X76-V76)/V76)</f>
        <v/>
      </c>
      <c r="Z76" s="7">
        <f>IF(COUNT(D76:U76)=0,"",INDEX($D$1:$U$1,MATCH(MIN(D76:U76),D76:U76,0)))</f>
        <v/>
      </c>
      <c r="AA76" s="8" t="n">
        <v>102.5</v>
      </c>
      <c r="AB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>
        <f>IF(COUNT(D77:U77)=0,"",MIN(D77:U77))</f>
        <v/>
      </c>
      <c r="W77" s="8">
        <f>IF(COUNT(D77:U77)=0,"",MEDIAN(D77:U77))</f>
        <v/>
      </c>
      <c r="X77" s="8">
        <f>IF(COUNT(D77:U77)=0,"",MAX(D77:U77))</f>
        <v/>
      </c>
      <c r="Y77" s="9">
        <f>IF(OR(V77="",V77=0),"",(X77-V77)/V77)</f>
        <v/>
      </c>
      <c r="Z77" s="7">
        <f>IF(COUNT(D77:U77)=0,"",INDEX($D$1:$U$1,MATCH(MIN(D77:U77),D77:U77,0)))</f>
        <v/>
      </c>
      <c r="AA77" s="8" t="n">
        <v>169</v>
      </c>
      <c r="AB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>
        <f>IF(COUNT(D78:U78)=0,"",MIN(D78:U78))</f>
        <v/>
      </c>
      <c r="W78" s="8">
        <f>IF(COUNT(D78:U78)=0,"",MEDIAN(D78:U78))</f>
        <v/>
      </c>
      <c r="X78" s="8">
        <f>IF(COUNT(D78:U78)=0,"",MAX(D78:U78))</f>
        <v/>
      </c>
      <c r="Y78" s="9">
        <f>IF(OR(V78="",V78=0),"",(X78-V78)/V78)</f>
        <v/>
      </c>
      <c r="Z78" s="7">
        <f>IF(COUNT(D78:U78)=0,"",INDEX($D$1:$U$1,MATCH(MIN(D78:U78),D78:U78,0)))</f>
        <v/>
      </c>
      <c r="AA78" s="8" t="n">
        <v>35818.07</v>
      </c>
      <c r="AB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>
        <f>IF(COUNT(D79:U79)=0,"",MIN(D79:U79))</f>
        <v/>
      </c>
      <c r="W79" s="8">
        <f>IF(COUNT(D79:U79)=0,"",MEDIAN(D79:U79))</f>
        <v/>
      </c>
      <c r="X79" s="8">
        <f>IF(COUNT(D79:U79)=0,"",MAX(D79:U79))</f>
        <v/>
      </c>
      <c r="Y79" s="9">
        <f>IF(OR(V79="",V79=0),"",(X79-V79)/V79)</f>
        <v/>
      </c>
      <c r="Z79" s="7">
        <f>IF(COUNT(D79:U79)=0,"",INDEX($D$1:$U$1,MATCH(MIN(D79:U79),D79:U79,0)))</f>
        <v/>
      </c>
      <c r="AA79" s="8" t="n">
        <v>32070.28</v>
      </c>
      <c r="AB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>
        <f>IF(COUNT(D80:U80)=0,"",MIN(D80:U80))</f>
        <v/>
      </c>
      <c r="W80" s="8">
        <f>IF(COUNT(D80:U80)=0,"",MEDIAN(D80:U80))</f>
        <v/>
      </c>
      <c r="X80" s="8">
        <f>IF(COUNT(D80:U80)=0,"",MAX(D80:U80))</f>
        <v/>
      </c>
      <c r="Y80" s="9">
        <f>IF(OR(V80="",V80=0),"",(X80-V80)/V80)</f>
        <v/>
      </c>
      <c r="Z80" s="7">
        <f>IF(COUNT(D80:U80)=0,"",INDEX($D$1:$U$1,MATCH(MIN(D80:U80),D80:U80,0)))</f>
        <v/>
      </c>
      <c r="AA80" s="8" t="n">
        <v>2857.38</v>
      </c>
      <c r="AB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>
        <f>IF(COUNT(D81:U81)=0,"",MIN(D81:U81))</f>
        <v/>
      </c>
      <c r="W81" s="8">
        <f>IF(COUNT(D81:U81)=0,"",MEDIAN(D81:U81))</f>
        <v/>
      </c>
      <c r="X81" s="8">
        <f>IF(COUNT(D81:U81)=0,"",MAX(D81:U81))</f>
        <v/>
      </c>
      <c r="Y81" s="9">
        <f>IF(OR(V81="",V81=0),"",(X81-V81)/V81)</f>
        <v/>
      </c>
      <c r="Z81" s="7">
        <f>IF(COUNT(D81:U81)=0,"",INDEX($D$1:$U$1,MATCH(MIN(D81:U81),D81:U81,0)))</f>
        <v/>
      </c>
      <c r="AA81" s="8" t="n">
        <v>6482.72</v>
      </c>
      <c r="AB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>
        <f>IF(COUNT(D82:U82)=0,"",MIN(D82:U82))</f>
        <v/>
      </c>
      <c r="W82" s="8">
        <f>IF(COUNT(D82:U82)=0,"",MEDIAN(D82:U82))</f>
        <v/>
      </c>
      <c r="X82" s="8">
        <f>IF(COUNT(D82:U82)=0,"",MAX(D82:U82))</f>
        <v/>
      </c>
      <c r="Y82" s="9">
        <f>IF(OR(V82="",V82=0),"",(X82-V82)/V82)</f>
        <v/>
      </c>
      <c r="Z82" s="7">
        <f>IF(COUNT(D82:U82)=0,"",INDEX($D$1:$U$1,MATCH(MIN(D82:U82),D82:U82,0)))</f>
        <v/>
      </c>
      <c r="AA82" s="8" t="n">
        <v>9559.049999999999</v>
      </c>
      <c r="AB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>
        <f>IF(COUNT(D83:U83)=0,"",MIN(D83:U83))</f>
        <v/>
      </c>
      <c r="W83" s="8">
        <f>IF(COUNT(D83:U83)=0,"",MEDIAN(D83:U83))</f>
        <v/>
      </c>
      <c r="X83" s="8">
        <f>IF(COUNT(D83:U83)=0,"",MAX(D83:U83))</f>
        <v/>
      </c>
      <c r="Y83" s="9">
        <f>IF(OR(V83="",V83=0),"",(X83-V83)/V83)</f>
        <v/>
      </c>
      <c r="Z83" s="7">
        <f>IF(COUNT(D83:U83)=0,"",INDEX($D$1:$U$1,MATCH(MIN(D83:U83),D83:U83,0)))</f>
        <v/>
      </c>
      <c r="AA83" s="8" t="n">
        <v>15050.43</v>
      </c>
      <c r="AB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>
        <f>IF(COUNT(D84:U84)=0,"",MIN(D84:U84))</f>
        <v/>
      </c>
      <c r="W84" s="8">
        <f>IF(COUNT(D84:U84)=0,"",MEDIAN(D84:U84))</f>
        <v/>
      </c>
      <c r="X84" s="8">
        <f>IF(COUNT(D84:U84)=0,"",MAX(D84:U84))</f>
        <v/>
      </c>
      <c r="Y84" s="9">
        <f>IF(OR(V84="",V84=0),"",(X84-V84)/V84)</f>
        <v/>
      </c>
      <c r="Z84" s="7">
        <f>IF(COUNT(D84:U84)=0,"",INDEX($D$1:$U$1,MATCH(MIN(D84:U84),D84:U84,0)))</f>
        <v/>
      </c>
      <c r="AA84" s="8" t="n">
        <v>814.6799999999999</v>
      </c>
      <c r="AB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>
        <f>IF(COUNT(D85:U85)=0,"",MIN(D85:U85))</f>
        <v/>
      </c>
      <c r="W85" s="8">
        <f>IF(COUNT(D85:U85)=0,"",MEDIAN(D85:U85))</f>
        <v/>
      </c>
      <c r="X85" s="8">
        <f>IF(COUNT(D85:U85)=0,"",MAX(D85:U85))</f>
        <v/>
      </c>
      <c r="Y85" s="9">
        <f>IF(OR(V85="",V85=0),"",(X85-V85)/V85)</f>
        <v/>
      </c>
      <c r="Z85" s="7">
        <f>IF(COUNT(D85:U85)=0,"",INDEX($D$1:$U$1,MATCH(MIN(D85:U85),D85:U85,0)))</f>
        <v/>
      </c>
      <c r="AA85" s="8" t="n">
        <v>2931.73</v>
      </c>
      <c r="AB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>
        <f>IF(COUNT(D86:U86)=0,"",MIN(D86:U86))</f>
        <v/>
      </c>
      <c r="W86" s="8">
        <f>IF(COUNT(D86:U86)=0,"",MEDIAN(D86:U86))</f>
        <v/>
      </c>
      <c r="X86" s="8">
        <f>IF(COUNT(D86:U86)=0,"",MAX(D86:U86))</f>
        <v/>
      </c>
      <c r="Y86" s="9">
        <f>IF(OR(V86="",V86=0),"",(X86-V86)/V86)</f>
        <v/>
      </c>
      <c r="Z86" s="7">
        <f>IF(COUNT(D86:U86)=0,"",INDEX($D$1:$U$1,MATCH(MIN(D86:U86),D86:U86,0)))</f>
        <v/>
      </c>
      <c r="AA86" s="8" t="n">
        <v>4694.51</v>
      </c>
      <c r="AB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>
        <f>IF(COUNT(D87:U87)=0,"",MIN(D87:U87))</f>
        <v/>
      </c>
      <c r="W87" s="8">
        <f>IF(COUNT(D87:U87)=0,"",MEDIAN(D87:U87))</f>
        <v/>
      </c>
      <c r="X87" s="8">
        <f>IF(COUNT(D87:U87)=0,"",MAX(D87:U87))</f>
        <v/>
      </c>
      <c r="Y87" s="9">
        <f>IF(OR(V87="",V87=0),"",(X87-V87)/V87)</f>
        <v/>
      </c>
      <c r="Z87" s="7">
        <f>IF(COUNT(D87:U87)=0,"",INDEX($D$1:$U$1,MATCH(MIN(D87:U87),D87:U87,0)))</f>
        <v/>
      </c>
      <c r="AA87" s="8" t="n">
        <v>323.68</v>
      </c>
      <c r="AB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>
        <f>IF(COUNT(D88:U88)=0,"",MIN(D88:U88))</f>
        <v/>
      </c>
      <c r="W88" s="8">
        <f>IF(COUNT(D88:U88)=0,"",MEDIAN(D88:U88))</f>
        <v/>
      </c>
      <c r="X88" s="8">
        <f>IF(COUNT(D88:U88)=0,"",MAX(D88:U88))</f>
        <v/>
      </c>
      <c r="Y88" s="9">
        <f>IF(OR(V88="",V88=0),"",(X88-V88)/V88)</f>
        <v/>
      </c>
      <c r="Z88" s="7">
        <f>IF(COUNT(D88:U88)=0,"",INDEX($D$1:$U$1,MATCH(MIN(D88:U88),D88:U88,0)))</f>
        <v/>
      </c>
      <c r="AA88" s="8" t="n">
        <v>1279.54</v>
      </c>
      <c r="AB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>
        <f>IF(COUNT(D89:U89)=0,"",MIN(D89:U89))</f>
        <v/>
      </c>
      <c r="W89" s="8">
        <f>IF(COUNT(D89:U89)=0,"",MEDIAN(D89:U89))</f>
        <v/>
      </c>
      <c r="X89" s="8">
        <f>IF(COUNT(D89:U89)=0,"",MAX(D89:U89))</f>
        <v/>
      </c>
      <c r="Y89" s="9">
        <f>IF(OR(V89="",V89=0),"",(X89-V89)/V89)</f>
        <v/>
      </c>
      <c r="Z89" s="7">
        <f>IF(COUNT(D89:U89)=0,"",INDEX($D$1:$U$1,MATCH(MIN(D89:U89),D89:U89,0)))</f>
        <v/>
      </c>
      <c r="AA89" s="8" t="n">
        <v>5321.25</v>
      </c>
      <c r="AB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>
        <f>IF(COUNT(D90:U90)=0,"",MIN(D90:U90))</f>
        <v/>
      </c>
      <c r="W90" s="8">
        <f>IF(COUNT(D90:U90)=0,"",MEDIAN(D90:U90))</f>
        <v/>
      </c>
      <c r="X90" s="8">
        <f>IF(COUNT(D90:U90)=0,"",MAX(D90:U90))</f>
        <v/>
      </c>
      <c r="Y90" s="9">
        <f>IF(OR(V90="",V90=0),"",(X90-V90)/V90)</f>
        <v/>
      </c>
      <c r="Z90" s="7">
        <f>IF(COUNT(D90:U90)=0,"",INDEX($D$1:$U$1,MATCH(MIN(D90:U90),D90:U90,0)))</f>
        <v/>
      </c>
      <c r="AA90" s="8" t="n">
        <v>1644.46</v>
      </c>
      <c r="AB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>
        <f>IF(COUNT(D91:U91)=0,"",MIN(D91:U91))</f>
        <v/>
      </c>
      <c r="W91" s="8">
        <f>IF(COUNT(D91:U91)=0,"",MEDIAN(D91:U91))</f>
        <v/>
      </c>
      <c r="X91" s="8">
        <f>IF(COUNT(D91:U91)=0,"",MAX(D91:U91))</f>
        <v/>
      </c>
      <c r="Y91" s="9">
        <f>IF(OR(V91="",V91=0),"",(X91-V91)/V91)</f>
        <v/>
      </c>
      <c r="Z91" s="7">
        <f>IF(COUNT(D91:U91)=0,"",INDEX($D$1:$U$1,MATCH(MIN(D91:U91),D91:U91,0)))</f>
        <v/>
      </c>
      <c r="AA91" s="8" t="n">
        <v>358.67</v>
      </c>
      <c r="AB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>
        <f>IF(COUNT(D92:U92)=0,"",MIN(D92:U92))</f>
        <v/>
      </c>
      <c r="W92" s="8">
        <f>IF(COUNT(D92:U92)=0,"",MEDIAN(D92:U92))</f>
        <v/>
      </c>
      <c r="X92" s="8">
        <f>IF(COUNT(D92:U92)=0,"",MAX(D92:U92))</f>
        <v/>
      </c>
      <c r="Y92" s="9">
        <f>IF(OR(V92="",V92=0),"",(X92-V92)/V92)</f>
        <v/>
      </c>
      <c r="Z92" s="7">
        <f>IF(COUNT(D92:U92)=0,"",INDEX($D$1:$U$1,MATCH(MIN(D92:U92),D92:U92,0)))</f>
        <v/>
      </c>
      <c r="AA92" s="8" t="n">
        <v>234.67</v>
      </c>
      <c r="AB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>
        <f>IF(COUNT(D93:U93)=0,"",MIN(D93:U93))</f>
        <v/>
      </c>
      <c r="W93" s="8">
        <f>IF(COUNT(D93:U93)=0,"",MEDIAN(D93:U93))</f>
        <v/>
      </c>
      <c r="X93" s="8">
        <f>IF(COUNT(D93:U93)=0,"",MAX(D93:U93))</f>
        <v/>
      </c>
      <c r="Y93" s="9">
        <f>IF(OR(V93="",V93=0),"",(X93-V93)/V93)</f>
        <v/>
      </c>
      <c r="Z93" s="7">
        <f>IF(COUNT(D93:U93)=0,"",INDEX($D$1:$U$1,MATCH(MIN(D93:U93),D93:U93,0)))</f>
        <v/>
      </c>
      <c r="AA93" s="8" t="n">
        <v>151.87</v>
      </c>
      <c r="AB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>
        <f>IF(COUNT(D94:U94)=0,"",MIN(D94:U94))</f>
        <v/>
      </c>
      <c r="W94" s="8">
        <f>IF(COUNT(D94:U94)=0,"",MEDIAN(D94:U94))</f>
        <v/>
      </c>
      <c r="X94" s="8">
        <f>IF(COUNT(D94:U94)=0,"",MAX(D94:U94))</f>
        <v/>
      </c>
      <c r="Y94" s="9">
        <f>IF(OR(V94="",V94=0),"",(X94-V94)/V94)</f>
        <v/>
      </c>
      <c r="Z94" s="7">
        <f>IF(COUNT(D94:U94)=0,"",INDEX($D$1:$U$1,MATCH(MIN(D94:U94),D94:U94,0)))</f>
        <v/>
      </c>
      <c r="AA94" s="8" t="n">
        <v>448.34</v>
      </c>
      <c r="AB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>
        <f>IF(COUNT(D95:U95)=0,"",MIN(D95:U95))</f>
        <v/>
      </c>
      <c r="W95" s="8">
        <f>IF(COUNT(D95:U95)=0,"",MEDIAN(D95:U95))</f>
        <v/>
      </c>
      <c r="X95" s="8">
        <f>IF(COUNT(D95:U95)=0,"",MAX(D95:U95))</f>
        <v/>
      </c>
      <c r="Y95" s="9">
        <f>IF(OR(V95="",V95=0),"",(X95-V95)/V95)</f>
        <v/>
      </c>
      <c r="Z95" s="7">
        <f>IF(COUNT(D95:U95)=0,"",INDEX($D$1:$U$1,MATCH(MIN(D95:U95),D95:U95,0)))</f>
        <v/>
      </c>
      <c r="AA95" s="8" t="n">
        <v>151.87</v>
      </c>
      <c r="AB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>
        <f>IF(COUNT(D96:U96)=0,"",MIN(D96:U96))</f>
        <v/>
      </c>
      <c r="W96" s="8">
        <f>IF(COUNT(D96:U96)=0,"",MEDIAN(D96:U96))</f>
        <v/>
      </c>
      <c r="X96" s="8">
        <f>IF(COUNT(D96:U96)=0,"",MAX(D96:U96))</f>
        <v/>
      </c>
      <c r="Y96" s="9">
        <f>IF(OR(V96="",V96=0),"",(X96-V96)/V96)</f>
        <v/>
      </c>
      <c r="Z96" s="7">
        <f>IF(COUNT(D96:U96)=0,"",INDEX($D$1:$U$1,MATCH(MIN(D96:U96),D96:U96,0)))</f>
        <v/>
      </c>
      <c r="AA96" s="8" t="n">
        <v>1160</v>
      </c>
      <c r="AB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>
        <f>IF(COUNT(D97:U97)=0,"",MIN(D97:U97))</f>
        <v/>
      </c>
      <c r="W97" s="8">
        <f>IF(COUNT(D97:U97)=0,"",MEDIAN(D97:U97))</f>
        <v/>
      </c>
      <c r="X97" s="8">
        <f>IF(COUNT(D97:U97)=0,"",MAX(D97:U97))</f>
        <v/>
      </c>
      <c r="Y97" s="9">
        <f>IF(OR(V97="",V97=0),"",(X97-V97)/V97)</f>
        <v/>
      </c>
      <c r="Z97" s="7">
        <f>IF(COUNT(D97:U97)=0,"",INDEX($D$1:$U$1,MATCH(MIN(D97:U97),D97:U97,0)))</f>
        <v/>
      </c>
      <c r="AA97" s="8" t="n">
        <v>322.97</v>
      </c>
      <c r="AB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>
        <f>IF(COUNT(D98:U98)=0,"",MIN(D98:U98))</f>
        <v/>
      </c>
      <c r="W98" s="8">
        <f>IF(COUNT(D98:U98)=0,"",MEDIAN(D98:U98))</f>
        <v/>
      </c>
      <c r="X98" s="8">
        <f>IF(COUNT(D98:U98)=0,"",MAX(D98:U98))</f>
        <v/>
      </c>
      <c r="Y98" s="9">
        <f>IF(OR(V98="",V98=0),"",(X98-V98)/V98)</f>
        <v/>
      </c>
      <c r="Z98" s="7">
        <f>IF(COUNT(D98:U98)=0,"",INDEX($D$1:$U$1,MATCH(MIN(D98:U98),D98:U98,0)))</f>
        <v/>
      </c>
      <c r="AA98" s="8" t="n">
        <v>885</v>
      </c>
      <c r="AB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>
        <f>IF(COUNT(D99:U99)=0,"",MIN(D99:U99))</f>
        <v/>
      </c>
      <c r="W99" s="8">
        <f>IF(COUNT(D99:U99)=0,"",MEDIAN(D99:U99))</f>
        <v/>
      </c>
      <c r="X99" s="8">
        <f>IF(COUNT(D99:U99)=0,"",MAX(D99:U99))</f>
        <v/>
      </c>
      <c r="Y99" s="9">
        <f>IF(OR(V99="",V99=0),"",(X99-V99)/V99)</f>
        <v/>
      </c>
      <c r="Z99" s="7">
        <f>IF(COUNT(D99:U99)=0,"",INDEX($D$1:$U$1,MATCH(MIN(D99:U99),D99:U99,0)))</f>
        <v/>
      </c>
      <c r="AA99" s="8" t="n">
        <v>1403.29</v>
      </c>
      <c r="AB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>
        <f>IF(COUNT(D100:U100)=0,"",MIN(D100:U100))</f>
        <v/>
      </c>
      <c r="W100" s="8">
        <f>IF(COUNT(D100:U100)=0,"",MEDIAN(D100:U100))</f>
        <v/>
      </c>
      <c r="X100" s="8">
        <f>IF(COUNT(D100:U100)=0,"",MAX(D100:U100))</f>
        <v/>
      </c>
      <c r="Y100" s="9">
        <f>IF(OR(V100="",V100=0),"",(X100-V100)/V100)</f>
        <v/>
      </c>
      <c r="Z100" s="7">
        <f>IF(COUNT(D100:U100)=0,"",INDEX($D$1:$U$1,MATCH(MIN(D100:U100),D100:U100,0)))</f>
        <v/>
      </c>
      <c r="AA100" s="8" t="n">
        <v>4784.99</v>
      </c>
      <c r="AB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>
        <f>IF(COUNT(D101:U101)=0,"",MIN(D101:U101))</f>
        <v/>
      </c>
      <c r="W101" s="8">
        <f>IF(COUNT(D101:U101)=0,"",MEDIAN(D101:U101))</f>
        <v/>
      </c>
      <c r="X101" s="8">
        <f>IF(COUNT(D101:U101)=0,"",MAX(D101:U101))</f>
        <v/>
      </c>
      <c r="Y101" s="9">
        <f>IF(OR(V101="",V101=0),"",(X101-V101)/V101)</f>
        <v/>
      </c>
      <c r="Z101" s="7">
        <f>IF(COUNT(D101:U101)=0,"",INDEX($D$1:$U$1,MATCH(MIN(D101:U101),D101:U101,0)))</f>
        <v/>
      </c>
      <c r="AA101" s="8" t="n">
        <v>2490</v>
      </c>
      <c r="AB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>
        <f>IF(COUNT(D102:U102)=0,"",MIN(D102:U102))</f>
        <v/>
      </c>
      <c r="W102" s="8">
        <f>IF(COUNT(D102:U102)=0,"",MEDIAN(D102:U102))</f>
        <v/>
      </c>
      <c r="X102" s="8">
        <f>IF(COUNT(D102:U102)=0,"",MAX(D102:U102))</f>
        <v/>
      </c>
      <c r="Y102" s="9">
        <f>IF(OR(V102="",V102=0),"",(X102-V102)/V102)</f>
        <v/>
      </c>
      <c r="Z102" s="7">
        <f>IF(COUNT(D102:U102)=0,"",INDEX($D$1:$U$1,MATCH(MIN(D102:U102),D102:U102,0)))</f>
        <v/>
      </c>
      <c r="AA102" s="8" t="n">
        <v>1497.5</v>
      </c>
      <c r="AB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>
        <f>IF(COUNT(D103:U103)=0,"",MIN(D103:U103))</f>
        <v/>
      </c>
      <c r="W103" s="8">
        <f>IF(COUNT(D103:U103)=0,"",MEDIAN(D103:U103))</f>
        <v/>
      </c>
      <c r="X103" s="8">
        <f>IF(COUNT(D103:U103)=0,"",MAX(D103:U103))</f>
        <v/>
      </c>
      <c r="Y103" s="9">
        <f>IF(OR(V103="",V103=0),"",(X103-V103)/V103)</f>
        <v/>
      </c>
      <c r="Z103" s="7">
        <f>IF(COUNT(D103:U103)=0,"",INDEX($D$1:$U$1,MATCH(MIN(D103:U103),D103:U103,0)))</f>
        <v/>
      </c>
      <c r="AA103" s="8" t="n">
        <v>1245.72</v>
      </c>
      <c r="AB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>
        <f>IF(COUNT(D104:U104)=0,"",MIN(D104:U104))</f>
        <v/>
      </c>
      <c r="W104" s="8">
        <f>IF(COUNT(D104:U104)=0,"",MEDIAN(D104:U104))</f>
        <v/>
      </c>
      <c r="X104" s="8">
        <f>IF(COUNT(D104:U104)=0,"",MAX(D104:U104))</f>
        <v/>
      </c>
      <c r="Y104" s="9">
        <f>IF(OR(V104="",V104=0),"",(X104-V104)/V104)</f>
        <v/>
      </c>
      <c r="Z104" s="7">
        <f>IF(COUNT(D104:U104)=0,"",INDEX($D$1:$U$1,MATCH(MIN(D104:U104),D104:U104,0)))</f>
        <v/>
      </c>
      <c r="AA104" s="8" t="n">
        <v>581.85</v>
      </c>
      <c r="AB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>
        <f>IF(COUNT(D105:U105)=0,"",MIN(D105:U105))</f>
        <v/>
      </c>
      <c r="W105" s="8">
        <f>IF(COUNT(D105:U105)=0,"",MEDIAN(D105:U105))</f>
        <v/>
      </c>
      <c r="X105" s="8">
        <f>IF(COUNT(D105:U105)=0,"",MAX(D105:U105))</f>
        <v/>
      </c>
      <c r="Y105" s="9">
        <f>IF(OR(V105="",V105=0),"",(X105-V105)/V105)</f>
        <v/>
      </c>
      <c r="Z105" s="7">
        <f>IF(COUNT(D105:U105)=0,"",INDEX($D$1:$U$1,MATCH(MIN(D105:U105),D105:U105,0)))</f>
        <v/>
      </c>
      <c r="AA105" s="8" t="n">
        <v>1926.69</v>
      </c>
      <c r="AB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>
        <f>IF(COUNT(D106:U106)=0,"",MIN(D106:U106))</f>
        <v/>
      </c>
      <c r="W106" s="8">
        <f>IF(COUNT(D106:U106)=0,"",MEDIAN(D106:U106))</f>
        <v/>
      </c>
      <c r="X106" s="8">
        <f>IF(COUNT(D106:U106)=0,"",MAX(D106:U106))</f>
        <v/>
      </c>
      <c r="Y106" s="9">
        <f>IF(OR(V106="",V106=0),"",(X106-V106)/V106)</f>
        <v/>
      </c>
      <c r="Z106" s="7">
        <f>IF(COUNT(D106:U106)=0,"",INDEX($D$1:$U$1,MATCH(MIN(D106:U106),D106:U106,0)))</f>
        <v/>
      </c>
      <c r="AA106" s="8" t="n">
        <v>3100</v>
      </c>
      <c r="AB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>
        <f>IF(COUNT(D107:U107)=0,"",MIN(D107:U107))</f>
        <v/>
      </c>
      <c r="W107" s="8">
        <f>IF(COUNT(D107:U107)=0,"",MEDIAN(D107:U107))</f>
        <v/>
      </c>
      <c r="X107" s="8">
        <f>IF(COUNT(D107:U107)=0,"",MAX(D107:U107))</f>
        <v/>
      </c>
      <c r="Y107" s="9">
        <f>IF(OR(V107="",V107=0),"",(X107-V107)/V107)</f>
        <v/>
      </c>
      <c r="Z107" s="7">
        <f>IF(COUNT(D107:U107)=0,"",INDEX($D$1:$U$1,MATCH(MIN(D107:U107),D107:U107,0)))</f>
        <v/>
      </c>
      <c r="AA107" s="8" t="n">
        <v>1365.01</v>
      </c>
      <c r="AB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>
        <f>IF(COUNT(D108:U108)=0,"",MIN(D108:U108))</f>
        <v/>
      </c>
      <c r="W108" s="8">
        <f>IF(COUNT(D108:U108)=0,"",MEDIAN(D108:U108))</f>
        <v/>
      </c>
      <c r="X108" s="8">
        <f>IF(COUNT(D108:U108)=0,"",MAX(D108:U108))</f>
        <v/>
      </c>
      <c r="Y108" s="9">
        <f>IF(OR(V108="",V108=0),"",(X108-V108)/V108)</f>
        <v/>
      </c>
      <c r="Z108" s="7">
        <f>IF(COUNT(D108:U108)=0,"",INDEX($D$1:$U$1,MATCH(MIN(D108:U108),D108:U108,0)))</f>
        <v/>
      </c>
      <c r="AA108" s="8" t="n">
        <v>1400</v>
      </c>
      <c r="AB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>
        <f>IF(COUNT(D109:U109)=0,"",MIN(D109:U109))</f>
        <v/>
      </c>
      <c r="W109" s="8">
        <f>IF(COUNT(D109:U109)=0,"",MEDIAN(D109:U109))</f>
        <v/>
      </c>
      <c r="X109" s="8">
        <f>IF(COUNT(D109:U109)=0,"",MAX(D109:U109))</f>
        <v/>
      </c>
      <c r="Y109" s="9">
        <f>IF(OR(V109="",V109=0),"",(X109-V109)/V109)</f>
        <v/>
      </c>
      <c r="Z109" s="7">
        <f>IF(COUNT(D109:U109)=0,"",INDEX($D$1:$U$1,MATCH(MIN(D109:U109),D109:U109,0)))</f>
        <v/>
      </c>
      <c r="AA109" s="8" t="n">
        <v>590.12</v>
      </c>
      <c r="AB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>
        <f>IF(COUNT(D110:U110)=0,"",MIN(D110:U110))</f>
        <v/>
      </c>
      <c r="W110" s="8">
        <f>IF(COUNT(D110:U110)=0,"",MEDIAN(D110:U110))</f>
        <v/>
      </c>
      <c r="X110" s="8">
        <f>IF(COUNT(D110:U110)=0,"",MAX(D110:U110))</f>
        <v/>
      </c>
      <c r="Y110" s="9">
        <f>IF(OR(V110="",V110=0),"",(X110-V110)/V110)</f>
        <v/>
      </c>
      <c r="Z110" s="7">
        <f>IF(COUNT(D110:U110)=0,"",INDEX($D$1:$U$1,MATCH(MIN(D110:U110),D110:U110,0)))</f>
        <v/>
      </c>
      <c r="AA110" s="8" t="n">
        <v>745</v>
      </c>
      <c r="AB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>
        <f>IF(COUNT(D111:U111)=0,"",MIN(D111:U111))</f>
        <v/>
      </c>
      <c r="W111" s="8">
        <f>IF(COUNT(D111:U111)=0,"",MEDIAN(D111:U111))</f>
        <v/>
      </c>
      <c r="X111" s="8">
        <f>IF(COUNT(D111:U111)=0,"",MAX(D111:U111))</f>
        <v/>
      </c>
      <c r="Y111" s="9">
        <f>IF(OR(V111="",V111=0),"",(X111-V111)/V111)</f>
        <v/>
      </c>
      <c r="Z111" s="7">
        <f>IF(COUNT(D111:U111)=0,"",INDEX($D$1:$U$1,MATCH(MIN(D111:U111),D111:U111,0)))</f>
        <v/>
      </c>
      <c r="AA111" s="8" t="n">
        <v>435</v>
      </c>
      <c r="AB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>
        <f>IF(COUNT(D112:U112)=0,"",MIN(D112:U112))</f>
        <v/>
      </c>
      <c r="W112" s="8">
        <f>IF(COUNT(D112:U112)=0,"",MEDIAN(D112:U112))</f>
        <v/>
      </c>
      <c r="X112" s="8">
        <f>IF(COUNT(D112:U112)=0,"",MAX(D112:U112))</f>
        <v/>
      </c>
      <c r="Y112" s="9">
        <f>IF(OR(V112="",V112=0),"",(X112-V112)/V112)</f>
        <v/>
      </c>
      <c r="Z112" s="7">
        <f>IF(COUNT(D112:U112)=0,"",INDEX($D$1:$U$1,MATCH(MIN(D112:U112),D112:U112,0)))</f>
        <v/>
      </c>
      <c r="AA112" s="8" t="n">
        <v>1720</v>
      </c>
      <c r="AB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>
        <f>IF(COUNT(D113:U113)=0,"",MIN(D113:U113))</f>
        <v/>
      </c>
      <c r="W113" s="8">
        <f>IF(COUNT(D113:U113)=0,"",MEDIAN(D113:U113))</f>
        <v/>
      </c>
      <c r="X113" s="8">
        <f>IF(COUNT(D113:U113)=0,"",MAX(D113:U113))</f>
        <v/>
      </c>
      <c r="Y113" s="9">
        <f>IF(OR(V113="",V113=0),"",(X113-V113)/V113)</f>
        <v/>
      </c>
      <c r="Z113" s="7">
        <f>IF(COUNT(D113:U113)=0,"",INDEX($D$1:$U$1,MATCH(MIN(D113:U113),D113:U113,0)))</f>
        <v/>
      </c>
      <c r="AA113" s="8" t="n">
        <v>330</v>
      </c>
      <c r="AB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>
        <f>IF(COUNT(D114:U114)=0,"",MIN(D114:U114))</f>
        <v/>
      </c>
      <c r="W114" s="8">
        <f>IF(COUNT(D114:U114)=0,"",MEDIAN(D114:U114))</f>
        <v/>
      </c>
      <c r="X114" s="8">
        <f>IF(COUNT(D114:U114)=0,"",MAX(D114:U114))</f>
        <v/>
      </c>
      <c r="Y114" s="9">
        <f>IF(OR(V114="",V114=0),"",(X114-V114)/V114)</f>
        <v/>
      </c>
      <c r="Z114" s="7">
        <f>IF(COUNT(D114:U114)=0,"",INDEX($D$1:$U$1,MATCH(MIN(D114:U114),D114:U114,0)))</f>
        <v/>
      </c>
      <c r="AA114" s="8" t="n">
        <v>245.85</v>
      </c>
      <c r="AB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>
        <f>IF(COUNT(D115:U115)=0,"",MIN(D115:U115))</f>
        <v/>
      </c>
      <c r="W115" s="8">
        <f>IF(COUNT(D115:U115)=0,"",MEDIAN(D115:U115))</f>
        <v/>
      </c>
      <c r="X115" s="8">
        <f>IF(COUNT(D115:U115)=0,"",MAX(D115:U115))</f>
        <v/>
      </c>
      <c r="Y115" s="9">
        <f>IF(OR(V115="",V115=0),"",(X115-V115)/V115)</f>
        <v/>
      </c>
      <c r="Z115" s="7">
        <f>IF(COUNT(D115:U115)=0,"",INDEX($D$1:$U$1,MATCH(MIN(D115:U115),D115:U115,0)))</f>
        <v/>
      </c>
      <c r="AA115" s="8" t="n">
        <v>253.1</v>
      </c>
      <c r="AB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>
        <f>IF(COUNT(D116:U116)=0,"",MIN(D116:U116))</f>
        <v/>
      </c>
      <c r="W116" s="8">
        <f>IF(COUNT(D116:U116)=0,"",MEDIAN(D116:U116))</f>
        <v/>
      </c>
      <c r="X116" s="8">
        <f>IF(COUNT(D116:U116)=0,"",MAX(D116:U116))</f>
        <v/>
      </c>
      <c r="Y116" s="9">
        <f>IF(OR(V116="",V116=0),"",(X116-V116)/V116)</f>
        <v/>
      </c>
      <c r="Z116" s="7">
        <f>IF(COUNT(D116:U116)=0,"",INDEX($D$1:$U$1,MATCH(MIN(D116:U116),D116:U116,0)))</f>
        <v/>
      </c>
      <c r="AA116" s="8" t="n">
        <v>1460</v>
      </c>
      <c r="AB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>
        <f>IF(COUNT(D117:U117)=0,"",MIN(D117:U117))</f>
        <v/>
      </c>
      <c r="W117" s="8">
        <f>IF(COUNT(D117:U117)=0,"",MEDIAN(D117:U117))</f>
        <v/>
      </c>
      <c r="X117" s="8">
        <f>IF(COUNT(D117:U117)=0,"",MAX(D117:U117))</f>
        <v/>
      </c>
      <c r="Y117" s="9">
        <f>IF(OR(V117="",V117=0),"",(X117-V117)/V117)</f>
        <v/>
      </c>
      <c r="Z117" s="7">
        <f>IF(COUNT(D117:U117)=0,"",INDEX($D$1:$U$1,MATCH(MIN(D117:U117),D117:U117,0)))</f>
        <v/>
      </c>
      <c r="AA117" s="8" t="n">
        <v>6055</v>
      </c>
      <c r="AB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>
        <f>IF(COUNT(D118:U118)=0,"",MIN(D118:U118))</f>
        <v/>
      </c>
      <c r="W118" s="8">
        <f>IF(COUNT(D118:U118)=0,"",MEDIAN(D118:U118))</f>
        <v/>
      </c>
      <c r="X118" s="8">
        <f>IF(COUNT(D118:U118)=0,"",MAX(D118:U118))</f>
        <v/>
      </c>
      <c r="Y118" s="9">
        <f>IF(OR(V118="",V118=0),"",(X118-V118)/V118)</f>
        <v/>
      </c>
      <c r="Z118" s="7">
        <f>IF(COUNT(D118:U118)=0,"",INDEX($D$1:$U$1,MATCH(MIN(D118:U118),D118:U118,0)))</f>
        <v/>
      </c>
      <c r="AA118" s="8" t="n">
        <v>454.75</v>
      </c>
      <c r="AB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>
        <f>IF(COUNT(D119:U119)=0,"",MIN(D119:U119))</f>
        <v/>
      </c>
      <c r="W119" s="8">
        <f>IF(COUNT(D119:U119)=0,"",MEDIAN(D119:U119))</f>
        <v/>
      </c>
      <c r="X119" s="8">
        <f>IF(COUNT(D119:U119)=0,"",MAX(D119:U119))</f>
        <v/>
      </c>
      <c r="Y119" s="9">
        <f>IF(OR(V119="",V119=0),"",(X119-V119)/V119)</f>
        <v/>
      </c>
      <c r="Z119" s="7">
        <f>IF(COUNT(D119:U119)=0,"",INDEX($D$1:$U$1,MATCH(MIN(D119:U119),D119:U119,0)))</f>
        <v/>
      </c>
      <c r="AA119" s="8" t="n">
        <v>535</v>
      </c>
      <c r="AB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>
        <f>IF(COUNT(D120:U120)=0,"",MIN(D120:U120))</f>
        <v/>
      </c>
      <c r="W120" s="8">
        <f>IF(COUNT(D120:U120)=0,"",MEDIAN(D120:U120))</f>
        <v/>
      </c>
      <c r="X120" s="8">
        <f>IF(COUNT(D120:U120)=0,"",MAX(D120:U120))</f>
        <v/>
      </c>
      <c r="Y120" s="9">
        <f>IF(OR(V120="",V120=0),"",(X120-V120)/V120)</f>
        <v/>
      </c>
      <c r="Z120" s="7">
        <f>IF(COUNT(D120:U120)=0,"",INDEX($D$1:$U$1,MATCH(MIN(D120:U120),D120:U120,0)))</f>
        <v/>
      </c>
      <c r="AA120" s="8" t="n">
        <v>395</v>
      </c>
      <c r="AB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>
        <f>IF(COUNT(D121:U121)=0,"",MIN(D121:U121))</f>
        <v/>
      </c>
      <c r="W121" s="8">
        <f>IF(COUNT(D121:U121)=0,"",MEDIAN(D121:U121))</f>
        <v/>
      </c>
      <c r="X121" s="8">
        <f>IF(COUNT(D121:U121)=0,"",MAX(D121:U121))</f>
        <v/>
      </c>
      <c r="Y121" s="9">
        <f>IF(OR(V121="",V121=0),"",(X121-V121)/V121)</f>
        <v/>
      </c>
      <c r="Z121" s="7">
        <f>IF(COUNT(D121:U121)=0,"",INDEX($D$1:$U$1,MATCH(MIN(D121:U121),D121:U121,0)))</f>
        <v/>
      </c>
      <c r="AA121" s="8" t="n">
        <v>1072.5</v>
      </c>
      <c r="AB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>
        <f>IF(COUNT(D122:U122)=0,"",MIN(D122:U122))</f>
        <v/>
      </c>
      <c r="W122" s="8">
        <f>IF(COUNT(D122:U122)=0,"",MEDIAN(D122:U122))</f>
        <v/>
      </c>
      <c r="X122" s="8">
        <f>IF(COUNT(D122:U122)=0,"",MAX(D122:U122))</f>
        <v/>
      </c>
      <c r="Y122" s="9">
        <f>IF(OR(V122="",V122=0),"",(X122-V122)/V122)</f>
        <v/>
      </c>
      <c r="Z122" s="7">
        <f>IF(COUNT(D122:U122)=0,"",INDEX($D$1:$U$1,MATCH(MIN(D122:U122),D122:U122,0)))</f>
        <v/>
      </c>
      <c r="AA122" s="8" t="n">
        <v>285</v>
      </c>
      <c r="AB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>
        <f>IF(COUNT(D123:U123)=0,"",MIN(D123:U123))</f>
        <v/>
      </c>
      <c r="W123" s="8">
        <f>IF(COUNT(D123:U123)=0,"",MEDIAN(D123:U123))</f>
        <v/>
      </c>
      <c r="X123" s="8">
        <f>IF(COUNT(D123:U123)=0,"",MAX(D123:U123))</f>
        <v/>
      </c>
      <c r="Y123" s="9">
        <f>IF(OR(V123="",V123=0),"",(X123-V123)/V123)</f>
        <v/>
      </c>
      <c r="Z123" s="7">
        <f>IF(COUNT(D123:U123)=0,"",INDEX($D$1:$U$1,MATCH(MIN(D123:U123),D123:U123,0)))</f>
        <v/>
      </c>
      <c r="AA123" s="8" t="n">
        <v>8617.5</v>
      </c>
      <c r="AB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>
        <f>IF(COUNT(D124:U124)=0,"",MIN(D124:U124))</f>
        <v/>
      </c>
      <c r="W124" s="8">
        <f>IF(COUNT(D124:U124)=0,"",MEDIAN(D124:U124))</f>
        <v/>
      </c>
      <c r="X124" s="8">
        <f>IF(COUNT(D124:U124)=0,"",MAX(D124:U124))</f>
        <v/>
      </c>
      <c r="Y124" s="9">
        <f>IF(OR(V124="",V124=0),"",(X124-V124)/V124)</f>
        <v/>
      </c>
      <c r="Z124" s="7">
        <f>IF(COUNT(D124:U124)=0,"",INDEX($D$1:$U$1,MATCH(MIN(D124:U124),D124:U124,0)))</f>
        <v/>
      </c>
      <c r="AA124" s="8" t="n">
        <v>1610.75</v>
      </c>
      <c r="AB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>
        <f>IF(COUNT(D125:U125)=0,"",MIN(D125:U125))</f>
        <v/>
      </c>
      <c r="W125" s="8">
        <f>IF(COUNT(D125:U125)=0,"",MEDIAN(D125:U125))</f>
        <v/>
      </c>
      <c r="X125" s="8">
        <f>IF(COUNT(D125:U125)=0,"",MAX(D125:U125))</f>
        <v/>
      </c>
      <c r="Y125" s="9">
        <f>IF(OR(V125="",V125=0),"",(X125-V125)/V125)</f>
        <v/>
      </c>
      <c r="Z125" s="7">
        <f>IF(COUNT(D125:U125)=0,"",INDEX($D$1:$U$1,MATCH(MIN(D125:U125),D125:U125,0)))</f>
        <v/>
      </c>
      <c r="AA125" s="8" t="n">
        <v>2005</v>
      </c>
      <c r="AB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>
        <f>IF(COUNT(D126:U126)=0,"",MIN(D126:U126))</f>
        <v/>
      </c>
      <c r="W126" s="8">
        <f>IF(COUNT(D126:U126)=0,"",MEDIAN(D126:U126))</f>
        <v/>
      </c>
      <c r="X126" s="8">
        <f>IF(COUNT(D126:U126)=0,"",MAX(D126:U126))</f>
        <v/>
      </c>
      <c r="Y126" s="9">
        <f>IF(OR(V126="",V126=0),"",(X126-V126)/V126)</f>
        <v/>
      </c>
      <c r="Z126" s="7">
        <f>IF(COUNT(D126:U126)=0,"",INDEX($D$1:$U$1,MATCH(MIN(D126:U126),D126:U126,0)))</f>
        <v/>
      </c>
      <c r="AA126" s="8" t="n">
        <v>3952.5</v>
      </c>
      <c r="AB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>
        <f>IF(COUNT(D127:U127)=0,"",MIN(D127:U127))</f>
        <v/>
      </c>
      <c r="W127" s="8">
        <f>IF(COUNT(D127:U127)=0,"",MEDIAN(D127:U127))</f>
        <v/>
      </c>
      <c r="X127" s="8">
        <f>IF(COUNT(D127:U127)=0,"",MAX(D127:U127))</f>
        <v/>
      </c>
      <c r="Y127" s="9">
        <f>IF(OR(V127="",V127=0),"",(X127-V127)/V127)</f>
        <v/>
      </c>
      <c r="Z127" s="7">
        <f>IF(COUNT(D127:U127)=0,"",INDEX($D$1:$U$1,MATCH(MIN(D127:U127),D127:U127,0)))</f>
        <v/>
      </c>
      <c r="AA127" s="8" t="n">
        <v>533.8</v>
      </c>
      <c r="AB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>
        <f>IF(COUNT(D128:U128)=0,"",MIN(D128:U128))</f>
        <v/>
      </c>
      <c r="W128" s="8">
        <f>IF(COUNT(D128:U128)=0,"",MEDIAN(D128:U128))</f>
        <v/>
      </c>
      <c r="X128" s="8">
        <f>IF(COUNT(D128:U128)=0,"",MAX(D128:U128))</f>
        <v/>
      </c>
      <c r="Y128" s="9">
        <f>IF(OR(V128="",V128=0),"",(X128-V128)/V128)</f>
        <v/>
      </c>
      <c r="Z128" s="7">
        <f>IF(COUNT(D128:U128)=0,"",INDEX($D$1:$U$1,MATCH(MIN(D128:U128),D128:U128,0)))</f>
        <v/>
      </c>
      <c r="AA128" s="8" t="n">
        <v>377.4</v>
      </c>
      <c r="AB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>
        <f>IF(COUNT(D129:U129)=0,"",MIN(D129:U129))</f>
        <v/>
      </c>
      <c r="W129" s="8">
        <f>IF(COUNT(D129:U129)=0,"",MEDIAN(D129:U129))</f>
        <v/>
      </c>
      <c r="X129" s="8">
        <f>IF(COUNT(D129:U129)=0,"",MAX(D129:U129))</f>
        <v/>
      </c>
      <c r="Y129" s="9">
        <f>IF(OR(V129="",V129=0),"",(X129-V129)/V129)</f>
        <v/>
      </c>
      <c r="Z129" s="7">
        <f>IF(COUNT(D129:U129)=0,"",INDEX($D$1:$U$1,MATCH(MIN(D129:U129),D129:U129,0)))</f>
        <v/>
      </c>
      <c r="AA129" s="8" t="n">
        <v>949.45</v>
      </c>
      <c r="AB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>
        <f>IF(COUNT(D130:U130)=0,"",MIN(D130:U130))</f>
        <v/>
      </c>
      <c r="W130" s="8">
        <f>IF(COUNT(D130:U130)=0,"",MEDIAN(D130:U130))</f>
        <v/>
      </c>
      <c r="X130" s="8">
        <f>IF(COUNT(D130:U130)=0,"",MAX(D130:U130))</f>
        <v/>
      </c>
      <c r="Y130" s="9">
        <f>IF(OR(V130="",V130=0),"",(X130-V130)/V130)</f>
        <v/>
      </c>
      <c r="Z130" s="7">
        <f>IF(COUNT(D130:U130)=0,"",INDEX($D$1:$U$1,MATCH(MIN(D130:U130),D130:U130,0)))</f>
        <v/>
      </c>
      <c r="AA130" s="8" t="n">
        <v>2817.75</v>
      </c>
      <c r="AB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>
        <f>IF(COUNT(D131:U131)=0,"",MIN(D131:U131))</f>
        <v/>
      </c>
      <c r="W131" s="8">
        <f>IF(COUNT(D131:U131)=0,"",MEDIAN(D131:U131))</f>
        <v/>
      </c>
      <c r="X131" s="8">
        <f>IF(COUNT(D131:U131)=0,"",MAX(D131:U131))</f>
        <v/>
      </c>
      <c r="Y131" s="9">
        <f>IF(OR(V131="",V131=0),"",(X131-V131)/V131)</f>
        <v/>
      </c>
      <c r="Z131" s="7">
        <f>IF(COUNT(D131:U131)=0,"",INDEX($D$1:$U$1,MATCH(MIN(D131:U131),D131:U131,0)))</f>
        <v/>
      </c>
      <c r="AA131" s="8" t="n">
        <v>712</v>
      </c>
      <c r="AB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>
        <f>IF(COUNT(D132:U132)=0,"",MIN(D132:U132))</f>
        <v/>
      </c>
      <c r="W132" s="8">
        <f>IF(COUNT(D132:U132)=0,"",MEDIAN(D132:U132))</f>
        <v/>
      </c>
      <c r="X132" s="8">
        <f>IF(COUNT(D132:U132)=0,"",MAX(D132:U132))</f>
        <v/>
      </c>
      <c r="Y132" s="9">
        <f>IF(OR(V132="",V132=0),"",(X132-V132)/V132)</f>
        <v/>
      </c>
      <c r="Z132" s="7">
        <f>IF(COUNT(D132:U132)=0,"",INDEX($D$1:$U$1,MATCH(MIN(D132:U132),D132:U132,0)))</f>
        <v/>
      </c>
      <c r="AA132" s="8" t="n">
        <v>328</v>
      </c>
      <c r="AB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>
        <f>IF(COUNT(D133:U133)=0,"",MIN(D133:U133))</f>
        <v/>
      </c>
      <c r="W133" s="8">
        <f>IF(COUNT(D133:U133)=0,"",MEDIAN(D133:U133))</f>
        <v/>
      </c>
      <c r="X133" s="8">
        <f>IF(COUNT(D133:U133)=0,"",MAX(D133:U133))</f>
        <v/>
      </c>
      <c r="Y133" s="9">
        <f>IF(OR(V133="",V133=0),"",(X133-V133)/V133)</f>
        <v/>
      </c>
      <c r="Z133" s="7">
        <f>IF(COUNT(D133:U133)=0,"",INDEX($D$1:$U$1,MATCH(MIN(D133:U133),D133:U133,0)))</f>
        <v/>
      </c>
      <c r="AA133" s="8" t="n">
        <v>555.05</v>
      </c>
      <c r="AB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>
        <f>IF(COUNT(D134:U134)=0,"",MIN(D134:U134))</f>
        <v/>
      </c>
      <c r="W134" s="8">
        <f>IF(COUNT(D134:U134)=0,"",MEDIAN(D134:U134))</f>
        <v/>
      </c>
      <c r="X134" s="8">
        <f>IF(COUNT(D134:U134)=0,"",MAX(D134:U134))</f>
        <v/>
      </c>
      <c r="Y134" s="9">
        <f>IF(OR(V134="",V134=0),"",(X134-V134)/V134)</f>
        <v/>
      </c>
      <c r="Z134" s="7">
        <f>IF(COUNT(D134:U134)=0,"",INDEX($D$1:$U$1,MATCH(MIN(D134:U134),D134:U134,0)))</f>
        <v/>
      </c>
      <c r="AA134" s="8" t="n">
        <v>1365.1</v>
      </c>
      <c r="AB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>
        <f>IF(COUNT(D135:U135)=0,"",MIN(D135:U135))</f>
        <v/>
      </c>
      <c r="W135" s="8">
        <f>IF(COUNT(D135:U135)=0,"",MEDIAN(D135:U135))</f>
        <v/>
      </c>
      <c r="X135" s="8">
        <f>IF(COUNT(D135:U135)=0,"",MAX(D135:U135))</f>
        <v/>
      </c>
      <c r="Y135" s="9">
        <f>IF(OR(V135="",V135=0),"",(X135-V135)/V135)</f>
        <v/>
      </c>
      <c r="Z135" s="7">
        <f>IF(COUNT(D135:U135)=0,"",INDEX($D$1:$U$1,MATCH(MIN(D135:U135),D135:U135,0)))</f>
        <v/>
      </c>
      <c r="AA135" s="8" t="n">
        <v>1270.75</v>
      </c>
      <c r="AB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>
        <f>IF(COUNT(D136:U136)=0,"",MIN(D136:U136))</f>
        <v/>
      </c>
      <c r="W136" s="8">
        <f>IF(COUNT(D136:U136)=0,"",MEDIAN(D136:U136))</f>
        <v/>
      </c>
      <c r="X136" s="8">
        <f>IF(COUNT(D136:U136)=0,"",MAX(D136:U136))</f>
        <v/>
      </c>
      <c r="Y136" s="9">
        <f>IF(OR(V136="",V136=0),"",(X136-V136)/V136)</f>
        <v/>
      </c>
      <c r="Z136" s="7">
        <f>IF(COUNT(D136:U136)=0,"",INDEX($D$1:$U$1,MATCH(MIN(D136:U136),D136:U136,0)))</f>
        <v/>
      </c>
      <c r="AA136" s="8" t="n">
        <v>135</v>
      </c>
      <c r="AB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>
        <f>IF(COUNT(D137:U137)=0,"",MIN(D137:U137))</f>
        <v/>
      </c>
      <c r="W137" s="8">
        <f>IF(COUNT(D137:U137)=0,"",MEDIAN(D137:U137))</f>
        <v/>
      </c>
      <c r="X137" s="8">
        <f>IF(COUNT(D137:U137)=0,"",MAX(D137:U137))</f>
        <v/>
      </c>
      <c r="Y137" s="9">
        <f>IF(OR(V137="",V137=0),"",(X137-V137)/V137)</f>
        <v/>
      </c>
      <c r="Z137" s="7">
        <f>IF(COUNT(D137:U137)=0,"",INDEX($D$1:$U$1,MATCH(MIN(D137:U137),D137:U137,0)))</f>
        <v/>
      </c>
      <c r="AA137" s="8" t="n">
        <v>1308</v>
      </c>
      <c r="AB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>
        <f>IF(COUNT(D138:U138)=0,"",MIN(D138:U138))</f>
        <v/>
      </c>
      <c r="W138" s="8">
        <f>IF(COUNT(D138:U138)=0,"",MEDIAN(D138:U138))</f>
        <v/>
      </c>
      <c r="X138" s="8">
        <f>IF(COUNT(D138:U138)=0,"",MAX(D138:U138))</f>
        <v/>
      </c>
      <c r="Y138" s="9">
        <f>IF(OR(V138="",V138=0),"",(X138-V138)/V138)</f>
        <v/>
      </c>
      <c r="Z138" s="7">
        <f>IF(COUNT(D138:U138)=0,"",INDEX($D$1:$U$1,MATCH(MIN(D138:U138),D138:U138,0)))</f>
        <v/>
      </c>
      <c r="AA138" s="8" t="n">
        <v>2715.75</v>
      </c>
      <c r="AB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>
        <f>IF(COUNT(D139:U139)=0,"",MIN(D139:U139))</f>
        <v/>
      </c>
      <c r="W139" s="8">
        <f>IF(COUNT(D139:U139)=0,"",MEDIAN(D139:U139))</f>
        <v/>
      </c>
      <c r="X139" s="8">
        <f>IF(COUNT(D139:U139)=0,"",MAX(D139:U139))</f>
        <v/>
      </c>
      <c r="Y139" s="9">
        <f>IF(OR(V139="",V139=0),"",(X139-V139)/V139)</f>
        <v/>
      </c>
      <c r="Z139" s="7">
        <f>IF(COUNT(D139:U139)=0,"",INDEX($D$1:$U$1,MATCH(MIN(D139:U139),D139:U139,0)))</f>
        <v/>
      </c>
      <c r="AA139" s="8" t="n">
        <v>2396</v>
      </c>
      <c r="AB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>
        <f>IF(COUNT(D140:U140)=0,"",MIN(D140:U140))</f>
        <v/>
      </c>
      <c r="W140" s="8">
        <f>IF(COUNT(D140:U140)=0,"",MEDIAN(D140:U140))</f>
        <v/>
      </c>
      <c r="X140" s="8">
        <f>IF(COUNT(D140:U140)=0,"",MAX(D140:U140))</f>
        <v/>
      </c>
      <c r="Y140" s="9">
        <f>IF(OR(V140="",V140=0),"",(X140-V140)/V140)</f>
        <v/>
      </c>
      <c r="Z140" s="7">
        <f>IF(COUNT(D140:U140)=0,"",INDEX($D$1:$U$1,MATCH(MIN(D140:U140),D140:U140,0)))</f>
        <v/>
      </c>
      <c r="AA140" s="8" t="n">
        <v>625</v>
      </c>
      <c r="AB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>
        <f>IF(COUNT(D141:U141)=0,"",MIN(D141:U141))</f>
        <v/>
      </c>
      <c r="W141" s="8">
        <f>IF(COUNT(D141:U141)=0,"",MEDIAN(D141:U141))</f>
        <v/>
      </c>
      <c r="X141" s="8">
        <f>IF(COUNT(D141:U141)=0,"",MAX(D141:U141))</f>
        <v/>
      </c>
      <c r="Y141" s="9">
        <f>IF(OR(V141="",V141=0),"",(X141-V141)/V141)</f>
        <v/>
      </c>
      <c r="Z141" s="7">
        <f>IF(COUNT(D141:U141)=0,"",INDEX($D$1:$U$1,MATCH(MIN(D141:U141),D141:U141,0)))</f>
        <v/>
      </c>
      <c r="AA141" s="8" t="n">
        <v>1845</v>
      </c>
      <c r="AB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>
        <f>IF(COUNT(D142:U142)=0,"",MIN(D142:U142))</f>
        <v/>
      </c>
      <c r="W142" s="8">
        <f>IF(COUNT(D142:U142)=0,"",MEDIAN(D142:U142))</f>
        <v/>
      </c>
      <c r="X142" s="8">
        <f>IF(COUNT(D142:U142)=0,"",MAX(D142:U142))</f>
        <v/>
      </c>
      <c r="Y142" s="9">
        <f>IF(OR(V142="",V142=0),"",(X142-V142)/V142)</f>
        <v/>
      </c>
      <c r="Z142" s="7">
        <f>IF(COUNT(D142:U142)=0,"",INDEX($D$1:$U$1,MATCH(MIN(D142:U142),D142:U142,0)))</f>
        <v/>
      </c>
      <c r="AA142" s="8" t="n">
        <v>569.5</v>
      </c>
      <c r="AB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>
        <f>IF(COUNT(D143:U143)=0,"",MIN(D143:U143))</f>
        <v/>
      </c>
      <c r="W143" s="8">
        <f>IF(COUNT(D143:U143)=0,"",MEDIAN(D143:U143))</f>
        <v/>
      </c>
      <c r="X143" s="8">
        <f>IF(COUNT(D143:U143)=0,"",MAX(D143:U143))</f>
        <v/>
      </c>
      <c r="Y143" s="9">
        <f>IF(OR(V143="",V143=0),"",(X143-V143)/V143)</f>
        <v/>
      </c>
      <c r="Z143" s="7">
        <f>IF(COUNT(D143:U143)=0,"",INDEX($D$1:$U$1,MATCH(MIN(D143:U143),D143:U143,0)))</f>
        <v/>
      </c>
      <c r="AA143" s="8" t="n">
        <v>330.5</v>
      </c>
      <c r="AB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>
        <f>IF(COUNT(D144:U144)=0,"",MIN(D144:U144))</f>
        <v/>
      </c>
      <c r="W144" s="8">
        <f>IF(COUNT(D144:U144)=0,"",MEDIAN(D144:U144))</f>
        <v/>
      </c>
      <c r="X144" s="8">
        <f>IF(COUNT(D144:U144)=0,"",MAX(D144:U144))</f>
        <v/>
      </c>
      <c r="Y144" s="9">
        <f>IF(OR(V144="",V144=0),"",(X144-V144)/V144)</f>
        <v/>
      </c>
      <c r="Z144" s="7">
        <f>IF(COUNT(D144:U144)=0,"",INDEX($D$1:$U$1,MATCH(MIN(D144:U144),D144:U144,0)))</f>
        <v/>
      </c>
      <c r="AA144" s="8" t="n">
        <v>167</v>
      </c>
      <c r="AB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>
        <f>IF(COUNT(D145:U145)=0,"",MIN(D145:U145))</f>
        <v/>
      </c>
      <c r="W145" s="8">
        <f>IF(COUNT(D145:U145)=0,"",MEDIAN(D145:U145))</f>
        <v/>
      </c>
      <c r="X145" s="8">
        <f>IF(COUNT(D145:U145)=0,"",MAX(D145:U145))</f>
        <v/>
      </c>
      <c r="Y145" s="9">
        <f>IF(OR(V145="",V145=0),"",(X145-V145)/V145)</f>
        <v/>
      </c>
      <c r="Z145" s="7">
        <f>IF(COUNT(D145:U145)=0,"",INDEX($D$1:$U$1,MATCH(MIN(D145:U145),D145:U145,0)))</f>
        <v/>
      </c>
      <c r="AA145" s="8" t="n">
        <v>30</v>
      </c>
      <c r="AB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>
        <f>IF(COUNT(D146:U146)=0,"",MIN(D146:U146))</f>
        <v/>
      </c>
      <c r="W146" s="8">
        <f>IF(COUNT(D146:U146)=0,"",MEDIAN(D146:U146))</f>
        <v/>
      </c>
      <c r="X146" s="8">
        <f>IF(COUNT(D146:U146)=0,"",MAX(D146:U146))</f>
        <v/>
      </c>
      <c r="Y146" s="9">
        <f>IF(OR(V146="",V146=0),"",(X146-V146)/V146)</f>
        <v/>
      </c>
      <c r="Z146" s="7">
        <f>IF(COUNT(D146:U146)=0,"",INDEX($D$1:$U$1,MATCH(MIN(D146:U146),D146:U146,0)))</f>
        <v/>
      </c>
      <c r="AA146" s="8" t="n">
        <v>54.68</v>
      </c>
      <c r="AB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>
        <f>IF(COUNT(D147:U147)=0,"",MIN(D147:U147))</f>
        <v/>
      </c>
      <c r="W147" s="8">
        <f>IF(COUNT(D147:U147)=0,"",MEDIAN(D147:U147))</f>
        <v/>
      </c>
      <c r="X147" s="8">
        <f>IF(COUNT(D147:U147)=0,"",MAX(D147:U147))</f>
        <v/>
      </c>
      <c r="Y147" s="9">
        <f>IF(OR(V147="",V147=0),"",(X147-V147)/V147)</f>
        <v/>
      </c>
      <c r="Z147" s="7">
        <f>IF(COUNT(D147:U147)=0,"",INDEX($D$1:$U$1,MATCH(MIN(D147:U147),D147:U147,0)))</f>
        <v/>
      </c>
      <c r="AA147" s="8" t="n">
        <v>119.48</v>
      </c>
      <c r="AB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>
        <f>IF(COUNT(D148:U148)=0,"",MIN(D148:U148))</f>
        <v/>
      </c>
      <c r="W148" s="8">
        <f>IF(COUNT(D148:U148)=0,"",MEDIAN(D148:U148))</f>
        <v/>
      </c>
      <c r="X148" s="8">
        <f>IF(COUNT(D148:U148)=0,"",MAX(D148:U148))</f>
        <v/>
      </c>
      <c r="Y148" s="9">
        <f>IF(OR(V148="",V148=0),"",(X148-V148)/V148)</f>
        <v/>
      </c>
      <c r="Z148" s="7">
        <f>IF(COUNT(D148:U148)=0,"",INDEX($D$1:$U$1,MATCH(MIN(D148:U148),D148:U148,0)))</f>
        <v/>
      </c>
      <c r="AA148" s="8" t="n">
        <v>57</v>
      </c>
      <c r="AB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>
        <f>IF(COUNT(D149:U149)=0,"",MIN(D149:U149))</f>
        <v/>
      </c>
      <c r="W149" s="8">
        <f>IF(COUNT(D149:U149)=0,"",MEDIAN(D149:U149))</f>
        <v/>
      </c>
      <c r="X149" s="8">
        <f>IF(COUNT(D149:U149)=0,"",MAX(D149:U149))</f>
        <v/>
      </c>
      <c r="Y149" s="9">
        <f>IF(OR(V149="",V149=0),"",(X149-V149)/V149)</f>
        <v/>
      </c>
      <c r="Z149" s="7">
        <f>IF(COUNT(D149:U149)=0,"",INDEX($D$1:$U$1,MATCH(MIN(D149:U149),D149:U149,0)))</f>
        <v/>
      </c>
      <c r="AA149" s="8" t="n">
        <v>138.5</v>
      </c>
      <c r="AB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>
        <f>IF(COUNT(D150:U150)=0,"",MIN(D150:U150))</f>
        <v/>
      </c>
      <c r="W150" s="8">
        <f>IF(COUNT(D150:U150)=0,"",MEDIAN(D150:U150))</f>
        <v/>
      </c>
      <c r="X150" s="8">
        <f>IF(COUNT(D150:U150)=0,"",MAX(D150:U150))</f>
        <v/>
      </c>
      <c r="Y150" s="9">
        <f>IF(OR(V150="",V150=0),"",(X150-V150)/V150)</f>
        <v/>
      </c>
      <c r="Z150" s="7">
        <f>IF(COUNT(D150:U150)=0,"",INDEX($D$1:$U$1,MATCH(MIN(D150:U150),D150:U150,0)))</f>
        <v/>
      </c>
      <c r="AA150" s="8" t="n">
        <v>159.1</v>
      </c>
      <c r="AB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>
        <f>IF(COUNT(D151:U151)=0,"",MIN(D151:U151))</f>
        <v/>
      </c>
      <c r="W151" s="8">
        <f>IF(COUNT(D151:U151)=0,"",MEDIAN(D151:U151))</f>
        <v/>
      </c>
      <c r="X151" s="8">
        <f>IF(COUNT(D151:U151)=0,"",MAX(D151:U151))</f>
        <v/>
      </c>
      <c r="Y151" s="9">
        <f>IF(OR(V151="",V151=0),"",(X151-V151)/V151)</f>
        <v/>
      </c>
      <c r="Z151" s="7">
        <f>IF(COUNT(D151:U151)=0,"",INDEX($D$1:$U$1,MATCH(MIN(D151:U151),D151:U151,0)))</f>
        <v/>
      </c>
      <c r="AA151" s="8" t="n">
        <v>4.8</v>
      </c>
      <c r="AB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>
        <f>IF(COUNT(D152:U152)=0,"",MIN(D152:U152))</f>
        <v/>
      </c>
      <c r="W152" s="8">
        <f>IF(COUNT(D152:U152)=0,"",MEDIAN(D152:U152))</f>
        <v/>
      </c>
      <c r="X152" s="8">
        <f>IF(COUNT(D152:U152)=0,"",MAX(D152:U152))</f>
        <v/>
      </c>
      <c r="Y152" s="9">
        <f>IF(OR(V152="",V152=0),"",(X152-V152)/V152)</f>
        <v/>
      </c>
      <c r="Z152" s="7">
        <f>IF(COUNT(D152:U152)=0,"",INDEX($D$1:$U$1,MATCH(MIN(D152:U152),D152:U152,0)))</f>
        <v/>
      </c>
      <c r="AA152" s="8" t="n">
        <v>37.93</v>
      </c>
      <c r="AB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>
        <f>IF(COUNT(D153:U153)=0,"",MIN(D153:U153))</f>
        <v/>
      </c>
      <c r="W153" s="8">
        <f>IF(COUNT(D153:U153)=0,"",MEDIAN(D153:U153))</f>
        <v/>
      </c>
      <c r="X153" s="8">
        <f>IF(COUNT(D153:U153)=0,"",MAX(D153:U153))</f>
        <v/>
      </c>
      <c r="Y153" s="9">
        <f>IF(OR(V153="",V153=0),"",(X153-V153)/V153)</f>
        <v/>
      </c>
      <c r="Z153" s="7">
        <f>IF(COUNT(D153:U153)=0,"",INDEX($D$1:$U$1,MATCH(MIN(D153:U153),D153:U153,0)))</f>
        <v/>
      </c>
      <c r="AA153" s="8" t="n">
        <v>373.64</v>
      </c>
      <c r="AB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>
        <f>IF(COUNT(D154:U154)=0,"",MIN(D154:U154))</f>
        <v/>
      </c>
      <c r="W154" s="8">
        <f>IF(COUNT(D154:U154)=0,"",MEDIAN(D154:U154))</f>
        <v/>
      </c>
      <c r="X154" s="8">
        <f>IF(COUNT(D154:U154)=0,"",MAX(D154:U154))</f>
        <v/>
      </c>
      <c r="Y154" s="9">
        <f>IF(OR(V154="",V154=0),"",(X154-V154)/V154)</f>
        <v/>
      </c>
      <c r="Z154" s="7">
        <f>IF(COUNT(D154:U154)=0,"",INDEX($D$1:$U$1,MATCH(MIN(D154:U154),D154:U154,0)))</f>
        <v/>
      </c>
      <c r="AA154" s="8" t="n">
        <v>1295.68</v>
      </c>
      <c r="AB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>
        <f>IF(COUNT(D155:U155)=0,"",MIN(D155:U155))</f>
        <v/>
      </c>
      <c r="W155" s="8">
        <f>IF(COUNT(D155:U155)=0,"",MEDIAN(D155:U155))</f>
        <v/>
      </c>
      <c r="X155" s="8">
        <f>IF(COUNT(D155:U155)=0,"",MAX(D155:U155))</f>
        <v/>
      </c>
      <c r="Y155" s="9">
        <f>IF(OR(V155="",V155=0),"",(X155-V155)/V155)</f>
        <v/>
      </c>
      <c r="Z155" s="7">
        <f>IF(COUNT(D155:U155)=0,"",INDEX($D$1:$U$1,MATCH(MIN(D155:U155),D155:U155,0)))</f>
        <v/>
      </c>
      <c r="AA155" s="8" t="n">
        <v>807.79</v>
      </c>
      <c r="AB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>
        <f>IF(COUNT(D156:U156)=0,"",MIN(D156:U156))</f>
        <v/>
      </c>
      <c r="W156" s="8">
        <f>IF(COUNT(D156:U156)=0,"",MEDIAN(D156:U156))</f>
        <v/>
      </c>
      <c r="X156" s="8">
        <f>IF(COUNT(D156:U156)=0,"",MAX(D156:U156))</f>
        <v/>
      </c>
      <c r="Y156" s="9">
        <f>IF(OR(V156="",V156=0),"",(X156-V156)/V156)</f>
        <v/>
      </c>
      <c r="Z156" s="7">
        <f>IF(COUNT(D156:U156)=0,"",INDEX($D$1:$U$1,MATCH(MIN(D156:U156),D156:U156,0)))</f>
        <v/>
      </c>
      <c r="AA156" s="8" t="n">
        <v>5692.31</v>
      </c>
      <c r="AB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>
        <f>IF(COUNT(D157:U157)=0,"",MIN(D157:U157))</f>
        <v/>
      </c>
      <c r="W157" s="8">
        <f>IF(COUNT(D157:U157)=0,"",MEDIAN(D157:U157))</f>
        <v/>
      </c>
      <c r="X157" s="8">
        <f>IF(COUNT(D157:U157)=0,"",MAX(D157:U157))</f>
        <v/>
      </c>
      <c r="Y157" s="9">
        <f>IF(OR(V157="",V157=0),"",(X157-V157)/V157)</f>
        <v/>
      </c>
      <c r="Z157" s="7">
        <f>IF(COUNT(D157:U157)=0,"",INDEX($D$1:$U$1,MATCH(MIN(D157:U157),D157:U157,0)))</f>
        <v/>
      </c>
      <c r="AA157" s="8" t="n">
        <v>556</v>
      </c>
      <c r="AB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>
        <f>IF(COUNT(D158:U158)=0,"",MIN(D158:U158))</f>
        <v/>
      </c>
      <c r="W158" s="8">
        <f>IF(COUNT(D158:U158)=0,"",MEDIAN(D158:U158))</f>
        <v/>
      </c>
      <c r="X158" s="8">
        <f>IF(COUNT(D158:U158)=0,"",MAX(D158:U158))</f>
        <v/>
      </c>
      <c r="Y158" s="9">
        <f>IF(OR(V158="",V158=0),"",(X158-V158)/V158)</f>
        <v/>
      </c>
      <c r="Z158" s="7">
        <f>IF(COUNT(D158:U158)=0,"",INDEX($D$1:$U$1,MATCH(MIN(D158:U158),D158:U158,0)))</f>
        <v/>
      </c>
      <c r="AA158" s="8" t="n">
        <v>673</v>
      </c>
      <c r="AB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>
        <f>IF(COUNT(D159:U159)=0,"",MIN(D159:U159))</f>
        <v/>
      </c>
      <c r="W159" s="8">
        <f>IF(COUNT(D159:U159)=0,"",MEDIAN(D159:U159))</f>
        <v/>
      </c>
      <c r="X159" s="8">
        <f>IF(COUNT(D159:U159)=0,"",MAX(D159:U159))</f>
        <v/>
      </c>
      <c r="Y159" s="9">
        <f>IF(OR(V159="",V159=0),"",(X159-V159)/V159)</f>
        <v/>
      </c>
      <c r="Z159" s="7">
        <f>IF(COUNT(D159:U159)=0,"",INDEX($D$1:$U$1,MATCH(MIN(D159:U159),D159:U159,0)))</f>
        <v/>
      </c>
      <c r="AA159" s="8" t="n">
        <v>778.95</v>
      </c>
      <c r="AB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>
        <f>IF(COUNT(D160:U160)=0,"",MIN(D160:U160))</f>
        <v/>
      </c>
      <c r="W160" s="8">
        <f>IF(COUNT(D160:U160)=0,"",MEDIAN(D160:U160))</f>
        <v/>
      </c>
      <c r="X160" s="8">
        <f>IF(COUNT(D160:U160)=0,"",MAX(D160:U160))</f>
        <v/>
      </c>
      <c r="Y160" s="9">
        <f>IF(OR(V160="",V160=0),"",(X160-V160)/V160)</f>
        <v/>
      </c>
      <c r="Z160" s="7">
        <f>IF(COUNT(D160:U160)=0,"",INDEX($D$1:$U$1,MATCH(MIN(D160:U160),D160:U160,0)))</f>
        <v/>
      </c>
      <c r="AA160" s="8" t="n">
        <v>892</v>
      </c>
      <c r="AB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>
        <f>IF(COUNT(D161:U161)=0,"",MIN(D161:U161))</f>
        <v/>
      </c>
      <c r="W161" s="8">
        <f>IF(COUNT(D161:U161)=0,"",MEDIAN(D161:U161))</f>
        <v/>
      </c>
      <c r="X161" s="8">
        <f>IF(COUNT(D161:U161)=0,"",MAX(D161:U161))</f>
        <v/>
      </c>
      <c r="Y161" s="9">
        <f>IF(OR(V161="",V161=0),"",(X161-V161)/V161)</f>
        <v/>
      </c>
      <c r="Z161" s="7">
        <f>IF(COUNT(D161:U161)=0,"",INDEX($D$1:$U$1,MATCH(MIN(D161:U161),D161:U161,0)))</f>
        <v/>
      </c>
      <c r="AA161" s="8" t="n">
        <v>2176.47</v>
      </c>
      <c r="AB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>
        <f>IF(COUNT(D162:U162)=0,"",MIN(D162:U162))</f>
        <v/>
      </c>
      <c r="W162" s="8">
        <f>IF(COUNT(D162:U162)=0,"",MEDIAN(D162:U162))</f>
        <v/>
      </c>
      <c r="X162" s="8">
        <f>IF(COUNT(D162:U162)=0,"",MAX(D162:U162))</f>
        <v/>
      </c>
      <c r="Y162" s="9">
        <f>IF(OR(V162="",V162=0),"",(X162-V162)/V162)</f>
        <v/>
      </c>
      <c r="Z162" s="7">
        <f>IF(COUNT(D162:U162)=0,"",INDEX($D$1:$U$1,MATCH(MIN(D162:U162),D162:U162,0)))</f>
        <v/>
      </c>
      <c r="AA162" s="8" t="n">
        <v>2642.86</v>
      </c>
      <c r="AB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>
        <f>IF(COUNT(D163:U163)=0,"",MIN(D163:U163))</f>
        <v/>
      </c>
      <c r="W163" s="8">
        <f>IF(COUNT(D163:U163)=0,"",MEDIAN(D163:U163))</f>
        <v/>
      </c>
      <c r="X163" s="8">
        <f>IF(COUNT(D163:U163)=0,"",MAX(D163:U163))</f>
        <v/>
      </c>
      <c r="Y163" s="9">
        <f>IF(OR(V163="",V163=0),"",(X163-V163)/V163)</f>
        <v/>
      </c>
      <c r="Z163" s="7">
        <f>IF(COUNT(D163:U163)=0,"",INDEX($D$1:$U$1,MATCH(MIN(D163:U163),D163:U163,0)))</f>
        <v/>
      </c>
      <c r="AA163" s="8" t="n">
        <v>3083.33</v>
      </c>
      <c r="AB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>
        <f>IF(COUNT(D164:U164)=0,"",MIN(D164:U164))</f>
        <v/>
      </c>
      <c r="W164" s="8">
        <f>IF(COUNT(D164:U164)=0,"",MEDIAN(D164:U164))</f>
        <v/>
      </c>
      <c r="X164" s="8">
        <f>IF(COUNT(D164:U164)=0,"",MAX(D164:U164))</f>
        <v/>
      </c>
      <c r="Y164" s="9">
        <f>IF(OR(V164="",V164=0),"",(X164-V164)/V164)</f>
        <v/>
      </c>
      <c r="Z164" s="7">
        <f>IF(COUNT(D164:U164)=0,"",INDEX($D$1:$U$1,MATCH(MIN(D164:U164),D164:U164,0)))</f>
        <v/>
      </c>
      <c r="AA164" s="8" t="n">
        <v>3476</v>
      </c>
      <c r="AB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>
        <f>IF(COUNT(D165:U165)=0,"",MIN(D165:U165))</f>
        <v/>
      </c>
      <c r="W165" s="8">
        <f>IF(COUNT(D165:U165)=0,"",MEDIAN(D165:U165))</f>
        <v/>
      </c>
      <c r="X165" s="8">
        <f>IF(COUNT(D165:U165)=0,"",MAX(D165:U165))</f>
        <v/>
      </c>
      <c r="Y165" s="9">
        <f>IF(OR(V165="",V165=0),"",(X165-V165)/V165)</f>
        <v/>
      </c>
      <c r="Z165" s="7">
        <f>IF(COUNT(D165:U165)=0,"",INDEX($D$1:$U$1,MATCH(MIN(D165:U165),D165:U165,0)))</f>
        <v/>
      </c>
      <c r="AA165" s="8" t="n">
        <v>1233</v>
      </c>
      <c r="AB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>
        <f>IF(COUNT(D166:U166)=0,"",MIN(D166:U166))</f>
        <v/>
      </c>
      <c r="W166" s="8">
        <f>IF(COUNT(D166:U166)=0,"",MEDIAN(D166:U166))</f>
        <v/>
      </c>
      <c r="X166" s="8">
        <f>IF(COUNT(D166:U166)=0,"",MAX(D166:U166))</f>
        <v/>
      </c>
      <c r="Y166" s="9">
        <f>IF(OR(V166="",V166=0),"",(X166-V166)/V166)</f>
        <v/>
      </c>
      <c r="Z166" s="7">
        <f>IF(COUNT(D166:U166)=0,"",INDEX($D$1:$U$1,MATCH(MIN(D166:U166),D166:U166,0)))</f>
        <v/>
      </c>
      <c r="AA166" s="8" t="n">
        <v>1460</v>
      </c>
      <c r="AB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>
        <f>IF(COUNT(D167:U167)=0,"",MIN(D167:U167))</f>
        <v/>
      </c>
      <c r="W167" s="8">
        <f>IF(COUNT(D167:U167)=0,"",MEDIAN(D167:U167))</f>
        <v/>
      </c>
      <c r="X167" s="8">
        <f>IF(COUNT(D167:U167)=0,"",MAX(D167:U167))</f>
        <v/>
      </c>
      <c r="Y167" s="9">
        <f>IF(OR(V167="",V167=0),"",(X167-V167)/V167)</f>
        <v/>
      </c>
      <c r="Z167" s="7">
        <f>IF(COUNT(D167:U167)=0,"",INDEX($D$1:$U$1,MATCH(MIN(D167:U167),D167:U167,0)))</f>
        <v/>
      </c>
      <c r="AA167" s="8" t="n">
        <v>1761.9</v>
      </c>
      <c r="AB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>
        <f>IF(COUNT(D168:U168)=0,"",MIN(D168:U168))</f>
        <v/>
      </c>
      <c r="W168" s="8">
        <f>IF(COUNT(D168:U168)=0,"",MEDIAN(D168:U168))</f>
        <v/>
      </c>
      <c r="X168" s="8">
        <f>IF(COUNT(D168:U168)=0,"",MAX(D168:U168))</f>
        <v/>
      </c>
      <c r="Y168" s="9">
        <f>IF(OR(V168="",V168=0),"",(X168-V168)/V168)</f>
        <v/>
      </c>
      <c r="Z168" s="7">
        <f>IF(COUNT(D168:U168)=0,"",INDEX($D$1:$U$1,MATCH(MIN(D168:U168),D168:U168,0)))</f>
        <v/>
      </c>
      <c r="AA168" s="8" t="n">
        <v>1973</v>
      </c>
      <c r="AB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>
        <f>IF(COUNT(D169:U169)=0,"",MIN(D169:U169))</f>
        <v/>
      </c>
      <c r="W169" s="8">
        <f>IF(COUNT(D169:U169)=0,"",MEDIAN(D169:U169))</f>
        <v/>
      </c>
      <c r="X169" s="8">
        <f>IF(COUNT(D169:U169)=0,"",MAX(D169:U169))</f>
        <v/>
      </c>
      <c r="Y169" s="9">
        <f>IF(OR(V169="",V169=0),"",(X169-V169)/V169)</f>
        <v/>
      </c>
      <c r="Z169" s="7">
        <f>IF(COUNT(D169:U169)=0,"",INDEX($D$1:$U$1,MATCH(MIN(D169:U169),D169:U169,0)))</f>
        <v/>
      </c>
      <c r="AA169" s="8" t="n">
        <v>312.24</v>
      </c>
      <c r="AB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>
        <f>IF(COUNT(D170:U170)=0,"",MIN(D170:U170))</f>
        <v/>
      </c>
      <c r="W170" s="8">
        <f>IF(COUNT(D170:U170)=0,"",MEDIAN(D170:U170))</f>
        <v/>
      </c>
      <c r="X170" s="8">
        <f>IF(COUNT(D170:U170)=0,"",MAX(D170:U170))</f>
        <v/>
      </c>
      <c r="Y170" s="9">
        <f>IF(OR(V170="",V170=0),"",(X170-V170)/V170)</f>
        <v/>
      </c>
      <c r="Z170" s="7">
        <f>IF(COUNT(D170:U170)=0,"",INDEX($D$1:$U$1,MATCH(MIN(D170:U170),D170:U170,0)))</f>
        <v/>
      </c>
      <c r="AA170" s="8" t="n">
        <v>378</v>
      </c>
      <c r="AB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>
        <f>IF(COUNT(D171:U171)=0,"",MIN(D171:U171))</f>
        <v/>
      </c>
      <c r="W171" s="8">
        <f>IF(COUNT(D171:U171)=0,"",MEDIAN(D171:U171))</f>
        <v/>
      </c>
      <c r="X171" s="8">
        <f>IF(COUNT(D171:U171)=0,"",MAX(D171:U171))</f>
        <v/>
      </c>
      <c r="Y171" s="9">
        <f>IF(OR(V171="",V171=0),"",(X171-V171)/V171)</f>
        <v/>
      </c>
      <c r="Z171" s="7">
        <f>IF(COUNT(D171:U171)=0,"",INDEX($D$1:$U$1,MATCH(MIN(D171:U171),D171:U171,0)))</f>
        <v/>
      </c>
      <c r="AA171" s="8" t="n">
        <v>440.48</v>
      </c>
      <c r="AB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>
        <f>IF(COUNT(D172:U172)=0,"",MIN(D172:U172))</f>
        <v/>
      </c>
      <c r="W172" s="8">
        <f>IF(COUNT(D172:U172)=0,"",MEDIAN(D172:U172))</f>
        <v/>
      </c>
      <c r="X172" s="8">
        <f>IF(COUNT(D172:U172)=0,"",MAX(D172:U172))</f>
        <v/>
      </c>
      <c r="Y172" s="9">
        <f>IF(OR(V172="",V172=0),"",(X172-V172)/V172)</f>
        <v/>
      </c>
      <c r="Z172" s="7">
        <f>IF(COUNT(D172:U172)=0,"",INDEX($D$1:$U$1,MATCH(MIN(D172:U172),D172:U172,0)))</f>
        <v/>
      </c>
      <c r="AA172" s="8" t="n">
        <v>497</v>
      </c>
      <c r="AB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>
        <f>IF(COUNT(D173:U173)=0,"",MIN(D173:U173))</f>
        <v/>
      </c>
      <c r="W173" s="8">
        <f>IF(COUNT(D173:U173)=0,"",MEDIAN(D173:U173))</f>
        <v/>
      </c>
      <c r="X173" s="8">
        <f>IF(COUNT(D173:U173)=0,"",MAX(D173:U173))</f>
        <v/>
      </c>
      <c r="Y173" s="9">
        <f>IF(OR(V173="",V173=0),"",(X173-V173)/V173)</f>
        <v/>
      </c>
      <c r="Z173" s="7">
        <f>IF(COUNT(D173:U173)=0,"",INDEX($D$1:$U$1,MATCH(MIN(D173:U173),D173:U173,0)))</f>
        <v/>
      </c>
      <c r="AA173" s="8" t="n">
        <v>61.12</v>
      </c>
      <c r="AB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>
        <f>IF(COUNT(D174:U174)=0,"",MIN(D174:U174))</f>
        <v/>
      </c>
      <c r="W174" s="8">
        <f>IF(COUNT(D174:U174)=0,"",MEDIAN(D174:U174))</f>
        <v/>
      </c>
      <c r="X174" s="8">
        <f>IF(COUNT(D174:U174)=0,"",MAX(D174:U174))</f>
        <v/>
      </c>
      <c r="Y174" s="9">
        <f>IF(OR(V174="",V174=0),"",(X174-V174)/V174)</f>
        <v/>
      </c>
      <c r="Z174" s="7">
        <f>IF(COUNT(D174:U174)=0,"",INDEX($D$1:$U$1,MATCH(MIN(D174:U174),D174:U174,0)))</f>
        <v/>
      </c>
      <c r="AA174" s="8" t="n">
        <v>61.12</v>
      </c>
      <c r="AB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>
        <f>IF(COUNT(D175:U175)=0,"",MIN(D175:U175))</f>
        <v/>
      </c>
      <c r="W175" s="8">
        <f>IF(COUNT(D175:U175)=0,"",MEDIAN(D175:U175))</f>
        <v/>
      </c>
      <c r="X175" s="8">
        <f>IF(COUNT(D175:U175)=0,"",MAX(D175:U175))</f>
        <v/>
      </c>
      <c r="Y175" s="9">
        <f>IF(OR(V175="",V175=0),"",(X175-V175)/V175)</f>
        <v/>
      </c>
      <c r="Z175" s="7">
        <f>IF(COUNT(D175:U175)=0,"",INDEX($D$1:$U$1,MATCH(MIN(D175:U175),D175:U175,0)))</f>
        <v/>
      </c>
      <c r="AA175" s="8" t="n">
        <v>56.59</v>
      </c>
      <c r="AB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>
        <f>IF(COUNT(D176:U176)=0,"",MIN(D176:U176))</f>
        <v/>
      </c>
      <c r="W176" s="8">
        <f>IF(COUNT(D176:U176)=0,"",MEDIAN(D176:U176))</f>
        <v/>
      </c>
      <c r="X176" s="8">
        <f>IF(COUNT(D176:U176)=0,"",MAX(D176:U176))</f>
        <v/>
      </c>
      <c r="Y176" s="9">
        <f>IF(OR(V176="",V176=0),"",(X176-V176)/V176)</f>
        <v/>
      </c>
      <c r="Z176" s="7">
        <f>IF(COUNT(D176:U176)=0,"",INDEX($D$1:$U$1,MATCH(MIN(D176:U176),D176:U176,0)))</f>
        <v/>
      </c>
      <c r="AA176" s="8" t="n">
        <v>30.48</v>
      </c>
      <c r="AB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>
        <f>IF(COUNT(D177:U177)=0,"",MIN(D177:U177))</f>
        <v/>
      </c>
      <c r="W177" s="8">
        <f>IF(COUNT(D177:U177)=0,"",MEDIAN(D177:U177))</f>
        <v/>
      </c>
      <c r="X177" s="8">
        <f>IF(COUNT(D177:U177)=0,"",MAX(D177:U177))</f>
        <v/>
      </c>
      <c r="Y177" s="9">
        <f>IF(OR(V177="",V177=0),"",(X177-V177)/V177)</f>
        <v/>
      </c>
      <c r="Z177" s="7">
        <f>IF(COUNT(D177:U177)=0,"",INDEX($D$1:$U$1,MATCH(MIN(D177:U177),D177:U177,0)))</f>
        <v/>
      </c>
      <c r="AA177" s="8" t="n">
        <v>45.71</v>
      </c>
      <c r="AB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>
        <f>IF(COUNT(D178:U178)=0,"",MIN(D178:U178))</f>
        <v/>
      </c>
      <c r="W178" s="8">
        <f>IF(COUNT(D178:U178)=0,"",MEDIAN(D178:U178))</f>
        <v/>
      </c>
      <c r="X178" s="8">
        <f>IF(COUNT(D178:U178)=0,"",MAX(D178:U178))</f>
        <v/>
      </c>
      <c r="Y178" s="9">
        <f>IF(OR(V178="",V178=0),"",(X178-V178)/V178)</f>
        <v/>
      </c>
      <c r="Z178" s="7">
        <f>IF(COUNT(D178:U178)=0,"",INDEX($D$1:$U$1,MATCH(MIN(D178:U178),D178:U178,0)))</f>
        <v/>
      </c>
      <c r="AA178" s="8" t="n">
        <v>54.43</v>
      </c>
      <c r="AB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>
        <f>IF(COUNT(D179:U179)=0,"",MIN(D179:U179))</f>
        <v/>
      </c>
      <c r="W179" s="8">
        <f>IF(COUNT(D179:U179)=0,"",MEDIAN(D179:U179))</f>
        <v/>
      </c>
      <c r="X179" s="8">
        <f>IF(COUNT(D179:U179)=0,"",MAX(D179:U179))</f>
        <v/>
      </c>
      <c r="Y179" s="9">
        <f>IF(OR(V179="",V179=0),"",(X179-V179)/V179)</f>
        <v/>
      </c>
      <c r="Z179" s="7">
        <f>IF(COUNT(D179:U179)=0,"",INDEX($D$1:$U$1,MATCH(MIN(D179:U179),D179:U179,0)))</f>
        <v/>
      </c>
      <c r="AA179" s="8" t="n">
        <v>63.13</v>
      </c>
      <c r="AB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>
        <f>IF(COUNT(D180:U180)=0,"",MIN(D180:U180))</f>
        <v/>
      </c>
      <c r="W180" s="8">
        <f>IF(COUNT(D180:U180)=0,"",MEDIAN(D180:U180))</f>
        <v/>
      </c>
      <c r="X180" s="8">
        <f>IF(COUNT(D180:U180)=0,"",MAX(D180:U180))</f>
        <v/>
      </c>
      <c r="Y180" s="9">
        <f>IF(OR(V180="",V180=0),"",(X180-V180)/V180)</f>
        <v/>
      </c>
      <c r="Z180" s="7">
        <f>IF(COUNT(D180:U180)=0,"",INDEX($D$1:$U$1,MATCH(MIN(D180:U180),D180:U180,0)))</f>
        <v/>
      </c>
      <c r="AA180" s="8" t="n">
        <v>70.75</v>
      </c>
      <c r="AB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>
        <f>IF(COUNT(D181:U181)=0,"",MIN(D181:U181))</f>
        <v/>
      </c>
      <c r="W181" s="8">
        <f>IF(COUNT(D181:U181)=0,"",MEDIAN(D181:U181))</f>
        <v/>
      </c>
      <c r="X181" s="8">
        <f>IF(COUNT(D181:U181)=0,"",MAX(D181:U181))</f>
        <v/>
      </c>
      <c r="Y181" s="9">
        <f>IF(OR(V181="",V181=0),"",(X181-V181)/V181)</f>
        <v/>
      </c>
      <c r="Z181" s="7">
        <f>IF(COUNT(D181:U181)=0,"",INDEX($D$1:$U$1,MATCH(MIN(D181:U181),D181:U181,0)))</f>
        <v/>
      </c>
      <c r="AA181" s="8" t="n">
        <v>78.36</v>
      </c>
      <c r="AB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>
        <f>IF(COUNT(D182:U182)=0,"",MIN(D182:U182))</f>
        <v/>
      </c>
      <c r="W182" s="8">
        <f>IF(COUNT(D182:U182)=0,"",MEDIAN(D182:U182))</f>
        <v/>
      </c>
      <c r="X182" s="8">
        <f>IF(COUNT(D182:U182)=0,"",MAX(D182:U182))</f>
        <v/>
      </c>
      <c r="Y182" s="9">
        <f>IF(OR(V182="",V182=0),"",(X182-V182)/V182)</f>
        <v/>
      </c>
      <c r="Z182" s="7">
        <f>IF(COUNT(D182:U182)=0,"",INDEX($D$1:$U$1,MATCH(MIN(D182:U182),D182:U182,0)))</f>
        <v/>
      </c>
      <c r="AA182" s="8" t="n">
        <v>228.57</v>
      </c>
      <c r="AB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>
        <f>IF(COUNT(D183:U183)=0,"",MIN(D183:U183))</f>
        <v/>
      </c>
      <c r="W183" s="8">
        <f>IF(COUNT(D183:U183)=0,"",MEDIAN(D183:U183))</f>
        <v/>
      </c>
      <c r="X183" s="8">
        <f>IF(COUNT(D183:U183)=0,"",MAX(D183:U183))</f>
        <v/>
      </c>
      <c r="Y183" s="9">
        <f>IF(OR(V183="",V183=0),"",(X183-V183)/V183)</f>
        <v/>
      </c>
      <c r="Z183" s="7">
        <f>IF(COUNT(D183:U183)=0,"",INDEX($D$1:$U$1,MATCH(MIN(D183:U183),D183:U183,0)))</f>
        <v/>
      </c>
      <c r="AA183" s="8" t="n">
        <v>434.26</v>
      </c>
      <c r="AB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>
        <f>IF(COUNT(D184:U184)=0,"",MIN(D184:U184))</f>
        <v/>
      </c>
      <c r="W184" s="8">
        <f>IF(COUNT(D184:U184)=0,"",MEDIAN(D184:U184))</f>
        <v/>
      </c>
      <c r="X184" s="8">
        <f>IF(COUNT(D184:U184)=0,"",MAX(D184:U184))</f>
        <v/>
      </c>
      <c r="Y184" s="9">
        <f>IF(OR(V184="",V184=0),"",(X184-V184)/V184)</f>
        <v/>
      </c>
      <c r="Z184" s="7">
        <f>IF(COUNT(D184:U184)=0,"",INDEX($D$1:$U$1,MATCH(MIN(D184:U184),D184:U184,0)))</f>
        <v/>
      </c>
      <c r="AA184" s="8" t="n">
        <v>697.6799999999999</v>
      </c>
      <c r="AB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>
        <f>IF(COUNT(D185:U185)=0,"",MIN(D185:U185))</f>
        <v/>
      </c>
      <c r="W185" s="8">
        <f>IF(COUNT(D185:U185)=0,"",MEDIAN(D185:U185))</f>
        <v/>
      </c>
      <c r="X185" s="8">
        <f>IF(COUNT(D185:U185)=0,"",MAX(D185:U185))</f>
        <v/>
      </c>
      <c r="Y185" s="9">
        <f>IF(OR(V185="",V185=0),"",(X185-V185)/V185)</f>
        <v/>
      </c>
      <c r="Z185" s="7">
        <f>IF(COUNT(D185:U185)=0,"",INDEX($D$1:$U$1,MATCH(MIN(D185:U185),D185:U185,0)))</f>
        <v/>
      </c>
      <c r="AA185" s="8" t="n">
        <v>854.4</v>
      </c>
      <c r="AB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>
        <f>IF(COUNT(D186:U186)=0,"",MIN(D186:U186))</f>
        <v/>
      </c>
      <c r="W186" s="8">
        <f>IF(COUNT(D186:U186)=0,"",MEDIAN(D186:U186))</f>
        <v/>
      </c>
      <c r="X186" s="8">
        <f>IF(COUNT(D186:U186)=0,"",MAX(D186:U186))</f>
        <v/>
      </c>
      <c r="Y186" s="9">
        <f>IF(OR(V186="",V186=0),"",(X186-V186)/V186)</f>
        <v/>
      </c>
      <c r="Z186" s="7">
        <f>IF(COUNT(D186:U186)=0,"",INDEX($D$1:$U$1,MATCH(MIN(D186:U186),D186:U186,0)))</f>
        <v/>
      </c>
      <c r="AA186" s="8" t="n">
        <v>1066.64</v>
      </c>
      <c r="AB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>
        <f>IF(COUNT(D187:U187)=0,"",MIN(D187:U187))</f>
        <v/>
      </c>
      <c r="W187" s="8">
        <f>IF(COUNT(D187:U187)=0,"",MEDIAN(D187:U187))</f>
        <v/>
      </c>
      <c r="X187" s="8">
        <f>IF(COUNT(D187:U187)=0,"",MAX(D187:U187))</f>
        <v/>
      </c>
      <c r="Y187" s="9">
        <f>IF(OR(V187="",V187=0),"",(X187-V187)/V187)</f>
        <v/>
      </c>
      <c r="Z187" s="7">
        <f>IF(COUNT(D187:U187)=0,"",INDEX($D$1:$U$1,MATCH(MIN(D187:U187),D187:U187,0)))</f>
        <v/>
      </c>
      <c r="AA187" s="8" t="n">
        <v>2488.96</v>
      </c>
      <c r="AB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>
        <f>IF(COUNT(D188:U188)=0,"",MIN(D188:U188))</f>
        <v/>
      </c>
      <c r="W188" s="8">
        <f>IF(COUNT(D188:U188)=0,"",MEDIAN(D188:U188))</f>
        <v/>
      </c>
      <c r="X188" s="8">
        <f>IF(COUNT(D188:U188)=0,"",MAX(D188:U188))</f>
        <v/>
      </c>
      <c r="Y188" s="9">
        <f>IF(OR(V188="",V188=0),"",(X188-V188)/V188)</f>
        <v/>
      </c>
      <c r="Z188" s="7">
        <f>IF(COUNT(D188:U188)=0,"",INDEX($D$1:$U$1,MATCH(MIN(D188:U188),D188:U188,0)))</f>
        <v/>
      </c>
      <c r="AA188" s="8" t="n">
        <v>619.63</v>
      </c>
      <c r="AB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>
        <f>IF(COUNT(D189:U189)=0,"",MIN(D189:U189))</f>
        <v/>
      </c>
      <c r="W189" s="8">
        <f>IF(COUNT(D189:U189)=0,"",MEDIAN(D189:U189))</f>
        <v/>
      </c>
      <c r="X189" s="8">
        <f>IF(COUNT(D189:U189)=0,"",MAX(D189:U189))</f>
        <v/>
      </c>
      <c r="Y189" s="9">
        <f>IF(OR(V189="",V189=0),"",(X189-V189)/V189)</f>
        <v/>
      </c>
      <c r="Z189" s="7">
        <f>IF(COUNT(D189:U189)=0,"",INDEX($D$1:$U$1,MATCH(MIN(D189:U189),D189:U189,0)))</f>
        <v/>
      </c>
      <c r="AA189" s="8" t="n">
        <v>1425</v>
      </c>
      <c r="AB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>
        <f>IF(COUNT(D190:U190)=0,"",MIN(D190:U190))</f>
        <v/>
      </c>
      <c r="W190" s="8">
        <f>IF(COUNT(D190:U190)=0,"",MEDIAN(D190:U190))</f>
        <v/>
      </c>
      <c r="X190" s="8">
        <f>IF(COUNT(D190:U190)=0,"",MAX(D190:U190))</f>
        <v/>
      </c>
      <c r="Y190" s="9">
        <f>IF(OR(V190="",V190=0),"",(X190-V190)/V190)</f>
        <v/>
      </c>
      <c r="Z190" s="7">
        <f>IF(COUNT(D190:U190)=0,"",INDEX($D$1:$U$1,MATCH(MIN(D190:U190),D190:U190,0)))</f>
        <v/>
      </c>
      <c r="AA190" s="8" t="n">
        <v>310.01</v>
      </c>
      <c r="AB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>
        <f>IF(COUNT(D191:U191)=0,"",MIN(D191:U191))</f>
        <v/>
      </c>
      <c r="W191" s="8">
        <f>IF(COUNT(D191:U191)=0,"",MEDIAN(D191:U191))</f>
        <v/>
      </c>
      <c r="X191" s="8">
        <f>IF(COUNT(D191:U191)=0,"",MAX(D191:U191))</f>
        <v/>
      </c>
      <c r="Y191" s="9">
        <f>IF(OR(V191="",V191=0),"",(X191-V191)/V191)</f>
        <v/>
      </c>
      <c r="Z191" s="7">
        <f>IF(COUNT(D191:U191)=0,"",INDEX($D$1:$U$1,MATCH(MIN(D191:U191),D191:U191,0)))</f>
        <v/>
      </c>
      <c r="AA191" s="8" t="n">
        <v>635.01</v>
      </c>
      <c r="AB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>
        <f>IF(COUNT(D192:U192)=0,"",MIN(D192:U192))</f>
        <v/>
      </c>
      <c r="W192" s="8">
        <f>IF(COUNT(D192:U192)=0,"",MEDIAN(D192:U192))</f>
        <v/>
      </c>
      <c r="X192" s="8">
        <f>IF(COUNT(D192:U192)=0,"",MAX(D192:U192))</f>
        <v/>
      </c>
      <c r="Y192" s="9">
        <f>IF(OR(V192="",V192=0),"",(X192-V192)/V192)</f>
        <v/>
      </c>
      <c r="Z192" s="7">
        <f>IF(COUNT(D192:U192)=0,"",INDEX($D$1:$U$1,MATCH(MIN(D192:U192),D192:U192,0)))</f>
        <v/>
      </c>
      <c r="AA192" s="8" t="n">
        <v>1010</v>
      </c>
      <c r="AB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>
        <f>IF(COUNT(D193:U193)=0,"",MIN(D193:U193))</f>
        <v/>
      </c>
      <c r="W193" s="8">
        <f>IF(COUNT(D193:U193)=0,"",MEDIAN(D193:U193))</f>
        <v/>
      </c>
      <c r="X193" s="8">
        <f>IF(COUNT(D193:U193)=0,"",MAX(D193:U193))</f>
        <v/>
      </c>
      <c r="Y193" s="9">
        <f>IF(OR(V193="",V193=0),"",(X193-V193)/V193)</f>
        <v/>
      </c>
      <c r="Z193" s="7">
        <f>IF(COUNT(D193:U193)=0,"",INDEX($D$1:$U$1,MATCH(MIN(D193:U193),D193:U193,0)))</f>
        <v/>
      </c>
      <c r="AA193" s="8" t="n">
        <v>2733</v>
      </c>
      <c r="AB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>
        <f>IF(COUNT(D194:U194)=0,"",MIN(D194:U194))</f>
        <v/>
      </c>
      <c r="W194" s="8">
        <f>IF(COUNT(D194:U194)=0,"",MEDIAN(D194:U194))</f>
        <v/>
      </c>
      <c r="X194" s="8">
        <f>IF(COUNT(D194:U194)=0,"",MAX(D194:U194))</f>
        <v/>
      </c>
      <c r="Y194" s="9">
        <f>IF(OR(V194="",V194=0),"",(X194-V194)/V194)</f>
        <v/>
      </c>
      <c r="Z194" s="7">
        <f>IF(COUNT(D194:U194)=0,"",INDEX($D$1:$U$1,MATCH(MIN(D194:U194),D194:U194,0)))</f>
        <v/>
      </c>
      <c r="AA194" s="8" t="n">
        <v>430</v>
      </c>
      <c r="AB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>
        <f>IF(COUNT(D195:U195)=0,"",MIN(D195:U195))</f>
        <v/>
      </c>
      <c r="W195" s="8">
        <f>IF(COUNT(D195:U195)=0,"",MEDIAN(D195:U195))</f>
        <v/>
      </c>
      <c r="X195" s="8">
        <f>IF(COUNT(D195:U195)=0,"",MAX(D195:U195))</f>
        <v/>
      </c>
      <c r="Y195" s="9">
        <f>IF(OR(V195="",V195=0),"",(X195-V195)/V195)</f>
        <v/>
      </c>
      <c r="Z195" s="7">
        <f>IF(COUNT(D195:U195)=0,"",INDEX($D$1:$U$1,MATCH(MIN(D195:U195),D195:U195,0)))</f>
        <v/>
      </c>
      <c r="AA195" s="8" t="n">
        <v>501</v>
      </c>
      <c r="AB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>
        <f>IF(COUNT(D196:U196)=0,"",MIN(D196:U196))</f>
        <v/>
      </c>
      <c r="W196" s="8">
        <f>IF(COUNT(D196:U196)=0,"",MEDIAN(D196:U196))</f>
        <v/>
      </c>
      <c r="X196" s="8">
        <f>IF(COUNT(D196:U196)=0,"",MAX(D196:U196))</f>
        <v/>
      </c>
      <c r="Y196" s="9">
        <f>IF(OR(V196="",V196=0),"",(X196-V196)/V196)</f>
        <v/>
      </c>
      <c r="Z196" s="7">
        <f>IF(COUNT(D196:U196)=0,"",INDEX($D$1:$U$1,MATCH(MIN(D196:U196),D196:U196,0)))</f>
        <v/>
      </c>
      <c r="AA196" s="8" t="n">
        <v>1235</v>
      </c>
      <c r="AB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>
        <f>IF(COUNT(D197:U197)=0,"",MIN(D197:U197))</f>
        <v/>
      </c>
      <c r="W197" s="8">
        <f>IF(COUNT(D197:U197)=0,"",MEDIAN(D197:U197))</f>
        <v/>
      </c>
      <c r="X197" s="8">
        <f>IF(COUNT(D197:U197)=0,"",MAX(D197:U197))</f>
        <v/>
      </c>
      <c r="Y197" s="9">
        <f>IF(OR(V197="",V197=0),"",(X197-V197)/V197)</f>
        <v/>
      </c>
      <c r="Z197" s="7">
        <f>IF(COUNT(D197:U197)=0,"",INDEX($D$1:$U$1,MATCH(MIN(D197:U197),D197:U197,0)))</f>
        <v/>
      </c>
      <c r="AA197" s="8" t="n">
        <v>809.8</v>
      </c>
      <c r="AB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>
        <f>IF(COUNT(D198:U198)=0,"",MIN(D198:U198))</f>
        <v/>
      </c>
      <c r="W198" s="8">
        <f>IF(COUNT(D198:U198)=0,"",MEDIAN(D198:U198))</f>
        <v/>
      </c>
      <c r="X198" s="8">
        <f>IF(COUNT(D198:U198)=0,"",MAX(D198:U198))</f>
        <v/>
      </c>
      <c r="Y198" s="9">
        <f>IF(OR(V198="",V198=0),"",(X198-V198)/V198)</f>
        <v/>
      </c>
      <c r="Z198" s="7">
        <f>IF(COUNT(D198:U198)=0,"",INDEX($D$1:$U$1,MATCH(MIN(D198:U198),D198:U198,0)))</f>
        <v/>
      </c>
      <c r="AA198" s="8" t="n">
        <v>450</v>
      </c>
      <c r="AB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>
        <f>IF(COUNT(D199:U199)=0,"",MIN(D199:U199))</f>
        <v/>
      </c>
      <c r="W199" s="8">
        <f>IF(COUNT(D199:U199)=0,"",MEDIAN(D199:U199))</f>
        <v/>
      </c>
      <c r="X199" s="8">
        <f>IF(COUNT(D199:U199)=0,"",MAX(D199:U199))</f>
        <v/>
      </c>
      <c r="Y199" s="9">
        <f>IF(OR(V199="",V199=0),"",(X199-V199)/V199)</f>
        <v/>
      </c>
      <c r="Z199" s="7">
        <f>IF(COUNT(D199:U199)=0,"",INDEX($D$1:$U$1,MATCH(MIN(D199:U199),D199:U199,0)))</f>
        <v/>
      </c>
      <c r="AA199" s="8" t="n">
        <v>2121</v>
      </c>
      <c r="AB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>
        <f>IF(COUNT(D200:U200)=0,"",MIN(D200:U200))</f>
        <v/>
      </c>
      <c r="W200" s="8">
        <f>IF(COUNT(D200:U200)=0,"",MEDIAN(D200:U200))</f>
        <v/>
      </c>
      <c r="X200" s="8">
        <f>IF(COUNT(D200:U200)=0,"",MAX(D200:U200))</f>
        <v/>
      </c>
      <c r="Y200" s="9">
        <f>IF(OR(V200="",V200=0),"",(X200-V200)/V200)</f>
        <v/>
      </c>
      <c r="Z200" s="7">
        <f>IF(COUNT(D200:U200)=0,"",INDEX($D$1:$U$1,MATCH(MIN(D200:U200),D200:U200,0)))</f>
        <v/>
      </c>
      <c r="AA200" s="8" t="n">
        <v>1249</v>
      </c>
      <c r="AB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>
        <f>IF(COUNT(D201:U201)=0,"",MIN(D201:U201))</f>
        <v/>
      </c>
      <c r="W201" s="8">
        <f>IF(COUNT(D201:U201)=0,"",MEDIAN(D201:U201))</f>
        <v/>
      </c>
      <c r="X201" s="8">
        <f>IF(COUNT(D201:U201)=0,"",MAX(D201:U201))</f>
        <v/>
      </c>
      <c r="Y201" s="9">
        <f>IF(OR(V201="",V201=0),"",(X201-V201)/V201)</f>
        <v/>
      </c>
      <c r="Z201" s="7">
        <f>IF(COUNT(D201:U201)=0,"",INDEX($D$1:$U$1,MATCH(MIN(D201:U201),D201:U201,0)))</f>
        <v/>
      </c>
      <c r="AA201" s="8" t="n">
        <v>705</v>
      </c>
      <c r="AB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>
        <f>IF(COUNT(D202:U202)=0,"",MIN(D202:U202))</f>
        <v/>
      </c>
      <c r="W202" s="8">
        <f>IF(COUNT(D202:U202)=0,"",MEDIAN(D202:U202))</f>
        <v/>
      </c>
      <c r="X202" s="8">
        <f>IF(COUNT(D202:U202)=0,"",MAX(D202:U202))</f>
        <v/>
      </c>
      <c r="Y202" s="9">
        <f>IF(OR(V202="",V202=0),"",(X202-V202)/V202)</f>
        <v/>
      </c>
      <c r="Z202" s="7">
        <f>IF(COUNT(D202:U202)=0,"",INDEX($D$1:$U$1,MATCH(MIN(D202:U202),D202:U202,0)))</f>
        <v/>
      </c>
      <c r="AA202" s="8" t="n">
        <v>875</v>
      </c>
      <c r="AB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>
        <f>IF(COUNT(D203:U203)=0,"",MIN(D203:U203))</f>
        <v/>
      </c>
      <c r="W203" s="8">
        <f>IF(COUNT(D203:U203)=0,"",MEDIAN(D203:U203))</f>
        <v/>
      </c>
      <c r="X203" s="8">
        <f>IF(COUNT(D203:U203)=0,"",MAX(D203:U203))</f>
        <v/>
      </c>
      <c r="Y203" s="9">
        <f>IF(OR(V203="",V203=0),"",(X203-V203)/V203)</f>
        <v/>
      </c>
      <c r="Z203" s="7">
        <f>IF(COUNT(D203:U203)=0,"",INDEX($D$1:$U$1,MATCH(MIN(D203:U203),D203:U203,0)))</f>
        <v/>
      </c>
      <c r="AA203" s="8" t="n">
        <v>1030</v>
      </c>
      <c r="AB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>
        <f>IF(COUNT(D204:U204)=0,"",MIN(D204:U204))</f>
        <v/>
      </c>
      <c r="W204" s="8">
        <f>IF(COUNT(D204:U204)=0,"",MEDIAN(D204:U204))</f>
        <v/>
      </c>
      <c r="X204" s="8">
        <f>IF(COUNT(D204:U204)=0,"",MAX(D204:U204))</f>
        <v/>
      </c>
      <c r="Y204" s="9">
        <f>IF(OR(V204="",V204=0),"",(X204-V204)/V204)</f>
        <v/>
      </c>
      <c r="Z204" s="7">
        <f>IF(COUNT(D204:U204)=0,"",INDEX($D$1:$U$1,MATCH(MIN(D204:U204),D204:U204,0)))</f>
        <v/>
      </c>
      <c r="AA204" s="8" t="n">
        <v>875</v>
      </c>
      <c r="AB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>
        <f>IF(COUNT(D205:U205)=0,"",MIN(D205:U205))</f>
        <v/>
      </c>
      <c r="W205" s="8">
        <f>IF(COUNT(D205:U205)=0,"",MEDIAN(D205:U205))</f>
        <v/>
      </c>
      <c r="X205" s="8">
        <f>IF(COUNT(D205:U205)=0,"",MAX(D205:U205))</f>
        <v/>
      </c>
      <c r="Y205" s="9">
        <f>IF(OR(V205="",V205=0),"",(X205-V205)/V205)</f>
        <v/>
      </c>
      <c r="Z205" s="7">
        <f>IF(COUNT(D205:U205)=0,"",INDEX($D$1:$U$1,MATCH(MIN(D205:U205),D205:U205,0)))</f>
        <v/>
      </c>
      <c r="AA205" s="8" t="n">
        <v>1735</v>
      </c>
      <c r="AB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>
        <f>IF(COUNT(D206:U206)=0,"",MIN(D206:U206))</f>
        <v/>
      </c>
      <c r="W206" s="8">
        <f>IF(COUNT(D206:U206)=0,"",MEDIAN(D206:U206))</f>
        <v/>
      </c>
      <c r="X206" s="8">
        <f>IF(COUNT(D206:U206)=0,"",MAX(D206:U206))</f>
        <v/>
      </c>
      <c r="Y206" s="9">
        <f>IF(OR(V206="",V206=0),"",(X206-V206)/V206)</f>
        <v/>
      </c>
      <c r="Z206" s="7">
        <f>IF(COUNT(D206:U206)=0,"",INDEX($D$1:$U$1,MATCH(MIN(D206:U206),D206:U206,0)))</f>
        <v/>
      </c>
      <c r="AA206" s="8" t="n">
        <v>825</v>
      </c>
      <c r="AB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>
        <f>IF(COUNT(D207:U207)=0,"",MIN(D207:U207))</f>
        <v/>
      </c>
      <c r="W207" s="8">
        <f>IF(COUNT(D207:U207)=0,"",MEDIAN(D207:U207))</f>
        <v/>
      </c>
      <c r="X207" s="8">
        <f>IF(COUNT(D207:U207)=0,"",MAX(D207:U207))</f>
        <v/>
      </c>
      <c r="Y207" s="9">
        <f>IF(OR(V207="",V207=0),"",(X207-V207)/V207)</f>
        <v/>
      </c>
      <c r="Z207" s="7">
        <f>IF(COUNT(D207:U207)=0,"",INDEX($D$1:$U$1,MATCH(MIN(D207:U207),D207:U207,0)))</f>
        <v/>
      </c>
      <c r="AA207" s="8" t="n">
        <v>780</v>
      </c>
      <c r="AB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>
        <f>IF(COUNT(D208:U208)=0,"",MIN(D208:U208))</f>
        <v/>
      </c>
      <c r="W208" s="8">
        <f>IF(COUNT(D208:U208)=0,"",MEDIAN(D208:U208))</f>
        <v/>
      </c>
      <c r="X208" s="8">
        <f>IF(COUNT(D208:U208)=0,"",MAX(D208:U208))</f>
        <v/>
      </c>
      <c r="Y208" s="9">
        <f>IF(OR(V208="",V208=0),"",(X208-V208)/V208)</f>
        <v/>
      </c>
      <c r="Z208" s="7">
        <f>IF(COUNT(D208:U208)=0,"",INDEX($D$1:$U$1,MATCH(MIN(D208:U208),D208:U208,0)))</f>
        <v/>
      </c>
      <c r="AA208" s="8" t="n">
        <v>475</v>
      </c>
      <c r="AB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>
        <f>IF(COUNT(D209:U209)=0,"",MIN(D209:U209))</f>
        <v/>
      </c>
      <c r="W209" s="8">
        <f>IF(COUNT(D209:U209)=0,"",MEDIAN(D209:U209))</f>
        <v/>
      </c>
      <c r="X209" s="8">
        <f>IF(COUNT(D209:U209)=0,"",MAX(D209:U209))</f>
        <v/>
      </c>
      <c r="Y209" s="9">
        <f>IF(OR(V209="",V209=0),"",(X209-V209)/V209)</f>
        <v/>
      </c>
      <c r="Z209" s="7">
        <f>IF(COUNT(D209:U209)=0,"",INDEX($D$1:$U$1,MATCH(MIN(D209:U209),D209:U209,0)))</f>
        <v/>
      </c>
      <c r="AA209" s="8" t="n">
        <v>1180</v>
      </c>
      <c r="AB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>
        <f>IF(COUNT(D210:U210)=0,"",MIN(D210:U210))</f>
        <v/>
      </c>
      <c r="W210" s="8">
        <f>IF(COUNT(D210:U210)=0,"",MEDIAN(D210:U210))</f>
        <v/>
      </c>
      <c r="X210" s="8">
        <f>IF(COUNT(D210:U210)=0,"",MAX(D210:U210))</f>
        <v/>
      </c>
      <c r="Y210" s="9">
        <f>IF(OR(V210="",V210=0),"",(X210-V210)/V210)</f>
        <v/>
      </c>
      <c r="Z210" s="7">
        <f>IF(COUNT(D210:U210)=0,"",INDEX($D$1:$U$1,MATCH(MIN(D210:U210),D210:U210,0)))</f>
        <v/>
      </c>
      <c r="AA210" s="8" t="n">
        <v>1995</v>
      </c>
      <c r="AB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>
        <f>IF(COUNT(D211:U211)=0,"",MIN(D211:U211))</f>
        <v/>
      </c>
      <c r="W211" s="8">
        <f>IF(COUNT(D211:U211)=0,"",MEDIAN(D211:U211))</f>
        <v/>
      </c>
      <c r="X211" s="8">
        <f>IF(COUNT(D211:U211)=0,"",MAX(D211:U211))</f>
        <v/>
      </c>
      <c r="Y211" s="9">
        <f>IF(OR(V211="",V211=0),"",(X211-V211)/V211)</f>
        <v/>
      </c>
      <c r="Z211" s="7">
        <f>IF(COUNT(D211:U211)=0,"",INDEX($D$1:$U$1,MATCH(MIN(D211:U211),D211:U211,0)))</f>
        <v/>
      </c>
      <c r="AA211" s="8" t="n">
        <v>296.18</v>
      </c>
      <c r="AB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>
        <f>IF(COUNT(D212:U212)=0,"",MIN(D212:U212))</f>
        <v/>
      </c>
      <c r="W212" s="8">
        <f>IF(COUNT(D212:U212)=0,"",MEDIAN(D212:U212))</f>
        <v/>
      </c>
      <c r="X212" s="8">
        <f>IF(COUNT(D212:U212)=0,"",MAX(D212:U212))</f>
        <v/>
      </c>
      <c r="Y212" s="9">
        <f>IF(OR(V212="",V212=0),"",(X212-V212)/V212)</f>
        <v/>
      </c>
      <c r="Z212" s="7">
        <f>IF(COUNT(D212:U212)=0,"",INDEX($D$1:$U$1,MATCH(MIN(D212:U212),D212:U212,0)))</f>
        <v/>
      </c>
      <c r="AA212" s="8" t="n">
        <v>592.36</v>
      </c>
      <c r="AB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>
        <f>IF(COUNT(D213:U213)=0,"",MIN(D213:U213))</f>
        <v/>
      </c>
      <c r="W213" s="8">
        <f>IF(COUNT(D213:U213)=0,"",MEDIAN(D213:U213))</f>
        <v/>
      </c>
      <c r="X213" s="8">
        <f>IF(COUNT(D213:U213)=0,"",MAX(D213:U213))</f>
        <v/>
      </c>
      <c r="Y213" s="9">
        <f>IF(OR(V213="",V213=0),"",(X213-V213)/V213)</f>
        <v/>
      </c>
      <c r="Z213" s="7">
        <f>IF(COUNT(D213:U213)=0,"",INDEX($D$1:$U$1,MATCH(MIN(D213:U213),D213:U213,0)))</f>
        <v/>
      </c>
      <c r="AA213" s="8" t="n">
        <v>219</v>
      </c>
      <c r="AB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>
        <f>IF(COUNT(D214:U214)=0,"",MIN(D214:U214))</f>
        <v/>
      </c>
      <c r="W214" s="8">
        <f>IF(COUNT(D214:U214)=0,"",MEDIAN(D214:U214))</f>
        <v/>
      </c>
      <c r="X214" s="8">
        <f>IF(COUNT(D214:U214)=0,"",MAX(D214:U214))</f>
        <v/>
      </c>
      <c r="Y214" s="9">
        <f>IF(OR(V214="",V214=0),"",(X214-V214)/V214)</f>
        <v/>
      </c>
      <c r="Z214" s="7">
        <f>IF(COUNT(D214:U214)=0,"",INDEX($D$1:$U$1,MATCH(MIN(D214:U214),D214:U214,0)))</f>
        <v/>
      </c>
      <c r="AA214" s="8" t="n">
        <v>452</v>
      </c>
      <c r="AB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>
        <f>IF(COUNT(D215:U215)=0,"",MIN(D215:U215))</f>
        <v/>
      </c>
      <c r="W215" s="8">
        <f>IF(COUNT(D215:U215)=0,"",MEDIAN(D215:U215))</f>
        <v/>
      </c>
      <c r="X215" s="8">
        <f>IF(COUNT(D215:U215)=0,"",MAX(D215:U215))</f>
        <v/>
      </c>
      <c r="Y215" s="9">
        <f>IF(OR(V215="",V215=0),"",(X215-V215)/V215)</f>
        <v/>
      </c>
      <c r="Z215" s="7">
        <f>IF(COUNT(D215:U215)=0,"",INDEX($D$1:$U$1,MATCH(MIN(D215:U215),D215:U215,0)))</f>
        <v/>
      </c>
      <c r="AA215" s="8" t="n">
        <v>1026.24</v>
      </c>
      <c r="AB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>
        <f>IF(COUNT(D216:U216)=0,"",MIN(D216:U216))</f>
        <v/>
      </c>
      <c r="W216" s="8">
        <f>IF(COUNT(D216:U216)=0,"",MEDIAN(D216:U216))</f>
        <v/>
      </c>
      <c r="X216" s="8">
        <f>IF(COUNT(D216:U216)=0,"",MAX(D216:U216))</f>
        <v/>
      </c>
      <c r="Y216" s="9">
        <f>IF(OR(V216="",V216=0),"",(X216-V216)/V216)</f>
        <v/>
      </c>
      <c r="Z216" s="7">
        <f>IF(COUNT(D216:U216)=0,"",INDEX($D$1:$U$1,MATCH(MIN(D216:U216),D216:U216,0)))</f>
        <v/>
      </c>
      <c r="AA216" s="8" t="n">
        <v>1677.27</v>
      </c>
      <c r="AB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>
        <f>IF(COUNT(D217:U217)=0,"",MIN(D217:U217))</f>
        <v/>
      </c>
      <c r="W217" s="8">
        <f>IF(COUNT(D217:U217)=0,"",MEDIAN(D217:U217))</f>
        <v/>
      </c>
      <c r="X217" s="8">
        <f>IF(COUNT(D217:U217)=0,"",MAX(D217:U217))</f>
        <v/>
      </c>
      <c r="Y217" s="9">
        <f>IF(OR(V217="",V217=0),"",(X217-V217)/V217)</f>
        <v/>
      </c>
      <c r="Z217" s="7">
        <f>IF(COUNT(D217:U217)=0,"",INDEX($D$1:$U$1,MATCH(MIN(D217:U217),D217:U217,0)))</f>
        <v/>
      </c>
      <c r="AA217" s="8" t="n">
        <v>2064.49</v>
      </c>
      <c r="AB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>
        <f>IF(COUNT(D218:U218)=0,"",MIN(D218:U218))</f>
        <v/>
      </c>
      <c r="W218" s="8">
        <f>IF(COUNT(D218:U218)=0,"",MEDIAN(D218:U218))</f>
        <v/>
      </c>
      <c r="X218" s="8">
        <f>IF(COUNT(D218:U218)=0,"",MAX(D218:U218))</f>
        <v/>
      </c>
      <c r="Y218" s="9">
        <f>IF(OR(V218="",V218=0),"",(X218-V218)/V218)</f>
        <v/>
      </c>
      <c r="Z218" s="7">
        <f>IF(COUNT(D218:U218)=0,"",INDEX($D$1:$U$1,MATCH(MIN(D218:U218),D218:U218,0)))</f>
        <v/>
      </c>
      <c r="AA218" s="8" t="n">
        <v>386.75</v>
      </c>
      <c r="AB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>
        <f>IF(COUNT(D219:U219)=0,"",MIN(D219:U219))</f>
        <v/>
      </c>
      <c r="W219" s="8">
        <f>IF(COUNT(D219:U219)=0,"",MEDIAN(D219:U219))</f>
        <v/>
      </c>
      <c r="X219" s="8">
        <f>IF(COUNT(D219:U219)=0,"",MAX(D219:U219))</f>
        <v/>
      </c>
      <c r="Y219" s="9">
        <f>IF(OR(V219="",V219=0),"",(X219-V219)/V219)</f>
        <v/>
      </c>
      <c r="Z219" s="7">
        <f>IF(COUNT(D219:U219)=0,"",INDEX($D$1:$U$1,MATCH(MIN(D219:U219),D219:U219,0)))</f>
        <v/>
      </c>
      <c r="AA219" s="8" t="n">
        <v>136.66</v>
      </c>
      <c r="AB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>
        <f>IF(COUNT(D220:U220)=0,"",MIN(D220:U220))</f>
        <v/>
      </c>
      <c r="W220" s="8">
        <f>IF(COUNT(D220:U220)=0,"",MEDIAN(D220:U220))</f>
        <v/>
      </c>
      <c r="X220" s="8">
        <f>IF(COUNT(D220:U220)=0,"",MAX(D220:U220))</f>
        <v/>
      </c>
      <c r="Y220" s="9">
        <f>IF(OR(V220="",V220=0),"",(X220-V220)/V220)</f>
        <v/>
      </c>
      <c r="Z220" s="7">
        <f>IF(COUNT(D220:U220)=0,"",INDEX($D$1:$U$1,MATCH(MIN(D220:U220),D220:U220,0)))</f>
        <v/>
      </c>
      <c r="AA220" s="8" t="n">
        <v>2198.43</v>
      </c>
      <c r="AB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>
        <f>IF(COUNT(D221:U221)=0,"",MIN(D221:U221))</f>
        <v/>
      </c>
      <c r="W221" s="8">
        <f>IF(COUNT(D221:U221)=0,"",MEDIAN(D221:U221))</f>
        <v/>
      </c>
      <c r="X221" s="8">
        <f>IF(COUNT(D221:U221)=0,"",MAX(D221:U221))</f>
        <v/>
      </c>
      <c r="Y221" s="9">
        <f>IF(OR(V221="",V221=0),"",(X221-V221)/V221)</f>
        <v/>
      </c>
      <c r="Z221" s="7">
        <f>IF(COUNT(D221:U221)=0,"",INDEX($D$1:$U$1,MATCH(MIN(D221:U221),D221:U221,0)))</f>
        <v/>
      </c>
      <c r="AA221" s="8" t="n">
        <v>302.34</v>
      </c>
      <c r="AB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>
        <f>IF(COUNT(D222:U222)=0,"",MIN(D222:U222))</f>
        <v/>
      </c>
      <c r="W222" s="8">
        <f>IF(COUNT(D222:U222)=0,"",MEDIAN(D222:U222))</f>
        <v/>
      </c>
      <c r="X222" s="8">
        <f>IF(COUNT(D222:U222)=0,"",MAX(D222:U222))</f>
        <v/>
      </c>
      <c r="Y222" s="9">
        <f>IF(OR(V222="",V222=0),"",(X222-V222)/V222)</f>
        <v/>
      </c>
      <c r="Z222" s="7">
        <f>IF(COUNT(D222:U222)=0,"",INDEX($D$1:$U$1,MATCH(MIN(D222:U222),D222:U222,0)))</f>
        <v/>
      </c>
      <c r="AA222" s="8" t="n">
        <v>215.03</v>
      </c>
      <c r="AB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>
        <f>IF(COUNT(D223:U223)=0,"",MIN(D223:U223))</f>
        <v/>
      </c>
      <c r="W223" s="8">
        <f>IF(COUNT(D223:U223)=0,"",MEDIAN(D223:U223))</f>
        <v/>
      </c>
      <c r="X223" s="8">
        <f>IF(COUNT(D223:U223)=0,"",MAX(D223:U223))</f>
        <v/>
      </c>
      <c r="Y223" s="9">
        <f>IF(OR(V223="",V223=0),"",(X223-V223)/V223)</f>
        <v/>
      </c>
      <c r="Z223" s="7">
        <f>IF(COUNT(D223:U223)=0,"",INDEX($D$1:$U$1,MATCH(MIN(D223:U223),D223:U223,0)))</f>
        <v/>
      </c>
      <c r="AA223" s="8" t="n">
        <v>1127.34</v>
      </c>
      <c r="AB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>
        <f>IF(COUNT(D224:U224)=0,"",MIN(D224:U224))</f>
        <v/>
      </c>
      <c r="W224" s="8">
        <f>IF(COUNT(D224:U224)=0,"",MEDIAN(D224:U224))</f>
        <v/>
      </c>
      <c r="X224" s="8">
        <f>IF(COUNT(D224:U224)=0,"",MAX(D224:U224))</f>
        <v/>
      </c>
      <c r="Y224" s="9">
        <f>IF(OR(V224="",V224=0),"",(X224-V224)/V224)</f>
        <v/>
      </c>
      <c r="Z224" s="7">
        <f>IF(COUNT(D224:U224)=0,"",INDEX($D$1:$U$1,MATCH(MIN(D224:U224),D224:U224,0)))</f>
        <v/>
      </c>
      <c r="AA224" s="8" t="n">
        <v>660</v>
      </c>
      <c r="AB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>
        <f>IF(COUNT(D225:U225)=0,"",MIN(D225:U225))</f>
        <v/>
      </c>
      <c r="W225" s="8">
        <f>IF(COUNT(D225:U225)=0,"",MEDIAN(D225:U225))</f>
        <v/>
      </c>
      <c r="X225" s="8">
        <f>IF(COUNT(D225:U225)=0,"",MAX(D225:U225))</f>
        <v/>
      </c>
      <c r="Y225" s="9">
        <f>IF(OR(V225="",V225=0),"",(X225-V225)/V225)</f>
        <v/>
      </c>
      <c r="Z225" s="7">
        <f>IF(COUNT(D225:U225)=0,"",INDEX($D$1:$U$1,MATCH(MIN(D225:U225),D225:U225,0)))</f>
        <v/>
      </c>
      <c r="AA225" s="8" t="n">
        <v>1535</v>
      </c>
      <c r="AB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>
        <f>IF(COUNT(D226:U226)=0,"",MIN(D226:U226))</f>
        <v/>
      </c>
      <c r="W226" s="8">
        <f>IF(COUNT(D226:U226)=0,"",MEDIAN(D226:U226))</f>
        <v/>
      </c>
      <c r="X226" s="8">
        <f>IF(COUNT(D226:U226)=0,"",MAX(D226:U226))</f>
        <v/>
      </c>
      <c r="Y226" s="9">
        <f>IF(OR(V226="",V226=0),"",(X226-V226)/V226)</f>
        <v/>
      </c>
      <c r="Z226" s="7">
        <f>IF(COUNT(D226:U226)=0,"",INDEX($D$1:$U$1,MATCH(MIN(D226:U226),D226:U226,0)))</f>
        <v/>
      </c>
      <c r="AA226" s="8" t="n">
        <v>1450</v>
      </c>
      <c r="AB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>
        <f>IF(COUNT(D227:U227)=0,"",MIN(D227:U227))</f>
        <v/>
      </c>
      <c r="W227" s="8">
        <f>IF(COUNT(D227:U227)=0,"",MEDIAN(D227:U227))</f>
        <v/>
      </c>
      <c r="X227" s="8">
        <f>IF(COUNT(D227:U227)=0,"",MAX(D227:U227))</f>
        <v/>
      </c>
      <c r="Y227" s="9">
        <f>IF(OR(V227="",V227=0),"",(X227-V227)/V227)</f>
        <v/>
      </c>
      <c r="Z227" s="7">
        <f>IF(COUNT(D227:U227)=0,"",INDEX($D$1:$U$1,MATCH(MIN(D227:U227),D227:U227,0)))</f>
        <v/>
      </c>
      <c r="AA227" s="8" t="n">
        <v>141.1</v>
      </c>
      <c r="AB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>
        <f>IF(COUNT(D228:U228)=0,"",MIN(D228:U228))</f>
        <v/>
      </c>
      <c r="W228" s="8">
        <f>IF(COUNT(D228:U228)=0,"",MEDIAN(D228:U228))</f>
        <v/>
      </c>
      <c r="X228" s="8">
        <f>IF(COUNT(D228:U228)=0,"",MAX(D228:U228))</f>
        <v/>
      </c>
      <c r="Y228" s="9">
        <f>IF(OR(V228="",V228=0),"",(X228-V228)/V228)</f>
        <v/>
      </c>
      <c r="Z228" s="7">
        <f>IF(COUNT(D228:U228)=0,"",INDEX($D$1:$U$1,MATCH(MIN(D228:U228),D228:U228,0)))</f>
        <v/>
      </c>
      <c r="AA228" s="8" t="n">
        <v>104.29</v>
      </c>
      <c r="AB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>
        <f>IF(COUNT(D229:U229)=0,"",MIN(D229:U229))</f>
        <v/>
      </c>
      <c r="W229" s="8">
        <f>IF(COUNT(D229:U229)=0,"",MEDIAN(D229:U229))</f>
        <v/>
      </c>
      <c r="X229" s="8">
        <f>IF(COUNT(D229:U229)=0,"",MAX(D229:U229))</f>
        <v/>
      </c>
      <c r="Y229" s="9">
        <f>IF(OR(V229="",V229=0),"",(X229-V229)/V229)</f>
        <v/>
      </c>
      <c r="Z229" s="7">
        <f>IF(COUNT(D229:U229)=0,"",INDEX($D$1:$U$1,MATCH(MIN(D229:U229),D229:U229,0)))</f>
        <v/>
      </c>
      <c r="AA229" s="8" t="n">
        <v>659.86</v>
      </c>
      <c r="AB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>
        <f>IF(COUNT(D230:U230)=0,"",MIN(D230:U230))</f>
        <v/>
      </c>
      <c r="W230" s="8">
        <f>IF(COUNT(D230:U230)=0,"",MEDIAN(D230:U230))</f>
        <v/>
      </c>
      <c r="X230" s="8">
        <f>IF(COUNT(D230:U230)=0,"",MAX(D230:U230))</f>
        <v/>
      </c>
      <c r="Y230" s="9">
        <f>IF(OR(V230="",V230=0),"",(X230-V230)/V230)</f>
        <v/>
      </c>
      <c r="Z230" s="7">
        <f>IF(COUNT(D230:U230)=0,"",INDEX($D$1:$U$1,MATCH(MIN(D230:U230),D230:U230,0)))</f>
        <v/>
      </c>
      <c r="AA230" s="8" t="n">
        <v>2112.23</v>
      </c>
      <c r="AB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>
        <f>IF(COUNT(D231:U231)=0,"",MIN(D231:U231))</f>
        <v/>
      </c>
      <c r="W231" s="8">
        <f>IF(COUNT(D231:U231)=0,"",MEDIAN(D231:U231))</f>
        <v/>
      </c>
      <c r="X231" s="8">
        <f>IF(COUNT(D231:U231)=0,"",MAX(D231:U231))</f>
        <v/>
      </c>
      <c r="Y231" s="9">
        <f>IF(OR(V231="",V231=0),"",(X231-V231)/V231)</f>
        <v/>
      </c>
      <c r="Z231" s="7">
        <f>IF(COUNT(D231:U231)=0,"",INDEX($D$1:$U$1,MATCH(MIN(D231:U231),D231:U231,0)))</f>
        <v/>
      </c>
      <c r="AA231" s="8" t="n">
        <v>1725.01</v>
      </c>
      <c r="AB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>
        <f>IF(COUNT(D232:U232)=0,"",MIN(D232:U232))</f>
        <v/>
      </c>
      <c r="W232" s="8">
        <f>IF(COUNT(D232:U232)=0,"",MEDIAN(D232:U232))</f>
        <v/>
      </c>
      <c r="X232" s="8">
        <f>IF(COUNT(D232:U232)=0,"",MAX(D232:U232))</f>
        <v/>
      </c>
      <c r="Y232" s="9">
        <f>IF(OR(V232="",V232=0),"",(X232-V232)/V232)</f>
        <v/>
      </c>
      <c r="Z232" s="7">
        <f>IF(COUNT(D232:U232)=0,"",INDEX($D$1:$U$1,MATCH(MIN(D232:U232),D232:U232,0)))</f>
        <v/>
      </c>
      <c r="AA232" s="8" t="n">
        <v>1045.19</v>
      </c>
      <c r="AB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>
        <f>IF(COUNT(D233:U233)=0,"",MIN(D233:U233))</f>
        <v/>
      </c>
      <c r="W233" s="8">
        <f>IF(COUNT(D233:U233)=0,"",MEDIAN(D233:U233))</f>
        <v/>
      </c>
      <c r="X233" s="8">
        <f>IF(COUNT(D233:U233)=0,"",MAX(D233:U233))</f>
        <v/>
      </c>
      <c r="Y233" s="9">
        <f>IF(OR(V233="",V233=0),"",(X233-V233)/V233)</f>
        <v/>
      </c>
      <c r="Z233" s="7">
        <f>IF(COUNT(D233:U233)=0,"",INDEX($D$1:$U$1,MATCH(MIN(D233:U233),D233:U233,0)))</f>
        <v/>
      </c>
      <c r="AA233" s="8" t="n">
        <v>2945.45</v>
      </c>
      <c r="AB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>
        <f>IF(COUNT(D234:U234)=0,"",MIN(D234:U234))</f>
        <v/>
      </c>
      <c r="W234" s="8">
        <f>IF(COUNT(D234:U234)=0,"",MEDIAN(D234:U234))</f>
        <v/>
      </c>
      <c r="X234" s="8">
        <f>IF(COUNT(D234:U234)=0,"",MAX(D234:U234))</f>
        <v/>
      </c>
      <c r="Y234" s="9">
        <f>IF(OR(V234="",V234=0),"",(X234-V234)/V234)</f>
        <v/>
      </c>
      <c r="Z234" s="7">
        <f>IF(COUNT(D234:U234)=0,"",INDEX($D$1:$U$1,MATCH(MIN(D234:U234),D234:U234,0)))</f>
        <v/>
      </c>
      <c r="AA234" s="8" t="n">
        <v>1459.08</v>
      </c>
      <c r="AB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>
        <f>IF(COUNT(D235:U235)=0,"",MIN(D235:U235))</f>
        <v/>
      </c>
      <c r="W235" s="8">
        <f>IF(COUNT(D235:U235)=0,"",MEDIAN(D235:U235))</f>
        <v/>
      </c>
      <c r="X235" s="8">
        <f>IF(COUNT(D235:U235)=0,"",MAX(D235:U235))</f>
        <v/>
      </c>
      <c r="Y235" s="9">
        <f>IF(OR(V235="",V235=0),"",(X235-V235)/V235)</f>
        <v/>
      </c>
      <c r="Z235" s="7">
        <f>IF(COUNT(D235:U235)=0,"",INDEX($D$1:$U$1,MATCH(MIN(D235:U235),D235:U235,0)))</f>
        <v/>
      </c>
      <c r="AA235" s="8" t="n">
        <v>2227.8</v>
      </c>
      <c r="AB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>
        <f>IF(COUNT(D236:U236)=0,"",MIN(D236:U236))</f>
        <v/>
      </c>
      <c r="W236" s="8">
        <f>IF(COUNT(D236:U236)=0,"",MEDIAN(D236:U236))</f>
        <v/>
      </c>
      <c r="X236" s="8">
        <f>IF(COUNT(D236:U236)=0,"",MAX(D236:U236))</f>
        <v/>
      </c>
      <c r="Y236" s="9">
        <f>IF(OR(V236="",V236=0),"",(X236-V236)/V236)</f>
        <v/>
      </c>
      <c r="Z236" s="7">
        <f>IF(COUNT(D236:U236)=0,"",INDEX($D$1:$U$1,MATCH(MIN(D236:U236),D236:U236,0)))</f>
        <v/>
      </c>
      <c r="AA236" s="8" t="n">
        <v>3077.3</v>
      </c>
      <c r="AB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>
        <f>IF(COUNT(D237:U237)=0,"",MIN(D237:U237))</f>
        <v/>
      </c>
      <c r="W237" s="8">
        <f>IF(COUNT(D237:U237)=0,"",MEDIAN(D237:U237))</f>
        <v/>
      </c>
      <c r="X237" s="8">
        <f>IF(COUNT(D237:U237)=0,"",MAX(D237:U237))</f>
        <v/>
      </c>
      <c r="Y237" s="9">
        <f>IF(OR(V237="",V237=0),"",(X237-V237)/V237)</f>
        <v/>
      </c>
      <c r="Z237" s="7">
        <f>IF(COUNT(D237:U237)=0,"",INDEX($D$1:$U$1,MATCH(MIN(D237:U237),D237:U237,0)))</f>
        <v/>
      </c>
      <c r="AA237" s="8" t="n">
        <v>2520.03</v>
      </c>
      <c r="AB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>
        <f>IF(COUNT(D238:U238)=0,"",MIN(D238:U238))</f>
        <v/>
      </c>
      <c r="W238" s="8">
        <f>IF(COUNT(D238:U238)=0,"",MEDIAN(D238:U238))</f>
        <v/>
      </c>
      <c r="X238" s="8">
        <f>IF(COUNT(D238:U238)=0,"",MAX(D238:U238))</f>
        <v/>
      </c>
      <c r="Y238" s="9">
        <f>IF(OR(V238="",V238=0),"",(X238-V238)/V238)</f>
        <v/>
      </c>
      <c r="Z238" s="7">
        <f>IF(COUNT(D238:U238)=0,"",INDEX($D$1:$U$1,MATCH(MIN(D238:U238),D238:U238,0)))</f>
        <v/>
      </c>
      <c r="AA238" s="8" t="n">
        <v>2854.38</v>
      </c>
      <c r="AB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>
        <f>IF(COUNT(D239:U239)=0,"",MIN(D239:U239))</f>
        <v/>
      </c>
      <c r="W239" s="8">
        <f>IF(COUNT(D239:U239)=0,"",MEDIAN(D239:U239))</f>
        <v/>
      </c>
      <c r="X239" s="8">
        <f>IF(COUNT(D239:U239)=0,"",MAX(D239:U239))</f>
        <v/>
      </c>
      <c r="Y239" s="9">
        <f>IF(OR(V239="",V239=0),"",(X239-V239)/V239)</f>
        <v/>
      </c>
      <c r="Z239" s="7">
        <f>IF(COUNT(D239:U239)=0,"",INDEX($D$1:$U$1,MATCH(MIN(D239:U239),D239:U239,0)))</f>
        <v/>
      </c>
      <c r="AA239" s="8" t="n">
        <v>2565.64</v>
      </c>
      <c r="AB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>
        <f>IF(COUNT(D240:U240)=0,"",MIN(D240:U240))</f>
        <v/>
      </c>
      <c r="W240" s="8">
        <f>IF(COUNT(D240:U240)=0,"",MEDIAN(D240:U240))</f>
        <v/>
      </c>
      <c r="X240" s="8">
        <f>IF(COUNT(D240:U240)=0,"",MAX(D240:U240))</f>
        <v/>
      </c>
      <c r="Y240" s="9">
        <f>IF(OR(V240="",V240=0),"",(X240-V240)/V240)</f>
        <v/>
      </c>
      <c r="Z240" s="7">
        <f>IF(COUNT(D240:U240)=0,"",INDEX($D$1:$U$1,MATCH(MIN(D240:U240),D240:U240,0)))</f>
        <v/>
      </c>
      <c r="AA240" s="8" t="n">
        <v>1444.74</v>
      </c>
      <c r="AB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>
        <f>IF(COUNT(D241:U241)=0,"",MIN(D241:U241))</f>
        <v/>
      </c>
      <c r="W241" s="8">
        <f>IF(COUNT(D241:U241)=0,"",MEDIAN(D241:U241))</f>
        <v/>
      </c>
      <c r="X241" s="8">
        <f>IF(COUNT(D241:U241)=0,"",MAX(D241:U241))</f>
        <v/>
      </c>
      <c r="Y241" s="9">
        <f>IF(OR(V241="",V241=0),"",(X241-V241)/V241)</f>
        <v/>
      </c>
      <c r="Z241" s="7">
        <f>IF(COUNT(D241:U241)=0,"",INDEX($D$1:$U$1,MATCH(MIN(D241:U241),D241:U241,0)))</f>
        <v/>
      </c>
      <c r="AA241" s="8" t="n">
        <v>767.39</v>
      </c>
      <c r="AB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>
        <f>IF(COUNT(D242:U242)=0,"",MIN(D242:U242))</f>
        <v/>
      </c>
      <c r="W242" s="8">
        <f>IF(COUNT(D242:U242)=0,"",MEDIAN(D242:U242))</f>
        <v/>
      </c>
      <c r="X242" s="8">
        <f>IF(COUNT(D242:U242)=0,"",MAX(D242:U242))</f>
        <v/>
      </c>
      <c r="Y242" s="9">
        <f>IF(OR(V242="",V242=0),"",(X242-V242)/V242)</f>
        <v/>
      </c>
      <c r="Z242" s="7">
        <f>IF(COUNT(D242:U242)=0,"",INDEX($D$1:$U$1,MATCH(MIN(D242:U242),D242:U242,0)))</f>
        <v/>
      </c>
      <c r="AA242" s="8" t="n">
        <v>989.73</v>
      </c>
      <c r="AB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>
        <f>IF(COUNT(D243:U243)=0,"",MIN(D243:U243))</f>
        <v/>
      </c>
      <c r="W243" s="8">
        <f>IF(COUNT(D243:U243)=0,"",MEDIAN(D243:U243))</f>
        <v/>
      </c>
      <c r="X243" s="8">
        <f>IF(COUNT(D243:U243)=0,"",MAX(D243:U243))</f>
        <v/>
      </c>
      <c r="Y243" s="9">
        <f>IF(OR(V243="",V243=0),"",(X243-V243)/V243)</f>
        <v/>
      </c>
      <c r="Z243" s="7">
        <f>IF(COUNT(D243:U243)=0,"",INDEX($D$1:$U$1,MATCH(MIN(D243:U243),D243:U243,0)))</f>
        <v/>
      </c>
      <c r="AA243" s="8" t="n">
        <v>1177.9</v>
      </c>
      <c r="AB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>
        <f>IF(COUNT(D244:U244)=0,"",MIN(D244:U244))</f>
        <v/>
      </c>
      <c r="W244" s="8">
        <f>IF(COUNT(D244:U244)=0,"",MEDIAN(D244:U244))</f>
        <v/>
      </c>
      <c r="X244" s="8">
        <f>IF(COUNT(D244:U244)=0,"",MAX(D244:U244))</f>
        <v/>
      </c>
      <c r="Y244" s="9">
        <f>IF(OR(V244="",V244=0),"",(X244-V244)/V244)</f>
        <v/>
      </c>
      <c r="Z244" s="7">
        <f>IF(COUNT(D244:U244)=0,"",INDEX($D$1:$U$1,MATCH(MIN(D244:U244),D244:U244,0)))</f>
        <v/>
      </c>
      <c r="AA244" s="8" t="n">
        <v>1204.05</v>
      </c>
      <c r="AB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>
        <f>IF(COUNT(D245:U245)=0,"",MIN(D245:U245))</f>
        <v/>
      </c>
      <c r="W245" s="8">
        <f>IF(COUNT(D245:U245)=0,"",MEDIAN(D245:U245))</f>
        <v/>
      </c>
      <c r="X245" s="8">
        <f>IF(COUNT(D245:U245)=0,"",MAX(D245:U245))</f>
        <v/>
      </c>
      <c r="Y245" s="9">
        <f>IF(OR(V245="",V245=0),"",(X245-V245)/V245)</f>
        <v/>
      </c>
      <c r="Z245" s="7">
        <f>IF(COUNT(D245:U245)=0,"",INDEX($D$1:$U$1,MATCH(MIN(D245:U245),D245:U245,0)))</f>
        <v/>
      </c>
      <c r="AA245" s="8" t="n">
        <v>2210.93</v>
      </c>
      <c r="AB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>
        <f>IF(COUNT(D246:U246)=0,"",MIN(D246:U246))</f>
        <v/>
      </c>
      <c r="W246" s="8">
        <f>IF(COUNT(D246:U246)=0,"",MEDIAN(D246:U246))</f>
        <v/>
      </c>
      <c r="X246" s="8">
        <f>IF(COUNT(D246:U246)=0,"",MAX(D246:U246))</f>
        <v/>
      </c>
      <c r="Y246" s="9">
        <f>IF(OR(V246="",V246=0),"",(X246-V246)/V246)</f>
        <v/>
      </c>
      <c r="Z246" s="7">
        <f>IF(COUNT(D246:U246)=0,"",INDEX($D$1:$U$1,MATCH(MIN(D246:U246),D246:U246,0)))</f>
        <v/>
      </c>
      <c r="AA246" s="8" t="n">
        <v>2336.59</v>
      </c>
      <c r="AB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>
        <f>IF(COUNT(D247:U247)=0,"",MIN(D247:U247))</f>
        <v/>
      </c>
      <c r="W247" s="8">
        <f>IF(COUNT(D247:U247)=0,"",MEDIAN(D247:U247))</f>
        <v/>
      </c>
      <c r="X247" s="8">
        <f>IF(COUNT(D247:U247)=0,"",MAX(D247:U247))</f>
        <v/>
      </c>
      <c r="Y247" s="9">
        <f>IF(OR(V247="",V247=0),"",(X247-V247)/V247)</f>
        <v/>
      </c>
      <c r="Z247" s="7">
        <f>IF(COUNT(D247:U247)=0,"",INDEX($D$1:$U$1,MATCH(MIN(D247:U247),D247:U247,0)))</f>
        <v/>
      </c>
      <c r="AA247" s="8" t="n">
        <v>1364.21</v>
      </c>
      <c r="AB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>
        <f>IF(COUNT(D248:U248)=0,"",MIN(D248:U248))</f>
        <v/>
      </c>
      <c r="W248" s="8">
        <f>IF(COUNT(D248:U248)=0,"",MEDIAN(D248:U248))</f>
        <v/>
      </c>
      <c r="X248" s="8">
        <f>IF(COUNT(D248:U248)=0,"",MAX(D248:U248))</f>
        <v/>
      </c>
      <c r="Y248" s="9">
        <f>IF(OR(V248="",V248=0),"",(X248-V248)/V248)</f>
        <v/>
      </c>
      <c r="Z248" s="7">
        <f>IF(COUNT(D248:U248)=0,"",INDEX($D$1:$U$1,MATCH(MIN(D248:U248),D248:U248,0)))</f>
        <v/>
      </c>
      <c r="AA248" s="8" t="n">
        <v>832.97</v>
      </c>
      <c r="AB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>
        <f>IF(COUNT(D249:U249)=0,"",MIN(D249:U249))</f>
        <v/>
      </c>
      <c r="W249" s="8">
        <f>IF(COUNT(D249:U249)=0,"",MEDIAN(D249:U249))</f>
        <v/>
      </c>
      <c r="X249" s="8">
        <f>IF(COUNT(D249:U249)=0,"",MAX(D249:U249))</f>
        <v/>
      </c>
      <c r="Y249" s="9">
        <f>IF(OR(V249="",V249=0),"",(X249-V249)/V249)</f>
        <v/>
      </c>
      <c r="Z249" s="7">
        <f>IF(COUNT(D249:U249)=0,"",INDEX($D$1:$U$1,MATCH(MIN(D249:U249),D249:U249,0)))</f>
        <v/>
      </c>
      <c r="AA249" s="8" t="n">
        <v>1238.82</v>
      </c>
      <c r="AB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>
        <f>IF(COUNT(D250:U250)=0,"",MIN(D250:U250))</f>
        <v/>
      </c>
      <c r="W250" s="8">
        <f>IF(COUNT(D250:U250)=0,"",MEDIAN(D250:U250))</f>
        <v/>
      </c>
      <c r="X250" s="8">
        <f>IF(COUNT(D250:U250)=0,"",MAX(D250:U250))</f>
        <v/>
      </c>
      <c r="Y250" s="9">
        <f>IF(OR(V250="",V250=0),"",(X250-V250)/V250)</f>
        <v/>
      </c>
      <c r="Z250" s="7">
        <f>IF(COUNT(D250:U250)=0,"",INDEX($D$1:$U$1,MATCH(MIN(D250:U250),D250:U250,0)))</f>
        <v/>
      </c>
      <c r="AA250" s="8" t="n">
        <v>2752.62</v>
      </c>
      <c r="AB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>
        <f>IF(COUNT(D251:U251)=0,"",MIN(D251:U251))</f>
        <v/>
      </c>
      <c r="W251" s="8">
        <f>IF(COUNT(D251:U251)=0,"",MEDIAN(D251:U251))</f>
        <v/>
      </c>
      <c r="X251" s="8">
        <f>IF(COUNT(D251:U251)=0,"",MAX(D251:U251))</f>
        <v/>
      </c>
      <c r="Y251" s="9">
        <f>IF(OR(V251="",V251=0),"",(X251-V251)/V251)</f>
        <v/>
      </c>
      <c r="Z251" s="7">
        <f>IF(COUNT(D251:U251)=0,"",INDEX($D$1:$U$1,MATCH(MIN(D251:U251),D251:U251,0)))</f>
        <v/>
      </c>
      <c r="AA251" s="8" t="n">
        <v>541.6799999999999</v>
      </c>
      <c r="AB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>
        <f>IF(COUNT(D252:U252)=0,"",MIN(D252:U252))</f>
        <v/>
      </c>
      <c r="W252" s="8">
        <f>IF(COUNT(D252:U252)=0,"",MEDIAN(D252:U252))</f>
        <v/>
      </c>
      <c r="X252" s="8">
        <f>IF(COUNT(D252:U252)=0,"",MAX(D252:U252))</f>
        <v/>
      </c>
      <c r="Y252" s="9">
        <f>IF(OR(V252="",V252=0),"",(X252-V252)/V252)</f>
        <v/>
      </c>
      <c r="Z252" s="7">
        <f>IF(COUNT(D252:U252)=0,"",INDEX($D$1:$U$1,MATCH(MIN(D252:U252),D252:U252,0)))</f>
        <v/>
      </c>
      <c r="AA252" s="8" t="n">
        <v>1229.86</v>
      </c>
      <c r="AB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>
        <f>IF(COUNT(D253:U253)=0,"",MIN(D253:U253))</f>
        <v/>
      </c>
      <c r="W253" s="8">
        <f>IF(COUNT(D253:U253)=0,"",MEDIAN(D253:U253))</f>
        <v/>
      </c>
      <c r="X253" s="8">
        <f>IF(COUNT(D253:U253)=0,"",MAX(D253:U253))</f>
        <v/>
      </c>
      <c r="Y253" s="9">
        <f>IF(OR(V253="",V253=0),"",(X253-V253)/V253)</f>
        <v/>
      </c>
      <c r="Z253" s="7">
        <f>IF(COUNT(D253:U253)=0,"",INDEX($D$1:$U$1,MATCH(MIN(D253:U253),D253:U253,0)))</f>
        <v/>
      </c>
      <c r="AA253" s="8" t="n">
        <v>1215.03</v>
      </c>
      <c r="AB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>
        <f>IF(COUNT(D254:U254)=0,"",MIN(D254:U254))</f>
        <v/>
      </c>
      <c r="W254" s="8">
        <f>IF(COUNT(D254:U254)=0,"",MEDIAN(D254:U254))</f>
        <v/>
      </c>
      <c r="X254" s="8">
        <f>IF(COUNT(D254:U254)=0,"",MAX(D254:U254))</f>
        <v/>
      </c>
      <c r="Y254" s="9">
        <f>IF(OR(V254="",V254=0),"",(X254-V254)/V254)</f>
        <v/>
      </c>
      <c r="Z254" s="7">
        <f>IF(COUNT(D254:U254)=0,"",INDEX($D$1:$U$1,MATCH(MIN(D254:U254),D254:U254,0)))</f>
        <v/>
      </c>
      <c r="AA254" s="8" t="n">
        <v>822.24</v>
      </c>
      <c r="AB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>
        <f>IF(COUNT(D255:U255)=0,"",MIN(D255:U255))</f>
        <v/>
      </c>
      <c r="W255" s="8">
        <f>IF(COUNT(D255:U255)=0,"",MEDIAN(D255:U255))</f>
        <v/>
      </c>
      <c r="X255" s="8">
        <f>IF(COUNT(D255:U255)=0,"",MAX(D255:U255))</f>
        <v/>
      </c>
      <c r="Y255" s="9">
        <f>IF(OR(V255="",V255=0),"",(X255-V255)/V255)</f>
        <v/>
      </c>
      <c r="Z255" s="7">
        <f>IF(COUNT(D255:U255)=0,"",INDEX($D$1:$U$1,MATCH(MIN(D255:U255),D255:U255,0)))</f>
        <v/>
      </c>
      <c r="AA255" s="8" t="n">
        <v>785.33</v>
      </c>
      <c r="AB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>
        <f>IF(COUNT(D256:U256)=0,"",MIN(D256:U256))</f>
        <v/>
      </c>
      <c r="W256" s="8">
        <f>IF(COUNT(D256:U256)=0,"",MEDIAN(D256:U256))</f>
        <v/>
      </c>
      <c r="X256" s="8">
        <f>IF(COUNT(D256:U256)=0,"",MAX(D256:U256))</f>
        <v/>
      </c>
      <c r="Y256" s="9">
        <f>IF(OR(V256="",V256=0),"",(X256-V256)/V256)</f>
        <v/>
      </c>
      <c r="Z256" s="7">
        <f>IF(COUNT(D256:U256)=0,"",INDEX($D$1:$U$1,MATCH(MIN(D256:U256),D256:U256,0)))</f>
        <v/>
      </c>
      <c r="AA256" s="8" t="n">
        <v>1684.92</v>
      </c>
      <c r="AB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>
        <f>IF(COUNT(D257:U257)=0,"",MIN(D257:U257))</f>
        <v/>
      </c>
      <c r="W257" s="8">
        <f>IF(COUNT(D257:U257)=0,"",MEDIAN(D257:U257))</f>
        <v/>
      </c>
      <c r="X257" s="8">
        <f>IF(COUNT(D257:U257)=0,"",MAX(D257:U257))</f>
        <v/>
      </c>
      <c r="Y257" s="9">
        <f>IF(OR(V257="",V257=0),"",(X257-V257)/V257)</f>
        <v/>
      </c>
      <c r="Z257" s="7">
        <f>IF(COUNT(D257:U257)=0,"",INDEX($D$1:$U$1,MATCH(MIN(D257:U257),D257:U257,0)))</f>
        <v/>
      </c>
      <c r="AA257" s="8" t="n">
        <v>401.21</v>
      </c>
      <c r="AB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>
        <f>IF(COUNT(D258:U258)=0,"",MIN(D258:U258))</f>
        <v/>
      </c>
      <c r="W258" s="8">
        <f>IF(COUNT(D258:U258)=0,"",MEDIAN(D258:U258))</f>
        <v/>
      </c>
      <c r="X258" s="8">
        <f>IF(COUNT(D258:U258)=0,"",MAX(D258:U258))</f>
        <v/>
      </c>
      <c r="Y258" s="9">
        <f>IF(OR(V258="",V258=0),"",(X258-V258)/V258)</f>
        <v/>
      </c>
      <c r="Z258" s="7">
        <f>IF(COUNT(D258:U258)=0,"",INDEX($D$1:$U$1,MATCH(MIN(D258:U258),D258:U258,0)))</f>
        <v/>
      </c>
      <c r="AA258" s="8" t="n">
        <v>1264.08</v>
      </c>
      <c r="AB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>
        <f>IF(COUNT(D259:U259)=0,"",MIN(D259:U259))</f>
        <v/>
      </c>
      <c r="W259" s="8">
        <f>IF(COUNT(D259:U259)=0,"",MEDIAN(D259:U259))</f>
        <v/>
      </c>
      <c r="X259" s="8">
        <f>IF(COUNT(D259:U259)=0,"",MAX(D259:U259))</f>
        <v/>
      </c>
      <c r="Y259" s="9">
        <f>IF(OR(V259="",V259=0),"",(X259-V259)/V259)</f>
        <v/>
      </c>
      <c r="Z259" s="7">
        <f>IF(COUNT(D259:U259)=0,"",INDEX($D$1:$U$1,MATCH(MIN(D259:U259),D259:U259,0)))</f>
        <v/>
      </c>
      <c r="AA259" s="8" t="n">
        <v>800.16</v>
      </c>
      <c r="AB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>
        <f>IF(COUNT(D260:U260)=0,"",MIN(D260:U260))</f>
        <v/>
      </c>
      <c r="W260" s="8">
        <f>IF(COUNT(D260:U260)=0,"",MEDIAN(D260:U260))</f>
        <v/>
      </c>
      <c r="X260" s="8">
        <f>IF(COUNT(D260:U260)=0,"",MAX(D260:U260))</f>
        <v/>
      </c>
      <c r="Y260" s="9">
        <f>IF(OR(V260="",V260=0),"",(X260-V260)/V260)</f>
        <v/>
      </c>
      <c r="Z260" s="7">
        <f>IF(COUNT(D260:U260)=0,"",INDEX($D$1:$U$1,MATCH(MIN(D260:U260),D260:U260,0)))</f>
        <v/>
      </c>
      <c r="AA260" s="8" t="n">
        <v>876.1</v>
      </c>
      <c r="AB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>
        <f>IF(COUNT(D261:U261)=0,"",MIN(D261:U261))</f>
        <v/>
      </c>
      <c r="W261" s="8">
        <f>IF(COUNT(D261:U261)=0,"",MEDIAN(D261:U261))</f>
        <v/>
      </c>
      <c r="X261" s="8">
        <f>IF(COUNT(D261:U261)=0,"",MAX(D261:U261))</f>
        <v/>
      </c>
      <c r="Y261" s="9">
        <f>IF(OR(V261="",V261=0),"",(X261-V261)/V261)</f>
        <v/>
      </c>
      <c r="Z261" s="7">
        <f>IF(COUNT(D261:U261)=0,"",INDEX($D$1:$U$1,MATCH(MIN(D261:U261),D261:U261,0)))</f>
        <v/>
      </c>
      <c r="AA261" s="8" t="n">
        <v>1195.21</v>
      </c>
      <c r="AB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>
        <f>IF(COUNT(D262:U262)=0,"",MIN(D262:U262))</f>
        <v/>
      </c>
      <c r="W262" s="8">
        <f>IF(COUNT(D262:U262)=0,"",MEDIAN(D262:U262))</f>
        <v/>
      </c>
      <c r="X262" s="8">
        <f>IF(COUNT(D262:U262)=0,"",MAX(D262:U262))</f>
        <v/>
      </c>
      <c r="Y262" s="9">
        <f>IF(OR(V262="",V262=0),"",(X262-V262)/V262)</f>
        <v/>
      </c>
      <c r="Z262" s="7">
        <f>IF(COUNT(D262:U262)=0,"",INDEX($D$1:$U$1,MATCH(MIN(D262:U262),D262:U262,0)))</f>
        <v/>
      </c>
      <c r="AA262" s="8" t="n">
        <v>199.95</v>
      </c>
      <c r="AB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>
        <f>IF(COUNT(D263:U263)=0,"",MIN(D263:U263))</f>
        <v/>
      </c>
      <c r="W263" s="8">
        <f>IF(COUNT(D263:U263)=0,"",MEDIAN(D263:U263))</f>
        <v/>
      </c>
      <c r="X263" s="8">
        <f>IF(COUNT(D263:U263)=0,"",MAX(D263:U263))</f>
        <v/>
      </c>
      <c r="Y263" s="9">
        <f>IF(OR(V263="",V263=0),"",(X263-V263)/V263)</f>
        <v/>
      </c>
      <c r="Z263" s="7">
        <f>IF(COUNT(D263:U263)=0,"",INDEX($D$1:$U$1,MATCH(MIN(D263:U263),D263:U263,0)))</f>
        <v/>
      </c>
      <c r="AA263" s="8" t="n">
        <v>1279.89</v>
      </c>
      <c r="AB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>
        <f>IF(COUNT(D264:U264)=0,"",MIN(D264:U264))</f>
        <v/>
      </c>
      <c r="W264" s="8">
        <f>IF(COUNT(D264:U264)=0,"",MEDIAN(D264:U264))</f>
        <v/>
      </c>
      <c r="X264" s="8">
        <f>IF(COUNT(D264:U264)=0,"",MAX(D264:U264))</f>
        <v/>
      </c>
      <c r="Y264" s="9">
        <f>IF(OR(V264="",V264=0),"",(X264-V264)/V264)</f>
        <v/>
      </c>
      <c r="Z264" s="7">
        <f>IF(COUNT(D264:U264)=0,"",INDEX($D$1:$U$1,MATCH(MIN(D264:U264),D264:U264,0)))</f>
        <v/>
      </c>
      <c r="AA264" s="8" t="n">
        <v>1789.97</v>
      </c>
      <c r="AB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>
        <f>IF(COUNT(D265:U265)=0,"",MIN(D265:U265))</f>
        <v/>
      </c>
      <c r="W265" s="8">
        <f>IF(COUNT(D265:U265)=0,"",MEDIAN(D265:U265))</f>
        <v/>
      </c>
      <c r="X265" s="8">
        <f>IF(COUNT(D265:U265)=0,"",MAX(D265:U265))</f>
        <v/>
      </c>
      <c r="Y265" s="9">
        <f>IF(OR(V265="",V265=0),"",(X265-V265)/V265)</f>
        <v/>
      </c>
      <c r="Z265" s="7">
        <f>IF(COUNT(D265:U265)=0,"",INDEX($D$1:$U$1,MATCH(MIN(D265:U265),D265:U265,0)))</f>
        <v/>
      </c>
      <c r="AA265" s="8" t="n">
        <v>2071.81</v>
      </c>
      <c r="AB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>
        <f>IF(COUNT(D266:U266)=0,"",MIN(D266:U266))</f>
        <v/>
      </c>
      <c r="W266" s="8">
        <f>IF(COUNT(D266:U266)=0,"",MEDIAN(D266:U266))</f>
        <v/>
      </c>
      <c r="X266" s="8">
        <f>IF(COUNT(D266:U266)=0,"",MAX(D266:U266))</f>
        <v/>
      </c>
      <c r="Y266" s="9">
        <f>IF(OR(V266="",V266=0),"",(X266-V266)/V266)</f>
        <v/>
      </c>
      <c r="Z266" s="7">
        <f>IF(COUNT(D266:U266)=0,"",INDEX($D$1:$U$1,MATCH(MIN(D266:U266),D266:U266,0)))</f>
        <v/>
      </c>
      <c r="AA266" s="8" t="n">
        <v>644.1900000000001</v>
      </c>
      <c r="AB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>
        <f>IF(COUNT(D267:U267)=0,"",MIN(D267:U267))</f>
        <v/>
      </c>
      <c r="W267" s="8">
        <f>IF(COUNT(D267:U267)=0,"",MEDIAN(D267:U267))</f>
        <v/>
      </c>
      <c r="X267" s="8">
        <f>IF(COUNT(D267:U267)=0,"",MAX(D267:U267))</f>
        <v/>
      </c>
      <c r="Y267" s="9">
        <f>IF(OR(V267="",V267=0),"",(X267-V267)/V267)</f>
        <v/>
      </c>
      <c r="Z267" s="7">
        <f>IF(COUNT(D267:U267)=0,"",INDEX($D$1:$U$1,MATCH(MIN(D267:U267),D267:U267,0)))</f>
        <v/>
      </c>
      <c r="AA267" s="8" t="n">
        <v>1511.88</v>
      </c>
      <c r="AB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>
        <f>IF(COUNT(D268:U268)=0,"",MIN(D268:U268))</f>
        <v/>
      </c>
      <c r="W268" s="8">
        <f>IF(COUNT(D268:U268)=0,"",MEDIAN(D268:U268))</f>
        <v/>
      </c>
      <c r="X268" s="8">
        <f>IF(COUNT(D268:U268)=0,"",MAX(D268:U268))</f>
        <v/>
      </c>
      <c r="Y268" s="9">
        <f>IF(OR(V268="",V268=0),"",(X268-V268)/V268)</f>
        <v/>
      </c>
      <c r="Z268" s="7">
        <f>IF(COUNT(D268:U268)=0,"",INDEX($D$1:$U$1,MATCH(MIN(D268:U268),D268:U268,0)))</f>
        <v/>
      </c>
      <c r="AA268" s="8" t="n">
        <v>1817.04</v>
      </c>
      <c r="AB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>
        <f>IF(COUNT(D269:U269)=0,"",MIN(D269:U269))</f>
        <v/>
      </c>
      <c r="W269" s="8">
        <f>IF(COUNT(D269:U269)=0,"",MEDIAN(D269:U269))</f>
        <v/>
      </c>
      <c r="X269" s="8">
        <f>IF(COUNT(D269:U269)=0,"",MAX(D269:U269))</f>
        <v/>
      </c>
      <c r="Y269" s="9">
        <f>IF(OR(V269="",V269=0),"",(X269-V269)/V269)</f>
        <v/>
      </c>
      <c r="Z269" s="7">
        <f>IF(COUNT(D269:U269)=0,"",INDEX($D$1:$U$1,MATCH(MIN(D269:U269),D269:U269,0)))</f>
        <v/>
      </c>
      <c r="AA269" s="8" t="n">
        <v>1770.01</v>
      </c>
      <c r="AB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>
        <f>IF(COUNT(D270:U270)=0,"",MIN(D270:U270))</f>
        <v/>
      </c>
      <c r="W270" s="8">
        <f>IF(COUNT(D270:U270)=0,"",MEDIAN(D270:U270))</f>
        <v/>
      </c>
      <c r="X270" s="8">
        <f>IF(COUNT(D270:U270)=0,"",MAX(D270:U270))</f>
        <v/>
      </c>
      <c r="Y270" s="9">
        <f>IF(OR(V270="",V270=0),"",(X270-V270)/V270)</f>
        <v/>
      </c>
      <c r="Z270" s="7">
        <f>IF(COUNT(D270:U270)=0,"",INDEX($D$1:$U$1,MATCH(MIN(D270:U270),D270:U270,0)))</f>
        <v/>
      </c>
      <c r="AA270" s="8" t="n">
        <v>2169.48</v>
      </c>
      <c r="AB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>
        <f>IF(COUNT(D271:U271)=0,"",MIN(D271:U271))</f>
        <v/>
      </c>
      <c r="W271" s="8">
        <f>IF(COUNT(D271:U271)=0,"",MEDIAN(D271:U271))</f>
        <v/>
      </c>
      <c r="X271" s="8">
        <f>IF(COUNT(D271:U271)=0,"",MAX(D271:U271))</f>
        <v/>
      </c>
      <c r="Y271" s="9">
        <f>IF(OR(V271="",V271=0),"",(X271-V271)/V271)</f>
        <v/>
      </c>
      <c r="Z271" s="7">
        <f>IF(COUNT(D271:U271)=0,"",INDEX($D$1:$U$1,MATCH(MIN(D271:U271),D271:U271,0)))</f>
        <v/>
      </c>
      <c r="AA271" s="8" t="n">
        <v>1419.42</v>
      </c>
      <c r="AB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>
        <f>IF(COUNT(D272:U272)=0,"",MIN(D272:U272))</f>
        <v/>
      </c>
      <c r="W272" s="8">
        <f>IF(COUNT(D272:U272)=0,"",MEDIAN(D272:U272))</f>
        <v/>
      </c>
      <c r="X272" s="8">
        <f>IF(COUNT(D272:U272)=0,"",MAX(D272:U272))</f>
        <v/>
      </c>
      <c r="Y272" s="9">
        <f>IF(OR(V272="",V272=0),"",(X272-V272)/V272)</f>
        <v/>
      </c>
      <c r="Z272" s="7">
        <f>IF(COUNT(D272:U272)=0,"",INDEX($D$1:$U$1,MATCH(MIN(D272:U272),D272:U272,0)))</f>
        <v/>
      </c>
      <c r="AA272" s="8" t="n">
        <v>1352</v>
      </c>
      <c r="AB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>
        <f>IF(COUNT(D273:U273)=0,"",MIN(D273:U273))</f>
        <v/>
      </c>
      <c r="W273" s="8">
        <f>IF(COUNT(D273:U273)=0,"",MEDIAN(D273:U273))</f>
        <v/>
      </c>
      <c r="X273" s="8">
        <f>IF(COUNT(D273:U273)=0,"",MAX(D273:U273))</f>
        <v/>
      </c>
      <c r="Y273" s="9">
        <f>IF(OR(V273="",V273=0),"",(X273-V273)/V273)</f>
        <v/>
      </c>
      <c r="Z273" s="7">
        <f>IF(COUNT(D273:U273)=0,"",INDEX($D$1:$U$1,MATCH(MIN(D273:U273),D273:U273,0)))</f>
        <v/>
      </c>
      <c r="AA273" s="8" t="n">
        <v>784.04</v>
      </c>
      <c r="AB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>
        <f>IF(COUNT(D274:U274)=0,"",MIN(D274:U274))</f>
        <v/>
      </c>
      <c r="W274" s="8">
        <f>IF(COUNT(D274:U274)=0,"",MEDIAN(D274:U274))</f>
        <v/>
      </c>
      <c r="X274" s="8">
        <f>IF(COUNT(D274:U274)=0,"",MAX(D274:U274))</f>
        <v/>
      </c>
      <c r="Y274" s="9">
        <f>IF(OR(V274="",V274=0),"",(X274-V274)/V274)</f>
        <v/>
      </c>
      <c r="Z274" s="7">
        <f>IF(COUNT(D274:U274)=0,"",INDEX($D$1:$U$1,MATCH(MIN(D274:U274),D274:U274,0)))</f>
        <v/>
      </c>
      <c r="AA274" s="8" t="n">
        <v>975</v>
      </c>
      <c r="AB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>
        <f>IF(COUNT(D275:U275)=0,"",MIN(D275:U275))</f>
        <v/>
      </c>
      <c r="W275" s="8">
        <f>IF(COUNT(D275:U275)=0,"",MEDIAN(D275:U275))</f>
        <v/>
      </c>
      <c r="X275" s="8">
        <f>IF(COUNT(D275:U275)=0,"",MAX(D275:U275))</f>
        <v/>
      </c>
      <c r="Y275" s="9">
        <f>IF(OR(V275="",V275=0),"",(X275-V275)/V275)</f>
        <v/>
      </c>
      <c r="Z275" s="7">
        <f>IF(COUNT(D275:U275)=0,"",INDEX($D$1:$U$1,MATCH(MIN(D275:U275),D275:U275,0)))</f>
        <v/>
      </c>
      <c r="AA275" s="8" t="n">
        <v>737.36</v>
      </c>
      <c r="AB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>
        <f>IF(COUNT(D276:U276)=0,"",MIN(D276:U276))</f>
        <v/>
      </c>
      <c r="W276" s="8">
        <f>IF(COUNT(D276:U276)=0,"",MEDIAN(D276:U276))</f>
        <v/>
      </c>
      <c r="X276" s="8">
        <f>IF(COUNT(D276:U276)=0,"",MAX(D276:U276))</f>
        <v/>
      </c>
      <c r="Y276" s="9">
        <f>IF(OR(V276="",V276=0),"",(X276-V276)/V276)</f>
        <v/>
      </c>
      <c r="Z276" s="7">
        <f>IF(COUNT(D276:U276)=0,"",INDEX($D$1:$U$1,MATCH(MIN(D276:U276),D276:U276,0)))</f>
        <v/>
      </c>
      <c r="AA276" s="8" t="n">
        <v>3981.13</v>
      </c>
      <c r="AB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>
        <f>IF(COUNT(D277:U277)=0,"",MIN(D277:U277))</f>
        <v/>
      </c>
      <c r="W277" s="8">
        <f>IF(COUNT(D277:U277)=0,"",MEDIAN(D277:U277))</f>
        <v/>
      </c>
      <c r="X277" s="8">
        <f>IF(COUNT(D277:U277)=0,"",MAX(D277:U277))</f>
        <v/>
      </c>
      <c r="Y277" s="9">
        <f>IF(OR(V277="",V277=0),"",(X277-V277)/V277)</f>
        <v/>
      </c>
      <c r="Z277" s="7">
        <f>IF(COUNT(D277:U277)=0,"",INDEX($D$1:$U$1,MATCH(MIN(D277:U277),D277:U277,0)))</f>
        <v/>
      </c>
      <c r="AA277" s="8" t="n">
        <v>2136.75</v>
      </c>
      <c r="AB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>
        <f>IF(COUNT(D278:U278)=0,"",MIN(D278:U278))</f>
        <v/>
      </c>
      <c r="W278" s="8">
        <f>IF(COUNT(D278:U278)=0,"",MEDIAN(D278:U278))</f>
        <v/>
      </c>
      <c r="X278" s="8">
        <f>IF(COUNT(D278:U278)=0,"",MAX(D278:U278))</f>
        <v/>
      </c>
      <c r="Y278" s="9">
        <f>IF(OR(V278="",V278=0),"",(X278-V278)/V278)</f>
        <v/>
      </c>
      <c r="Z278" s="7">
        <f>IF(COUNT(D278:U278)=0,"",INDEX($D$1:$U$1,MATCH(MIN(D278:U278),D278:U278,0)))</f>
        <v/>
      </c>
      <c r="AA278" s="8" t="n">
        <v>1295.89</v>
      </c>
      <c r="AB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>
        <f>IF(COUNT(D279:U279)=0,"",MIN(D279:U279))</f>
        <v/>
      </c>
      <c r="W279" s="8">
        <f>IF(COUNT(D279:U279)=0,"",MEDIAN(D279:U279))</f>
        <v/>
      </c>
      <c r="X279" s="8">
        <f>IF(COUNT(D279:U279)=0,"",MAX(D279:U279))</f>
        <v/>
      </c>
      <c r="Y279" s="9">
        <f>IF(OR(V279="",V279=0),"",(X279-V279)/V279)</f>
        <v/>
      </c>
      <c r="Z279" s="7">
        <f>IF(COUNT(D279:U279)=0,"",INDEX($D$1:$U$1,MATCH(MIN(D279:U279),D279:U279,0)))</f>
        <v/>
      </c>
      <c r="AA279" s="8" t="n">
        <v>2036.8</v>
      </c>
      <c r="AB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>
        <f>IF(COUNT(D280:U280)=0,"",MIN(D280:U280))</f>
        <v/>
      </c>
      <c r="W280" s="8">
        <f>IF(COUNT(D280:U280)=0,"",MEDIAN(D280:U280))</f>
        <v/>
      </c>
      <c r="X280" s="8">
        <f>IF(COUNT(D280:U280)=0,"",MAX(D280:U280))</f>
        <v/>
      </c>
      <c r="Y280" s="9">
        <f>IF(OR(V280="",V280=0),"",(X280-V280)/V280)</f>
        <v/>
      </c>
      <c r="Z280" s="7">
        <f>IF(COUNT(D280:U280)=0,"",INDEX($D$1:$U$1,MATCH(MIN(D280:U280),D280:U280,0)))</f>
        <v/>
      </c>
      <c r="AA280" s="8" t="n">
        <v>1697.46</v>
      </c>
      <c r="AB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>
        <f>IF(COUNT(D281:U281)=0,"",MIN(D281:U281))</f>
        <v/>
      </c>
      <c r="W281" s="8">
        <f>IF(COUNT(D281:U281)=0,"",MEDIAN(D281:U281))</f>
        <v/>
      </c>
      <c r="X281" s="8">
        <f>IF(COUNT(D281:U281)=0,"",MAX(D281:U281))</f>
        <v/>
      </c>
      <c r="Y281" s="9">
        <f>IF(OR(V281="",V281=0),"",(X281-V281)/V281)</f>
        <v/>
      </c>
      <c r="Z281" s="7">
        <f>IF(COUNT(D281:U281)=0,"",INDEX($D$1:$U$1,MATCH(MIN(D281:U281),D281:U281,0)))</f>
        <v/>
      </c>
      <c r="AA281" s="8" t="n">
        <v>1889.91</v>
      </c>
      <c r="AB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>
        <f>IF(COUNT(D282:U282)=0,"",MIN(D282:U282))</f>
        <v/>
      </c>
      <c r="W282" s="8">
        <f>IF(COUNT(D282:U282)=0,"",MEDIAN(D282:U282))</f>
        <v/>
      </c>
      <c r="X282" s="8">
        <f>IF(COUNT(D282:U282)=0,"",MAX(D282:U282))</f>
        <v/>
      </c>
      <c r="Y282" s="9">
        <f>IF(OR(V282="",V282=0),"",(X282-V282)/V282)</f>
        <v/>
      </c>
      <c r="Z282" s="7">
        <f>IF(COUNT(D282:U282)=0,"",INDEX($D$1:$U$1,MATCH(MIN(D282:U282),D282:U282,0)))</f>
        <v/>
      </c>
      <c r="AA282" s="8" t="n">
        <v>3031.01</v>
      </c>
      <c r="AB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>
        <f>IF(COUNT(D283:U283)=0,"",MIN(D283:U283))</f>
        <v/>
      </c>
      <c r="W283" s="8">
        <f>IF(COUNT(D283:U283)=0,"",MEDIAN(D283:U283))</f>
        <v/>
      </c>
      <c r="X283" s="8">
        <f>IF(COUNT(D283:U283)=0,"",MAX(D283:U283))</f>
        <v/>
      </c>
      <c r="Y283" s="9">
        <f>IF(OR(V283="",V283=0),"",(X283-V283)/V283)</f>
        <v/>
      </c>
      <c r="Z283" s="7">
        <f>IF(COUNT(D283:U283)=0,"",INDEX($D$1:$U$1,MATCH(MIN(D283:U283),D283:U283,0)))</f>
        <v/>
      </c>
      <c r="AA283" s="8" t="n">
        <v>324.25</v>
      </c>
      <c r="AB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>
        <f>IF(COUNT(D284:U284)=0,"",MIN(D284:U284))</f>
        <v/>
      </c>
      <c r="W284" s="8">
        <f>IF(COUNT(D284:U284)=0,"",MEDIAN(D284:U284))</f>
        <v/>
      </c>
      <c r="X284" s="8">
        <f>IF(COUNT(D284:U284)=0,"",MAX(D284:U284))</f>
        <v/>
      </c>
      <c r="Y284" s="9">
        <f>IF(OR(V284="",V284=0),"",(X284-V284)/V284)</f>
        <v/>
      </c>
      <c r="Z284" s="7">
        <f>IF(COUNT(D284:U284)=0,"",INDEX($D$1:$U$1,MATCH(MIN(D284:U284),D284:U284,0)))</f>
        <v/>
      </c>
      <c r="AA284" s="8" t="n">
        <v>2595</v>
      </c>
      <c r="AB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>
        <f>IF(COUNT(D285:U285)=0,"",MIN(D285:U285))</f>
        <v/>
      </c>
      <c r="W285" s="8">
        <f>IF(COUNT(D285:U285)=0,"",MEDIAN(D285:U285))</f>
        <v/>
      </c>
      <c r="X285" s="8">
        <f>IF(COUNT(D285:U285)=0,"",MAX(D285:U285))</f>
        <v/>
      </c>
      <c r="Y285" s="9">
        <f>IF(OR(V285="",V285=0),"",(X285-V285)/V285)</f>
        <v/>
      </c>
      <c r="Z285" s="7">
        <f>IF(COUNT(D285:U285)=0,"",INDEX($D$1:$U$1,MATCH(MIN(D285:U285),D285:U285,0)))</f>
        <v/>
      </c>
      <c r="AA285" s="8" t="n">
        <v>2989.56</v>
      </c>
      <c r="AB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>
        <f>IF(COUNT(D286:U286)=0,"",MIN(D286:U286))</f>
        <v/>
      </c>
      <c r="W286" s="8">
        <f>IF(COUNT(D286:U286)=0,"",MEDIAN(D286:U286))</f>
        <v/>
      </c>
      <c r="X286" s="8">
        <f>IF(COUNT(D286:U286)=0,"",MAX(D286:U286))</f>
        <v/>
      </c>
      <c r="Y286" s="9">
        <f>IF(OR(V286="",V286=0),"",(X286-V286)/V286)</f>
        <v/>
      </c>
      <c r="Z286" s="7">
        <f>IF(COUNT(D286:U286)=0,"",INDEX($D$1:$U$1,MATCH(MIN(D286:U286),D286:U286,0)))</f>
        <v/>
      </c>
      <c r="AA286" s="8" t="n">
        <v>899.08</v>
      </c>
      <c r="AB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>
        <f>IF(COUNT(D287:U287)=0,"",MIN(D287:U287))</f>
        <v/>
      </c>
      <c r="W287" s="8">
        <f>IF(COUNT(D287:U287)=0,"",MEDIAN(D287:U287))</f>
        <v/>
      </c>
      <c r="X287" s="8">
        <f>IF(COUNT(D287:U287)=0,"",MAX(D287:U287))</f>
        <v/>
      </c>
      <c r="Y287" s="9">
        <f>IF(OR(V287="",V287=0),"",(X287-V287)/V287)</f>
        <v/>
      </c>
      <c r="Z287" s="7">
        <f>IF(COUNT(D287:U287)=0,"",INDEX($D$1:$U$1,MATCH(MIN(D287:U287),D287:U287,0)))</f>
        <v/>
      </c>
      <c r="AA287" s="8" t="n">
        <v>718.77</v>
      </c>
      <c r="AB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>
        <f>IF(COUNT(D288:U288)=0,"",MIN(D288:U288))</f>
        <v/>
      </c>
      <c r="W288" s="8">
        <f>IF(COUNT(D288:U288)=0,"",MEDIAN(D288:U288))</f>
        <v/>
      </c>
      <c r="X288" s="8">
        <f>IF(COUNT(D288:U288)=0,"",MAX(D288:U288))</f>
        <v/>
      </c>
      <c r="Y288" s="9">
        <f>IF(OR(V288="",V288=0),"",(X288-V288)/V288)</f>
        <v/>
      </c>
      <c r="Z288" s="7">
        <f>IF(COUNT(D288:U288)=0,"",INDEX($D$1:$U$1,MATCH(MIN(D288:U288),D288:U288,0)))</f>
        <v/>
      </c>
      <c r="AA288" s="8" t="n">
        <v>1223.85</v>
      </c>
      <c r="AB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>
        <f>IF(COUNT(D289:U289)=0,"",MIN(D289:U289))</f>
        <v/>
      </c>
      <c r="W289" s="8">
        <f>IF(COUNT(D289:U289)=0,"",MEDIAN(D289:U289))</f>
        <v/>
      </c>
      <c r="X289" s="8">
        <f>IF(COUNT(D289:U289)=0,"",MAX(D289:U289))</f>
        <v/>
      </c>
      <c r="Y289" s="9">
        <f>IF(OR(V289="",V289=0),"",(X289-V289)/V289)</f>
        <v/>
      </c>
      <c r="Z289" s="7">
        <f>IF(COUNT(D289:U289)=0,"",INDEX($D$1:$U$1,MATCH(MIN(D289:U289),D289:U289,0)))</f>
        <v/>
      </c>
      <c r="AA289" s="8" t="n">
        <v>394.57</v>
      </c>
      <c r="AB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>
        <f>IF(COUNT(D290:U290)=0,"",MIN(D290:U290))</f>
        <v/>
      </c>
      <c r="W290" s="8">
        <f>IF(COUNT(D290:U290)=0,"",MEDIAN(D290:U290))</f>
        <v/>
      </c>
      <c r="X290" s="8">
        <f>IF(COUNT(D290:U290)=0,"",MAX(D290:U290))</f>
        <v/>
      </c>
      <c r="Y290" s="9">
        <f>IF(OR(V290="",V290=0),"",(X290-V290)/V290)</f>
        <v/>
      </c>
      <c r="Z290" s="7">
        <f>IF(COUNT(D290:U290)=0,"",INDEX($D$1:$U$1,MATCH(MIN(D290:U290),D290:U290,0)))</f>
        <v/>
      </c>
      <c r="AA290" s="8" t="n">
        <v>831.15</v>
      </c>
      <c r="AB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>
        <f>IF(COUNT(D291:U291)=0,"",MIN(D291:U291))</f>
        <v/>
      </c>
      <c r="W291" s="8">
        <f>IF(COUNT(D291:U291)=0,"",MEDIAN(D291:U291))</f>
        <v/>
      </c>
      <c r="X291" s="8">
        <f>IF(COUNT(D291:U291)=0,"",MAX(D291:U291))</f>
        <v/>
      </c>
      <c r="Y291" s="9">
        <f>IF(OR(V291="",V291=0),"",(X291-V291)/V291)</f>
        <v/>
      </c>
      <c r="Z291" s="7">
        <f>IF(COUNT(D291:U291)=0,"",INDEX($D$1:$U$1,MATCH(MIN(D291:U291),D291:U291,0)))</f>
        <v/>
      </c>
      <c r="AA291" s="8" t="n">
        <v>718.6799999999999</v>
      </c>
      <c r="AB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>
        <f>IF(COUNT(D292:U292)=0,"",MIN(D292:U292))</f>
        <v/>
      </c>
      <c r="W292" s="8">
        <f>IF(COUNT(D292:U292)=0,"",MEDIAN(D292:U292))</f>
        <v/>
      </c>
      <c r="X292" s="8">
        <f>IF(COUNT(D292:U292)=0,"",MAX(D292:U292))</f>
        <v/>
      </c>
      <c r="Y292" s="9">
        <f>IF(OR(V292="",V292=0),"",(X292-V292)/V292)</f>
        <v/>
      </c>
      <c r="Z292" s="7">
        <f>IF(COUNT(D292:U292)=0,"",INDEX($D$1:$U$1,MATCH(MIN(D292:U292),D292:U292,0)))</f>
        <v/>
      </c>
      <c r="AA292" s="8" t="n">
        <v>509.76</v>
      </c>
      <c r="AB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>
        <f>IF(COUNT(D293:U293)=0,"",MIN(D293:U293))</f>
        <v/>
      </c>
      <c r="W293" s="8">
        <f>IF(COUNT(D293:U293)=0,"",MEDIAN(D293:U293))</f>
        <v/>
      </c>
      <c r="X293" s="8">
        <f>IF(COUNT(D293:U293)=0,"",MAX(D293:U293))</f>
        <v/>
      </c>
      <c r="Y293" s="9">
        <f>IF(OR(V293="",V293=0),"",(X293-V293)/V293)</f>
        <v/>
      </c>
      <c r="Z293" s="7">
        <f>IF(COUNT(D293:U293)=0,"",INDEX($D$1:$U$1,MATCH(MIN(D293:U293),D293:U293,0)))</f>
        <v/>
      </c>
      <c r="AA293" s="8" t="n">
        <v>389</v>
      </c>
      <c r="AB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>
        <f>IF(COUNT(D294:U294)=0,"",MIN(D294:U294))</f>
        <v/>
      </c>
      <c r="W294" s="8">
        <f>IF(COUNT(D294:U294)=0,"",MEDIAN(D294:U294))</f>
        <v/>
      </c>
      <c r="X294" s="8">
        <f>IF(COUNT(D294:U294)=0,"",MAX(D294:U294))</f>
        <v/>
      </c>
      <c r="Y294" s="9">
        <f>IF(OR(V294="",V294=0),"",(X294-V294)/V294)</f>
        <v/>
      </c>
      <c r="Z294" s="7">
        <f>IF(COUNT(D294:U294)=0,"",INDEX($D$1:$U$1,MATCH(MIN(D294:U294),D294:U294,0)))</f>
        <v/>
      </c>
      <c r="AA294" s="8" t="n">
        <v>880.0599999999999</v>
      </c>
      <c r="AB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>
        <f>IF(COUNT(D295:U295)=0,"",MIN(D295:U295))</f>
        <v/>
      </c>
      <c r="W295" s="8">
        <f>IF(COUNT(D295:U295)=0,"",MEDIAN(D295:U295))</f>
        <v/>
      </c>
      <c r="X295" s="8">
        <f>IF(COUNT(D295:U295)=0,"",MAX(D295:U295))</f>
        <v/>
      </c>
      <c r="Y295" s="9">
        <f>IF(OR(V295="",V295=0),"",(X295-V295)/V295)</f>
        <v/>
      </c>
      <c r="Z295" s="7">
        <f>IF(COUNT(D295:U295)=0,"",INDEX($D$1:$U$1,MATCH(MIN(D295:U295),D295:U295,0)))</f>
        <v/>
      </c>
      <c r="AA295" s="8" t="n">
        <v>1343.36</v>
      </c>
      <c r="AB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>
        <f>IF(COUNT(D296:U296)=0,"",MIN(D296:U296))</f>
        <v/>
      </c>
      <c r="W296" s="8">
        <f>IF(COUNT(D296:U296)=0,"",MEDIAN(D296:U296))</f>
        <v/>
      </c>
      <c r="X296" s="8">
        <f>IF(COUNT(D296:U296)=0,"",MAX(D296:U296))</f>
        <v/>
      </c>
      <c r="Y296" s="9">
        <f>IF(OR(V296="",V296=0),"",(X296-V296)/V296)</f>
        <v/>
      </c>
      <c r="Z296" s="7">
        <f>IF(COUNT(D296:U296)=0,"",INDEX($D$1:$U$1,MATCH(MIN(D296:U296),D296:U296,0)))</f>
        <v/>
      </c>
      <c r="AA296" s="8" t="n">
        <v>902.6</v>
      </c>
      <c r="AB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>
        <f>IF(COUNT(D297:U297)=0,"",MIN(D297:U297))</f>
        <v/>
      </c>
      <c r="W297" s="8">
        <f>IF(COUNT(D297:U297)=0,"",MEDIAN(D297:U297))</f>
        <v/>
      </c>
      <c r="X297" s="8">
        <f>IF(COUNT(D297:U297)=0,"",MAX(D297:U297))</f>
        <v/>
      </c>
      <c r="Y297" s="9">
        <f>IF(OR(V297="",V297=0),"",(X297-V297)/V297)</f>
        <v/>
      </c>
      <c r="Z297" s="7">
        <f>IF(COUNT(D297:U297)=0,"",INDEX($D$1:$U$1,MATCH(MIN(D297:U297),D297:U297,0)))</f>
        <v/>
      </c>
      <c r="AA297" s="8" t="n">
        <v>1196.92</v>
      </c>
      <c r="AB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>
        <f>IF(COUNT(D298:U298)=0,"",MIN(D298:U298))</f>
        <v/>
      </c>
      <c r="W298" s="8">
        <f>IF(COUNT(D298:U298)=0,"",MEDIAN(D298:U298))</f>
        <v/>
      </c>
      <c r="X298" s="8">
        <f>IF(COUNT(D298:U298)=0,"",MAX(D298:U298))</f>
        <v/>
      </c>
      <c r="Y298" s="9">
        <f>IF(OR(V298="",V298=0),"",(X298-V298)/V298)</f>
        <v/>
      </c>
      <c r="Z298" s="7">
        <f>IF(COUNT(D298:U298)=0,"",INDEX($D$1:$U$1,MATCH(MIN(D298:U298),D298:U298,0)))</f>
        <v/>
      </c>
      <c r="AA298" s="8" t="n">
        <v>2092.5</v>
      </c>
      <c r="AB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>
        <f>IF(COUNT(D299:U299)=0,"",MIN(D299:U299))</f>
        <v/>
      </c>
      <c r="W299" s="8">
        <f>IF(COUNT(D299:U299)=0,"",MEDIAN(D299:U299))</f>
        <v/>
      </c>
      <c r="X299" s="8">
        <f>IF(COUNT(D299:U299)=0,"",MAX(D299:U299))</f>
        <v/>
      </c>
      <c r="Y299" s="9">
        <f>IF(OR(V299="",V299=0),"",(X299-V299)/V299)</f>
        <v/>
      </c>
      <c r="Z299" s="7">
        <f>IF(COUNT(D299:U299)=0,"",INDEX($D$1:$U$1,MATCH(MIN(D299:U299),D299:U299,0)))</f>
        <v/>
      </c>
      <c r="AA299" s="8" t="n">
        <v>509.73</v>
      </c>
      <c r="AB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>
        <f>IF(COUNT(D300:U300)=0,"",MIN(D300:U300))</f>
        <v/>
      </c>
      <c r="W300" s="8">
        <f>IF(COUNT(D300:U300)=0,"",MEDIAN(D300:U300))</f>
        <v/>
      </c>
      <c r="X300" s="8">
        <f>IF(COUNT(D300:U300)=0,"",MAX(D300:U300))</f>
        <v/>
      </c>
      <c r="Y300" s="9">
        <f>IF(OR(V300="",V300=0),"",(X300-V300)/V300)</f>
        <v/>
      </c>
      <c r="Z300" s="7">
        <f>IF(COUNT(D300:U300)=0,"",INDEX($D$1:$U$1,MATCH(MIN(D300:U300),D300:U300,0)))</f>
        <v/>
      </c>
      <c r="AA300" s="8" t="n">
        <v>1318.41</v>
      </c>
      <c r="AB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>
        <f>IF(COUNT(D301:U301)=0,"",MIN(D301:U301))</f>
        <v/>
      </c>
      <c r="W301" s="8">
        <f>IF(COUNT(D301:U301)=0,"",MEDIAN(D301:U301))</f>
        <v/>
      </c>
      <c r="X301" s="8">
        <f>IF(COUNT(D301:U301)=0,"",MAX(D301:U301))</f>
        <v/>
      </c>
      <c r="Y301" s="9">
        <f>IF(OR(V301="",V301=0),"",(X301-V301)/V301)</f>
        <v/>
      </c>
      <c r="Z301" s="7">
        <f>IF(COUNT(D301:U301)=0,"",INDEX($D$1:$U$1,MATCH(MIN(D301:U301),D301:U301,0)))</f>
        <v/>
      </c>
      <c r="AA301" s="8" t="n">
        <v>1011.3</v>
      </c>
      <c r="AB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>
        <f>IF(COUNT(D302:U302)=0,"",MIN(D302:U302))</f>
        <v/>
      </c>
      <c r="W302" s="8">
        <f>IF(COUNT(D302:U302)=0,"",MEDIAN(D302:U302))</f>
        <v/>
      </c>
      <c r="X302" s="8">
        <f>IF(COUNT(D302:U302)=0,"",MAX(D302:U302))</f>
        <v/>
      </c>
      <c r="Y302" s="9">
        <f>IF(OR(V302="",V302=0),"",(X302-V302)/V302)</f>
        <v/>
      </c>
      <c r="Z302" s="7">
        <f>IF(COUNT(D302:U302)=0,"",INDEX($D$1:$U$1,MATCH(MIN(D302:U302),D302:U302,0)))</f>
        <v/>
      </c>
      <c r="AA302" s="8" t="n">
        <v>1191.86</v>
      </c>
      <c r="AB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>
        <f>IF(COUNT(D303:U303)=0,"",MIN(D303:U303))</f>
        <v/>
      </c>
      <c r="W303" s="8">
        <f>IF(COUNT(D303:U303)=0,"",MEDIAN(D303:U303))</f>
        <v/>
      </c>
      <c r="X303" s="8">
        <f>IF(COUNT(D303:U303)=0,"",MAX(D303:U303))</f>
        <v/>
      </c>
      <c r="Y303" s="9">
        <f>IF(OR(V303="",V303=0),"",(X303-V303)/V303)</f>
        <v/>
      </c>
      <c r="Z303" s="7">
        <f>IF(COUNT(D303:U303)=0,"",INDEX($D$1:$U$1,MATCH(MIN(D303:U303),D303:U303,0)))</f>
        <v/>
      </c>
      <c r="AA303" s="8" t="n">
        <v>1042.92</v>
      </c>
      <c r="AB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>
        <f>IF(COUNT(D304:U304)=0,"",MIN(D304:U304))</f>
        <v/>
      </c>
      <c r="W304" s="8">
        <f>IF(COUNT(D304:U304)=0,"",MEDIAN(D304:U304))</f>
        <v/>
      </c>
      <c r="X304" s="8">
        <f>IF(COUNT(D304:U304)=0,"",MAX(D304:U304))</f>
        <v/>
      </c>
      <c r="Y304" s="9">
        <f>IF(OR(V304="",V304=0),"",(X304-V304)/V304)</f>
        <v/>
      </c>
      <c r="Z304" s="7">
        <f>IF(COUNT(D304:U304)=0,"",INDEX($D$1:$U$1,MATCH(MIN(D304:U304),D304:U304,0)))</f>
        <v/>
      </c>
      <c r="AA304" s="8" t="n">
        <v>1646.97</v>
      </c>
      <c r="AB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>
        <f>IF(COUNT(D305:U305)=0,"",MIN(D305:U305))</f>
        <v/>
      </c>
      <c r="W305" s="8">
        <f>IF(COUNT(D305:U305)=0,"",MEDIAN(D305:U305))</f>
        <v/>
      </c>
      <c r="X305" s="8">
        <f>IF(COUNT(D305:U305)=0,"",MAX(D305:U305))</f>
        <v/>
      </c>
      <c r="Y305" s="9">
        <f>IF(OR(V305="",V305=0),"",(X305-V305)/V305)</f>
        <v/>
      </c>
      <c r="Z305" s="7">
        <f>IF(COUNT(D305:U305)=0,"",INDEX($D$1:$U$1,MATCH(MIN(D305:U305),D305:U305,0)))</f>
        <v/>
      </c>
      <c r="AA305" s="8" t="n">
        <v>2014.5</v>
      </c>
      <c r="AB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>
        <f>IF(COUNT(D306:U306)=0,"",MIN(D306:U306))</f>
        <v/>
      </c>
      <c r="W306" s="8">
        <f>IF(COUNT(D306:U306)=0,"",MEDIAN(D306:U306))</f>
        <v/>
      </c>
      <c r="X306" s="8">
        <f>IF(COUNT(D306:U306)=0,"",MAX(D306:U306))</f>
        <v/>
      </c>
      <c r="Y306" s="9">
        <f>IF(OR(V306="",V306=0),"",(X306-V306)/V306)</f>
        <v/>
      </c>
      <c r="Z306" s="7">
        <f>IF(COUNT(D306:U306)=0,"",INDEX($D$1:$U$1,MATCH(MIN(D306:U306),D306:U306,0)))</f>
        <v/>
      </c>
      <c r="AA306" s="8" t="n">
        <v>872.1900000000001</v>
      </c>
      <c r="AB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>
        <f>IF(COUNT(D307:U307)=0,"",MIN(D307:U307))</f>
        <v/>
      </c>
      <c r="W307" s="8">
        <f>IF(COUNT(D307:U307)=0,"",MEDIAN(D307:U307))</f>
        <v/>
      </c>
      <c r="X307" s="8">
        <f>IF(COUNT(D307:U307)=0,"",MAX(D307:U307))</f>
        <v/>
      </c>
      <c r="Y307" s="9">
        <f>IF(OR(V307="",V307=0),"",(X307-V307)/V307)</f>
        <v/>
      </c>
      <c r="Z307" s="7">
        <f>IF(COUNT(D307:U307)=0,"",INDEX($D$1:$U$1,MATCH(MIN(D307:U307),D307:U307,0)))</f>
        <v/>
      </c>
      <c r="AA307" s="8" t="n">
        <v>1922.79</v>
      </c>
      <c r="AB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>
        <f>IF(COUNT(D308:U308)=0,"",MIN(D308:U308))</f>
        <v/>
      </c>
      <c r="W308" s="8">
        <f>IF(COUNT(D308:U308)=0,"",MEDIAN(D308:U308))</f>
        <v/>
      </c>
      <c r="X308" s="8">
        <f>IF(COUNT(D308:U308)=0,"",MAX(D308:U308))</f>
        <v/>
      </c>
      <c r="Y308" s="9">
        <f>IF(OR(V308="",V308=0),"",(X308-V308)/V308)</f>
        <v/>
      </c>
      <c r="Z308" s="7">
        <f>IF(COUNT(D308:U308)=0,"",INDEX($D$1:$U$1,MATCH(MIN(D308:U308),D308:U308,0)))</f>
        <v/>
      </c>
      <c r="AA308" s="8" t="n">
        <v>1394.83</v>
      </c>
      <c r="AB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>
        <f>IF(COUNT(D309:U309)=0,"",MIN(D309:U309))</f>
        <v/>
      </c>
      <c r="W309" s="8">
        <f>IF(COUNT(D309:U309)=0,"",MEDIAN(D309:U309))</f>
        <v/>
      </c>
      <c r="X309" s="8">
        <f>IF(COUNT(D309:U309)=0,"",MAX(D309:U309))</f>
        <v/>
      </c>
      <c r="Y309" s="9">
        <f>IF(OR(V309="",V309=0),"",(X309-V309)/V309)</f>
        <v/>
      </c>
      <c r="Z309" s="7">
        <f>IF(COUNT(D309:U309)=0,"",INDEX($D$1:$U$1,MATCH(MIN(D309:U309),D309:U309,0)))</f>
        <v/>
      </c>
      <c r="AA309" s="8" t="n">
        <v>1973.41</v>
      </c>
      <c r="AB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>
        <f>IF(COUNT(D310:U310)=0,"",MIN(D310:U310))</f>
        <v/>
      </c>
      <c r="W310" s="8">
        <f>IF(COUNT(D310:U310)=0,"",MEDIAN(D310:U310))</f>
        <v/>
      </c>
      <c r="X310" s="8">
        <f>IF(COUNT(D310:U310)=0,"",MAX(D310:U310))</f>
        <v/>
      </c>
      <c r="Y310" s="9">
        <f>IF(OR(V310="",V310=0),"",(X310-V310)/V310)</f>
        <v/>
      </c>
      <c r="Z310" s="7">
        <f>IF(COUNT(D310:U310)=0,"",INDEX($D$1:$U$1,MATCH(MIN(D310:U310),D310:U310,0)))</f>
        <v/>
      </c>
      <c r="AA310" s="8" t="n">
        <v>2113.36</v>
      </c>
      <c r="AB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>
        <f>IF(COUNT(D311:U311)=0,"",MIN(D311:U311))</f>
        <v/>
      </c>
      <c r="W311" s="8">
        <f>IF(COUNT(D311:U311)=0,"",MEDIAN(D311:U311))</f>
        <v/>
      </c>
      <c r="X311" s="8">
        <f>IF(COUNT(D311:U311)=0,"",MAX(D311:U311))</f>
        <v/>
      </c>
      <c r="Y311" s="9">
        <f>IF(OR(V311="",V311=0),"",(X311-V311)/V311)</f>
        <v/>
      </c>
      <c r="Z311" s="7">
        <f>IF(COUNT(D311:U311)=0,"",INDEX($D$1:$U$1,MATCH(MIN(D311:U311),D311:U311,0)))</f>
        <v/>
      </c>
      <c r="AA311" s="8" t="n">
        <v>1964.18</v>
      </c>
      <c r="AB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>
        <f>IF(COUNT(D312:U312)=0,"",MIN(D312:U312))</f>
        <v/>
      </c>
      <c r="W312" s="8">
        <f>IF(COUNT(D312:U312)=0,"",MEDIAN(D312:U312))</f>
        <v/>
      </c>
      <c r="X312" s="8">
        <f>IF(COUNT(D312:U312)=0,"",MAX(D312:U312))</f>
        <v/>
      </c>
      <c r="Y312" s="9">
        <f>IF(OR(V312="",V312=0),"",(X312-V312)/V312)</f>
        <v/>
      </c>
      <c r="Z312" s="7">
        <f>IF(COUNT(D312:U312)=0,"",INDEX($D$1:$U$1,MATCH(MIN(D312:U312),D312:U312,0)))</f>
        <v/>
      </c>
      <c r="AA312" s="8" t="n">
        <v>1640.37</v>
      </c>
      <c r="AB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>
        <f>IF(COUNT(D313:U313)=0,"",MIN(D313:U313))</f>
        <v/>
      </c>
      <c r="W313" s="8">
        <f>IF(COUNT(D313:U313)=0,"",MEDIAN(D313:U313))</f>
        <v/>
      </c>
      <c r="X313" s="8">
        <f>IF(COUNT(D313:U313)=0,"",MAX(D313:U313))</f>
        <v/>
      </c>
      <c r="Y313" s="9">
        <f>IF(OR(V313="",V313=0),"",(X313-V313)/V313)</f>
        <v/>
      </c>
      <c r="Z313" s="7">
        <f>IF(COUNT(D313:U313)=0,"",INDEX($D$1:$U$1,MATCH(MIN(D313:U313),D313:U313,0)))</f>
        <v/>
      </c>
      <c r="AA313" s="8" t="n">
        <v>3184.41</v>
      </c>
      <c r="AB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>
        <f>IF(COUNT(D314:U314)=0,"",MIN(D314:U314))</f>
        <v/>
      </c>
      <c r="W314" s="8">
        <f>IF(COUNT(D314:U314)=0,"",MEDIAN(D314:U314))</f>
        <v/>
      </c>
      <c r="X314" s="8">
        <f>IF(COUNT(D314:U314)=0,"",MAX(D314:U314))</f>
        <v/>
      </c>
      <c r="Y314" s="9">
        <f>IF(OR(V314="",V314=0),"",(X314-V314)/V314)</f>
        <v/>
      </c>
      <c r="Z314" s="7">
        <f>IF(COUNT(D314:U314)=0,"",INDEX($D$1:$U$1,MATCH(MIN(D314:U314),D314:U314,0)))</f>
        <v/>
      </c>
      <c r="AA314" s="8" t="n">
        <v>3073.71</v>
      </c>
      <c r="AB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>
        <f>IF(COUNT(D315:U315)=0,"",MIN(D315:U315))</f>
        <v/>
      </c>
      <c r="W315" s="8">
        <f>IF(COUNT(D315:U315)=0,"",MEDIAN(D315:U315))</f>
        <v/>
      </c>
      <c r="X315" s="8">
        <f>IF(COUNT(D315:U315)=0,"",MAX(D315:U315))</f>
        <v/>
      </c>
      <c r="Y315" s="9">
        <f>IF(OR(V315="",V315=0),"",(X315-V315)/V315)</f>
        <v/>
      </c>
      <c r="Z315" s="7">
        <f>IF(COUNT(D315:U315)=0,"",INDEX($D$1:$U$1,MATCH(MIN(D315:U315),D315:U315,0)))</f>
        <v/>
      </c>
      <c r="AA315" s="8" t="n">
        <v>915.75</v>
      </c>
      <c r="AB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>
        <f>IF(COUNT(D316:U316)=0,"",MIN(D316:U316))</f>
        <v/>
      </c>
      <c r="W316" s="8">
        <f>IF(COUNT(D316:U316)=0,"",MEDIAN(D316:U316))</f>
        <v/>
      </c>
      <c r="X316" s="8">
        <f>IF(COUNT(D316:U316)=0,"",MAX(D316:U316))</f>
        <v/>
      </c>
      <c r="Y316" s="9">
        <f>IF(OR(V316="",V316=0),"",(X316-V316)/V316)</f>
        <v/>
      </c>
      <c r="Z316" s="7">
        <f>IF(COUNT(D316:U316)=0,"",INDEX($D$1:$U$1,MATCH(MIN(D316:U316),D316:U316,0)))</f>
        <v/>
      </c>
      <c r="AA316" s="8" t="n">
        <v>2621.99</v>
      </c>
      <c r="AB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>
        <f>IF(COUNT(D317:U317)=0,"",MIN(D317:U317))</f>
        <v/>
      </c>
      <c r="W317" s="8">
        <f>IF(COUNT(D317:U317)=0,"",MEDIAN(D317:U317))</f>
        <v/>
      </c>
      <c r="X317" s="8">
        <f>IF(COUNT(D317:U317)=0,"",MAX(D317:U317))</f>
        <v/>
      </c>
      <c r="Y317" s="9">
        <f>IF(OR(V317="",V317=0),"",(X317-V317)/V317)</f>
        <v/>
      </c>
      <c r="Z317" s="7">
        <f>IF(COUNT(D317:U317)=0,"",INDEX($D$1:$U$1,MATCH(MIN(D317:U317),D317:U317,0)))</f>
        <v/>
      </c>
      <c r="AA317" s="8" t="n">
        <v>2550.6</v>
      </c>
      <c r="AB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>
        <f>IF(COUNT(D318:U318)=0,"",MIN(D318:U318))</f>
        <v/>
      </c>
      <c r="W318" s="8">
        <f>IF(COUNT(D318:U318)=0,"",MEDIAN(D318:U318))</f>
        <v/>
      </c>
      <c r="X318" s="8">
        <f>IF(COUNT(D318:U318)=0,"",MAX(D318:U318))</f>
        <v/>
      </c>
      <c r="Y318" s="9">
        <f>IF(OR(V318="",V318=0),"",(X318-V318)/V318)</f>
        <v/>
      </c>
      <c r="Z318" s="7">
        <f>IF(COUNT(D318:U318)=0,"",INDEX($D$1:$U$1,MATCH(MIN(D318:U318),D318:U318,0)))</f>
        <v/>
      </c>
      <c r="AA318" s="8" t="n">
        <v>2071.61</v>
      </c>
      <c r="AB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>
        <f>IF(COUNT(D319:U319)=0,"",MIN(D319:U319))</f>
        <v/>
      </c>
      <c r="W319" s="8">
        <f>IF(COUNT(D319:U319)=0,"",MEDIAN(D319:U319))</f>
        <v/>
      </c>
      <c r="X319" s="8">
        <f>IF(COUNT(D319:U319)=0,"",MAX(D319:U319))</f>
        <v/>
      </c>
      <c r="Y319" s="9">
        <f>IF(OR(V319="",V319=0),"",(X319-V319)/V319)</f>
        <v/>
      </c>
      <c r="Z319" s="7">
        <f>IF(COUNT(D319:U319)=0,"",INDEX($D$1:$U$1,MATCH(MIN(D319:U319),D319:U319,0)))</f>
        <v/>
      </c>
      <c r="AA319" s="8" t="n">
        <v>1641.67</v>
      </c>
      <c r="AB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>
        <f>IF(COUNT(D320:U320)=0,"",MIN(D320:U320))</f>
        <v/>
      </c>
      <c r="W320" s="8">
        <f>IF(COUNT(D320:U320)=0,"",MEDIAN(D320:U320))</f>
        <v/>
      </c>
      <c r="X320" s="8">
        <f>IF(COUNT(D320:U320)=0,"",MAX(D320:U320))</f>
        <v/>
      </c>
      <c r="Y320" s="9">
        <f>IF(OR(V320="",V320=0),"",(X320-V320)/V320)</f>
        <v/>
      </c>
      <c r="Z320" s="7">
        <f>IF(COUNT(D320:U320)=0,"",INDEX($D$1:$U$1,MATCH(MIN(D320:U320),D320:U320,0)))</f>
        <v/>
      </c>
      <c r="AA320" s="8" t="n">
        <v>2504.68</v>
      </c>
      <c r="AB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>
        <f>IF(COUNT(D321:U321)=0,"",MIN(D321:U321))</f>
        <v/>
      </c>
      <c r="W321" s="8">
        <f>IF(COUNT(D321:U321)=0,"",MEDIAN(D321:U321))</f>
        <v/>
      </c>
      <c r="X321" s="8">
        <f>IF(COUNT(D321:U321)=0,"",MAX(D321:U321))</f>
        <v/>
      </c>
      <c r="Y321" s="9">
        <f>IF(OR(V321="",V321=0),"",(X321-V321)/V321)</f>
        <v/>
      </c>
      <c r="Z321" s="7">
        <f>IF(COUNT(D321:U321)=0,"",INDEX($D$1:$U$1,MATCH(MIN(D321:U321),D321:U321,0)))</f>
        <v/>
      </c>
      <c r="AA321" s="8" t="n">
        <v>1914.66</v>
      </c>
      <c r="AB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>
        <f>IF(COUNT(D322:U322)=0,"",MIN(D322:U322))</f>
        <v/>
      </c>
      <c r="W322" s="8">
        <f>IF(COUNT(D322:U322)=0,"",MEDIAN(D322:U322))</f>
        <v/>
      </c>
      <c r="X322" s="8">
        <f>IF(COUNT(D322:U322)=0,"",MAX(D322:U322))</f>
        <v/>
      </c>
      <c r="Y322" s="9">
        <f>IF(OR(V322="",V322=0),"",(X322-V322)/V322)</f>
        <v/>
      </c>
      <c r="Z322" s="7">
        <f>IF(COUNT(D322:U322)=0,"",INDEX($D$1:$U$1,MATCH(MIN(D322:U322),D322:U322,0)))</f>
        <v/>
      </c>
      <c r="AA322" s="8" t="n">
        <v>779.2</v>
      </c>
      <c r="AB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>
        <f>IF(COUNT(D323:U323)=0,"",MIN(D323:U323))</f>
        <v/>
      </c>
      <c r="W323" s="8">
        <f>IF(COUNT(D323:U323)=0,"",MEDIAN(D323:U323))</f>
        <v/>
      </c>
      <c r="X323" s="8">
        <f>IF(COUNT(D323:U323)=0,"",MAX(D323:U323))</f>
        <v/>
      </c>
      <c r="Y323" s="9">
        <f>IF(OR(V323="",V323=0),"",(X323-V323)/V323)</f>
        <v/>
      </c>
      <c r="Z323" s="7">
        <f>IF(COUNT(D323:U323)=0,"",INDEX($D$1:$U$1,MATCH(MIN(D323:U323),D323:U323,0)))</f>
        <v/>
      </c>
      <c r="AA323" s="8" t="n">
        <v>883.6</v>
      </c>
      <c r="AB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>
        <f>IF(COUNT(D324:U324)=0,"",MIN(D324:U324))</f>
        <v/>
      </c>
      <c r="W324" s="8">
        <f>IF(COUNT(D324:U324)=0,"",MEDIAN(D324:U324))</f>
        <v/>
      </c>
      <c r="X324" s="8">
        <f>IF(COUNT(D324:U324)=0,"",MAX(D324:U324))</f>
        <v/>
      </c>
      <c r="Y324" s="9">
        <f>IF(OR(V324="",V324=0),"",(X324-V324)/V324)</f>
        <v/>
      </c>
      <c r="Z324" s="7">
        <f>IF(COUNT(D324:U324)=0,"",INDEX($D$1:$U$1,MATCH(MIN(D324:U324),D324:U324,0)))</f>
        <v/>
      </c>
      <c r="AA324" s="8" t="n">
        <v>837.58</v>
      </c>
      <c r="AB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>
        <f>IF(COUNT(D325:U325)=0,"",MIN(D325:U325))</f>
        <v/>
      </c>
      <c r="W325" s="8">
        <f>IF(COUNT(D325:U325)=0,"",MEDIAN(D325:U325))</f>
        <v/>
      </c>
      <c r="X325" s="8">
        <f>IF(COUNT(D325:U325)=0,"",MAX(D325:U325))</f>
        <v/>
      </c>
      <c r="Y325" s="9">
        <f>IF(OR(V325="",V325=0),"",(X325-V325)/V325)</f>
        <v/>
      </c>
      <c r="Z325" s="7">
        <f>IF(COUNT(D325:U325)=0,"",INDEX($D$1:$U$1,MATCH(MIN(D325:U325),D325:U325,0)))</f>
        <v/>
      </c>
      <c r="AA325" s="8" t="n">
        <v>884.59</v>
      </c>
      <c r="AB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>
        <f>IF(COUNT(D326:U326)=0,"",MIN(D326:U326))</f>
        <v/>
      </c>
      <c r="W326" s="8">
        <f>IF(COUNT(D326:U326)=0,"",MEDIAN(D326:U326))</f>
        <v/>
      </c>
      <c r="X326" s="8">
        <f>IF(COUNT(D326:U326)=0,"",MAX(D326:U326))</f>
        <v/>
      </c>
      <c r="Y326" s="9">
        <f>IF(OR(V326="",V326=0),"",(X326-V326)/V326)</f>
        <v/>
      </c>
      <c r="Z326" s="7">
        <f>IF(COUNT(D326:U326)=0,"",INDEX($D$1:$U$1,MATCH(MIN(D326:U326),D326:U326,0)))</f>
        <v/>
      </c>
      <c r="AA326" s="8" t="n">
        <v>1407.51</v>
      </c>
      <c r="AB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>
        <f>IF(COUNT(D327:U327)=0,"",MIN(D327:U327))</f>
        <v/>
      </c>
      <c r="W327" s="8">
        <f>IF(COUNT(D327:U327)=0,"",MEDIAN(D327:U327))</f>
        <v/>
      </c>
      <c r="X327" s="8">
        <f>IF(COUNT(D327:U327)=0,"",MAX(D327:U327))</f>
        <v/>
      </c>
      <c r="Y327" s="9">
        <f>IF(OR(V327="",V327=0),"",(X327-V327)/V327)</f>
        <v/>
      </c>
      <c r="Z327" s="7">
        <f>IF(COUNT(D327:U327)=0,"",INDEX($D$1:$U$1,MATCH(MIN(D327:U327),D327:U327,0)))</f>
        <v/>
      </c>
      <c r="AA327" s="8" t="n">
        <v>767.4400000000001</v>
      </c>
      <c r="AB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>
        <f>IF(COUNT(D328:U328)=0,"",MIN(D328:U328))</f>
        <v/>
      </c>
      <c r="W328" s="8">
        <f>IF(COUNT(D328:U328)=0,"",MEDIAN(D328:U328))</f>
        <v/>
      </c>
      <c r="X328" s="8">
        <f>IF(COUNT(D328:U328)=0,"",MAX(D328:U328))</f>
        <v/>
      </c>
      <c r="Y328" s="9">
        <f>IF(OR(V328="",V328=0),"",(X328-V328)/V328)</f>
        <v/>
      </c>
      <c r="Z328" s="7">
        <f>IF(COUNT(D328:U328)=0,"",INDEX($D$1:$U$1,MATCH(MIN(D328:U328),D328:U328,0)))</f>
        <v/>
      </c>
      <c r="AA328" s="8" t="n">
        <v>1474.52</v>
      </c>
      <c r="AB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>
        <f>IF(COUNT(D329:U329)=0,"",MIN(D329:U329))</f>
        <v/>
      </c>
      <c r="W329" s="8">
        <f>IF(COUNT(D329:U329)=0,"",MEDIAN(D329:U329))</f>
        <v/>
      </c>
      <c r="X329" s="8">
        <f>IF(COUNT(D329:U329)=0,"",MAX(D329:U329))</f>
        <v/>
      </c>
      <c r="Y329" s="9">
        <f>IF(OR(V329="",V329=0),"",(X329-V329)/V329)</f>
        <v/>
      </c>
      <c r="Z329" s="7">
        <f>IF(COUNT(D329:U329)=0,"",INDEX($D$1:$U$1,MATCH(MIN(D329:U329),D329:U329,0)))</f>
        <v/>
      </c>
      <c r="AA329" s="8" t="n">
        <v>1251.4</v>
      </c>
      <c r="AB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>
        <f>IF(COUNT(D330:U330)=0,"",MIN(D330:U330))</f>
        <v/>
      </c>
      <c r="W330" s="8">
        <f>IF(COUNT(D330:U330)=0,"",MEDIAN(D330:U330))</f>
        <v/>
      </c>
      <c r="X330" s="8">
        <f>IF(COUNT(D330:U330)=0,"",MAX(D330:U330))</f>
        <v/>
      </c>
      <c r="Y330" s="9">
        <f>IF(OR(V330="",V330=0),"",(X330-V330)/V330)</f>
        <v/>
      </c>
      <c r="Z330" s="7">
        <f>IF(COUNT(D330:U330)=0,"",INDEX($D$1:$U$1,MATCH(MIN(D330:U330),D330:U330,0)))</f>
        <v/>
      </c>
      <c r="AA330" s="8" t="n">
        <v>1257.26</v>
      </c>
      <c r="AB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>
        <f>IF(COUNT(D331:U331)=0,"",MIN(D331:U331))</f>
        <v/>
      </c>
      <c r="W331" s="8">
        <f>IF(COUNT(D331:U331)=0,"",MEDIAN(D331:U331))</f>
        <v/>
      </c>
      <c r="X331" s="8">
        <f>IF(COUNT(D331:U331)=0,"",MAX(D331:U331))</f>
        <v/>
      </c>
      <c r="Y331" s="9">
        <f>IF(OR(V331="",V331=0),"",(X331-V331)/V331)</f>
        <v/>
      </c>
      <c r="Z331" s="7">
        <f>IF(COUNT(D331:U331)=0,"",INDEX($D$1:$U$1,MATCH(MIN(D331:U331),D331:U331,0)))</f>
        <v/>
      </c>
      <c r="AA331" s="8" t="n">
        <v>929.73</v>
      </c>
      <c r="AB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>
        <f>IF(COUNT(D332:U332)=0,"",MIN(D332:U332))</f>
        <v/>
      </c>
      <c r="W332" s="8">
        <f>IF(COUNT(D332:U332)=0,"",MEDIAN(D332:U332))</f>
        <v/>
      </c>
      <c r="X332" s="8">
        <f>IF(COUNT(D332:U332)=0,"",MAX(D332:U332))</f>
        <v/>
      </c>
      <c r="Y332" s="9">
        <f>IF(OR(V332="",V332=0),"",(X332-V332)/V332)</f>
        <v/>
      </c>
      <c r="Z332" s="7">
        <f>IF(COUNT(D332:U332)=0,"",INDEX($D$1:$U$1,MATCH(MIN(D332:U332),D332:U332,0)))</f>
        <v/>
      </c>
      <c r="AA332" s="8" t="n">
        <v>1496.73</v>
      </c>
      <c r="AB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>
        <f>IF(COUNT(D333:U333)=0,"",MIN(D333:U333))</f>
        <v/>
      </c>
      <c r="W333" s="8">
        <f>IF(COUNT(D333:U333)=0,"",MEDIAN(D333:U333))</f>
        <v/>
      </c>
      <c r="X333" s="8">
        <f>IF(COUNT(D333:U333)=0,"",MAX(D333:U333))</f>
        <v/>
      </c>
      <c r="Y333" s="9">
        <f>IF(OR(V333="",V333=0),"",(X333-V333)/V333)</f>
        <v/>
      </c>
      <c r="Z333" s="7">
        <f>IF(COUNT(D333:U333)=0,"",INDEX($D$1:$U$1,MATCH(MIN(D333:U333),D333:U333,0)))</f>
        <v/>
      </c>
      <c r="AA333" s="8" t="n">
        <v>2227.75</v>
      </c>
      <c r="AB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>
        <f>IF(COUNT(D334:U334)=0,"",MIN(D334:U334))</f>
        <v/>
      </c>
      <c r="W334" s="8">
        <f>IF(COUNT(D334:U334)=0,"",MEDIAN(D334:U334))</f>
        <v/>
      </c>
      <c r="X334" s="8">
        <f>IF(COUNT(D334:U334)=0,"",MAX(D334:U334))</f>
        <v/>
      </c>
      <c r="Y334" s="9">
        <f>IF(OR(V334="",V334=0),"",(X334-V334)/V334)</f>
        <v/>
      </c>
      <c r="Z334" s="7">
        <f>IF(COUNT(D334:U334)=0,"",INDEX($D$1:$U$1,MATCH(MIN(D334:U334),D334:U334,0)))</f>
        <v/>
      </c>
      <c r="AA334" s="8" t="n">
        <v>1988.37</v>
      </c>
      <c r="AB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>
        <f>IF(COUNT(D335:U335)=0,"",MIN(D335:U335))</f>
        <v/>
      </c>
      <c r="W335" s="8">
        <f>IF(COUNT(D335:U335)=0,"",MEDIAN(D335:U335))</f>
        <v/>
      </c>
      <c r="X335" s="8">
        <f>IF(COUNT(D335:U335)=0,"",MAX(D335:U335))</f>
        <v/>
      </c>
      <c r="Y335" s="9">
        <f>IF(OR(V335="",V335=0),"",(X335-V335)/V335)</f>
        <v/>
      </c>
      <c r="Z335" s="7">
        <f>IF(COUNT(D335:U335)=0,"",INDEX($D$1:$U$1,MATCH(MIN(D335:U335),D335:U335,0)))</f>
        <v/>
      </c>
      <c r="AA335" s="8" t="n">
        <v>2062.5</v>
      </c>
      <c r="AB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>
        <f>IF(COUNT(D336:U336)=0,"",MIN(D336:U336))</f>
        <v/>
      </c>
      <c r="W336" s="8">
        <f>IF(COUNT(D336:U336)=0,"",MEDIAN(D336:U336))</f>
        <v/>
      </c>
      <c r="X336" s="8">
        <f>IF(COUNT(D336:U336)=0,"",MAX(D336:U336))</f>
        <v/>
      </c>
      <c r="Y336" s="9">
        <f>IF(OR(V336="",V336=0),"",(X336-V336)/V336)</f>
        <v/>
      </c>
      <c r="Z336" s="7">
        <f>IF(COUNT(D336:U336)=0,"",INDEX($D$1:$U$1,MATCH(MIN(D336:U336),D336:U336,0)))</f>
        <v/>
      </c>
      <c r="AA336" s="8" t="n">
        <v>3169.66</v>
      </c>
      <c r="AB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>
        <f>IF(COUNT(D337:U337)=0,"",MIN(D337:U337))</f>
        <v/>
      </c>
      <c r="W337" s="8">
        <f>IF(COUNT(D337:U337)=0,"",MEDIAN(D337:U337))</f>
        <v/>
      </c>
      <c r="X337" s="8">
        <f>IF(COUNT(D337:U337)=0,"",MAX(D337:U337))</f>
        <v/>
      </c>
      <c r="Y337" s="9">
        <f>IF(OR(V337="",V337=0),"",(X337-V337)/V337)</f>
        <v/>
      </c>
      <c r="Z337" s="7">
        <f>IF(COUNT(D337:U337)=0,"",INDEX($D$1:$U$1,MATCH(MIN(D337:U337),D337:U337,0)))</f>
        <v/>
      </c>
      <c r="AA337" s="8" t="n">
        <v>1540.39</v>
      </c>
      <c r="AB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>
        <f>IF(COUNT(D338:U338)=0,"",MIN(D338:U338))</f>
        <v/>
      </c>
      <c r="W338" s="8">
        <f>IF(COUNT(D338:U338)=0,"",MEDIAN(D338:U338))</f>
        <v/>
      </c>
      <c r="X338" s="8">
        <f>IF(COUNT(D338:U338)=0,"",MAX(D338:U338))</f>
        <v/>
      </c>
      <c r="Y338" s="9">
        <f>IF(OR(V338="",V338=0),"",(X338-V338)/V338)</f>
        <v/>
      </c>
      <c r="Z338" s="7">
        <f>IF(COUNT(D338:U338)=0,"",INDEX($D$1:$U$1,MATCH(MIN(D338:U338),D338:U338,0)))</f>
        <v/>
      </c>
      <c r="AA338" s="8" t="n">
        <v>2022.32</v>
      </c>
      <c r="AB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>
        <f>IF(COUNT(D339:U339)=0,"",MIN(D339:U339))</f>
        <v/>
      </c>
      <c r="W339" s="8">
        <f>IF(COUNT(D339:U339)=0,"",MEDIAN(D339:U339))</f>
        <v/>
      </c>
      <c r="X339" s="8">
        <f>IF(COUNT(D339:U339)=0,"",MAX(D339:U339))</f>
        <v/>
      </c>
      <c r="Y339" s="9">
        <f>IF(OR(V339="",V339=0),"",(X339-V339)/V339)</f>
        <v/>
      </c>
      <c r="Z339" s="7">
        <f>IF(COUNT(D339:U339)=0,"",INDEX($D$1:$U$1,MATCH(MIN(D339:U339),D339:U339,0)))</f>
        <v/>
      </c>
      <c r="AA339" s="8" t="n">
        <v>1811.22</v>
      </c>
      <c r="AB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>
        <f>IF(COUNT(D340:U340)=0,"",MIN(D340:U340))</f>
        <v/>
      </c>
      <c r="W340" s="8">
        <f>IF(COUNT(D340:U340)=0,"",MEDIAN(D340:U340))</f>
        <v/>
      </c>
      <c r="X340" s="8">
        <f>IF(COUNT(D340:U340)=0,"",MAX(D340:U340))</f>
        <v/>
      </c>
      <c r="Y340" s="9">
        <f>IF(OR(V340="",V340=0),"",(X340-V340)/V340)</f>
        <v/>
      </c>
      <c r="Z340" s="7">
        <f>IF(COUNT(D340:U340)=0,"",INDEX($D$1:$U$1,MATCH(MIN(D340:U340),D340:U340,0)))</f>
        <v/>
      </c>
      <c r="AA340" s="8" t="n">
        <v>2988.15</v>
      </c>
      <c r="AB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>
        <f>IF(COUNT(D341:U341)=0,"",MIN(D341:U341))</f>
        <v/>
      </c>
      <c r="W341" s="8">
        <f>IF(COUNT(D341:U341)=0,"",MEDIAN(D341:U341))</f>
        <v/>
      </c>
      <c r="X341" s="8">
        <f>IF(COUNT(D341:U341)=0,"",MAX(D341:U341))</f>
        <v/>
      </c>
      <c r="Y341" s="9">
        <f>IF(OR(V341="",V341=0),"",(X341-V341)/V341)</f>
        <v/>
      </c>
      <c r="Z341" s="7">
        <f>IF(COUNT(D341:U341)=0,"",INDEX($D$1:$U$1,MATCH(MIN(D341:U341),D341:U341,0)))</f>
        <v/>
      </c>
      <c r="AA341" s="8" t="n">
        <v>2678.99</v>
      </c>
      <c r="AB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>
        <f>IF(COUNT(D342:U342)=0,"",MIN(D342:U342))</f>
        <v/>
      </c>
      <c r="W342" s="8">
        <f>IF(COUNT(D342:U342)=0,"",MEDIAN(D342:U342))</f>
        <v/>
      </c>
      <c r="X342" s="8">
        <f>IF(COUNT(D342:U342)=0,"",MAX(D342:U342))</f>
        <v/>
      </c>
      <c r="Y342" s="9">
        <f>IF(OR(V342="",V342=0),"",(X342-V342)/V342)</f>
        <v/>
      </c>
      <c r="Z342" s="7">
        <f>IF(COUNT(D342:U342)=0,"",INDEX($D$1:$U$1,MATCH(MIN(D342:U342),D342:U342,0)))</f>
        <v/>
      </c>
      <c r="AA342" s="8" t="n">
        <v>3926.57</v>
      </c>
      <c r="AB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>
        <f>IF(COUNT(D343:U343)=0,"",MIN(D343:U343))</f>
        <v/>
      </c>
      <c r="W343" s="8">
        <f>IF(COUNT(D343:U343)=0,"",MEDIAN(D343:U343))</f>
        <v/>
      </c>
      <c r="X343" s="8">
        <f>IF(COUNT(D343:U343)=0,"",MAX(D343:U343))</f>
        <v/>
      </c>
      <c r="Y343" s="9">
        <f>IF(OR(V343="",V343=0),"",(X343-V343)/V343)</f>
        <v/>
      </c>
      <c r="Z343" s="7">
        <f>IF(COUNT(D343:U343)=0,"",INDEX($D$1:$U$1,MATCH(MIN(D343:U343),D343:U343,0)))</f>
        <v/>
      </c>
      <c r="AA343" s="8" t="n">
        <v>2990.03</v>
      </c>
      <c r="AB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>
        <f>IF(COUNT(D344:U344)=0,"",MIN(D344:U344))</f>
        <v/>
      </c>
      <c r="W344" s="8">
        <f>IF(COUNT(D344:U344)=0,"",MEDIAN(D344:U344))</f>
        <v/>
      </c>
      <c r="X344" s="8">
        <f>IF(COUNT(D344:U344)=0,"",MAX(D344:U344))</f>
        <v/>
      </c>
      <c r="Y344" s="9">
        <f>IF(OR(V344="",V344=0),"",(X344-V344)/V344)</f>
        <v/>
      </c>
      <c r="Z344" s="7">
        <f>IF(COUNT(D344:U344)=0,"",INDEX($D$1:$U$1,MATCH(MIN(D344:U344),D344:U344,0)))</f>
        <v/>
      </c>
      <c r="AA344" s="8" t="n">
        <v>4291.77</v>
      </c>
      <c r="AB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>
        <f>IF(COUNT(D345:U345)=0,"",MIN(D345:U345))</f>
        <v/>
      </c>
      <c r="W345" s="8">
        <f>IF(COUNT(D345:U345)=0,"",MEDIAN(D345:U345))</f>
        <v/>
      </c>
      <c r="X345" s="8">
        <f>IF(COUNT(D345:U345)=0,"",MAX(D345:U345))</f>
        <v/>
      </c>
      <c r="Y345" s="9">
        <f>IF(OR(V345="",V345=0),"",(X345-V345)/V345)</f>
        <v/>
      </c>
      <c r="Z345" s="7">
        <f>IF(COUNT(D345:U345)=0,"",INDEX($D$1:$U$1,MATCH(MIN(D345:U345),D345:U345,0)))</f>
        <v/>
      </c>
      <c r="AA345" s="8" t="n">
        <v>2169.36</v>
      </c>
      <c r="AB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>
        <f>IF(COUNT(D346:U346)=0,"",MIN(D346:U346))</f>
        <v/>
      </c>
      <c r="W346" s="8">
        <f>IF(COUNT(D346:U346)=0,"",MEDIAN(D346:U346))</f>
        <v/>
      </c>
      <c r="X346" s="8">
        <f>IF(COUNT(D346:U346)=0,"",MAX(D346:U346))</f>
        <v/>
      </c>
      <c r="Y346" s="9">
        <f>IF(OR(V346="",V346=0),"",(X346-V346)/V346)</f>
        <v/>
      </c>
      <c r="Z346" s="7">
        <f>IF(COUNT(D346:U346)=0,"",INDEX($D$1:$U$1,MATCH(MIN(D346:U346),D346:U346,0)))</f>
        <v/>
      </c>
      <c r="AA346" s="8" t="n">
        <v>8184.41</v>
      </c>
      <c r="AB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>
        <f>IF(COUNT(D347:U347)=0,"",MIN(D347:U347))</f>
        <v/>
      </c>
      <c r="W347" s="8">
        <f>IF(COUNT(D347:U347)=0,"",MEDIAN(D347:U347))</f>
        <v/>
      </c>
      <c r="X347" s="8">
        <f>IF(COUNT(D347:U347)=0,"",MAX(D347:U347))</f>
        <v/>
      </c>
      <c r="Y347" s="9">
        <f>IF(OR(V347="",V347=0),"",(X347-V347)/V347)</f>
        <v/>
      </c>
      <c r="Z347" s="7">
        <f>IF(COUNT(D347:U347)=0,"",INDEX($D$1:$U$1,MATCH(MIN(D347:U347),D347:U347,0)))</f>
        <v/>
      </c>
      <c r="AA347" s="8" t="n">
        <v>1873.88</v>
      </c>
      <c r="AB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>
        <f>IF(COUNT(D348:U348)=0,"",MIN(D348:U348))</f>
        <v/>
      </c>
      <c r="W348" s="8">
        <f>IF(COUNT(D348:U348)=0,"",MEDIAN(D348:U348))</f>
        <v/>
      </c>
      <c r="X348" s="8">
        <f>IF(COUNT(D348:U348)=0,"",MAX(D348:U348))</f>
        <v/>
      </c>
      <c r="Y348" s="9">
        <f>IF(OR(V348="",V348=0),"",(X348-V348)/V348)</f>
        <v/>
      </c>
      <c r="Z348" s="7">
        <f>IF(COUNT(D348:U348)=0,"",INDEX($D$1:$U$1,MATCH(MIN(D348:U348),D348:U348,0)))</f>
        <v/>
      </c>
      <c r="AA348" s="8" t="n">
        <v>839.97</v>
      </c>
      <c r="AB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>
        <f>IF(COUNT(D349:U349)=0,"",MIN(D349:U349))</f>
        <v/>
      </c>
      <c r="W349" s="8">
        <f>IF(COUNT(D349:U349)=0,"",MEDIAN(D349:U349))</f>
        <v/>
      </c>
      <c r="X349" s="8">
        <f>IF(COUNT(D349:U349)=0,"",MAX(D349:U349))</f>
        <v/>
      </c>
      <c r="Y349" s="9">
        <f>IF(OR(V349="",V349=0),"",(X349-V349)/V349)</f>
        <v/>
      </c>
      <c r="Z349" s="7">
        <f>IF(COUNT(D349:U349)=0,"",INDEX($D$1:$U$1,MATCH(MIN(D349:U349),D349:U349,0)))</f>
        <v/>
      </c>
      <c r="AA349" s="8" t="n">
        <v>1576.66</v>
      </c>
      <c r="AB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>
        <f>IF(COUNT(D350:U350)=0,"",MIN(D350:U350))</f>
        <v/>
      </c>
      <c r="W350" s="8">
        <f>IF(COUNT(D350:U350)=0,"",MEDIAN(D350:U350))</f>
        <v/>
      </c>
      <c r="X350" s="8">
        <f>IF(COUNT(D350:U350)=0,"",MAX(D350:U350))</f>
        <v/>
      </c>
      <c r="Y350" s="9">
        <f>IF(OR(V350="",V350=0),"",(X350-V350)/V350)</f>
        <v/>
      </c>
      <c r="Z350" s="7">
        <f>IF(COUNT(D350:U350)=0,"",INDEX($D$1:$U$1,MATCH(MIN(D350:U350),D350:U350,0)))</f>
        <v/>
      </c>
      <c r="AA350" s="8" t="n">
        <v>1727.89</v>
      </c>
      <c r="AB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>
        <f>IF(COUNT(D351:U351)=0,"",MIN(D351:U351))</f>
        <v/>
      </c>
      <c r="W351" s="8">
        <f>IF(COUNT(D351:U351)=0,"",MEDIAN(D351:U351))</f>
        <v/>
      </c>
      <c r="X351" s="8">
        <f>IF(COUNT(D351:U351)=0,"",MAX(D351:U351))</f>
        <v/>
      </c>
      <c r="Y351" s="9">
        <f>IF(OR(V351="",V351=0),"",(X351-V351)/V351)</f>
        <v/>
      </c>
      <c r="Z351" s="7">
        <f>IF(COUNT(D351:U351)=0,"",INDEX($D$1:$U$1,MATCH(MIN(D351:U351),D351:U351,0)))</f>
        <v/>
      </c>
      <c r="AA351" s="8" t="n">
        <v>796.67</v>
      </c>
      <c r="AB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>
        <f>IF(COUNT(D352:U352)=0,"",MIN(D352:U352))</f>
        <v/>
      </c>
      <c r="W352" s="8">
        <f>IF(COUNT(D352:U352)=0,"",MEDIAN(D352:U352))</f>
        <v/>
      </c>
      <c r="X352" s="8">
        <f>IF(COUNT(D352:U352)=0,"",MAX(D352:U352))</f>
        <v/>
      </c>
      <c r="Y352" s="9">
        <f>IF(OR(V352="",V352=0),"",(X352-V352)/V352)</f>
        <v/>
      </c>
      <c r="Z352" s="7">
        <f>IF(COUNT(D352:U352)=0,"",INDEX($D$1:$U$1,MATCH(MIN(D352:U352),D352:U352,0)))</f>
        <v/>
      </c>
      <c r="AA352" s="8" t="n">
        <v>2789.99</v>
      </c>
      <c r="AB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>
        <f>IF(COUNT(D353:U353)=0,"",MIN(D353:U353))</f>
        <v/>
      </c>
      <c r="W353" s="8">
        <f>IF(COUNT(D353:U353)=0,"",MEDIAN(D353:U353))</f>
        <v/>
      </c>
      <c r="X353" s="8">
        <f>IF(COUNT(D353:U353)=0,"",MAX(D353:U353))</f>
        <v/>
      </c>
      <c r="Y353" s="9">
        <f>IF(OR(V353="",V353=0),"",(X353-V353)/V353)</f>
        <v/>
      </c>
      <c r="Z353" s="7">
        <f>IF(COUNT(D353:U353)=0,"",INDEX($D$1:$U$1,MATCH(MIN(D353:U353),D353:U353,0)))</f>
        <v/>
      </c>
      <c r="AA353" s="8" t="n">
        <v>1531.25</v>
      </c>
      <c r="AB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>
        <f>IF(COUNT(D354:U354)=0,"",MIN(D354:U354))</f>
        <v/>
      </c>
      <c r="W354" s="8">
        <f>IF(COUNT(D354:U354)=0,"",MEDIAN(D354:U354))</f>
        <v/>
      </c>
      <c r="X354" s="8">
        <f>IF(COUNT(D354:U354)=0,"",MAX(D354:U354))</f>
        <v/>
      </c>
      <c r="Y354" s="9">
        <f>IF(OR(V354="",V354=0),"",(X354-V354)/V354)</f>
        <v/>
      </c>
      <c r="Z354" s="7">
        <f>IF(COUNT(D354:U354)=0,"",INDEX($D$1:$U$1,MATCH(MIN(D354:U354),D354:U354,0)))</f>
        <v/>
      </c>
      <c r="AA354" s="8" t="n">
        <v>805</v>
      </c>
      <c r="AB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>
        <f>IF(COUNT(D355:U355)=0,"",MIN(D355:U355))</f>
        <v/>
      </c>
      <c r="W355" s="8">
        <f>IF(COUNT(D355:U355)=0,"",MEDIAN(D355:U355))</f>
        <v/>
      </c>
      <c r="X355" s="8">
        <f>IF(COUNT(D355:U355)=0,"",MAX(D355:U355))</f>
        <v/>
      </c>
      <c r="Y355" s="9">
        <f>IF(OR(V355="",V355=0),"",(X355-V355)/V355)</f>
        <v/>
      </c>
      <c r="Z355" s="7">
        <f>IF(COUNT(D355:U355)=0,"",INDEX($D$1:$U$1,MATCH(MIN(D355:U355),D355:U355,0)))</f>
        <v/>
      </c>
      <c r="AA355" s="8" t="n">
        <v>2001.81</v>
      </c>
      <c r="AB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>
        <f>IF(COUNT(D356:U356)=0,"",MIN(D356:U356))</f>
        <v/>
      </c>
      <c r="W356" s="8">
        <f>IF(COUNT(D356:U356)=0,"",MEDIAN(D356:U356))</f>
        <v/>
      </c>
      <c r="X356" s="8">
        <f>IF(COUNT(D356:U356)=0,"",MAX(D356:U356))</f>
        <v/>
      </c>
      <c r="Y356" s="9">
        <f>IF(OR(V356="",V356=0),"",(X356-V356)/V356)</f>
        <v/>
      </c>
      <c r="Z356" s="7">
        <f>IF(COUNT(D356:U356)=0,"",INDEX($D$1:$U$1,MATCH(MIN(D356:U356),D356:U356,0)))</f>
        <v/>
      </c>
      <c r="AA356" s="8" t="n">
        <v>1269.08</v>
      </c>
      <c r="AB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>
        <f>IF(COUNT(D357:U357)=0,"",MIN(D357:U357))</f>
        <v/>
      </c>
      <c r="W357" s="8">
        <f>IF(COUNT(D357:U357)=0,"",MEDIAN(D357:U357))</f>
        <v/>
      </c>
      <c r="X357" s="8">
        <f>IF(COUNT(D357:U357)=0,"",MAX(D357:U357))</f>
        <v/>
      </c>
      <c r="Y357" s="9">
        <f>IF(OR(V357="",V357=0),"",(X357-V357)/V357)</f>
        <v/>
      </c>
      <c r="Z357" s="7">
        <f>IF(COUNT(D357:U357)=0,"",INDEX($D$1:$U$1,MATCH(MIN(D357:U357),D357:U357,0)))</f>
        <v/>
      </c>
      <c r="AA357" s="8" t="n">
        <v>955.09</v>
      </c>
      <c r="AB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>
        <f>IF(COUNT(D358:U358)=0,"",MIN(D358:U358))</f>
        <v/>
      </c>
      <c r="W358" s="8">
        <f>IF(COUNT(D358:U358)=0,"",MEDIAN(D358:U358))</f>
        <v/>
      </c>
      <c r="X358" s="8">
        <f>IF(COUNT(D358:U358)=0,"",MAX(D358:U358))</f>
        <v/>
      </c>
      <c r="Y358" s="9">
        <f>IF(OR(V358="",V358=0),"",(X358-V358)/V358)</f>
        <v/>
      </c>
      <c r="Z358" s="7">
        <f>IF(COUNT(D358:U358)=0,"",INDEX($D$1:$U$1,MATCH(MIN(D358:U358),D358:U358,0)))</f>
        <v/>
      </c>
      <c r="AA358" s="8" t="n">
        <v>2956.72</v>
      </c>
      <c r="AB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>
        <f>IF(COUNT(D359:U359)=0,"",MIN(D359:U359))</f>
        <v/>
      </c>
      <c r="W359" s="8">
        <f>IF(COUNT(D359:U359)=0,"",MEDIAN(D359:U359))</f>
        <v/>
      </c>
      <c r="X359" s="8">
        <f>IF(COUNT(D359:U359)=0,"",MAX(D359:U359))</f>
        <v/>
      </c>
      <c r="Y359" s="9">
        <f>IF(OR(V359="",V359=0),"",(X359-V359)/V359)</f>
        <v/>
      </c>
      <c r="Z359" s="7">
        <f>IF(COUNT(D359:U359)=0,"",INDEX($D$1:$U$1,MATCH(MIN(D359:U359),D359:U359,0)))</f>
        <v/>
      </c>
      <c r="AA359" s="8" t="n">
        <v>3297.03</v>
      </c>
      <c r="AB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>
        <f>IF(COUNT(D360:U360)=0,"",MIN(D360:U360))</f>
        <v/>
      </c>
      <c r="W360" s="8">
        <f>IF(COUNT(D360:U360)=0,"",MEDIAN(D360:U360))</f>
        <v/>
      </c>
      <c r="X360" s="8">
        <f>IF(COUNT(D360:U360)=0,"",MAX(D360:U360))</f>
        <v/>
      </c>
      <c r="Y360" s="9">
        <f>IF(OR(V360="",V360=0),"",(X360-V360)/V360)</f>
        <v/>
      </c>
      <c r="Z360" s="7">
        <f>IF(COUNT(D360:U360)=0,"",INDEX($D$1:$U$1,MATCH(MIN(D360:U360),D360:U360,0)))</f>
        <v/>
      </c>
      <c r="AA360" s="8" t="n">
        <v>1510.06</v>
      </c>
      <c r="AB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>
        <f>IF(COUNT(D361:U361)=0,"",MIN(D361:U361))</f>
        <v/>
      </c>
      <c r="W361" s="8">
        <f>IF(COUNT(D361:U361)=0,"",MEDIAN(D361:U361))</f>
        <v/>
      </c>
      <c r="X361" s="8">
        <f>IF(COUNT(D361:U361)=0,"",MAX(D361:U361))</f>
        <v/>
      </c>
      <c r="Y361" s="9">
        <f>IF(OR(V361="",V361=0),"",(X361-V361)/V361)</f>
        <v/>
      </c>
      <c r="Z361" s="7">
        <f>IF(COUNT(D361:U361)=0,"",INDEX($D$1:$U$1,MATCH(MIN(D361:U361),D361:U361,0)))</f>
        <v/>
      </c>
      <c r="AA361" s="8" t="n">
        <v>1949.98</v>
      </c>
      <c r="AB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>
        <f>IF(COUNT(D362:U362)=0,"",MIN(D362:U362))</f>
        <v/>
      </c>
      <c r="W362" s="8">
        <f>IF(COUNT(D362:U362)=0,"",MEDIAN(D362:U362))</f>
        <v/>
      </c>
      <c r="X362" s="8">
        <f>IF(COUNT(D362:U362)=0,"",MAX(D362:U362))</f>
        <v/>
      </c>
      <c r="Y362" s="9">
        <f>IF(OR(V362="",V362=0),"",(X362-V362)/V362)</f>
        <v/>
      </c>
      <c r="Z362" s="7">
        <f>IF(COUNT(D362:U362)=0,"",INDEX($D$1:$U$1,MATCH(MIN(D362:U362),D362:U362,0)))</f>
        <v/>
      </c>
      <c r="AA362" s="8" t="n">
        <v>1798</v>
      </c>
      <c r="AB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>
        <f>IF(COUNT(D363:U363)=0,"",MIN(D363:U363))</f>
        <v/>
      </c>
      <c r="W363" s="8">
        <f>IF(COUNT(D363:U363)=0,"",MEDIAN(D363:U363))</f>
        <v/>
      </c>
      <c r="X363" s="8">
        <f>IF(COUNT(D363:U363)=0,"",MAX(D363:U363))</f>
        <v/>
      </c>
      <c r="Y363" s="9">
        <f>IF(OR(V363="",V363=0),"",(X363-V363)/V363)</f>
        <v/>
      </c>
      <c r="Z363" s="7">
        <f>IF(COUNT(D363:U363)=0,"",INDEX($D$1:$U$1,MATCH(MIN(D363:U363),D363:U363,0)))</f>
        <v/>
      </c>
      <c r="AA363" s="8" t="n">
        <v>1753.98</v>
      </c>
      <c r="AB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>
        <f>IF(COUNT(D364:U364)=0,"",MIN(D364:U364))</f>
        <v/>
      </c>
      <c r="W364" s="8">
        <f>IF(COUNT(D364:U364)=0,"",MEDIAN(D364:U364))</f>
        <v/>
      </c>
      <c r="X364" s="8">
        <f>IF(COUNT(D364:U364)=0,"",MAX(D364:U364))</f>
        <v/>
      </c>
      <c r="Y364" s="9">
        <f>IF(OR(V364="",V364=0),"",(X364-V364)/V364)</f>
        <v/>
      </c>
      <c r="Z364" s="7">
        <f>IF(COUNT(D364:U364)=0,"",INDEX($D$1:$U$1,MATCH(MIN(D364:U364),D364:U364,0)))</f>
        <v/>
      </c>
      <c r="AA364" s="8" t="n">
        <v>2249.99</v>
      </c>
      <c r="AB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>
        <f>IF(COUNT(D365:U365)=0,"",MIN(D365:U365))</f>
        <v/>
      </c>
      <c r="W365" s="8">
        <f>IF(COUNT(D365:U365)=0,"",MEDIAN(D365:U365))</f>
        <v/>
      </c>
      <c r="X365" s="8">
        <f>IF(COUNT(D365:U365)=0,"",MAX(D365:U365))</f>
        <v/>
      </c>
      <c r="Y365" s="9">
        <f>IF(OR(V365="",V365=0),"",(X365-V365)/V365)</f>
        <v/>
      </c>
      <c r="Z365" s="7">
        <f>IF(COUNT(D365:U365)=0,"",INDEX($D$1:$U$1,MATCH(MIN(D365:U365),D365:U365,0)))</f>
        <v/>
      </c>
      <c r="AA365" s="8" t="n">
        <v>2394.87</v>
      </c>
      <c r="AB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>
        <f>IF(COUNT(D366:U366)=0,"",MIN(D366:U366))</f>
        <v/>
      </c>
      <c r="W366" s="8">
        <f>IF(COUNT(D366:U366)=0,"",MEDIAN(D366:U366))</f>
        <v/>
      </c>
      <c r="X366" s="8">
        <f>IF(COUNT(D366:U366)=0,"",MAX(D366:U366))</f>
        <v/>
      </c>
      <c r="Y366" s="9">
        <f>IF(OR(V366="",V366=0),"",(X366-V366)/V366)</f>
        <v/>
      </c>
      <c r="Z366" s="7">
        <f>IF(COUNT(D366:U366)=0,"",INDEX($D$1:$U$1,MATCH(MIN(D366:U366),D366:U366,0)))</f>
        <v/>
      </c>
      <c r="AA366" s="8" t="n">
        <v>3368.11</v>
      </c>
      <c r="AB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>
        <f>IF(COUNT(D367:U367)=0,"",MIN(D367:U367))</f>
        <v/>
      </c>
      <c r="W367" s="8">
        <f>IF(COUNT(D367:U367)=0,"",MEDIAN(D367:U367))</f>
        <v/>
      </c>
      <c r="X367" s="8">
        <f>IF(COUNT(D367:U367)=0,"",MAX(D367:U367))</f>
        <v/>
      </c>
      <c r="Y367" s="9">
        <f>IF(OR(V367="",V367=0),"",(X367-V367)/V367)</f>
        <v/>
      </c>
      <c r="Z367" s="7">
        <f>IF(COUNT(D367:U367)=0,"",INDEX($D$1:$U$1,MATCH(MIN(D367:U367),D367:U367,0)))</f>
        <v/>
      </c>
      <c r="AA367" s="8" t="n">
        <v>3834.91</v>
      </c>
      <c r="AB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>
        <f>IF(COUNT(D368:U368)=0,"",MIN(D368:U368))</f>
        <v/>
      </c>
      <c r="W368" s="8">
        <f>IF(COUNT(D368:U368)=0,"",MEDIAN(D368:U368))</f>
        <v/>
      </c>
      <c r="X368" s="8">
        <f>IF(COUNT(D368:U368)=0,"",MAX(D368:U368))</f>
        <v/>
      </c>
      <c r="Y368" s="9">
        <f>IF(OR(V368="",V368=0),"",(X368-V368)/V368)</f>
        <v/>
      </c>
      <c r="Z368" s="7">
        <f>IF(COUNT(D368:U368)=0,"",INDEX($D$1:$U$1,MATCH(MIN(D368:U368),D368:U368,0)))</f>
        <v/>
      </c>
      <c r="AA368" s="8" t="n">
        <v>760.16</v>
      </c>
      <c r="AB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>
        <f>IF(COUNT(D369:U369)=0,"",MIN(D369:U369))</f>
        <v/>
      </c>
      <c r="W369" s="8">
        <f>IF(COUNT(D369:U369)=0,"",MEDIAN(D369:U369))</f>
        <v/>
      </c>
      <c r="X369" s="8">
        <f>IF(COUNT(D369:U369)=0,"",MAX(D369:U369))</f>
        <v/>
      </c>
      <c r="Y369" s="9">
        <f>IF(OR(V369="",V369=0),"",(X369-V369)/V369)</f>
        <v/>
      </c>
      <c r="Z369" s="7">
        <f>IF(COUNT(D369:U369)=0,"",INDEX($D$1:$U$1,MATCH(MIN(D369:U369),D369:U369,0)))</f>
        <v/>
      </c>
      <c r="AA369" s="8" t="n">
        <v>1035.48</v>
      </c>
      <c r="AB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>
        <f>IF(COUNT(D370:U370)=0,"",MIN(D370:U370))</f>
        <v/>
      </c>
      <c r="W370" s="8">
        <f>IF(COUNT(D370:U370)=0,"",MEDIAN(D370:U370))</f>
        <v/>
      </c>
      <c r="X370" s="8">
        <f>IF(COUNT(D370:U370)=0,"",MAX(D370:U370))</f>
        <v/>
      </c>
      <c r="Y370" s="9">
        <f>IF(OR(V370="",V370=0),"",(X370-V370)/V370)</f>
        <v/>
      </c>
      <c r="Z370" s="7">
        <f>IF(COUNT(D370:U370)=0,"",INDEX($D$1:$U$1,MATCH(MIN(D370:U370),D370:U370,0)))</f>
        <v/>
      </c>
      <c r="AA370" s="8" t="n">
        <v>777.65</v>
      </c>
      <c r="AB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>
        <f>IF(COUNT(D371:U371)=0,"",MIN(D371:U371))</f>
        <v/>
      </c>
      <c r="W371" s="8">
        <f>IF(COUNT(D371:U371)=0,"",MEDIAN(D371:U371))</f>
        <v/>
      </c>
      <c r="X371" s="8">
        <f>IF(COUNT(D371:U371)=0,"",MAX(D371:U371))</f>
        <v/>
      </c>
      <c r="Y371" s="9">
        <f>IF(OR(V371="",V371=0),"",(X371-V371)/V371)</f>
        <v/>
      </c>
      <c r="Z371" s="7">
        <f>IF(COUNT(D371:U371)=0,"",INDEX($D$1:$U$1,MATCH(MIN(D371:U371),D371:U371,0)))</f>
        <v/>
      </c>
      <c r="AA371" s="8" t="n">
        <v>1344.49</v>
      </c>
      <c r="AB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>
        <f>IF(COUNT(D372:U372)=0,"",MIN(D372:U372))</f>
        <v/>
      </c>
      <c r="W372" s="8">
        <f>IF(COUNT(D372:U372)=0,"",MEDIAN(D372:U372))</f>
        <v/>
      </c>
      <c r="X372" s="8">
        <f>IF(COUNT(D372:U372)=0,"",MAX(D372:U372))</f>
        <v/>
      </c>
      <c r="Y372" s="9">
        <f>IF(OR(V372="",V372=0),"",(X372-V372)/V372)</f>
        <v/>
      </c>
      <c r="Z372" s="7">
        <f>IF(COUNT(D372:U372)=0,"",INDEX($D$1:$U$1,MATCH(MIN(D372:U372),D372:U372,0)))</f>
        <v/>
      </c>
      <c r="AA372" s="8" t="n">
        <v>1349.62</v>
      </c>
      <c r="AB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>
        <f>IF(COUNT(D373:U373)=0,"",MIN(D373:U373))</f>
        <v/>
      </c>
      <c r="W373" s="8">
        <f>IF(COUNT(D373:U373)=0,"",MEDIAN(D373:U373))</f>
        <v/>
      </c>
      <c r="X373" s="8">
        <f>IF(COUNT(D373:U373)=0,"",MAX(D373:U373))</f>
        <v/>
      </c>
      <c r="Y373" s="9">
        <f>IF(OR(V373="",V373=0),"",(X373-V373)/V373)</f>
        <v/>
      </c>
      <c r="Z373" s="7">
        <f>IF(COUNT(D373:U373)=0,"",INDEX($D$1:$U$1,MATCH(MIN(D373:U373),D373:U373,0)))</f>
        <v/>
      </c>
      <c r="AA373" s="8" t="n">
        <v>1190</v>
      </c>
      <c r="AB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>
        <f>IF(COUNT(D374:U374)=0,"",MIN(D374:U374))</f>
        <v/>
      </c>
      <c r="W374" s="8">
        <f>IF(COUNT(D374:U374)=0,"",MEDIAN(D374:U374))</f>
        <v/>
      </c>
      <c r="X374" s="8">
        <f>IF(COUNT(D374:U374)=0,"",MAX(D374:U374))</f>
        <v/>
      </c>
      <c r="Y374" s="9">
        <f>IF(OR(V374="",V374=0),"",(X374-V374)/V374)</f>
        <v/>
      </c>
      <c r="Z374" s="7">
        <f>IF(COUNT(D374:U374)=0,"",INDEX($D$1:$U$1,MATCH(MIN(D374:U374),D374:U374,0)))</f>
        <v/>
      </c>
      <c r="AA374" s="8" t="n">
        <v>983.85</v>
      </c>
      <c r="AB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>
        <f>IF(COUNT(D375:U375)=0,"",MIN(D375:U375))</f>
        <v/>
      </c>
      <c r="W375" s="8">
        <f>IF(COUNT(D375:U375)=0,"",MEDIAN(D375:U375))</f>
        <v/>
      </c>
      <c r="X375" s="8">
        <f>IF(COUNT(D375:U375)=0,"",MAX(D375:U375))</f>
        <v/>
      </c>
      <c r="Y375" s="9">
        <f>IF(OR(V375="",V375=0),"",(X375-V375)/V375)</f>
        <v/>
      </c>
      <c r="Z375" s="7">
        <f>IF(COUNT(D375:U375)=0,"",INDEX($D$1:$U$1,MATCH(MIN(D375:U375),D375:U375,0)))</f>
        <v/>
      </c>
      <c r="AA375" s="8" t="n">
        <v>1035.67</v>
      </c>
      <c r="AB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>
        <f>IF(COUNT(D376:U376)=0,"",MIN(D376:U376))</f>
        <v/>
      </c>
      <c r="W376" s="8">
        <f>IF(COUNT(D376:U376)=0,"",MEDIAN(D376:U376))</f>
        <v/>
      </c>
      <c r="X376" s="8">
        <f>IF(COUNT(D376:U376)=0,"",MAX(D376:U376))</f>
        <v/>
      </c>
      <c r="Y376" s="9">
        <f>IF(OR(V376="",V376=0),"",(X376-V376)/V376)</f>
        <v/>
      </c>
      <c r="Z376" s="7">
        <f>IF(COUNT(D376:U376)=0,"",INDEX($D$1:$U$1,MATCH(MIN(D376:U376),D376:U376,0)))</f>
        <v/>
      </c>
      <c r="AA376" s="8" t="n">
        <v>2473.17</v>
      </c>
      <c r="AB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>
        <f>IF(COUNT(D377:U377)=0,"",MIN(D377:U377))</f>
        <v/>
      </c>
      <c r="W377" s="8">
        <f>IF(COUNT(D377:U377)=0,"",MEDIAN(D377:U377))</f>
        <v/>
      </c>
      <c r="X377" s="8">
        <f>IF(COUNT(D377:U377)=0,"",MAX(D377:U377))</f>
        <v/>
      </c>
      <c r="Y377" s="9">
        <f>IF(OR(V377="",V377=0),"",(X377-V377)/V377)</f>
        <v/>
      </c>
      <c r="Z377" s="7">
        <f>IF(COUNT(D377:U377)=0,"",INDEX($D$1:$U$1,MATCH(MIN(D377:U377),D377:U377,0)))</f>
        <v/>
      </c>
      <c r="AA377" s="8" t="n">
        <v>1187.6</v>
      </c>
      <c r="AB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>
        <f>IF(COUNT(D378:U378)=0,"",MIN(D378:U378))</f>
        <v/>
      </c>
      <c r="W378" s="8">
        <f>IF(COUNT(D378:U378)=0,"",MEDIAN(D378:U378))</f>
        <v/>
      </c>
      <c r="X378" s="8">
        <f>IF(COUNT(D378:U378)=0,"",MAX(D378:U378))</f>
        <v/>
      </c>
      <c r="Y378" s="9">
        <f>IF(OR(V378="",V378=0),"",(X378-V378)/V378)</f>
        <v/>
      </c>
      <c r="Z378" s="7">
        <f>IF(COUNT(D378:U378)=0,"",INDEX($D$1:$U$1,MATCH(MIN(D378:U378),D378:U378,0)))</f>
        <v/>
      </c>
      <c r="AA378" s="8" t="n">
        <v>1619.97</v>
      </c>
      <c r="AB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>
        <f>IF(COUNT(D379:U379)=0,"",MIN(D379:U379))</f>
        <v/>
      </c>
      <c r="W379" s="8">
        <f>IF(COUNT(D379:U379)=0,"",MEDIAN(D379:U379))</f>
        <v/>
      </c>
      <c r="X379" s="8">
        <f>IF(COUNT(D379:U379)=0,"",MAX(D379:U379))</f>
        <v/>
      </c>
      <c r="Y379" s="9">
        <f>IF(OR(V379="",V379=0),"",(X379-V379)/V379)</f>
        <v/>
      </c>
      <c r="Z379" s="7">
        <f>IF(COUNT(D379:U379)=0,"",INDEX($D$1:$U$1,MATCH(MIN(D379:U379),D379:U379,0)))</f>
        <v/>
      </c>
      <c r="AA379" s="8" t="n">
        <v>1636.87</v>
      </c>
      <c r="AB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>
        <f>IF(COUNT(D380:U380)=0,"",MIN(D380:U380))</f>
        <v/>
      </c>
      <c r="W380" s="8">
        <f>IF(COUNT(D380:U380)=0,"",MEDIAN(D380:U380))</f>
        <v/>
      </c>
      <c r="X380" s="8">
        <f>IF(COUNT(D380:U380)=0,"",MAX(D380:U380))</f>
        <v/>
      </c>
      <c r="Y380" s="9">
        <f>IF(OR(V380="",V380=0),"",(X380-V380)/V380)</f>
        <v/>
      </c>
      <c r="Z380" s="7">
        <f>IF(COUNT(D380:U380)=0,"",INDEX($D$1:$U$1,MATCH(MIN(D380:U380),D380:U380,0)))</f>
        <v/>
      </c>
      <c r="AA380" s="8" t="n">
        <v>1935.46</v>
      </c>
      <c r="AB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>
        <f>IF(COUNT(D381:U381)=0,"",MIN(D381:U381))</f>
        <v/>
      </c>
      <c r="W381" s="8">
        <f>IF(COUNT(D381:U381)=0,"",MEDIAN(D381:U381))</f>
        <v/>
      </c>
      <c r="X381" s="8">
        <f>IF(COUNT(D381:U381)=0,"",MAX(D381:U381))</f>
        <v/>
      </c>
      <c r="Y381" s="9">
        <f>IF(OR(V381="",V381=0),"",(X381-V381)/V381)</f>
        <v/>
      </c>
      <c r="Z381" s="7">
        <f>IF(COUNT(D381:U381)=0,"",INDEX($D$1:$U$1,MATCH(MIN(D381:U381),D381:U381,0)))</f>
        <v/>
      </c>
      <c r="AA381" s="8" t="n">
        <v>2196.18</v>
      </c>
      <c r="AB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>
        <f>IF(COUNT(D382:U382)=0,"",MIN(D382:U382))</f>
        <v/>
      </c>
      <c r="W382" s="8">
        <f>IF(COUNT(D382:U382)=0,"",MEDIAN(D382:U382))</f>
        <v/>
      </c>
      <c r="X382" s="8">
        <f>IF(COUNT(D382:U382)=0,"",MAX(D382:U382))</f>
        <v/>
      </c>
      <c r="Y382" s="9">
        <f>IF(OR(V382="",V382=0),"",(X382-V382)/V382)</f>
        <v/>
      </c>
      <c r="Z382" s="7">
        <f>IF(COUNT(D382:U382)=0,"",INDEX($D$1:$U$1,MATCH(MIN(D382:U382),D382:U382,0)))</f>
        <v/>
      </c>
      <c r="AA382" s="8" t="n">
        <v>1493.28</v>
      </c>
      <c r="AB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>
        <f>IF(COUNT(D383:U383)=0,"",MIN(D383:U383))</f>
        <v/>
      </c>
      <c r="W383" s="8">
        <f>IF(COUNT(D383:U383)=0,"",MEDIAN(D383:U383))</f>
        <v/>
      </c>
      <c r="X383" s="8">
        <f>IF(COUNT(D383:U383)=0,"",MAX(D383:U383))</f>
        <v/>
      </c>
      <c r="Y383" s="9">
        <f>IF(OR(V383="",V383=0),"",(X383-V383)/V383)</f>
        <v/>
      </c>
      <c r="Z383" s="7">
        <f>IF(COUNT(D383:U383)=0,"",INDEX($D$1:$U$1,MATCH(MIN(D383:U383),D383:U383,0)))</f>
        <v/>
      </c>
      <c r="AA383" s="8" t="n">
        <v>1801.82</v>
      </c>
      <c r="AB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>
        <f>IF(COUNT(D384:U384)=0,"",MIN(D384:U384))</f>
        <v/>
      </c>
      <c r="W384" s="8">
        <f>IF(COUNT(D384:U384)=0,"",MEDIAN(D384:U384))</f>
        <v/>
      </c>
      <c r="X384" s="8">
        <f>IF(COUNT(D384:U384)=0,"",MAX(D384:U384))</f>
        <v/>
      </c>
      <c r="Y384" s="9">
        <f>IF(OR(V384="",V384=0),"",(X384-V384)/V384)</f>
        <v/>
      </c>
      <c r="Z384" s="7">
        <f>IF(COUNT(D384:U384)=0,"",INDEX($D$1:$U$1,MATCH(MIN(D384:U384),D384:U384,0)))</f>
        <v/>
      </c>
      <c r="AA384" s="8" t="n">
        <v>2242</v>
      </c>
      <c r="AB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>
        <f>IF(COUNT(D385:U385)=0,"",MIN(D385:U385))</f>
        <v/>
      </c>
      <c r="W385" s="8">
        <f>IF(COUNT(D385:U385)=0,"",MEDIAN(D385:U385))</f>
        <v/>
      </c>
      <c r="X385" s="8">
        <f>IF(COUNT(D385:U385)=0,"",MAX(D385:U385))</f>
        <v/>
      </c>
      <c r="Y385" s="9">
        <f>IF(OR(V385="",V385=0),"",(X385-V385)/V385)</f>
        <v/>
      </c>
      <c r="Z385" s="7">
        <f>IF(COUNT(D385:U385)=0,"",INDEX($D$1:$U$1,MATCH(MIN(D385:U385),D385:U385,0)))</f>
        <v/>
      </c>
      <c r="AA385" s="8" t="n">
        <v>2885.43</v>
      </c>
      <c r="AB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>
        <f>IF(COUNT(D386:U386)=0,"",MIN(D386:U386))</f>
        <v/>
      </c>
      <c r="W386" s="8">
        <f>IF(COUNT(D386:U386)=0,"",MEDIAN(D386:U386))</f>
        <v/>
      </c>
      <c r="X386" s="8">
        <f>IF(COUNT(D386:U386)=0,"",MAX(D386:U386))</f>
        <v/>
      </c>
      <c r="Y386" s="9">
        <f>IF(OR(V386="",V386=0),"",(X386-V386)/V386)</f>
        <v/>
      </c>
      <c r="Z386" s="7">
        <f>IF(COUNT(D386:U386)=0,"",INDEX($D$1:$U$1,MATCH(MIN(D386:U386),D386:U386,0)))</f>
        <v/>
      </c>
      <c r="AA386" s="8" t="n">
        <v>2095.03</v>
      </c>
      <c r="AB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>
        <f>IF(COUNT(D387:U387)=0,"",MIN(D387:U387))</f>
        <v/>
      </c>
      <c r="W387" s="8">
        <f>IF(COUNT(D387:U387)=0,"",MEDIAN(D387:U387))</f>
        <v/>
      </c>
      <c r="X387" s="8">
        <f>IF(COUNT(D387:U387)=0,"",MAX(D387:U387))</f>
        <v/>
      </c>
      <c r="Y387" s="9">
        <f>IF(OR(V387="",V387=0),"",(X387-V387)/V387)</f>
        <v/>
      </c>
      <c r="Z387" s="7">
        <f>IF(COUNT(D387:U387)=0,"",INDEX($D$1:$U$1,MATCH(MIN(D387:U387),D387:U387,0)))</f>
        <v/>
      </c>
      <c r="AA387" s="8" t="n">
        <v>3697.64</v>
      </c>
      <c r="AB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>
        <f>IF(COUNT(D388:U388)=0,"",MIN(D388:U388))</f>
        <v/>
      </c>
      <c r="W388" s="8">
        <f>IF(COUNT(D388:U388)=0,"",MEDIAN(D388:U388))</f>
        <v/>
      </c>
      <c r="X388" s="8">
        <f>IF(COUNT(D388:U388)=0,"",MAX(D388:U388))</f>
        <v/>
      </c>
      <c r="Y388" s="9">
        <f>IF(OR(V388="",V388=0),"",(X388-V388)/V388)</f>
        <v/>
      </c>
      <c r="Z388" s="7">
        <f>IF(COUNT(D388:U388)=0,"",INDEX($D$1:$U$1,MATCH(MIN(D388:U388),D388:U388,0)))</f>
        <v/>
      </c>
      <c r="AA388" s="8" t="n">
        <v>2098.99</v>
      </c>
      <c r="AB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>
        <f>IF(COUNT(D389:U389)=0,"",MIN(D389:U389))</f>
        <v/>
      </c>
      <c r="W389" s="8">
        <f>IF(COUNT(D389:U389)=0,"",MEDIAN(D389:U389))</f>
        <v/>
      </c>
      <c r="X389" s="8">
        <f>IF(COUNT(D389:U389)=0,"",MAX(D389:U389))</f>
        <v/>
      </c>
      <c r="Y389" s="9">
        <f>IF(OR(V389="",V389=0),"",(X389-V389)/V389)</f>
        <v/>
      </c>
      <c r="Z389" s="7">
        <f>IF(COUNT(D389:U389)=0,"",INDEX($D$1:$U$1,MATCH(MIN(D389:U389),D389:U389,0)))</f>
        <v/>
      </c>
      <c r="AA389" s="8" t="n">
        <v>2629.95</v>
      </c>
      <c r="AB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>
        <f>IF(COUNT(D390:U390)=0,"",MIN(D390:U390))</f>
        <v/>
      </c>
      <c r="W390" s="8">
        <f>IF(COUNT(D390:U390)=0,"",MEDIAN(D390:U390))</f>
        <v/>
      </c>
      <c r="X390" s="8">
        <f>IF(COUNT(D390:U390)=0,"",MAX(D390:U390))</f>
        <v/>
      </c>
      <c r="Y390" s="9">
        <f>IF(OR(V390="",V390=0),"",(X390-V390)/V390)</f>
        <v/>
      </c>
      <c r="Z390" s="7">
        <f>IF(COUNT(D390:U390)=0,"",INDEX($D$1:$U$1,MATCH(MIN(D390:U390),D390:U390,0)))</f>
        <v/>
      </c>
      <c r="AA390" s="8" t="n">
        <v>2406.36</v>
      </c>
      <c r="AB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>
        <f>IF(COUNT(D391:U391)=0,"",MIN(D391:U391))</f>
        <v/>
      </c>
      <c r="W391" s="8">
        <f>IF(COUNT(D391:U391)=0,"",MEDIAN(D391:U391))</f>
        <v/>
      </c>
      <c r="X391" s="8">
        <f>IF(COUNT(D391:U391)=0,"",MAX(D391:U391))</f>
        <v/>
      </c>
      <c r="Y391" s="9">
        <f>IF(OR(V391="",V391=0),"",(X391-V391)/V391)</f>
        <v/>
      </c>
      <c r="Z391" s="7">
        <f>IF(COUNT(D391:U391)=0,"",INDEX($D$1:$U$1,MATCH(MIN(D391:U391),D391:U391,0)))</f>
        <v/>
      </c>
      <c r="AA391" s="8" t="n">
        <v>5709.64</v>
      </c>
      <c r="AB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>
        <f>IF(COUNT(D392:U392)=0,"",MIN(D392:U392))</f>
        <v/>
      </c>
      <c r="W392" s="8">
        <f>IF(COUNT(D392:U392)=0,"",MEDIAN(D392:U392))</f>
        <v/>
      </c>
      <c r="X392" s="8">
        <f>IF(COUNT(D392:U392)=0,"",MAX(D392:U392))</f>
        <v/>
      </c>
      <c r="Y392" s="9">
        <f>IF(OR(V392="",V392=0),"",(X392-V392)/V392)</f>
        <v/>
      </c>
      <c r="Z392" s="7">
        <f>IF(COUNT(D392:U392)=0,"",INDEX($D$1:$U$1,MATCH(MIN(D392:U392),D392:U392,0)))</f>
        <v/>
      </c>
      <c r="AA392" s="8" t="n">
        <v>3376.66</v>
      </c>
      <c r="AB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>
        <f>IF(COUNT(D393:U393)=0,"",MIN(D393:U393))</f>
        <v/>
      </c>
      <c r="W393" s="8">
        <f>IF(COUNT(D393:U393)=0,"",MEDIAN(D393:U393))</f>
        <v/>
      </c>
      <c r="X393" s="8">
        <f>IF(COUNT(D393:U393)=0,"",MAX(D393:U393))</f>
        <v/>
      </c>
      <c r="Y393" s="9">
        <f>IF(OR(V393="",V393=0),"",(X393-V393)/V393)</f>
        <v/>
      </c>
      <c r="Z393" s="7">
        <f>IF(COUNT(D393:U393)=0,"",INDEX($D$1:$U$1,MATCH(MIN(D393:U393),D393:U393,0)))</f>
        <v/>
      </c>
      <c r="AA393" s="8" t="n">
        <v>2449.22</v>
      </c>
      <c r="AB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>
        <f>IF(COUNT(D394:U394)=0,"",MIN(D394:U394))</f>
        <v/>
      </c>
      <c r="W394" s="8">
        <f>IF(COUNT(D394:U394)=0,"",MEDIAN(D394:U394))</f>
        <v/>
      </c>
      <c r="X394" s="8">
        <f>IF(COUNT(D394:U394)=0,"",MAX(D394:U394))</f>
        <v/>
      </c>
      <c r="Y394" s="9">
        <f>IF(OR(V394="",V394=0),"",(X394-V394)/V394)</f>
        <v/>
      </c>
      <c r="Z394" s="7">
        <f>IF(COUNT(D394:U394)=0,"",INDEX($D$1:$U$1,MATCH(MIN(D394:U394),D394:U394,0)))</f>
        <v/>
      </c>
      <c r="AA394" s="8" t="n">
        <v>7223.87</v>
      </c>
      <c r="AB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>
        <f>IF(COUNT(D395:U395)=0,"",MIN(D395:U395))</f>
        <v/>
      </c>
      <c r="W395" s="8">
        <f>IF(COUNT(D395:U395)=0,"",MEDIAN(D395:U395))</f>
        <v/>
      </c>
      <c r="X395" s="8">
        <f>IF(COUNT(D395:U395)=0,"",MAX(D395:U395))</f>
        <v/>
      </c>
      <c r="Y395" s="9">
        <f>IF(OR(V395="",V395=0),"",(X395-V395)/V395)</f>
        <v/>
      </c>
      <c r="Z395" s="7">
        <f>IF(COUNT(D395:U395)=0,"",INDEX($D$1:$U$1,MATCH(MIN(D395:U395),D395:U395,0)))</f>
        <v/>
      </c>
      <c r="AA395" s="8" t="n">
        <v>5758.12</v>
      </c>
      <c r="AB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>
        <f>IF(COUNT(D396:U396)=0,"",MIN(D396:U396))</f>
        <v/>
      </c>
      <c r="W396" s="8">
        <f>IF(COUNT(D396:U396)=0,"",MEDIAN(D396:U396))</f>
        <v/>
      </c>
      <c r="X396" s="8">
        <f>IF(COUNT(D396:U396)=0,"",MAX(D396:U396))</f>
        <v/>
      </c>
      <c r="Y396" s="9">
        <f>IF(OR(V396="",V396=0),"",(X396-V396)/V396)</f>
        <v/>
      </c>
      <c r="Z396" s="7">
        <f>IF(COUNT(D396:U396)=0,"",INDEX($D$1:$U$1,MATCH(MIN(D396:U396),D396:U396,0)))</f>
        <v/>
      </c>
      <c r="AA396" s="8" t="n">
        <v>7278.68</v>
      </c>
      <c r="AB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>
        <f>IF(COUNT(D397:U397)=0,"",MIN(D397:U397))</f>
        <v/>
      </c>
      <c r="W397" s="8">
        <f>IF(COUNT(D397:U397)=0,"",MEDIAN(D397:U397))</f>
        <v/>
      </c>
      <c r="X397" s="8">
        <f>IF(COUNT(D397:U397)=0,"",MAX(D397:U397))</f>
        <v/>
      </c>
      <c r="Y397" s="9">
        <f>IF(OR(V397="",V397=0),"",(X397-V397)/V397)</f>
        <v/>
      </c>
      <c r="Z397" s="7">
        <f>IF(COUNT(D397:U397)=0,"",INDEX($D$1:$U$1,MATCH(MIN(D397:U397),D397:U397,0)))</f>
        <v/>
      </c>
      <c r="AA397" s="8" t="n">
        <v>2835.14</v>
      </c>
      <c r="AB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>
        <f>IF(COUNT(D398:U398)=0,"",MIN(D398:U398))</f>
        <v/>
      </c>
      <c r="W398" s="8">
        <f>IF(COUNT(D398:U398)=0,"",MEDIAN(D398:U398))</f>
        <v/>
      </c>
      <c r="X398" s="8">
        <f>IF(COUNT(D398:U398)=0,"",MAX(D398:U398))</f>
        <v/>
      </c>
      <c r="Y398" s="9">
        <f>IF(OR(V398="",V398=0),"",(X398-V398)/V398)</f>
        <v/>
      </c>
      <c r="Z398" s="7">
        <f>IF(COUNT(D398:U398)=0,"",INDEX($D$1:$U$1,MATCH(MIN(D398:U398),D398:U398,0)))</f>
        <v/>
      </c>
      <c r="AA398" s="8" t="n">
        <v>2649.01</v>
      </c>
      <c r="AB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>
        <f>IF(COUNT(D399:U399)=0,"",MIN(D399:U399))</f>
        <v/>
      </c>
      <c r="W399" s="8">
        <f>IF(COUNT(D399:U399)=0,"",MEDIAN(D399:U399))</f>
        <v/>
      </c>
      <c r="X399" s="8">
        <f>IF(COUNT(D399:U399)=0,"",MAX(D399:U399))</f>
        <v/>
      </c>
      <c r="Y399" s="9">
        <f>IF(OR(V399="",V399=0),"",(X399-V399)/V399)</f>
        <v/>
      </c>
      <c r="Z399" s="7">
        <f>IF(COUNT(D399:U399)=0,"",INDEX($D$1:$U$1,MATCH(MIN(D399:U399),D399:U399,0)))</f>
        <v/>
      </c>
      <c r="AA399" s="8" t="n">
        <v>7262.22</v>
      </c>
      <c r="AB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>
        <f>IF(COUNT(D400:U400)=0,"",MIN(D400:U400))</f>
        <v/>
      </c>
      <c r="W400" s="8">
        <f>IF(COUNT(D400:U400)=0,"",MEDIAN(D400:U400))</f>
        <v/>
      </c>
      <c r="X400" s="8">
        <f>IF(COUNT(D400:U400)=0,"",MAX(D400:U400))</f>
        <v/>
      </c>
      <c r="Y400" s="9">
        <f>IF(OR(V400="",V400=0),"",(X400-V400)/V400)</f>
        <v/>
      </c>
      <c r="Z400" s="7">
        <f>IF(COUNT(D400:U400)=0,"",INDEX($D$1:$U$1,MATCH(MIN(D400:U400),D400:U400,0)))</f>
        <v/>
      </c>
      <c r="AA400" s="8" t="n">
        <v>9310.93</v>
      </c>
      <c r="AB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>
        <f>IF(COUNT(D401:U401)=0,"",MIN(D401:U401))</f>
        <v/>
      </c>
      <c r="W401" s="8">
        <f>IF(COUNT(D401:U401)=0,"",MEDIAN(D401:U401))</f>
        <v/>
      </c>
      <c r="X401" s="8">
        <f>IF(COUNT(D401:U401)=0,"",MAX(D401:U401))</f>
        <v/>
      </c>
      <c r="Y401" s="9">
        <f>IF(OR(V401="",V401=0),"",(X401-V401)/V401)</f>
        <v/>
      </c>
      <c r="Z401" s="7">
        <f>IF(COUNT(D401:U401)=0,"",INDEX($D$1:$U$1,MATCH(MIN(D401:U401),D401:U401,0)))</f>
        <v/>
      </c>
      <c r="AA401" s="8" t="n">
        <v>14792.34</v>
      </c>
      <c r="AB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>
        <f>IF(COUNT(D402:U402)=0,"",MIN(D402:U402))</f>
        <v/>
      </c>
      <c r="W402" s="8">
        <f>IF(COUNT(D402:U402)=0,"",MEDIAN(D402:U402))</f>
        <v/>
      </c>
      <c r="X402" s="8">
        <f>IF(COUNT(D402:U402)=0,"",MAX(D402:U402))</f>
        <v/>
      </c>
      <c r="Y402" s="9">
        <f>IF(OR(V402="",V402=0),"",(X402-V402)/V402)</f>
        <v/>
      </c>
      <c r="Z402" s="7">
        <f>IF(COUNT(D402:U402)=0,"",INDEX($D$1:$U$1,MATCH(MIN(D402:U402),D402:U402,0)))</f>
        <v/>
      </c>
      <c r="AA402" s="8" t="n">
        <v>764.38</v>
      </c>
      <c r="AB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>
        <f>IF(COUNT(D403:U403)=0,"",MIN(D403:U403))</f>
        <v/>
      </c>
      <c r="W403" s="8">
        <f>IF(COUNT(D403:U403)=0,"",MEDIAN(D403:U403))</f>
        <v/>
      </c>
      <c r="X403" s="8">
        <f>IF(COUNT(D403:U403)=0,"",MAX(D403:U403))</f>
        <v/>
      </c>
      <c r="Y403" s="9">
        <f>IF(OR(V403="",V403=0),"",(X403-V403)/V403)</f>
        <v/>
      </c>
      <c r="Z403" s="7">
        <f>IF(COUNT(D403:U403)=0,"",INDEX($D$1:$U$1,MATCH(MIN(D403:U403),D403:U403,0)))</f>
        <v/>
      </c>
      <c r="AA403" s="8" t="n">
        <v>839.97</v>
      </c>
      <c r="AB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>
        <f>IF(COUNT(D404:U404)=0,"",MIN(D404:U404))</f>
        <v/>
      </c>
      <c r="W404" s="8">
        <f>IF(COUNT(D404:U404)=0,"",MEDIAN(D404:U404))</f>
        <v/>
      </c>
      <c r="X404" s="8">
        <f>IF(COUNT(D404:U404)=0,"",MAX(D404:U404))</f>
        <v/>
      </c>
      <c r="Y404" s="9">
        <f>IF(OR(V404="",V404=0),"",(X404-V404)/V404)</f>
        <v/>
      </c>
      <c r="Z404" s="7">
        <f>IF(COUNT(D404:U404)=0,"",INDEX($D$1:$U$1,MATCH(MIN(D404:U404),D404:U404,0)))</f>
        <v/>
      </c>
      <c r="AA404" s="8" t="n">
        <v>2571.44</v>
      </c>
      <c r="AB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>
        <f>IF(COUNT(D405:U405)=0,"",MIN(D405:U405))</f>
        <v/>
      </c>
      <c r="W405" s="8">
        <f>IF(COUNT(D405:U405)=0,"",MEDIAN(D405:U405))</f>
        <v/>
      </c>
      <c r="X405" s="8">
        <f>IF(COUNT(D405:U405)=0,"",MAX(D405:U405))</f>
        <v/>
      </c>
      <c r="Y405" s="9">
        <f>IF(OR(V405="",V405=0),"",(X405-V405)/V405)</f>
        <v/>
      </c>
      <c r="Z405" s="7">
        <f>IF(COUNT(D405:U405)=0,"",INDEX($D$1:$U$1,MATCH(MIN(D405:U405),D405:U405,0)))</f>
        <v/>
      </c>
      <c r="AA405" s="8" t="n">
        <v>482.11</v>
      </c>
      <c r="AB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>
        <f>IF(COUNT(D406:U406)=0,"",MIN(D406:U406))</f>
        <v/>
      </c>
      <c r="W406" s="8">
        <f>IF(COUNT(D406:U406)=0,"",MEDIAN(D406:U406))</f>
        <v/>
      </c>
      <c r="X406" s="8">
        <f>IF(COUNT(D406:U406)=0,"",MAX(D406:U406))</f>
        <v/>
      </c>
      <c r="Y406" s="9">
        <f>IF(OR(V406="",V406=0),"",(X406-V406)/V406)</f>
        <v/>
      </c>
      <c r="Z406" s="7">
        <f>IF(COUNT(D406:U406)=0,"",INDEX($D$1:$U$1,MATCH(MIN(D406:U406),D406:U406,0)))</f>
        <v/>
      </c>
      <c r="AA406" s="8" t="n">
        <v>1371.18</v>
      </c>
      <c r="AB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>
        <f>IF(COUNT(D407:U407)=0,"",MIN(D407:U407))</f>
        <v/>
      </c>
      <c r="W407" s="8">
        <f>IF(COUNT(D407:U407)=0,"",MEDIAN(D407:U407))</f>
        <v/>
      </c>
      <c r="X407" s="8">
        <f>IF(COUNT(D407:U407)=0,"",MAX(D407:U407))</f>
        <v/>
      </c>
      <c r="Y407" s="9">
        <f>IF(OR(V407="",V407=0),"",(X407-V407)/V407)</f>
        <v/>
      </c>
      <c r="Z407" s="7">
        <f>IF(COUNT(D407:U407)=0,"",INDEX($D$1:$U$1,MATCH(MIN(D407:U407),D407:U407,0)))</f>
        <v/>
      </c>
      <c r="AA407" s="8" t="n">
        <v>1318</v>
      </c>
      <c r="AB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>
        <f>IF(COUNT(D408:U408)=0,"",MIN(D408:U408))</f>
        <v/>
      </c>
      <c r="W408" s="8">
        <f>IF(COUNT(D408:U408)=0,"",MEDIAN(D408:U408))</f>
        <v/>
      </c>
      <c r="X408" s="8">
        <f>IF(COUNT(D408:U408)=0,"",MAX(D408:U408))</f>
        <v/>
      </c>
      <c r="Y408" s="9">
        <f>IF(OR(V408="",V408=0),"",(X408-V408)/V408)</f>
        <v/>
      </c>
      <c r="Z408" s="7">
        <f>IF(COUNT(D408:U408)=0,"",INDEX($D$1:$U$1,MATCH(MIN(D408:U408),D408:U408,0)))</f>
        <v/>
      </c>
      <c r="AA408" s="8" t="n">
        <v>1403.05</v>
      </c>
      <c r="AB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>
        <f>IF(COUNT(D409:U409)=0,"",MIN(D409:U409))</f>
        <v/>
      </c>
      <c r="W409" s="8">
        <f>IF(COUNT(D409:U409)=0,"",MEDIAN(D409:U409))</f>
        <v/>
      </c>
      <c r="X409" s="8">
        <f>IF(COUNT(D409:U409)=0,"",MAX(D409:U409))</f>
        <v/>
      </c>
      <c r="Y409" s="9">
        <f>IF(OR(V409="",V409=0),"",(X409-V409)/V409)</f>
        <v/>
      </c>
      <c r="Z409" s="7">
        <f>IF(COUNT(D409:U409)=0,"",INDEX($D$1:$U$1,MATCH(MIN(D409:U409),D409:U409,0)))</f>
        <v/>
      </c>
      <c r="AA409" s="8" t="n">
        <v>1400.04</v>
      </c>
      <c r="AB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>
        <f>IF(COUNT(D410:U410)=0,"",MIN(D410:U410))</f>
        <v/>
      </c>
      <c r="W410" s="8">
        <f>IF(COUNT(D410:U410)=0,"",MEDIAN(D410:U410))</f>
        <v/>
      </c>
      <c r="X410" s="8">
        <f>IF(COUNT(D410:U410)=0,"",MAX(D410:U410))</f>
        <v/>
      </c>
      <c r="Y410" s="9">
        <f>IF(OR(V410="",V410=0),"",(X410-V410)/V410)</f>
        <v/>
      </c>
      <c r="Z410" s="7">
        <f>IF(COUNT(D410:U410)=0,"",INDEX($D$1:$U$1,MATCH(MIN(D410:U410),D410:U410,0)))</f>
        <v/>
      </c>
      <c r="AA410" s="8" t="n">
        <v>1662.02</v>
      </c>
      <c r="AB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>
        <f>IF(COUNT(D411:U411)=0,"",MIN(D411:U411))</f>
        <v/>
      </c>
      <c r="W411" s="8">
        <f>IF(COUNT(D411:U411)=0,"",MEDIAN(D411:U411))</f>
        <v/>
      </c>
      <c r="X411" s="8">
        <f>IF(COUNT(D411:U411)=0,"",MAX(D411:U411))</f>
        <v/>
      </c>
      <c r="Y411" s="9">
        <f>IF(OR(V411="",V411=0),"",(X411-V411)/V411)</f>
        <v/>
      </c>
      <c r="Z411" s="7">
        <f>IF(COUNT(D411:U411)=0,"",INDEX($D$1:$U$1,MATCH(MIN(D411:U411),D411:U411,0)))</f>
        <v/>
      </c>
      <c r="AA411" s="8" t="n">
        <v>1835.57</v>
      </c>
      <c r="AB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>
        <f>IF(COUNT(D412:U412)=0,"",MIN(D412:U412))</f>
        <v/>
      </c>
      <c r="W412" s="8">
        <f>IF(COUNT(D412:U412)=0,"",MEDIAN(D412:U412))</f>
        <v/>
      </c>
      <c r="X412" s="8">
        <f>IF(COUNT(D412:U412)=0,"",MAX(D412:U412))</f>
        <v/>
      </c>
      <c r="Y412" s="9">
        <f>IF(OR(V412="",V412=0),"",(X412-V412)/V412)</f>
        <v/>
      </c>
      <c r="Z412" s="7">
        <f>IF(COUNT(D412:U412)=0,"",INDEX($D$1:$U$1,MATCH(MIN(D412:U412),D412:U412,0)))</f>
        <v/>
      </c>
      <c r="AA412" s="8" t="n">
        <v>1649.86</v>
      </c>
      <c r="AB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>
        <f>IF(COUNT(D413:U413)=0,"",MIN(D413:U413))</f>
        <v/>
      </c>
      <c r="W413" s="8">
        <f>IF(COUNT(D413:U413)=0,"",MEDIAN(D413:U413))</f>
        <v/>
      </c>
      <c r="X413" s="8">
        <f>IF(COUNT(D413:U413)=0,"",MAX(D413:U413))</f>
        <v/>
      </c>
      <c r="Y413" s="9">
        <f>IF(OR(V413="",V413=0),"",(X413-V413)/V413)</f>
        <v/>
      </c>
      <c r="Z413" s="7">
        <f>IF(COUNT(D413:U413)=0,"",INDEX($D$1:$U$1,MATCH(MIN(D413:U413),D413:U413,0)))</f>
        <v/>
      </c>
      <c r="AA413" s="8" t="n">
        <v>2210.12</v>
      </c>
      <c r="AB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>
        <f>IF(COUNT(D414:U414)=0,"",MIN(D414:U414))</f>
        <v/>
      </c>
      <c r="W414" s="8">
        <f>IF(COUNT(D414:U414)=0,"",MEDIAN(D414:U414))</f>
        <v/>
      </c>
      <c r="X414" s="8">
        <f>IF(COUNT(D414:U414)=0,"",MAX(D414:U414))</f>
        <v/>
      </c>
      <c r="Y414" s="9">
        <f>IF(OR(V414="",V414=0),"",(X414-V414)/V414)</f>
        <v/>
      </c>
      <c r="Z414" s="7">
        <f>IF(COUNT(D414:U414)=0,"",INDEX($D$1:$U$1,MATCH(MIN(D414:U414),D414:U414,0)))</f>
        <v/>
      </c>
      <c r="AA414" s="8" t="n">
        <v>2022.08</v>
      </c>
      <c r="AB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>
        <f>IF(COUNT(D415:U415)=0,"",MIN(D415:U415))</f>
        <v/>
      </c>
      <c r="W415" s="8">
        <f>IF(COUNT(D415:U415)=0,"",MEDIAN(D415:U415))</f>
        <v/>
      </c>
      <c r="X415" s="8">
        <f>IF(COUNT(D415:U415)=0,"",MAX(D415:U415))</f>
        <v/>
      </c>
      <c r="Y415" s="9">
        <f>IF(OR(V415="",V415=0),"",(X415-V415)/V415)</f>
        <v/>
      </c>
      <c r="Z415" s="7">
        <f>IF(COUNT(D415:U415)=0,"",INDEX($D$1:$U$1,MATCH(MIN(D415:U415),D415:U415,0)))</f>
        <v/>
      </c>
      <c r="AA415" s="8" t="n">
        <v>2167.28</v>
      </c>
      <c r="AB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>
        <f>IF(COUNT(D416:U416)=0,"",MIN(D416:U416))</f>
        <v/>
      </c>
      <c r="W416" s="8">
        <f>IF(COUNT(D416:U416)=0,"",MEDIAN(D416:U416))</f>
        <v/>
      </c>
      <c r="X416" s="8">
        <f>IF(COUNT(D416:U416)=0,"",MAX(D416:U416))</f>
        <v/>
      </c>
      <c r="Y416" s="9">
        <f>IF(OR(V416="",V416=0),"",(X416-V416)/V416)</f>
        <v/>
      </c>
      <c r="Z416" s="7">
        <f>IF(COUNT(D416:U416)=0,"",INDEX($D$1:$U$1,MATCH(MIN(D416:U416),D416:U416,0)))</f>
        <v/>
      </c>
      <c r="AA416" s="8" t="n">
        <v>495</v>
      </c>
      <c r="AB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>
        <f>IF(COUNT(D417:U417)=0,"",MIN(D417:U417))</f>
        <v/>
      </c>
      <c r="W417" s="8">
        <f>IF(COUNT(D417:U417)=0,"",MEDIAN(D417:U417))</f>
        <v/>
      </c>
      <c r="X417" s="8">
        <f>IF(COUNT(D417:U417)=0,"",MAX(D417:U417))</f>
        <v/>
      </c>
      <c r="Y417" s="9">
        <f>IF(OR(V417="",V417=0),"",(X417-V417)/V417)</f>
        <v/>
      </c>
      <c r="Z417" s="7">
        <f>IF(COUNT(D417:U417)=0,"",INDEX($D$1:$U$1,MATCH(MIN(D417:U417),D417:U417,0)))</f>
        <v/>
      </c>
      <c r="AA417" s="8" t="n">
        <v>1099.76</v>
      </c>
      <c r="AB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>
        <f>IF(COUNT(D418:U418)=0,"",MIN(D418:U418))</f>
        <v/>
      </c>
      <c r="W418" s="8">
        <f>IF(COUNT(D418:U418)=0,"",MEDIAN(D418:U418))</f>
        <v/>
      </c>
      <c r="X418" s="8">
        <f>IF(COUNT(D418:U418)=0,"",MAX(D418:U418))</f>
        <v/>
      </c>
      <c r="Y418" s="9">
        <f>IF(OR(V418="",V418=0),"",(X418-V418)/V418)</f>
        <v/>
      </c>
      <c r="Z418" s="7">
        <f>IF(COUNT(D418:U418)=0,"",INDEX($D$1:$U$1,MATCH(MIN(D418:U418),D418:U418,0)))</f>
        <v/>
      </c>
      <c r="AA418" s="8" t="n">
        <v>1818.95</v>
      </c>
      <c r="AB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>
        <f>IF(COUNT(D419:U419)=0,"",MIN(D419:U419))</f>
        <v/>
      </c>
      <c r="W419" s="8">
        <f>IF(COUNT(D419:U419)=0,"",MEDIAN(D419:U419))</f>
        <v/>
      </c>
      <c r="X419" s="8">
        <f>IF(COUNT(D419:U419)=0,"",MAX(D419:U419))</f>
        <v/>
      </c>
      <c r="Y419" s="9">
        <f>IF(OR(V419="",V419=0),"",(X419-V419)/V419)</f>
        <v/>
      </c>
      <c r="Z419" s="7">
        <f>IF(COUNT(D419:U419)=0,"",INDEX($D$1:$U$1,MATCH(MIN(D419:U419),D419:U419,0)))</f>
        <v/>
      </c>
      <c r="AA419" s="8" t="n">
        <v>2863.5</v>
      </c>
      <c r="AB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>
        <f>IF(COUNT(D420:U420)=0,"",MIN(D420:U420))</f>
        <v/>
      </c>
      <c r="W420" s="8">
        <f>IF(COUNT(D420:U420)=0,"",MEDIAN(D420:U420))</f>
        <v/>
      </c>
      <c r="X420" s="8">
        <f>IF(COUNT(D420:U420)=0,"",MAX(D420:U420))</f>
        <v/>
      </c>
      <c r="Y420" s="9">
        <f>IF(OR(V420="",V420=0),"",(X420-V420)/V420)</f>
        <v/>
      </c>
      <c r="Z420" s="7">
        <f>IF(COUNT(D420:U420)=0,"",INDEX($D$1:$U$1,MATCH(MIN(D420:U420),D420:U420,0)))</f>
        <v/>
      </c>
      <c r="AA420" s="8" t="n">
        <v>4636.17</v>
      </c>
      <c r="AB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>
        <f>IF(COUNT(D421:U421)=0,"",MIN(D421:U421))</f>
        <v/>
      </c>
      <c r="W421" s="8">
        <f>IF(COUNT(D421:U421)=0,"",MEDIAN(D421:U421))</f>
        <v/>
      </c>
      <c r="X421" s="8">
        <f>IF(COUNT(D421:U421)=0,"",MAX(D421:U421))</f>
        <v/>
      </c>
      <c r="Y421" s="9">
        <f>IF(OR(V421="",V421=0),"",(X421-V421)/V421)</f>
        <v/>
      </c>
      <c r="Z421" s="7">
        <f>IF(COUNT(D421:U421)=0,"",INDEX($D$1:$U$1,MATCH(MIN(D421:U421),D421:U421,0)))</f>
        <v/>
      </c>
      <c r="AA421" s="8" t="n">
        <v>1349.37</v>
      </c>
      <c r="AB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>
        <f>IF(COUNT(D422:U422)=0,"",MIN(D422:U422))</f>
        <v/>
      </c>
      <c r="W422" s="8">
        <f>IF(COUNT(D422:U422)=0,"",MEDIAN(D422:U422))</f>
        <v/>
      </c>
      <c r="X422" s="8">
        <f>IF(COUNT(D422:U422)=0,"",MAX(D422:U422))</f>
        <v/>
      </c>
      <c r="Y422" s="9">
        <f>IF(OR(V422="",V422=0),"",(X422-V422)/V422)</f>
        <v/>
      </c>
      <c r="Z422" s="7">
        <f>IF(COUNT(D422:U422)=0,"",INDEX($D$1:$U$1,MATCH(MIN(D422:U422),D422:U422,0)))</f>
        <v/>
      </c>
      <c r="AA422" s="8" t="n">
        <v>2768.79</v>
      </c>
      <c r="AB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>
        <f>IF(COUNT(D423:U423)=0,"",MIN(D423:U423))</f>
        <v/>
      </c>
      <c r="W423" s="8">
        <f>IF(COUNT(D423:U423)=0,"",MEDIAN(D423:U423))</f>
        <v/>
      </c>
      <c r="X423" s="8">
        <f>IF(COUNT(D423:U423)=0,"",MAX(D423:U423))</f>
        <v/>
      </c>
      <c r="Y423" s="9">
        <f>IF(OR(V423="",V423=0),"",(X423-V423)/V423)</f>
        <v/>
      </c>
      <c r="Z423" s="7">
        <f>IF(COUNT(D423:U423)=0,"",INDEX($D$1:$U$1,MATCH(MIN(D423:U423),D423:U423,0)))</f>
        <v/>
      </c>
      <c r="AA423" s="8" t="n">
        <v>650</v>
      </c>
      <c r="AB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>
        <f>IF(COUNT(D424:U424)=0,"",MIN(D424:U424))</f>
        <v/>
      </c>
      <c r="W424" s="8">
        <f>IF(COUNT(D424:U424)=0,"",MEDIAN(D424:U424))</f>
        <v/>
      </c>
      <c r="X424" s="8">
        <f>IF(COUNT(D424:U424)=0,"",MAX(D424:U424))</f>
        <v/>
      </c>
      <c r="Y424" s="9">
        <f>IF(OR(V424="",V424=0),"",(X424-V424)/V424)</f>
        <v/>
      </c>
      <c r="Z424" s="7">
        <f>IF(COUNT(D424:U424)=0,"",INDEX($D$1:$U$1,MATCH(MIN(D424:U424),D424:U424,0)))</f>
        <v/>
      </c>
      <c r="AA424" s="8" t="n">
        <v>789.64</v>
      </c>
      <c r="AB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>
        <f>IF(COUNT(D425:U425)=0,"",MIN(D425:U425))</f>
        <v/>
      </c>
      <c r="W425" s="8">
        <f>IF(COUNT(D425:U425)=0,"",MEDIAN(D425:U425))</f>
        <v/>
      </c>
      <c r="X425" s="8">
        <f>IF(COUNT(D425:U425)=0,"",MAX(D425:U425))</f>
        <v/>
      </c>
      <c r="Y425" s="9">
        <f>IF(OR(V425="",V425=0),"",(X425-V425)/V425)</f>
        <v/>
      </c>
      <c r="Z425" s="7">
        <f>IF(COUNT(D425:U425)=0,"",INDEX($D$1:$U$1,MATCH(MIN(D425:U425),D425:U425,0)))</f>
        <v/>
      </c>
      <c r="AA425" s="8" t="n">
        <v>790</v>
      </c>
      <c r="AB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>
        <f>IF(COUNT(D426:U426)=0,"",MIN(D426:U426))</f>
        <v/>
      </c>
      <c r="W426" s="8">
        <f>IF(COUNT(D426:U426)=0,"",MEDIAN(D426:U426))</f>
        <v/>
      </c>
      <c r="X426" s="8">
        <f>IF(COUNT(D426:U426)=0,"",MAX(D426:U426))</f>
        <v/>
      </c>
      <c r="Y426" s="9">
        <f>IF(OR(V426="",V426=0),"",(X426-V426)/V426)</f>
        <v/>
      </c>
      <c r="Z426" s="7">
        <f>IF(COUNT(D426:U426)=0,"",INDEX($D$1:$U$1,MATCH(MIN(D426:U426),D426:U426,0)))</f>
        <v/>
      </c>
      <c r="AA426" s="8" t="n">
        <v>3110.82</v>
      </c>
      <c r="AB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>
        <f>IF(COUNT(D427:U427)=0,"",MIN(D427:U427))</f>
        <v/>
      </c>
      <c r="W427" s="8">
        <f>IF(COUNT(D427:U427)=0,"",MEDIAN(D427:U427))</f>
        <v/>
      </c>
      <c r="X427" s="8">
        <f>IF(COUNT(D427:U427)=0,"",MAX(D427:U427))</f>
        <v/>
      </c>
      <c r="Y427" s="9">
        <f>IF(OR(V427="",V427=0),"",(X427-V427)/V427)</f>
        <v/>
      </c>
      <c r="Z427" s="7">
        <f>IF(COUNT(D427:U427)=0,"",INDEX($D$1:$U$1,MATCH(MIN(D427:U427),D427:U427,0)))</f>
        <v/>
      </c>
      <c r="AA427" s="8" t="n">
        <v>743.62</v>
      </c>
      <c r="AB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>
        <f>IF(COUNT(D428:U428)=0,"",MIN(D428:U428))</f>
        <v/>
      </c>
      <c r="W428" s="8">
        <f>IF(COUNT(D428:U428)=0,"",MEDIAN(D428:U428))</f>
        <v/>
      </c>
      <c r="X428" s="8">
        <f>IF(COUNT(D428:U428)=0,"",MAX(D428:U428))</f>
        <v/>
      </c>
      <c r="Y428" s="9">
        <f>IF(OR(V428="",V428=0),"",(X428-V428)/V428)</f>
        <v/>
      </c>
      <c r="Z428" s="7">
        <f>IF(COUNT(D428:U428)=0,"",INDEX($D$1:$U$1,MATCH(MIN(D428:U428),D428:U428,0)))</f>
        <v/>
      </c>
      <c r="AA428" s="8" t="n">
        <v>1771.16</v>
      </c>
      <c r="AB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>
        <f>IF(COUNT(D429:U429)=0,"",MIN(D429:U429))</f>
        <v/>
      </c>
      <c r="W429" s="8">
        <f>IF(COUNT(D429:U429)=0,"",MEDIAN(D429:U429))</f>
        <v/>
      </c>
      <c r="X429" s="8">
        <f>IF(COUNT(D429:U429)=0,"",MAX(D429:U429))</f>
        <v/>
      </c>
      <c r="Y429" s="9">
        <f>IF(OR(V429="",V429=0),"",(X429-V429)/V429)</f>
        <v/>
      </c>
      <c r="Z429" s="7">
        <f>IF(COUNT(D429:U429)=0,"",INDEX($D$1:$U$1,MATCH(MIN(D429:U429),D429:U429,0)))</f>
        <v/>
      </c>
      <c r="AA429" s="8" t="n">
        <v>2028.35</v>
      </c>
      <c r="AB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>
        <f>IF(COUNT(D430:U430)=0,"",MIN(D430:U430))</f>
        <v/>
      </c>
      <c r="W430" s="8">
        <f>IF(COUNT(D430:U430)=0,"",MEDIAN(D430:U430))</f>
        <v/>
      </c>
      <c r="X430" s="8">
        <f>IF(COUNT(D430:U430)=0,"",MAX(D430:U430))</f>
        <v/>
      </c>
      <c r="Y430" s="9">
        <f>IF(OR(V430="",V430=0),"",(X430-V430)/V430)</f>
        <v/>
      </c>
      <c r="Z430" s="7">
        <f>IF(COUNT(D430:U430)=0,"",INDEX($D$1:$U$1,MATCH(MIN(D430:U430),D430:U430,0)))</f>
        <v/>
      </c>
      <c r="AA430" s="8" t="n">
        <v>5478.1</v>
      </c>
      <c r="AB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>
        <f>IF(COUNT(D431:U431)=0,"",MIN(D431:U431))</f>
        <v/>
      </c>
      <c r="W431" s="8">
        <f>IF(COUNT(D431:U431)=0,"",MEDIAN(D431:U431))</f>
        <v/>
      </c>
      <c r="X431" s="8">
        <f>IF(COUNT(D431:U431)=0,"",MAX(D431:U431))</f>
        <v/>
      </c>
      <c r="Y431" s="9">
        <f>IF(OR(V431="",V431=0),"",(X431-V431)/V431)</f>
        <v/>
      </c>
      <c r="Z431" s="7">
        <f>IF(COUNT(D431:U431)=0,"",INDEX($D$1:$U$1,MATCH(MIN(D431:U431),D431:U431,0)))</f>
        <v/>
      </c>
      <c r="AA431" s="8" t="n">
        <v>1427.79</v>
      </c>
      <c r="AB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>
        <f>IF(COUNT(D432:U432)=0,"",MIN(D432:U432))</f>
        <v/>
      </c>
      <c r="W432" s="8">
        <f>IF(COUNT(D432:U432)=0,"",MEDIAN(D432:U432))</f>
        <v/>
      </c>
      <c r="X432" s="8">
        <f>IF(COUNT(D432:U432)=0,"",MAX(D432:U432))</f>
        <v/>
      </c>
      <c r="Y432" s="9">
        <f>IF(OR(V432="",V432=0),"",(X432-V432)/V432)</f>
        <v/>
      </c>
      <c r="Z432" s="7">
        <f>IF(COUNT(D432:U432)=0,"",INDEX($D$1:$U$1,MATCH(MIN(D432:U432),D432:U432,0)))</f>
        <v/>
      </c>
      <c r="AA432" s="8" t="n">
        <v>1218.66</v>
      </c>
      <c r="AB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>
        <f>IF(COUNT(D433:U433)=0,"",MIN(D433:U433))</f>
        <v/>
      </c>
      <c r="W433" s="8">
        <f>IF(COUNT(D433:U433)=0,"",MEDIAN(D433:U433))</f>
        <v/>
      </c>
      <c r="X433" s="8">
        <f>IF(COUNT(D433:U433)=0,"",MAX(D433:U433))</f>
        <v/>
      </c>
      <c r="Y433" s="9">
        <f>IF(OR(V433="",V433=0),"",(X433-V433)/V433)</f>
        <v/>
      </c>
      <c r="Z433" s="7">
        <f>IF(COUNT(D433:U433)=0,"",INDEX($D$1:$U$1,MATCH(MIN(D433:U433),D433:U433,0)))</f>
        <v/>
      </c>
      <c r="AA433" s="8" t="n">
        <v>443.77</v>
      </c>
      <c r="AB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>
        <f>IF(COUNT(D434:U434)=0,"",MIN(D434:U434))</f>
        <v/>
      </c>
      <c r="W434" s="8">
        <f>IF(COUNT(D434:U434)=0,"",MEDIAN(D434:U434))</f>
        <v/>
      </c>
      <c r="X434" s="8">
        <f>IF(COUNT(D434:U434)=0,"",MAX(D434:U434))</f>
        <v/>
      </c>
      <c r="Y434" s="9">
        <f>IF(OR(V434="",V434=0),"",(X434-V434)/V434)</f>
        <v/>
      </c>
      <c r="Z434" s="7">
        <f>IF(COUNT(D434:U434)=0,"",INDEX($D$1:$U$1,MATCH(MIN(D434:U434),D434:U434,0)))</f>
        <v/>
      </c>
      <c r="AA434" s="8" t="n">
        <v>189.99</v>
      </c>
      <c r="AB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>
        <f>IF(COUNT(D435:U435)=0,"",MIN(D435:U435))</f>
        <v/>
      </c>
      <c r="W435" s="8">
        <f>IF(COUNT(D435:U435)=0,"",MEDIAN(D435:U435))</f>
        <v/>
      </c>
      <c r="X435" s="8">
        <f>IF(COUNT(D435:U435)=0,"",MAX(D435:U435))</f>
        <v/>
      </c>
      <c r="Y435" s="9">
        <f>IF(OR(V435="",V435=0),"",(X435-V435)/V435)</f>
        <v/>
      </c>
      <c r="Z435" s="7">
        <f>IF(COUNT(D435:U435)=0,"",INDEX($D$1:$U$1,MATCH(MIN(D435:U435),D435:U435,0)))</f>
        <v/>
      </c>
      <c r="AA435" s="8" t="n">
        <v>1395.33</v>
      </c>
      <c r="AB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>
        <f>IF(COUNT(D436:U436)=0,"",MIN(D436:U436))</f>
        <v/>
      </c>
      <c r="W436" s="8">
        <f>IF(COUNT(D436:U436)=0,"",MEDIAN(D436:U436))</f>
        <v/>
      </c>
      <c r="X436" s="8">
        <f>IF(COUNT(D436:U436)=0,"",MAX(D436:U436))</f>
        <v/>
      </c>
      <c r="Y436" s="9">
        <f>IF(OR(V436="",V436=0),"",(X436-V436)/V436)</f>
        <v/>
      </c>
      <c r="Z436" s="7">
        <f>IF(COUNT(D436:U436)=0,"",INDEX($D$1:$U$1,MATCH(MIN(D436:U436),D436:U436,0)))</f>
        <v/>
      </c>
      <c r="AA436" s="8" t="n">
        <v>552.91</v>
      </c>
      <c r="AB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>
        <f>IF(COUNT(D437:U437)=0,"",MIN(D437:U437))</f>
        <v/>
      </c>
      <c r="W437" s="8">
        <f>IF(COUNT(D437:U437)=0,"",MEDIAN(D437:U437))</f>
        <v/>
      </c>
      <c r="X437" s="8">
        <f>IF(COUNT(D437:U437)=0,"",MAX(D437:U437))</f>
        <v/>
      </c>
      <c r="Y437" s="9">
        <f>IF(OR(V437="",V437=0),"",(X437-V437)/V437)</f>
        <v/>
      </c>
      <c r="Z437" s="7">
        <f>IF(COUNT(D437:U437)=0,"",INDEX($D$1:$U$1,MATCH(MIN(D437:U437),D437:U437,0)))</f>
        <v/>
      </c>
      <c r="AA437" s="8" t="n">
        <v>2878.24</v>
      </c>
      <c r="AB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>
        <f>IF(COUNT(D438:U438)=0,"",MIN(D438:U438))</f>
        <v/>
      </c>
      <c r="W438" s="8">
        <f>IF(COUNT(D438:U438)=0,"",MEDIAN(D438:U438))</f>
        <v/>
      </c>
      <c r="X438" s="8">
        <f>IF(COUNT(D438:U438)=0,"",MAX(D438:U438))</f>
        <v/>
      </c>
      <c r="Y438" s="9">
        <f>IF(OR(V438="",V438=0),"",(X438-V438)/V438)</f>
        <v/>
      </c>
      <c r="Z438" s="7">
        <f>IF(COUNT(D438:U438)=0,"",INDEX($D$1:$U$1,MATCH(MIN(D438:U438),D438:U438,0)))</f>
        <v/>
      </c>
      <c r="AA438" s="8" t="n">
        <v>844.55</v>
      </c>
      <c r="AB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>
        <f>IF(COUNT(D439:U439)=0,"",MIN(D439:U439))</f>
        <v/>
      </c>
      <c r="W439" s="8">
        <f>IF(COUNT(D439:U439)=0,"",MEDIAN(D439:U439))</f>
        <v/>
      </c>
      <c r="X439" s="8">
        <f>IF(COUNT(D439:U439)=0,"",MAX(D439:U439))</f>
        <v/>
      </c>
      <c r="Y439" s="9">
        <f>IF(OR(V439="",V439=0),"",(X439-V439)/V439)</f>
        <v/>
      </c>
      <c r="Z439" s="7">
        <f>IF(COUNT(D439:U439)=0,"",INDEX($D$1:$U$1,MATCH(MIN(D439:U439),D439:U439,0)))</f>
        <v/>
      </c>
      <c r="AA439" s="8" t="n">
        <v>3418.96</v>
      </c>
      <c r="AB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>
        <f>IF(COUNT(D440:U440)=0,"",MIN(D440:U440))</f>
        <v/>
      </c>
      <c r="W440" s="8">
        <f>IF(COUNT(D440:U440)=0,"",MEDIAN(D440:U440))</f>
        <v/>
      </c>
      <c r="X440" s="8">
        <f>IF(COUNT(D440:U440)=0,"",MAX(D440:U440))</f>
        <v/>
      </c>
      <c r="Y440" s="9">
        <f>IF(OR(V440="",V440=0),"",(X440-V440)/V440)</f>
        <v/>
      </c>
      <c r="Z440" s="7">
        <f>IF(COUNT(D440:U440)=0,"",INDEX($D$1:$U$1,MATCH(MIN(D440:U440),D440:U440,0)))</f>
        <v/>
      </c>
      <c r="AA440" s="8" t="n">
        <v>1574.47</v>
      </c>
      <c r="AB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>
        <f>IF(COUNT(D441:U441)=0,"",MIN(D441:U441))</f>
        <v/>
      </c>
      <c r="W441" s="8">
        <f>IF(COUNT(D441:U441)=0,"",MEDIAN(D441:U441))</f>
        <v/>
      </c>
      <c r="X441" s="8">
        <f>IF(COUNT(D441:U441)=0,"",MAX(D441:U441))</f>
        <v/>
      </c>
      <c r="Y441" s="9">
        <f>IF(OR(V441="",V441=0),"",(X441-V441)/V441)</f>
        <v/>
      </c>
      <c r="Z441" s="7">
        <f>IF(COUNT(D441:U441)=0,"",INDEX($D$1:$U$1,MATCH(MIN(D441:U441),D441:U441,0)))</f>
        <v/>
      </c>
      <c r="AA441" s="8" t="n">
        <v>2100</v>
      </c>
      <c r="AB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>
        <f>IF(COUNT(D442:U442)=0,"",MIN(D442:U442))</f>
        <v/>
      </c>
      <c r="W442" s="8">
        <f>IF(COUNT(D442:U442)=0,"",MEDIAN(D442:U442))</f>
        <v/>
      </c>
      <c r="X442" s="8">
        <f>IF(COUNT(D442:U442)=0,"",MAX(D442:U442))</f>
        <v/>
      </c>
      <c r="Y442" s="9">
        <f>IF(OR(V442="",V442=0),"",(X442-V442)/V442)</f>
        <v/>
      </c>
      <c r="Z442" s="7">
        <f>IF(COUNT(D442:U442)=0,"",INDEX($D$1:$U$1,MATCH(MIN(D442:U442),D442:U442,0)))</f>
        <v/>
      </c>
      <c r="AA442" s="8" t="n">
        <v>2241.28</v>
      </c>
      <c r="AB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>
        <f>IF(COUNT(D443:U443)=0,"",MIN(D443:U443))</f>
        <v/>
      </c>
      <c r="W443" s="8">
        <f>IF(COUNT(D443:U443)=0,"",MEDIAN(D443:U443))</f>
        <v/>
      </c>
      <c r="X443" s="8">
        <f>IF(COUNT(D443:U443)=0,"",MAX(D443:U443))</f>
        <v/>
      </c>
      <c r="Y443" s="9">
        <f>IF(OR(V443="",V443=0),"",(X443-V443)/V443)</f>
        <v/>
      </c>
      <c r="Z443" s="7">
        <f>IF(COUNT(D443:U443)=0,"",INDEX($D$1:$U$1,MATCH(MIN(D443:U443),D443:U443,0)))</f>
        <v/>
      </c>
      <c r="AA443" s="8" t="n">
        <v>1699.99</v>
      </c>
      <c r="AB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>
        <f>IF(COUNT(D444:U444)=0,"",MIN(D444:U444))</f>
        <v/>
      </c>
      <c r="W444" s="8">
        <f>IF(COUNT(D444:U444)=0,"",MEDIAN(D444:U444))</f>
        <v/>
      </c>
      <c r="X444" s="8">
        <f>IF(COUNT(D444:U444)=0,"",MAX(D444:U444))</f>
        <v/>
      </c>
      <c r="Y444" s="9">
        <f>IF(OR(V444="",V444=0),"",(X444-V444)/V444)</f>
        <v/>
      </c>
      <c r="Z444" s="7">
        <f>IF(COUNT(D444:U444)=0,"",INDEX($D$1:$U$1,MATCH(MIN(D444:U444),D444:U444,0)))</f>
        <v/>
      </c>
      <c r="AA444" s="8" t="n">
        <v>2500</v>
      </c>
      <c r="AB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>
        <f>IF(COUNT(D445:U445)=0,"",MIN(D445:U445))</f>
        <v/>
      </c>
      <c r="W445" s="8">
        <f>IF(COUNT(D445:U445)=0,"",MEDIAN(D445:U445))</f>
        <v/>
      </c>
      <c r="X445" s="8">
        <f>IF(COUNT(D445:U445)=0,"",MAX(D445:U445))</f>
        <v/>
      </c>
      <c r="Y445" s="9">
        <f>IF(OR(V445="",V445=0),"",(X445-V445)/V445)</f>
        <v/>
      </c>
      <c r="Z445" s="7">
        <f>IF(COUNT(D445:U445)=0,"",INDEX($D$1:$U$1,MATCH(MIN(D445:U445),D445:U445,0)))</f>
        <v/>
      </c>
      <c r="AA445" s="8" t="n">
        <v>1024.48</v>
      </c>
      <c r="AB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>
        <f>IF(COUNT(D446:U446)=0,"",MIN(D446:U446))</f>
        <v/>
      </c>
      <c r="W446" s="8">
        <f>IF(COUNT(D446:U446)=0,"",MEDIAN(D446:U446))</f>
        <v/>
      </c>
      <c r="X446" s="8">
        <f>IF(COUNT(D446:U446)=0,"",MAX(D446:U446))</f>
        <v/>
      </c>
      <c r="Y446" s="9">
        <f>IF(OR(V446="",V446=0),"",(X446-V446)/V446)</f>
        <v/>
      </c>
      <c r="Z446" s="7">
        <f>IF(COUNT(D446:U446)=0,"",INDEX($D$1:$U$1,MATCH(MIN(D446:U446),D446:U446,0)))</f>
        <v/>
      </c>
      <c r="AA446" s="8" t="n">
        <v>2161.21</v>
      </c>
      <c r="AB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>
        <f>IF(COUNT(D447:U447)=0,"",MIN(D447:U447))</f>
        <v/>
      </c>
      <c r="W447" s="8">
        <f>IF(COUNT(D447:U447)=0,"",MEDIAN(D447:U447))</f>
        <v/>
      </c>
      <c r="X447" s="8">
        <f>IF(COUNT(D447:U447)=0,"",MAX(D447:U447))</f>
        <v/>
      </c>
      <c r="Y447" s="9">
        <f>IF(OR(V447="",V447=0),"",(X447-V447)/V447)</f>
        <v/>
      </c>
      <c r="Z447" s="7">
        <f>IF(COUNT(D447:U447)=0,"",INDEX($D$1:$U$1,MATCH(MIN(D447:U447),D447:U447,0)))</f>
        <v/>
      </c>
      <c r="AA447" s="8" t="n">
        <v>4875</v>
      </c>
      <c r="AB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>
        <f>IF(COUNT(D448:U448)=0,"",MIN(D448:U448))</f>
        <v/>
      </c>
      <c r="W448" s="8">
        <f>IF(COUNT(D448:U448)=0,"",MEDIAN(D448:U448))</f>
        <v/>
      </c>
      <c r="X448" s="8">
        <f>IF(COUNT(D448:U448)=0,"",MAX(D448:U448))</f>
        <v/>
      </c>
      <c r="Y448" s="9">
        <f>IF(OR(V448="",V448=0),"",(X448-V448)/V448)</f>
        <v/>
      </c>
      <c r="Z448" s="7">
        <f>IF(COUNT(D448:U448)=0,"",INDEX($D$1:$U$1,MATCH(MIN(D448:U448),D448:U448,0)))</f>
        <v/>
      </c>
      <c r="AA448" s="8" t="n">
        <v>1189.99</v>
      </c>
      <c r="AB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>
        <f>IF(COUNT(D449:U449)=0,"",MIN(D449:U449))</f>
        <v/>
      </c>
      <c r="W449" s="8">
        <f>IF(COUNT(D449:U449)=0,"",MEDIAN(D449:U449))</f>
        <v/>
      </c>
      <c r="X449" s="8">
        <f>IF(COUNT(D449:U449)=0,"",MAX(D449:U449))</f>
        <v/>
      </c>
      <c r="Y449" s="9">
        <f>IF(OR(V449="",V449=0),"",(X449-V449)/V449)</f>
        <v/>
      </c>
      <c r="Z449" s="7">
        <f>IF(COUNT(D449:U449)=0,"",INDEX($D$1:$U$1,MATCH(MIN(D449:U449),D449:U449,0)))</f>
        <v/>
      </c>
      <c r="AA449" s="8" t="n">
        <v>396.66</v>
      </c>
      <c r="AB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>
        <f>IF(COUNT(D450:U450)=0,"",MIN(D450:U450))</f>
        <v/>
      </c>
      <c r="W450" s="8">
        <f>IF(COUNT(D450:U450)=0,"",MEDIAN(D450:U450))</f>
        <v/>
      </c>
      <c r="X450" s="8">
        <f>IF(COUNT(D450:U450)=0,"",MAX(D450:U450))</f>
        <v/>
      </c>
      <c r="Y450" s="9">
        <f>IF(OR(V450="",V450=0),"",(X450-V450)/V450)</f>
        <v/>
      </c>
      <c r="Z450" s="7">
        <f>IF(COUNT(D450:U450)=0,"",INDEX($D$1:$U$1,MATCH(MIN(D450:U450),D450:U450,0)))</f>
        <v/>
      </c>
      <c r="AA450" s="8" t="n">
        <v>3254.44</v>
      </c>
      <c r="AB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>
        <f>IF(COUNT(D451:U451)=0,"",MIN(D451:U451))</f>
        <v/>
      </c>
      <c r="W451" s="8">
        <f>IF(COUNT(D451:U451)=0,"",MEDIAN(D451:U451))</f>
        <v/>
      </c>
      <c r="X451" s="8">
        <f>IF(COUNT(D451:U451)=0,"",MAX(D451:U451))</f>
        <v/>
      </c>
      <c r="Y451" s="9">
        <f>IF(OR(V451="",V451=0),"",(X451-V451)/V451)</f>
        <v/>
      </c>
      <c r="Z451" s="7">
        <f>IF(COUNT(D451:U451)=0,"",INDEX($D$1:$U$1,MATCH(MIN(D451:U451),D451:U451,0)))</f>
        <v/>
      </c>
      <c r="AA451" s="8" t="n">
        <v>391.85</v>
      </c>
      <c r="AB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>
        <f>IF(COUNT(D452:U452)=0,"",MIN(D452:U452))</f>
        <v/>
      </c>
      <c r="W452" s="8">
        <f>IF(COUNT(D452:U452)=0,"",MEDIAN(D452:U452))</f>
        <v/>
      </c>
      <c r="X452" s="8">
        <f>IF(COUNT(D452:U452)=0,"",MAX(D452:U452))</f>
        <v/>
      </c>
      <c r="Y452" s="9">
        <f>IF(OR(V452="",V452=0),"",(X452-V452)/V452)</f>
        <v/>
      </c>
      <c r="Z452" s="7">
        <f>IF(COUNT(D452:U452)=0,"",INDEX($D$1:$U$1,MATCH(MIN(D452:U452),D452:U452,0)))</f>
        <v/>
      </c>
      <c r="AA452" s="8" t="n">
        <v>67.81999999999999</v>
      </c>
      <c r="AB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>
        <f>IF(COUNT(D453:U453)=0,"",MIN(D453:U453))</f>
        <v/>
      </c>
      <c r="W453" s="8">
        <f>IF(COUNT(D453:U453)=0,"",MEDIAN(D453:U453))</f>
        <v/>
      </c>
      <c r="X453" s="8">
        <f>IF(COUNT(D453:U453)=0,"",MAX(D453:U453))</f>
        <v/>
      </c>
      <c r="Y453" s="9">
        <f>IF(OR(V453="",V453=0),"",(X453-V453)/V453)</f>
        <v/>
      </c>
      <c r="Z453" s="7">
        <f>IF(COUNT(D453:U453)=0,"",INDEX($D$1:$U$1,MATCH(MIN(D453:U453),D453:U453,0)))</f>
        <v/>
      </c>
      <c r="AA453" s="8" t="n">
        <v>248</v>
      </c>
      <c r="AB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>
        <f>IF(COUNT(D454:U454)=0,"",MIN(D454:U454))</f>
        <v/>
      </c>
      <c r="W454" s="8">
        <f>IF(COUNT(D454:U454)=0,"",MEDIAN(D454:U454))</f>
        <v/>
      </c>
      <c r="X454" s="8">
        <f>IF(COUNT(D454:U454)=0,"",MAX(D454:U454))</f>
        <v/>
      </c>
      <c r="Y454" s="9">
        <f>IF(OR(V454="",V454=0),"",(X454-V454)/V454)</f>
        <v/>
      </c>
      <c r="Z454" s="7">
        <f>IF(COUNT(D454:U454)=0,"",INDEX($D$1:$U$1,MATCH(MIN(D454:U454),D454:U454,0)))</f>
        <v/>
      </c>
      <c r="AA454" s="8" t="n">
        <v>68.95</v>
      </c>
      <c r="AB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>
        <f>IF(COUNT(D455:U455)=0,"",MIN(D455:U455))</f>
        <v/>
      </c>
      <c r="W455" s="8">
        <f>IF(COUNT(D455:U455)=0,"",MEDIAN(D455:U455))</f>
        <v/>
      </c>
      <c r="X455" s="8">
        <f>IF(COUNT(D455:U455)=0,"",MAX(D455:U455))</f>
        <v/>
      </c>
      <c r="Y455" s="9">
        <f>IF(OR(V455="",V455=0),"",(X455-V455)/V455)</f>
        <v/>
      </c>
      <c r="Z455" s="7">
        <f>IF(COUNT(D455:U455)=0,"",INDEX($D$1:$U$1,MATCH(MIN(D455:U455),D455:U455,0)))</f>
        <v/>
      </c>
      <c r="AA455" s="8" t="n">
        <v>7649.35</v>
      </c>
      <c r="AB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>
        <f>IF(COUNT(D456:U456)=0,"",MIN(D456:U456))</f>
        <v/>
      </c>
      <c r="W456" s="8">
        <f>IF(COUNT(D456:U456)=0,"",MEDIAN(D456:U456))</f>
        <v/>
      </c>
      <c r="X456" s="8">
        <f>IF(COUNT(D456:U456)=0,"",MAX(D456:U456))</f>
        <v/>
      </c>
      <c r="Y456" s="9">
        <f>IF(OR(V456="",V456=0),"",(X456-V456)/V456)</f>
        <v/>
      </c>
      <c r="Z456" s="7">
        <f>IF(COUNT(D456:U456)=0,"",INDEX($D$1:$U$1,MATCH(MIN(D456:U456),D456:U456,0)))</f>
        <v/>
      </c>
      <c r="AA456" s="8" t="n">
        <v>1589.99</v>
      </c>
      <c r="AB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>
        <f>IF(COUNT(D457:U457)=0,"",MIN(D457:U457))</f>
        <v/>
      </c>
      <c r="W457" s="8">
        <f>IF(COUNT(D457:U457)=0,"",MEDIAN(D457:U457))</f>
        <v/>
      </c>
      <c r="X457" s="8">
        <f>IF(COUNT(D457:U457)=0,"",MAX(D457:U457))</f>
        <v/>
      </c>
      <c r="Y457" s="9">
        <f>IF(OR(V457="",V457=0),"",(X457-V457)/V457)</f>
        <v/>
      </c>
      <c r="Z457" s="7">
        <f>IF(COUNT(D457:U457)=0,"",INDEX($D$1:$U$1,MATCH(MIN(D457:U457),D457:U457,0)))</f>
        <v/>
      </c>
      <c r="AA457" s="8" t="n">
        <v>6400</v>
      </c>
      <c r="AB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>
        <f>IF(COUNT(D458:U458)=0,"",MIN(D458:U458))</f>
        <v/>
      </c>
      <c r="W458" s="8">
        <f>IF(COUNT(D458:U458)=0,"",MEDIAN(D458:U458))</f>
        <v/>
      </c>
      <c r="X458" s="8">
        <f>IF(COUNT(D458:U458)=0,"",MAX(D458:U458))</f>
        <v/>
      </c>
      <c r="Y458" s="9">
        <f>IF(OR(V458="",V458=0),"",(X458-V458)/V458)</f>
        <v/>
      </c>
      <c r="Z458" s="7">
        <f>IF(COUNT(D458:U458)=0,"",INDEX($D$1:$U$1,MATCH(MIN(D458:U458),D458:U458,0)))</f>
        <v/>
      </c>
      <c r="AA458" s="8" t="n">
        <v>1100</v>
      </c>
      <c r="AB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>
        <f>IF(COUNT(D459:U459)=0,"",MIN(D459:U459))</f>
        <v/>
      </c>
      <c r="W459" s="8">
        <f>IF(COUNT(D459:U459)=0,"",MEDIAN(D459:U459))</f>
        <v/>
      </c>
      <c r="X459" s="8">
        <f>IF(COUNT(D459:U459)=0,"",MAX(D459:U459))</f>
        <v/>
      </c>
      <c r="Y459" s="9">
        <f>IF(OR(V459="",V459=0),"",(X459-V459)/V459)</f>
        <v/>
      </c>
      <c r="Z459" s="7">
        <f>IF(COUNT(D459:U459)=0,"",INDEX($D$1:$U$1,MATCH(MIN(D459:U459),D459:U459,0)))</f>
        <v/>
      </c>
      <c r="AA459" s="8" t="n">
        <v>720</v>
      </c>
      <c r="AB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>
        <f>IF(COUNT(D460:U460)=0,"",MIN(D460:U460))</f>
        <v/>
      </c>
      <c r="W460" s="8">
        <f>IF(COUNT(D460:U460)=0,"",MEDIAN(D460:U460))</f>
        <v/>
      </c>
      <c r="X460" s="8">
        <f>IF(COUNT(D460:U460)=0,"",MAX(D460:U460))</f>
        <v/>
      </c>
      <c r="Y460" s="9">
        <f>IF(OR(V460="",V460=0),"",(X460-V460)/V460)</f>
        <v/>
      </c>
      <c r="Z460" s="7">
        <f>IF(COUNT(D460:U460)=0,"",INDEX($D$1:$U$1,MATCH(MIN(D460:U460),D460:U460,0)))</f>
        <v/>
      </c>
      <c r="AA460" s="8" t="n">
        <v>3592.5</v>
      </c>
      <c r="AB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>
        <f>IF(COUNT(D461:U461)=0,"",MIN(D461:U461))</f>
        <v/>
      </c>
      <c r="W461" s="8">
        <f>IF(COUNT(D461:U461)=0,"",MEDIAN(D461:U461))</f>
        <v/>
      </c>
      <c r="X461" s="8">
        <f>IF(COUNT(D461:U461)=0,"",MAX(D461:U461))</f>
        <v/>
      </c>
      <c r="Y461" s="9">
        <f>IF(OR(V461="",V461=0),"",(X461-V461)/V461)</f>
        <v/>
      </c>
      <c r="Z461" s="7">
        <f>IF(COUNT(D461:U461)=0,"",INDEX($D$1:$U$1,MATCH(MIN(D461:U461),D461:U461,0)))</f>
        <v/>
      </c>
      <c r="AA461" s="8" t="n">
        <v>6525</v>
      </c>
      <c r="AB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>
        <f>IF(COUNT(D462:U462)=0,"",MIN(D462:U462))</f>
        <v/>
      </c>
      <c r="W462" s="8">
        <f>IF(COUNT(D462:U462)=0,"",MEDIAN(D462:U462))</f>
        <v/>
      </c>
      <c r="X462" s="8">
        <f>IF(COUNT(D462:U462)=0,"",MAX(D462:U462))</f>
        <v/>
      </c>
      <c r="Y462" s="9">
        <f>IF(OR(V462="",V462=0),"",(X462-V462)/V462)</f>
        <v/>
      </c>
      <c r="Z462" s="7">
        <f>IF(COUNT(D462:U462)=0,"",INDEX($D$1:$U$1,MATCH(MIN(D462:U462),D462:U462,0)))</f>
        <v/>
      </c>
      <c r="AA462" s="8" t="n">
        <v>4893.46</v>
      </c>
      <c r="AB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>
        <f>IF(COUNT(D463:U463)=0,"",MIN(D463:U463))</f>
        <v/>
      </c>
      <c r="W463" s="8">
        <f>IF(COUNT(D463:U463)=0,"",MEDIAN(D463:U463))</f>
        <v/>
      </c>
      <c r="X463" s="8">
        <f>IF(COUNT(D463:U463)=0,"",MAX(D463:U463))</f>
        <v/>
      </c>
      <c r="Y463" s="9">
        <f>IF(OR(V463="",V463=0),"",(X463-V463)/V463)</f>
        <v/>
      </c>
      <c r="Z463" s="7">
        <f>IF(COUNT(D463:U463)=0,"",INDEX($D$1:$U$1,MATCH(MIN(D463:U463),D463:U463,0)))</f>
        <v/>
      </c>
      <c r="AA463" s="8" t="n">
        <v>73.92</v>
      </c>
      <c r="AB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>
        <f>IF(COUNT(D464:U464)=0,"",MIN(D464:U464))</f>
        <v/>
      </c>
      <c r="W464" s="8">
        <f>IF(COUNT(D464:U464)=0,"",MEDIAN(D464:U464))</f>
        <v/>
      </c>
      <c r="X464" s="8">
        <f>IF(COUNT(D464:U464)=0,"",MAX(D464:U464))</f>
        <v/>
      </c>
      <c r="Y464" s="9">
        <f>IF(OR(V464="",V464=0),"",(X464-V464)/V464)</f>
        <v/>
      </c>
      <c r="Z464" s="7">
        <f>IF(COUNT(D464:U464)=0,"",INDEX($D$1:$U$1,MATCH(MIN(D464:U464),D464:U464,0)))</f>
        <v/>
      </c>
      <c r="AA464" s="8" t="n">
        <v>114.99</v>
      </c>
      <c r="AB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>
        <f>IF(COUNT(D465:U465)=0,"",MIN(D465:U465))</f>
        <v/>
      </c>
      <c r="W465" s="8">
        <f>IF(COUNT(D465:U465)=0,"",MEDIAN(D465:U465))</f>
        <v/>
      </c>
      <c r="X465" s="8">
        <f>IF(COUNT(D465:U465)=0,"",MAX(D465:U465))</f>
        <v/>
      </c>
      <c r="Y465" s="9">
        <f>IF(OR(V465="",V465=0),"",(X465-V465)/V465)</f>
        <v/>
      </c>
      <c r="Z465" s="7">
        <f>IF(COUNT(D465:U465)=0,"",INDEX($D$1:$U$1,MATCH(MIN(D465:U465),D465:U465,0)))</f>
        <v/>
      </c>
      <c r="AA465" s="8" t="n">
        <v>281.88</v>
      </c>
      <c r="AB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>
        <f>IF(COUNT(D466:U466)=0,"",MIN(D466:U466))</f>
        <v/>
      </c>
      <c r="W466" s="8">
        <f>IF(COUNT(D466:U466)=0,"",MEDIAN(D466:U466))</f>
        <v/>
      </c>
      <c r="X466" s="8">
        <f>IF(COUNT(D466:U466)=0,"",MAX(D466:U466))</f>
        <v/>
      </c>
      <c r="Y466" s="9">
        <f>IF(OR(V466="",V466=0),"",(X466-V466)/V466)</f>
        <v/>
      </c>
      <c r="Z466" s="7">
        <f>IF(COUNT(D466:U466)=0,"",INDEX($D$1:$U$1,MATCH(MIN(D466:U466),D466:U466,0)))</f>
        <v/>
      </c>
      <c r="AA466" s="8" t="n">
        <v>42.56</v>
      </c>
      <c r="AB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>
        <f>IF(COUNT(D467:U467)=0,"",MIN(D467:U467))</f>
        <v/>
      </c>
      <c r="W467" s="8">
        <f>IF(COUNT(D467:U467)=0,"",MEDIAN(D467:U467))</f>
        <v/>
      </c>
      <c r="X467" s="8">
        <f>IF(COUNT(D467:U467)=0,"",MAX(D467:U467))</f>
        <v/>
      </c>
      <c r="Y467" s="9">
        <f>IF(OR(V467="",V467=0),"",(X467-V467)/V467)</f>
        <v/>
      </c>
      <c r="Z467" s="7">
        <f>IF(COUNT(D467:U467)=0,"",INDEX($D$1:$U$1,MATCH(MIN(D467:U467),D467:U467,0)))</f>
        <v/>
      </c>
      <c r="AA467" s="8" t="n">
        <v>10608.65</v>
      </c>
      <c r="AB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>
        <f>IF(COUNT(D468:U468)=0,"",MIN(D468:U468))</f>
        <v/>
      </c>
      <c r="W468" s="8">
        <f>IF(COUNT(D468:U468)=0,"",MEDIAN(D468:U468))</f>
        <v/>
      </c>
      <c r="X468" s="8">
        <f>IF(COUNT(D468:U468)=0,"",MAX(D468:U468))</f>
        <v/>
      </c>
      <c r="Y468" s="9">
        <f>IF(OR(V468="",V468=0),"",(X468-V468)/V468)</f>
        <v/>
      </c>
      <c r="Z468" s="7">
        <f>IF(COUNT(D468:U468)=0,"",INDEX($D$1:$U$1,MATCH(MIN(D468:U468),D468:U468,0)))</f>
        <v/>
      </c>
      <c r="AA468" s="8" t="n">
        <v>76.16</v>
      </c>
      <c r="AB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>
        <f>IF(COUNT(D469:U469)=0,"",MIN(D469:U469))</f>
        <v/>
      </c>
      <c r="W469" s="8">
        <f>IF(COUNT(D469:U469)=0,"",MEDIAN(D469:U469))</f>
        <v/>
      </c>
      <c r="X469" s="8">
        <f>IF(COUNT(D469:U469)=0,"",MAX(D469:U469))</f>
        <v/>
      </c>
      <c r="Y469" s="9">
        <f>IF(OR(V469="",V469=0),"",(X469-V469)/V469)</f>
        <v/>
      </c>
      <c r="Z469" s="7">
        <f>IF(COUNT(D469:U469)=0,"",INDEX($D$1:$U$1,MATCH(MIN(D469:U469),D469:U469,0)))</f>
        <v/>
      </c>
      <c r="AA469" s="8" t="n">
        <v>12274.78</v>
      </c>
      <c r="AB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>
        <f>IF(COUNT(D470:U470)=0,"",MIN(D470:U470))</f>
        <v/>
      </c>
      <c r="W470" s="8">
        <f>IF(COUNT(D470:U470)=0,"",MEDIAN(D470:U470))</f>
        <v/>
      </c>
      <c r="X470" s="8">
        <f>IF(COUNT(D470:U470)=0,"",MAX(D470:U470))</f>
        <v/>
      </c>
      <c r="Y470" s="9">
        <f>IF(OR(V470="",V470=0),"",(X470-V470)/V470)</f>
        <v/>
      </c>
      <c r="Z470" s="7">
        <f>IF(COUNT(D470:U470)=0,"",INDEX($D$1:$U$1,MATCH(MIN(D470:U470),D470:U470,0)))</f>
        <v/>
      </c>
      <c r="AA470" s="8" t="n">
        <v>374.71</v>
      </c>
      <c r="AB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>
        <f>IF(COUNT(D471:U471)=0,"",MIN(D471:U471))</f>
        <v/>
      </c>
      <c r="W471" s="8">
        <f>IF(COUNT(D471:U471)=0,"",MEDIAN(D471:U471))</f>
        <v/>
      </c>
      <c r="X471" s="8">
        <f>IF(COUNT(D471:U471)=0,"",MAX(D471:U471))</f>
        <v/>
      </c>
      <c r="Y471" s="9">
        <f>IF(OR(V471="",V471=0),"",(X471-V471)/V471)</f>
        <v/>
      </c>
      <c r="Z471" s="7">
        <f>IF(COUNT(D471:U471)=0,"",INDEX($D$1:$U$1,MATCH(MIN(D471:U471),D471:U471,0)))</f>
        <v/>
      </c>
      <c r="AA471" s="8" t="n">
        <v>61.54</v>
      </c>
      <c r="AB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>
        <f>IF(COUNT(D472:U472)=0,"",MIN(D472:U472))</f>
        <v/>
      </c>
      <c r="W472" s="8">
        <f>IF(COUNT(D472:U472)=0,"",MEDIAN(D472:U472))</f>
        <v/>
      </c>
      <c r="X472" s="8">
        <f>IF(COUNT(D472:U472)=0,"",MAX(D472:U472))</f>
        <v/>
      </c>
      <c r="Y472" s="9">
        <f>IF(OR(V472="",V472=0),"",(X472-V472)/V472)</f>
        <v/>
      </c>
      <c r="Z472" s="7">
        <f>IF(COUNT(D472:U472)=0,"",INDEX($D$1:$U$1,MATCH(MIN(D472:U472),D472:U472,0)))</f>
        <v/>
      </c>
      <c r="AA472" s="8" t="n">
        <v>252.59</v>
      </c>
      <c r="AB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>
        <f>IF(COUNT(D473:U473)=0,"",MIN(D473:U473))</f>
        <v/>
      </c>
      <c r="W473" s="8">
        <f>IF(COUNT(D473:U473)=0,"",MEDIAN(D473:U473))</f>
        <v/>
      </c>
      <c r="X473" s="8">
        <f>IF(COUNT(D473:U473)=0,"",MAX(D473:U473))</f>
        <v/>
      </c>
      <c r="Y473" s="9">
        <f>IF(OR(V473="",V473=0),"",(X473-V473)/V473)</f>
        <v/>
      </c>
      <c r="Z473" s="7">
        <f>IF(COUNT(D473:U473)=0,"",INDEX($D$1:$U$1,MATCH(MIN(D473:U473),D473:U473,0)))</f>
        <v/>
      </c>
      <c r="AA473" s="8" t="n">
        <v>72.83</v>
      </c>
      <c r="AB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>
        <f>IF(COUNT(D474:U474)=0,"",MIN(D474:U474))</f>
        <v/>
      </c>
      <c r="W474" s="8">
        <f>IF(COUNT(D474:U474)=0,"",MEDIAN(D474:U474))</f>
        <v/>
      </c>
      <c r="X474" s="8">
        <f>IF(COUNT(D474:U474)=0,"",MAX(D474:U474))</f>
        <v/>
      </c>
      <c r="Y474" s="9">
        <f>IF(OR(V474="",V474=0),"",(X474-V474)/V474)</f>
        <v/>
      </c>
      <c r="Z474" s="7">
        <f>IF(COUNT(D474:U474)=0,"",INDEX($D$1:$U$1,MATCH(MIN(D474:U474),D474:U474,0)))</f>
        <v/>
      </c>
      <c r="AA474" s="8" t="n">
        <v>7235.96</v>
      </c>
      <c r="AB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>
        <f>IF(COUNT(D475:U475)=0,"",MIN(D475:U475))</f>
        <v/>
      </c>
      <c r="W475" s="8">
        <f>IF(COUNT(D475:U475)=0,"",MEDIAN(D475:U475))</f>
        <v/>
      </c>
      <c r="X475" s="8">
        <f>IF(COUNT(D475:U475)=0,"",MAX(D475:U475))</f>
        <v/>
      </c>
      <c r="Y475" s="9">
        <f>IF(OR(V475="",V475=0),"",(X475-V475)/V475)</f>
        <v/>
      </c>
      <c r="Z475" s="7">
        <f>IF(COUNT(D475:U475)=0,"",INDEX($D$1:$U$1,MATCH(MIN(D475:U475),D475:U475,0)))</f>
        <v/>
      </c>
      <c r="AA475" s="8" t="n">
        <v>235.54</v>
      </c>
      <c r="AB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>
        <f>IF(COUNT(D476:U476)=0,"",MIN(D476:U476))</f>
        <v/>
      </c>
      <c r="W476" s="8">
        <f>IF(COUNT(D476:U476)=0,"",MEDIAN(D476:U476))</f>
        <v/>
      </c>
      <c r="X476" s="8">
        <f>IF(COUNT(D476:U476)=0,"",MAX(D476:U476))</f>
        <v/>
      </c>
      <c r="Y476" s="9">
        <f>IF(OR(V476="",V476=0),"",(X476-V476)/V476)</f>
        <v/>
      </c>
      <c r="Z476" s="7">
        <f>IF(COUNT(D476:U476)=0,"",INDEX($D$1:$U$1,MATCH(MIN(D476:U476),D476:U476,0)))</f>
        <v/>
      </c>
      <c r="AA476" s="8" t="n">
        <v>78.89</v>
      </c>
      <c r="AB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>
        <f>IF(COUNT(D477:U477)=0,"",MIN(D477:U477))</f>
        <v/>
      </c>
      <c r="W477" s="8">
        <f>IF(COUNT(D477:U477)=0,"",MEDIAN(D477:U477))</f>
        <v/>
      </c>
      <c r="X477" s="8">
        <f>IF(COUNT(D477:U477)=0,"",MAX(D477:U477))</f>
        <v/>
      </c>
      <c r="Y477" s="9">
        <f>IF(OR(V477="",V477=0),"",(X477-V477)/V477)</f>
        <v/>
      </c>
      <c r="Z477" s="7">
        <f>IF(COUNT(D477:U477)=0,"",INDEX($D$1:$U$1,MATCH(MIN(D477:U477),D477:U477,0)))</f>
        <v/>
      </c>
      <c r="AA477" s="8" t="n">
        <v>919.9400000000001</v>
      </c>
      <c r="AB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>
        <f>IF(COUNT(D478:U478)=0,"",MIN(D478:U478))</f>
        <v/>
      </c>
      <c r="W478" s="8">
        <f>IF(COUNT(D478:U478)=0,"",MEDIAN(D478:U478))</f>
        <v/>
      </c>
      <c r="X478" s="8">
        <f>IF(COUNT(D478:U478)=0,"",MAX(D478:U478))</f>
        <v/>
      </c>
      <c r="Y478" s="9">
        <f>IF(OR(V478="",V478=0),"",(X478-V478)/V478)</f>
        <v/>
      </c>
      <c r="Z478" s="7">
        <f>IF(COUNT(D478:U478)=0,"",INDEX($D$1:$U$1,MATCH(MIN(D478:U478),D478:U478,0)))</f>
        <v/>
      </c>
      <c r="AA478" s="8" t="n">
        <v>767.39</v>
      </c>
      <c r="AB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>
        <f>IF(COUNT(D479:U479)=0,"",MIN(D479:U479))</f>
        <v/>
      </c>
      <c r="W479" s="8">
        <f>IF(COUNT(D479:U479)=0,"",MEDIAN(D479:U479))</f>
        <v/>
      </c>
      <c r="X479" s="8">
        <f>IF(COUNT(D479:U479)=0,"",MAX(D479:U479))</f>
        <v/>
      </c>
      <c r="Y479" s="9">
        <f>IF(OR(V479="",V479=0),"",(X479-V479)/V479)</f>
        <v/>
      </c>
      <c r="Z479" s="7">
        <f>IF(COUNT(D479:U479)=0,"",INDEX($D$1:$U$1,MATCH(MIN(D479:U479),D479:U479,0)))</f>
        <v/>
      </c>
      <c r="AA479" s="8" t="n">
        <v>487.49</v>
      </c>
      <c r="AB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>
        <f>IF(COUNT(D480:U480)=0,"",MIN(D480:U480))</f>
        <v/>
      </c>
      <c r="W480" s="8">
        <f>IF(COUNT(D480:U480)=0,"",MEDIAN(D480:U480))</f>
        <v/>
      </c>
      <c r="X480" s="8">
        <f>IF(COUNT(D480:U480)=0,"",MAX(D480:U480))</f>
        <v/>
      </c>
      <c r="Y480" s="9">
        <f>IF(OR(V480="",V480=0),"",(X480-V480)/V480)</f>
        <v/>
      </c>
      <c r="Z480" s="7">
        <f>IF(COUNT(D480:U480)=0,"",INDEX($D$1:$U$1,MATCH(MIN(D480:U480),D480:U480,0)))</f>
        <v/>
      </c>
      <c r="AA480" s="8" t="n">
        <v>1058.7</v>
      </c>
      <c r="AB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>
        <f>IF(COUNT(D481:U481)=0,"",MIN(D481:U481))</f>
        <v/>
      </c>
      <c r="W481" s="8">
        <f>IF(COUNT(D481:U481)=0,"",MEDIAN(D481:U481))</f>
        <v/>
      </c>
      <c r="X481" s="8">
        <f>IF(COUNT(D481:U481)=0,"",MAX(D481:U481))</f>
        <v/>
      </c>
      <c r="Y481" s="9">
        <f>IF(OR(V481="",V481=0),"",(X481-V481)/V481)</f>
        <v/>
      </c>
      <c r="Z481" s="7">
        <f>IF(COUNT(D481:U481)=0,"",INDEX($D$1:$U$1,MATCH(MIN(D481:U481),D481:U481,0)))</f>
        <v/>
      </c>
      <c r="AA481" s="8" t="n">
        <v>655.48</v>
      </c>
      <c r="AB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>
        <f>IF(COUNT(D482:U482)=0,"",MIN(D482:U482))</f>
        <v/>
      </c>
      <c r="W482" s="8">
        <f>IF(COUNT(D482:U482)=0,"",MEDIAN(D482:U482))</f>
        <v/>
      </c>
      <c r="X482" s="8">
        <f>IF(COUNT(D482:U482)=0,"",MAX(D482:U482))</f>
        <v/>
      </c>
      <c r="Y482" s="9">
        <f>IF(OR(V482="",V482=0),"",(X482-V482)/V482)</f>
        <v/>
      </c>
      <c r="Z482" s="7">
        <f>IF(COUNT(D482:U482)=0,"",INDEX($D$1:$U$1,MATCH(MIN(D482:U482),D482:U482,0)))</f>
        <v/>
      </c>
      <c r="AA482" s="8" t="n">
        <v>1094.69</v>
      </c>
      <c r="AB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>
        <f>IF(COUNT(D483:U483)=0,"",MIN(D483:U483))</f>
        <v/>
      </c>
      <c r="W483" s="8">
        <f>IF(COUNT(D483:U483)=0,"",MEDIAN(D483:U483))</f>
        <v/>
      </c>
      <c r="X483" s="8">
        <f>IF(COUNT(D483:U483)=0,"",MAX(D483:U483))</f>
        <v/>
      </c>
      <c r="Y483" s="9">
        <f>IF(OR(V483="",V483=0),"",(X483-V483)/V483)</f>
        <v/>
      </c>
      <c r="Z483" s="7">
        <f>IF(COUNT(D483:U483)=0,"",INDEX($D$1:$U$1,MATCH(MIN(D483:U483),D483:U483,0)))</f>
        <v/>
      </c>
      <c r="AA483" s="8" t="n">
        <v>219.97</v>
      </c>
      <c r="AB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>
        <f>IF(COUNT(D484:U484)=0,"",MIN(D484:U484))</f>
        <v/>
      </c>
      <c r="W484" s="8">
        <f>IF(COUNT(D484:U484)=0,"",MEDIAN(D484:U484))</f>
        <v/>
      </c>
      <c r="X484" s="8">
        <f>IF(COUNT(D484:U484)=0,"",MAX(D484:U484))</f>
        <v/>
      </c>
      <c r="Y484" s="9">
        <f>IF(OR(V484="",V484=0),"",(X484-V484)/V484)</f>
        <v/>
      </c>
      <c r="Z484" s="7">
        <f>IF(COUNT(D484:U484)=0,"",INDEX($D$1:$U$1,MATCH(MIN(D484:U484),D484:U484,0)))</f>
        <v/>
      </c>
      <c r="AA484" s="8" t="n">
        <v>1768.33</v>
      </c>
      <c r="AB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>
        <f>IF(COUNT(D485:U485)=0,"",MIN(D485:U485))</f>
        <v/>
      </c>
      <c r="W485" s="8">
        <f>IF(COUNT(D485:U485)=0,"",MEDIAN(D485:U485))</f>
        <v/>
      </c>
      <c r="X485" s="8">
        <f>IF(COUNT(D485:U485)=0,"",MAX(D485:U485))</f>
        <v/>
      </c>
      <c r="Y485" s="9">
        <f>IF(OR(V485="",V485=0),"",(X485-V485)/V485)</f>
        <v/>
      </c>
      <c r="Z485" s="7">
        <f>IF(COUNT(D485:U485)=0,"",INDEX($D$1:$U$1,MATCH(MIN(D485:U485),D485:U485,0)))</f>
        <v/>
      </c>
      <c r="AA485" s="8" t="n">
        <v>1758.39</v>
      </c>
      <c r="AB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>
        <f>IF(COUNT(D486:U486)=0,"",MIN(D486:U486))</f>
        <v/>
      </c>
      <c r="W486" s="8">
        <f>IF(COUNT(D486:U486)=0,"",MEDIAN(D486:U486))</f>
        <v/>
      </c>
      <c r="X486" s="8">
        <f>IF(COUNT(D486:U486)=0,"",MAX(D486:U486))</f>
        <v/>
      </c>
      <c r="Y486" s="9">
        <f>IF(OR(V486="",V486=0),"",(X486-V486)/V486)</f>
        <v/>
      </c>
      <c r="Z486" s="7">
        <f>IF(COUNT(D486:U486)=0,"",INDEX($D$1:$U$1,MATCH(MIN(D486:U486),D486:U486,0)))</f>
        <v/>
      </c>
      <c r="AA486" s="8" t="n">
        <v>602.14</v>
      </c>
      <c r="AB486" s="10" t="n">
        <v>1</v>
      </c>
    </row>
    <row r="487">
      <c r="A487" s="7" t="inlineStr">
        <is>
          <t>MAT-08-271</t>
        </is>
      </c>
      <c r="B487" s="4" t="inlineStr">
        <is>
          <t>Deck de WPC para exterior, 25 mm</t>
        </is>
      </c>
      <c r="C487" s="7" t="inlineStr">
        <is>
          <t>m²</t>
        </is>
      </c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>
        <v>3201.97</v>
      </c>
      <c r="R487" s="8" t="n"/>
      <c r="S487" s="8" t="n"/>
      <c r="T487" s="8" t="n"/>
      <c r="U487" s="8" t="n"/>
      <c r="V487" s="8">
        <f>IF(COUNT(D487:U487)=0,"",MIN(D487:U487))</f>
        <v/>
      </c>
      <c r="W487" s="8">
        <f>IF(COUNT(D487:U487)=0,"",MEDIAN(D487:U487))</f>
        <v/>
      </c>
      <c r="X487" s="8">
        <f>IF(COUNT(D487:U487)=0,"",MAX(D487:U487))</f>
        <v/>
      </c>
      <c r="Y487" s="9">
        <f>IF(OR(V487="",V487=0),"",(X487-V487)/V487)</f>
        <v/>
      </c>
      <c r="Z487" s="7">
        <f>IF(COUNT(D487:U487)=0,"",INDEX($D$1:$U$1,MATCH(MIN(D487:U487),D487:U487,0)))</f>
        <v/>
      </c>
      <c r="AA487" s="8" t="n">
        <v>3201.97</v>
      </c>
      <c r="AB487" s="10" t="n">
        <v>1</v>
      </c>
    </row>
    <row r="488">
      <c r="A488" s="7" t="inlineStr">
        <is>
          <t>MAT-08-272</t>
        </is>
      </c>
      <c r="B488" s="4" t="inlineStr">
        <is>
          <t>Piso vinílico, 5.2 mm</t>
        </is>
      </c>
      <c r="C488" s="7" t="inlineStr">
        <is>
          <t>m²</t>
        </is>
      </c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>
        <v>1411.66</v>
      </c>
      <c r="R488" s="8" t="n"/>
      <c r="S488" s="8" t="n"/>
      <c r="T488" s="8" t="n"/>
      <c r="U488" s="8" t="n"/>
      <c r="V488" s="8">
        <f>IF(COUNT(D488:U488)=0,"",MIN(D488:U488))</f>
        <v/>
      </c>
      <c r="W488" s="8">
        <f>IF(COUNT(D488:U488)=0,"",MEDIAN(D488:U488))</f>
        <v/>
      </c>
      <c r="X488" s="8">
        <f>IF(COUNT(D488:U488)=0,"",MAX(D488:U488))</f>
        <v/>
      </c>
      <c r="Y488" s="9">
        <f>IF(OR(V488="",V488=0),"",(X488-V488)/V488)</f>
        <v/>
      </c>
      <c r="Z488" s="7">
        <f>IF(COUNT(D488:U488)=0,"",INDEX($D$1:$U$1,MATCH(MIN(D488:U488),D488:U488,0)))</f>
        <v/>
      </c>
      <c r="AA488" s="8" t="n">
        <v>1411.66</v>
      </c>
      <c r="AB488" s="10" t="n">
        <v>1</v>
      </c>
    </row>
    <row r="489">
      <c r="A489" s="7" t="inlineStr">
        <is>
          <t>MAT-08-273</t>
        </is>
      </c>
      <c r="B489" s="4" t="inlineStr">
        <is>
          <t>Piso vinílico, 6 mm</t>
        </is>
      </c>
      <c r="C489" s="7" t="inlineStr">
        <is>
          <t>m²</t>
        </is>
      </c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>
        <v>1411.66</v>
      </c>
      <c r="R489" s="8" t="n"/>
      <c r="S489" s="8" t="n"/>
      <c r="T489" s="8" t="n"/>
      <c r="U489" s="8" t="n"/>
      <c r="V489" s="8">
        <f>IF(COUNT(D489:U489)=0,"",MIN(D489:U489))</f>
        <v/>
      </c>
      <c r="W489" s="8">
        <f>IF(COUNT(D489:U489)=0,"",MEDIAN(D489:U489))</f>
        <v/>
      </c>
      <c r="X489" s="8">
        <f>IF(COUNT(D489:U489)=0,"",MAX(D489:U489))</f>
        <v/>
      </c>
      <c r="Y489" s="9">
        <f>IF(OR(V489="",V489=0),"",(X489-V489)/V489)</f>
        <v/>
      </c>
      <c r="Z489" s="7">
        <f>IF(COUNT(D489:U489)=0,"",INDEX($D$1:$U$1,MATCH(MIN(D489:U489),D489:U489,0)))</f>
        <v/>
      </c>
      <c r="AA489" s="8" t="n">
        <v>1411.66</v>
      </c>
      <c r="AB489" s="10" t="n">
        <v>1</v>
      </c>
    </row>
    <row r="490">
      <c r="A490" s="7" t="inlineStr">
        <is>
          <t>MAT-08-274</t>
        </is>
      </c>
      <c r="B490" s="4" t="inlineStr">
        <is>
          <t>Panel de vinil para pared, 4.5 mm</t>
        </is>
      </c>
      <c r="C490" s="7" t="inlineStr">
        <is>
          <t>m²</t>
        </is>
      </c>
      <c r="D490" s="8" t="n"/>
      <c r="E490" s="8" t="n"/>
      <c r="F490" s="8" t="n">
        <v>857.6799999999999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>
        <f>IF(COUNT(D490:U490)=0,"",MIN(D490:U490))</f>
        <v/>
      </c>
      <c r="W490" s="8">
        <f>IF(COUNT(D490:U490)=0,"",MEDIAN(D490:U490))</f>
        <v/>
      </c>
      <c r="X490" s="8">
        <f>IF(COUNT(D490:U490)=0,"",MAX(D490:U490))</f>
        <v/>
      </c>
      <c r="Y490" s="9">
        <f>IF(OR(V490="",V490=0),"",(X490-V490)/V490)</f>
        <v/>
      </c>
      <c r="Z490" s="7">
        <f>IF(COUNT(D490:U490)=0,"",INDEX($D$1:$U$1,MATCH(MIN(D490:U490),D490:U490,0)))</f>
        <v/>
      </c>
      <c r="AA490" s="8" t="n">
        <v>1537.07</v>
      </c>
      <c r="AB490" s="10" t="n">
        <v>1</v>
      </c>
    </row>
    <row r="491">
      <c r="A491" s="7" t="inlineStr">
        <is>
          <t>MAT-08-275</t>
        </is>
      </c>
      <c r="B491" s="4" t="inlineStr">
        <is>
          <t>Adoquín de hormigón tipo cuadrado</t>
        </is>
      </c>
      <c r="C491" s="7" t="inlineStr">
        <is>
          <t>m²</t>
        </is>
      </c>
      <c r="D491" s="8" t="n">
        <v>874.38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>
        <f>IF(COUNT(D491:U491)=0,"",MIN(D491:U491))</f>
        <v/>
      </c>
      <c r="W491" s="8">
        <f>IF(COUNT(D491:U491)=0,"",MEDIAN(D491:U491))</f>
        <v/>
      </c>
      <c r="X491" s="8">
        <f>IF(COUNT(D491:U491)=0,"",MAX(D491:U491))</f>
        <v/>
      </c>
      <c r="Y491" s="9">
        <f>IF(OR(V491="",V491=0),"",(X491-V491)/V491)</f>
        <v/>
      </c>
      <c r="Z491" s="7">
        <f>IF(COUNT(D491:U491)=0,"",INDEX($D$1:$U$1,MATCH(MIN(D491:U491),D491:U491,0)))</f>
        <v/>
      </c>
      <c r="AA491" s="8" t="n">
        <v>874.38</v>
      </c>
      <c r="AB491" s="10" t="n">
        <v>1</v>
      </c>
    </row>
    <row r="492">
      <c r="A492" s="7" t="inlineStr">
        <is>
          <t>MAT-08-276</t>
        </is>
      </c>
      <c r="B492" s="4" t="inlineStr">
        <is>
          <t>Adoquín de hormigón tipo flecha</t>
        </is>
      </c>
      <c r="C492" s="7" t="inlineStr">
        <is>
          <t>m²</t>
        </is>
      </c>
      <c r="D492" s="8" t="n">
        <v>812.28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>
        <f>IF(COUNT(D492:U492)=0,"",MIN(D492:U492))</f>
        <v/>
      </c>
      <c r="W492" s="8">
        <f>IF(COUNT(D492:U492)=0,"",MEDIAN(D492:U492))</f>
        <v/>
      </c>
      <c r="X492" s="8">
        <f>IF(COUNT(D492:U492)=0,"",MAX(D492:U492))</f>
        <v/>
      </c>
      <c r="Y492" s="9">
        <f>IF(OR(V492="",V492=0),"",(X492-V492)/V492)</f>
        <v/>
      </c>
      <c r="Z492" s="7">
        <f>IF(COUNT(D492:U492)=0,"",INDEX($D$1:$U$1,MATCH(MIN(D492:U492),D492:U492,0)))</f>
        <v/>
      </c>
      <c r="AA492" s="8" t="n">
        <v>812.28</v>
      </c>
      <c r="AB492" s="10" t="n">
        <v>1</v>
      </c>
    </row>
    <row r="493">
      <c r="A493" s="7" t="inlineStr">
        <is>
          <t>MAT-08-277</t>
        </is>
      </c>
      <c r="B493" s="4" t="inlineStr">
        <is>
          <t>Adoquín de hormigón tipo ladrillo</t>
        </is>
      </c>
      <c r="C493" s="7" t="inlineStr">
        <is>
          <t>m²</t>
        </is>
      </c>
      <c r="D493" s="8" t="n">
        <v>850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>
        <f>IF(COUNT(D493:U493)=0,"",MIN(D493:U493))</f>
        <v/>
      </c>
      <c r="W493" s="8">
        <f>IF(COUNT(D493:U493)=0,"",MEDIAN(D493:U493))</f>
        <v/>
      </c>
      <c r="X493" s="8">
        <f>IF(COUNT(D493:U493)=0,"",MAX(D493:U493))</f>
        <v/>
      </c>
      <c r="Y493" s="9">
        <f>IF(OR(V493="",V493=0),"",(X493-V493)/V493)</f>
        <v/>
      </c>
      <c r="Z493" s="7">
        <f>IF(COUNT(D493:U493)=0,"",INDEX($D$1:$U$1,MATCH(MIN(D493:U493),D493:U493,0)))</f>
        <v/>
      </c>
      <c r="AA493" s="8" t="n">
        <v>850</v>
      </c>
      <c r="AB493" s="10" t="n">
        <v>1</v>
      </c>
    </row>
    <row r="494">
      <c r="A494" s="7" t="inlineStr">
        <is>
          <t>MAT-08-278</t>
        </is>
      </c>
      <c r="B494" s="4" t="inlineStr">
        <is>
          <t>Adoquín de hormigón tipo raqueta</t>
        </is>
      </c>
      <c r="C494" s="7" t="inlineStr">
        <is>
          <t>m²</t>
        </is>
      </c>
      <c r="D494" s="8" t="n">
        <v>872.87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>
        <f>IF(COUNT(D494:U494)=0,"",MIN(D494:U494))</f>
        <v/>
      </c>
      <c r="W494" s="8">
        <f>IF(COUNT(D494:U494)=0,"",MEDIAN(D494:U494))</f>
        <v/>
      </c>
      <c r="X494" s="8">
        <f>IF(COUNT(D494:U494)=0,"",MAX(D494:U494))</f>
        <v/>
      </c>
      <c r="Y494" s="9">
        <f>IF(OR(V494="",V494=0),"",(X494-V494)/V494)</f>
        <v/>
      </c>
      <c r="Z494" s="7">
        <f>IF(COUNT(D494:U494)=0,"",INDEX($D$1:$U$1,MATCH(MIN(D494:U494),D494:U494,0)))</f>
        <v/>
      </c>
      <c r="AA494" s="8" t="n">
        <v>872.87</v>
      </c>
      <c r="AB494" s="10" t="n">
        <v>1</v>
      </c>
    </row>
    <row r="495">
      <c r="A495" s="7" t="inlineStr">
        <is>
          <t>MAT-08-279</t>
        </is>
      </c>
      <c r="B495" s="4" t="inlineStr">
        <is>
          <t>Polvo de color para mosaico amarillo comercial, 1 lb</t>
        </is>
      </c>
      <c r="C495" s="7" t="inlineStr">
        <is>
          <t>unidad</t>
        </is>
      </c>
      <c r="D495" s="8" t="n">
        <v>55.94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>
        <f>IF(COUNT(D495:U495)=0,"",MIN(D495:U495))</f>
        <v/>
      </c>
      <c r="W495" s="8">
        <f>IF(COUNT(D495:U495)=0,"",MEDIAN(D495:U495))</f>
        <v/>
      </c>
      <c r="X495" s="8">
        <f>IF(COUNT(D495:U495)=0,"",MAX(D495:U495))</f>
        <v/>
      </c>
      <c r="Y495" s="9">
        <f>IF(OR(V495="",V495=0),"",(X495-V495)/V495)</f>
        <v/>
      </c>
      <c r="Z495" s="7">
        <f>IF(COUNT(D495:U495)=0,"",INDEX($D$1:$U$1,MATCH(MIN(D495:U495),D495:U495,0)))</f>
        <v/>
      </c>
      <c r="AA495" s="8" t="n">
        <v>55.94</v>
      </c>
      <c r="AB495" s="10" t="n">
        <v>1</v>
      </c>
    </row>
    <row r="496">
      <c r="A496" s="7" t="inlineStr">
        <is>
          <t>MAT-08-280</t>
        </is>
      </c>
      <c r="B496" s="4" t="inlineStr">
        <is>
          <t>Polvo de color para mosaico amarillo industrial, 1 lb</t>
        </is>
      </c>
      <c r="C496" s="7" t="inlineStr">
        <is>
          <t>unidad</t>
        </is>
      </c>
      <c r="D496" s="8" t="n">
        <v>153.81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>
        <f>IF(COUNT(D496:U496)=0,"",MIN(D496:U496))</f>
        <v/>
      </c>
      <c r="W496" s="8">
        <f>IF(COUNT(D496:U496)=0,"",MEDIAN(D496:U496))</f>
        <v/>
      </c>
      <c r="X496" s="8">
        <f>IF(COUNT(D496:U496)=0,"",MAX(D496:U496))</f>
        <v/>
      </c>
      <c r="Y496" s="9">
        <f>IF(OR(V496="",V496=0),"",(X496-V496)/V496)</f>
        <v/>
      </c>
      <c r="Z496" s="7">
        <f>IF(COUNT(D496:U496)=0,"",INDEX($D$1:$U$1,MATCH(MIN(D496:U496),D496:U496,0)))</f>
        <v/>
      </c>
      <c r="AA496" s="8" t="n">
        <v>153.81</v>
      </c>
      <c r="AB496" s="10" t="n">
        <v>1</v>
      </c>
    </row>
    <row r="497">
      <c r="A497" s="7" t="inlineStr">
        <is>
          <t>MAT-08-281</t>
        </is>
      </c>
      <c r="B497" s="4" t="inlineStr">
        <is>
          <t>Polvo de color para mosaico azul comercial, 1 lb</t>
        </is>
      </c>
      <c r="C497" s="7" t="inlineStr">
        <is>
          <t>unidad</t>
        </is>
      </c>
      <c r="D497" s="8" t="n">
        <v>82.72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>
        <f>IF(COUNT(D497:U497)=0,"",MIN(D497:U497))</f>
        <v/>
      </c>
      <c r="W497" s="8">
        <f>IF(COUNT(D497:U497)=0,"",MEDIAN(D497:U497))</f>
        <v/>
      </c>
      <c r="X497" s="8">
        <f>IF(COUNT(D497:U497)=0,"",MAX(D497:U497))</f>
        <v/>
      </c>
      <c r="Y497" s="9">
        <f>IF(OR(V497="",V497=0),"",(X497-V497)/V497)</f>
        <v/>
      </c>
      <c r="Z497" s="7">
        <f>IF(COUNT(D497:U497)=0,"",INDEX($D$1:$U$1,MATCH(MIN(D497:U497),D497:U497,0)))</f>
        <v/>
      </c>
      <c r="AA497" s="8" t="n">
        <v>82.72</v>
      </c>
      <c r="AB497" s="10" t="n">
        <v>1</v>
      </c>
    </row>
    <row r="498">
      <c r="A498" s="7" t="inlineStr">
        <is>
          <t>MAT-08-282</t>
        </is>
      </c>
      <c r="B498" s="4" t="inlineStr">
        <is>
          <t>Polvo de color para mosaico azul industrial, 1 lb</t>
        </is>
      </c>
      <c r="C498" s="7" t="inlineStr">
        <is>
          <t>unidad</t>
        </is>
      </c>
      <c r="D498" s="8" t="n">
        <v>162.49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>
        <f>IF(COUNT(D498:U498)=0,"",MIN(D498:U498))</f>
        <v/>
      </c>
      <c r="W498" s="8">
        <f>IF(COUNT(D498:U498)=0,"",MEDIAN(D498:U498))</f>
        <v/>
      </c>
      <c r="X498" s="8">
        <f>IF(COUNT(D498:U498)=0,"",MAX(D498:U498))</f>
        <v/>
      </c>
      <c r="Y498" s="9">
        <f>IF(OR(V498="",V498=0),"",(X498-V498)/V498)</f>
        <v/>
      </c>
      <c r="Z498" s="7">
        <f>IF(COUNT(D498:U498)=0,"",INDEX($D$1:$U$1,MATCH(MIN(D498:U498),D498:U498,0)))</f>
        <v/>
      </c>
      <c r="AA498" s="8" t="n">
        <v>162.49</v>
      </c>
      <c r="AB498" s="10" t="n">
        <v>1</v>
      </c>
    </row>
    <row r="499">
      <c r="A499" s="7" t="inlineStr">
        <is>
          <t>MAT-08-283</t>
        </is>
      </c>
      <c r="B499" s="4" t="inlineStr">
        <is>
          <t>Polvo de color para mosaico negro comercial, 1 lb</t>
        </is>
      </c>
      <c r="C499" s="7" t="inlineStr">
        <is>
          <t>unidad</t>
        </is>
      </c>
      <c r="D499" s="8" t="n">
        <v>90.79000000000001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>
        <f>IF(COUNT(D499:U499)=0,"",MIN(D499:U499))</f>
        <v/>
      </c>
      <c r="W499" s="8">
        <f>IF(COUNT(D499:U499)=0,"",MEDIAN(D499:U499))</f>
        <v/>
      </c>
      <c r="X499" s="8">
        <f>IF(COUNT(D499:U499)=0,"",MAX(D499:U499))</f>
        <v/>
      </c>
      <c r="Y499" s="9">
        <f>IF(OR(V499="",V499=0),"",(X499-V499)/V499)</f>
        <v/>
      </c>
      <c r="Z499" s="7">
        <f>IF(COUNT(D499:U499)=0,"",INDEX($D$1:$U$1,MATCH(MIN(D499:U499),D499:U499,0)))</f>
        <v/>
      </c>
      <c r="AA499" s="8" t="n">
        <v>90.79000000000001</v>
      </c>
      <c r="AB499" s="10" t="n">
        <v>1</v>
      </c>
    </row>
    <row r="500">
      <c r="A500" s="7" t="inlineStr">
        <is>
          <t>MAT-08-284</t>
        </is>
      </c>
      <c r="B500" s="4" t="inlineStr">
        <is>
          <t>Polvo de color para mosaico negro industrial, 1 lb</t>
        </is>
      </c>
      <c r="C500" s="7" t="inlineStr">
        <is>
          <t>unidad</t>
        </is>
      </c>
      <c r="D500" s="8" t="n">
        <v>129.29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>
        <f>IF(COUNT(D500:U500)=0,"",MIN(D500:U500))</f>
        <v/>
      </c>
      <c r="W500" s="8">
        <f>IF(COUNT(D500:U500)=0,"",MEDIAN(D500:U500))</f>
        <v/>
      </c>
      <c r="X500" s="8">
        <f>IF(COUNT(D500:U500)=0,"",MAX(D500:U500))</f>
        <v/>
      </c>
      <c r="Y500" s="9">
        <f>IF(OR(V500="",V500=0),"",(X500-V500)/V500)</f>
        <v/>
      </c>
      <c r="Z500" s="7">
        <f>IF(COUNT(D500:U500)=0,"",INDEX($D$1:$U$1,MATCH(MIN(D500:U500),D500:U500,0)))</f>
        <v/>
      </c>
      <c r="AA500" s="8" t="n">
        <v>129.29</v>
      </c>
      <c r="AB500" s="10" t="n">
        <v>1</v>
      </c>
    </row>
    <row r="501">
      <c r="A501" s="7" t="inlineStr">
        <is>
          <t>MAT-08-285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>
        <f>IF(COUNT(D501:U501)=0,"",MIN(D501:U501))</f>
        <v/>
      </c>
      <c r="W501" s="8">
        <f>IF(COUNT(D501:U501)=0,"",MEDIAN(D501:U501))</f>
        <v/>
      </c>
      <c r="X501" s="8">
        <f>IF(COUNT(D501:U501)=0,"",MAX(D501:U501))</f>
        <v/>
      </c>
      <c r="Y501" s="9">
        <f>IF(OR(V501="",V501=0),"",(X501-V501)/V501)</f>
        <v/>
      </c>
      <c r="Z501" s="7">
        <f>IF(COUNT(D501:U501)=0,"",INDEX($D$1:$U$1,MATCH(MIN(D501:U501),D501:U501,0)))</f>
        <v/>
      </c>
      <c r="AA501" s="8" t="n">
        <v>66.5</v>
      </c>
      <c r="AB501" s="10" t="n">
        <v>1</v>
      </c>
    </row>
    <row r="502">
      <c r="A502" s="7" t="inlineStr">
        <is>
          <t>MAT-08-286</t>
        </is>
      </c>
      <c r="B502" s="4" t="inlineStr">
        <is>
          <t>Polvo de color para mosaico rojo industrial, 1 lb</t>
        </is>
      </c>
      <c r="C502" s="7" t="inlineStr">
        <is>
          <t>unidad</t>
        </is>
      </c>
      <c r="D502" s="8" t="n">
        <v>106.37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>
        <f>IF(COUNT(D502:U502)=0,"",MIN(D502:U502))</f>
        <v/>
      </c>
      <c r="W502" s="8">
        <f>IF(COUNT(D502:U502)=0,"",MEDIAN(D502:U502))</f>
        <v/>
      </c>
      <c r="X502" s="8">
        <f>IF(COUNT(D502:U502)=0,"",MAX(D502:U502))</f>
        <v/>
      </c>
      <c r="Y502" s="9">
        <f>IF(OR(V502="",V502=0),"",(X502-V502)/V502)</f>
        <v/>
      </c>
      <c r="Z502" s="7">
        <f>IF(COUNT(D502:U502)=0,"",INDEX($D$1:$U$1,MATCH(MIN(D502:U502),D502:U502,0)))</f>
        <v/>
      </c>
      <c r="AA502" s="8" t="n">
        <v>106.37</v>
      </c>
      <c r="AB502" s="10" t="n">
        <v>1</v>
      </c>
    </row>
    <row r="503">
      <c r="A503" s="7" t="inlineStr">
        <is>
          <t>MAT-08-287</t>
        </is>
      </c>
      <c r="B503" s="4" t="inlineStr">
        <is>
          <t>Polvo de color para mosaico verde comercial, 1 lb</t>
        </is>
      </c>
      <c r="C503" s="7" t="inlineStr">
        <is>
          <t>unidad</t>
        </is>
      </c>
      <c r="D503" s="8" t="n">
        <v>78.84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>
        <f>IF(COUNT(D503:U503)=0,"",MIN(D503:U503))</f>
        <v/>
      </c>
      <c r="W503" s="8">
        <f>IF(COUNT(D503:U503)=0,"",MEDIAN(D503:U503))</f>
        <v/>
      </c>
      <c r="X503" s="8">
        <f>IF(COUNT(D503:U503)=0,"",MAX(D503:U503))</f>
        <v/>
      </c>
      <c r="Y503" s="9">
        <f>IF(OR(V503="",V503=0),"",(X503-V503)/V503)</f>
        <v/>
      </c>
      <c r="Z503" s="7">
        <f>IF(COUNT(D503:U503)=0,"",INDEX($D$1:$U$1,MATCH(MIN(D503:U503),D503:U503,0)))</f>
        <v/>
      </c>
      <c r="AA503" s="8" t="n">
        <v>78.84</v>
      </c>
      <c r="AB503" s="10" t="n">
        <v>1</v>
      </c>
    </row>
    <row r="504">
      <c r="A504" s="7" t="inlineStr">
        <is>
          <t>MAT-08-288</t>
        </is>
      </c>
      <c r="B504" s="4" t="inlineStr">
        <is>
          <t>Polvo de color para mosaico verde industrial, 1 lb</t>
        </is>
      </c>
      <c r="C504" s="7" t="inlineStr">
        <is>
          <t>unidad</t>
        </is>
      </c>
      <c r="D504" s="8" t="n">
        <v>180.39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>
        <f>IF(COUNT(D504:U504)=0,"",MIN(D504:U504))</f>
        <v/>
      </c>
      <c r="W504" s="8">
        <f>IF(COUNT(D504:U504)=0,"",MEDIAN(D504:U504))</f>
        <v/>
      </c>
      <c r="X504" s="8">
        <f>IF(COUNT(D504:U504)=0,"",MAX(D504:U504))</f>
        <v/>
      </c>
      <c r="Y504" s="9">
        <f>IF(OR(V504="",V504=0),"",(X504-V504)/V504)</f>
        <v/>
      </c>
      <c r="Z504" s="7">
        <f>IF(COUNT(D504:U504)=0,"",INDEX($D$1:$U$1,MATCH(MIN(D504:U504),D504:U504,0)))</f>
        <v/>
      </c>
      <c r="AA504" s="8" t="n">
        <v>180.39</v>
      </c>
      <c r="AB504" s="10" t="n">
        <v>1</v>
      </c>
    </row>
    <row r="505">
      <c r="A505" s="7" t="inlineStr">
        <is>
          <t>MAT-08-289</t>
        </is>
      </c>
      <c r="B505" s="4" t="inlineStr">
        <is>
          <t>Polvo de color para mosaico amarillo industrial, 3 lb</t>
        </is>
      </c>
      <c r="C505" s="7" t="inlineStr">
        <is>
          <t>unidad</t>
        </is>
      </c>
      <c r="D505" s="8" t="n">
        <v>460.92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>
        <f>IF(COUNT(D505:U505)=0,"",MIN(D505:U505))</f>
        <v/>
      </c>
      <c r="W505" s="8">
        <f>IF(COUNT(D505:U505)=0,"",MEDIAN(D505:U505))</f>
        <v/>
      </c>
      <c r="X505" s="8">
        <f>IF(COUNT(D505:U505)=0,"",MAX(D505:U505))</f>
        <v/>
      </c>
      <c r="Y505" s="9">
        <f>IF(OR(V505="",V505=0),"",(X505-V505)/V505)</f>
        <v/>
      </c>
      <c r="Z505" s="7">
        <f>IF(COUNT(D505:U505)=0,"",INDEX($D$1:$U$1,MATCH(MIN(D505:U505),D505:U505,0)))</f>
        <v/>
      </c>
      <c r="AA505" s="8" t="n">
        <v>460.92</v>
      </c>
      <c r="AB505" s="10" t="n">
        <v>1</v>
      </c>
    </row>
    <row r="506">
      <c r="A506" s="7" t="inlineStr">
        <is>
          <t>MAT-08-290</t>
        </is>
      </c>
      <c r="B506" s="4" t="inlineStr">
        <is>
          <t>Polvo de color para mosaico amarillo comercial, 5 lb</t>
        </is>
      </c>
      <c r="C506" s="7" t="inlineStr">
        <is>
          <t>unidad</t>
        </is>
      </c>
      <c r="D506" s="8" t="n">
        <v>280.64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>
        <f>IF(COUNT(D506:U506)=0,"",MIN(D506:U506))</f>
        <v/>
      </c>
      <c r="W506" s="8">
        <f>IF(COUNT(D506:U506)=0,"",MEDIAN(D506:U506))</f>
        <v/>
      </c>
      <c r="X506" s="8">
        <f>IF(COUNT(D506:U506)=0,"",MAX(D506:U506))</f>
        <v/>
      </c>
      <c r="Y506" s="9">
        <f>IF(OR(V506="",V506=0),"",(X506-V506)/V506)</f>
        <v/>
      </c>
      <c r="Z506" s="7">
        <f>IF(COUNT(D506:U506)=0,"",INDEX($D$1:$U$1,MATCH(MIN(D506:U506),D506:U506,0)))</f>
        <v/>
      </c>
      <c r="AA506" s="8" t="n">
        <v>280.64</v>
      </c>
      <c r="AB506" s="10" t="n">
        <v>1</v>
      </c>
    </row>
    <row r="507">
      <c r="A507" s="7" t="inlineStr">
        <is>
          <t>MAT-08-291</t>
        </is>
      </c>
      <c r="B507" s="4" t="inlineStr">
        <is>
          <t>Polvo de color para mosaico azul comercial, 5 lb</t>
        </is>
      </c>
      <c r="C507" s="7" t="inlineStr">
        <is>
          <t>unidad</t>
        </is>
      </c>
      <c r="D507" s="8" t="n">
        <v>367.96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>
        <f>IF(COUNT(D507:U507)=0,"",MIN(D507:U507))</f>
        <v/>
      </c>
      <c r="W507" s="8">
        <f>IF(COUNT(D507:U507)=0,"",MEDIAN(D507:U507))</f>
        <v/>
      </c>
      <c r="X507" s="8">
        <f>IF(COUNT(D507:U507)=0,"",MAX(D507:U507))</f>
        <v/>
      </c>
      <c r="Y507" s="9">
        <f>IF(OR(V507="",V507=0),"",(X507-V507)/V507)</f>
        <v/>
      </c>
      <c r="Z507" s="7">
        <f>IF(COUNT(D507:U507)=0,"",INDEX($D$1:$U$1,MATCH(MIN(D507:U507),D507:U507,0)))</f>
        <v/>
      </c>
      <c r="AA507" s="8" t="n">
        <v>367.96</v>
      </c>
      <c r="AB507" s="10" t="n">
        <v>1</v>
      </c>
    </row>
    <row r="508">
      <c r="A508" s="7" t="inlineStr">
        <is>
          <t>MAT-08-292</t>
        </is>
      </c>
      <c r="B508" s="4" t="inlineStr">
        <is>
          <t>Polvo de color para mosaico azul industrial, 5 lb</t>
        </is>
      </c>
      <c r="C508" s="7" t="inlineStr">
        <is>
          <t>unidad</t>
        </is>
      </c>
      <c r="D508" s="8" t="n">
        <v>813.47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>
        <f>IF(COUNT(D508:U508)=0,"",MIN(D508:U508))</f>
        <v/>
      </c>
      <c r="W508" s="8">
        <f>IF(COUNT(D508:U508)=0,"",MEDIAN(D508:U508))</f>
        <v/>
      </c>
      <c r="X508" s="8">
        <f>IF(COUNT(D508:U508)=0,"",MAX(D508:U508))</f>
        <v/>
      </c>
      <c r="Y508" s="9">
        <f>IF(OR(V508="",V508=0),"",(X508-V508)/V508)</f>
        <v/>
      </c>
      <c r="Z508" s="7">
        <f>IF(COUNT(D508:U508)=0,"",INDEX($D$1:$U$1,MATCH(MIN(D508:U508),D508:U508,0)))</f>
        <v/>
      </c>
      <c r="AA508" s="8" t="n">
        <v>813.47</v>
      </c>
      <c r="AB508" s="10" t="n">
        <v>1</v>
      </c>
    </row>
    <row r="509">
      <c r="A509" s="7" t="inlineStr">
        <is>
          <t>MAT-08-293</t>
        </is>
      </c>
      <c r="B509" s="4" t="inlineStr">
        <is>
          <t>Polvo de color para mosaico negro comercial, 5 lb</t>
        </is>
      </c>
      <c r="C509" s="7" t="inlineStr">
        <is>
          <t>unidad</t>
        </is>
      </c>
      <c r="D509" s="8" t="n">
        <v>406.73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>
        <f>IF(COUNT(D509:U509)=0,"",MIN(D509:U509))</f>
        <v/>
      </c>
      <c r="W509" s="8">
        <f>IF(COUNT(D509:U509)=0,"",MEDIAN(D509:U509))</f>
        <v/>
      </c>
      <c r="X509" s="8">
        <f>IF(COUNT(D509:U509)=0,"",MAX(D509:U509))</f>
        <v/>
      </c>
      <c r="Y509" s="9">
        <f>IF(OR(V509="",V509=0),"",(X509-V509)/V509)</f>
        <v/>
      </c>
      <c r="Z509" s="7">
        <f>IF(COUNT(D509:U509)=0,"",INDEX($D$1:$U$1,MATCH(MIN(D509:U509),D509:U509,0)))</f>
        <v/>
      </c>
      <c r="AA509" s="8" t="n">
        <v>406.73</v>
      </c>
      <c r="AB509" s="10" t="n">
        <v>1</v>
      </c>
    </row>
    <row r="510">
      <c r="A510" s="7" t="inlineStr">
        <is>
          <t>MAT-08-294</t>
        </is>
      </c>
      <c r="B510" s="4" t="inlineStr">
        <is>
          <t>Polvo de color para mosaico negro industrial, 5 lb</t>
        </is>
      </c>
      <c r="C510" s="7" t="inlineStr">
        <is>
          <t>unidad</t>
        </is>
      </c>
      <c r="D510" s="8" t="n">
        <v>647.51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>
        <f>IF(COUNT(D510:U510)=0,"",MIN(D510:U510))</f>
        <v/>
      </c>
      <c r="W510" s="8">
        <f>IF(COUNT(D510:U510)=0,"",MEDIAN(D510:U510))</f>
        <v/>
      </c>
      <c r="X510" s="8">
        <f>IF(COUNT(D510:U510)=0,"",MAX(D510:U510))</f>
        <v/>
      </c>
      <c r="Y510" s="9">
        <f>IF(OR(V510="",V510=0),"",(X510-V510)/V510)</f>
        <v/>
      </c>
      <c r="Z510" s="7">
        <f>IF(COUNT(D510:U510)=0,"",INDEX($D$1:$U$1,MATCH(MIN(D510:U510),D510:U510,0)))</f>
        <v/>
      </c>
      <c r="AA510" s="8" t="n">
        <v>647.51</v>
      </c>
      <c r="AB510" s="10" t="n">
        <v>1</v>
      </c>
    </row>
    <row r="511">
      <c r="A511" s="7" t="inlineStr">
        <is>
          <t>MAT-08-295</t>
        </is>
      </c>
      <c r="B511" s="4" t="inlineStr">
        <is>
          <t>Polvo de color para mosaico rojo comercial, 5 lb</t>
        </is>
      </c>
      <c r="C511" s="7" t="inlineStr">
        <is>
          <t>unidad</t>
        </is>
      </c>
      <c r="D511" s="8" t="n">
        <v>333.56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>
        <f>IF(COUNT(D511:U511)=0,"",MIN(D511:U511))</f>
        <v/>
      </c>
      <c r="W511" s="8">
        <f>IF(COUNT(D511:U511)=0,"",MEDIAN(D511:U511))</f>
        <v/>
      </c>
      <c r="X511" s="8">
        <f>IF(COUNT(D511:U511)=0,"",MAX(D511:U511))</f>
        <v/>
      </c>
      <c r="Y511" s="9">
        <f>IF(OR(V511="",V511=0),"",(X511-V511)/V511)</f>
        <v/>
      </c>
      <c r="Z511" s="7">
        <f>IF(COUNT(D511:U511)=0,"",INDEX($D$1:$U$1,MATCH(MIN(D511:U511),D511:U511,0)))</f>
        <v/>
      </c>
      <c r="AA511" s="8" t="n">
        <v>333.56</v>
      </c>
      <c r="AB511" s="10" t="n">
        <v>1</v>
      </c>
    </row>
    <row r="512">
      <c r="A512" s="7" t="inlineStr">
        <is>
          <t>MAT-08-296</t>
        </is>
      </c>
      <c r="B512" s="4" t="inlineStr">
        <is>
          <t>Polvo de color para mosaico rojo industrial, 5 lb</t>
        </is>
      </c>
      <c r="C512" s="7" t="inlineStr">
        <is>
          <t>unidad</t>
        </is>
      </c>
      <c r="D512" s="8" t="n">
        <v>472.9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>
        <f>IF(COUNT(D512:U512)=0,"",MIN(D512:U512))</f>
        <v/>
      </c>
      <c r="W512" s="8">
        <f>IF(COUNT(D512:U512)=0,"",MEDIAN(D512:U512))</f>
        <v/>
      </c>
      <c r="X512" s="8">
        <f>IF(COUNT(D512:U512)=0,"",MAX(D512:U512))</f>
        <v/>
      </c>
      <c r="Y512" s="9">
        <f>IF(OR(V512="",V512=0),"",(X512-V512)/V512)</f>
        <v/>
      </c>
      <c r="Z512" s="7">
        <f>IF(COUNT(D512:U512)=0,"",INDEX($D$1:$U$1,MATCH(MIN(D512:U512),D512:U512,0)))</f>
        <v/>
      </c>
      <c r="AA512" s="8" t="n">
        <v>472.9</v>
      </c>
      <c r="AB512" s="10" t="n">
        <v>1</v>
      </c>
    </row>
    <row r="513">
      <c r="A513" s="7" t="inlineStr">
        <is>
          <t>MAT-08-297</t>
        </is>
      </c>
      <c r="B513" s="4" t="inlineStr">
        <is>
          <t>Polvo de color para mosaico verde comercial, 5 lb</t>
        </is>
      </c>
      <c r="C513" s="7" t="inlineStr">
        <is>
          <t>unidad</t>
        </is>
      </c>
      <c r="D513" s="8" t="n">
        <v>350.7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>
        <f>IF(COUNT(D513:U513)=0,"",MIN(D513:U513))</f>
        <v/>
      </c>
      <c r="W513" s="8">
        <f>IF(COUNT(D513:U513)=0,"",MEDIAN(D513:U513))</f>
        <v/>
      </c>
      <c r="X513" s="8">
        <f>IF(COUNT(D513:U513)=0,"",MAX(D513:U513))</f>
        <v/>
      </c>
      <c r="Y513" s="9">
        <f>IF(OR(V513="",V513=0),"",(X513-V513)/V513)</f>
        <v/>
      </c>
      <c r="Z513" s="7">
        <f>IF(COUNT(D513:U513)=0,"",INDEX($D$1:$U$1,MATCH(MIN(D513:U513),D513:U513,0)))</f>
        <v/>
      </c>
      <c r="AA513" s="8" t="n">
        <v>350.7</v>
      </c>
      <c r="AB513" s="10" t="n">
        <v>1</v>
      </c>
    </row>
    <row r="514">
      <c r="A514" s="7" t="inlineStr">
        <is>
          <t>MAT-08-298</t>
        </is>
      </c>
      <c r="B514" s="4" t="inlineStr">
        <is>
          <t>Polvo de color para mosaico verde industrial, 5 lb</t>
        </is>
      </c>
      <c r="C514" s="7" t="inlineStr">
        <is>
          <t>unidad</t>
        </is>
      </c>
      <c r="D514" s="8" t="n">
        <v>902.88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>
        <f>IF(COUNT(D514:U514)=0,"",MIN(D514:U514))</f>
        <v/>
      </c>
      <c r="W514" s="8">
        <f>IF(COUNT(D514:U514)=0,"",MEDIAN(D514:U514))</f>
        <v/>
      </c>
      <c r="X514" s="8">
        <f>IF(COUNT(D514:U514)=0,"",MAX(D514:U514))</f>
        <v/>
      </c>
      <c r="Y514" s="9">
        <f>IF(OR(V514="",V514=0),"",(X514-V514)/V514)</f>
        <v/>
      </c>
      <c r="Z514" s="7">
        <f>IF(COUNT(D514:U514)=0,"",INDEX($D$1:$U$1,MATCH(MIN(D514:U514),D514:U514,0)))</f>
        <v/>
      </c>
      <c r="AA514" s="8" t="n">
        <v>902.88</v>
      </c>
      <c r="AB514" s="10" t="n">
        <v>1</v>
      </c>
    </row>
    <row r="515">
      <c r="A515" s="7" t="inlineStr">
        <is>
          <t>MAT-08-299</t>
        </is>
      </c>
      <c r="B515" s="4" t="inlineStr">
        <is>
          <t>Polvo de color para mosaico amarillo comercial, 55 lb</t>
        </is>
      </c>
      <c r="C515" s="7" t="inlineStr">
        <is>
          <t>funda</t>
        </is>
      </c>
      <c r="D515" s="8" t="n">
        <v>3195.68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>
        <f>IF(COUNT(D515:U515)=0,"",MIN(D515:U515))</f>
        <v/>
      </c>
      <c r="W515" s="8">
        <f>IF(COUNT(D515:U515)=0,"",MEDIAN(D515:U515))</f>
        <v/>
      </c>
      <c r="X515" s="8">
        <f>IF(COUNT(D515:U515)=0,"",MAX(D515:U515))</f>
        <v/>
      </c>
      <c r="Y515" s="9">
        <f>IF(OR(V515="",V515=0),"",(X515-V515)/V515)</f>
        <v/>
      </c>
      <c r="Z515" s="7">
        <f>IF(COUNT(D515:U515)=0,"",INDEX($D$1:$U$1,MATCH(MIN(D515:U515),D515:U515,0)))</f>
        <v/>
      </c>
      <c r="AA515" s="8" t="n">
        <v>3195.68</v>
      </c>
      <c r="AB515" s="10" t="n">
        <v>1</v>
      </c>
    </row>
    <row r="516">
      <c r="A516" s="7" t="inlineStr">
        <is>
          <t>MAT-08-300</t>
        </is>
      </c>
      <c r="B516" s="4" t="inlineStr">
        <is>
          <t>Polvo de color para mosaico amarillo industrial, 55 lb</t>
        </is>
      </c>
      <c r="C516" s="7" t="inlineStr">
        <is>
          <t>funda</t>
        </is>
      </c>
      <c r="D516" s="8" t="n">
        <v>7742.13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>
        <f>IF(COUNT(D516:U516)=0,"",MIN(D516:U516))</f>
        <v/>
      </c>
      <c r="W516" s="8">
        <f>IF(COUNT(D516:U516)=0,"",MEDIAN(D516:U516))</f>
        <v/>
      </c>
      <c r="X516" s="8">
        <f>IF(COUNT(D516:U516)=0,"",MAX(D516:U516))</f>
        <v/>
      </c>
      <c r="Y516" s="9">
        <f>IF(OR(V516="",V516=0),"",(X516-V516)/V516)</f>
        <v/>
      </c>
      <c r="Z516" s="7">
        <f>IF(COUNT(D516:U516)=0,"",INDEX($D$1:$U$1,MATCH(MIN(D516:U516),D516:U516,0)))</f>
        <v/>
      </c>
      <c r="AA516" s="8" t="n">
        <v>7742.13</v>
      </c>
      <c r="AB516" s="10" t="n">
        <v>1</v>
      </c>
    </row>
    <row r="517">
      <c r="A517" s="7" t="inlineStr">
        <is>
          <t>MAT-08-301</t>
        </is>
      </c>
      <c r="B517" s="4" t="inlineStr">
        <is>
          <t>Polvo de color para mosaico azul comercial, 55 lb</t>
        </is>
      </c>
      <c r="C517" s="7" t="inlineStr">
        <is>
          <t>funda</t>
        </is>
      </c>
      <c r="D517" s="8" t="n">
        <v>4220.23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>
        <f>IF(COUNT(D517:U517)=0,"",MIN(D517:U517))</f>
        <v/>
      </c>
      <c r="W517" s="8">
        <f>IF(COUNT(D517:U517)=0,"",MEDIAN(D517:U517))</f>
        <v/>
      </c>
      <c r="X517" s="8">
        <f>IF(COUNT(D517:U517)=0,"",MAX(D517:U517))</f>
        <v/>
      </c>
      <c r="Y517" s="9">
        <f>IF(OR(V517="",V517=0),"",(X517-V517)/V517)</f>
        <v/>
      </c>
      <c r="Z517" s="7">
        <f>IF(COUNT(D517:U517)=0,"",INDEX($D$1:$U$1,MATCH(MIN(D517:U517),D517:U517,0)))</f>
        <v/>
      </c>
      <c r="AA517" s="8" t="n">
        <v>4220.23</v>
      </c>
      <c r="AB517" s="10" t="n">
        <v>1</v>
      </c>
    </row>
    <row r="518">
      <c r="A518" s="7" t="inlineStr">
        <is>
          <t>MAT-08-302</t>
        </is>
      </c>
      <c r="B518" s="4" t="inlineStr">
        <is>
          <t>Polvo de color para mosaico azul industrial, 55 lb</t>
        </is>
      </c>
      <c r="C518" s="7" t="inlineStr">
        <is>
          <t>funda</t>
        </is>
      </c>
      <c r="D518" s="8" t="n">
        <v>8183.45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>
        <f>IF(COUNT(D518:U518)=0,"",MIN(D518:U518))</f>
        <v/>
      </c>
      <c r="W518" s="8">
        <f>IF(COUNT(D518:U518)=0,"",MEDIAN(D518:U518))</f>
        <v/>
      </c>
      <c r="X518" s="8">
        <f>IF(COUNT(D518:U518)=0,"",MAX(D518:U518))</f>
        <v/>
      </c>
      <c r="Y518" s="9">
        <f>IF(OR(V518="",V518=0),"",(X518-V518)/V518)</f>
        <v/>
      </c>
      <c r="Z518" s="7">
        <f>IF(COUNT(D518:U518)=0,"",INDEX($D$1:$U$1,MATCH(MIN(D518:U518),D518:U518,0)))</f>
        <v/>
      </c>
      <c r="AA518" s="8" t="n">
        <v>8183.45</v>
      </c>
      <c r="AB518" s="10" t="n">
        <v>1</v>
      </c>
    </row>
    <row r="519">
      <c r="A519" s="7" t="inlineStr">
        <is>
          <t>MAT-08-303</t>
        </is>
      </c>
      <c r="B519" s="4" t="inlineStr">
        <is>
          <t>Polvo de color para mosaico negro comercial, 55 lb</t>
        </is>
      </c>
      <c r="C519" s="7" t="inlineStr">
        <is>
          <t>funda</t>
        </is>
      </c>
      <c r="D519" s="8" t="n">
        <v>4640.79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>
        <f>IF(COUNT(D519:U519)=0,"",MIN(D519:U519))</f>
        <v/>
      </c>
      <c r="W519" s="8">
        <f>IF(COUNT(D519:U519)=0,"",MEDIAN(D519:U519))</f>
        <v/>
      </c>
      <c r="X519" s="8">
        <f>IF(COUNT(D519:U519)=0,"",MAX(D519:U519))</f>
        <v/>
      </c>
      <c r="Y519" s="9">
        <f>IF(OR(V519="",V519=0),"",(X519-V519)/V519)</f>
        <v/>
      </c>
      <c r="Z519" s="7">
        <f>IF(COUNT(D519:U519)=0,"",INDEX($D$1:$U$1,MATCH(MIN(D519:U519),D519:U519,0)))</f>
        <v/>
      </c>
      <c r="AA519" s="8" t="n">
        <v>4640.79</v>
      </c>
      <c r="AB519" s="10" t="n">
        <v>1</v>
      </c>
    </row>
    <row r="520">
      <c r="A520" s="7" t="inlineStr">
        <is>
          <t>MAT-08-304</t>
        </is>
      </c>
      <c r="B520" s="4" t="inlineStr">
        <is>
          <t>Polvo de color para mosaico negro industrial, 55 lb</t>
        </is>
      </c>
      <c r="C520" s="7" t="inlineStr">
        <is>
          <t>funda</t>
        </is>
      </c>
      <c r="D520" s="8" t="n">
        <v>6521.15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>
        <f>IF(COUNT(D520:U520)=0,"",MIN(D520:U520))</f>
        <v/>
      </c>
      <c r="W520" s="8">
        <f>IF(COUNT(D520:U520)=0,"",MEDIAN(D520:U520))</f>
        <v/>
      </c>
      <c r="X520" s="8">
        <f>IF(COUNT(D520:U520)=0,"",MAX(D520:U520))</f>
        <v/>
      </c>
      <c r="Y520" s="9">
        <f>IF(OR(V520="",V520=0),"",(X520-V520)/V520)</f>
        <v/>
      </c>
      <c r="Z520" s="7">
        <f>IF(COUNT(D520:U520)=0,"",INDEX($D$1:$U$1,MATCH(MIN(D520:U520),D520:U520,0)))</f>
        <v/>
      </c>
      <c r="AA520" s="8" t="n">
        <v>6521.15</v>
      </c>
      <c r="AB520" s="10" t="n">
        <v>1</v>
      </c>
    </row>
    <row r="521">
      <c r="A521" s="7" t="inlineStr">
        <is>
          <t>MAT-08-305</t>
        </is>
      </c>
      <c r="B521" s="4" t="inlineStr">
        <is>
          <t>Polvo de color para mosaico rojo comercial, 55 lb</t>
        </is>
      </c>
      <c r="C521" s="7" t="inlineStr">
        <is>
          <t>funda</t>
        </is>
      </c>
      <c r="D521" s="8" t="n">
        <v>3350.57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>
        <f>IF(COUNT(D521:U521)=0,"",MIN(D521:U521))</f>
        <v/>
      </c>
      <c r="W521" s="8">
        <f>IF(COUNT(D521:U521)=0,"",MEDIAN(D521:U521))</f>
        <v/>
      </c>
      <c r="X521" s="8">
        <f>IF(COUNT(D521:U521)=0,"",MAX(D521:U521))</f>
        <v/>
      </c>
      <c r="Y521" s="9">
        <f>IF(OR(V521="",V521=0),"",(X521-V521)/V521)</f>
        <v/>
      </c>
      <c r="Z521" s="7">
        <f>IF(COUNT(D521:U521)=0,"",INDEX($D$1:$U$1,MATCH(MIN(D521:U521),D521:U521,0)))</f>
        <v/>
      </c>
      <c r="AA521" s="8" t="n">
        <v>3350.57</v>
      </c>
      <c r="AB521" s="10" t="n">
        <v>1</v>
      </c>
    </row>
    <row r="522">
      <c r="A522" s="7" t="inlineStr">
        <is>
          <t>MAT-08-306</t>
        </is>
      </c>
      <c r="B522" s="4" t="inlineStr">
        <is>
          <t>Polvo de color para mosaico rojo industrial, 55 lb</t>
        </is>
      </c>
      <c r="C522" s="7" t="inlineStr">
        <is>
          <t>funda</t>
        </is>
      </c>
      <c r="D522" s="8" t="n">
        <v>5451.6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>
        <f>IF(COUNT(D522:U522)=0,"",MIN(D522:U522))</f>
        <v/>
      </c>
      <c r="W522" s="8">
        <f>IF(COUNT(D522:U522)=0,"",MEDIAN(D522:U522))</f>
        <v/>
      </c>
      <c r="X522" s="8">
        <f>IF(COUNT(D522:U522)=0,"",MAX(D522:U522))</f>
        <v/>
      </c>
      <c r="Y522" s="9">
        <f>IF(OR(V522="",V522=0),"",(X522-V522)/V522)</f>
        <v/>
      </c>
      <c r="Z522" s="7">
        <f>IF(COUNT(D522:U522)=0,"",INDEX($D$1:$U$1,MATCH(MIN(D522:U522),D522:U522,0)))</f>
        <v/>
      </c>
      <c r="AA522" s="8" t="n">
        <v>5451.6</v>
      </c>
      <c r="AB522" s="10" t="n">
        <v>1</v>
      </c>
    </row>
    <row r="523">
      <c r="A523" s="7" t="inlineStr">
        <is>
          <t>MAT-08-307</t>
        </is>
      </c>
      <c r="B523" s="4" t="inlineStr">
        <is>
          <t>Polvo de color para mosaico verde comercial, 55 lb</t>
        </is>
      </c>
      <c r="C523" s="7" t="inlineStr">
        <is>
          <t>funda</t>
        </is>
      </c>
      <c r="D523" s="8" t="n">
        <v>4017.75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>
        <f>IF(COUNT(D523:U523)=0,"",MIN(D523:U523))</f>
        <v/>
      </c>
      <c r="W523" s="8">
        <f>IF(COUNT(D523:U523)=0,"",MEDIAN(D523:U523))</f>
        <v/>
      </c>
      <c r="X523" s="8">
        <f>IF(COUNT(D523:U523)=0,"",MAX(D523:U523))</f>
        <v/>
      </c>
      <c r="Y523" s="9">
        <f>IF(OR(V523="",V523=0),"",(X523-V523)/V523)</f>
        <v/>
      </c>
      <c r="Z523" s="7">
        <f>IF(COUNT(D523:U523)=0,"",INDEX($D$1:$U$1,MATCH(MIN(D523:U523),D523:U523,0)))</f>
        <v/>
      </c>
      <c r="AA523" s="8" t="n">
        <v>4017.75</v>
      </c>
      <c r="AB523" s="10" t="n">
        <v>1</v>
      </c>
    </row>
    <row r="524">
      <c r="A524" s="7" t="inlineStr">
        <is>
          <t>MAT-08-308</t>
        </is>
      </c>
      <c r="B524" s="4" t="inlineStr">
        <is>
          <t>Polvo de color para mosaico verde industrial, 55 lb</t>
        </is>
      </c>
      <c r="C524" s="7" t="inlineStr">
        <is>
          <t>funda</t>
        </is>
      </c>
      <c r="D524" s="8" t="n">
        <v>9092.93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>
        <f>IF(COUNT(D524:U524)=0,"",MIN(D524:U524))</f>
        <v/>
      </c>
      <c r="W524" s="8">
        <f>IF(COUNT(D524:U524)=0,"",MEDIAN(D524:U524))</f>
        <v/>
      </c>
      <c r="X524" s="8">
        <f>IF(COUNT(D524:U524)=0,"",MAX(D524:U524))</f>
        <v/>
      </c>
      <c r="Y524" s="9">
        <f>IF(OR(V524="",V524=0),"",(X524-V524)/V524)</f>
        <v/>
      </c>
      <c r="Z524" s="7">
        <f>IF(COUNT(D524:U524)=0,"",INDEX($D$1:$U$1,MATCH(MIN(D524:U524),D524:U524,0)))</f>
        <v/>
      </c>
      <c r="AA524" s="8" t="n">
        <v>9092.93</v>
      </c>
      <c r="AB524" s="10" t="n">
        <v>1</v>
      </c>
    </row>
    <row r="525">
      <c r="A525" s="7" t="inlineStr">
        <is>
          <t>MAT-09-009</t>
        </is>
      </c>
      <c r="B525" s="4" t="inlineStr">
        <is>
          <t>Cabezal de ducha</t>
        </is>
      </c>
      <c r="C525" s="7" t="inlineStr">
        <is>
          <t>unidad</t>
        </is>
      </c>
      <c r="D525" s="8" t="n">
        <v>195.95</v>
      </c>
      <c r="E525" s="8" t="n"/>
      <c r="F525" s="8" t="n">
        <v>2758.62</v>
      </c>
      <c r="G525" s="8" t="n">
        <v>322</v>
      </c>
      <c r="H525" s="8" t="n">
        <v>2924.04</v>
      </c>
      <c r="I525" s="8" t="n">
        <v>150</v>
      </c>
      <c r="J525" s="8" t="n"/>
      <c r="K525" s="8" t="n"/>
      <c r="L525" s="8" t="n"/>
      <c r="M525" s="8" t="n"/>
      <c r="N525" s="8" t="n">
        <v>31100</v>
      </c>
      <c r="O525" s="8" t="n"/>
      <c r="P525" s="8" t="n"/>
      <c r="Q525" s="8" t="n"/>
      <c r="R525" s="8" t="n"/>
      <c r="S525" s="8" t="n"/>
      <c r="T525" s="8" t="n"/>
      <c r="U525" s="8" t="n"/>
      <c r="V525" s="8">
        <f>IF(COUNT(D525:U525)=0,"",MIN(D525:U525))</f>
        <v/>
      </c>
      <c r="W525" s="8">
        <f>IF(COUNT(D525:U525)=0,"",MEDIAN(D525:U525))</f>
        <v/>
      </c>
      <c r="X525" s="8">
        <f>IF(COUNT(D525:U525)=0,"",MAX(D525:U525))</f>
        <v/>
      </c>
      <c r="Y525" s="9">
        <f>IF(OR(V525="",V525=0),"",(X525-V525)/V525)</f>
        <v/>
      </c>
      <c r="Z525" s="7">
        <f>IF(COUNT(D525:U525)=0,"",INDEX($D$1:$U$1,MATCH(MIN(D525:U525),D525:U525,0)))</f>
        <v/>
      </c>
      <c r="AA525" s="8" t="n">
        <v>1642.45</v>
      </c>
      <c r="AB525" s="10" t="n">
        <v>6</v>
      </c>
    </row>
    <row r="526">
      <c r="A526" s="7" t="inlineStr">
        <is>
          <t>MAT-09-010</t>
        </is>
      </c>
      <c r="B526" s="4" t="inlineStr">
        <is>
          <t>Ducha teléfono</t>
        </is>
      </c>
      <c r="C526" s="7" t="inlineStr">
        <is>
          <t>unidad</t>
        </is>
      </c>
      <c r="D526" s="8" t="n">
        <v>267.91</v>
      </c>
      <c r="E526" s="8" t="n">
        <v>238.61</v>
      </c>
      <c r="F526" s="8" t="n">
        <v>3361.49</v>
      </c>
      <c r="G526" s="8" t="n">
        <v>494</v>
      </c>
      <c r="H526" s="8" t="n"/>
      <c r="I526" s="8" t="n">
        <v>450</v>
      </c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>
        <f>IF(COUNT(D526:U526)=0,"",MIN(D526:U526))</f>
        <v/>
      </c>
      <c r="W526" s="8">
        <f>IF(COUNT(D526:U526)=0,"",MEDIAN(D526:U526))</f>
        <v/>
      </c>
      <c r="X526" s="8">
        <f>IF(COUNT(D526:U526)=0,"",MAX(D526:U526))</f>
        <v/>
      </c>
      <c r="Y526" s="9">
        <f>IF(OR(V526="",V526=0),"",(X526-V526)/V526)</f>
        <v/>
      </c>
      <c r="Z526" s="7">
        <f>IF(COUNT(D526:U526)=0,"",INDEX($D$1:$U$1,MATCH(MIN(D526:U526),D526:U526,0)))</f>
        <v/>
      </c>
      <c r="AA526" s="8" t="n">
        <v>685</v>
      </c>
      <c r="AB526" s="10" t="n">
        <v>5</v>
      </c>
    </row>
    <row r="527">
      <c r="A527" s="7" t="inlineStr">
        <is>
          <t>MAT-09-011</t>
        </is>
      </c>
      <c r="B527" s="4" t="inlineStr">
        <is>
          <t>Columna de ducha</t>
        </is>
      </c>
      <c r="C527" s="7" t="inlineStr">
        <is>
          <t>unidad</t>
        </is>
      </c>
      <c r="D527" s="8" t="n">
        <v>11281.28</v>
      </c>
      <c r="E527" s="8" t="n"/>
      <c r="F527" s="8" t="n">
        <v>2894.96</v>
      </c>
      <c r="G527" s="8" t="n">
        <v>6343</v>
      </c>
      <c r="H527" s="8" t="n">
        <v>900</v>
      </c>
      <c r="I527" s="8" t="n"/>
      <c r="J527" s="8" t="n"/>
      <c r="K527" s="8" t="n"/>
      <c r="L527" s="8" t="n"/>
      <c r="M527" s="8" t="n"/>
      <c r="N527" s="8" t="n">
        <v>31800</v>
      </c>
      <c r="O527" s="8" t="n"/>
      <c r="P527" s="8" t="n"/>
      <c r="Q527" s="8" t="n"/>
      <c r="R527" s="8" t="n"/>
      <c r="S527" s="8" t="n"/>
      <c r="T527" s="8" t="n"/>
      <c r="U527" s="8" t="n"/>
      <c r="V527" s="8">
        <f>IF(COUNT(D527:U527)=0,"",MIN(D527:U527))</f>
        <v/>
      </c>
      <c r="W527" s="8">
        <f>IF(COUNT(D527:U527)=0,"",MEDIAN(D527:U527))</f>
        <v/>
      </c>
      <c r="X527" s="8">
        <f>IF(COUNT(D527:U527)=0,"",MAX(D527:U527))</f>
        <v/>
      </c>
      <c r="Y527" s="9">
        <f>IF(OR(V527="",V527=0),"",(X527-V527)/V527)</f>
        <v/>
      </c>
      <c r="Z527" s="7">
        <f>IF(COUNT(D527:U527)=0,"",INDEX($D$1:$U$1,MATCH(MIN(D527:U527),D527:U527,0)))</f>
        <v/>
      </c>
      <c r="AA527" s="8" t="n">
        <v>20267.28</v>
      </c>
      <c r="AB527" s="10" t="n">
        <v>5</v>
      </c>
    </row>
    <row r="528">
      <c r="A528" s="7" t="inlineStr">
        <is>
          <t>MAT-09-012</t>
        </is>
      </c>
      <c r="B528" s="4" t="inlineStr">
        <is>
          <t>Columna de ducha</t>
        </is>
      </c>
      <c r="C528" s="7" t="inlineStr">
        <is>
          <t>unidad</t>
        </is>
      </c>
      <c r="D528" s="8" t="n">
        <v>553.61</v>
      </c>
      <c r="E528" s="8" t="n"/>
      <c r="F528" s="8" t="n">
        <v>2847.67</v>
      </c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>
        <f>IF(COUNT(D528:U528)=0,"",MIN(D528:U528))</f>
        <v/>
      </c>
      <c r="W528" s="8">
        <f>IF(COUNT(D528:U528)=0,"",MEDIAN(D528:U528))</f>
        <v/>
      </c>
      <c r="X528" s="8">
        <f>IF(COUNT(D528:U528)=0,"",MAX(D528:U528))</f>
        <v/>
      </c>
      <c r="Y528" s="9">
        <f>IF(OR(V528="",V528=0),"",(X528-V528)/V528)</f>
        <v/>
      </c>
      <c r="Z528" s="7">
        <f>IF(COUNT(D528:U528)=0,"",INDEX($D$1:$U$1,MATCH(MIN(D528:U528),D528:U528,0)))</f>
        <v/>
      </c>
      <c r="AA528" s="8" t="n">
        <v>10189.3</v>
      </c>
      <c r="AB528" s="10" t="n">
        <v>2</v>
      </c>
    </row>
    <row r="529">
      <c r="A529" s="7" t="inlineStr">
        <is>
          <t>MAT-09-013</t>
        </is>
      </c>
      <c r="B529" s="4" t="inlineStr">
        <is>
          <t>Brazo de ducha</t>
        </is>
      </c>
      <c r="C529" s="7" t="inlineStr">
        <is>
          <t>unidad</t>
        </is>
      </c>
      <c r="D529" s="8" t="n">
        <v>108.23</v>
      </c>
      <c r="E529" s="8" t="n"/>
      <c r="F529" s="8" t="n">
        <v>868.64</v>
      </c>
      <c r="G529" s="8" t="n">
        <v>247</v>
      </c>
      <c r="H529" s="8" t="n">
        <v>1390</v>
      </c>
      <c r="I529" s="8" t="n">
        <v>349</v>
      </c>
      <c r="J529" s="8" t="n"/>
      <c r="K529" s="8" t="n"/>
      <c r="L529" s="8" t="n"/>
      <c r="M529" s="8" t="n"/>
      <c r="N529" s="8" t="n">
        <v>1895</v>
      </c>
      <c r="O529" s="8" t="n"/>
      <c r="P529" s="8" t="n"/>
      <c r="Q529" s="8" t="n"/>
      <c r="R529" s="8" t="n"/>
      <c r="S529" s="8" t="n"/>
      <c r="T529" s="8" t="n"/>
      <c r="U529" s="8" t="n"/>
      <c r="V529" s="8">
        <f>IF(COUNT(D529:U529)=0,"",MIN(D529:U529))</f>
        <v/>
      </c>
      <c r="W529" s="8">
        <f>IF(COUNT(D529:U529)=0,"",MEDIAN(D529:U529))</f>
        <v/>
      </c>
      <c r="X529" s="8">
        <f>IF(COUNT(D529:U529)=0,"",MAX(D529:U529))</f>
        <v/>
      </c>
      <c r="Y529" s="9">
        <f>IF(OR(V529="",V529=0),"",(X529-V529)/V529)</f>
        <v/>
      </c>
      <c r="Z529" s="7">
        <f>IF(COUNT(D529:U529)=0,"",INDEX($D$1:$U$1,MATCH(MIN(D529:U529),D529:U529,0)))</f>
        <v/>
      </c>
      <c r="AA529" s="8" t="n">
        <v>1557.65</v>
      </c>
      <c r="AB529" s="10" t="n">
        <v>6</v>
      </c>
    </row>
    <row r="530">
      <c r="A530" s="7" t="inlineStr">
        <is>
          <t>MAT-09-014</t>
        </is>
      </c>
      <c r="B530" s="4" t="inlineStr">
        <is>
          <t>Mezcladora, de baño</t>
        </is>
      </c>
      <c r="C530" s="7" t="inlineStr">
        <is>
          <t>unidad</t>
        </is>
      </c>
      <c r="D530" s="8" t="n"/>
      <c r="E530" s="8" t="n">
        <v>580</v>
      </c>
      <c r="F530" s="8" t="n">
        <v>1168.86</v>
      </c>
      <c r="G530" s="8" t="n">
        <v>486</v>
      </c>
      <c r="H530" s="8" t="n">
        <v>1070</v>
      </c>
      <c r="I530" s="8" t="n">
        <v>340</v>
      </c>
      <c r="J530" s="8" t="n"/>
      <c r="K530" s="8" t="n"/>
      <c r="L530" s="8" t="n"/>
      <c r="M530" s="8" t="n"/>
      <c r="N530" s="8" t="n">
        <v>4300</v>
      </c>
      <c r="O530" s="8" t="n"/>
      <c r="P530" s="8" t="n"/>
      <c r="Q530" s="8" t="n"/>
      <c r="R530" s="8" t="n"/>
      <c r="S530" s="8" t="n"/>
      <c r="T530" s="8" t="n"/>
      <c r="U530" s="8" t="n"/>
      <c r="V530" s="8">
        <f>IF(COUNT(D530:U530)=0,"",MIN(D530:U530))</f>
        <v/>
      </c>
      <c r="W530" s="8">
        <f>IF(COUNT(D530:U530)=0,"",MEDIAN(D530:U530))</f>
        <v/>
      </c>
      <c r="X530" s="8">
        <f>IF(COUNT(D530:U530)=0,"",MAX(D530:U530))</f>
        <v/>
      </c>
      <c r="Y530" s="9">
        <f>IF(OR(V530="",V530=0),"",(X530-V530)/V530)</f>
        <v/>
      </c>
      <c r="Z530" s="7">
        <f>IF(COUNT(D530:U530)=0,"",INDEX($D$1:$U$1,MATCH(MIN(D530:U530),D530:U530,0)))</f>
        <v/>
      </c>
      <c r="AA530" s="8" t="n">
        <v>7635.64</v>
      </c>
      <c r="AB530" s="10" t="n">
        <v>6</v>
      </c>
    </row>
    <row r="531">
      <c r="A531" s="7" t="inlineStr">
        <is>
          <t>MAT-09-015</t>
        </is>
      </c>
      <c r="B531" s="4" t="inlineStr">
        <is>
          <t>Mezcladora, de baño, con sensor</t>
        </is>
      </c>
      <c r="C531" s="7" t="inlineStr">
        <is>
          <t>unidad</t>
        </is>
      </c>
      <c r="D531" s="8" t="n"/>
      <c r="E531" s="8" t="n">
        <v>1225</v>
      </c>
      <c r="F531" s="8" t="n">
        <v>2660.81</v>
      </c>
      <c r="G531" s="8" t="n"/>
      <c r="H531" s="8" t="n">
        <v>3832.64</v>
      </c>
      <c r="I531" s="8" t="n">
        <v>740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>
        <f>IF(COUNT(D531:U531)=0,"",MIN(D531:U531))</f>
        <v/>
      </c>
      <c r="W531" s="8">
        <f>IF(COUNT(D531:U531)=0,"",MEDIAN(D531:U531))</f>
        <v/>
      </c>
      <c r="X531" s="8">
        <f>IF(COUNT(D531:U531)=0,"",MAX(D531:U531))</f>
        <v/>
      </c>
      <c r="Y531" s="9">
        <f>IF(OR(V531="",V531=0),"",(X531-V531)/V531)</f>
        <v/>
      </c>
      <c r="Z531" s="7">
        <f>IF(COUNT(D531:U531)=0,"",INDEX($D$1:$U$1,MATCH(MIN(D531:U531),D531:U531,0)))</f>
        <v/>
      </c>
      <c r="AA531" s="8" t="n">
        <v>6437.22</v>
      </c>
      <c r="AB531" s="10" t="n">
        <v>4</v>
      </c>
    </row>
    <row r="532">
      <c r="A532" s="7" t="inlineStr">
        <is>
          <t>MAT-09-016</t>
        </is>
      </c>
      <c r="B532" s="4" t="inlineStr">
        <is>
          <t>Mezcladora, de fregadero</t>
        </is>
      </c>
      <c r="C532" s="7" t="inlineStr">
        <is>
          <t>unidad</t>
        </is>
      </c>
      <c r="D532" s="8" t="n"/>
      <c r="E532" s="8" t="n">
        <v>805</v>
      </c>
      <c r="F532" s="8" t="n">
        <v>1633.85</v>
      </c>
      <c r="G532" s="8" t="n">
        <v>695</v>
      </c>
      <c r="H532" s="8" t="n">
        <v>1199.99</v>
      </c>
      <c r="I532" s="8" t="n">
        <v>230</v>
      </c>
      <c r="J532" s="8" t="n"/>
      <c r="K532" s="8" t="n"/>
      <c r="L532" s="8" t="n"/>
      <c r="M532" s="8" t="n"/>
      <c r="N532" s="8" t="n">
        <v>3900</v>
      </c>
      <c r="O532" s="8" t="n"/>
      <c r="P532" s="8" t="n"/>
      <c r="Q532" s="8" t="n"/>
      <c r="R532" s="8" t="n"/>
      <c r="S532" s="8" t="n"/>
      <c r="T532" s="8" t="n"/>
      <c r="U532" s="8" t="n"/>
      <c r="V532" s="8">
        <f>IF(COUNT(D532:U532)=0,"",MIN(D532:U532))</f>
        <v/>
      </c>
      <c r="W532" s="8">
        <f>IF(COUNT(D532:U532)=0,"",MEDIAN(D532:U532))</f>
        <v/>
      </c>
      <c r="X532" s="8">
        <f>IF(COUNT(D532:U532)=0,"",MAX(D532:U532))</f>
        <v/>
      </c>
      <c r="Y532" s="9">
        <f>IF(OR(V532="",V532=0),"",(X532-V532)/V532)</f>
        <v/>
      </c>
      <c r="Z532" s="7">
        <f>IF(COUNT(D532:U532)=0,"",INDEX($D$1:$U$1,MATCH(MIN(D532:U532),D532:U532,0)))</f>
        <v/>
      </c>
      <c r="AA532" s="8" t="n">
        <v>3921.51</v>
      </c>
      <c r="AB532" s="10" t="n">
        <v>6</v>
      </c>
    </row>
    <row r="533">
      <c r="A533" s="7" t="inlineStr">
        <is>
          <t>MAT-09-017</t>
        </is>
      </c>
      <c r="B533" s="4" t="inlineStr">
        <is>
          <t>Mezcladora de ducha</t>
        </is>
      </c>
      <c r="C533" s="7" t="inlineStr">
        <is>
          <t>unidad</t>
        </is>
      </c>
      <c r="D533" s="8" t="n">
        <v>2603.89</v>
      </c>
      <c r="E533" s="8" t="n">
        <v>1295</v>
      </c>
      <c r="F533" s="8" t="n">
        <v>2347.43</v>
      </c>
      <c r="G533" s="8" t="n">
        <v>945</v>
      </c>
      <c r="H533" s="8" t="n">
        <v>2200</v>
      </c>
      <c r="I533" s="8" t="n">
        <v>1215</v>
      </c>
      <c r="J533" s="8" t="n"/>
      <c r="K533" s="8" t="n"/>
      <c r="L533" s="8" t="n"/>
      <c r="M533" s="8" t="n"/>
      <c r="N533" s="8" t="n">
        <v>1000</v>
      </c>
      <c r="O533" s="8" t="n"/>
      <c r="P533" s="8" t="n"/>
      <c r="Q533" s="8" t="n"/>
      <c r="R533" s="8" t="n"/>
      <c r="S533" s="8" t="n"/>
      <c r="T533" s="8" t="n"/>
      <c r="U533" s="8" t="n"/>
      <c r="V533" s="8">
        <f>IF(COUNT(D533:U533)=0,"",MIN(D533:U533))</f>
        <v/>
      </c>
      <c r="W533" s="8">
        <f>IF(COUNT(D533:U533)=0,"",MEDIAN(D533:U533))</f>
        <v/>
      </c>
      <c r="X533" s="8">
        <f>IF(COUNT(D533:U533)=0,"",MAX(D533:U533))</f>
        <v/>
      </c>
      <c r="Y533" s="9">
        <f>IF(OR(V533="",V533=0),"",(X533-V533)/V533)</f>
        <v/>
      </c>
      <c r="Z533" s="7">
        <f>IF(COUNT(D533:U533)=0,"",INDEX($D$1:$U$1,MATCH(MIN(D533:U533),D533:U533,0)))</f>
        <v/>
      </c>
      <c r="AA533" s="8" t="n">
        <v>10458.36</v>
      </c>
      <c r="AB533" s="10" t="n">
        <v>7</v>
      </c>
    </row>
    <row r="534">
      <c r="A534" s="7" t="inlineStr">
        <is>
          <t>MAT-09-018</t>
        </is>
      </c>
      <c r="B534" s="4" t="inlineStr">
        <is>
          <t>Manguera para ducha teléfono</t>
        </is>
      </c>
      <c r="C534" s="7" t="inlineStr">
        <is>
          <t>unidad</t>
        </is>
      </c>
      <c r="D534" s="8" t="n">
        <v>256.18</v>
      </c>
      <c r="E534" s="8" t="n"/>
      <c r="F534" s="8" t="n">
        <v>269.5</v>
      </c>
      <c r="G534" s="8" t="n">
        <v>525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>
        <f>IF(COUNT(D534:U534)=0,"",MIN(D534:U534))</f>
        <v/>
      </c>
      <c r="W534" s="8">
        <f>IF(COUNT(D534:U534)=0,"",MEDIAN(D534:U534))</f>
        <v/>
      </c>
      <c r="X534" s="8">
        <f>IF(COUNT(D534:U534)=0,"",MAX(D534:U534))</f>
        <v/>
      </c>
      <c r="Y534" s="9">
        <f>IF(OR(V534="",V534=0),"",(X534-V534)/V534)</f>
        <v/>
      </c>
      <c r="Z534" s="7">
        <f>IF(COUNT(D534:U534)=0,"",INDEX($D$1:$U$1,MATCH(MIN(D534:U534),D534:U534,0)))</f>
        <v/>
      </c>
      <c r="AA534" s="8" t="n">
        <v>747.45</v>
      </c>
      <c r="AB534" s="10" t="n">
        <v>3</v>
      </c>
    </row>
    <row r="535">
      <c r="A535" s="7" t="inlineStr">
        <is>
          <t>MAT-09-019</t>
        </is>
      </c>
      <c r="B535" s="4" t="inlineStr">
        <is>
          <t>Regulador de gas de doble tanque</t>
        </is>
      </c>
      <c r="C535" s="7" t="inlineStr">
        <is>
          <t>unidad</t>
        </is>
      </c>
      <c r="D535" s="8" t="n"/>
      <c r="E535" s="8" t="n"/>
      <c r="F535" s="8" t="n"/>
      <c r="G535" s="8" t="n">
        <v>1139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>
        <f>IF(COUNT(D535:U535)=0,"",MIN(D535:U535))</f>
        <v/>
      </c>
      <c r="W535" s="8">
        <f>IF(COUNT(D535:U535)=0,"",MEDIAN(D535:U535))</f>
        <v/>
      </c>
      <c r="X535" s="8">
        <f>IF(COUNT(D535:U535)=0,"",MAX(D535:U535))</f>
        <v/>
      </c>
      <c r="Y535" s="9">
        <f>IF(OR(V535="",V535=0),"",(X535-V535)/V535)</f>
        <v/>
      </c>
      <c r="Z535" s="7">
        <f>IF(COUNT(D535:U535)=0,"",INDEX($D$1:$U$1,MATCH(MIN(D535:U535),D535:U535,0)))</f>
        <v/>
      </c>
      <c r="AA535" s="8" t="n">
        <v>1139</v>
      </c>
      <c r="AB535" s="10" t="n">
        <v>1</v>
      </c>
    </row>
    <row r="536">
      <c r="A536" s="7" t="inlineStr">
        <is>
          <t>MAT-09-020</t>
        </is>
      </c>
      <c r="B536" s="4" t="inlineStr">
        <is>
          <t>Regulador de gas grande</t>
        </is>
      </c>
      <c r="C536" s="7" t="inlineStr">
        <is>
          <t>unidad</t>
        </is>
      </c>
      <c r="D536" s="8" t="n"/>
      <c r="E536" s="8" t="n"/>
      <c r="F536" s="8" t="n"/>
      <c r="G536" s="8" t="n">
        <v>326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>
        <f>IF(COUNT(D536:U536)=0,"",MIN(D536:U536))</f>
        <v/>
      </c>
      <c r="W536" s="8">
        <f>IF(COUNT(D536:U536)=0,"",MEDIAN(D536:U536))</f>
        <v/>
      </c>
      <c r="X536" s="8">
        <f>IF(COUNT(D536:U536)=0,"",MAX(D536:U536))</f>
        <v/>
      </c>
      <c r="Y536" s="9">
        <f>IF(OR(V536="",V536=0),"",(X536-V536)/V536)</f>
        <v/>
      </c>
      <c r="Z536" s="7">
        <f>IF(COUNT(D536:U536)=0,"",INDEX($D$1:$U$1,MATCH(MIN(D536:U536),D536:U536,0)))</f>
        <v/>
      </c>
      <c r="AA536" s="8" t="n">
        <v>656</v>
      </c>
      <c r="AB536" s="10" t="n">
        <v>1</v>
      </c>
    </row>
    <row r="537">
      <c r="A537" s="7" t="inlineStr">
        <is>
          <t>MAT-09-021</t>
        </is>
      </c>
      <c r="B537" s="4" t="inlineStr">
        <is>
          <t>Regulador de gas pequeño</t>
        </is>
      </c>
      <c r="C537" s="7" t="inlineStr">
        <is>
          <t>unidad</t>
        </is>
      </c>
      <c r="D537" s="8" t="n"/>
      <c r="E537" s="8" t="n"/>
      <c r="F537" s="8" t="n"/>
      <c r="G537" s="8" t="n">
        <v>259</v>
      </c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>
        <f>IF(COUNT(D537:U537)=0,"",MIN(D537:U537))</f>
        <v/>
      </c>
      <c r="W537" s="8">
        <f>IF(COUNT(D537:U537)=0,"",MEDIAN(D537:U537))</f>
        <v/>
      </c>
      <c r="X537" s="8">
        <f>IF(COUNT(D537:U537)=0,"",MAX(D537:U537))</f>
        <v/>
      </c>
      <c r="Y537" s="9">
        <f>IF(OR(V537="",V537=0),"",(X537-V537)/V537)</f>
        <v/>
      </c>
      <c r="Z537" s="7">
        <f>IF(COUNT(D537:U537)=0,"",INDEX($D$1:$U$1,MATCH(MIN(D537:U537),D537:U537,0)))</f>
        <v/>
      </c>
      <c r="AA537" s="8" t="n">
        <v>509.5</v>
      </c>
      <c r="AB537" s="10" t="n">
        <v>1</v>
      </c>
    </row>
    <row r="538">
      <c r="A538" s="7" t="inlineStr">
        <is>
          <t>MAT-09-022</t>
        </is>
      </c>
      <c r="B538" s="4" t="inlineStr">
        <is>
          <t>Pig tail para conexión de gas</t>
        </is>
      </c>
      <c r="C538" s="7" t="inlineStr">
        <is>
          <t>unidad</t>
        </is>
      </c>
      <c r="D538" s="8" t="n"/>
      <c r="E538" s="8" t="n"/>
      <c r="F538" s="8" t="n"/>
      <c r="G538" s="8" t="n">
        <v>299</v>
      </c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>
        <f>IF(COUNT(D538:U538)=0,"",MIN(D538:U538))</f>
        <v/>
      </c>
      <c r="W538" s="8">
        <f>IF(COUNT(D538:U538)=0,"",MEDIAN(D538:U538))</f>
        <v/>
      </c>
      <c r="X538" s="8">
        <f>IF(COUNT(D538:U538)=0,"",MAX(D538:U538))</f>
        <v/>
      </c>
      <c r="Y538" s="9">
        <f>IF(OR(V538="",V538=0),"",(X538-V538)/V538)</f>
        <v/>
      </c>
      <c r="Z538" s="7">
        <f>IF(COUNT(D538:U538)=0,"",INDEX($D$1:$U$1,MATCH(MIN(D538:U538),D538:U538,0)))</f>
        <v/>
      </c>
      <c r="AA538" s="8" t="n">
        <v>489.5</v>
      </c>
      <c r="AB538" s="10" t="n">
        <v>1</v>
      </c>
    </row>
    <row r="539">
      <c r="A539" s="7" t="inlineStr">
        <is>
          <t>MAT-09-023</t>
        </is>
      </c>
      <c r="B539" s="4" t="inlineStr">
        <is>
          <t>Llave para tanque de gas 7/8"</t>
        </is>
      </c>
      <c r="C539" s="7" t="inlineStr">
        <is>
          <t>unidad</t>
        </is>
      </c>
      <c r="D539" s="8" t="n"/>
      <c r="E539" s="8" t="n"/>
      <c r="F539" s="8" t="n"/>
      <c r="G539" s="8" t="n">
        <v>377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>
        <f>IF(COUNT(D539:U539)=0,"",MIN(D539:U539))</f>
        <v/>
      </c>
      <c r="W539" s="8">
        <f>IF(COUNT(D539:U539)=0,"",MEDIAN(D539:U539))</f>
        <v/>
      </c>
      <c r="X539" s="8">
        <f>IF(COUNT(D539:U539)=0,"",MAX(D539:U539))</f>
        <v/>
      </c>
      <c r="Y539" s="9">
        <f>IF(OR(V539="",V539=0),"",(X539-V539)/V539)</f>
        <v/>
      </c>
      <c r="Z539" s="7">
        <f>IF(COUNT(D539:U539)=0,"",INDEX($D$1:$U$1,MATCH(MIN(D539:U539),D539:U539,0)))</f>
        <v/>
      </c>
      <c r="AA539" s="8" t="n">
        <v>377</v>
      </c>
      <c r="AB539" s="10" t="n">
        <v>1</v>
      </c>
    </row>
    <row r="540">
      <c r="A540" s="7" t="inlineStr">
        <is>
          <t>MAT-09-024</t>
        </is>
      </c>
      <c r="B540" s="4" t="inlineStr">
        <is>
          <t>Bomba centrífuga de 1 HP</t>
        </is>
      </c>
      <c r="C540" s="7" t="inlineStr">
        <is>
          <t>unidad</t>
        </is>
      </c>
      <c r="D540" s="8" t="n"/>
      <c r="E540" s="8" t="n">
        <v>6802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>
        <f>IF(COUNT(D540:U540)=0,"",MIN(D540:U540))</f>
        <v/>
      </c>
      <c r="W540" s="8">
        <f>IF(COUNT(D540:U540)=0,"",MEDIAN(D540:U540))</f>
        <v/>
      </c>
      <c r="X540" s="8">
        <f>IF(COUNT(D540:U540)=0,"",MAX(D540:U540))</f>
        <v/>
      </c>
      <c r="Y540" s="9">
        <f>IF(OR(V540="",V540=0),"",(X540-V540)/V540)</f>
        <v/>
      </c>
      <c r="Z540" s="7">
        <f>IF(COUNT(D540:U540)=0,"",INDEX($D$1:$U$1,MATCH(MIN(D540:U540),D540:U540,0)))</f>
        <v/>
      </c>
      <c r="AA540" s="8" t="n">
        <v>8923.5</v>
      </c>
      <c r="AB540" s="10" t="n">
        <v>1</v>
      </c>
    </row>
    <row r="541">
      <c r="A541" s="7" t="inlineStr">
        <is>
          <t>MAT-09-025</t>
        </is>
      </c>
      <c r="B541" s="4" t="inlineStr">
        <is>
          <t>Bomba centrífuga de 1 1/3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11205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>
        <f>IF(COUNT(D541:U541)=0,"",MIN(D541:U541))</f>
        <v/>
      </c>
      <c r="W541" s="8">
        <f>IF(COUNT(D541:U541)=0,"",MEDIAN(D541:U541))</f>
        <v/>
      </c>
      <c r="X541" s="8">
        <f>IF(COUNT(D541:U541)=0,"",MAX(D541:U541))</f>
        <v/>
      </c>
      <c r="Y541" s="9">
        <f>IF(OR(V541="",V541=0),"",(X541-V541)/V541)</f>
        <v/>
      </c>
      <c r="Z541" s="7">
        <f>IF(COUNT(D541:U541)=0,"",INDEX($D$1:$U$1,MATCH(MIN(D541:U541),D541:U541,0)))</f>
        <v/>
      </c>
      <c r="AA541" s="8" t="n">
        <v>11205</v>
      </c>
      <c r="AB541" s="10" t="n">
        <v>1</v>
      </c>
    </row>
    <row r="542">
      <c r="A542" s="7" t="inlineStr">
        <is>
          <t>MAT-09-026</t>
        </is>
      </c>
      <c r="B542" s="4" t="inlineStr">
        <is>
          <t>Bomba centrífuga de 1/2 HP</t>
        </is>
      </c>
      <c r="C542" s="7" t="inlineStr">
        <is>
          <t>unidad</t>
        </is>
      </c>
      <c r="D542" s="8" t="n"/>
      <c r="E542" s="8" t="n">
        <v>4732</v>
      </c>
      <c r="F542" s="8" t="n"/>
      <c r="G542" s="8" t="n"/>
      <c r="H542" s="8" t="n"/>
      <c r="I542" s="8" t="n">
        <v>7989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>
        <f>IF(COUNT(D542:U542)=0,"",MIN(D542:U542))</f>
        <v/>
      </c>
      <c r="W542" s="8">
        <f>IF(COUNT(D542:U542)=0,"",MEDIAN(D542:U542))</f>
        <v/>
      </c>
      <c r="X542" s="8">
        <f>IF(COUNT(D542:U542)=0,"",MAX(D542:U542))</f>
        <v/>
      </c>
      <c r="Y542" s="9">
        <f>IF(OR(V542="",V542=0),"",(X542-V542)/V542)</f>
        <v/>
      </c>
      <c r="Z542" s="7">
        <f>IF(COUNT(D542:U542)=0,"",INDEX($D$1:$U$1,MATCH(MIN(D542:U542),D542:U542,0)))</f>
        <v/>
      </c>
      <c r="AA542" s="8" t="n">
        <v>7989</v>
      </c>
      <c r="AB542" s="10" t="n">
        <v>2</v>
      </c>
    </row>
    <row r="543">
      <c r="A543" s="7" t="inlineStr">
        <is>
          <t>MAT-09-027</t>
        </is>
      </c>
      <c r="B543" s="4" t="inlineStr">
        <is>
          <t>Bomba centrífuga de 1.5 HP</t>
        </is>
      </c>
      <c r="C543" s="7" t="inlineStr">
        <is>
          <t>unidad</t>
        </is>
      </c>
      <c r="D543" s="8" t="n"/>
      <c r="E543" s="8" t="n">
        <v>8100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>
        <f>IF(COUNT(D543:U543)=0,"",MIN(D543:U543))</f>
        <v/>
      </c>
      <c r="W543" s="8">
        <f>IF(COUNT(D543:U543)=0,"",MEDIAN(D543:U543))</f>
        <v/>
      </c>
      <c r="X543" s="8">
        <f>IF(COUNT(D543:U543)=0,"",MAX(D543:U543))</f>
        <v/>
      </c>
      <c r="Y543" s="9">
        <f>IF(OR(V543="",V543=0),"",(X543-V543)/V543)</f>
        <v/>
      </c>
      <c r="Z543" s="7">
        <f>IF(COUNT(D543:U543)=0,"",INDEX($D$1:$U$1,MATCH(MIN(D543:U543),D543:U543,0)))</f>
        <v/>
      </c>
      <c r="AA543" s="8" t="n">
        <v>13164.5</v>
      </c>
      <c r="AB543" s="10" t="n">
        <v>1</v>
      </c>
    </row>
    <row r="544">
      <c r="A544" s="7" t="inlineStr">
        <is>
          <t>MAT-09-028</t>
        </is>
      </c>
      <c r="B544" s="4" t="inlineStr">
        <is>
          <t>Bomba centrífuga de 15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30539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>
        <f>IF(COUNT(D544:U544)=0,"",MIN(D544:U544))</f>
        <v/>
      </c>
      <c r="W544" s="8">
        <f>IF(COUNT(D544:U544)=0,"",MEDIAN(D544:U544))</f>
        <v/>
      </c>
      <c r="X544" s="8">
        <f>IF(COUNT(D544:U544)=0,"",MAX(D544:U544))</f>
        <v/>
      </c>
      <c r="Y544" s="9">
        <f>IF(OR(V544="",V544=0),"",(X544-V544)/V544)</f>
        <v/>
      </c>
      <c r="Z544" s="7">
        <f>IF(COUNT(D544:U544)=0,"",INDEX($D$1:$U$1,MATCH(MIN(D544:U544),D544:U544,0)))</f>
        <v/>
      </c>
      <c r="AA544" s="8" t="n">
        <v>30539</v>
      </c>
      <c r="AB544" s="10" t="n">
        <v>1</v>
      </c>
    </row>
    <row r="545">
      <c r="A545" s="7" t="inlineStr">
        <is>
          <t>MAT-09-029</t>
        </is>
      </c>
      <c r="B545" s="4" t="inlineStr">
        <is>
          <t>Bomba centrífuga de 2 HP</t>
        </is>
      </c>
      <c r="C545" s="7" t="inlineStr">
        <is>
          <t>unidad</t>
        </is>
      </c>
      <c r="D545" s="8" t="n"/>
      <c r="E545" s="8" t="n">
        <v>20409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>
        <f>IF(COUNT(D545:U545)=0,"",MIN(D545:U545))</f>
        <v/>
      </c>
      <c r="W545" s="8">
        <f>IF(COUNT(D545:U545)=0,"",MEDIAN(D545:U545))</f>
        <v/>
      </c>
      <c r="X545" s="8">
        <f>IF(COUNT(D545:U545)=0,"",MAX(D545:U545))</f>
        <v/>
      </c>
      <c r="Y545" s="9">
        <f>IF(OR(V545="",V545=0),"",(X545-V545)/V545)</f>
        <v/>
      </c>
      <c r="Z545" s="7">
        <f>IF(COUNT(D545:U545)=0,"",INDEX($D$1:$U$1,MATCH(MIN(D545:U545),D545:U545,0)))</f>
        <v/>
      </c>
      <c r="AA545" s="8" t="n">
        <v>23097</v>
      </c>
      <c r="AB545" s="10" t="n">
        <v>1</v>
      </c>
    </row>
    <row r="546">
      <c r="A546" s="7" t="inlineStr">
        <is>
          <t>MAT-09-030</t>
        </is>
      </c>
      <c r="B546" s="4" t="inlineStr">
        <is>
          <t>Bomba centrífuga de 3 HP</t>
        </is>
      </c>
      <c r="C546" s="7" t="inlineStr">
        <is>
          <t>unidad</t>
        </is>
      </c>
      <c r="D546" s="8" t="n"/>
      <c r="E546" s="8" t="n">
        <v>23699</v>
      </c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>
        <f>IF(COUNT(D546:U546)=0,"",MIN(D546:U546))</f>
        <v/>
      </c>
      <c r="W546" s="8">
        <f>IF(COUNT(D546:U546)=0,"",MEDIAN(D546:U546))</f>
        <v/>
      </c>
      <c r="X546" s="8">
        <f>IF(COUNT(D546:U546)=0,"",MAX(D546:U546))</f>
        <v/>
      </c>
      <c r="Y546" s="9">
        <f>IF(OR(V546="",V546=0),"",(X546-V546)/V546)</f>
        <v/>
      </c>
      <c r="Z546" s="7">
        <f>IF(COUNT(D546:U546)=0,"",INDEX($D$1:$U$1,MATCH(MIN(D546:U546),D546:U546,0)))</f>
        <v/>
      </c>
      <c r="AA546" s="8" t="n">
        <v>23699</v>
      </c>
      <c r="AB546" s="10" t="n">
        <v>1</v>
      </c>
    </row>
    <row r="547">
      <c r="A547" s="7" t="inlineStr">
        <is>
          <t>MAT-09-031</t>
        </is>
      </c>
      <c r="B547" s="4" t="inlineStr">
        <is>
          <t>Bomba centrífuga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7849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>
        <f>IF(COUNT(D547:U547)=0,"",MIN(D547:U547))</f>
        <v/>
      </c>
      <c r="W547" s="8">
        <f>IF(COUNT(D547:U547)=0,"",MEDIAN(D547:U547))</f>
        <v/>
      </c>
      <c r="X547" s="8">
        <f>IF(COUNT(D547:U547)=0,"",MAX(D547:U547))</f>
        <v/>
      </c>
      <c r="Y547" s="9">
        <f>IF(OR(V547="",V547=0),"",(X547-V547)/V547)</f>
        <v/>
      </c>
      <c r="Z547" s="7">
        <f>IF(COUNT(D547:U547)=0,"",INDEX($D$1:$U$1,MATCH(MIN(D547:U547),D547:U547,0)))</f>
        <v/>
      </c>
      <c r="AA547" s="8" t="n">
        <v>8672</v>
      </c>
      <c r="AB547" s="10" t="n">
        <v>1</v>
      </c>
    </row>
    <row r="548">
      <c r="A548" s="7" t="inlineStr">
        <is>
          <t>MAT-09-032</t>
        </is>
      </c>
      <c r="B548" s="4" t="inlineStr">
        <is>
          <t>Bomba centrífuga de 6 1/2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13189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>
        <f>IF(COUNT(D548:U548)=0,"",MIN(D548:U548))</f>
        <v/>
      </c>
      <c r="W548" s="8">
        <f>IF(COUNT(D548:U548)=0,"",MEDIAN(D548:U548))</f>
        <v/>
      </c>
      <c r="X548" s="8">
        <f>IF(COUNT(D548:U548)=0,"",MAX(D548:U548))</f>
        <v/>
      </c>
      <c r="Y548" s="9">
        <f>IF(OR(V548="",V548=0),"",(X548-V548)/V548)</f>
        <v/>
      </c>
      <c r="Z548" s="7">
        <f>IF(COUNT(D548:U548)=0,"",INDEX($D$1:$U$1,MATCH(MIN(D548:U548),D548:U548,0)))</f>
        <v/>
      </c>
      <c r="AA548" s="8" t="n">
        <v>13189</v>
      </c>
      <c r="AB548" s="10" t="n">
        <v>1</v>
      </c>
    </row>
    <row r="549">
      <c r="A549" s="7" t="inlineStr">
        <is>
          <t>MAT-09-033</t>
        </is>
      </c>
      <c r="B549" s="4" t="inlineStr">
        <is>
          <t>Bomba de cisterna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7106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>
        <f>IF(COUNT(D549:U549)=0,"",MIN(D549:U549))</f>
        <v/>
      </c>
      <c r="W549" s="8">
        <f>IF(COUNT(D549:U549)=0,"",MEDIAN(D549:U549))</f>
        <v/>
      </c>
      <c r="X549" s="8">
        <f>IF(COUNT(D549:U549)=0,"",MAX(D549:U549))</f>
        <v/>
      </c>
      <c r="Y549" s="9">
        <f>IF(OR(V549="",V549=0),"",(X549-V549)/V549)</f>
        <v/>
      </c>
      <c r="Z549" s="7">
        <f>IF(COUNT(D549:U549)=0,"",INDEX($D$1:$U$1,MATCH(MIN(D549:U549),D549:U549,0)))</f>
        <v/>
      </c>
      <c r="AA549" s="8" t="n">
        <v>7106</v>
      </c>
      <c r="AB549" s="10" t="n">
        <v>1</v>
      </c>
    </row>
    <row r="550">
      <c r="A550" s="7" t="inlineStr">
        <is>
          <t>MAT-09-034</t>
        </is>
      </c>
      <c r="B550" s="4" t="inlineStr">
        <is>
          <t>Bomba ladrona de 1/2 HP</t>
        </is>
      </c>
      <c r="C550" s="7" t="inlineStr">
        <is>
          <t>unidad</t>
        </is>
      </c>
      <c r="D550" s="8" t="n"/>
      <c r="E550" s="8" t="n"/>
      <c r="F550" s="8" t="n"/>
      <c r="G550" s="8" t="n">
        <v>2670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>
        <f>IF(COUNT(D550:U550)=0,"",MIN(D550:U550))</f>
        <v/>
      </c>
      <c r="W550" s="8">
        <f>IF(COUNT(D550:U550)=0,"",MEDIAN(D550:U550))</f>
        <v/>
      </c>
      <c r="X550" s="8">
        <f>IF(COUNT(D550:U550)=0,"",MAX(D550:U550))</f>
        <v/>
      </c>
      <c r="Y550" s="9">
        <f>IF(OR(V550="",V550=0),"",(X550-V550)/V550)</f>
        <v/>
      </c>
      <c r="Z550" s="7">
        <f>IF(COUNT(D550:U550)=0,"",INDEX($D$1:$U$1,MATCH(MIN(D550:U550),D550:U550,0)))</f>
        <v/>
      </c>
      <c r="AA550" s="8" t="n">
        <v>3957</v>
      </c>
      <c r="AB550" s="10" t="n">
        <v>1</v>
      </c>
    </row>
    <row r="551">
      <c r="A551" s="7" t="inlineStr">
        <is>
          <t>MAT-09-035</t>
        </is>
      </c>
      <c r="B551" s="4" t="inlineStr">
        <is>
          <t>Bomba periférica de 1 HP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5719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>
        <f>IF(COUNT(D551:U551)=0,"",MIN(D551:U551))</f>
        <v/>
      </c>
      <c r="W551" s="8">
        <f>IF(COUNT(D551:U551)=0,"",MEDIAN(D551:U551))</f>
        <v/>
      </c>
      <c r="X551" s="8">
        <f>IF(COUNT(D551:U551)=0,"",MAX(D551:U551))</f>
        <v/>
      </c>
      <c r="Y551" s="9">
        <f>IF(OR(V551="",V551=0),"",(X551-V551)/V551)</f>
        <v/>
      </c>
      <c r="Z551" s="7">
        <f>IF(COUNT(D551:U551)=0,"",INDEX($D$1:$U$1,MATCH(MIN(D551:U551),D551:U551,0)))</f>
        <v/>
      </c>
      <c r="AA551" s="8" t="n">
        <v>5719</v>
      </c>
      <c r="AB551" s="10" t="n">
        <v>1</v>
      </c>
    </row>
    <row r="552">
      <c r="A552" s="7" t="inlineStr">
        <is>
          <t>MAT-09-036</t>
        </is>
      </c>
      <c r="B552" s="4" t="inlineStr">
        <is>
          <t>Bomba periférica de 1/2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1995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>
        <f>IF(COUNT(D552:U552)=0,"",MIN(D552:U552))</f>
        <v/>
      </c>
      <c r="W552" s="8">
        <f>IF(COUNT(D552:U552)=0,"",MEDIAN(D552:U552))</f>
        <v/>
      </c>
      <c r="X552" s="8">
        <f>IF(COUNT(D552:U552)=0,"",MAX(D552:U552))</f>
        <v/>
      </c>
      <c r="Y552" s="9">
        <f>IF(OR(V552="",V552=0),"",(X552-V552)/V552)</f>
        <v/>
      </c>
      <c r="Z552" s="7">
        <f>IF(COUNT(D552:U552)=0,"",INDEX($D$1:$U$1,MATCH(MIN(D552:U552),D552:U552,0)))</f>
        <v/>
      </c>
      <c r="AA552" s="8" t="n">
        <v>1995</v>
      </c>
      <c r="AB552" s="10" t="n">
        <v>1</v>
      </c>
    </row>
    <row r="553">
      <c r="A553" s="7" t="inlineStr">
        <is>
          <t>MAT-09-037</t>
        </is>
      </c>
      <c r="B553" s="4" t="inlineStr">
        <is>
          <t>Bomba periférica de 3/4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5079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>
        <f>IF(COUNT(D553:U553)=0,"",MIN(D553:U553))</f>
        <v/>
      </c>
      <c r="W553" s="8">
        <f>IF(COUNT(D553:U553)=0,"",MEDIAN(D553:U553))</f>
        <v/>
      </c>
      <c r="X553" s="8">
        <f>IF(COUNT(D553:U553)=0,"",MAX(D553:U553))</f>
        <v/>
      </c>
      <c r="Y553" s="9">
        <f>IF(OR(V553="",V553=0),"",(X553-V553)/V553)</f>
        <v/>
      </c>
      <c r="Z553" s="7">
        <f>IF(COUNT(D553:U553)=0,"",INDEX($D$1:$U$1,MATCH(MIN(D553:U553),D553:U553,0)))</f>
        <v/>
      </c>
      <c r="AA553" s="8" t="n">
        <v>5079</v>
      </c>
      <c r="AB553" s="10" t="n">
        <v>1</v>
      </c>
    </row>
    <row r="554">
      <c r="A554" s="7" t="inlineStr">
        <is>
          <t>MAT-09-038</t>
        </is>
      </c>
      <c r="B554" s="4" t="inlineStr">
        <is>
          <t>Bomba presurizadora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5075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>
        <f>IF(COUNT(D554:U554)=0,"",MIN(D554:U554))</f>
        <v/>
      </c>
      <c r="W554" s="8">
        <f>IF(COUNT(D554:U554)=0,"",MEDIAN(D554:U554))</f>
        <v/>
      </c>
      <c r="X554" s="8">
        <f>IF(COUNT(D554:U554)=0,"",MAX(D554:U554))</f>
        <v/>
      </c>
      <c r="Y554" s="9">
        <f>IF(OR(V554="",V554=0),"",(X554-V554)/V554)</f>
        <v/>
      </c>
      <c r="Z554" s="7">
        <f>IF(COUNT(D554:U554)=0,"",INDEX($D$1:$U$1,MATCH(MIN(D554:U554),D554:U554,0)))</f>
        <v/>
      </c>
      <c r="AA554" s="8" t="n">
        <v>5075</v>
      </c>
      <c r="AB554" s="10" t="n">
        <v>1</v>
      </c>
    </row>
    <row r="555">
      <c r="A555" s="7" t="inlineStr">
        <is>
          <t>MAT-09-039</t>
        </is>
      </c>
      <c r="B555" s="4" t="inlineStr">
        <is>
          <t>Bomba presurizadora de 1/3 HP</t>
        </is>
      </c>
      <c r="C555" s="7" t="inlineStr">
        <is>
          <t>unidad</t>
        </is>
      </c>
      <c r="D555" s="8" t="n"/>
      <c r="E555" s="8" t="n"/>
      <c r="F555" s="8" t="n"/>
      <c r="G555" s="8" t="n">
        <v>4914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>
        <f>IF(COUNT(D555:U555)=0,"",MIN(D555:U555))</f>
        <v/>
      </c>
      <c r="W555" s="8">
        <f>IF(COUNT(D555:U555)=0,"",MEDIAN(D555:U555))</f>
        <v/>
      </c>
      <c r="X555" s="8">
        <f>IF(COUNT(D555:U555)=0,"",MAX(D555:U555))</f>
        <v/>
      </c>
      <c r="Y555" s="9">
        <f>IF(OR(V555="",V555=0),"",(X555-V555)/V555)</f>
        <v/>
      </c>
      <c r="Z555" s="7">
        <f>IF(COUNT(D555:U555)=0,"",INDEX($D$1:$U$1,MATCH(MIN(D555:U555),D555:U555,0)))</f>
        <v/>
      </c>
      <c r="AA555" s="8" t="n">
        <v>4914</v>
      </c>
      <c r="AB555" s="10" t="n">
        <v>1</v>
      </c>
    </row>
    <row r="556">
      <c r="A556" s="7" t="inlineStr">
        <is>
          <t>MAT-09-040</t>
        </is>
      </c>
      <c r="B556" s="4" t="inlineStr">
        <is>
          <t>Bomba presurizadora de 1/6 HP</t>
        </is>
      </c>
      <c r="C556" s="7" t="inlineStr">
        <is>
          <t>unidad</t>
        </is>
      </c>
      <c r="D556" s="8" t="n"/>
      <c r="E556" s="8" t="n"/>
      <c r="F556" s="8" t="n"/>
      <c r="G556" s="8" t="n">
        <v>2911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>
        <f>IF(COUNT(D556:U556)=0,"",MIN(D556:U556))</f>
        <v/>
      </c>
      <c r="W556" s="8">
        <f>IF(COUNT(D556:U556)=0,"",MEDIAN(D556:U556))</f>
        <v/>
      </c>
      <c r="X556" s="8">
        <f>IF(COUNT(D556:U556)=0,"",MAX(D556:U556))</f>
        <v/>
      </c>
      <c r="Y556" s="9">
        <f>IF(OR(V556="",V556=0),"",(X556-V556)/V556)</f>
        <v/>
      </c>
      <c r="Z556" s="7">
        <f>IF(COUNT(D556:U556)=0,"",INDEX($D$1:$U$1,MATCH(MIN(D556:U556),D556:U556,0)))</f>
        <v/>
      </c>
      <c r="AA556" s="8" t="n">
        <v>2911</v>
      </c>
      <c r="AB556" s="10" t="n">
        <v>1</v>
      </c>
    </row>
    <row r="557">
      <c r="A557" s="7" t="inlineStr">
        <is>
          <t>MAT-09-041</t>
        </is>
      </c>
      <c r="B557" s="4" t="inlineStr">
        <is>
          <t>Bomba sumergible de 1 HP</t>
        </is>
      </c>
      <c r="C557" s="7" t="inlineStr">
        <is>
          <t>unidad</t>
        </is>
      </c>
      <c r="D557" s="8" t="n"/>
      <c r="E557" s="8" t="n">
        <v>5512</v>
      </c>
      <c r="F557" s="8" t="n"/>
      <c r="G557" s="8" t="n"/>
      <c r="H557" s="8" t="n"/>
      <c r="I557" s="8" t="n">
        <v>1920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>
        <f>IF(COUNT(D557:U557)=0,"",MIN(D557:U557))</f>
        <v/>
      </c>
      <c r="W557" s="8">
        <f>IF(COUNT(D557:U557)=0,"",MEDIAN(D557:U557))</f>
        <v/>
      </c>
      <c r="X557" s="8">
        <f>IF(COUNT(D557:U557)=0,"",MAX(D557:U557))</f>
        <v/>
      </c>
      <c r="Y557" s="9">
        <f>IF(OR(V557="",V557=0),"",(X557-V557)/V557)</f>
        <v/>
      </c>
      <c r="Z557" s="7">
        <f>IF(COUNT(D557:U557)=0,"",INDEX($D$1:$U$1,MATCH(MIN(D557:U557),D557:U557,0)))</f>
        <v/>
      </c>
      <c r="AA557" s="8" t="n">
        <v>7860</v>
      </c>
      <c r="AB557" s="10" t="n">
        <v>2</v>
      </c>
    </row>
    <row r="558">
      <c r="A558" s="7" t="inlineStr">
        <is>
          <t>MAT-09-042</t>
        </is>
      </c>
      <c r="B558" s="4" t="inlineStr">
        <is>
          <t>Bomba sumergible de 1 1/2 HP</t>
        </is>
      </c>
      <c r="C558" s="7" t="inlineStr">
        <is>
          <t>unidad</t>
        </is>
      </c>
      <c r="D558" s="8" t="n"/>
      <c r="E558" s="8" t="n">
        <v>6623</v>
      </c>
      <c r="F558" s="8" t="n"/>
      <c r="G558" s="8" t="n"/>
      <c r="H558" s="8" t="n"/>
      <c r="I558" s="8" t="n">
        <v>14569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>
        <f>IF(COUNT(D558:U558)=0,"",MIN(D558:U558))</f>
        <v/>
      </c>
      <c r="W558" s="8">
        <f>IF(COUNT(D558:U558)=0,"",MEDIAN(D558:U558))</f>
        <v/>
      </c>
      <c r="X558" s="8">
        <f>IF(COUNT(D558:U558)=0,"",MAX(D558:U558))</f>
        <v/>
      </c>
      <c r="Y558" s="9">
        <f>IF(OR(V558="",V558=0),"",(X558-V558)/V558)</f>
        <v/>
      </c>
      <c r="Z558" s="7">
        <f>IF(COUNT(D558:U558)=0,"",INDEX($D$1:$U$1,MATCH(MIN(D558:U558),D558:U558,0)))</f>
        <v/>
      </c>
      <c r="AA558" s="8" t="n">
        <v>13484</v>
      </c>
      <c r="AB558" s="10" t="n">
        <v>2</v>
      </c>
    </row>
    <row r="559">
      <c r="A559" s="7" t="inlineStr">
        <is>
          <t>MAT-09-043</t>
        </is>
      </c>
      <c r="B559" s="4" t="inlineStr">
        <is>
          <t>Bomba sumergible de 1/2 HP</t>
        </is>
      </c>
      <c r="C559" s="7" t="inlineStr">
        <is>
          <t>unidad</t>
        </is>
      </c>
      <c r="D559" s="8" t="n"/>
      <c r="E559" s="8" t="n">
        <v>5881</v>
      </c>
      <c r="F559" s="8" t="n"/>
      <c r="G559" s="8" t="n"/>
      <c r="H559" s="8" t="n"/>
      <c r="I559" s="8" t="n">
        <v>2835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>
        <f>IF(COUNT(D559:U559)=0,"",MIN(D559:U559))</f>
        <v/>
      </c>
      <c r="W559" s="8">
        <f>IF(COUNT(D559:U559)=0,"",MEDIAN(D559:U559))</f>
        <v/>
      </c>
      <c r="X559" s="8">
        <f>IF(COUNT(D559:U559)=0,"",MAX(D559:U559))</f>
        <v/>
      </c>
      <c r="Y559" s="9">
        <f>IF(OR(V559="",V559=0),"",(X559-V559)/V559)</f>
        <v/>
      </c>
      <c r="Z559" s="7">
        <f>IF(COUNT(D559:U559)=0,"",INDEX($D$1:$U$1,MATCH(MIN(D559:U559),D559:U559,0)))</f>
        <v/>
      </c>
      <c r="AA559" s="8" t="n">
        <v>8167.5</v>
      </c>
      <c r="AB559" s="10" t="n">
        <v>2</v>
      </c>
    </row>
    <row r="560">
      <c r="A560" s="7" t="inlineStr">
        <is>
          <t>MAT-09-044</t>
        </is>
      </c>
      <c r="B560" s="4" t="inlineStr">
        <is>
          <t>Bomba sumergible de 1.5 HP</t>
        </is>
      </c>
      <c r="C560" s="7" t="inlineStr">
        <is>
          <t>unidad</t>
        </is>
      </c>
      <c r="D560" s="8" t="n"/>
      <c r="E560" s="8" t="n">
        <v>77553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>
        <f>IF(COUNT(D560:U560)=0,"",MIN(D560:U560))</f>
        <v/>
      </c>
      <c r="W560" s="8">
        <f>IF(COUNT(D560:U560)=0,"",MEDIAN(D560:U560))</f>
        <v/>
      </c>
      <c r="X560" s="8">
        <f>IF(COUNT(D560:U560)=0,"",MAX(D560:U560))</f>
        <v/>
      </c>
      <c r="Y560" s="9">
        <f>IF(OR(V560="",V560=0),"",(X560-V560)/V560)</f>
        <v/>
      </c>
      <c r="Z560" s="7">
        <f>IF(COUNT(D560:U560)=0,"",INDEX($D$1:$U$1,MATCH(MIN(D560:U560),D560:U560,0)))</f>
        <v/>
      </c>
      <c r="AA560" s="8" t="n">
        <v>77553</v>
      </c>
      <c r="AB560" s="10" t="n">
        <v>1</v>
      </c>
    </row>
    <row r="561">
      <c r="A561" s="7" t="inlineStr">
        <is>
          <t>MAT-09-045</t>
        </is>
      </c>
      <c r="B561" s="4" t="inlineStr">
        <is>
          <t>Bomba sumergible de 1/6 HP</t>
        </is>
      </c>
      <c r="C561" s="7" t="inlineStr">
        <is>
          <t>unidad</t>
        </is>
      </c>
      <c r="D561" s="8" t="n"/>
      <c r="E561" s="8" t="n">
        <v>21812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>
        <f>IF(COUNT(D561:U561)=0,"",MIN(D561:U561))</f>
        <v/>
      </c>
      <c r="W561" s="8">
        <f>IF(COUNT(D561:U561)=0,"",MEDIAN(D561:U561))</f>
        <v/>
      </c>
      <c r="X561" s="8">
        <f>IF(COUNT(D561:U561)=0,"",MAX(D561:U561))</f>
        <v/>
      </c>
      <c r="Y561" s="9">
        <f>IF(OR(V561="",V561=0),"",(X561-V561)/V561)</f>
        <v/>
      </c>
      <c r="Z561" s="7">
        <f>IF(COUNT(D561:U561)=0,"",INDEX($D$1:$U$1,MATCH(MIN(D561:U561),D561:U561,0)))</f>
        <v/>
      </c>
      <c r="AA561" s="8" t="n">
        <v>21812</v>
      </c>
      <c r="AB561" s="10" t="n">
        <v>1</v>
      </c>
    </row>
    <row r="562">
      <c r="A562" s="7" t="inlineStr">
        <is>
          <t>MAT-09-046</t>
        </is>
      </c>
      <c r="B562" s="4" t="inlineStr">
        <is>
          <t>Bomba sumergible de 10 HP</t>
        </is>
      </c>
      <c r="C562" s="7" t="inlineStr">
        <is>
          <t>unidad</t>
        </is>
      </c>
      <c r="D562" s="8" t="n"/>
      <c r="E562" s="8" t="n">
        <v>56995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>
        <f>IF(COUNT(D562:U562)=0,"",MIN(D562:U562))</f>
        <v/>
      </c>
      <c r="W562" s="8">
        <f>IF(COUNT(D562:U562)=0,"",MEDIAN(D562:U562))</f>
        <v/>
      </c>
      <c r="X562" s="8">
        <f>IF(COUNT(D562:U562)=0,"",MAX(D562:U562))</f>
        <v/>
      </c>
      <c r="Y562" s="9">
        <f>IF(OR(V562="",V562=0),"",(X562-V562)/V562)</f>
        <v/>
      </c>
      <c r="Z562" s="7">
        <f>IF(COUNT(D562:U562)=0,"",INDEX($D$1:$U$1,MATCH(MIN(D562:U562),D562:U562,0)))</f>
        <v/>
      </c>
      <c r="AA562" s="8" t="n">
        <v>56995</v>
      </c>
      <c r="AB562" s="10" t="n">
        <v>1</v>
      </c>
    </row>
    <row r="563">
      <c r="A563" s="7" t="inlineStr">
        <is>
          <t>MAT-09-047</t>
        </is>
      </c>
      <c r="B563" s="4" t="inlineStr">
        <is>
          <t>Bomba sumergible de 2 HP</t>
        </is>
      </c>
      <c r="C563" s="7" t="inlineStr">
        <is>
          <t>unidad</t>
        </is>
      </c>
      <c r="D563" s="8" t="n"/>
      <c r="E563" s="8" t="n">
        <v>12859</v>
      </c>
      <c r="F563" s="8" t="n"/>
      <c r="G563" s="8" t="n"/>
      <c r="H563" s="8" t="n"/>
      <c r="I563" s="8" t="n">
        <v>16615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>
        <f>IF(COUNT(D563:U563)=0,"",MIN(D563:U563))</f>
        <v/>
      </c>
      <c r="W563" s="8">
        <f>IF(COUNT(D563:U563)=0,"",MEDIAN(D563:U563))</f>
        <v/>
      </c>
      <c r="X563" s="8">
        <f>IF(COUNT(D563:U563)=0,"",MAX(D563:U563))</f>
        <v/>
      </c>
      <c r="Y563" s="9">
        <f>IF(OR(V563="",V563=0),"",(X563-V563)/V563)</f>
        <v/>
      </c>
      <c r="Z563" s="7">
        <f>IF(COUNT(D563:U563)=0,"",INDEX($D$1:$U$1,MATCH(MIN(D563:U563),D563:U563,0)))</f>
        <v/>
      </c>
      <c r="AA563" s="8" t="n">
        <v>20127</v>
      </c>
      <c r="AB563" s="10" t="n">
        <v>2</v>
      </c>
    </row>
    <row r="564">
      <c r="A564" s="7" t="inlineStr">
        <is>
          <t>MAT-09-048</t>
        </is>
      </c>
      <c r="B564" s="4" t="inlineStr">
        <is>
          <t>Bomba sumergible de 3 HP</t>
        </is>
      </c>
      <c r="C564" s="7" t="inlineStr">
        <is>
          <t>unidad</t>
        </is>
      </c>
      <c r="D564" s="8" t="n"/>
      <c r="E564" s="8" t="n">
        <v>17345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>
        <f>IF(COUNT(D564:U564)=0,"",MIN(D564:U564))</f>
        <v/>
      </c>
      <c r="W564" s="8">
        <f>IF(COUNT(D564:U564)=0,"",MEDIAN(D564:U564))</f>
        <v/>
      </c>
      <c r="X564" s="8">
        <f>IF(COUNT(D564:U564)=0,"",MAX(D564:U564))</f>
        <v/>
      </c>
      <c r="Y564" s="9">
        <f>IF(OR(V564="",V564=0),"",(X564-V564)/V564)</f>
        <v/>
      </c>
      <c r="Z564" s="7">
        <f>IF(COUNT(D564:U564)=0,"",INDEX($D$1:$U$1,MATCH(MIN(D564:U564),D564:U564,0)))</f>
        <v/>
      </c>
      <c r="AA564" s="8" t="n">
        <v>23492.5</v>
      </c>
      <c r="AB564" s="10" t="n">
        <v>1</v>
      </c>
    </row>
    <row r="565">
      <c r="A565" s="7" t="inlineStr">
        <is>
          <t>MAT-09-049</t>
        </is>
      </c>
      <c r="B565" s="4" t="inlineStr">
        <is>
          <t>Bomba sumergible de 3/4 HP</t>
        </is>
      </c>
      <c r="C565" s="7" t="inlineStr">
        <is>
          <t>unidad</t>
        </is>
      </c>
      <c r="D565" s="8" t="n"/>
      <c r="E565" s="8" t="n">
        <v>5215</v>
      </c>
      <c r="F565" s="8" t="n"/>
      <c r="G565" s="8" t="n"/>
      <c r="H565" s="8" t="n"/>
      <c r="I565" s="8" t="n">
        <v>2999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>
        <f>IF(COUNT(D565:U565)=0,"",MIN(D565:U565))</f>
        <v/>
      </c>
      <c r="W565" s="8">
        <f>IF(COUNT(D565:U565)=0,"",MEDIAN(D565:U565))</f>
        <v/>
      </c>
      <c r="X565" s="8">
        <f>IF(COUNT(D565:U565)=0,"",MAX(D565:U565))</f>
        <v/>
      </c>
      <c r="Y565" s="9">
        <f>IF(OR(V565="",V565=0),"",(X565-V565)/V565)</f>
        <v/>
      </c>
      <c r="Z565" s="7">
        <f>IF(COUNT(D565:U565)=0,"",INDEX($D$1:$U$1,MATCH(MIN(D565:U565),D565:U565,0)))</f>
        <v/>
      </c>
      <c r="AA565" s="8" t="n">
        <v>8599</v>
      </c>
      <c r="AB565" s="10" t="n">
        <v>2</v>
      </c>
    </row>
    <row r="566">
      <c r="A566" s="7" t="inlineStr">
        <is>
          <t>MAT-09-050</t>
        </is>
      </c>
      <c r="B566" s="4" t="inlineStr">
        <is>
          <t>Bomba sumergible de 5.5 HP</t>
        </is>
      </c>
      <c r="C566" s="7" t="inlineStr">
        <is>
          <t>unidad</t>
        </is>
      </c>
      <c r="D566" s="8" t="n"/>
      <c r="E566" s="8" t="n">
        <v>27049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>
        <f>IF(COUNT(D566:U566)=0,"",MIN(D566:U566))</f>
        <v/>
      </c>
      <c r="W566" s="8">
        <f>IF(COUNT(D566:U566)=0,"",MEDIAN(D566:U566))</f>
        <v/>
      </c>
      <c r="X566" s="8">
        <f>IF(COUNT(D566:U566)=0,"",MAX(D566:U566))</f>
        <v/>
      </c>
      <c r="Y566" s="9">
        <f>IF(OR(V566="",V566=0),"",(X566-V566)/V566)</f>
        <v/>
      </c>
      <c r="Z566" s="7">
        <f>IF(COUNT(D566:U566)=0,"",INDEX($D$1:$U$1,MATCH(MIN(D566:U566),D566:U566,0)))</f>
        <v/>
      </c>
      <c r="AA566" s="8" t="n">
        <v>27049</v>
      </c>
      <c r="AB566" s="10" t="n">
        <v>1</v>
      </c>
    </row>
    <row r="567">
      <c r="A567" s="7" t="inlineStr">
        <is>
          <t>MAT-09-051</t>
        </is>
      </c>
      <c r="B567" s="4" t="inlineStr">
        <is>
          <t>Tanque presurizado de 24 litros</t>
        </is>
      </c>
      <c r="C567" s="7" t="inlineStr">
        <is>
          <t>unidad</t>
        </is>
      </c>
      <c r="D567" s="8" t="n"/>
      <c r="E567" s="8" t="n"/>
      <c r="F567" s="8" t="n"/>
      <c r="G567" s="8" t="n">
        <v>1825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>
        <f>IF(COUNT(D567:U567)=0,"",MIN(D567:U567))</f>
        <v/>
      </c>
      <c r="W567" s="8">
        <f>IF(COUNT(D567:U567)=0,"",MEDIAN(D567:U567))</f>
        <v/>
      </c>
      <c r="X567" s="8">
        <f>IF(COUNT(D567:U567)=0,"",MAX(D567:U567))</f>
        <v/>
      </c>
      <c r="Y567" s="9">
        <f>IF(OR(V567="",V567=0),"",(X567-V567)/V567)</f>
        <v/>
      </c>
      <c r="Z567" s="7">
        <f>IF(COUNT(D567:U567)=0,"",INDEX($D$1:$U$1,MATCH(MIN(D567:U567),D567:U567,0)))</f>
        <v/>
      </c>
      <c r="AA567" s="8" t="n">
        <v>1825</v>
      </c>
      <c r="AB567" s="10" t="n">
        <v>1</v>
      </c>
    </row>
    <row r="568">
      <c r="A568" s="7" t="inlineStr">
        <is>
          <t>MAT-09-052</t>
        </is>
      </c>
      <c r="B568" s="4" t="inlineStr">
        <is>
          <t>Interruptor automático de presión 20–40 PSI</t>
        </is>
      </c>
      <c r="C568" s="7" t="inlineStr">
        <is>
          <t>unidad</t>
        </is>
      </c>
      <c r="D568" s="8" t="n"/>
      <c r="E568" s="8" t="n"/>
      <c r="F568" s="8" t="n"/>
      <c r="G568" s="8" t="n">
        <v>1666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>
        <f>IF(COUNT(D568:U568)=0,"",MIN(D568:U568))</f>
        <v/>
      </c>
      <c r="W568" s="8">
        <f>IF(COUNT(D568:U568)=0,"",MEDIAN(D568:U568))</f>
        <v/>
      </c>
      <c r="X568" s="8">
        <f>IF(COUNT(D568:U568)=0,"",MAX(D568:U568))</f>
        <v/>
      </c>
      <c r="Y568" s="9">
        <f>IF(OR(V568="",V568=0),"",(X568-V568)/V568)</f>
        <v/>
      </c>
      <c r="Z568" s="7">
        <f>IF(COUNT(D568:U568)=0,"",INDEX($D$1:$U$1,MATCH(MIN(D568:U568),D568:U568,0)))</f>
        <v/>
      </c>
      <c r="AA568" s="8" t="n">
        <v>1666</v>
      </c>
      <c r="AB568" s="10" t="n">
        <v>1</v>
      </c>
    </row>
    <row r="569">
      <c r="A569" s="7" t="inlineStr">
        <is>
          <t>MAT-09-053</t>
        </is>
      </c>
      <c r="B569" s="4" t="inlineStr">
        <is>
          <t>Interruptor automático de presión 30–50 PSI</t>
        </is>
      </c>
      <c r="C569" s="7" t="inlineStr">
        <is>
          <t>unidad</t>
        </is>
      </c>
      <c r="D569" s="8" t="n"/>
      <c r="E569" s="8" t="n"/>
      <c r="F569" s="8" t="n"/>
      <c r="G569" s="8" t="n">
        <v>1631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>
        <f>IF(COUNT(D569:U569)=0,"",MIN(D569:U569))</f>
        <v/>
      </c>
      <c r="W569" s="8">
        <f>IF(COUNT(D569:U569)=0,"",MEDIAN(D569:U569))</f>
        <v/>
      </c>
      <c r="X569" s="8">
        <f>IF(COUNT(D569:U569)=0,"",MAX(D569:U569))</f>
        <v/>
      </c>
      <c r="Y569" s="9">
        <f>IF(OR(V569="",V569=0),"",(X569-V569)/V569)</f>
        <v/>
      </c>
      <c r="Z569" s="7">
        <f>IF(COUNT(D569:U569)=0,"",INDEX($D$1:$U$1,MATCH(MIN(D569:U569),D569:U569,0)))</f>
        <v/>
      </c>
      <c r="AA569" s="8" t="n">
        <v>1631</v>
      </c>
      <c r="AB569" s="10" t="n">
        <v>1</v>
      </c>
    </row>
    <row r="570">
      <c r="A570" s="7" t="inlineStr">
        <is>
          <t>MAT-09-054</t>
        </is>
      </c>
      <c r="B570" s="4" t="inlineStr">
        <is>
          <t>Interruptor automático de presión 40–60 PSI</t>
        </is>
      </c>
      <c r="C570" s="7" t="inlineStr">
        <is>
          <t>unidad</t>
        </is>
      </c>
      <c r="D570" s="8" t="n"/>
      <c r="E570" s="8" t="n"/>
      <c r="F570" s="8" t="n"/>
      <c r="G570" s="8" t="n">
        <v>1688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>
        <f>IF(COUNT(D570:U570)=0,"",MIN(D570:U570))</f>
        <v/>
      </c>
      <c r="W570" s="8">
        <f>IF(COUNT(D570:U570)=0,"",MEDIAN(D570:U570))</f>
        <v/>
      </c>
      <c r="X570" s="8">
        <f>IF(COUNT(D570:U570)=0,"",MAX(D570:U570))</f>
        <v/>
      </c>
      <c r="Y570" s="9">
        <f>IF(OR(V570="",V570=0),"",(X570-V570)/V570)</f>
        <v/>
      </c>
      <c r="Z570" s="7">
        <f>IF(COUNT(D570:U570)=0,"",INDEX($D$1:$U$1,MATCH(MIN(D570:U570),D570:U570,0)))</f>
        <v/>
      </c>
      <c r="AA570" s="8" t="n">
        <v>1688</v>
      </c>
      <c r="AB570" s="10" t="n">
        <v>1</v>
      </c>
    </row>
    <row r="571">
      <c r="A571" s="7" t="inlineStr">
        <is>
          <t>MAT-09-055</t>
        </is>
      </c>
      <c r="B571" s="4" t="inlineStr">
        <is>
          <t>Interruptor de flotante eléctrico</t>
        </is>
      </c>
      <c r="C571" s="7" t="inlineStr">
        <is>
          <t>unidad</t>
        </is>
      </c>
      <c r="D571" s="8" t="n"/>
      <c r="E571" s="8" t="n"/>
      <c r="F571" s="8" t="n"/>
      <c r="G571" s="8" t="n">
        <v>690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>
        <f>IF(COUNT(D571:U571)=0,"",MIN(D571:U571))</f>
        <v/>
      </c>
      <c r="W571" s="8">
        <f>IF(COUNT(D571:U571)=0,"",MEDIAN(D571:U571))</f>
        <v/>
      </c>
      <c r="X571" s="8">
        <f>IF(COUNT(D571:U571)=0,"",MAX(D571:U571))</f>
        <v/>
      </c>
      <c r="Y571" s="9">
        <f>IF(OR(V571="",V571=0),"",(X571-V571)/V571)</f>
        <v/>
      </c>
      <c r="Z571" s="7">
        <f>IF(COUNT(D571:U571)=0,"",INDEX($D$1:$U$1,MATCH(MIN(D571:U571),D571:U571,0)))</f>
        <v/>
      </c>
      <c r="AA571" s="8" t="n">
        <v>1072</v>
      </c>
      <c r="AB571" s="10" t="n">
        <v>1</v>
      </c>
    </row>
    <row r="572">
      <c r="A572" s="7" t="inlineStr">
        <is>
          <t>MAT-09-056</t>
        </is>
      </c>
      <c r="B572" s="4" t="inlineStr">
        <is>
          <t>Control automático de bomba 1"</t>
        </is>
      </c>
      <c r="C572" s="7" t="inlineStr">
        <is>
          <t>unidad</t>
        </is>
      </c>
      <c r="D572" s="8" t="n"/>
      <c r="E572" s="8" t="n"/>
      <c r="F572" s="8" t="n"/>
      <c r="G572" s="8" t="n">
        <v>3178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>
        <f>IF(COUNT(D572:U572)=0,"",MIN(D572:U572))</f>
        <v/>
      </c>
      <c r="W572" s="8">
        <f>IF(COUNT(D572:U572)=0,"",MEDIAN(D572:U572))</f>
        <v/>
      </c>
      <c r="X572" s="8">
        <f>IF(COUNT(D572:U572)=0,"",MAX(D572:U572))</f>
        <v/>
      </c>
      <c r="Y572" s="9">
        <f>IF(OR(V572="",V572=0),"",(X572-V572)/V572)</f>
        <v/>
      </c>
      <c r="Z572" s="7">
        <f>IF(COUNT(D572:U572)=0,"",INDEX($D$1:$U$1,MATCH(MIN(D572:U572),D572:U572,0)))</f>
        <v/>
      </c>
      <c r="AA572" s="8" t="n">
        <v>3178</v>
      </c>
      <c r="AB572" s="10" t="n">
        <v>1</v>
      </c>
    </row>
    <row r="573">
      <c r="A573" s="7" t="inlineStr">
        <is>
          <t>MAT-09-057</t>
        </is>
      </c>
      <c r="B573" s="4" t="inlineStr">
        <is>
          <t>Manómetro de glicerina de 150 PSI</t>
        </is>
      </c>
      <c r="C573" s="7" t="inlineStr">
        <is>
          <t>unidad</t>
        </is>
      </c>
      <c r="D573" s="8" t="n"/>
      <c r="E573" s="8" t="n"/>
      <c r="F573" s="8" t="n"/>
      <c r="G573" s="8" t="n">
        <v>990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>
        <f>IF(COUNT(D573:U573)=0,"",MIN(D573:U573))</f>
        <v/>
      </c>
      <c r="W573" s="8">
        <f>IF(COUNT(D573:U573)=0,"",MEDIAN(D573:U573))</f>
        <v/>
      </c>
      <c r="X573" s="8">
        <f>IF(COUNT(D573:U573)=0,"",MAX(D573:U573))</f>
        <v/>
      </c>
      <c r="Y573" s="9">
        <f>IF(OR(V573="",V573=0),"",(X573-V573)/V573)</f>
        <v/>
      </c>
      <c r="Z573" s="7">
        <f>IF(COUNT(D573:U573)=0,"",INDEX($D$1:$U$1,MATCH(MIN(D573:U573),D573:U573,0)))</f>
        <v/>
      </c>
      <c r="AA573" s="8" t="n">
        <v>990</v>
      </c>
      <c r="AB573" s="10" t="n">
        <v>1</v>
      </c>
    </row>
    <row r="574">
      <c r="A574" s="7" t="inlineStr">
        <is>
          <t>MAT-09-058</t>
        </is>
      </c>
      <c r="B574" s="4" t="inlineStr">
        <is>
          <t>Manómetro de glicerina de 90 PSI</t>
        </is>
      </c>
      <c r="C574" s="7" t="inlineStr">
        <is>
          <t>unidad</t>
        </is>
      </c>
      <c r="D574" s="8" t="n"/>
      <c r="E574" s="8" t="n"/>
      <c r="F574" s="8" t="n"/>
      <c r="G574" s="8" t="n">
        <v>905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>
        <f>IF(COUNT(D574:U574)=0,"",MIN(D574:U574))</f>
        <v/>
      </c>
      <c r="W574" s="8">
        <f>IF(COUNT(D574:U574)=0,"",MEDIAN(D574:U574))</f>
        <v/>
      </c>
      <c r="X574" s="8">
        <f>IF(COUNT(D574:U574)=0,"",MAX(D574:U574))</f>
        <v/>
      </c>
      <c r="Y574" s="9">
        <f>IF(OR(V574="",V574=0),"",(X574-V574)/V574)</f>
        <v/>
      </c>
      <c r="Z574" s="7">
        <f>IF(COUNT(D574:U574)=0,"",INDEX($D$1:$U$1,MATCH(MIN(D574:U574),D574:U574,0)))</f>
        <v/>
      </c>
      <c r="AA574" s="8" t="n">
        <v>905</v>
      </c>
      <c r="AB574" s="10" t="n">
        <v>1</v>
      </c>
    </row>
    <row r="575">
      <c r="A575" s="7" t="inlineStr">
        <is>
          <t>MAT-09-059</t>
        </is>
      </c>
      <c r="B575" s="4" t="inlineStr">
        <is>
          <t>Manómetro seco de 90 PSI</t>
        </is>
      </c>
      <c r="C575" s="7" t="inlineStr">
        <is>
          <t>unidad</t>
        </is>
      </c>
      <c r="D575" s="8" t="n"/>
      <c r="E575" s="8" t="n"/>
      <c r="F575" s="8" t="n"/>
      <c r="G575" s="8" t="n">
        <v>407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>
        <f>IF(COUNT(D575:U575)=0,"",MIN(D575:U575))</f>
        <v/>
      </c>
      <c r="W575" s="8">
        <f>IF(COUNT(D575:U575)=0,"",MEDIAN(D575:U575))</f>
        <v/>
      </c>
      <c r="X575" s="8">
        <f>IF(COUNT(D575:U575)=0,"",MAX(D575:U575))</f>
        <v/>
      </c>
      <c r="Y575" s="9">
        <f>IF(OR(V575="",V575=0),"",(X575-V575)/V575)</f>
        <v/>
      </c>
      <c r="Z575" s="7">
        <f>IF(COUNT(D575:U575)=0,"",INDEX($D$1:$U$1,MATCH(MIN(D575:U575),D575:U575,0)))</f>
        <v/>
      </c>
      <c r="AA575" s="8" t="n">
        <v>407</v>
      </c>
      <c r="AB575" s="10" t="n">
        <v>1</v>
      </c>
    </row>
    <row r="576">
      <c r="A576" s="7" t="inlineStr">
        <is>
          <t>MAT-09-060</t>
        </is>
      </c>
      <c r="B576" s="4" t="inlineStr">
        <is>
          <t>Calentador de agua a gas de 8 litros por minuto</t>
        </is>
      </c>
      <c r="C576" s="7" t="inlineStr">
        <is>
          <t>unidad</t>
        </is>
      </c>
      <c r="D576" s="8" t="n"/>
      <c r="E576" s="8" t="n"/>
      <c r="F576" s="8" t="n"/>
      <c r="G576" s="8" t="n">
        <v>5395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>
        <f>IF(COUNT(D576:U576)=0,"",MIN(D576:U576))</f>
        <v/>
      </c>
      <c r="W576" s="8">
        <f>IF(COUNT(D576:U576)=0,"",MEDIAN(D576:U576))</f>
        <v/>
      </c>
      <c r="X576" s="8">
        <f>IF(COUNT(D576:U576)=0,"",MAX(D576:U576))</f>
        <v/>
      </c>
      <c r="Y576" s="9">
        <f>IF(OR(V576="",V576=0),"",(X576-V576)/V576)</f>
        <v/>
      </c>
      <c r="Z576" s="7">
        <f>IF(COUNT(D576:U576)=0,"",INDEX($D$1:$U$1,MATCH(MIN(D576:U576),D576:U576,0)))</f>
        <v/>
      </c>
      <c r="AA576" s="8" t="n">
        <v>10670</v>
      </c>
      <c r="AB576" s="10" t="n">
        <v>1</v>
      </c>
    </row>
    <row r="577">
      <c r="A577" s="7" t="inlineStr">
        <is>
          <t>MAT-09-061</t>
        </is>
      </c>
      <c r="B577" s="4" t="inlineStr">
        <is>
          <t>Calentador de agua eléctrico de 6 galones</t>
        </is>
      </c>
      <c r="C577" s="7" t="inlineStr">
        <is>
          <t>unidad</t>
        </is>
      </c>
      <c r="D577" s="8" t="n"/>
      <c r="E577" s="8" t="n"/>
      <c r="F577" s="8" t="n"/>
      <c r="G577" s="8" t="n">
        <v>10291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>
        <f>IF(COUNT(D577:U577)=0,"",MIN(D577:U577))</f>
        <v/>
      </c>
      <c r="W577" s="8">
        <f>IF(COUNT(D577:U577)=0,"",MEDIAN(D577:U577))</f>
        <v/>
      </c>
      <c r="X577" s="8">
        <f>IF(COUNT(D577:U577)=0,"",MAX(D577:U577))</f>
        <v/>
      </c>
      <c r="Y577" s="9">
        <f>IF(OR(V577="",V577=0),"",(X577-V577)/V577)</f>
        <v/>
      </c>
      <c r="Z577" s="7">
        <f>IF(COUNT(D577:U577)=0,"",INDEX($D$1:$U$1,MATCH(MIN(D577:U577),D577:U577,0)))</f>
        <v/>
      </c>
      <c r="AA577" s="8" t="n">
        <v>10291</v>
      </c>
      <c r="AB577" s="10" t="n">
        <v>1</v>
      </c>
    </row>
    <row r="578">
      <c r="A578" s="7" t="inlineStr">
        <is>
          <t>MAT-09-062</t>
        </is>
      </c>
      <c r="B578" s="4" t="inlineStr">
        <is>
          <t>Calentador de agua eléctrico de 7 kW</t>
        </is>
      </c>
      <c r="C578" s="7" t="inlineStr">
        <is>
          <t>unidad</t>
        </is>
      </c>
      <c r="D578" s="8" t="n"/>
      <c r="E578" s="8" t="n"/>
      <c r="F578" s="8" t="n"/>
      <c r="G578" s="8" t="n">
        <v>20503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>
        <f>IF(COUNT(D578:U578)=0,"",MIN(D578:U578))</f>
        <v/>
      </c>
      <c r="W578" s="8">
        <f>IF(COUNT(D578:U578)=0,"",MEDIAN(D578:U578))</f>
        <v/>
      </c>
      <c r="X578" s="8">
        <f>IF(COUNT(D578:U578)=0,"",MAX(D578:U578))</f>
        <v/>
      </c>
      <c r="Y578" s="9">
        <f>IF(OR(V578="",V578=0),"",(X578-V578)/V578)</f>
        <v/>
      </c>
      <c r="Z578" s="7">
        <f>IF(COUNT(D578:U578)=0,"",INDEX($D$1:$U$1,MATCH(MIN(D578:U578),D578:U578,0)))</f>
        <v/>
      </c>
      <c r="AA578" s="8" t="n">
        <v>20503</v>
      </c>
      <c r="AB578" s="10" t="n">
        <v>1</v>
      </c>
    </row>
    <row r="579">
      <c r="A579" s="7" t="inlineStr">
        <is>
          <t>MAT-09-063</t>
        </is>
      </c>
      <c r="B579" s="4" t="inlineStr">
        <is>
          <t>Calentador de agua eléctrico de 8 galones</t>
        </is>
      </c>
      <c r="C579" s="7" t="inlineStr">
        <is>
          <t>unidad</t>
        </is>
      </c>
      <c r="D579" s="8" t="n"/>
      <c r="E579" s="8" t="n"/>
      <c r="F579" s="8" t="n"/>
      <c r="G579" s="8" t="n">
        <v>11717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>
        <f>IF(COUNT(D579:U579)=0,"",MIN(D579:U579))</f>
        <v/>
      </c>
      <c r="W579" s="8">
        <f>IF(COUNT(D579:U579)=0,"",MEDIAN(D579:U579))</f>
        <v/>
      </c>
      <c r="X579" s="8">
        <f>IF(COUNT(D579:U579)=0,"",MAX(D579:U579))</f>
        <v/>
      </c>
      <c r="Y579" s="9">
        <f>IF(OR(V579="",V579=0),"",(X579-V579)/V579)</f>
        <v/>
      </c>
      <c r="Z579" s="7">
        <f>IF(COUNT(D579:U579)=0,"",INDEX($D$1:$U$1,MATCH(MIN(D579:U579),D579:U579,0)))</f>
        <v/>
      </c>
      <c r="AA579" s="8" t="n">
        <v>11717</v>
      </c>
      <c r="AB579" s="10" t="n">
        <v>1</v>
      </c>
    </row>
    <row r="580">
      <c r="A580" s="7" t="inlineStr">
        <is>
          <t>MAT-09-064</t>
        </is>
      </c>
      <c r="B580" s="4" t="inlineStr">
        <is>
          <t>Cisterna de fibra de vidrio de 120 galones</t>
        </is>
      </c>
      <c r="C580" s="7" t="inlineStr">
        <is>
          <t>unidad</t>
        </is>
      </c>
      <c r="D580" s="8" t="n"/>
      <c r="E580" s="8" t="n"/>
      <c r="F580" s="8" t="n"/>
      <c r="G580" s="8" t="n">
        <v>17755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>
        <f>IF(COUNT(D580:U580)=0,"",MIN(D580:U580))</f>
        <v/>
      </c>
      <c r="W580" s="8">
        <f>IF(COUNT(D580:U580)=0,"",MEDIAN(D580:U580))</f>
        <v/>
      </c>
      <c r="X580" s="8">
        <f>IF(COUNT(D580:U580)=0,"",MAX(D580:U580))</f>
        <v/>
      </c>
      <c r="Y580" s="9">
        <f>IF(OR(V580="",V580=0),"",(X580-V580)/V580)</f>
        <v/>
      </c>
      <c r="Z580" s="7">
        <f>IF(COUNT(D580:U580)=0,"",INDEX($D$1:$U$1,MATCH(MIN(D580:U580),D580:U580,0)))</f>
        <v/>
      </c>
      <c r="AA580" s="8" t="n">
        <v>17755</v>
      </c>
      <c r="AB580" s="10" t="n">
        <v>1</v>
      </c>
    </row>
    <row r="581">
      <c r="A581" s="7" t="inlineStr">
        <is>
          <t>MAT-09-065</t>
        </is>
      </c>
      <c r="B581" s="4" t="inlineStr">
        <is>
          <t>Cisterna de fibra de vidrio de 30 galones</t>
        </is>
      </c>
      <c r="C581" s="7" t="inlineStr">
        <is>
          <t>unidad</t>
        </is>
      </c>
      <c r="D581" s="8" t="n"/>
      <c r="E581" s="8" t="n"/>
      <c r="F581" s="8" t="n"/>
      <c r="G581" s="8" t="n">
        <v>5101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>
        <f>IF(COUNT(D581:U581)=0,"",MIN(D581:U581))</f>
        <v/>
      </c>
      <c r="W581" s="8">
        <f>IF(COUNT(D581:U581)=0,"",MEDIAN(D581:U581))</f>
        <v/>
      </c>
      <c r="X581" s="8">
        <f>IF(COUNT(D581:U581)=0,"",MAX(D581:U581))</f>
        <v/>
      </c>
      <c r="Y581" s="9">
        <f>IF(OR(V581="",V581=0),"",(X581-V581)/V581)</f>
        <v/>
      </c>
      <c r="Z581" s="7">
        <f>IF(COUNT(D581:U581)=0,"",INDEX($D$1:$U$1,MATCH(MIN(D581:U581),D581:U581,0)))</f>
        <v/>
      </c>
      <c r="AA581" s="8" t="n">
        <v>5101</v>
      </c>
      <c r="AB581" s="10" t="n">
        <v>1</v>
      </c>
    </row>
    <row r="582">
      <c r="A582" s="7" t="inlineStr">
        <is>
          <t>MAT-09-066</t>
        </is>
      </c>
      <c r="B582" s="4" t="inlineStr">
        <is>
          <t>Cisterna de fibra de vidrio de 42 galones</t>
        </is>
      </c>
      <c r="C582" s="7" t="inlineStr">
        <is>
          <t>unidad</t>
        </is>
      </c>
      <c r="D582" s="8" t="n"/>
      <c r="E582" s="8" t="n"/>
      <c r="F582" s="8" t="n"/>
      <c r="G582" s="8" t="n">
        <v>7487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>
        <f>IF(COUNT(D582:U582)=0,"",MIN(D582:U582))</f>
        <v/>
      </c>
      <c r="W582" s="8">
        <f>IF(COUNT(D582:U582)=0,"",MEDIAN(D582:U582))</f>
        <v/>
      </c>
      <c r="X582" s="8">
        <f>IF(COUNT(D582:U582)=0,"",MAX(D582:U582))</f>
        <v/>
      </c>
      <c r="Y582" s="9">
        <f>IF(OR(V582="",V582=0),"",(X582-V582)/V582)</f>
        <v/>
      </c>
      <c r="Z582" s="7">
        <f>IF(COUNT(D582:U582)=0,"",INDEX($D$1:$U$1,MATCH(MIN(D582:U582),D582:U582,0)))</f>
        <v/>
      </c>
      <c r="AA582" s="8" t="n">
        <v>10852</v>
      </c>
      <c r="AB582" s="10" t="n">
        <v>1</v>
      </c>
    </row>
    <row r="583">
      <c r="A583" s="7" t="inlineStr">
        <is>
          <t>MAT-09-067</t>
        </is>
      </c>
      <c r="B583" s="4" t="inlineStr">
        <is>
          <t>Cisterna de fibra de vidrio de 60 galones</t>
        </is>
      </c>
      <c r="C583" s="7" t="inlineStr">
        <is>
          <t>unidad</t>
        </is>
      </c>
      <c r="D583" s="8" t="n"/>
      <c r="E583" s="8" t="n"/>
      <c r="F583" s="8" t="n"/>
      <c r="G583" s="8" t="n">
        <v>10496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>
        <f>IF(COUNT(D583:U583)=0,"",MIN(D583:U583))</f>
        <v/>
      </c>
      <c r="W583" s="8">
        <f>IF(COUNT(D583:U583)=0,"",MEDIAN(D583:U583))</f>
        <v/>
      </c>
      <c r="X583" s="8">
        <f>IF(COUNT(D583:U583)=0,"",MAX(D583:U583))</f>
        <v/>
      </c>
      <c r="Y583" s="9">
        <f>IF(OR(V583="",V583=0),"",(X583-V583)/V583)</f>
        <v/>
      </c>
      <c r="Z583" s="7">
        <f>IF(COUNT(D583:U583)=0,"",INDEX($D$1:$U$1,MATCH(MIN(D583:U583),D583:U583,0)))</f>
        <v/>
      </c>
      <c r="AA583" s="8" t="n">
        <v>12989</v>
      </c>
      <c r="AB583" s="10" t="n">
        <v>1</v>
      </c>
    </row>
    <row r="584">
      <c r="A584" s="7" t="inlineStr">
        <is>
          <t>MAT-09-068</t>
        </is>
      </c>
      <c r="B584" s="4" t="inlineStr">
        <is>
          <t>Cisterna de fibra de vidrio de 82 galones</t>
        </is>
      </c>
      <c r="C584" s="7" t="inlineStr">
        <is>
          <t>unidad</t>
        </is>
      </c>
      <c r="D584" s="8" t="n"/>
      <c r="E584" s="8" t="n"/>
      <c r="F584" s="8" t="n"/>
      <c r="G584" s="8" t="n">
        <v>9895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>
        <f>IF(COUNT(D584:U584)=0,"",MIN(D584:U584))</f>
        <v/>
      </c>
      <c r="W584" s="8">
        <f>IF(COUNT(D584:U584)=0,"",MEDIAN(D584:U584))</f>
        <v/>
      </c>
      <c r="X584" s="8">
        <f>IF(COUNT(D584:U584)=0,"",MAX(D584:U584))</f>
        <v/>
      </c>
      <c r="Y584" s="9">
        <f>IF(OR(V584="",V584=0),"",(X584-V584)/V584)</f>
        <v/>
      </c>
      <c r="Z584" s="7">
        <f>IF(COUNT(D584:U584)=0,"",INDEX($D$1:$U$1,MATCH(MIN(D584:U584),D584:U584,0)))</f>
        <v/>
      </c>
      <c r="AA584" s="8" t="n">
        <v>9895</v>
      </c>
      <c r="AB584" s="10" t="n">
        <v>1</v>
      </c>
    </row>
    <row r="585">
      <c r="A585" s="7" t="inlineStr">
        <is>
          <t>MAT-09-069</t>
        </is>
      </c>
      <c r="B585" s="4" t="inlineStr">
        <is>
          <t>Tinaco de 1000 galones</t>
        </is>
      </c>
      <c r="C585" s="7" t="inlineStr">
        <is>
          <t>unidad</t>
        </is>
      </c>
      <c r="D585" s="8" t="n"/>
      <c r="E585" s="8" t="n">
        <v>35835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>
        <f>IF(COUNT(D585:U585)=0,"",MIN(D585:U585))</f>
        <v/>
      </c>
      <c r="W585" s="8">
        <f>IF(COUNT(D585:U585)=0,"",MEDIAN(D585:U585))</f>
        <v/>
      </c>
      <c r="X585" s="8">
        <f>IF(COUNT(D585:U585)=0,"",MAX(D585:U585))</f>
        <v/>
      </c>
      <c r="Y585" s="9">
        <f>IF(OR(V585="",V585=0),"",(X585-V585)/V585)</f>
        <v/>
      </c>
      <c r="Z585" s="7">
        <f>IF(COUNT(D585:U585)=0,"",INDEX($D$1:$U$1,MATCH(MIN(D585:U585),D585:U585,0)))</f>
        <v/>
      </c>
      <c r="AA585" s="8" t="n">
        <v>35835</v>
      </c>
      <c r="AB585" s="10" t="n">
        <v>1</v>
      </c>
    </row>
    <row r="586">
      <c r="A586" s="7" t="inlineStr">
        <is>
          <t>MAT-09-070</t>
        </is>
      </c>
      <c r="B586" s="4" t="inlineStr">
        <is>
          <t>Tinaco de 1100 galones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>
        <v>41115</v>
      </c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>
        <f>IF(COUNT(D586:U586)=0,"",MIN(D586:U586))</f>
        <v/>
      </c>
      <c r="W586" s="8">
        <f>IF(COUNT(D586:U586)=0,"",MEDIAN(D586:U586))</f>
        <v/>
      </c>
      <c r="X586" s="8">
        <f>IF(COUNT(D586:U586)=0,"",MAX(D586:U586))</f>
        <v/>
      </c>
      <c r="Y586" s="9">
        <f>IF(OR(V586="",V586=0),"",(X586-V586)/V586)</f>
        <v/>
      </c>
      <c r="Z586" s="7">
        <f>IF(COUNT(D586:U586)=0,"",INDEX($D$1:$U$1,MATCH(MIN(D586:U586),D586:U586,0)))</f>
        <v/>
      </c>
      <c r="AA586" s="8" t="n">
        <v>41115</v>
      </c>
      <c r="AB586" s="10" t="n">
        <v>1</v>
      </c>
    </row>
    <row r="587">
      <c r="A587" s="7" t="inlineStr">
        <is>
          <t>MAT-09-071</t>
        </is>
      </c>
      <c r="B587" s="4" t="inlineStr">
        <is>
          <t>Tinaco de 145 galones</t>
        </is>
      </c>
      <c r="C587" s="7" t="inlineStr">
        <is>
          <t>unidad</t>
        </is>
      </c>
      <c r="D587" s="8" t="n"/>
      <c r="E587" s="8" t="n">
        <v>4990</v>
      </c>
      <c r="F587" s="8" t="n"/>
      <c r="G587" s="8" t="n"/>
      <c r="H587" s="8" t="n"/>
      <c r="I587" s="8" t="n"/>
      <c r="J587" s="8" t="n"/>
      <c r="K587" s="8" t="n"/>
      <c r="L587" s="8" t="n">
        <v>5385</v>
      </c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>
        <f>IF(COUNT(D587:U587)=0,"",MIN(D587:U587))</f>
        <v/>
      </c>
      <c r="W587" s="8">
        <f>IF(COUNT(D587:U587)=0,"",MEDIAN(D587:U587))</f>
        <v/>
      </c>
      <c r="X587" s="8">
        <f>IF(COUNT(D587:U587)=0,"",MAX(D587:U587))</f>
        <v/>
      </c>
      <c r="Y587" s="9">
        <f>IF(OR(V587="",V587=0),"",(X587-V587)/V587)</f>
        <v/>
      </c>
      <c r="Z587" s="7">
        <f>IF(COUNT(D587:U587)=0,"",INDEX($D$1:$U$1,MATCH(MIN(D587:U587),D587:U587,0)))</f>
        <v/>
      </c>
      <c r="AA587" s="8" t="n">
        <v>5385</v>
      </c>
      <c r="AB587" s="10" t="n">
        <v>2</v>
      </c>
    </row>
    <row r="588">
      <c r="A588" s="7" t="inlineStr">
        <is>
          <t>MAT-09-072</t>
        </is>
      </c>
      <c r="B588" s="4" t="inlineStr">
        <is>
          <t>Tinaco de 200 galones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>
        <v>10469.3</v>
      </c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>
        <f>IF(COUNT(D588:U588)=0,"",MIN(D588:U588))</f>
        <v/>
      </c>
      <c r="W588" s="8">
        <f>IF(COUNT(D588:U588)=0,"",MEDIAN(D588:U588))</f>
        <v/>
      </c>
      <c r="X588" s="8">
        <f>IF(COUNT(D588:U588)=0,"",MAX(D588:U588))</f>
        <v/>
      </c>
      <c r="Y588" s="9">
        <f>IF(OR(V588="",V588=0),"",(X588-V588)/V588)</f>
        <v/>
      </c>
      <c r="Z588" s="7">
        <f>IF(COUNT(D588:U588)=0,"",INDEX($D$1:$U$1,MATCH(MIN(D588:U588),D588:U588,0)))</f>
        <v/>
      </c>
      <c r="AA588" s="8" t="n">
        <v>10469.3</v>
      </c>
      <c r="AB588" s="10" t="n">
        <v>1</v>
      </c>
    </row>
    <row r="589">
      <c r="A589" s="7" t="inlineStr">
        <is>
          <t>MAT-09-073</t>
        </is>
      </c>
      <c r="B589" s="4" t="inlineStr">
        <is>
          <t>Tinaco de 215 galones</t>
        </is>
      </c>
      <c r="C589" s="7" t="inlineStr">
        <is>
          <t>unidad</t>
        </is>
      </c>
      <c r="D589" s="8" t="n"/>
      <c r="E589" s="8" t="n">
        <v>6325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>
        <f>IF(COUNT(D589:U589)=0,"",MIN(D589:U589))</f>
        <v/>
      </c>
      <c r="W589" s="8">
        <f>IF(COUNT(D589:U589)=0,"",MEDIAN(D589:U589))</f>
        <v/>
      </c>
      <c r="X589" s="8">
        <f>IF(COUNT(D589:U589)=0,"",MAX(D589:U589))</f>
        <v/>
      </c>
      <c r="Y589" s="9">
        <f>IF(OR(V589="",V589=0),"",(X589-V589)/V589)</f>
        <v/>
      </c>
      <c r="Z589" s="7">
        <f>IF(COUNT(D589:U589)=0,"",INDEX($D$1:$U$1,MATCH(MIN(D589:U589),D589:U589,0)))</f>
        <v/>
      </c>
      <c r="AA589" s="8" t="n">
        <v>6325</v>
      </c>
      <c r="AB589" s="10" t="n">
        <v>1</v>
      </c>
    </row>
    <row r="590">
      <c r="A590" s="7" t="inlineStr">
        <is>
          <t>MAT-09-074</t>
        </is>
      </c>
      <c r="B590" s="4" t="inlineStr">
        <is>
          <t>Tinaco de 250 galones</t>
        </is>
      </c>
      <c r="C590" s="7" t="inlineStr">
        <is>
          <t>unidad</t>
        </is>
      </c>
      <c r="D590" s="8" t="n"/>
      <c r="E590" s="8" t="n">
        <v>7125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>
        <f>IF(COUNT(D590:U590)=0,"",MIN(D590:U590))</f>
        <v/>
      </c>
      <c r="W590" s="8">
        <f>IF(COUNT(D590:U590)=0,"",MEDIAN(D590:U590))</f>
        <v/>
      </c>
      <c r="X590" s="8">
        <f>IF(COUNT(D590:U590)=0,"",MAX(D590:U590))</f>
        <v/>
      </c>
      <c r="Y590" s="9">
        <f>IF(OR(V590="",V590=0),"",(X590-V590)/V590)</f>
        <v/>
      </c>
      <c r="Z590" s="7">
        <f>IF(COUNT(D590:U590)=0,"",INDEX($D$1:$U$1,MATCH(MIN(D590:U590),D590:U590,0)))</f>
        <v/>
      </c>
      <c r="AA590" s="8" t="n">
        <v>7125</v>
      </c>
      <c r="AB590" s="10" t="n">
        <v>1</v>
      </c>
    </row>
    <row r="591">
      <c r="A591" s="7" t="inlineStr">
        <is>
          <t>MAT-09-075</t>
        </is>
      </c>
      <c r="B591" s="4" t="inlineStr">
        <is>
          <t>Tinaco de 255 galones</t>
        </is>
      </c>
      <c r="C591" s="7" t="inlineStr">
        <is>
          <t>unidad</t>
        </is>
      </c>
      <c r="D591" s="8" t="n"/>
      <c r="E591" s="8" t="n">
        <v>7664</v>
      </c>
      <c r="F591" s="8" t="n"/>
      <c r="G591" s="8" t="n"/>
      <c r="H591" s="8" t="n"/>
      <c r="I591" s="8" t="n">
        <v>8375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>
        <f>IF(COUNT(D591:U591)=0,"",MIN(D591:U591))</f>
        <v/>
      </c>
      <c r="W591" s="8">
        <f>IF(COUNT(D591:U591)=0,"",MEDIAN(D591:U591))</f>
        <v/>
      </c>
      <c r="X591" s="8">
        <f>IF(COUNT(D591:U591)=0,"",MAX(D591:U591))</f>
        <v/>
      </c>
      <c r="Y591" s="9">
        <f>IF(OR(V591="",V591=0),"",(X591-V591)/V591)</f>
        <v/>
      </c>
      <c r="Z591" s="7">
        <f>IF(COUNT(D591:U591)=0,"",INDEX($D$1:$U$1,MATCH(MIN(D591:U591),D591:U591,0)))</f>
        <v/>
      </c>
      <c r="AA591" s="8" t="n">
        <v>8019.5</v>
      </c>
      <c r="AB591" s="10" t="n">
        <v>2</v>
      </c>
    </row>
    <row r="592">
      <c r="A592" s="7" t="inlineStr">
        <is>
          <t>MAT-09-076</t>
        </is>
      </c>
      <c r="B592" s="4" t="inlineStr">
        <is>
          <t>Tinaco de 265 galones</t>
        </is>
      </c>
      <c r="C592" s="7" t="inlineStr">
        <is>
          <t>unidad</t>
        </is>
      </c>
      <c r="D592" s="8" t="n"/>
      <c r="E592" s="8" t="n">
        <v>8050</v>
      </c>
      <c r="F592" s="8" t="n"/>
      <c r="G592" s="8" t="n">
        <v>9555</v>
      </c>
      <c r="H592" s="8" t="n"/>
      <c r="I592" s="8" t="n"/>
      <c r="J592" s="8" t="n"/>
      <c r="K592" s="8" t="n"/>
      <c r="L592" s="8" t="n">
        <v>8585</v>
      </c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>
        <f>IF(COUNT(D592:U592)=0,"",MIN(D592:U592))</f>
        <v/>
      </c>
      <c r="W592" s="8">
        <f>IF(COUNT(D592:U592)=0,"",MEDIAN(D592:U592))</f>
        <v/>
      </c>
      <c r="X592" s="8">
        <f>IF(COUNT(D592:U592)=0,"",MAX(D592:U592))</f>
        <v/>
      </c>
      <c r="Y592" s="9">
        <f>IF(OR(V592="",V592=0),"",(X592-V592)/V592)</f>
        <v/>
      </c>
      <c r="Z592" s="7">
        <f>IF(COUNT(D592:U592)=0,"",INDEX($D$1:$U$1,MATCH(MIN(D592:U592),D592:U592,0)))</f>
        <v/>
      </c>
      <c r="AA592" s="8" t="n">
        <v>8585</v>
      </c>
      <c r="AB592" s="10" t="n">
        <v>3</v>
      </c>
    </row>
    <row r="593">
      <c r="A593" s="7" t="inlineStr">
        <is>
          <t>MAT-09-077</t>
        </is>
      </c>
      <c r="B593" s="4" t="inlineStr">
        <is>
          <t>Tinaco de 295 galones</t>
        </is>
      </c>
      <c r="C593" s="7" t="inlineStr">
        <is>
          <t>unidad</t>
        </is>
      </c>
      <c r="D593" s="8" t="n"/>
      <c r="E593" s="8" t="n">
        <v>8105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>
        <f>IF(COUNT(D593:U593)=0,"",MIN(D593:U593))</f>
        <v/>
      </c>
      <c r="W593" s="8">
        <f>IF(COUNT(D593:U593)=0,"",MEDIAN(D593:U593))</f>
        <v/>
      </c>
      <c r="X593" s="8">
        <f>IF(COUNT(D593:U593)=0,"",MAX(D593:U593))</f>
        <v/>
      </c>
      <c r="Y593" s="9">
        <f>IF(OR(V593="",V593=0),"",(X593-V593)/V593)</f>
        <v/>
      </c>
      <c r="Z593" s="7">
        <f>IF(COUNT(D593:U593)=0,"",INDEX($D$1:$U$1,MATCH(MIN(D593:U593),D593:U593,0)))</f>
        <v/>
      </c>
      <c r="AA593" s="8" t="n">
        <v>8105</v>
      </c>
      <c r="AB593" s="10" t="n">
        <v>1</v>
      </c>
    </row>
    <row r="594">
      <c r="A594" s="7" t="inlineStr">
        <is>
          <t>MAT-09-078</t>
        </is>
      </c>
      <c r="B594" s="4" t="inlineStr">
        <is>
          <t>Tinaco de 300 galones</t>
        </is>
      </c>
      <c r="C594" s="7" t="inlineStr">
        <is>
          <t>unidad</t>
        </is>
      </c>
      <c r="D594" s="8" t="n"/>
      <c r="E594" s="8" t="n">
        <v>7995</v>
      </c>
      <c r="F594" s="8" t="n"/>
      <c r="G594" s="8" t="n"/>
      <c r="H594" s="8" t="n"/>
      <c r="I594" s="8" t="n"/>
      <c r="J594" s="8" t="n"/>
      <c r="K594" s="8" t="n"/>
      <c r="L594" s="8" t="n">
        <v>9660</v>
      </c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>
        <f>IF(COUNT(D594:U594)=0,"",MIN(D594:U594))</f>
        <v/>
      </c>
      <c r="W594" s="8">
        <f>IF(COUNT(D594:U594)=0,"",MEDIAN(D594:U594))</f>
        <v/>
      </c>
      <c r="X594" s="8">
        <f>IF(COUNT(D594:U594)=0,"",MAX(D594:U594))</f>
        <v/>
      </c>
      <c r="Y594" s="9">
        <f>IF(OR(V594="",V594=0),"",(X594-V594)/V594)</f>
        <v/>
      </c>
      <c r="Z594" s="7">
        <f>IF(COUNT(D594:U594)=0,"",INDEX($D$1:$U$1,MATCH(MIN(D594:U594),D594:U594,0)))</f>
        <v/>
      </c>
      <c r="AA594" s="8" t="n">
        <v>9660</v>
      </c>
      <c r="AB594" s="10" t="n">
        <v>2</v>
      </c>
    </row>
    <row r="595">
      <c r="A595" s="7" t="inlineStr">
        <is>
          <t>MAT-09-079</t>
        </is>
      </c>
      <c r="B595" s="4" t="inlineStr">
        <is>
          <t>Tinaco de 350 galones</t>
        </is>
      </c>
      <c r="C595" s="7" t="inlineStr">
        <is>
          <t>unidad</t>
        </is>
      </c>
      <c r="D595" s="8" t="n"/>
      <c r="E595" s="8" t="n">
        <v>9335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>
        <f>IF(COUNT(D595:U595)=0,"",MIN(D595:U595))</f>
        <v/>
      </c>
      <c r="W595" s="8">
        <f>IF(COUNT(D595:U595)=0,"",MEDIAN(D595:U595))</f>
        <v/>
      </c>
      <c r="X595" s="8">
        <f>IF(COUNT(D595:U595)=0,"",MAX(D595:U595))</f>
        <v/>
      </c>
      <c r="Y595" s="9">
        <f>IF(OR(V595="",V595=0),"",(X595-V595)/V595)</f>
        <v/>
      </c>
      <c r="Z595" s="7">
        <f>IF(COUNT(D595:U595)=0,"",INDEX($D$1:$U$1,MATCH(MIN(D595:U595),D595:U595,0)))</f>
        <v/>
      </c>
      <c r="AA595" s="8" t="n">
        <v>9335</v>
      </c>
      <c r="AB595" s="10" t="n">
        <v>1</v>
      </c>
    </row>
    <row r="596">
      <c r="A596" s="7" t="inlineStr">
        <is>
          <t>MAT-09-080</t>
        </is>
      </c>
      <c r="B596" s="4" t="inlineStr">
        <is>
          <t>Tinaco de 400 galones</t>
        </is>
      </c>
      <c r="C596" s="7" t="inlineStr">
        <is>
          <t>unidad</t>
        </is>
      </c>
      <c r="D596" s="8" t="n"/>
      <c r="E596" s="8" t="n">
        <v>13140</v>
      </c>
      <c r="F596" s="8" t="n"/>
      <c r="G596" s="8" t="n"/>
      <c r="H596" s="8" t="n"/>
      <c r="I596" s="8" t="n"/>
      <c r="J596" s="8" t="n"/>
      <c r="K596" s="8" t="n"/>
      <c r="L596" s="8" t="n">
        <v>12125</v>
      </c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>
        <f>IF(COUNT(D596:U596)=0,"",MIN(D596:U596))</f>
        <v/>
      </c>
      <c r="W596" s="8">
        <f>IF(COUNT(D596:U596)=0,"",MEDIAN(D596:U596))</f>
        <v/>
      </c>
      <c r="X596" s="8">
        <f>IF(COUNT(D596:U596)=0,"",MAX(D596:U596))</f>
        <v/>
      </c>
      <c r="Y596" s="9">
        <f>IF(OR(V596="",V596=0),"",(X596-V596)/V596)</f>
        <v/>
      </c>
      <c r="Z596" s="7">
        <f>IF(COUNT(D596:U596)=0,"",INDEX($D$1:$U$1,MATCH(MIN(D596:U596),D596:U596,0)))</f>
        <v/>
      </c>
      <c r="AA596" s="8" t="n">
        <v>13140</v>
      </c>
      <c r="AB596" s="10" t="n">
        <v>2</v>
      </c>
    </row>
    <row r="597">
      <c r="A597" s="7" t="inlineStr">
        <is>
          <t>MAT-09-081</t>
        </is>
      </c>
      <c r="B597" s="4" t="inlineStr">
        <is>
          <t>Tinaco de 500 galones</t>
        </is>
      </c>
      <c r="C597" s="7" t="inlineStr">
        <is>
          <t>unidad</t>
        </is>
      </c>
      <c r="D597" s="8" t="n"/>
      <c r="E597" s="8" t="n">
        <v>12940</v>
      </c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>
        <f>IF(COUNT(D597:U597)=0,"",MIN(D597:U597))</f>
        <v/>
      </c>
      <c r="W597" s="8">
        <f>IF(COUNT(D597:U597)=0,"",MEDIAN(D597:U597))</f>
        <v/>
      </c>
      <c r="X597" s="8">
        <f>IF(COUNT(D597:U597)=0,"",MAX(D597:U597))</f>
        <v/>
      </c>
      <c r="Y597" s="9">
        <f>IF(OR(V597="",V597=0),"",(X597-V597)/V597)</f>
        <v/>
      </c>
      <c r="Z597" s="7">
        <f>IF(COUNT(D597:U597)=0,"",INDEX($D$1:$U$1,MATCH(MIN(D597:U597),D597:U597,0)))</f>
        <v/>
      </c>
      <c r="AA597" s="8" t="n">
        <v>12940</v>
      </c>
      <c r="AB597" s="10" t="n">
        <v>1</v>
      </c>
    </row>
    <row r="598">
      <c r="A598" s="7" t="inlineStr">
        <is>
          <t>MAT-09-082</t>
        </is>
      </c>
      <c r="B598" s="4" t="inlineStr">
        <is>
          <t>Tinaco de 5000 galones</t>
        </is>
      </c>
      <c r="C598" s="7" t="inlineStr">
        <is>
          <t>unidad</t>
        </is>
      </c>
      <c r="D598" s="8" t="n"/>
      <c r="E598" s="8" t="n">
        <v>292790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>
        <f>IF(COUNT(D598:U598)=0,"",MIN(D598:U598))</f>
        <v/>
      </c>
      <c r="W598" s="8">
        <f>IF(COUNT(D598:U598)=0,"",MEDIAN(D598:U598))</f>
        <v/>
      </c>
      <c r="X598" s="8">
        <f>IF(COUNT(D598:U598)=0,"",MAX(D598:U598))</f>
        <v/>
      </c>
      <c r="Y598" s="9">
        <f>IF(OR(V598="",V598=0),"",(X598-V598)/V598)</f>
        <v/>
      </c>
      <c r="Z598" s="7">
        <f>IF(COUNT(D598:U598)=0,"",INDEX($D$1:$U$1,MATCH(MIN(D598:U598),D598:U598,0)))</f>
        <v/>
      </c>
      <c r="AA598" s="8" t="n">
        <v>292790</v>
      </c>
      <c r="AB598" s="10" t="n">
        <v>1</v>
      </c>
    </row>
    <row r="599">
      <c r="A599" s="7" t="inlineStr">
        <is>
          <t>MAT-09-083</t>
        </is>
      </c>
      <c r="B599" s="4" t="inlineStr">
        <is>
          <t>Tinaco de 530 galones</t>
        </is>
      </c>
      <c r="C599" s="7" t="inlineStr">
        <is>
          <t>unidad</t>
        </is>
      </c>
      <c r="D599" s="8" t="n"/>
      <c r="E599" s="8" t="n">
        <v>14980</v>
      </c>
      <c r="F599" s="8" t="n"/>
      <c r="G599" s="8" t="n">
        <v>18535</v>
      </c>
      <c r="H599" s="8" t="n"/>
      <c r="I599" s="8" t="n"/>
      <c r="J599" s="8" t="n"/>
      <c r="K599" s="8" t="n"/>
      <c r="L599" s="8" t="n">
        <v>15331.46</v>
      </c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>
        <f>IF(COUNT(D599:U599)=0,"",MIN(D599:U599))</f>
        <v/>
      </c>
      <c r="W599" s="8">
        <f>IF(COUNT(D599:U599)=0,"",MEDIAN(D599:U599))</f>
        <v/>
      </c>
      <c r="X599" s="8">
        <f>IF(COUNT(D599:U599)=0,"",MAX(D599:U599))</f>
        <v/>
      </c>
      <c r="Y599" s="9">
        <f>IF(OR(V599="",V599=0),"",(X599-V599)/V599)</f>
        <v/>
      </c>
      <c r="Z599" s="7">
        <f>IF(COUNT(D599:U599)=0,"",INDEX($D$1:$U$1,MATCH(MIN(D599:U599),D599:U599,0)))</f>
        <v/>
      </c>
      <c r="AA599" s="8" t="n">
        <v>15223.23</v>
      </c>
      <c r="AB599" s="10" t="n">
        <v>3</v>
      </c>
    </row>
    <row r="600">
      <c r="A600" s="7" t="inlineStr">
        <is>
          <t>MAT-09-085</t>
        </is>
      </c>
      <c r="B600" s="4" t="inlineStr">
        <is>
          <t>Tapa de cisterna de aluminio 24 x 24 pulgadas</t>
        </is>
      </c>
      <c r="C600" s="7" t="inlineStr">
        <is>
          <t>unidad</t>
        </is>
      </c>
      <c r="D600" s="8" t="n"/>
      <c r="E600" s="8" t="n"/>
      <c r="F600" s="8" t="n"/>
      <c r="G600" s="8" t="n">
        <v>3313</v>
      </c>
      <c r="H600" s="8" t="n"/>
      <c r="I600" s="8" t="n"/>
      <c r="J600" s="8" t="n"/>
      <c r="K600" s="8" t="n"/>
      <c r="L600" s="8" t="n">
        <v>3795</v>
      </c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>
        <f>IF(COUNT(D600:U600)=0,"",MIN(D600:U600))</f>
        <v/>
      </c>
      <c r="W600" s="8">
        <f>IF(COUNT(D600:U600)=0,"",MEDIAN(D600:U600))</f>
        <v/>
      </c>
      <c r="X600" s="8">
        <f>IF(COUNT(D600:U600)=0,"",MAX(D600:U600))</f>
        <v/>
      </c>
      <c r="Y600" s="9">
        <f>IF(OR(V600="",V600=0),"",(X600-V600)/V600)</f>
        <v/>
      </c>
      <c r="Z600" s="7">
        <f>IF(COUNT(D600:U600)=0,"",INDEX($D$1:$U$1,MATCH(MIN(D600:U600),D600:U600,0)))</f>
        <v/>
      </c>
      <c r="AA600" s="8" t="n">
        <v>3554</v>
      </c>
      <c r="AB600" s="10" t="n">
        <v>2</v>
      </c>
    </row>
    <row r="601">
      <c r="A601" s="7" t="inlineStr">
        <is>
          <t>MAT-09-086</t>
        </is>
      </c>
      <c r="B601" s="4" t="inlineStr">
        <is>
          <t>Tapa de cisterna de aluminio 30 x 30 pulgadas</t>
        </is>
      </c>
      <c r="C601" s="7" t="inlineStr">
        <is>
          <t>unidad</t>
        </is>
      </c>
      <c r="D601" s="8" t="n"/>
      <c r="E601" s="8" t="n"/>
      <c r="F601" s="8" t="n"/>
      <c r="G601" s="8" t="n">
        <v>4503</v>
      </c>
      <c r="H601" s="8" t="n"/>
      <c r="I601" s="8" t="n"/>
      <c r="J601" s="8" t="n"/>
      <c r="K601" s="8" t="n"/>
      <c r="L601" s="8" t="n">
        <v>4745</v>
      </c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>
        <f>IF(COUNT(D601:U601)=0,"",MIN(D601:U601))</f>
        <v/>
      </c>
      <c r="W601" s="8">
        <f>IF(COUNT(D601:U601)=0,"",MEDIAN(D601:U601))</f>
        <v/>
      </c>
      <c r="X601" s="8">
        <f>IF(COUNT(D601:U601)=0,"",MAX(D601:U601))</f>
        <v/>
      </c>
      <c r="Y601" s="9">
        <f>IF(OR(V601="",V601=0),"",(X601-V601)/V601)</f>
        <v/>
      </c>
      <c r="Z601" s="7">
        <f>IF(COUNT(D601:U601)=0,"",INDEX($D$1:$U$1,MATCH(MIN(D601:U601),D601:U601,0)))</f>
        <v/>
      </c>
      <c r="AA601" s="8" t="n">
        <v>4624</v>
      </c>
      <c r="AB601" s="10" t="n">
        <v>2</v>
      </c>
    </row>
    <row r="602">
      <c r="A602" s="7" t="inlineStr">
        <is>
          <t>MAT-09-087</t>
        </is>
      </c>
      <c r="B602" s="4" t="inlineStr">
        <is>
          <t>Tapa de cisterna de aluminio 33 x 33 pulgadas</t>
        </is>
      </c>
      <c r="C602" s="7" t="inlineStr">
        <is>
          <t>unidad</t>
        </is>
      </c>
      <c r="D602" s="8" t="n"/>
      <c r="E602" s="8" t="n"/>
      <c r="F602" s="8" t="n"/>
      <c r="G602" s="8" t="n">
        <v>3995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>
        <f>IF(COUNT(D602:U602)=0,"",MIN(D602:U602))</f>
        <v/>
      </c>
      <c r="W602" s="8">
        <f>IF(COUNT(D602:U602)=0,"",MEDIAN(D602:U602))</f>
        <v/>
      </c>
      <c r="X602" s="8">
        <f>IF(COUNT(D602:U602)=0,"",MAX(D602:U602))</f>
        <v/>
      </c>
      <c r="Y602" s="9">
        <f>IF(OR(V602="",V602=0),"",(X602-V602)/V602)</f>
        <v/>
      </c>
      <c r="Z602" s="7">
        <f>IF(COUNT(D602:U602)=0,"",INDEX($D$1:$U$1,MATCH(MIN(D602:U602),D602:U602,0)))</f>
        <v/>
      </c>
      <c r="AA602" s="8" t="n">
        <v>3995</v>
      </c>
      <c r="AB602" s="10" t="n">
        <v>1</v>
      </c>
    </row>
    <row r="603">
      <c r="A603" s="7" t="inlineStr">
        <is>
          <t>MAT-09-088</t>
        </is>
      </c>
      <c r="B603" s="4" t="inlineStr">
        <is>
          <t>Boya para válvula de cisterna, 120 mm</t>
        </is>
      </c>
      <c r="C603" s="7" t="inlineStr">
        <is>
          <t>unidad</t>
        </is>
      </c>
      <c r="D603" s="8" t="n"/>
      <c r="E603" s="8" t="n"/>
      <c r="F603" s="8" t="n"/>
      <c r="G603" s="8" t="n">
        <v>295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>
        <f>IF(COUNT(D603:U603)=0,"",MIN(D603:U603))</f>
        <v/>
      </c>
      <c r="W603" s="8">
        <f>IF(COUNT(D603:U603)=0,"",MEDIAN(D603:U603))</f>
        <v/>
      </c>
      <c r="X603" s="8">
        <f>IF(COUNT(D603:U603)=0,"",MAX(D603:U603))</f>
        <v/>
      </c>
      <c r="Y603" s="9">
        <f>IF(OR(V603="",V603=0),"",(X603-V603)/V603)</f>
        <v/>
      </c>
      <c r="Z603" s="7">
        <f>IF(COUNT(D603:U603)=0,"",INDEX($D$1:$U$1,MATCH(MIN(D603:U603),D603:U603,0)))</f>
        <v/>
      </c>
      <c r="AA603" s="8" t="n">
        <v>295</v>
      </c>
      <c r="AB603" s="10" t="n">
        <v>1</v>
      </c>
    </row>
    <row r="604">
      <c r="A604" s="7" t="inlineStr">
        <is>
          <t>MAT-09-089</t>
        </is>
      </c>
      <c r="B604" s="4" t="inlineStr">
        <is>
          <t>Boya para válvula de cisterna, 150 mm</t>
        </is>
      </c>
      <c r="C604" s="7" t="inlineStr">
        <is>
          <t>unidad</t>
        </is>
      </c>
      <c r="D604" s="8" t="n"/>
      <c r="E604" s="8" t="n"/>
      <c r="F604" s="8" t="n"/>
      <c r="G604" s="8" t="n">
        <v>375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>
        <f>IF(COUNT(D604:U604)=0,"",MIN(D604:U604))</f>
        <v/>
      </c>
      <c r="W604" s="8">
        <f>IF(COUNT(D604:U604)=0,"",MEDIAN(D604:U604))</f>
        <v/>
      </c>
      <c r="X604" s="8">
        <f>IF(COUNT(D604:U604)=0,"",MAX(D604:U604))</f>
        <v/>
      </c>
      <c r="Y604" s="9">
        <f>IF(OR(V604="",V604=0),"",(X604-V604)/V604)</f>
        <v/>
      </c>
      <c r="Z604" s="7">
        <f>IF(COUNT(D604:U604)=0,"",INDEX($D$1:$U$1,MATCH(MIN(D604:U604),D604:U604,0)))</f>
        <v/>
      </c>
      <c r="AA604" s="8" t="n">
        <v>375</v>
      </c>
      <c r="AB604" s="10" t="n">
        <v>1</v>
      </c>
    </row>
    <row r="605">
      <c r="A605" s="7" t="inlineStr">
        <is>
          <t>MAT-09-090</t>
        </is>
      </c>
      <c r="B605" s="4" t="inlineStr">
        <is>
          <t>Boya para válvula de cisterna, 90 mm</t>
        </is>
      </c>
      <c r="C605" s="7" t="inlineStr">
        <is>
          <t>unidad</t>
        </is>
      </c>
      <c r="D605" s="8" t="n"/>
      <c r="E605" s="8" t="n"/>
      <c r="F605" s="8" t="n"/>
      <c r="G605" s="8" t="n">
        <v>160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>
        <f>IF(COUNT(D605:U605)=0,"",MIN(D605:U605))</f>
        <v/>
      </c>
      <c r="W605" s="8">
        <f>IF(COUNT(D605:U605)=0,"",MEDIAN(D605:U605))</f>
        <v/>
      </c>
      <c r="X605" s="8">
        <f>IF(COUNT(D605:U605)=0,"",MAX(D605:U605))</f>
        <v/>
      </c>
      <c r="Y605" s="9">
        <f>IF(OR(V605="",V605=0),"",(X605-V605)/V605)</f>
        <v/>
      </c>
      <c r="Z605" s="7">
        <f>IF(COUNT(D605:U605)=0,"",INDEX($D$1:$U$1,MATCH(MIN(D605:U605),D605:U605,0)))</f>
        <v/>
      </c>
      <c r="AA605" s="8" t="n">
        <v>160</v>
      </c>
      <c r="AB605" s="10" t="n">
        <v>1</v>
      </c>
    </row>
    <row r="606">
      <c r="A606" s="7" t="inlineStr">
        <is>
          <t>MAT-09-091</t>
        </is>
      </c>
      <c r="B606" s="4" t="inlineStr">
        <is>
          <t>Fregadero de un pozo, 10 x 9 pulgadas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4000</v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>
        <f>IF(COUNT(D606:U606)=0,"",MIN(D606:U606))</f>
        <v/>
      </c>
      <c r="W606" s="8">
        <f>IF(COUNT(D606:U606)=0,"",MEDIAN(D606:U606))</f>
        <v/>
      </c>
      <c r="X606" s="8">
        <f>IF(COUNT(D606:U606)=0,"",MAX(D606:U606))</f>
        <v/>
      </c>
      <c r="Y606" s="9">
        <f>IF(OR(V606="",V606=0),"",(X606-V606)/V606)</f>
        <v/>
      </c>
      <c r="Z606" s="7">
        <f>IF(COUNT(D606:U606)=0,"",INDEX($D$1:$U$1,MATCH(MIN(D606:U606),D606:U606,0)))</f>
        <v/>
      </c>
      <c r="AA606" s="8" t="n">
        <v>4000</v>
      </c>
      <c r="AB606" s="10" t="n">
        <v>1</v>
      </c>
    </row>
    <row r="607">
      <c r="A607" s="7" t="inlineStr">
        <is>
          <t>MAT-09-092</t>
        </is>
      </c>
      <c r="B607" s="4" t="inlineStr">
        <is>
          <t>Fregadero de un pozo, 15 x 15 pulgadas</t>
        </is>
      </c>
      <c r="C607" s="7" t="inlineStr">
        <is>
          <t>unidad</t>
        </is>
      </c>
      <c r="D607" s="8" t="n"/>
      <c r="E607" s="8" t="n"/>
      <c r="F607" s="8" t="n"/>
      <c r="G607" s="8" t="n">
        <v>1425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>
        <f>IF(COUNT(D607:U607)=0,"",MIN(D607:U607))</f>
        <v/>
      </c>
      <c r="W607" s="8">
        <f>IF(COUNT(D607:U607)=0,"",MEDIAN(D607:U607))</f>
        <v/>
      </c>
      <c r="X607" s="8">
        <f>IF(COUNT(D607:U607)=0,"",MAX(D607:U607))</f>
        <v/>
      </c>
      <c r="Y607" s="9">
        <f>IF(OR(V607="",V607=0),"",(X607-V607)/V607)</f>
        <v/>
      </c>
      <c r="Z607" s="7">
        <f>IF(COUNT(D607:U607)=0,"",INDEX($D$1:$U$1,MATCH(MIN(D607:U607),D607:U607,0)))</f>
        <v/>
      </c>
      <c r="AA607" s="8" t="n">
        <v>1425</v>
      </c>
      <c r="AB607" s="10" t="n">
        <v>1</v>
      </c>
    </row>
    <row r="608">
      <c r="A608" s="7" t="inlineStr">
        <is>
          <t>MAT-09-093</t>
        </is>
      </c>
      <c r="B608" s="4" t="inlineStr">
        <is>
          <t>Fregadero de un pozo, 16 x 13 pulgadas</t>
        </is>
      </c>
      <c r="C608" s="7" t="inlineStr">
        <is>
          <t>unidad</t>
        </is>
      </c>
      <c r="D608" s="8" t="n"/>
      <c r="E608" s="8" t="n"/>
      <c r="F608" s="8" t="n">
        <v>2764.6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>
        <f>IF(COUNT(D608:U608)=0,"",MIN(D608:U608))</f>
        <v/>
      </c>
      <c r="W608" s="8">
        <f>IF(COUNT(D608:U608)=0,"",MEDIAN(D608:U608))</f>
        <v/>
      </c>
      <c r="X608" s="8">
        <f>IF(COUNT(D608:U608)=0,"",MAX(D608:U608))</f>
        <v/>
      </c>
      <c r="Y608" s="9">
        <f>IF(OR(V608="",V608=0),"",(X608-V608)/V608)</f>
        <v/>
      </c>
      <c r="Z608" s="7">
        <f>IF(COUNT(D608:U608)=0,"",INDEX($D$1:$U$1,MATCH(MIN(D608:U608),D608:U608,0)))</f>
        <v/>
      </c>
      <c r="AA608" s="8" t="n">
        <v>3262.23</v>
      </c>
      <c r="AB608" s="10" t="n">
        <v>1</v>
      </c>
    </row>
    <row r="609">
      <c r="A609" s="7" t="inlineStr">
        <is>
          <t>MAT-09-094</t>
        </is>
      </c>
      <c r="B609" s="4" t="inlineStr">
        <is>
          <t>Fregadero de un pozo, 19 x 13 pulgadas</t>
        </is>
      </c>
      <c r="C609" s="7" t="inlineStr">
        <is>
          <t>unidad</t>
        </is>
      </c>
      <c r="D609" s="8" t="n"/>
      <c r="E609" s="8" t="n"/>
      <c r="F609" s="8" t="n">
        <v>2753.38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>
        <f>IF(COUNT(D609:U609)=0,"",MIN(D609:U609))</f>
        <v/>
      </c>
      <c r="W609" s="8">
        <f>IF(COUNT(D609:U609)=0,"",MEDIAN(D609:U609))</f>
        <v/>
      </c>
      <c r="X609" s="8">
        <f>IF(COUNT(D609:U609)=0,"",MAX(D609:U609))</f>
        <v/>
      </c>
      <c r="Y609" s="9">
        <f>IF(OR(V609="",V609=0),"",(X609-V609)/V609)</f>
        <v/>
      </c>
      <c r="Z609" s="7">
        <f>IF(COUNT(D609:U609)=0,"",INDEX($D$1:$U$1,MATCH(MIN(D609:U609),D609:U609,0)))</f>
        <v/>
      </c>
      <c r="AA609" s="8" t="n">
        <v>3248.99</v>
      </c>
      <c r="AB609" s="10" t="n">
        <v>1</v>
      </c>
    </row>
    <row r="610">
      <c r="A610" s="7" t="inlineStr">
        <is>
          <t>MAT-09-095</t>
        </is>
      </c>
      <c r="B610" s="4" t="inlineStr">
        <is>
          <t>Fregadero de un pozo, 20 x 16 pulgadas</t>
        </is>
      </c>
      <c r="C610" s="7" t="inlineStr">
        <is>
          <t>unidad</t>
        </is>
      </c>
      <c r="D610" s="8" t="n"/>
      <c r="E610" s="8" t="n"/>
      <c r="F610" s="8" t="n">
        <v>16794.81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>
        <f>IF(COUNT(D610:U610)=0,"",MIN(D610:U610))</f>
        <v/>
      </c>
      <c r="W610" s="8">
        <f>IF(COUNT(D610:U610)=0,"",MEDIAN(D610:U610))</f>
        <v/>
      </c>
      <c r="X610" s="8">
        <f>IF(COUNT(D610:U610)=0,"",MAX(D610:U610))</f>
        <v/>
      </c>
      <c r="Y610" s="9">
        <f>IF(OR(V610="",V610=0),"",(X610-V610)/V610)</f>
        <v/>
      </c>
      <c r="Z610" s="7">
        <f>IF(COUNT(D610:U610)=0,"",INDEX($D$1:$U$1,MATCH(MIN(D610:U610),D610:U610,0)))</f>
        <v/>
      </c>
      <c r="AA610" s="8" t="n">
        <v>19817.88</v>
      </c>
      <c r="AB610" s="10" t="n">
        <v>1</v>
      </c>
    </row>
    <row r="611">
      <c r="A611" s="7" t="inlineStr">
        <is>
          <t>MAT-09-096</t>
        </is>
      </c>
      <c r="B611" s="4" t="inlineStr">
        <is>
          <t>Fregadero de un pozo, 22 x 13 pulgadas</t>
        </is>
      </c>
      <c r="C611" s="7" t="inlineStr">
        <is>
          <t>unidad</t>
        </is>
      </c>
      <c r="D611" s="8" t="n"/>
      <c r="E611" s="8" t="n"/>
      <c r="F611" s="8" t="n">
        <v>4600.63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>
        <f>IF(COUNT(D611:U611)=0,"",MIN(D611:U611))</f>
        <v/>
      </c>
      <c r="W611" s="8">
        <f>IF(COUNT(D611:U611)=0,"",MEDIAN(D611:U611))</f>
        <v/>
      </c>
      <c r="X611" s="8">
        <f>IF(COUNT(D611:U611)=0,"",MAX(D611:U611))</f>
        <v/>
      </c>
      <c r="Y611" s="9">
        <f>IF(OR(V611="",V611=0),"",(X611-V611)/V611)</f>
        <v/>
      </c>
      <c r="Z611" s="7">
        <f>IF(COUNT(D611:U611)=0,"",INDEX($D$1:$U$1,MATCH(MIN(D611:U611),D611:U611,0)))</f>
        <v/>
      </c>
      <c r="AA611" s="8" t="n">
        <v>5428.74</v>
      </c>
      <c r="AB611" s="10" t="n">
        <v>1</v>
      </c>
    </row>
    <row r="612">
      <c r="A612" s="7" t="inlineStr">
        <is>
          <t>MAT-09-097</t>
        </is>
      </c>
      <c r="B612" s="4" t="inlineStr">
        <is>
          <t>Fregadero de un pozo, 24 x 19 pulgadas</t>
        </is>
      </c>
      <c r="C612" s="7" t="inlineStr">
        <is>
          <t>unidad</t>
        </is>
      </c>
      <c r="D612" s="8" t="n"/>
      <c r="E612" s="8" t="n"/>
      <c r="F612" s="8" t="n">
        <v>15492.89</v>
      </c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>
        <f>IF(COUNT(D612:U612)=0,"",MIN(D612:U612))</f>
        <v/>
      </c>
      <c r="W612" s="8">
        <f>IF(COUNT(D612:U612)=0,"",MEDIAN(D612:U612))</f>
        <v/>
      </c>
      <c r="X612" s="8">
        <f>IF(COUNT(D612:U612)=0,"",MAX(D612:U612))</f>
        <v/>
      </c>
      <c r="Y612" s="9">
        <f>IF(OR(V612="",V612=0),"",(X612-V612)/V612)</f>
        <v/>
      </c>
      <c r="Z612" s="7">
        <f>IF(COUNT(D612:U612)=0,"",INDEX($D$1:$U$1,MATCH(MIN(D612:U612),D612:U612,0)))</f>
        <v/>
      </c>
      <c r="AA612" s="8" t="n">
        <v>18281.61</v>
      </c>
      <c r="AB612" s="10" t="n">
        <v>1</v>
      </c>
    </row>
    <row r="613">
      <c r="A613" s="7" t="inlineStr">
        <is>
          <t>MAT-09-098</t>
        </is>
      </c>
      <c r="B613" s="4" t="inlineStr">
        <is>
          <t>Fregadero de un pozo, 28 x 16 pulgadas</t>
        </is>
      </c>
      <c r="C613" s="7" t="inlineStr">
        <is>
          <t>unidad</t>
        </is>
      </c>
      <c r="D613" s="8" t="n"/>
      <c r="E613" s="8" t="n"/>
      <c r="F613" s="8" t="n">
        <v>18365.37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>
        <f>IF(COUNT(D613:U613)=0,"",MIN(D613:U613))</f>
        <v/>
      </c>
      <c r="W613" s="8">
        <f>IF(COUNT(D613:U613)=0,"",MEDIAN(D613:U613))</f>
        <v/>
      </c>
      <c r="X613" s="8">
        <f>IF(COUNT(D613:U613)=0,"",MAX(D613:U613))</f>
        <v/>
      </c>
      <c r="Y613" s="9">
        <f>IF(OR(V613="",V613=0),"",(X613-V613)/V613)</f>
        <v/>
      </c>
      <c r="Z613" s="7">
        <f>IF(COUNT(D613:U613)=0,"",INDEX($D$1:$U$1,MATCH(MIN(D613:U613),D613:U613,0)))</f>
        <v/>
      </c>
      <c r="AA613" s="8" t="n">
        <v>21671.14</v>
      </c>
      <c r="AB613" s="10" t="n">
        <v>1</v>
      </c>
    </row>
    <row r="614">
      <c r="A614" s="7" t="inlineStr">
        <is>
          <t>MAT-09-099</t>
        </is>
      </c>
      <c r="B614" s="4" t="inlineStr">
        <is>
          <t>Fregadero de un pozo, 29 x 16 pulgadas</t>
        </is>
      </c>
      <c r="C614" s="7" t="inlineStr">
        <is>
          <t>unidad</t>
        </is>
      </c>
      <c r="D614" s="8" t="n"/>
      <c r="E614" s="8" t="n"/>
      <c r="F614" s="8" t="n">
        <v>23956.99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>
        <f>IF(COUNT(D614:U614)=0,"",MIN(D614:U614))</f>
        <v/>
      </c>
      <c r="W614" s="8">
        <f>IF(COUNT(D614:U614)=0,"",MEDIAN(D614:U614))</f>
        <v/>
      </c>
      <c r="X614" s="8">
        <f>IF(COUNT(D614:U614)=0,"",MAX(D614:U614))</f>
        <v/>
      </c>
      <c r="Y614" s="9">
        <f>IF(OR(V614="",V614=0),"",(X614-V614)/V614)</f>
        <v/>
      </c>
      <c r="Z614" s="7">
        <f>IF(COUNT(D614:U614)=0,"",INDEX($D$1:$U$1,MATCH(MIN(D614:U614),D614:U614,0)))</f>
        <v/>
      </c>
      <c r="AA614" s="8" t="n">
        <v>28269.25</v>
      </c>
      <c r="AB614" s="10" t="n">
        <v>1</v>
      </c>
    </row>
    <row r="615">
      <c r="A615" s="7" t="inlineStr">
        <is>
          <t>MAT-09-100</t>
        </is>
      </c>
      <c r="B615" s="4" t="inlineStr">
        <is>
          <t>Fregadero de un pozo, 31 x 20 pulgadas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1635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>
        <f>IF(COUNT(D615:U615)=0,"",MIN(D615:U615))</f>
        <v/>
      </c>
      <c r="W615" s="8">
        <f>IF(COUNT(D615:U615)=0,"",MEDIAN(D615:U615))</f>
        <v/>
      </c>
      <c r="X615" s="8">
        <f>IF(COUNT(D615:U615)=0,"",MAX(D615:U615))</f>
        <v/>
      </c>
      <c r="Y615" s="9">
        <f>IF(OR(V615="",V615=0),"",(X615-V615)/V615)</f>
        <v/>
      </c>
      <c r="Z615" s="7">
        <f>IF(COUNT(D615:U615)=0,"",INDEX($D$1:$U$1,MATCH(MIN(D615:U615),D615:U615,0)))</f>
        <v/>
      </c>
      <c r="AA615" s="8" t="n">
        <v>1635</v>
      </c>
      <c r="AB615" s="10" t="n">
        <v>1</v>
      </c>
    </row>
    <row r="616">
      <c r="A616" s="7" t="inlineStr">
        <is>
          <t>MAT-09-101</t>
        </is>
      </c>
      <c r="B616" s="4" t="inlineStr">
        <is>
          <t>Fregadero de un pozo, 8 x 8 pulgadas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74.84999999999999</v>
      </c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>
        <f>IF(COUNT(D616:U616)=0,"",MIN(D616:U616))</f>
        <v/>
      </c>
      <c r="W616" s="8">
        <f>IF(COUNT(D616:U616)=0,"",MEDIAN(D616:U616))</f>
        <v/>
      </c>
      <c r="X616" s="8">
        <f>IF(COUNT(D616:U616)=0,"",MAX(D616:U616))</f>
        <v/>
      </c>
      <c r="Y616" s="9">
        <f>IF(OR(V616="",V616=0),"",(X616-V616)/V616)</f>
        <v/>
      </c>
      <c r="Z616" s="7">
        <f>IF(COUNT(D616:U616)=0,"",INDEX($D$1:$U$1,MATCH(MIN(D616:U616),D616:U616,0)))</f>
        <v/>
      </c>
      <c r="AA616" s="8" t="n">
        <v>74.84999999999999</v>
      </c>
      <c r="AB616" s="10" t="n">
        <v>1</v>
      </c>
    </row>
    <row r="617">
      <c r="A617" s="7" t="inlineStr">
        <is>
          <t>MAT-09-102</t>
        </is>
      </c>
      <c r="B617" s="4" t="inlineStr">
        <is>
          <t>Fregadero de un pozo, 9 x 7 pulgadas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5265.16</v>
      </c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>
        <f>IF(COUNT(D617:U617)=0,"",MIN(D617:U617))</f>
        <v/>
      </c>
      <c r="W617" s="8">
        <f>IF(COUNT(D617:U617)=0,"",MEDIAN(D617:U617))</f>
        <v/>
      </c>
      <c r="X617" s="8">
        <f>IF(COUNT(D617:U617)=0,"",MAX(D617:U617))</f>
        <v/>
      </c>
      <c r="Y617" s="9">
        <f>IF(OR(V617="",V617=0),"",(X617-V617)/V617)</f>
        <v/>
      </c>
      <c r="Z617" s="7">
        <f>IF(COUNT(D617:U617)=0,"",INDEX($D$1:$U$1,MATCH(MIN(D617:U617),D617:U617,0)))</f>
        <v/>
      </c>
      <c r="AA617" s="8" t="n">
        <v>5265.16</v>
      </c>
      <c r="AB617" s="10" t="n">
        <v>1</v>
      </c>
    </row>
    <row r="618">
      <c r="A618" s="7" t="inlineStr">
        <is>
          <t>MAT-09-103</t>
        </is>
      </c>
      <c r="B618" s="4" t="inlineStr">
        <is>
          <t>Fregadero de un pozo, medida estándar</t>
        </is>
      </c>
      <c r="C618" s="7" t="inlineStr">
        <is>
          <t>unidad</t>
        </is>
      </c>
      <c r="D618" s="8" t="n"/>
      <c r="E618" s="8" t="n"/>
      <c r="F618" s="8" t="n"/>
      <c r="G618" s="8" t="n">
        <v>3040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>
        <f>IF(COUNT(D618:U618)=0,"",MIN(D618:U618))</f>
        <v/>
      </c>
      <c r="W618" s="8">
        <f>IF(COUNT(D618:U618)=0,"",MEDIAN(D618:U618))</f>
        <v/>
      </c>
      <c r="X618" s="8">
        <f>IF(COUNT(D618:U618)=0,"",MAX(D618:U618))</f>
        <v/>
      </c>
      <c r="Y618" s="9">
        <f>IF(OR(V618="",V618=0),"",(X618-V618)/V618)</f>
        <v/>
      </c>
      <c r="Z618" s="7">
        <f>IF(COUNT(D618:U618)=0,"",INDEX($D$1:$U$1,MATCH(MIN(D618:U618),D618:U618,0)))</f>
        <v/>
      </c>
      <c r="AA618" s="8" t="n">
        <v>3040</v>
      </c>
      <c r="AB618" s="10" t="n">
        <v>1</v>
      </c>
    </row>
    <row r="619">
      <c r="A619" s="7" t="inlineStr">
        <is>
          <t>MAT-09-104</t>
        </is>
      </c>
      <c r="B619" s="4" t="inlineStr">
        <is>
          <t>Fregadero de 2 pozos, 28 x 16 pulgadas</t>
        </is>
      </c>
      <c r="C619" s="7" t="inlineStr">
        <is>
          <t>unidad</t>
        </is>
      </c>
      <c r="D619" s="8" t="n"/>
      <c r="E619" s="8" t="n"/>
      <c r="F619" s="8" t="n">
        <v>11376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>
        <f>IF(COUNT(D619:U619)=0,"",MIN(D619:U619))</f>
        <v/>
      </c>
      <c r="W619" s="8">
        <f>IF(COUNT(D619:U619)=0,"",MEDIAN(D619:U619))</f>
        <v/>
      </c>
      <c r="X619" s="8">
        <f>IF(COUNT(D619:U619)=0,"",MAX(D619:U619))</f>
        <v/>
      </c>
      <c r="Y619" s="9">
        <f>IF(OR(V619="",V619=0),"",(X619-V619)/V619)</f>
        <v/>
      </c>
      <c r="Z619" s="7">
        <f>IF(COUNT(D619:U619)=0,"",INDEX($D$1:$U$1,MATCH(MIN(D619:U619),D619:U619,0)))</f>
        <v/>
      </c>
      <c r="AA619" s="8" t="n">
        <v>13423.68</v>
      </c>
      <c r="AB619" s="10" t="n">
        <v>1</v>
      </c>
    </row>
    <row r="620">
      <c r="A620" s="7" t="inlineStr">
        <is>
          <t>MAT-09-105</t>
        </is>
      </c>
      <c r="B620" s="4" t="inlineStr">
        <is>
          <t>Fregadero de 2 pozos, 31 x 18 pulgadas</t>
        </is>
      </c>
      <c r="C620" s="7" t="inlineStr">
        <is>
          <t>unidad</t>
        </is>
      </c>
      <c r="D620" s="8" t="n"/>
      <c r="E620" s="8" t="n"/>
      <c r="F620" s="8" t="n">
        <v>18165.28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>
        <f>IF(COUNT(D620:U620)=0,"",MIN(D620:U620))</f>
        <v/>
      </c>
      <c r="W620" s="8">
        <f>IF(COUNT(D620:U620)=0,"",MEDIAN(D620:U620))</f>
        <v/>
      </c>
      <c r="X620" s="8">
        <f>IF(COUNT(D620:U620)=0,"",MAX(D620:U620))</f>
        <v/>
      </c>
      <c r="Y620" s="9">
        <f>IF(OR(V620="",V620=0),"",(X620-V620)/V620)</f>
        <v/>
      </c>
      <c r="Z620" s="7">
        <f>IF(COUNT(D620:U620)=0,"",INDEX($D$1:$U$1,MATCH(MIN(D620:U620),D620:U620,0)))</f>
        <v/>
      </c>
      <c r="AA620" s="8" t="n">
        <v>37416.26</v>
      </c>
      <c r="AB620" s="10" t="n">
        <v>1</v>
      </c>
    </row>
    <row r="621">
      <c r="A621" s="7" t="inlineStr">
        <is>
          <t>MAT-09-106</t>
        </is>
      </c>
      <c r="B621" s="4" t="inlineStr">
        <is>
          <t>Fregadero de 2 pozos, 31 x 19 pulgadas</t>
        </is>
      </c>
      <c r="C621" s="7" t="inlineStr">
        <is>
          <t>unidad</t>
        </is>
      </c>
      <c r="D621" s="8" t="n"/>
      <c r="E621" s="8" t="n"/>
      <c r="F621" s="8" t="n">
        <v>17852.79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>
        <f>IF(COUNT(D621:U621)=0,"",MIN(D621:U621))</f>
        <v/>
      </c>
      <c r="W621" s="8">
        <f>IF(COUNT(D621:U621)=0,"",MEDIAN(D621:U621))</f>
        <v/>
      </c>
      <c r="X621" s="8">
        <f>IF(COUNT(D621:U621)=0,"",MAX(D621:U621))</f>
        <v/>
      </c>
      <c r="Y621" s="9">
        <f>IF(OR(V621="",V621=0),"",(X621-V621)/V621)</f>
        <v/>
      </c>
      <c r="Z621" s="7">
        <f>IF(COUNT(D621:U621)=0,"",INDEX($D$1:$U$1,MATCH(MIN(D621:U621),D621:U621,0)))</f>
        <v/>
      </c>
      <c r="AA621" s="8" t="n">
        <v>21066.29</v>
      </c>
      <c r="AB621" s="10" t="n">
        <v>1</v>
      </c>
    </row>
    <row r="622">
      <c r="A622" s="7" t="inlineStr">
        <is>
          <t>MAT-09-107</t>
        </is>
      </c>
      <c r="B622" s="4" t="inlineStr">
        <is>
          <t>Fregadero de 2 pozos, 31 x 20 pulgadas</t>
        </is>
      </c>
      <c r="C622" s="7" t="inlineStr">
        <is>
          <t>unidad</t>
        </is>
      </c>
      <c r="D622" s="8" t="n"/>
      <c r="E622" s="8" t="n"/>
      <c r="F622" s="8" t="n">
        <v>5594.18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>
        <f>IF(COUNT(D622:U622)=0,"",MIN(D622:U622))</f>
        <v/>
      </c>
      <c r="W622" s="8">
        <f>IF(COUNT(D622:U622)=0,"",MEDIAN(D622:U622))</f>
        <v/>
      </c>
      <c r="X622" s="8">
        <f>IF(COUNT(D622:U622)=0,"",MAX(D622:U622))</f>
        <v/>
      </c>
      <c r="Y622" s="9">
        <f>IF(OR(V622="",V622=0),"",(X622-V622)/V622)</f>
        <v/>
      </c>
      <c r="Z622" s="7">
        <f>IF(COUNT(D622:U622)=0,"",INDEX($D$1:$U$1,MATCH(MIN(D622:U622),D622:U622,0)))</f>
        <v/>
      </c>
      <c r="AA622" s="8" t="n">
        <v>13464.3</v>
      </c>
      <c r="AB622" s="10" t="n">
        <v>1</v>
      </c>
    </row>
    <row r="623">
      <c r="A623" s="7" t="inlineStr">
        <is>
          <t>MAT-09-108</t>
        </is>
      </c>
      <c r="B623" s="4" t="inlineStr">
        <is>
          <t>Fregadero de 2 pozos, 33 x 14 pulgadas</t>
        </is>
      </c>
      <c r="C623" s="7" t="inlineStr">
        <is>
          <t>unidad</t>
        </is>
      </c>
      <c r="D623" s="8" t="n"/>
      <c r="E623" s="8" t="n"/>
      <c r="F623" s="8" t="n">
        <v>11166.49</v>
      </c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>
        <f>IF(COUNT(D623:U623)=0,"",MIN(D623:U623))</f>
        <v/>
      </c>
      <c r="W623" s="8">
        <f>IF(COUNT(D623:U623)=0,"",MEDIAN(D623:U623))</f>
        <v/>
      </c>
      <c r="X623" s="8">
        <f>IF(COUNT(D623:U623)=0,"",MAX(D623:U623))</f>
        <v/>
      </c>
      <c r="Y623" s="9">
        <f>IF(OR(V623="",V623=0),"",(X623-V623)/V623)</f>
        <v/>
      </c>
      <c r="Z623" s="7">
        <f>IF(COUNT(D623:U623)=0,"",INDEX($D$1:$U$1,MATCH(MIN(D623:U623),D623:U623,0)))</f>
        <v/>
      </c>
      <c r="AA623" s="8" t="n">
        <v>13176.46</v>
      </c>
      <c r="AB623" s="10" t="n">
        <v>1</v>
      </c>
    </row>
    <row r="624">
      <c r="A624" s="7" t="inlineStr">
        <is>
          <t>MAT-09-109</t>
        </is>
      </c>
      <c r="B624" s="4" t="inlineStr">
        <is>
          <t>Fregadero de 2 pozos, 33 x 19 pulgadas</t>
        </is>
      </c>
      <c r="C624" s="7" t="inlineStr">
        <is>
          <t>unidad</t>
        </is>
      </c>
      <c r="D624" s="8" t="n"/>
      <c r="E624" s="8" t="n"/>
      <c r="F624" s="8" t="n"/>
      <c r="G624" s="8" t="n">
        <v>3285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>
        <f>IF(COUNT(D624:U624)=0,"",MIN(D624:U624))</f>
        <v/>
      </c>
      <c r="W624" s="8">
        <f>IF(COUNT(D624:U624)=0,"",MEDIAN(D624:U624))</f>
        <v/>
      </c>
      <c r="X624" s="8">
        <f>IF(COUNT(D624:U624)=0,"",MAX(D624:U624))</f>
        <v/>
      </c>
      <c r="Y624" s="9">
        <f>IF(OR(V624="",V624=0),"",(X624-V624)/V624)</f>
        <v/>
      </c>
      <c r="Z624" s="7">
        <f>IF(COUNT(D624:U624)=0,"",INDEX($D$1:$U$1,MATCH(MIN(D624:U624),D624:U624,0)))</f>
        <v/>
      </c>
      <c r="AA624" s="8" t="n">
        <v>3285</v>
      </c>
      <c r="AB624" s="10" t="n">
        <v>1</v>
      </c>
    </row>
    <row r="625">
      <c r="A625" s="7" t="inlineStr">
        <is>
          <t>MAT-09-110</t>
        </is>
      </c>
      <c r="B625" s="4" t="inlineStr">
        <is>
          <t>Fregadero de 2 pozos, 33 x 22 pulgadas</t>
        </is>
      </c>
      <c r="C625" s="7" t="inlineStr">
        <is>
          <t>unidad</t>
        </is>
      </c>
      <c r="D625" s="8" t="n"/>
      <c r="E625" s="8" t="n"/>
      <c r="F625" s="8" t="n"/>
      <c r="G625" s="8" t="n">
        <v>6540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>
        <f>IF(COUNT(D625:U625)=0,"",MIN(D625:U625))</f>
        <v/>
      </c>
      <c r="W625" s="8">
        <f>IF(COUNT(D625:U625)=0,"",MEDIAN(D625:U625))</f>
        <v/>
      </c>
      <c r="X625" s="8">
        <f>IF(COUNT(D625:U625)=0,"",MAX(D625:U625))</f>
        <v/>
      </c>
      <c r="Y625" s="9">
        <f>IF(OR(V625="",V625=0),"",(X625-V625)/V625)</f>
        <v/>
      </c>
      <c r="Z625" s="7">
        <f>IF(COUNT(D625:U625)=0,"",INDEX($D$1:$U$1,MATCH(MIN(D625:U625),D625:U625,0)))</f>
        <v/>
      </c>
      <c r="AA625" s="8" t="n">
        <v>6540</v>
      </c>
      <c r="AB625" s="10" t="n">
        <v>1</v>
      </c>
    </row>
    <row r="626">
      <c r="A626" s="7" t="inlineStr">
        <is>
          <t>MAT-09-111</t>
        </is>
      </c>
      <c r="B626" s="4" t="inlineStr">
        <is>
          <t>Fregadero de 2 pozos, 34 x 17 pulgadas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45860</v>
      </c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>
        <f>IF(COUNT(D626:U626)=0,"",MIN(D626:U626))</f>
        <v/>
      </c>
      <c r="W626" s="8">
        <f>IF(COUNT(D626:U626)=0,"",MEDIAN(D626:U626))</f>
        <v/>
      </c>
      <c r="X626" s="8">
        <f>IF(COUNT(D626:U626)=0,"",MAX(D626:U626))</f>
        <v/>
      </c>
      <c r="Y626" s="9">
        <f>IF(OR(V626="",V626=0),"",(X626-V626)/V626)</f>
        <v/>
      </c>
      <c r="Z626" s="7">
        <f>IF(COUNT(D626:U626)=0,"",INDEX($D$1:$U$1,MATCH(MIN(D626:U626),D626:U626,0)))</f>
        <v/>
      </c>
      <c r="AA626" s="8" t="n">
        <v>45860</v>
      </c>
      <c r="AB626" s="10" t="n">
        <v>1</v>
      </c>
    </row>
    <row r="627">
      <c r="A627" s="7" t="inlineStr">
        <is>
          <t>MAT-09-112</t>
        </is>
      </c>
      <c r="B627" s="4" t="inlineStr">
        <is>
          <t>Fregadero de 2 pozos, 34 x 18 pulgadas</t>
        </is>
      </c>
      <c r="C627" s="7" t="inlineStr">
        <is>
          <t>unidad</t>
        </is>
      </c>
      <c r="D627" s="8" t="n"/>
      <c r="E627" s="8" t="n"/>
      <c r="F627" s="8" t="n">
        <v>17194.13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>
        <f>IF(COUNT(D627:U627)=0,"",MIN(D627:U627))</f>
        <v/>
      </c>
      <c r="W627" s="8">
        <f>IF(COUNT(D627:U627)=0,"",MEDIAN(D627:U627))</f>
        <v/>
      </c>
      <c r="X627" s="8">
        <f>IF(COUNT(D627:U627)=0,"",MAX(D627:U627))</f>
        <v/>
      </c>
      <c r="Y627" s="9">
        <f>IF(OR(V627="",V627=0),"",(X627-V627)/V627)</f>
        <v/>
      </c>
      <c r="Z627" s="7">
        <f>IF(COUNT(D627:U627)=0,"",INDEX($D$1:$U$1,MATCH(MIN(D627:U627),D627:U627,0)))</f>
        <v/>
      </c>
      <c r="AA627" s="8" t="n">
        <v>20289.07</v>
      </c>
      <c r="AB627" s="10" t="n">
        <v>1</v>
      </c>
    </row>
    <row r="628">
      <c r="A628" s="7" t="inlineStr">
        <is>
          <t>MAT-09-113</t>
        </is>
      </c>
      <c r="B628" s="4" t="inlineStr">
        <is>
          <t>Fregadero de 2 pozos, 35 x 15 pulgadas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>
        <v>18400</v>
      </c>
      <c r="O628" s="8" t="n"/>
      <c r="P628" s="8" t="n"/>
      <c r="Q628" s="8" t="n"/>
      <c r="R628" s="8" t="n"/>
      <c r="S628" s="8" t="n"/>
      <c r="T628" s="8" t="n"/>
      <c r="U628" s="8" t="n"/>
      <c r="V628" s="8">
        <f>IF(COUNT(D628:U628)=0,"",MIN(D628:U628))</f>
        <v/>
      </c>
      <c r="W628" s="8">
        <f>IF(COUNT(D628:U628)=0,"",MEDIAN(D628:U628))</f>
        <v/>
      </c>
      <c r="X628" s="8">
        <f>IF(COUNT(D628:U628)=0,"",MAX(D628:U628))</f>
        <v/>
      </c>
      <c r="Y628" s="9">
        <f>IF(OR(V628="",V628=0),"",(X628-V628)/V628)</f>
        <v/>
      </c>
      <c r="Z628" s="7">
        <f>IF(COUNT(D628:U628)=0,"",INDEX($D$1:$U$1,MATCH(MIN(D628:U628),D628:U628,0)))</f>
        <v/>
      </c>
      <c r="AA628" s="8" t="n">
        <v>18400</v>
      </c>
      <c r="AB628" s="10" t="n">
        <v>1</v>
      </c>
    </row>
    <row r="629">
      <c r="A629" s="7" t="inlineStr">
        <is>
          <t>MAT-09-114</t>
        </is>
      </c>
      <c r="B629" s="4" t="inlineStr">
        <is>
          <t>Fregadero de 2 pozos, 47 x 20 pulgadas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>
        <v>6665</v>
      </c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>
        <f>IF(COUNT(D629:U629)=0,"",MIN(D629:U629))</f>
        <v/>
      </c>
      <c r="W629" s="8">
        <f>IF(COUNT(D629:U629)=0,"",MEDIAN(D629:U629))</f>
        <v/>
      </c>
      <c r="X629" s="8">
        <f>IF(COUNT(D629:U629)=0,"",MAX(D629:U629))</f>
        <v/>
      </c>
      <c r="Y629" s="9">
        <f>IF(OR(V629="",V629=0),"",(X629-V629)/V629)</f>
        <v/>
      </c>
      <c r="Z629" s="7">
        <f>IF(COUNT(D629:U629)=0,"",INDEX($D$1:$U$1,MATCH(MIN(D629:U629),D629:U629,0)))</f>
        <v/>
      </c>
      <c r="AA629" s="8" t="n">
        <v>6672.5</v>
      </c>
      <c r="AB629" s="10" t="n">
        <v>1</v>
      </c>
    </row>
    <row r="630">
      <c r="A630" s="7" t="inlineStr">
        <is>
          <t>MAT-09-115</t>
        </is>
      </c>
      <c r="B630" s="4" t="inlineStr">
        <is>
          <t>Llave de bebedero</t>
        </is>
      </c>
      <c r="C630" s="7" t="inlineStr">
        <is>
          <t>unidad</t>
        </is>
      </c>
      <c r="D630" s="8" t="n"/>
      <c r="E630" s="8" t="n"/>
      <c r="F630" s="8" t="n"/>
      <c r="G630" s="8" t="n">
        <v>205</v>
      </c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>
        <f>IF(COUNT(D630:U630)=0,"",MIN(D630:U630))</f>
        <v/>
      </c>
      <c r="W630" s="8">
        <f>IF(COUNT(D630:U630)=0,"",MEDIAN(D630:U630))</f>
        <v/>
      </c>
      <c r="X630" s="8">
        <f>IF(COUNT(D630:U630)=0,"",MAX(D630:U630))</f>
        <v/>
      </c>
      <c r="Y630" s="9">
        <f>IF(OR(V630="",V630=0),"",(X630-V630)/V630)</f>
        <v/>
      </c>
      <c r="Z630" s="7">
        <f>IF(COUNT(D630:U630)=0,"",INDEX($D$1:$U$1,MATCH(MIN(D630:U630),D630:U630,0)))</f>
        <v/>
      </c>
      <c r="AA630" s="8" t="n">
        <v>217.5</v>
      </c>
      <c r="AB630" s="10" t="n">
        <v>1</v>
      </c>
    </row>
    <row r="631">
      <c r="A631" s="7" t="inlineStr">
        <is>
          <t>MAT-10-017</t>
        </is>
      </c>
      <c r="B631" s="4" t="inlineStr">
        <is>
          <t>Bombillo ahorrador de 105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785</v>
      </c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>
        <f>IF(COUNT(D631:U631)=0,"",MIN(D631:U631))</f>
        <v/>
      </c>
      <c r="W631" s="8">
        <f>IF(COUNT(D631:U631)=0,"",MEDIAN(D631:U631))</f>
        <v/>
      </c>
      <c r="X631" s="8">
        <f>IF(COUNT(D631:U631)=0,"",MAX(D631:U631))</f>
        <v/>
      </c>
      <c r="Y631" s="9">
        <f>IF(OR(V631="",V631=0),"",(X631-V631)/V631)</f>
        <v/>
      </c>
      <c r="Z631" s="7">
        <f>IF(COUNT(D631:U631)=0,"",INDEX($D$1:$U$1,MATCH(MIN(D631:U631),D631:U631,0)))</f>
        <v/>
      </c>
      <c r="AA631" s="8" t="n">
        <v>785</v>
      </c>
      <c r="AB631" s="10" t="n">
        <v>1</v>
      </c>
    </row>
    <row r="632">
      <c r="A632" s="7" t="inlineStr">
        <is>
          <t>MAT-10-018</t>
        </is>
      </c>
      <c r="B632" s="4" t="inlineStr">
        <is>
          <t>Bombillo ahorrador de 11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>
        <f>IF(COUNT(D632:U632)=0,"",MIN(D632:U632))</f>
        <v/>
      </c>
      <c r="W632" s="8">
        <f>IF(COUNT(D632:U632)=0,"",MEDIAN(D632:U632))</f>
        <v/>
      </c>
      <c r="X632" s="8">
        <f>IF(COUNT(D632:U632)=0,"",MAX(D632:U632))</f>
        <v/>
      </c>
      <c r="Y632" s="9">
        <f>IF(OR(V632="",V632=0),"",(X632-V632)/V632)</f>
        <v/>
      </c>
      <c r="Z632" s="7">
        <f>IF(COUNT(D632:U632)=0,"",INDEX($D$1:$U$1,MATCH(MIN(D632:U632),D632:U632,0)))</f>
        <v/>
      </c>
      <c r="AA632" s="8" t="n">
        <v>100</v>
      </c>
      <c r="AB632" s="10" t="n">
        <v>1</v>
      </c>
    </row>
    <row r="633">
      <c r="A633" s="7" t="inlineStr">
        <is>
          <t>MAT-10-019</t>
        </is>
      </c>
      <c r="B633" s="4" t="inlineStr">
        <is>
          <t>Bombillo ahorrador de 15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100</v>
      </c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>
        <f>IF(COUNT(D633:U633)=0,"",MIN(D633:U633))</f>
        <v/>
      </c>
      <c r="W633" s="8">
        <f>IF(COUNT(D633:U633)=0,"",MEDIAN(D633:U633))</f>
        <v/>
      </c>
      <c r="X633" s="8">
        <f>IF(COUNT(D633:U633)=0,"",MAX(D633:U633))</f>
        <v/>
      </c>
      <c r="Y633" s="9">
        <f>IF(OR(V633="",V633=0),"",(X633-V633)/V633)</f>
        <v/>
      </c>
      <c r="Z633" s="7">
        <f>IF(COUNT(D633:U633)=0,"",INDEX($D$1:$U$1,MATCH(MIN(D633:U633),D633:U633,0)))</f>
        <v/>
      </c>
      <c r="AA633" s="8" t="n">
        <v>100</v>
      </c>
      <c r="AB633" s="10" t="n">
        <v>1</v>
      </c>
    </row>
    <row r="634">
      <c r="A634" s="7" t="inlineStr">
        <is>
          <t>MAT-10-020</t>
        </is>
      </c>
      <c r="B634" s="4" t="inlineStr">
        <is>
          <t>Bombillo ahorrador de 25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>
        <v>100</v>
      </c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>
        <f>IF(COUNT(D634:U634)=0,"",MIN(D634:U634))</f>
        <v/>
      </c>
      <c r="W634" s="8">
        <f>IF(COUNT(D634:U634)=0,"",MEDIAN(D634:U634))</f>
        <v/>
      </c>
      <c r="X634" s="8">
        <f>IF(COUNT(D634:U634)=0,"",MAX(D634:U634))</f>
        <v/>
      </c>
      <c r="Y634" s="9">
        <f>IF(OR(V634="",V634=0),"",(X634-V634)/V634)</f>
        <v/>
      </c>
      <c r="Z634" s="7">
        <f>IF(COUNT(D634:U634)=0,"",INDEX($D$1:$U$1,MATCH(MIN(D634:U634),D634:U634,0)))</f>
        <v/>
      </c>
      <c r="AA634" s="8" t="n">
        <v>100</v>
      </c>
      <c r="AB634" s="10" t="n">
        <v>1</v>
      </c>
    </row>
    <row r="635">
      <c r="A635" s="7" t="inlineStr">
        <is>
          <t>MAT-10-021</t>
        </is>
      </c>
      <c r="B635" s="4" t="inlineStr">
        <is>
          <t>Bombillo ahorrador de 45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>
        <v>313.56</v>
      </c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>
        <f>IF(COUNT(D635:U635)=0,"",MIN(D635:U635))</f>
        <v/>
      </c>
      <c r="W635" s="8">
        <f>IF(COUNT(D635:U635)=0,"",MEDIAN(D635:U635))</f>
        <v/>
      </c>
      <c r="X635" s="8">
        <f>IF(COUNT(D635:U635)=0,"",MAX(D635:U635))</f>
        <v/>
      </c>
      <c r="Y635" s="9">
        <f>IF(OR(V635="",V635=0),"",(X635-V635)/V635)</f>
        <v/>
      </c>
      <c r="Z635" s="7">
        <f>IF(COUNT(D635:U635)=0,"",INDEX($D$1:$U$1,MATCH(MIN(D635:U635),D635:U635,0)))</f>
        <v/>
      </c>
      <c r="AA635" s="8" t="n">
        <v>313.56</v>
      </c>
      <c r="AB635" s="10" t="n">
        <v>1</v>
      </c>
    </row>
    <row r="636">
      <c r="A636" s="7" t="inlineStr">
        <is>
          <t>MAT-10-022</t>
        </is>
      </c>
      <c r="B636" s="4" t="inlineStr">
        <is>
          <t>Bombillo ahorrador de 7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100</v>
      </c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>
        <f>IF(COUNT(D636:U636)=0,"",MIN(D636:U636))</f>
        <v/>
      </c>
      <c r="W636" s="8">
        <f>IF(COUNT(D636:U636)=0,"",MEDIAN(D636:U636))</f>
        <v/>
      </c>
      <c r="X636" s="8">
        <f>IF(COUNT(D636:U636)=0,"",MAX(D636:U636))</f>
        <v/>
      </c>
      <c r="Y636" s="9">
        <f>IF(OR(V636="",V636=0),"",(X636-V636)/V636)</f>
        <v/>
      </c>
      <c r="Z636" s="7">
        <f>IF(COUNT(D636:U636)=0,"",INDEX($D$1:$U$1,MATCH(MIN(D636:U636),D636:U636,0)))</f>
        <v/>
      </c>
      <c r="AA636" s="8" t="n">
        <v>100</v>
      </c>
      <c r="AB636" s="10" t="n">
        <v>1</v>
      </c>
    </row>
    <row r="637">
      <c r="A637" s="7" t="inlineStr">
        <is>
          <t>MAT-10-023</t>
        </is>
      </c>
      <c r="B637" s="4" t="inlineStr">
        <is>
          <t>Bombillo ahorrador de 85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>
        <v>795</v>
      </c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>
        <f>IF(COUNT(D637:U637)=0,"",MIN(D637:U637))</f>
        <v/>
      </c>
      <c r="W637" s="8">
        <f>IF(COUNT(D637:U637)=0,"",MEDIAN(D637:U637))</f>
        <v/>
      </c>
      <c r="X637" s="8">
        <f>IF(COUNT(D637:U637)=0,"",MAX(D637:U637))</f>
        <v/>
      </c>
      <c r="Y637" s="9">
        <f>IF(OR(V637="",V637=0),"",(X637-V637)/V637)</f>
        <v/>
      </c>
      <c r="Z637" s="7">
        <f>IF(COUNT(D637:U637)=0,"",INDEX($D$1:$U$1,MATCH(MIN(D637:U637),D637:U637,0)))</f>
        <v/>
      </c>
      <c r="AA637" s="8" t="n">
        <v>795</v>
      </c>
      <c r="AB637" s="10" t="n">
        <v>1</v>
      </c>
    </row>
    <row r="638">
      <c r="A638" s="7" t="inlineStr">
        <is>
          <t>MAT-10-024</t>
        </is>
      </c>
      <c r="B638" s="4" t="inlineStr">
        <is>
          <t>Bombillo bajo consumo de 11 W</t>
        </is>
      </c>
      <c r="C638" s="7" t="inlineStr">
        <is>
          <t>unidad</t>
        </is>
      </c>
      <c r="D638" s="8" t="n"/>
      <c r="E638" s="8" t="n">
        <v>95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>
        <f>IF(COUNT(D638:U638)=0,"",MIN(D638:U638))</f>
        <v/>
      </c>
      <c r="W638" s="8">
        <f>IF(COUNT(D638:U638)=0,"",MEDIAN(D638:U638))</f>
        <v/>
      </c>
      <c r="X638" s="8">
        <f>IF(COUNT(D638:U638)=0,"",MAX(D638:U638))</f>
        <v/>
      </c>
      <c r="Y638" s="9">
        <f>IF(OR(V638="",V638=0),"",(X638-V638)/V638)</f>
        <v/>
      </c>
      <c r="Z638" s="7">
        <f>IF(COUNT(D638:U638)=0,"",INDEX($D$1:$U$1,MATCH(MIN(D638:U638),D638:U638,0)))</f>
        <v/>
      </c>
      <c r="AA638" s="8" t="n">
        <v>95</v>
      </c>
      <c r="AB638" s="10" t="n">
        <v>1</v>
      </c>
    </row>
    <row r="639">
      <c r="A639" s="7" t="inlineStr">
        <is>
          <t>MAT-10-025</t>
        </is>
      </c>
      <c r="B639" s="4" t="inlineStr">
        <is>
          <t>Bombillo bajo consumo de 13 W</t>
        </is>
      </c>
      <c r="C639" s="7" t="inlineStr">
        <is>
          <t>unidad</t>
        </is>
      </c>
      <c r="D639" s="8" t="n"/>
      <c r="E639" s="8" t="n">
        <v>102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>
        <f>IF(COUNT(D639:U639)=0,"",MIN(D639:U639))</f>
        <v/>
      </c>
      <c r="W639" s="8">
        <f>IF(COUNT(D639:U639)=0,"",MEDIAN(D639:U639))</f>
        <v/>
      </c>
      <c r="X639" s="8">
        <f>IF(COUNT(D639:U639)=0,"",MAX(D639:U639))</f>
        <v/>
      </c>
      <c r="Y639" s="9">
        <f>IF(OR(V639="",V639=0),"",(X639-V639)/V639)</f>
        <v/>
      </c>
      <c r="Z639" s="7">
        <f>IF(COUNT(D639:U639)=0,"",INDEX($D$1:$U$1,MATCH(MIN(D639:U639),D639:U639,0)))</f>
        <v/>
      </c>
      <c r="AA639" s="8" t="n">
        <v>102</v>
      </c>
      <c r="AB639" s="10" t="n">
        <v>1</v>
      </c>
    </row>
    <row r="640">
      <c r="A640" s="7" t="inlineStr">
        <is>
          <t>MAT-10-026</t>
        </is>
      </c>
      <c r="B640" s="4" t="inlineStr">
        <is>
          <t>Bombillo bajo consumo de 15 W</t>
        </is>
      </c>
      <c r="C640" s="7" t="inlineStr">
        <is>
          <t>unidad</t>
        </is>
      </c>
      <c r="D640" s="8" t="n"/>
      <c r="E640" s="8" t="n">
        <v>106</v>
      </c>
      <c r="F640" s="8" t="n"/>
      <c r="G640" s="8" t="n"/>
      <c r="H640" s="8" t="n"/>
      <c r="I640" s="8" t="n">
        <v>85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>
        <f>IF(COUNT(D640:U640)=0,"",MIN(D640:U640))</f>
        <v/>
      </c>
      <c r="W640" s="8">
        <f>IF(COUNT(D640:U640)=0,"",MEDIAN(D640:U640))</f>
        <v/>
      </c>
      <c r="X640" s="8">
        <f>IF(COUNT(D640:U640)=0,"",MAX(D640:U640))</f>
        <v/>
      </c>
      <c r="Y640" s="9">
        <f>IF(OR(V640="",V640=0),"",(X640-V640)/V640)</f>
        <v/>
      </c>
      <c r="Z640" s="7">
        <f>IF(COUNT(D640:U640)=0,"",INDEX($D$1:$U$1,MATCH(MIN(D640:U640),D640:U640,0)))</f>
        <v/>
      </c>
      <c r="AA640" s="8" t="n">
        <v>115.5</v>
      </c>
      <c r="AB640" s="10" t="n">
        <v>2</v>
      </c>
    </row>
    <row r="641">
      <c r="A641" s="7" t="inlineStr">
        <is>
          <t>MAT-10-027</t>
        </is>
      </c>
      <c r="B641" s="4" t="inlineStr">
        <is>
          <t>Bombillo bajo consumo de 20 W</t>
        </is>
      </c>
      <c r="C641" s="7" t="inlineStr">
        <is>
          <t>unidad</t>
        </is>
      </c>
      <c r="D641" s="8" t="n"/>
      <c r="E641" s="8" t="n">
        <v>110</v>
      </c>
      <c r="F641" s="8" t="n"/>
      <c r="G641" s="8" t="n"/>
      <c r="H641" s="8" t="n"/>
      <c r="I641" s="8" t="n">
        <v>135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>
        <f>IF(COUNT(D641:U641)=0,"",MIN(D641:U641))</f>
        <v/>
      </c>
      <c r="W641" s="8">
        <f>IF(COUNT(D641:U641)=0,"",MEDIAN(D641:U641))</f>
        <v/>
      </c>
      <c r="X641" s="8">
        <f>IF(COUNT(D641:U641)=0,"",MAX(D641:U641))</f>
        <v/>
      </c>
      <c r="Y641" s="9">
        <f>IF(OR(V641="",V641=0),"",(X641-V641)/V641)</f>
        <v/>
      </c>
      <c r="Z641" s="7">
        <f>IF(COUNT(D641:U641)=0,"",INDEX($D$1:$U$1,MATCH(MIN(D641:U641),D641:U641,0)))</f>
        <v/>
      </c>
      <c r="AA641" s="8" t="n">
        <v>135</v>
      </c>
      <c r="AB641" s="10" t="n">
        <v>2</v>
      </c>
    </row>
    <row r="642">
      <c r="A642" s="7" t="inlineStr">
        <is>
          <t>MAT-10-028</t>
        </is>
      </c>
      <c r="B642" s="4" t="inlineStr">
        <is>
          <t>Bombillo bajo consumo de 24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>
        <v>145</v>
      </c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>
        <f>IF(COUNT(D642:U642)=0,"",MIN(D642:U642))</f>
        <v/>
      </c>
      <c r="W642" s="8">
        <f>IF(COUNT(D642:U642)=0,"",MEDIAN(D642:U642))</f>
        <v/>
      </c>
      <c r="X642" s="8">
        <f>IF(COUNT(D642:U642)=0,"",MAX(D642:U642))</f>
        <v/>
      </c>
      <c r="Y642" s="9">
        <f>IF(OR(V642="",V642=0),"",(X642-V642)/V642)</f>
        <v/>
      </c>
      <c r="Z642" s="7">
        <f>IF(COUNT(D642:U642)=0,"",INDEX($D$1:$U$1,MATCH(MIN(D642:U642),D642:U642,0)))</f>
        <v/>
      </c>
      <c r="AA642" s="8" t="n">
        <v>145</v>
      </c>
      <c r="AB642" s="10" t="n">
        <v>1</v>
      </c>
    </row>
    <row r="643">
      <c r="A643" s="7" t="inlineStr">
        <is>
          <t>MAT-10-029</t>
        </is>
      </c>
      <c r="B643" s="4" t="inlineStr">
        <is>
          <t>Bombillo bajo consumo de 45 W</t>
        </is>
      </c>
      <c r="C643" s="7" t="inlineStr">
        <is>
          <t>unidad</t>
        </is>
      </c>
      <c r="D643" s="8" t="n"/>
      <c r="E643" s="8" t="n">
        <v>595</v>
      </c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>
        <f>IF(COUNT(D643:U643)=0,"",MIN(D643:U643))</f>
        <v/>
      </c>
      <c r="W643" s="8">
        <f>IF(COUNT(D643:U643)=0,"",MEDIAN(D643:U643))</f>
        <v/>
      </c>
      <c r="X643" s="8">
        <f>IF(COUNT(D643:U643)=0,"",MAX(D643:U643))</f>
        <v/>
      </c>
      <c r="Y643" s="9">
        <f>IF(OR(V643="",V643=0),"",(X643-V643)/V643)</f>
        <v/>
      </c>
      <c r="Z643" s="7">
        <f>IF(COUNT(D643:U643)=0,"",INDEX($D$1:$U$1,MATCH(MIN(D643:U643),D643:U643,0)))</f>
        <v/>
      </c>
      <c r="AA643" s="8" t="n">
        <v>595</v>
      </c>
      <c r="AB643" s="10" t="n">
        <v>1</v>
      </c>
    </row>
    <row r="644">
      <c r="A644" s="7" t="inlineStr">
        <is>
          <t>MAT-10-030</t>
        </is>
      </c>
      <c r="B644" s="4" t="inlineStr">
        <is>
          <t>Bombillo halógeno de 50 W</t>
        </is>
      </c>
      <c r="C644" s="7" t="inlineStr">
        <is>
          <t>unidad</t>
        </is>
      </c>
      <c r="D644" s="8" t="n"/>
      <c r="E644" s="8" t="n">
        <v>122</v>
      </c>
      <c r="F644" s="8" t="n"/>
      <c r="G644" s="8" t="n"/>
      <c r="H644" s="8" t="n"/>
      <c r="I644" s="8" t="n">
        <v>59</v>
      </c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>
        <f>IF(COUNT(D644:U644)=0,"",MIN(D644:U644))</f>
        <v/>
      </c>
      <c r="W644" s="8">
        <f>IF(COUNT(D644:U644)=0,"",MEDIAN(D644:U644))</f>
        <v/>
      </c>
      <c r="X644" s="8">
        <f>IF(COUNT(D644:U644)=0,"",MAX(D644:U644))</f>
        <v/>
      </c>
      <c r="Y644" s="9">
        <f>IF(OR(V644="",V644=0),"",(X644-V644)/V644)</f>
        <v/>
      </c>
      <c r="Z644" s="7">
        <f>IF(COUNT(D644:U644)=0,"",INDEX($D$1:$U$1,MATCH(MIN(D644:U644),D644:U644,0)))</f>
        <v/>
      </c>
      <c r="AA644" s="8" t="n">
        <v>70</v>
      </c>
      <c r="AB644" s="10" t="n">
        <v>2</v>
      </c>
    </row>
    <row r="645">
      <c r="A645" s="7" t="inlineStr">
        <is>
          <t>MAT-10-031</t>
        </is>
      </c>
      <c r="B645" s="4" t="inlineStr">
        <is>
          <t>Bombillo halógeno de 75 W</t>
        </is>
      </c>
      <c r="C645" s="7" t="inlineStr">
        <is>
          <t>unidad</t>
        </is>
      </c>
      <c r="D645" s="8" t="n"/>
      <c r="E645" s="8" t="n">
        <v>234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>
        <f>IF(COUNT(D645:U645)=0,"",MIN(D645:U645))</f>
        <v/>
      </c>
      <c r="W645" s="8">
        <f>IF(COUNT(D645:U645)=0,"",MEDIAN(D645:U645))</f>
        <v/>
      </c>
      <c r="X645" s="8">
        <f>IF(COUNT(D645:U645)=0,"",MAX(D645:U645))</f>
        <v/>
      </c>
      <c r="Y645" s="9">
        <f>IF(OR(V645="",V645=0),"",(X645-V645)/V645)</f>
        <v/>
      </c>
      <c r="Z645" s="7">
        <f>IF(COUNT(D645:U645)=0,"",INDEX($D$1:$U$1,MATCH(MIN(D645:U645),D645:U645,0)))</f>
        <v/>
      </c>
      <c r="AA645" s="8" t="n">
        <v>234</v>
      </c>
      <c r="AB645" s="10" t="n">
        <v>1</v>
      </c>
    </row>
    <row r="646">
      <c r="A646" s="7" t="inlineStr">
        <is>
          <t>MAT-10-032</t>
        </is>
      </c>
      <c r="B646" s="4" t="inlineStr">
        <is>
          <t>Bombillo incandescente de 100 W</t>
        </is>
      </c>
      <c r="C646" s="7" t="inlineStr">
        <is>
          <t>unidad</t>
        </is>
      </c>
      <c r="D646" s="8" t="n"/>
      <c r="E646" s="8" t="n">
        <v>41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>
        <f>IF(COUNT(D646:U646)=0,"",MIN(D646:U646))</f>
        <v/>
      </c>
      <c r="W646" s="8">
        <f>IF(COUNT(D646:U646)=0,"",MEDIAN(D646:U646))</f>
        <v/>
      </c>
      <c r="X646" s="8">
        <f>IF(COUNT(D646:U646)=0,"",MAX(D646:U646))</f>
        <v/>
      </c>
      <c r="Y646" s="9">
        <f>IF(OR(V646="",V646=0),"",(X646-V646)/V646)</f>
        <v/>
      </c>
      <c r="Z646" s="7">
        <f>IF(COUNT(D646:U646)=0,"",INDEX($D$1:$U$1,MATCH(MIN(D646:U646),D646:U646,0)))</f>
        <v/>
      </c>
      <c r="AA646" s="8" t="n">
        <v>41</v>
      </c>
      <c r="AB646" s="10" t="n">
        <v>1</v>
      </c>
    </row>
    <row r="647">
      <c r="A647" s="7" t="inlineStr">
        <is>
          <t>MAT-10-033</t>
        </is>
      </c>
      <c r="B647" s="4" t="inlineStr">
        <is>
          <t>Bombillo incandescente de 11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50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>
        <f>IF(COUNT(D647:U647)=0,"",MIN(D647:U647))</f>
        <v/>
      </c>
      <c r="W647" s="8">
        <f>IF(COUNT(D647:U647)=0,"",MEDIAN(D647:U647))</f>
        <v/>
      </c>
      <c r="X647" s="8">
        <f>IF(COUNT(D647:U647)=0,"",MAX(D647:U647))</f>
        <v/>
      </c>
      <c r="Y647" s="9">
        <f>IF(OR(V647="",V647=0),"",(X647-V647)/V647)</f>
        <v/>
      </c>
      <c r="Z647" s="7">
        <f>IF(COUNT(D647:U647)=0,"",INDEX($D$1:$U$1,MATCH(MIN(D647:U647),D647:U647,0)))</f>
        <v/>
      </c>
      <c r="AA647" s="8" t="n">
        <v>50</v>
      </c>
      <c r="AB647" s="10" t="n">
        <v>1</v>
      </c>
    </row>
    <row r="648">
      <c r="A648" s="7" t="inlineStr">
        <is>
          <t>MAT-10-034</t>
        </is>
      </c>
      <c r="B648" s="4" t="inlineStr">
        <is>
          <t>Bombillo incandescente de 15 W</t>
        </is>
      </c>
      <c r="C648" s="7" t="inlineStr">
        <is>
          <t>unidad</t>
        </is>
      </c>
      <c r="D648" s="8" t="n"/>
      <c r="E648" s="8" t="n">
        <v>148</v>
      </c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>
        <f>IF(COUNT(D648:U648)=0,"",MIN(D648:U648))</f>
        <v/>
      </c>
      <c r="W648" s="8">
        <f>IF(COUNT(D648:U648)=0,"",MEDIAN(D648:U648))</f>
        <v/>
      </c>
      <c r="X648" s="8">
        <f>IF(COUNT(D648:U648)=0,"",MAX(D648:U648))</f>
        <v/>
      </c>
      <c r="Y648" s="9">
        <f>IF(OR(V648="",V648=0),"",(X648-V648)/V648)</f>
        <v/>
      </c>
      <c r="Z648" s="7">
        <f>IF(COUNT(D648:U648)=0,"",INDEX($D$1:$U$1,MATCH(MIN(D648:U648),D648:U648,0)))</f>
        <v/>
      </c>
      <c r="AA648" s="8" t="n">
        <v>148</v>
      </c>
      <c r="AB648" s="10" t="n">
        <v>1</v>
      </c>
    </row>
    <row r="649">
      <c r="A649" s="7" t="inlineStr">
        <is>
          <t>MAT-10-035</t>
        </is>
      </c>
      <c r="B649" s="4" t="inlineStr">
        <is>
          <t>Bombillo incandescente de 25 W</t>
        </is>
      </c>
      <c r="C649" s="7" t="inlineStr">
        <is>
          <t>unidad</t>
        </is>
      </c>
      <c r="D649" s="8" t="n"/>
      <c r="E649" s="8" t="n">
        <v>98</v>
      </c>
      <c r="F649" s="8" t="n"/>
      <c r="G649" s="8" t="n"/>
      <c r="H649" s="8" t="n"/>
      <c r="I649" s="8" t="n"/>
      <c r="J649" s="8" t="n"/>
      <c r="K649" s="8" t="n"/>
      <c r="L649" s="8" t="n">
        <v>85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>
        <f>IF(COUNT(D649:U649)=0,"",MIN(D649:U649))</f>
        <v/>
      </c>
      <c r="W649" s="8">
        <f>IF(COUNT(D649:U649)=0,"",MEDIAN(D649:U649))</f>
        <v/>
      </c>
      <c r="X649" s="8">
        <f>IF(COUNT(D649:U649)=0,"",MAX(D649:U649))</f>
        <v/>
      </c>
      <c r="Y649" s="9">
        <f>IF(OR(V649="",V649=0),"",(X649-V649)/V649)</f>
        <v/>
      </c>
      <c r="Z649" s="7">
        <f>IF(COUNT(D649:U649)=0,"",INDEX($D$1:$U$1,MATCH(MIN(D649:U649),D649:U649,0)))</f>
        <v/>
      </c>
      <c r="AA649" s="8" t="n">
        <v>106.5</v>
      </c>
      <c r="AB649" s="10" t="n">
        <v>2</v>
      </c>
    </row>
    <row r="650">
      <c r="A650" s="7" t="inlineStr">
        <is>
          <t>MAT-10-036</t>
        </is>
      </c>
      <c r="B650" s="4" t="inlineStr">
        <is>
          <t>Bombillo incandescente de 250 W</t>
        </is>
      </c>
      <c r="C650" s="7" t="inlineStr">
        <is>
          <t>unidad</t>
        </is>
      </c>
      <c r="D650" s="8" t="n"/>
      <c r="E650" s="8" t="n">
        <v>628</v>
      </c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>
        <f>IF(COUNT(D650:U650)=0,"",MIN(D650:U650))</f>
        <v/>
      </c>
      <c r="W650" s="8">
        <f>IF(COUNT(D650:U650)=0,"",MEDIAN(D650:U650))</f>
        <v/>
      </c>
      <c r="X650" s="8">
        <f>IF(COUNT(D650:U650)=0,"",MAX(D650:U650))</f>
        <v/>
      </c>
      <c r="Y650" s="9">
        <f>IF(OR(V650="",V650=0),"",(X650-V650)/V650)</f>
        <v/>
      </c>
      <c r="Z650" s="7">
        <f>IF(COUNT(D650:U650)=0,"",INDEX($D$1:$U$1,MATCH(MIN(D650:U650),D650:U650,0)))</f>
        <v/>
      </c>
      <c r="AA650" s="8" t="n">
        <v>628</v>
      </c>
      <c r="AB650" s="10" t="n">
        <v>1</v>
      </c>
    </row>
    <row r="651">
      <c r="A651" s="7" t="inlineStr">
        <is>
          <t>MAT-10-037</t>
        </is>
      </c>
      <c r="B651" s="4" t="inlineStr">
        <is>
          <t>Bombillo incandescente de 40 W</t>
        </is>
      </c>
      <c r="C651" s="7" t="inlineStr">
        <is>
          <t>unidad</t>
        </is>
      </c>
      <c r="D651" s="8" t="n"/>
      <c r="E651" s="8" t="n">
        <v>97</v>
      </c>
      <c r="F651" s="8" t="n"/>
      <c r="G651" s="8" t="n"/>
      <c r="H651" s="8" t="n"/>
      <c r="I651" s="8" t="n">
        <v>120</v>
      </c>
      <c r="J651" s="8" t="n"/>
      <c r="K651" s="8" t="n"/>
      <c r="L651" s="8" t="n">
        <v>80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>
        <f>IF(COUNT(D651:U651)=0,"",MIN(D651:U651))</f>
        <v/>
      </c>
      <c r="W651" s="8">
        <f>IF(COUNT(D651:U651)=0,"",MEDIAN(D651:U651))</f>
        <v/>
      </c>
      <c r="X651" s="8">
        <f>IF(COUNT(D651:U651)=0,"",MAX(D651:U651))</f>
        <v/>
      </c>
      <c r="Y651" s="9">
        <f>IF(OR(V651="",V651=0),"",(X651-V651)/V651)</f>
        <v/>
      </c>
      <c r="Z651" s="7">
        <f>IF(COUNT(D651:U651)=0,"",INDEX($D$1:$U$1,MATCH(MIN(D651:U651),D651:U651,0)))</f>
        <v/>
      </c>
      <c r="AA651" s="8" t="n">
        <v>122</v>
      </c>
      <c r="AB651" s="10" t="n">
        <v>3</v>
      </c>
    </row>
    <row r="652">
      <c r="A652" s="7" t="inlineStr">
        <is>
          <t>MAT-10-038</t>
        </is>
      </c>
      <c r="B652" s="4" t="inlineStr">
        <is>
          <t>Bombillo incandescente de 50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235.06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>
        <f>IF(COUNT(D652:U652)=0,"",MIN(D652:U652))</f>
        <v/>
      </c>
      <c r="W652" s="8">
        <f>IF(COUNT(D652:U652)=0,"",MEDIAN(D652:U652))</f>
        <v/>
      </c>
      <c r="X652" s="8">
        <f>IF(COUNT(D652:U652)=0,"",MAX(D652:U652))</f>
        <v/>
      </c>
      <c r="Y652" s="9">
        <f>IF(OR(V652="",V652=0),"",(X652-V652)/V652)</f>
        <v/>
      </c>
      <c r="Z652" s="7">
        <f>IF(COUNT(D652:U652)=0,"",INDEX($D$1:$U$1,MATCH(MIN(D652:U652),D652:U652,0)))</f>
        <v/>
      </c>
      <c r="AA652" s="8" t="n">
        <v>235.06</v>
      </c>
      <c r="AB652" s="10" t="n">
        <v>1</v>
      </c>
    </row>
    <row r="653">
      <c r="A653" s="7" t="inlineStr">
        <is>
          <t>MAT-10-039</t>
        </is>
      </c>
      <c r="B653" s="4" t="inlineStr">
        <is>
          <t>Bombillo incandescente de 75 W</t>
        </is>
      </c>
      <c r="C653" s="7" t="inlineStr">
        <is>
          <t>unidad</t>
        </is>
      </c>
      <c r="D653" s="8" t="n"/>
      <c r="E653" s="8" t="n">
        <v>42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>
        <f>IF(COUNT(D653:U653)=0,"",MIN(D653:U653))</f>
        <v/>
      </c>
      <c r="W653" s="8">
        <f>IF(COUNT(D653:U653)=0,"",MEDIAN(D653:U653))</f>
        <v/>
      </c>
      <c r="X653" s="8">
        <f>IF(COUNT(D653:U653)=0,"",MAX(D653:U653))</f>
        <v/>
      </c>
      <c r="Y653" s="9">
        <f>IF(OR(V653="",V653=0),"",(X653-V653)/V653)</f>
        <v/>
      </c>
      <c r="Z653" s="7">
        <f>IF(COUNT(D653:U653)=0,"",INDEX($D$1:$U$1,MATCH(MIN(D653:U653),D653:U653,0)))</f>
        <v/>
      </c>
      <c r="AA653" s="8" t="n">
        <v>42</v>
      </c>
      <c r="AB653" s="10" t="n">
        <v>1</v>
      </c>
    </row>
    <row r="654">
      <c r="A654" s="7" t="inlineStr">
        <is>
          <t>MAT-10-041</t>
        </is>
      </c>
      <c r="B654" s="4" t="inlineStr">
        <is>
          <t>Bombillo LED de 1.2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40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>
        <f>IF(COUNT(D654:U654)=0,"",MIN(D654:U654))</f>
        <v/>
      </c>
      <c r="W654" s="8">
        <f>IF(COUNT(D654:U654)=0,"",MEDIAN(D654:U654))</f>
        <v/>
      </c>
      <c r="X654" s="8">
        <f>IF(COUNT(D654:U654)=0,"",MAX(D654:U654))</f>
        <v/>
      </c>
      <c r="Y654" s="9">
        <f>IF(OR(V654="",V654=0),"",(X654-V654)/V654)</f>
        <v/>
      </c>
      <c r="Z654" s="7">
        <f>IF(COUNT(D654:U654)=0,"",INDEX($D$1:$U$1,MATCH(MIN(D654:U654),D654:U654,0)))</f>
        <v/>
      </c>
      <c r="AA654" s="8" t="n">
        <v>40</v>
      </c>
      <c r="AB654" s="10" t="n">
        <v>1</v>
      </c>
    </row>
    <row r="655">
      <c r="A655" s="7" t="inlineStr">
        <is>
          <t>MAT-10-042</t>
        </is>
      </c>
      <c r="B655" s="4" t="inlineStr">
        <is>
          <t>Bombillo led de 1.6 W</t>
        </is>
      </c>
      <c r="C655" s="7" t="inlineStr">
        <is>
          <t>unidad</t>
        </is>
      </c>
      <c r="D655" s="8" t="n"/>
      <c r="E655" s="8" t="n">
        <v>530</v>
      </c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>
        <f>IF(COUNT(D655:U655)=0,"",MIN(D655:U655))</f>
        <v/>
      </c>
      <c r="W655" s="8">
        <f>IF(COUNT(D655:U655)=0,"",MEDIAN(D655:U655))</f>
        <v/>
      </c>
      <c r="X655" s="8">
        <f>IF(COUNT(D655:U655)=0,"",MAX(D655:U655))</f>
        <v/>
      </c>
      <c r="Y655" s="9">
        <f>IF(OR(V655="",V655=0),"",(X655-V655)/V655)</f>
        <v/>
      </c>
      <c r="Z655" s="7">
        <f>IF(COUNT(D655:U655)=0,"",INDEX($D$1:$U$1,MATCH(MIN(D655:U655),D655:U655,0)))</f>
        <v/>
      </c>
      <c r="AA655" s="8" t="n">
        <v>648.5</v>
      </c>
      <c r="AB655" s="10" t="n">
        <v>1</v>
      </c>
    </row>
    <row r="656">
      <c r="A656" s="7" t="inlineStr">
        <is>
          <t>MAT-10-043</t>
        </is>
      </c>
      <c r="B656" s="4" t="inlineStr">
        <is>
          <t>Bombillo LED de 10 W</t>
        </is>
      </c>
      <c r="C656" s="7" t="inlineStr">
        <is>
          <t>unidad</t>
        </is>
      </c>
      <c r="D656" s="8" t="n"/>
      <c r="E656" s="8" t="n">
        <v>159</v>
      </c>
      <c r="F656" s="8" t="n"/>
      <c r="G656" s="8" t="n"/>
      <c r="H656" s="8" t="n"/>
      <c r="I656" s="8" t="n">
        <v>215</v>
      </c>
      <c r="J656" s="8" t="n"/>
      <c r="K656" s="8" t="n"/>
      <c r="L656" s="8" t="n">
        <v>170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>
        <f>IF(COUNT(D656:U656)=0,"",MIN(D656:U656))</f>
        <v/>
      </c>
      <c r="W656" s="8">
        <f>IF(COUNT(D656:U656)=0,"",MEDIAN(D656:U656))</f>
        <v/>
      </c>
      <c r="X656" s="8">
        <f>IF(COUNT(D656:U656)=0,"",MAX(D656:U656))</f>
        <v/>
      </c>
      <c r="Y656" s="9">
        <f>IF(OR(V656="",V656=0),"",(X656-V656)/V656)</f>
        <v/>
      </c>
      <c r="Z656" s="7">
        <f>IF(COUNT(D656:U656)=0,"",INDEX($D$1:$U$1,MATCH(MIN(D656:U656),D656:U656,0)))</f>
        <v/>
      </c>
      <c r="AA656" s="8" t="n">
        <v>215</v>
      </c>
      <c r="AB656" s="10" t="n">
        <v>3</v>
      </c>
    </row>
    <row r="657">
      <c r="A657" s="7" t="inlineStr">
        <is>
          <t>MAT-10-044</t>
        </is>
      </c>
      <c r="B657" s="4" t="inlineStr">
        <is>
          <t>Bombillo led de 100 W</t>
        </is>
      </c>
      <c r="C657" s="7" t="inlineStr">
        <is>
          <t>unidad</t>
        </is>
      </c>
      <c r="D657" s="8" t="n"/>
      <c r="E657" s="8" t="n">
        <v>1825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>
        <f>IF(COUNT(D657:U657)=0,"",MIN(D657:U657))</f>
        <v/>
      </c>
      <c r="W657" s="8">
        <f>IF(COUNT(D657:U657)=0,"",MEDIAN(D657:U657))</f>
        <v/>
      </c>
      <c r="X657" s="8">
        <f>IF(COUNT(D657:U657)=0,"",MAX(D657:U657))</f>
        <v/>
      </c>
      <c r="Y657" s="9">
        <f>IF(OR(V657="",V657=0),"",(X657-V657)/V657)</f>
        <v/>
      </c>
      <c r="Z657" s="7">
        <f>IF(COUNT(D657:U657)=0,"",INDEX($D$1:$U$1,MATCH(MIN(D657:U657),D657:U657,0)))</f>
        <v/>
      </c>
      <c r="AA657" s="8" t="n">
        <v>1825</v>
      </c>
      <c r="AB657" s="10" t="n">
        <v>1</v>
      </c>
    </row>
    <row r="658">
      <c r="A658" s="7" t="inlineStr">
        <is>
          <t>MAT-10-045</t>
        </is>
      </c>
      <c r="B658" s="4" t="inlineStr">
        <is>
          <t>Bombillo LED de 11 W</t>
        </is>
      </c>
      <c r="C658" s="7" t="inlineStr">
        <is>
          <t>unidad</t>
        </is>
      </c>
      <c r="D658" s="8" t="n"/>
      <c r="E658" s="8" t="n">
        <v>515</v>
      </c>
      <c r="F658" s="8" t="n"/>
      <c r="G658" s="8" t="n"/>
      <c r="H658" s="8" t="n"/>
      <c r="I658" s="8" t="n"/>
      <c r="J658" s="8" t="n"/>
      <c r="K658" s="8" t="n"/>
      <c r="L658" s="8" t="n">
        <v>190</v>
      </c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>
        <f>IF(COUNT(D658:U658)=0,"",MIN(D658:U658))</f>
        <v/>
      </c>
      <c r="W658" s="8">
        <f>IF(COUNT(D658:U658)=0,"",MEDIAN(D658:U658))</f>
        <v/>
      </c>
      <c r="X658" s="8">
        <f>IF(COUNT(D658:U658)=0,"",MAX(D658:U658))</f>
        <v/>
      </c>
      <c r="Y658" s="9">
        <f>IF(OR(V658="",V658=0),"",(X658-V658)/V658)</f>
        <v/>
      </c>
      <c r="Z658" s="7">
        <f>IF(COUNT(D658:U658)=0,"",INDEX($D$1:$U$1,MATCH(MIN(D658:U658),D658:U658,0)))</f>
        <v/>
      </c>
      <c r="AA658" s="8" t="n">
        <v>515</v>
      </c>
      <c r="AB658" s="10" t="n">
        <v>2</v>
      </c>
    </row>
    <row r="659">
      <c r="A659" s="7" t="inlineStr">
        <is>
          <t>MAT-10-046</t>
        </is>
      </c>
      <c r="B659" s="4" t="inlineStr">
        <is>
          <t>Bombillo LED de 12 W</t>
        </is>
      </c>
      <c r="C659" s="7" t="inlineStr">
        <is>
          <t>unidad</t>
        </is>
      </c>
      <c r="D659" s="8" t="n"/>
      <c r="E659" s="8" t="n">
        <v>75</v>
      </c>
      <c r="F659" s="8" t="n"/>
      <c r="G659" s="8" t="n"/>
      <c r="H659" s="8" t="n"/>
      <c r="I659" s="8" t="n">
        <v>220</v>
      </c>
      <c r="J659" s="8" t="n">
        <v>106</v>
      </c>
      <c r="K659" s="8" t="n"/>
      <c r="L659" s="8" t="n">
        <v>60</v>
      </c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>
        <f>IF(COUNT(D659:U659)=0,"",MIN(D659:U659))</f>
        <v/>
      </c>
      <c r="W659" s="8">
        <f>IF(COUNT(D659:U659)=0,"",MEDIAN(D659:U659))</f>
        <v/>
      </c>
      <c r="X659" s="8">
        <f>IF(COUNT(D659:U659)=0,"",MAX(D659:U659))</f>
        <v/>
      </c>
      <c r="Y659" s="9">
        <f>IF(OR(V659="",V659=0),"",(X659-V659)/V659)</f>
        <v/>
      </c>
      <c r="Z659" s="7">
        <f>IF(COUNT(D659:U659)=0,"",INDEX($D$1:$U$1,MATCH(MIN(D659:U659),D659:U659,0)))</f>
        <v/>
      </c>
      <c r="AA659" s="8" t="n">
        <v>202</v>
      </c>
      <c r="AB659" s="10" t="n">
        <v>4</v>
      </c>
    </row>
    <row r="660">
      <c r="A660" s="7" t="inlineStr">
        <is>
          <t>MAT-10-047</t>
        </is>
      </c>
      <c r="B660" s="4" t="inlineStr">
        <is>
          <t>Bombillo led de 125 W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>
        <v>295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>
        <f>IF(COUNT(D660:U660)=0,"",MIN(D660:U660))</f>
        <v/>
      </c>
      <c r="W660" s="8">
        <f>IF(COUNT(D660:U660)=0,"",MEDIAN(D660:U660))</f>
        <v/>
      </c>
      <c r="X660" s="8">
        <f>IF(COUNT(D660:U660)=0,"",MAX(D660:U660))</f>
        <v/>
      </c>
      <c r="Y660" s="9">
        <f>IF(OR(V660="",V660=0),"",(X660-V660)/V660)</f>
        <v/>
      </c>
      <c r="Z660" s="7">
        <f>IF(COUNT(D660:U660)=0,"",INDEX($D$1:$U$1,MATCH(MIN(D660:U660),D660:U660,0)))</f>
        <v/>
      </c>
      <c r="AA660" s="8" t="n">
        <v>295</v>
      </c>
      <c r="AB660" s="10" t="n">
        <v>1</v>
      </c>
    </row>
    <row r="661">
      <c r="A661" s="7" t="inlineStr">
        <is>
          <t>MAT-10-048</t>
        </is>
      </c>
      <c r="B661" s="4" t="inlineStr">
        <is>
          <t>Bombillo led de 13 W</t>
        </is>
      </c>
      <c r="C661" s="7" t="inlineStr">
        <is>
          <t>unidad</t>
        </is>
      </c>
      <c r="D661" s="8" t="n"/>
      <c r="E661" s="8" t="n">
        <v>245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>
        <f>IF(COUNT(D661:U661)=0,"",MIN(D661:U661))</f>
        <v/>
      </c>
      <c r="W661" s="8">
        <f>IF(COUNT(D661:U661)=0,"",MEDIAN(D661:U661))</f>
        <v/>
      </c>
      <c r="X661" s="8">
        <f>IF(COUNT(D661:U661)=0,"",MAX(D661:U661))</f>
        <v/>
      </c>
      <c r="Y661" s="9">
        <f>IF(OR(V661="",V661=0),"",(X661-V661)/V661)</f>
        <v/>
      </c>
      <c r="Z661" s="7">
        <f>IF(COUNT(D661:U661)=0,"",INDEX($D$1:$U$1,MATCH(MIN(D661:U661),D661:U661,0)))</f>
        <v/>
      </c>
      <c r="AA661" s="8" t="n">
        <v>245</v>
      </c>
      <c r="AB661" s="10" t="n">
        <v>1</v>
      </c>
    </row>
    <row r="662">
      <c r="A662" s="7" t="inlineStr">
        <is>
          <t>MAT-10-049</t>
        </is>
      </c>
      <c r="B662" s="4" t="inlineStr">
        <is>
          <t>Bombillo LED de 14 W</t>
        </is>
      </c>
      <c r="C662" s="7" t="inlineStr">
        <is>
          <t>unidad</t>
        </is>
      </c>
      <c r="D662" s="8" t="n"/>
      <c r="E662" s="8" t="n">
        <v>218</v>
      </c>
      <c r="F662" s="8" t="n"/>
      <c r="G662" s="8" t="n"/>
      <c r="H662" s="8" t="n"/>
      <c r="I662" s="8" t="n">
        <v>69</v>
      </c>
      <c r="J662" s="8" t="n"/>
      <c r="K662" s="8" t="n"/>
      <c r="L662" s="8" t="n">
        <v>240</v>
      </c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>
        <f>IF(COUNT(D662:U662)=0,"",MIN(D662:U662))</f>
        <v/>
      </c>
      <c r="W662" s="8">
        <f>IF(COUNT(D662:U662)=0,"",MEDIAN(D662:U662))</f>
        <v/>
      </c>
      <c r="X662" s="8">
        <f>IF(COUNT(D662:U662)=0,"",MAX(D662:U662))</f>
        <v/>
      </c>
      <c r="Y662" s="9">
        <f>IF(OR(V662="",V662=0),"",(X662-V662)/V662)</f>
        <v/>
      </c>
      <c r="Z662" s="7">
        <f>IF(COUNT(D662:U662)=0,"",INDEX($D$1:$U$1,MATCH(MIN(D662:U662),D662:U662,0)))</f>
        <v/>
      </c>
      <c r="AA662" s="8" t="n">
        <v>240</v>
      </c>
      <c r="AB662" s="10" t="n">
        <v>3</v>
      </c>
    </row>
    <row r="663">
      <c r="A663" s="7" t="inlineStr">
        <is>
          <t>MAT-10-050</t>
        </is>
      </c>
      <c r="B663" s="4" t="inlineStr">
        <is>
          <t>Bombillo LED de 15 W</t>
        </is>
      </c>
      <c r="C663" s="7" t="inlineStr">
        <is>
          <t>unidad</t>
        </is>
      </c>
      <c r="D663" s="8" t="n"/>
      <c r="E663" s="8" t="n">
        <v>35</v>
      </c>
      <c r="F663" s="8" t="n"/>
      <c r="G663" s="8" t="n"/>
      <c r="H663" s="8" t="n"/>
      <c r="I663" s="8" t="n"/>
      <c r="J663" s="8" t="n">
        <v>142</v>
      </c>
      <c r="K663" s="8" t="n"/>
      <c r="L663" s="8" t="n">
        <v>130</v>
      </c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>
        <f>IF(COUNT(D663:U663)=0,"",MIN(D663:U663))</f>
        <v/>
      </c>
      <c r="W663" s="8">
        <f>IF(COUNT(D663:U663)=0,"",MEDIAN(D663:U663))</f>
        <v/>
      </c>
      <c r="X663" s="8">
        <f>IF(COUNT(D663:U663)=0,"",MAX(D663:U663))</f>
        <v/>
      </c>
      <c r="Y663" s="9">
        <f>IF(OR(V663="",V663=0),"",(X663-V663)/V663)</f>
        <v/>
      </c>
      <c r="Z663" s="7">
        <f>IF(COUNT(D663:U663)=0,"",INDEX($D$1:$U$1,MATCH(MIN(D663:U663),D663:U663,0)))</f>
        <v/>
      </c>
      <c r="AA663" s="8" t="n">
        <v>140</v>
      </c>
      <c r="AB663" s="10" t="n">
        <v>3</v>
      </c>
    </row>
    <row r="664">
      <c r="A664" s="7" t="inlineStr">
        <is>
          <t>MAT-10-051</t>
        </is>
      </c>
      <c r="B664" s="4" t="inlineStr">
        <is>
          <t>Bombillo LED de 18 W</t>
        </is>
      </c>
      <c r="C664" s="7" t="inlineStr">
        <is>
          <t>unidad</t>
        </is>
      </c>
      <c r="D664" s="8" t="n"/>
      <c r="E664" s="8" t="n">
        <v>95</v>
      </c>
      <c r="F664" s="8" t="n"/>
      <c r="G664" s="8" t="n"/>
      <c r="H664" s="8" t="n"/>
      <c r="I664" s="8" t="n">
        <v>129</v>
      </c>
      <c r="J664" s="8" t="n"/>
      <c r="K664" s="8" t="n"/>
      <c r="L664" s="8" t="n">
        <v>260</v>
      </c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>
        <f>IF(COUNT(D664:U664)=0,"",MIN(D664:U664))</f>
        <v/>
      </c>
      <c r="W664" s="8">
        <f>IF(COUNT(D664:U664)=0,"",MEDIAN(D664:U664))</f>
        <v/>
      </c>
      <c r="X664" s="8">
        <f>IF(COUNT(D664:U664)=0,"",MAX(D664:U664))</f>
        <v/>
      </c>
      <c r="Y664" s="9">
        <f>IF(OR(V664="",V664=0),"",(X664-V664)/V664)</f>
        <v/>
      </c>
      <c r="Z664" s="7">
        <f>IF(COUNT(D664:U664)=0,"",INDEX($D$1:$U$1,MATCH(MIN(D664:U664),D664:U664,0)))</f>
        <v/>
      </c>
      <c r="AA664" s="8" t="n">
        <v>132</v>
      </c>
      <c r="AB664" s="10" t="n">
        <v>3</v>
      </c>
    </row>
    <row r="665">
      <c r="A665" s="7" t="inlineStr">
        <is>
          <t>MAT-10-052</t>
        </is>
      </c>
      <c r="B665" s="4" t="inlineStr">
        <is>
          <t>Bombillo led de 2 W</t>
        </is>
      </c>
      <c r="C665" s="7" t="inlineStr">
        <is>
          <t>unidad</t>
        </is>
      </c>
      <c r="D665" s="8" t="n"/>
      <c r="E665" s="8" t="n">
        <v>265</v>
      </c>
      <c r="F665" s="8" t="n"/>
      <c r="G665" s="8" t="n"/>
      <c r="H665" s="8" t="n"/>
      <c r="I665" s="8" t="n">
        <v>250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>
        <f>IF(COUNT(D665:U665)=0,"",MIN(D665:U665))</f>
        <v/>
      </c>
      <c r="W665" s="8">
        <f>IF(COUNT(D665:U665)=0,"",MEDIAN(D665:U665))</f>
        <v/>
      </c>
      <c r="X665" s="8">
        <f>IF(COUNT(D665:U665)=0,"",MAX(D665:U665))</f>
        <v/>
      </c>
      <c r="Y665" s="9">
        <f>IF(OR(V665="",V665=0),"",(X665-V665)/V665)</f>
        <v/>
      </c>
      <c r="Z665" s="7">
        <f>IF(COUNT(D665:U665)=0,"",INDEX($D$1:$U$1,MATCH(MIN(D665:U665),D665:U665,0)))</f>
        <v/>
      </c>
      <c r="AA665" s="8" t="n">
        <v>265</v>
      </c>
      <c r="AB665" s="10" t="n">
        <v>2</v>
      </c>
    </row>
    <row r="666">
      <c r="A666" s="7" t="inlineStr">
        <is>
          <t>MAT-10-053</t>
        </is>
      </c>
      <c r="B666" s="4" t="inlineStr">
        <is>
          <t>Bombillo LED de 2.5 W</t>
        </is>
      </c>
      <c r="C666" s="7" t="inlineStr">
        <is>
          <t>unidad</t>
        </is>
      </c>
      <c r="D666" s="8" t="n"/>
      <c r="E666" s="8" t="n">
        <v>265</v>
      </c>
      <c r="F666" s="8" t="n"/>
      <c r="G666" s="8" t="n"/>
      <c r="H666" s="8" t="n"/>
      <c r="I666" s="8" t="n"/>
      <c r="J666" s="8" t="n"/>
      <c r="K666" s="8" t="n"/>
      <c r="L666" s="8" t="n">
        <v>310</v>
      </c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>
        <f>IF(COUNT(D666:U666)=0,"",MIN(D666:U666))</f>
        <v/>
      </c>
      <c r="W666" s="8">
        <f>IF(COUNT(D666:U666)=0,"",MEDIAN(D666:U666))</f>
        <v/>
      </c>
      <c r="X666" s="8">
        <f>IF(COUNT(D666:U666)=0,"",MAX(D666:U666))</f>
        <v/>
      </c>
      <c r="Y666" s="9">
        <f>IF(OR(V666="",V666=0),"",(X666-V666)/V666)</f>
        <v/>
      </c>
      <c r="Z666" s="7">
        <f>IF(COUNT(D666:U666)=0,"",INDEX($D$1:$U$1,MATCH(MIN(D666:U666),D666:U666,0)))</f>
        <v/>
      </c>
      <c r="AA666" s="8" t="n">
        <v>265</v>
      </c>
      <c r="AB666" s="10" t="n">
        <v>2</v>
      </c>
    </row>
    <row r="667">
      <c r="A667" s="7" t="inlineStr">
        <is>
          <t>MAT-10-054</t>
        </is>
      </c>
      <c r="B667" s="4" t="inlineStr">
        <is>
          <t>Bombillo led de 20 W</t>
        </is>
      </c>
      <c r="C667" s="7" t="inlineStr">
        <is>
          <t>unidad</t>
        </is>
      </c>
      <c r="D667" s="8" t="n"/>
      <c r="E667" s="8" t="n">
        <v>215</v>
      </c>
      <c r="F667" s="8" t="n"/>
      <c r="G667" s="8" t="n"/>
      <c r="H667" s="8" t="n"/>
      <c r="I667" s="8" t="n">
        <v>149</v>
      </c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>
        <f>IF(COUNT(D667:U667)=0,"",MIN(D667:U667))</f>
        <v/>
      </c>
      <c r="W667" s="8">
        <f>IF(COUNT(D667:U667)=0,"",MEDIAN(D667:U667))</f>
        <v/>
      </c>
      <c r="X667" s="8">
        <f>IF(COUNT(D667:U667)=0,"",MAX(D667:U667))</f>
        <v/>
      </c>
      <c r="Y667" s="9">
        <f>IF(OR(V667="",V667=0),"",(X667-V667)/V667)</f>
        <v/>
      </c>
      <c r="Z667" s="7">
        <f>IF(COUNT(D667:U667)=0,"",INDEX($D$1:$U$1,MATCH(MIN(D667:U667),D667:U667,0)))</f>
        <v/>
      </c>
      <c r="AA667" s="8" t="n">
        <v>222.5</v>
      </c>
      <c r="AB667" s="10" t="n">
        <v>2</v>
      </c>
    </row>
    <row r="668">
      <c r="A668" s="7" t="inlineStr">
        <is>
          <t>MAT-10-055</t>
        </is>
      </c>
      <c r="B668" s="4" t="inlineStr">
        <is>
          <t>Bombillo led de 25 W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>
        <v>199</v>
      </c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>
        <f>IF(COUNT(D668:U668)=0,"",MIN(D668:U668))</f>
        <v/>
      </c>
      <c r="W668" s="8">
        <f>IF(COUNT(D668:U668)=0,"",MEDIAN(D668:U668))</f>
        <v/>
      </c>
      <c r="X668" s="8">
        <f>IF(COUNT(D668:U668)=0,"",MAX(D668:U668))</f>
        <v/>
      </c>
      <c r="Y668" s="9">
        <f>IF(OR(V668="",V668=0),"",(X668-V668)/V668)</f>
        <v/>
      </c>
      <c r="Z668" s="7">
        <f>IF(COUNT(D668:U668)=0,"",INDEX($D$1:$U$1,MATCH(MIN(D668:U668),D668:U668,0)))</f>
        <v/>
      </c>
      <c r="AA668" s="8" t="n">
        <v>214</v>
      </c>
      <c r="AB668" s="10" t="n">
        <v>1</v>
      </c>
    </row>
    <row r="669">
      <c r="A669" s="7" t="inlineStr">
        <is>
          <t>MAT-10-056</t>
        </is>
      </c>
      <c r="B669" s="4" t="inlineStr">
        <is>
          <t>Bombillo led de 28 W</t>
        </is>
      </c>
      <c r="C669" s="7" t="inlineStr">
        <is>
          <t>unidad</t>
        </is>
      </c>
      <c r="D669" s="8" t="n"/>
      <c r="E669" s="8" t="n">
        <v>455</v>
      </c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>
        <f>IF(COUNT(D669:U669)=0,"",MIN(D669:U669))</f>
        <v/>
      </c>
      <c r="W669" s="8">
        <f>IF(COUNT(D669:U669)=0,"",MEDIAN(D669:U669))</f>
        <v/>
      </c>
      <c r="X669" s="8">
        <f>IF(COUNT(D669:U669)=0,"",MAX(D669:U669))</f>
        <v/>
      </c>
      <c r="Y669" s="9">
        <f>IF(OR(V669="",V669=0),"",(X669-V669)/V669)</f>
        <v/>
      </c>
      <c r="Z669" s="7">
        <f>IF(COUNT(D669:U669)=0,"",INDEX($D$1:$U$1,MATCH(MIN(D669:U669),D669:U669,0)))</f>
        <v/>
      </c>
      <c r="AA669" s="8" t="n">
        <v>455</v>
      </c>
      <c r="AB669" s="10" t="n">
        <v>1</v>
      </c>
    </row>
    <row r="670">
      <c r="A670" s="7" t="inlineStr">
        <is>
          <t>MAT-10-057</t>
        </is>
      </c>
      <c r="B670" s="4" t="inlineStr">
        <is>
          <t>Bombillo LED de 3 W</t>
        </is>
      </c>
      <c r="C670" s="7" t="inlineStr">
        <is>
          <t>unidad</t>
        </is>
      </c>
      <c r="D670" s="8" t="n"/>
      <c r="E670" s="8" t="n">
        <v>195</v>
      </c>
      <c r="F670" s="8" t="n"/>
      <c r="G670" s="8" t="n"/>
      <c r="H670" s="8" t="n"/>
      <c r="I670" s="8" t="n">
        <v>50</v>
      </c>
      <c r="J670" s="8" t="n">
        <v>140</v>
      </c>
      <c r="K670" s="8" t="n"/>
      <c r="L670" s="8" t="n">
        <v>150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>
        <f>IF(COUNT(D670:U670)=0,"",MIN(D670:U670))</f>
        <v/>
      </c>
      <c r="W670" s="8">
        <f>IF(COUNT(D670:U670)=0,"",MEDIAN(D670:U670))</f>
        <v/>
      </c>
      <c r="X670" s="8">
        <f>IF(COUNT(D670:U670)=0,"",MAX(D670:U670))</f>
        <v/>
      </c>
      <c r="Y670" s="9">
        <f>IF(OR(V670="",V670=0),"",(X670-V670)/V670)</f>
        <v/>
      </c>
      <c r="Z670" s="7">
        <f>IF(COUNT(D670:U670)=0,"",INDEX($D$1:$U$1,MATCH(MIN(D670:U670),D670:U670,0)))</f>
        <v/>
      </c>
      <c r="AA670" s="8" t="n">
        <v>150</v>
      </c>
      <c r="AB670" s="10" t="n">
        <v>4</v>
      </c>
    </row>
    <row r="671">
      <c r="A671" s="7" t="inlineStr">
        <is>
          <t>MAT-10-058</t>
        </is>
      </c>
      <c r="B671" s="4" t="inlineStr">
        <is>
          <t>Bombillo led de 3.5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>
        <v>474.36</v>
      </c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>
        <f>IF(COUNT(D671:U671)=0,"",MIN(D671:U671))</f>
        <v/>
      </c>
      <c r="W671" s="8">
        <f>IF(COUNT(D671:U671)=0,"",MEDIAN(D671:U671))</f>
        <v/>
      </c>
      <c r="X671" s="8">
        <f>IF(COUNT(D671:U671)=0,"",MAX(D671:U671))</f>
        <v/>
      </c>
      <c r="Y671" s="9">
        <f>IF(OR(V671="",V671=0),"",(X671-V671)/V671)</f>
        <v/>
      </c>
      <c r="Z671" s="7">
        <f>IF(COUNT(D671:U671)=0,"",INDEX($D$1:$U$1,MATCH(MIN(D671:U671),D671:U671,0)))</f>
        <v/>
      </c>
      <c r="AA671" s="8" t="n">
        <v>474.36</v>
      </c>
      <c r="AB671" s="10" t="n">
        <v>1</v>
      </c>
    </row>
    <row r="672">
      <c r="A672" s="7" t="inlineStr">
        <is>
          <t>MAT-10-059</t>
        </is>
      </c>
      <c r="B672" s="4" t="inlineStr">
        <is>
          <t>Bombillo LED de 30 W</t>
        </is>
      </c>
      <c r="C672" s="7" t="inlineStr">
        <is>
          <t>unidad</t>
        </is>
      </c>
      <c r="D672" s="8" t="n"/>
      <c r="E672" s="8" t="n">
        <v>123</v>
      </c>
      <c r="F672" s="8" t="n"/>
      <c r="G672" s="8" t="n"/>
      <c r="H672" s="8" t="n"/>
      <c r="I672" s="8" t="n"/>
      <c r="J672" s="8" t="n"/>
      <c r="K672" s="8" t="n"/>
      <c r="L672" s="8" t="n">
        <v>595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>
        <f>IF(COUNT(D672:U672)=0,"",MIN(D672:U672))</f>
        <v/>
      </c>
      <c r="W672" s="8">
        <f>IF(COUNT(D672:U672)=0,"",MEDIAN(D672:U672))</f>
        <v/>
      </c>
      <c r="X672" s="8">
        <f>IF(COUNT(D672:U672)=0,"",MAX(D672:U672))</f>
        <v/>
      </c>
      <c r="Y672" s="9">
        <f>IF(OR(V672="",V672=0),"",(X672-V672)/V672)</f>
        <v/>
      </c>
      <c r="Z672" s="7">
        <f>IF(COUNT(D672:U672)=0,"",INDEX($D$1:$U$1,MATCH(MIN(D672:U672),D672:U672,0)))</f>
        <v/>
      </c>
      <c r="AA672" s="8" t="n">
        <v>385</v>
      </c>
      <c r="AB672" s="10" t="n">
        <v>2</v>
      </c>
    </row>
    <row r="673">
      <c r="A673" s="7" t="inlineStr">
        <is>
          <t>MAT-10-060</t>
        </is>
      </c>
      <c r="B673" s="4" t="inlineStr">
        <is>
          <t>Bombillo LED de 35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>
        <v>339</v>
      </c>
      <c r="J673" s="8" t="n"/>
      <c r="K673" s="8" t="n"/>
      <c r="L673" s="8" t="n">
        <v>1195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>
        <f>IF(COUNT(D673:U673)=0,"",MIN(D673:U673))</f>
        <v/>
      </c>
      <c r="W673" s="8">
        <f>IF(COUNT(D673:U673)=0,"",MEDIAN(D673:U673))</f>
        <v/>
      </c>
      <c r="X673" s="8">
        <f>IF(COUNT(D673:U673)=0,"",MAX(D673:U673))</f>
        <v/>
      </c>
      <c r="Y673" s="9">
        <f>IF(OR(V673="",V673=0),"",(X673-V673)/V673)</f>
        <v/>
      </c>
      <c r="Z673" s="7">
        <f>IF(COUNT(D673:U673)=0,"",INDEX($D$1:$U$1,MATCH(MIN(D673:U673),D673:U673,0)))</f>
        <v/>
      </c>
      <c r="AA673" s="8" t="n">
        <v>767</v>
      </c>
      <c r="AB673" s="10" t="n">
        <v>2</v>
      </c>
    </row>
    <row r="674">
      <c r="A674" s="7" t="inlineStr">
        <is>
          <t>MAT-10-061</t>
        </is>
      </c>
      <c r="B674" s="4" t="inlineStr">
        <is>
          <t>Bombillo LED de 4 W</t>
        </is>
      </c>
      <c r="C674" s="7" t="inlineStr">
        <is>
          <t>unidad</t>
        </is>
      </c>
      <c r="D674" s="8" t="n"/>
      <c r="E674" s="8" t="n">
        <v>186</v>
      </c>
      <c r="F674" s="8" t="n"/>
      <c r="G674" s="8" t="n"/>
      <c r="H674" s="8" t="n"/>
      <c r="I674" s="8" t="n"/>
      <c r="J674" s="8" t="n">
        <v>130</v>
      </c>
      <c r="K674" s="8" t="n"/>
      <c r="L674" s="8" t="n">
        <v>64.98999999999999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>
        <f>IF(COUNT(D674:U674)=0,"",MIN(D674:U674))</f>
        <v/>
      </c>
      <c r="W674" s="8">
        <f>IF(COUNT(D674:U674)=0,"",MEDIAN(D674:U674))</f>
        <v/>
      </c>
      <c r="X674" s="8">
        <f>IF(COUNT(D674:U674)=0,"",MAX(D674:U674))</f>
        <v/>
      </c>
      <c r="Y674" s="9">
        <f>IF(OR(V674="",V674=0),"",(X674-V674)/V674)</f>
        <v/>
      </c>
      <c r="Z674" s="7">
        <f>IF(COUNT(D674:U674)=0,"",INDEX($D$1:$U$1,MATCH(MIN(D674:U674),D674:U674,0)))</f>
        <v/>
      </c>
      <c r="AA674" s="8" t="n">
        <v>180</v>
      </c>
      <c r="AB674" s="10" t="n">
        <v>3</v>
      </c>
    </row>
    <row r="675">
      <c r="A675" s="7" t="inlineStr">
        <is>
          <t>MAT-10-062</t>
        </is>
      </c>
      <c r="B675" s="4" t="inlineStr">
        <is>
          <t>Bombillo LED de 4.9 W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>
        <v>105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>
        <f>IF(COUNT(D675:U675)=0,"",MIN(D675:U675))</f>
        <v/>
      </c>
      <c r="W675" s="8">
        <f>IF(COUNT(D675:U675)=0,"",MEDIAN(D675:U675))</f>
        <v/>
      </c>
      <c r="X675" s="8">
        <f>IF(COUNT(D675:U675)=0,"",MAX(D675:U675))</f>
        <v/>
      </c>
      <c r="Y675" s="9">
        <f>IF(OR(V675="",V675=0),"",(X675-V675)/V675)</f>
        <v/>
      </c>
      <c r="Z675" s="7">
        <f>IF(COUNT(D675:U675)=0,"",INDEX($D$1:$U$1,MATCH(MIN(D675:U675),D675:U675,0)))</f>
        <v/>
      </c>
      <c r="AA675" s="8" t="n">
        <v>105</v>
      </c>
      <c r="AB675" s="10" t="n">
        <v>1</v>
      </c>
    </row>
    <row r="676">
      <c r="A676" s="7" t="inlineStr">
        <is>
          <t>MAT-10-063</t>
        </is>
      </c>
      <c r="B676" s="4" t="inlineStr">
        <is>
          <t>Bombillo LED de 40 W</t>
        </is>
      </c>
      <c r="C676" s="7" t="inlineStr">
        <is>
          <t>unidad</t>
        </is>
      </c>
      <c r="D676" s="8" t="n"/>
      <c r="E676" s="8" t="n">
        <v>490</v>
      </c>
      <c r="F676" s="8" t="n"/>
      <c r="G676" s="8" t="n"/>
      <c r="H676" s="8" t="n"/>
      <c r="I676" s="8" t="n">
        <v>470</v>
      </c>
      <c r="J676" s="8" t="n"/>
      <c r="K676" s="8" t="n"/>
      <c r="L676" s="8" t="n">
        <v>709.99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>
        <f>IF(COUNT(D676:U676)=0,"",MIN(D676:U676))</f>
        <v/>
      </c>
      <c r="W676" s="8">
        <f>IF(COUNT(D676:U676)=0,"",MEDIAN(D676:U676))</f>
        <v/>
      </c>
      <c r="X676" s="8">
        <f>IF(COUNT(D676:U676)=0,"",MAX(D676:U676))</f>
        <v/>
      </c>
      <c r="Y676" s="9">
        <f>IF(OR(V676="",V676=0),"",(X676-V676)/V676)</f>
        <v/>
      </c>
      <c r="Z676" s="7">
        <f>IF(COUNT(D676:U676)=0,"",INDEX($D$1:$U$1,MATCH(MIN(D676:U676),D676:U676,0)))</f>
        <v/>
      </c>
      <c r="AA676" s="8" t="n">
        <v>500</v>
      </c>
      <c r="AB676" s="10" t="n">
        <v>3</v>
      </c>
    </row>
    <row r="677">
      <c r="A677" s="7" t="inlineStr">
        <is>
          <t>MAT-10-064</t>
        </is>
      </c>
      <c r="B677" s="4" t="inlineStr">
        <is>
          <t>Bombillo LED de 5 W</t>
        </is>
      </c>
      <c r="C677" s="7" t="inlineStr">
        <is>
          <t>unidad</t>
        </is>
      </c>
      <c r="D677" s="8" t="n"/>
      <c r="E677" s="8" t="n">
        <v>47.45</v>
      </c>
      <c r="F677" s="8" t="n"/>
      <c r="G677" s="8" t="n"/>
      <c r="H677" s="8" t="n"/>
      <c r="I677" s="8" t="n">
        <v>123</v>
      </c>
      <c r="J677" s="8" t="n">
        <v>58</v>
      </c>
      <c r="K677" s="8" t="n"/>
      <c r="L677" s="8" t="n">
        <v>272.01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>
        <f>IF(COUNT(D677:U677)=0,"",MIN(D677:U677))</f>
        <v/>
      </c>
      <c r="W677" s="8">
        <f>IF(COUNT(D677:U677)=0,"",MEDIAN(D677:U677))</f>
        <v/>
      </c>
      <c r="X677" s="8">
        <f>IF(COUNT(D677:U677)=0,"",MAX(D677:U677))</f>
        <v/>
      </c>
      <c r="Y677" s="9">
        <f>IF(OR(V677="",V677=0),"",(X677-V677)/V677)</f>
        <v/>
      </c>
      <c r="Z677" s="7">
        <f>IF(COUNT(D677:U677)=0,"",INDEX($D$1:$U$1,MATCH(MIN(D677:U677),D677:U677,0)))</f>
        <v/>
      </c>
      <c r="AA677" s="8" t="n">
        <v>180</v>
      </c>
      <c r="AB677" s="10" t="n">
        <v>4</v>
      </c>
    </row>
    <row r="678">
      <c r="A678" s="7" t="inlineStr">
        <is>
          <t>MAT-10-065</t>
        </is>
      </c>
      <c r="B678" s="4" t="inlineStr">
        <is>
          <t>Bombillo LED de 50 W</t>
        </is>
      </c>
      <c r="C678" s="7" t="inlineStr">
        <is>
          <t>unidad</t>
        </is>
      </c>
      <c r="D678" s="8" t="n"/>
      <c r="E678" s="8" t="n">
        <v>166</v>
      </c>
      <c r="F678" s="8" t="n"/>
      <c r="G678" s="8" t="n"/>
      <c r="H678" s="8" t="n"/>
      <c r="I678" s="8" t="n"/>
      <c r="J678" s="8" t="n"/>
      <c r="K678" s="8" t="n"/>
      <c r="L678" s="8" t="n">
        <v>990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>
        <f>IF(COUNT(D678:U678)=0,"",MIN(D678:U678))</f>
        <v/>
      </c>
      <c r="W678" s="8">
        <f>IF(COUNT(D678:U678)=0,"",MEDIAN(D678:U678))</f>
        <v/>
      </c>
      <c r="X678" s="8">
        <f>IF(COUNT(D678:U678)=0,"",MAX(D678:U678))</f>
        <v/>
      </c>
      <c r="Y678" s="9">
        <f>IF(OR(V678="",V678=0),"",(X678-V678)/V678)</f>
        <v/>
      </c>
      <c r="Z678" s="7">
        <f>IF(COUNT(D678:U678)=0,"",INDEX($D$1:$U$1,MATCH(MIN(D678:U678),D678:U678,0)))</f>
        <v/>
      </c>
      <c r="AA678" s="8" t="n">
        <v>492.5</v>
      </c>
      <c r="AB678" s="10" t="n">
        <v>2</v>
      </c>
    </row>
    <row r="679">
      <c r="A679" s="7" t="inlineStr">
        <is>
          <t>MAT-10-066</t>
        </is>
      </c>
      <c r="B679" s="4" t="inlineStr">
        <is>
          <t>Bombillo LED de 55 W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>
        <v>1724.99</v>
      </c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>
        <f>IF(COUNT(D679:U679)=0,"",MIN(D679:U679))</f>
        <v/>
      </c>
      <c r="W679" s="8">
        <f>IF(COUNT(D679:U679)=0,"",MEDIAN(D679:U679))</f>
        <v/>
      </c>
      <c r="X679" s="8">
        <f>IF(COUNT(D679:U679)=0,"",MAX(D679:U679))</f>
        <v/>
      </c>
      <c r="Y679" s="9">
        <f>IF(OR(V679="",V679=0),"",(X679-V679)/V679)</f>
        <v/>
      </c>
      <c r="Z679" s="7">
        <f>IF(COUNT(D679:U679)=0,"",INDEX($D$1:$U$1,MATCH(MIN(D679:U679),D679:U679,0)))</f>
        <v/>
      </c>
      <c r="AA679" s="8" t="n">
        <v>1724.99</v>
      </c>
      <c r="AB679" s="10" t="n">
        <v>1</v>
      </c>
    </row>
    <row r="680">
      <c r="A680" s="7" t="inlineStr">
        <is>
          <t>MAT-10-067</t>
        </is>
      </c>
      <c r="B680" s="4" t="inlineStr">
        <is>
          <t>Bombillo LED de 6 W</t>
        </is>
      </c>
      <c r="C680" s="7" t="inlineStr">
        <is>
          <t>unidad</t>
        </is>
      </c>
      <c r="D680" s="8" t="n"/>
      <c r="E680" s="8" t="n">
        <v>65</v>
      </c>
      <c r="F680" s="8" t="n"/>
      <c r="G680" s="8" t="n"/>
      <c r="H680" s="8" t="n"/>
      <c r="I680" s="8" t="n">
        <v>65</v>
      </c>
      <c r="J680" s="8" t="n">
        <v>130</v>
      </c>
      <c r="K680" s="8" t="n"/>
      <c r="L680" s="8" t="n">
        <v>70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>
        <f>IF(COUNT(D680:U680)=0,"",MIN(D680:U680))</f>
        <v/>
      </c>
      <c r="W680" s="8">
        <f>IF(COUNT(D680:U680)=0,"",MEDIAN(D680:U680))</f>
        <v/>
      </c>
      <c r="X680" s="8">
        <f>IF(COUNT(D680:U680)=0,"",MAX(D680:U680))</f>
        <v/>
      </c>
      <c r="Y680" s="9">
        <f>IF(OR(V680="",V680=0),"",(X680-V680)/V680)</f>
        <v/>
      </c>
      <c r="Z680" s="7">
        <f>IF(COUNT(D680:U680)=0,"",INDEX($D$1:$U$1,MATCH(MIN(D680:U680),D680:U680,0)))</f>
        <v/>
      </c>
      <c r="AA680" s="8" t="n">
        <v>185</v>
      </c>
      <c r="AB680" s="10" t="n">
        <v>4</v>
      </c>
    </row>
    <row r="681">
      <c r="A681" s="7" t="inlineStr">
        <is>
          <t>MAT-10-068</t>
        </is>
      </c>
      <c r="B681" s="4" t="inlineStr">
        <is>
          <t>Bombillo led de 6.5 W</t>
        </is>
      </c>
      <c r="C681" s="7" t="inlineStr">
        <is>
          <t>unidad</t>
        </is>
      </c>
      <c r="D681" s="8" t="n"/>
      <c r="E681" s="8" t="n">
        <v>370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>
        <f>IF(COUNT(D681:U681)=0,"",MIN(D681:U681))</f>
        <v/>
      </c>
      <c r="W681" s="8">
        <f>IF(COUNT(D681:U681)=0,"",MEDIAN(D681:U681))</f>
        <v/>
      </c>
      <c r="X681" s="8">
        <f>IF(COUNT(D681:U681)=0,"",MAX(D681:U681))</f>
        <v/>
      </c>
      <c r="Y681" s="9">
        <f>IF(OR(V681="",V681=0),"",(X681-V681)/V681)</f>
        <v/>
      </c>
      <c r="Z681" s="7">
        <f>IF(COUNT(D681:U681)=0,"",INDEX($D$1:$U$1,MATCH(MIN(D681:U681),D681:U681,0)))</f>
        <v/>
      </c>
      <c r="AA681" s="8" t="n">
        <v>370</v>
      </c>
      <c r="AB681" s="10" t="n">
        <v>1</v>
      </c>
    </row>
    <row r="682">
      <c r="A682" s="7" t="inlineStr">
        <is>
          <t>MAT-10-069</t>
        </is>
      </c>
      <c r="B682" s="4" t="inlineStr">
        <is>
          <t>Bombillo led de 65 W</t>
        </is>
      </c>
      <c r="C682" s="7" t="inlineStr">
        <is>
          <t>unidad</t>
        </is>
      </c>
      <c r="D682" s="8" t="n"/>
      <c r="E682" s="8" t="n">
        <v>341</v>
      </c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>
        <f>IF(COUNT(D682:U682)=0,"",MIN(D682:U682))</f>
        <v/>
      </c>
      <c r="W682" s="8">
        <f>IF(COUNT(D682:U682)=0,"",MEDIAN(D682:U682))</f>
        <v/>
      </c>
      <c r="X682" s="8">
        <f>IF(COUNT(D682:U682)=0,"",MAX(D682:U682))</f>
        <v/>
      </c>
      <c r="Y682" s="9">
        <f>IF(OR(V682="",V682=0),"",(X682-V682)/V682)</f>
        <v/>
      </c>
      <c r="Z682" s="7">
        <f>IF(COUNT(D682:U682)=0,"",INDEX($D$1:$U$1,MATCH(MIN(D682:U682),D682:U682,0)))</f>
        <v/>
      </c>
      <c r="AA682" s="8" t="n">
        <v>341</v>
      </c>
      <c r="AB682" s="10" t="n">
        <v>1</v>
      </c>
    </row>
    <row r="683">
      <c r="A683" s="7" t="inlineStr">
        <is>
          <t>MAT-10-070</t>
        </is>
      </c>
      <c r="B683" s="4" t="inlineStr">
        <is>
          <t>Bombillo LED de 7 W</t>
        </is>
      </c>
      <c r="C683" s="7" t="inlineStr">
        <is>
          <t>unidad</t>
        </is>
      </c>
      <c r="D683" s="8" t="n"/>
      <c r="E683" s="8" t="n">
        <v>101</v>
      </c>
      <c r="F683" s="8" t="n"/>
      <c r="G683" s="8" t="n"/>
      <c r="H683" s="8" t="n"/>
      <c r="I683" s="8" t="n"/>
      <c r="J683" s="8" t="n">
        <v>77</v>
      </c>
      <c r="K683" s="8" t="n"/>
      <c r="L683" s="8" t="n">
        <v>105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>
        <f>IF(COUNT(D683:U683)=0,"",MIN(D683:U683))</f>
        <v/>
      </c>
      <c r="W683" s="8">
        <f>IF(COUNT(D683:U683)=0,"",MEDIAN(D683:U683))</f>
        <v/>
      </c>
      <c r="X683" s="8">
        <f>IF(COUNT(D683:U683)=0,"",MAX(D683:U683))</f>
        <v/>
      </c>
      <c r="Y683" s="9">
        <f>IF(OR(V683="",V683=0),"",(X683-V683)/V683)</f>
        <v/>
      </c>
      <c r="Z683" s="7">
        <f>IF(COUNT(D683:U683)=0,"",INDEX($D$1:$U$1,MATCH(MIN(D683:U683),D683:U683,0)))</f>
        <v/>
      </c>
      <c r="AA683" s="8" t="n">
        <v>103</v>
      </c>
      <c r="AB683" s="10" t="n">
        <v>3</v>
      </c>
    </row>
    <row r="684">
      <c r="A684" s="7" t="inlineStr">
        <is>
          <t>MAT-10-071</t>
        </is>
      </c>
      <c r="B684" s="4" t="inlineStr">
        <is>
          <t>Bombillo led de 8 W</t>
        </is>
      </c>
      <c r="C684" s="7" t="inlineStr">
        <is>
          <t>unidad</t>
        </is>
      </c>
      <c r="D684" s="8" t="n"/>
      <c r="E684" s="8" t="n">
        <v>75</v>
      </c>
      <c r="F684" s="8" t="n"/>
      <c r="G684" s="8" t="n"/>
      <c r="H684" s="8" t="n"/>
      <c r="I684" s="8" t="n">
        <v>160</v>
      </c>
      <c r="J684" s="8" t="n">
        <v>341</v>
      </c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>
        <f>IF(COUNT(D684:U684)=0,"",MIN(D684:U684))</f>
        <v/>
      </c>
      <c r="W684" s="8">
        <f>IF(COUNT(D684:U684)=0,"",MEDIAN(D684:U684))</f>
        <v/>
      </c>
      <c r="X684" s="8">
        <f>IF(COUNT(D684:U684)=0,"",MAX(D684:U684))</f>
        <v/>
      </c>
      <c r="Y684" s="9">
        <f>IF(OR(V684="",V684=0),"",(X684-V684)/V684)</f>
        <v/>
      </c>
      <c r="Z684" s="7">
        <f>IF(COUNT(D684:U684)=0,"",INDEX($D$1:$U$1,MATCH(MIN(D684:U684),D684:U684,0)))</f>
        <v/>
      </c>
      <c r="AA684" s="8" t="n">
        <v>220</v>
      </c>
      <c r="AB684" s="10" t="n">
        <v>3</v>
      </c>
    </row>
    <row r="685">
      <c r="A685" s="7" t="inlineStr">
        <is>
          <t>MAT-10-072</t>
        </is>
      </c>
      <c r="B685" s="4" t="inlineStr">
        <is>
          <t>Bombillo LED de 9 W</t>
        </is>
      </c>
      <c r="C685" s="7" t="inlineStr">
        <is>
          <t>unidad</t>
        </is>
      </c>
      <c r="D685" s="8" t="n"/>
      <c r="E685" s="8" t="n">
        <v>77</v>
      </c>
      <c r="F685" s="8" t="n"/>
      <c r="G685" s="8" t="n"/>
      <c r="H685" s="8" t="n"/>
      <c r="I685" s="8" t="n">
        <v>170</v>
      </c>
      <c r="J685" s="8" t="n">
        <v>83</v>
      </c>
      <c r="K685" s="8" t="n"/>
      <c r="L685" s="8" t="n">
        <v>105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>
        <f>IF(COUNT(D685:U685)=0,"",MIN(D685:U685))</f>
        <v/>
      </c>
      <c r="W685" s="8">
        <f>IF(COUNT(D685:U685)=0,"",MEDIAN(D685:U685))</f>
        <v/>
      </c>
      <c r="X685" s="8">
        <f>IF(COUNT(D685:U685)=0,"",MAX(D685:U685))</f>
        <v/>
      </c>
      <c r="Y685" s="9">
        <f>IF(OR(V685="",V685=0),"",(X685-V685)/V685)</f>
        <v/>
      </c>
      <c r="Z685" s="7">
        <f>IF(COUNT(D685:U685)=0,"",INDEX($D$1:$U$1,MATCH(MIN(D685:U685),D685:U685,0)))</f>
        <v/>
      </c>
      <c r="AA685" s="8" t="n">
        <v>105</v>
      </c>
      <c r="AB685" s="10" t="n">
        <v>4</v>
      </c>
    </row>
    <row r="686">
      <c r="A686" s="7" t="inlineStr">
        <is>
          <t>MAT-10-073</t>
        </is>
      </c>
      <c r="B686" s="4" t="inlineStr">
        <is>
          <t>Bombillo led de 9.5 W</t>
        </is>
      </c>
      <c r="C686" s="7" t="inlineStr">
        <is>
          <t>unidad</t>
        </is>
      </c>
      <c r="D686" s="8" t="n"/>
      <c r="E686" s="8" t="n">
        <v>171</v>
      </c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>
        <f>IF(COUNT(D686:U686)=0,"",MIN(D686:U686))</f>
        <v/>
      </c>
      <c r="W686" s="8">
        <f>IF(COUNT(D686:U686)=0,"",MEDIAN(D686:U686))</f>
        <v/>
      </c>
      <c r="X686" s="8">
        <f>IF(COUNT(D686:U686)=0,"",MAX(D686:U686))</f>
        <v/>
      </c>
      <c r="Y686" s="9">
        <f>IF(OR(V686="",V686=0),"",(X686-V686)/V686)</f>
        <v/>
      </c>
      <c r="Z686" s="7">
        <f>IF(COUNT(D686:U686)=0,"",INDEX($D$1:$U$1,MATCH(MIN(D686:U686),D686:U686,0)))</f>
        <v/>
      </c>
      <c r="AA686" s="8" t="n">
        <v>182</v>
      </c>
      <c r="AB686" s="10" t="n">
        <v>1</v>
      </c>
    </row>
    <row r="687">
      <c r="A687" s="7" t="inlineStr">
        <is>
          <t>MAT-10-074</t>
        </is>
      </c>
      <c r="B687" s="4" t="inlineStr">
        <is>
          <t>Panel LED empotrado cuadrado de 18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340.01</v>
      </c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>
        <f>IF(COUNT(D687:U687)=0,"",MIN(D687:U687))</f>
        <v/>
      </c>
      <c r="W687" s="8">
        <f>IF(COUNT(D687:U687)=0,"",MEDIAN(D687:U687))</f>
        <v/>
      </c>
      <c r="X687" s="8">
        <f>IF(COUNT(D687:U687)=0,"",MAX(D687:U687))</f>
        <v/>
      </c>
      <c r="Y687" s="9">
        <f>IF(OR(V687="",V687=0),"",(X687-V687)/V687)</f>
        <v/>
      </c>
      <c r="Z687" s="7">
        <f>IF(COUNT(D687:U687)=0,"",INDEX($D$1:$U$1,MATCH(MIN(D687:U687),D687:U687,0)))</f>
        <v/>
      </c>
      <c r="AA687" s="8" t="n">
        <v>340.01</v>
      </c>
      <c r="AB687" s="10" t="n">
        <v>1</v>
      </c>
    </row>
    <row r="688">
      <c r="A688" s="7" t="inlineStr">
        <is>
          <t>MAT-10-075</t>
        </is>
      </c>
      <c r="B688" s="4" t="inlineStr">
        <is>
          <t>Panel LED empotrado cuadrado de 3 W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>
        <v>240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>
        <f>IF(COUNT(D688:U688)=0,"",MIN(D688:U688))</f>
        <v/>
      </c>
      <c r="W688" s="8">
        <f>IF(COUNT(D688:U688)=0,"",MEDIAN(D688:U688))</f>
        <v/>
      </c>
      <c r="X688" s="8">
        <f>IF(COUNT(D688:U688)=0,"",MAX(D688:U688))</f>
        <v/>
      </c>
      <c r="Y688" s="9">
        <f>IF(OR(V688="",V688=0),"",(X688-V688)/V688)</f>
        <v/>
      </c>
      <c r="Z688" s="7">
        <f>IF(COUNT(D688:U688)=0,"",INDEX($D$1:$U$1,MATCH(MIN(D688:U688),D688:U688,0)))</f>
        <v/>
      </c>
      <c r="AA688" s="8" t="n">
        <v>240</v>
      </c>
      <c r="AB688" s="10" t="n">
        <v>1</v>
      </c>
    </row>
    <row r="689">
      <c r="A689" s="7" t="inlineStr">
        <is>
          <t>MAT-10-076</t>
        </is>
      </c>
      <c r="B689" s="4" t="inlineStr">
        <is>
          <t>Panel LED empotrado redondo de 12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>
        <v>304.99</v>
      </c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>
        <f>IF(COUNT(D689:U689)=0,"",MIN(D689:U689))</f>
        <v/>
      </c>
      <c r="W689" s="8">
        <f>IF(COUNT(D689:U689)=0,"",MEDIAN(D689:U689))</f>
        <v/>
      </c>
      <c r="X689" s="8">
        <f>IF(COUNT(D689:U689)=0,"",MAX(D689:U689))</f>
        <v/>
      </c>
      <c r="Y689" s="9">
        <f>IF(OR(V689="",V689=0),"",(X689-V689)/V689)</f>
        <v/>
      </c>
      <c r="Z689" s="7">
        <f>IF(COUNT(D689:U689)=0,"",INDEX($D$1:$U$1,MATCH(MIN(D689:U689),D689:U689,0)))</f>
        <v/>
      </c>
      <c r="AA689" s="8" t="n">
        <v>304.99</v>
      </c>
      <c r="AB689" s="10" t="n">
        <v>1</v>
      </c>
    </row>
    <row r="690">
      <c r="A690" s="7" t="inlineStr">
        <is>
          <t>MAT-10-077</t>
        </is>
      </c>
      <c r="B690" s="4" t="inlineStr">
        <is>
          <t>Panel LED empotrado redondo de 18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>
        <v>290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>
        <f>IF(COUNT(D690:U690)=0,"",MIN(D690:U690))</f>
        <v/>
      </c>
      <c r="W690" s="8">
        <f>IF(COUNT(D690:U690)=0,"",MEDIAN(D690:U690))</f>
        <v/>
      </c>
      <c r="X690" s="8">
        <f>IF(COUNT(D690:U690)=0,"",MAX(D690:U690))</f>
        <v/>
      </c>
      <c r="Y690" s="9">
        <f>IF(OR(V690="",V690=0),"",(X690-V690)/V690)</f>
        <v/>
      </c>
      <c r="Z690" s="7">
        <f>IF(COUNT(D690:U690)=0,"",INDEX($D$1:$U$1,MATCH(MIN(D690:U690),D690:U690,0)))</f>
        <v/>
      </c>
      <c r="AA690" s="8" t="n">
        <v>290</v>
      </c>
      <c r="AB690" s="10" t="n">
        <v>1</v>
      </c>
    </row>
    <row r="691">
      <c r="A691" s="7" t="inlineStr">
        <is>
          <t>MAT-10-078</t>
        </is>
      </c>
      <c r="B691" s="4" t="inlineStr">
        <is>
          <t>Panel LED empotrado redondo de 24 W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>
        <v>650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>
        <f>IF(COUNT(D691:U691)=0,"",MIN(D691:U691))</f>
        <v/>
      </c>
      <c r="W691" s="8">
        <f>IF(COUNT(D691:U691)=0,"",MEDIAN(D691:U691))</f>
        <v/>
      </c>
      <c r="X691" s="8">
        <f>IF(COUNT(D691:U691)=0,"",MAX(D691:U691))</f>
        <v/>
      </c>
      <c r="Y691" s="9">
        <f>IF(OR(V691="",V691=0),"",(X691-V691)/V691)</f>
        <v/>
      </c>
      <c r="Z691" s="7">
        <f>IF(COUNT(D691:U691)=0,"",INDEX($D$1:$U$1,MATCH(MIN(D691:U691),D691:U691,0)))</f>
        <v/>
      </c>
      <c r="AA691" s="8" t="n">
        <v>650</v>
      </c>
      <c r="AB691" s="10" t="n">
        <v>1</v>
      </c>
    </row>
    <row r="692">
      <c r="A692" s="7" t="inlineStr">
        <is>
          <t>MAT-10-079</t>
        </is>
      </c>
      <c r="B692" s="4" t="inlineStr">
        <is>
          <t>Panel LED empotrar cuadrado de 10 W</t>
        </is>
      </c>
      <c r="C692" s="7" t="inlineStr">
        <is>
          <t>unidad</t>
        </is>
      </c>
      <c r="D692" s="8" t="n"/>
      <c r="E692" s="8" t="n">
        <v>845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>
        <f>IF(COUNT(D692:U692)=0,"",MIN(D692:U692))</f>
        <v/>
      </c>
      <c r="W692" s="8">
        <f>IF(COUNT(D692:U692)=0,"",MEDIAN(D692:U692))</f>
        <v/>
      </c>
      <c r="X692" s="8">
        <f>IF(COUNT(D692:U692)=0,"",MAX(D692:U692))</f>
        <v/>
      </c>
      <c r="Y692" s="9">
        <f>IF(OR(V692="",V692=0),"",(X692-V692)/V692)</f>
        <v/>
      </c>
      <c r="Z692" s="7">
        <f>IF(COUNT(D692:U692)=0,"",INDEX($D$1:$U$1,MATCH(MIN(D692:U692),D692:U692,0)))</f>
        <v/>
      </c>
      <c r="AA692" s="8" t="n">
        <v>845</v>
      </c>
      <c r="AB692" s="10" t="n">
        <v>1</v>
      </c>
    </row>
    <row r="693">
      <c r="A693" s="7" t="inlineStr">
        <is>
          <t>MAT-10-080</t>
        </is>
      </c>
      <c r="B693" s="4" t="inlineStr">
        <is>
          <t>Panel LED empotrar cuadrado de 11.5 W</t>
        </is>
      </c>
      <c r="C693" s="7" t="inlineStr">
        <is>
          <t>unidad</t>
        </is>
      </c>
      <c r="D693" s="8" t="n"/>
      <c r="E693" s="8" t="n">
        <v>465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>
        <f>IF(COUNT(D693:U693)=0,"",MIN(D693:U693))</f>
        <v/>
      </c>
      <c r="W693" s="8">
        <f>IF(COUNT(D693:U693)=0,"",MEDIAN(D693:U693))</f>
        <v/>
      </c>
      <c r="X693" s="8">
        <f>IF(COUNT(D693:U693)=0,"",MAX(D693:U693))</f>
        <v/>
      </c>
      <c r="Y693" s="9">
        <f>IF(OR(V693="",V693=0),"",(X693-V693)/V693)</f>
        <v/>
      </c>
      <c r="Z693" s="7">
        <f>IF(COUNT(D693:U693)=0,"",INDEX($D$1:$U$1,MATCH(MIN(D693:U693),D693:U693,0)))</f>
        <v/>
      </c>
      <c r="AA693" s="8" t="n">
        <v>926</v>
      </c>
      <c r="AB693" s="10" t="n">
        <v>1</v>
      </c>
    </row>
    <row r="694">
      <c r="A694" s="7" t="inlineStr">
        <is>
          <t>MAT-10-081</t>
        </is>
      </c>
      <c r="B694" s="4" t="inlineStr">
        <is>
          <t>Panel LED empotrar cuadrado de 12 W</t>
        </is>
      </c>
      <c r="C694" s="7" t="inlineStr">
        <is>
          <t>unidad</t>
        </is>
      </c>
      <c r="D694" s="8" t="n"/>
      <c r="E694" s="8" t="n">
        <v>170</v>
      </c>
      <c r="F694" s="8" t="n"/>
      <c r="G694" s="8" t="n"/>
      <c r="H694" s="8" t="n"/>
      <c r="I694" s="8" t="n">
        <v>245</v>
      </c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>
        <f>IF(COUNT(D694:U694)=0,"",MIN(D694:U694))</f>
        <v/>
      </c>
      <c r="W694" s="8">
        <f>IF(COUNT(D694:U694)=0,"",MEDIAN(D694:U694))</f>
        <v/>
      </c>
      <c r="X694" s="8">
        <f>IF(COUNT(D694:U694)=0,"",MAX(D694:U694))</f>
        <v/>
      </c>
      <c r="Y694" s="9">
        <f>IF(OR(V694="",V694=0),"",(X694-V694)/V694)</f>
        <v/>
      </c>
      <c r="Z694" s="7">
        <f>IF(COUNT(D694:U694)=0,"",INDEX($D$1:$U$1,MATCH(MIN(D694:U694),D694:U694,0)))</f>
        <v/>
      </c>
      <c r="AA694" s="8" t="n">
        <v>245</v>
      </c>
      <c r="AB694" s="10" t="n">
        <v>2</v>
      </c>
    </row>
    <row r="695">
      <c r="A695" s="7" t="inlineStr">
        <is>
          <t>MAT-10-082</t>
        </is>
      </c>
      <c r="B695" s="4" t="inlineStr">
        <is>
          <t>Panel LED empotrar cuadrado de 15 W</t>
        </is>
      </c>
      <c r="C695" s="7" t="inlineStr">
        <is>
          <t>unidad</t>
        </is>
      </c>
      <c r="D695" s="8" t="n"/>
      <c r="E695" s="8" t="n">
        <v>1764</v>
      </c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>
        <f>IF(COUNT(D695:U695)=0,"",MIN(D695:U695))</f>
        <v/>
      </c>
      <c r="W695" s="8">
        <f>IF(COUNT(D695:U695)=0,"",MEDIAN(D695:U695))</f>
        <v/>
      </c>
      <c r="X695" s="8">
        <f>IF(COUNT(D695:U695)=0,"",MAX(D695:U695))</f>
        <v/>
      </c>
      <c r="Y695" s="9">
        <f>IF(OR(V695="",V695=0),"",(X695-V695)/V695)</f>
        <v/>
      </c>
      <c r="Z695" s="7">
        <f>IF(COUNT(D695:U695)=0,"",INDEX($D$1:$U$1,MATCH(MIN(D695:U695),D695:U695,0)))</f>
        <v/>
      </c>
      <c r="AA695" s="8" t="n">
        <v>1764</v>
      </c>
      <c r="AB695" s="10" t="n">
        <v>1</v>
      </c>
    </row>
    <row r="696">
      <c r="A696" s="7" t="inlineStr">
        <is>
          <t>MAT-10-083</t>
        </is>
      </c>
      <c r="B696" s="4" t="inlineStr">
        <is>
          <t>Panel LED empotrar cuadrado de 18 W</t>
        </is>
      </c>
      <c r="C696" s="7" t="inlineStr">
        <is>
          <t>unidad</t>
        </is>
      </c>
      <c r="D696" s="8" t="n"/>
      <c r="E696" s="8" t="n">
        <v>390</v>
      </c>
      <c r="F696" s="8" t="n"/>
      <c r="G696" s="8" t="n"/>
      <c r="H696" s="8" t="n"/>
      <c r="I696" s="8" t="n">
        <v>349</v>
      </c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>
        <f>IF(COUNT(D696:U696)=0,"",MIN(D696:U696))</f>
        <v/>
      </c>
      <c r="W696" s="8">
        <f>IF(COUNT(D696:U696)=0,"",MEDIAN(D696:U696))</f>
        <v/>
      </c>
      <c r="X696" s="8">
        <f>IF(COUNT(D696:U696)=0,"",MAX(D696:U696))</f>
        <v/>
      </c>
      <c r="Y696" s="9">
        <f>IF(OR(V696="",V696=0),"",(X696-V696)/V696)</f>
        <v/>
      </c>
      <c r="Z696" s="7">
        <f>IF(COUNT(D696:U696)=0,"",INDEX($D$1:$U$1,MATCH(MIN(D696:U696),D696:U696,0)))</f>
        <v/>
      </c>
      <c r="AA696" s="8" t="n">
        <v>439.5</v>
      </c>
      <c r="AB696" s="10" t="n">
        <v>2</v>
      </c>
    </row>
    <row r="697">
      <c r="A697" s="7" t="inlineStr">
        <is>
          <t>MAT-10-084</t>
        </is>
      </c>
      <c r="B697" s="4" t="inlineStr">
        <is>
          <t>Panel LED empotrar cuadrado de 22 W</t>
        </is>
      </c>
      <c r="C697" s="7" t="inlineStr">
        <is>
          <t>unidad</t>
        </is>
      </c>
      <c r="D697" s="8" t="n"/>
      <c r="E697" s="8" t="n">
        <v>665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>
        <f>IF(COUNT(D697:U697)=0,"",MIN(D697:U697))</f>
        <v/>
      </c>
      <c r="W697" s="8">
        <f>IF(COUNT(D697:U697)=0,"",MEDIAN(D697:U697))</f>
        <v/>
      </c>
      <c r="X697" s="8">
        <f>IF(COUNT(D697:U697)=0,"",MAX(D697:U697))</f>
        <v/>
      </c>
      <c r="Y697" s="9">
        <f>IF(OR(V697="",V697=0),"",(X697-V697)/V697)</f>
        <v/>
      </c>
      <c r="Z697" s="7">
        <f>IF(COUNT(D697:U697)=0,"",INDEX($D$1:$U$1,MATCH(MIN(D697:U697),D697:U697,0)))</f>
        <v/>
      </c>
      <c r="AA697" s="8" t="n">
        <v>665</v>
      </c>
      <c r="AB697" s="10" t="n">
        <v>1</v>
      </c>
    </row>
    <row r="698">
      <c r="A698" s="7" t="inlineStr">
        <is>
          <t>MAT-10-085</t>
        </is>
      </c>
      <c r="B698" s="4" t="inlineStr">
        <is>
          <t>Panel LED empotrar cuadrado de 24 W</t>
        </is>
      </c>
      <c r="C698" s="7" t="inlineStr">
        <is>
          <t>unidad</t>
        </is>
      </c>
      <c r="D698" s="8" t="n"/>
      <c r="E698" s="8" t="n">
        <v>699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>
        <f>IF(COUNT(D698:U698)=0,"",MIN(D698:U698))</f>
        <v/>
      </c>
      <c r="W698" s="8">
        <f>IF(COUNT(D698:U698)=0,"",MEDIAN(D698:U698))</f>
        <v/>
      </c>
      <c r="X698" s="8">
        <f>IF(COUNT(D698:U698)=0,"",MAX(D698:U698))</f>
        <v/>
      </c>
      <c r="Y698" s="9">
        <f>IF(OR(V698="",V698=0),"",(X698-V698)/V698)</f>
        <v/>
      </c>
      <c r="Z698" s="7">
        <f>IF(COUNT(D698:U698)=0,"",INDEX($D$1:$U$1,MATCH(MIN(D698:U698),D698:U698,0)))</f>
        <v/>
      </c>
      <c r="AA698" s="8" t="n">
        <v>699</v>
      </c>
      <c r="AB698" s="10" t="n">
        <v>1</v>
      </c>
    </row>
    <row r="699">
      <c r="A699" s="7" t="inlineStr">
        <is>
          <t>MAT-10-086</t>
        </is>
      </c>
      <c r="B699" s="4" t="inlineStr">
        <is>
          <t>Panel LED empotrar cuadrado de 3 W</t>
        </is>
      </c>
      <c r="C699" s="7" t="inlineStr">
        <is>
          <t>unidad</t>
        </is>
      </c>
      <c r="D699" s="8" t="n"/>
      <c r="E699" s="8" t="n">
        <v>265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>
        <f>IF(COUNT(D699:U699)=0,"",MIN(D699:U699))</f>
        <v/>
      </c>
      <c r="W699" s="8">
        <f>IF(COUNT(D699:U699)=0,"",MEDIAN(D699:U699))</f>
        <v/>
      </c>
      <c r="X699" s="8">
        <f>IF(COUNT(D699:U699)=0,"",MAX(D699:U699))</f>
        <v/>
      </c>
      <c r="Y699" s="9">
        <f>IF(OR(V699="",V699=0),"",(X699-V699)/V699)</f>
        <v/>
      </c>
      <c r="Z699" s="7">
        <f>IF(COUNT(D699:U699)=0,"",INDEX($D$1:$U$1,MATCH(MIN(D699:U699),D699:U699,0)))</f>
        <v/>
      </c>
      <c r="AA699" s="8" t="n">
        <v>265</v>
      </c>
      <c r="AB699" s="10" t="n">
        <v>1</v>
      </c>
    </row>
    <row r="700">
      <c r="A700" s="7" t="inlineStr">
        <is>
          <t>MAT-10-087</t>
        </is>
      </c>
      <c r="B700" s="4" t="inlineStr">
        <is>
          <t>Panel LED empotrar cuadrado de 36 W</t>
        </is>
      </c>
      <c r="C700" s="7" t="inlineStr">
        <is>
          <t>unidad</t>
        </is>
      </c>
      <c r="D700" s="8" t="n"/>
      <c r="E700" s="8" t="n">
        <v>1104</v>
      </c>
      <c r="F700" s="8" t="n"/>
      <c r="G700" s="8" t="n"/>
      <c r="H700" s="8" t="n"/>
      <c r="I700" s="8" t="n"/>
      <c r="J700" s="8" t="n">
        <v>1050</v>
      </c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>
        <f>IF(COUNT(D700:U700)=0,"",MIN(D700:U700))</f>
        <v/>
      </c>
      <c r="W700" s="8">
        <f>IF(COUNT(D700:U700)=0,"",MEDIAN(D700:U700))</f>
        <v/>
      </c>
      <c r="X700" s="8">
        <f>IF(COUNT(D700:U700)=0,"",MAX(D700:U700))</f>
        <v/>
      </c>
      <c r="Y700" s="9">
        <f>IF(OR(V700="",V700=0),"",(X700-V700)/V700)</f>
        <v/>
      </c>
      <c r="Z700" s="7">
        <f>IF(COUNT(D700:U700)=0,"",INDEX($D$1:$U$1,MATCH(MIN(D700:U700),D700:U700,0)))</f>
        <v/>
      </c>
      <c r="AA700" s="8" t="n">
        <v>1077</v>
      </c>
      <c r="AB700" s="10" t="n">
        <v>2</v>
      </c>
    </row>
    <row r="701">
      <c r="A701" s="7" t="inlineStr">
        <is>
          <t>MAT-10-088</t>
        </is>
      </c>
      <c r="B701" s="4" t="inlineStr">
        <is>
          <t>Panel LED empotrar cuadrado de 4 W</t>
        </is>
      </c>
      <c r="C701" s="7" t="inlineStr">
        <is>
          <t>unidad</t>
        </is>
      </c>
      <c r="D701" s="8" t="n"/>
      <c r="E701" s="8" t="n">
        <v>245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>
        <f>IF(COUNT(D701:U701)=0,"",MIN(D701:U701))</f>
        <v/>
      </c>
      <c r="W701" s="8">
        <f>IF(COUNT(D701:U701)=0,"",MEDIAN(D701:U701))</f>
        <v/>
      </c>
      <c r="X701" s="8">
        <f>IF(COUNT(D701:U701)=0,"",MAX(D701:U701))</f>
        <v/>
      </c>
      <c r="Y701" s="9">
        <f>IF(OR(V701="",V701=0),"",(X701-V701)/V701)</f>
        <v/>
      </c>
      <c r="Z701" s="7">
        <f>IF(COUNT(D701:U701)=0,"",INDEX($D$1:$U$1,MATCH(MIN(D701:U701),D701:U701,0)))</f>
        <v/>
      </c>
      <c r="AA701" s="8" t="n">
        <v>245</v>
      </c>
      <c r="AB701" s="10" t="n">
        <v>1</v>
      </c>
    </row>
    <row r="702">
      <c r="A702" s="7" t="inlineStr">
        <is>
          <t>MAT-10-089</t>
        </is>
      </c>
      <c r="B702" s="4" t="inlineStr">
        <is>
          <t>Panel LED empotrar cuadrado de 40 W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>
        <v>1150</v>
      </c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>
        <f>IF(COUNT(D702:U702)=0,"",MIN(D702:U702))</f>
        <v/>
      </c>
      <c r="W702" s="8">
        <f>IF(COUNT(D702:U702)=0,"",MEDIAN(D702:U702))</f>
        <v/>
      </c>
      <c r="X702" s="8">
        <f>IF(COUNT(D702:U702)=0,"",MAX(D702:U702))</f>
        <v/>
      </c>
      <c r="Y702" s="9">
        <f>IF(OR(V702="",V702=0),"",(X702-V702)/V702)</f>
        <v/>
      </c>
      <c r="Z702" s="7">
        <f>IF(COUNT(D702:U702)=0,"",INDEX($D$1:$U$1,MATCH(MIN(D702:U702),D702:U702,0)))</f>
        <v/>
      </c>
      <c r="AA702" s="8" t="n">
        <v>1475</v>
      </c>
      <c r="AB702" s="10" t="n">
        <v>1</v>
      </c>
    </row>
    <row r="703">
      <c r="A703" s="7" t="inlineStr">
        <is>
          <t>MAT-10-090</t>
        </is>
      </c>
      <c r="B703" s="4" t="inlineStr">
        <is>
          <t>Panel LED empotrar cuadrado de 6 W</t>
        </is>
      </c>
      <c r="C703" s="7" t="inlineStr">
        <is>
          <t>unidad</t>
        </is>
      </c>
      <c r="D703" s="8" t="n"/>
      <c r="E703" s="8" t="n">
        <v>241</v>
      </c>
      <c r="F703" s="8" t="n"/>
      <c r="G703" s="8" t="n"/>
      <c r="H703" s="8" t="n"/>
      <c r="I703" s="8" t="n">
        <v>159</v>
      </c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>
        <f>IF(COUNT(D703:U703)=0,"",MIN(D703:U703))</f>
        <v/>
      </c>
      <c r="W703" s="8">
        <f>IF(COUNT(D703:U703)=0,"",MEDIAN(D703:U703))</f>
        <v/>
      </c>
      <c r="X703" s="8">
        <f>IF(COUNT(D703:U703)=0,"",MAX(D703:U703))</f>
        <v/>
      </c>
      <c r="Y703" s="9">
        <f>IF(OR(V703="",V703=0),"",(X703-V703)/V703)</f>
        <v/>
      </c>
      <c r="Z703" s="7">
        <f>IF(COUNT(D703:U703)=0,"",INDEX($D$1:$U$1,MATCH(MIN(D703:U703),D703:U703,0)))</f>
        <v/>
      </c>
      <c r="AA703" s="8" t="n">
        <v>241</v>
      </c>
      <c r="AB703" s="10" t="n">
        <v>2</v>
      </c>
    </row>
    <row r="704">
      <c r="A704" s="7" t="inlineStr">
        <is>
          <t>MAT-10-091</t>
        </is>
      </c>
      <c r="B704" s="4" t="inlineStr">
        <is>
          <t>Panel LED empotrar cuadrado de 7 W</t>
        </is>
      </c>
      <c r="C704" s="7" t="inlineStr">
        <is>
          <t>unidad</t>
        </is>
      </c>
      <c r="D704" s="8" t="n"/>
      <c r="E704" s="8" t="n">
        <v>880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>
        <f>IF(COUNT(D704:U704)=0,"",MIN(D704:U704))</f>
        <v/>
      </c>
      <c r="W704" s="8">
        <f>IF(COUNT(D704:U704)=0,"",MEDIAN(D704:U704))</f>
        <v/>
      </c>
      <c r="X704" s="8">
        <f>IF(COUNT(D704:U704)=0,"",MAX(D704:U704))</f>
        <v/>
      </c>
      <c r="Y704" s="9">
        <f>IF(OR(V704="",V704=0),"",(X704-V704)/V704)</f>
        <v/>
      </c>
      <c r="Z704" s="7">
        <f>IF(COUNT(D704:U704)=0,"",INDEX($D$1:$U$1,MATCH(MIN(D704:U704),D704:U704,0)))</f>
        <v/>
      </c>
      <c r="AA704" s="8" t="n">
        <v>895.5</v>
      </c>
      <c r="AB704" s="10" t="n">
        <v>1</v>
      </c>
    </row>
    <row r="705">
      <c r="A705" s="7" t="inlineStr">
        <is>
          <t>MAT-10-092</t>
        </is>
      </c>
      <c r="B705" s="4" t="inlineStr">
        <is>
          <t>Panel LED empotrar cuadrado de 7.8 W</t>
        </is>
      </c>
      <c r="C705" s="7" t="inlineStr">
        <is>
          <t>unidad</t>
        </is>
      </c>
      <c r="D705" s="8" t="n"/>
      <c r="E705" s="8" t="n">
        <v>405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>
        <f>IF(COUNT(D705:U705)=0,"",MIN(D705:U705))</f>
        <v/>
      </c>
      <c r="W705" s="8">
        <f>IF(COUNT(D705:U705)=0,"",MEDIAN(D705:U705))</f>
        <v/>
      </c>
      <c r="X705" s="8">
        <f>IF(COUNT(D705:U705)=0,"",MAX(D705:U705))</f>
        <v/>
      </c>
      <c r="Y705" s="9">
        <f>IF(OR(V705="",V705=0),"",(X705-V705)/V705)</f>
        <v/>
      </c>
      <c r="Z705" s="7">
        <f>IF(COUNT(D705:U705)=0,"",INDEX($D$1:$U$1,MATCH(MIN(D705:U705),D705:U705,0)))</f>
        <v/>
      </c>
      <c r="AA705" s="8" t="n">
        <v>530.5</v>
      </c>
      <c r="AB705" s="10" t="n">
        <v>1</v>
      </c>
    </row>
    <row r="706">
      <c r="A706" s="7" t="inlineStr">
        <is>
          <t>MAT-10-093</t>
        </is>
      </c>
      <c r="B706" s="4" t="inlineStr">
        <is>
          <t>Panel LED empotrar cuadrado de 9 W</t>
        </is>
      </c>
      <c r="C706" s="7" t="inlineStr">
        <is>
          <t>unidad</t>
        </is>
      </c>
      <c r="D706" s="8" t="n"/>
      <c r="E706" s="8" t="n">
        <v>1044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>
        <f>IF(COUNT(D706:U706)=0,"",MIN(D706:U706))</f>
        <v/>
      </c>
      <c r="W706" s="8">
        <f>IF(COUNT(D706:U706)=0,"",MEDIAN(D706:U706))</f>
        <v/>
      </c>
      <c r="X706" s="8">
        <f>IF(COUNT(D706:U706)=0,"",MAX(D706:U706))</f>
        <v/>
      </c>
      <c r="Y706" s="9">
        <f>IF(OR(V706="",V706=0),"",(X706-V706)/V706)</f>
        <v/>
      </c>
      <c r="Z706" s="7">
        <f>IF(COUNT(D706:U706)=0,"",INDEX($D$1:$U$1,MATCH(MIN(D706:U706),D706:U706,0)))</f>
        <v/>
      </c>
      <c r="AA706" s="8" t="n">
        <v>1054</v>
      </c>
      <c r="AB706" s="10" t="n">
        <v>1</v>
      </c>
    </row>
    <row r="707">
      <c r="A707" s="7" t="inlineStr">
        <is>
          <t>MAT-10-094</t>
        </is>
      </c>
      <c r="B707" s="4" t="inlineStr">
        <is>
          <t>Panel LED empotrar redondo de 11.5 W</t>
        </is>
      </c>
      <c r="C707" s="7" t="inlineStr">
        <is>
          <t>unidad</t>
        </is>
      </c>
      <c r="D707" s="8" t="n"/>
      <c r="E707" s="8" t="n">
        <v>465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>
        <f>IF(COUNT(D707:U707)=0,"",MIN(D707:U707))</f>
        <v/>
      </c>
      <c r="W707" s="8">
        <f>IF(COUNT(D707:U707)=0,"",MEDIAN(D707:U707))</f>
        <v/>
      </c>
      <c r="X707" s="8">
        <f>IF(COUNT(D707:U707)=0,"",MAX(D707:U707))</f>
        <v/>
      </c>
      <c r="Y707" s="9">
        <f>IF(OR(V707="",V707=0),"",(X707-V707)/V707)</f>
        <v/>
      </c>
      <c r="Z707" s="7">
        <f>IF(COUNT(D707:U707)=0,"",INDEX($D$1:$U$1,MATCH(MIN(D707:U707),D707:U707,0)))</f>
        <v/>
      </c>
      <c r="AA707" s="8" t="n">
        <v>516.5</v>
      </c>
      <c r="AB707" s="10" t="n">
        <v>1</v>
      </c>
    </row>
    <row r="708">
      <c r="A708" s="7" t="inlineStr">
        <is>
          <t>MAT-10-095</t>
        </is>
      </c>
      <c r="B708" s="4" t="inlineStr">
        <is>
          <t>Panel LED empotrar redondo de 11.6 W</t>
        </is>
      </c>
      <c r="C708" s="7" t="inlineStr">
        <is>
          <t>unidad</t>
        </is>
      </c>
      <c r="D708" s="8" t="n"/>
      <c r="E708" s="8" t="n">
        <v>1552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>
        <f>IF(COUNT(D708:U708)=0,"",MIN(D708:U708))</f>
        <v/>
      </c>
      <c r="W708" s="8">
        <f>IF(COUNT(D708:U708)=0,"",MEDIAN(D708:U708))</f>
        <v/>
      </c>
      <c r="X708" s="8">
        <f>IF(COUNT(D708:U708)=0,"",MAX(D708:U708))</f>
        <v/>
      </c>
      <c r="Y708" s="9">
        <f>IF(OR(V708="",V708=0),"",(X708-V708)/V708)</f>
        <v/>
      </c>
      <c r="Z708" s="7">
        <f>IF(COUNT(D708:U708)=0,"",INDEX($D$1:$U$1,MATCH(MIN(D708:U708),D708:U708,0)))</f>
        <v/>
      </c>
      <c r="AA708" s="8" t="n">
        <v>1552</v>
      </c>
      <c r="AB708" s="10" t="n">
        <v>1</v>
      </c>
    </row>
    <row r="709">
      <c r="A709" s="7" t="inlineStr">
        <is>
          <t>MAT-10-096</t>
        </is>
      </c>
      <c r="B709" s="4" t="inlineStr">
        <is>
          <t>Panel LED empotrar redondo de 12 W</t>
        </is>
      </c>
      <c r="C709" s="7" t="inlineStr">
        <is>
          <t>unidad</t>
        </is>
      </c>
      <c r="D709" s="8" t="n"/>
      <c r="E709" s="8" t="n">
        <v>135</v>
      </c>
      <c r="F709" s="8" t="n"/>
      <c r="G709" s="8" t="n"/>
      <c r="H709" s="8" t="n"/>
      <c r="I709" s="8" t="n">
        <v>219</v>
      </c>
      <c r="J709" s="8" t="n">
        <v>210</v>
      </c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>
        <f>IF(COUNT(D709:U709)=0,"",MIN(D709:U709))</f>
        <v/>
      </c>
      <c r="W709" s="8">
        <f>IF(COUNT(D709:U709)=0,"",MEDIAN(D709:U709))</f>
        <v/>
      </c>
      <c r="X709" s="8">
        <f>IF(COUNT(D709:U709)=0,"",MAX(D709:U709))</f>
        <v/>
      </c>
      <c r="Y709" s="9">
        <f>IF(OR(V709="",V709=0),"",(X709-V709)/V709)</f>
        <v/>
      </c>
      <c r="Z709" s="7">
        <f>IF(COUNT(D709:U709)=0,"",INDEX($D$1:$U$1,MATCH(MIN(D709:U709),D709:U709,0)))</f>
        <v/>
      </c>
      <c r="AA709" s="8" t="n">
        <v>350</v>
      </c>
      <c r="AB709" s="10" t="n">
        <v>3</v>
      </c>
    </row>
    <row r="710">
      <c r="A710" s="7" t="inlineStr">
        <is>
          <t>MAT-10-097</t>
        </is>
      </c>
      <c r="B710" s="4" t="inlineStr">
        <is>
          <t>Panel LED empotrar redondo de 15 W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>
        <v>232</v>
      </c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>
        <f>IF(COUNT(D710:U710)=0,"",MIN(D710:U710))</f>
        <v/>
      </c>
      <c r="W710" s="8">
        <f>IF(COUNT(D710:U710)=0,"",MEDIAN(D710:U710))</f>
        <v/>
      </c>
      <c r="X710" s="8">
        <f>IF(COUNT(D710:U710)=0,"",MAX(D710:U710))</f>
        <v/>
      </c>
      <c r="Y710" s="9">
        <f>IF(OR(V710="",V710=0),"",(X710-V710)/V710)</f>
        <v/>
      </c>
      <c r="Z710" s="7">
        <f>IF(COUNT(D710:U710)=0,"",INDEX($D$1:$U$1,MATCH(MIN(D710:U710),D710:U710,0)))</f>
        <v/>
      </c>
      <c r="AA710" s="8" t="n">
        <v>232</v>
      </c>
      <c r="AB710" s="10" t="n">
        <v>1</v>
      </c>
    </row>
    <row r="711">
      <c r="A711" s="7" t="inlineStr">
        <is>
          <t>MAT-10-098</t>
        </is>
      </c>
      <c r="B711" s="4" t="inlineStr">
        <is>
          <t>Panel LED empotrar redondo de 18 W</t>
        </is>
      </c>
      <c r="C711" s="7" t="inlineStr">
        <is>
          <t>unidad</t>
        </is>
      </c>
      <c r="D711" s="8" t="n"/>
      <c r="E711" s="8" t="n">
        <v>205</v>
      </c>
      <c r="F711" s="8" t="n"/>
      <c r="G711" s="8" t="n"/>
      <c r="H711" s="8" t="n"/>
      <c r="I711" s="8" t="n">
        <v>325</v>
      </c>
      <c r="J711" s="8" t="n">
        <v>310</v>
      </c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>
        <f>IF(COUNT(D711:U711)=0,"",MIN(D711:U711))</f>
        <v/>
      </c>
      <c r="W711" s="8">
        <f>IF(COUNT(D711:U711)=0,"",MEDIAN(D711:U711))</f>
        <v/>
      </c>
      <c r="X711" s="8">
        <f>IF(COUNT(D711:U711)=0,"",MAX(D711:U711))</f>
        <v/>
      </c>
      <c r="Y711" s="9">
        <f>IF(OR(V711="",V711=0),"",(X711-V711)/V711)</f>
        <v/>
      </c>
      <c r="Z711" s="7">
        <f>IF(COUNT(D711:U711)=0,"",INDEX($D$1:$U$1,MATCH(MIN(D711:U711),D711:U711,0)))</f>
        <v/>
      </c>
      <c r="AA711" s="8" t="n">
        <v>381</v>
      </c>
      <c r="AB711" s="10" t="n">
        <v>3</v>
      </c>
    </row>
    <row r="712">
      <c r="A712" s="7" t="inlineStr">
        <is>
          <t>MAT-10-099</t>
        </is>
      </c>
      <c r="B712" s="4" t="inlineStr">
        <is>
          <t>Panel LED empotrar redondo de 22 W</t>
        </is>
      </c>
      <c r="C712" s="7" t="inlineStr">
        <is>
          <t>unidad</t>
        </is>
      </c>
      <c r="D712" s="8" t="n"/>
      <c r="E712" s="8" t="n">
        <v>660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>
        <f>IF(COUNT(D712:U712)=0,"",MIN(D712:U712))</f>
        <v/>
      </c>
      <c r="W712" s="8">
        <f>IF(COUNT(D712:U712)=0,"",MEDIAN(D712:U712))</f>
        <v/>
      </c>
      <c r="X712" s="8">
        <f>IF(COUNT(D712:U712)=0,"",MAX(D712:U712))</f>
        <v/>
      </c>
      <c r="Y712" s="9">
        <f>IF(OR(V712="",V712=0),"",(X712-V712)/V712)</f>
        <v/>
      </c>
      <c r="Z712" s="7">
        <f>IF(COUNT(D712:U712)=0,"",INDEX($D$1:$U$1,MATCH(MIN(D712:U712),D712:U712,0)))</f>
        <v/>
      </c>
      <c r="AA712" s="8" t="n">
        <v>786</v>
      </c>
      <c r="AB712" s="10" t="n">
        <v>1</v>
      </c>
    </row>
    <row r="713">
      <c r="A713" s="7" t="inlineStr">
        <is>
          <t>MAT-10-100</t>
        </is>
      </c>
      <c r="B713" s="4" t="inlineStr">
        <is>
          <t>Panel LED empotrar redondo de 24 W</t>
        </is>
      </c>
      <c r="C713" s="7" t="inlineStr">
        <is>
          <t>unidad</t>
        </is>
      </c>
      <c r="D713" s="8" t="n"/>
      <c r="E713" s="8" t="n">
        <v>295</v>
      </c>
      <c r="F713" s="8" t="n"/>
      <c r="G713" s="8" t="n"/>
      <c r="H713" s="8" t="n"/>
      <c r="I713" s="8" t="n"/>
      <c r="J713" s="8" t="n">
        <v>470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>
        <f>IF(COUNT(D713:U713)=0,"",MIN(D713:U713))</f>
        <v/>
      </c>
      <c r="W713" s="8">
        <f>IF(COUNT(D713:U713)=0,"",MEDIAN(D713:U713))</f>
        <v/>
      </c>
      <c r="X713" s="8">
        <f>IF(COUNT(D713:U713)=0,"",MAX(D713:U713))</f>
        <v/>
      </c>
      <c r="Y713" s="9">
        <f>IF(OR(V713="",V713=0),"",(X713-V713)/V713)</f>
        <v/>
      </c>
      <c r="Z713" s="7">
        <f>IF(COUNT(D713:U713)=0,"",INDEX($D$1:$U$1,MATCH(MIN(D713:U713),D713:U713,0)))</f>
        <v/>
      </c>
      <c r="AA713" s="8" t="n">
        <v>514</v>
      </c>
      <c r="AB713" s="10" t="n">
        <v>2</v>
      </c>
    </row>
    <row r="714">
      <c r="A714" s="7" t="inlineStr">
        <is>
          <t>MAT-10-101</t>
        </is>
      </c>
      <c r="B714" s="4" t="inlineStr">
        <is>
          <t>Panel LED empotrar redondo de 25 W</t>
        </is>
      </c>
      <c r="C714" s="7" t="inlineStr">
        <is>
          <t>unidad</t>
        </is>
      </c>
      <c r="D714" s="8" t="n"/>
      <c r="E714" s="8" t="n">
        <v>630</v>
      </c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>
        <f>IF(COUNT(D714:U714)=0,"",MIN(D714:U714))</f>
        <v/>
      </c>
      <c r="W714" s="8">
        <f>IF(COUNT(D714:U714)=0,"",MEDIAN(D714:U714))</f>
        <v/>
      </c>
      <c r="X714" s="8">
        <f>IF(COUNT(D714:U714)=0,"",MAX(D714:U714))</f>
        <v/>
      </c>
      <c r="Y714" s="9">
        <f>IF(OR(V714="",V714=0),"",(X714-V714)/V714)</f>
        <v/>
      </c>
      <c r="Z714" s="7">
        <f>IF(COUNT(D714:U714)=0,"",INDEX($D$1:$U$1,MATCH(MIN(D714:U714),D714:U714,0)))</f>
        <v/>
      </c>
      <c r="AA714" s="8" t="n">
        <v>646.5</v>
      </c>
      <c r="AB714" s="10" t="n">
        <v>1</v>
      </c>
    </row>
    <row r="715">
      <c r="A715" s="7" t="inlineStr">
        <is>
          <t>MAT-10-102</t>
        </is>
      </c>
      <c r="B715" s="4" t="inlineStr">
        <is>
          <t>Panel LED empotrar redondo de 3 W</t>
        </is>
      </c>
      <c r="C715" s="7" t="inlineStr">
        <is>
          <t>unidad</t>
        </is>
      </c>
      <c r="D715" s="8" t="n"/>
      <c r="E715" s="8" t="n">
        <v>90</v>
      </c>
      <c r="F715" s="8" t="n"/>
      <c r="G715" s="8" t="n"/>
      <c r="H715" s="8" t="n"/>
      <c r="I715" s="8" t="n"/>
      <c r="J715" s="8" t="n">
        <v>120</v>
      </c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>
        <f>IF(COUNT(D715:U715)=0,"",MIN(D715:U715))</f>
        <v/>
      </c>
      <c r="W715" s="8">
        <f>IF(COUNT(D715:U715)=0,"",MEDIAN(D715:U715))</f>
        <v/>
      </c>
      <c r="X715" s="8">
        <f>IF(COUNT(D715:U715)=0,"",MAX(D715:U715))</f>
        <v/>
      </c>
      <c r="Y715" s="9">
        <f>IF(OR(V715="",V715=0),"",(X715-V715)/V715)</f>
        <v/>
      </c>
      <c r="Z715" s="7">
        <f>IF(COUNT(D715:U715)=0,"",INDEX($D$1:$U$1,MATCH(MIN(D715:U715),D715:U715,0)))</f>
        <v/>
      </c>
      <c r="AA715" s="8" t="n">
        <v>142.5</v>
      </c>
      <c r="AB715" s="10" t="n">
        <v>2</v>
      </c>
    </row>
    <row r="716">
      <c r="A716" s="7" t="inlineStr">
        <is>
          <t>MAT-10-103</t>
        </is>
      </c>
      <c r="B716" s="4" t="inlineStr">
        <is>
          <t>Panel LED empotrar redondo de 36 W</t>
        </is>
      </c>
      <c r="C716" s="7" t="inlineStr">
        <is>
          <t>unidad</t>
        </is>
      </c>
      <c r="D716" s="8" t="n"/>
      <c r="E716" s="8" t="n">
        <v>808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>
        <f>IF(COUNT(D716:U716)=0,"",MIN(D716:U716))</f>
        <v/>
      </c>
      <c r="W716" s="8">
        <f>IF(COUNT(D716:U716)=0,"",MEDIAN(D716:U716))</f>
        <v/>
      </c>
      <c r="X716" s="8">
        <f>IF(COUNT(D716:U716)=0,"",MAX(D716:U716))</f>
        <v/>
      </c>
      <c r="Y716" s="9">
        <f>IF(OR(V716="",V716=0),"",(X716-V716)/V716)</f>
        <v/>
      </c>
      <c r="Z716" s="7">
        <f>IF(COUNT(D716:U716)=0,"",INDEX($D$1:$U$1,MATCH(MIN(D716:U716),D716:U716,0)))</f>
        <v/>
      </c>
      <c r="AA716" s="8" t="n">
        <v>808</v>
      </c>
      <c r="AB716" s="10" t="n">
        <v>1</v>
      </c>
    </row>
    <row r="717">
      <c r="A717" s="7" t="inlineStr">
        <is>
          <t>MAT-10-104</t>
        </is>
      </c>
      <c r="B717" s="4" t="inlineStr">
        <is>
          <t>Panel LED empotrar redondo de 4 W</t>
        </is>
      </c>
      <c r="C717" s="7" t="inlineStr">
        <is>
          <t>unidad</t>
        </is>
      </c>
      <c r="D717" s="8" t="n"/>
      <c r="E717" s="8" t="n">
        <v>245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>
        <f>IF(COUNT(D717:U717)=0,"",MIN(D717:U717))</f>
        <v/>
      </c>
      <c r="W717" s="8">
        <f>IF(COUNT(D717:U717)=0,"",MEDIAN(D717:U717))</f>
        <v/>
      </c>
      <c r="X717" s="8">
        <f>IF(COUNT(D717:U717)=0,"",MAX(D717:U717))</f>
        <v/>
      </c>
      <c r="Y717" s="9">
        <f>IF(OR(V717="",V717=0),"",(X717-V717)/V717)</f>
        <v/>
      </c>
      <c r="Z717" s="7">
        <f>IF(COUNT(D717:U717)=0,"",INDEX($D$1:$U$1,MATCH(MIN(D717:U717),D717:U717,0)))</f>
        <v/>
      </c>
      <c r="AA717" s="8" t="n">
        <v>280</v>
      </c>
      <c r="AB717" s="10" t="n">
        <v>1</v>
      </c>
    </row>
    <row r="718">
      <c r="A718" s="7" t="inlineStr">
        <is>
          <t>MAT-10-105</t>
        </is>
      </c>
      <c r="B718" s="4" t="inlineStr">
        <is>
          <t>Panel LED empotrar redondo de 40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>
        <v>1600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>
        <f>IF(COUNT(D718:U718)=0,"",MIN(D718:U718))</f>
        <v/>
      </c>
      <c r="W718" s="8">
        <f>IF(COUNT(D718:U718)=0,"",MEDIAN(D718:U718))</f>
        <v/>
      </c>
      <c r="X718" s="8">
        <f>IF(COUNT(D718:U718)=0,"",MAX(D718:U718))</f>
        <v/>
      </c>
      <c r="Y718" s="9">
        <f>IF(OR(V718="",V718=0),"",(X718-V718)/V718)</f>
        <v/>
      </c>
      <c r="Z718" s="7">
        <f>IF(COUNT(D718:U718)=0,"",INDEX($D$1:$U$1,MATCH(MIN(D718:U718),D718:U718,0)))</f>
        <v/>
      </c>
      <c r="AA718" s="8" t="n">
        <v>1600</v>
      </c>
      <c r="AB718" s="10" t="n">
        <v>1</v>
      </c>
    </row>
    <row r="719">
      <c r="A719" s="7" t="inlineStr">
        <is>
          <t>MAT-10-106</t>
        </is>
      </c>
      <c r="B719" s="4" t="inlineStr">
        <is>
          <t>Panel LED empotrar redondo de 5 W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>
        <v>159</v>
      </c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>
        <f>IF(COUNT(D719:U719)=0,"",MIN(D719:U719))</f>
        <v/>
      </c>
      <c r="W719" s="8">
        <f>IF(COUNT(D719:U719)=0,"",MEDIAN(D719:U719))</f>
        <v/>
      </c>
      <c r="X719" s="8">
        <f>IF(COUNT(D719:U719)=0,"",MAX(D719:U719))</f>
        <v/>
      </c>
      <c r="Y719" s="9">
        <f>IF(OR(V719="",V719=0),"",(X719-V719)/V719)</f>
        <v/>
      </c>
      <c r="Z719" s="7">
        <f>IF(COUNT(D719:U719)=0,"",INDEX($D$1:$U$1,MATCH(MIN(D719:U719),D719:U719,0)))</f>
        <v/>
      </c>
      <c r="AA719" s="8" t="n">
        <v>159</v>
      </c>
      <c r="AB719" s="10" t="n">
        <v>1</v>
      </c>
    </row>
    <row r="720">
      <c r="A720" s="7" t="inlineStr">
        <is>
          <t>MAT-10-107</t>
        </is>
      </c>
      <c r="B720" s="4" t="inlineStr">
        <is>
          <t>Panel LED empotrar redondo de 6 W</t>
        </is>
      </c>
      <c r="C720" s="7" t="inlineStr">
        <is>
          <t>unidad</t>
        </is>
      </c>
      <c r="D720" s="8" t="n"/>
      <c r="E720" s="8" t="n">
        <v>95</v>
      </c>
      <c r="F720" s="8" t="n"/>
      <c r="G720" s="8" t="n"/>
      <c r="H720" s="8" t="n"/>
      <c r="I720" s="8" t="n">
        <v>155</v>
      </c>
      <c r="J720" s="8" t="n">
        <v>185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>
        <f>IF(COUNT(D720:U720)=0,"",MIN(D720:U720))</f>
        <v/>
      </c>
      <c r="W720" s="8">
        <f>IF(COUNT(D720:U720)=0,"",MEDIAN(D720:U720))</f>
        <v/>
      </c>
      <c r="X720" s="8">
        <f>IF(COUNT(D720:U720)=0,"",MAX(D720:U720))</f>
        <v/>
      </c>
      <c r="Y720" s="9">
        <f>IF(OR(V720="",V720=0),"",(X720-V720)/V720)</f>
        <v/>
      </c>
      <c r="Z720" s="7">
        <f>IF(COUNT(D720:U720)=0,"",INDEX($D$1:$U$1,MATCH(MIN(D720:U720),D720:U720,0)))</f>
        <v/>
      </c>
      <c r="AA720" s="8" t="n">
        <v>189</v>
      </c>
      <c r="AB720" s="10" t="n">
        <v>3</v>
      </c>
    </row>
    <row r="721">
      <c r="A721" s="7" t="inlineStr">
        <is>
          <t>MAT-10-108</t>
        </is>
      </c>
      <c r="B721" s="4" t="inlineStr">
        <is>
          <t>Panel LED empotrar redondo de 7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>
        <v>219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>
        <f>IF(COUNT(D721:U721)=0,"",MIN(D721:U721))</f>
        <v/>
      </c>
      <c r="W721" s="8">
        <f>IF(COUNT(D721:U721)=0,"",MEDIAN(D721:U721))</f>
        <v/>
      </c>
      <c r="X721" s="8">
        <f>IF(COUNT(D721:U721)=0,"",MAX(D721:U721))</f>
        <v/>
      </c>
      <c r="Y721" s="9">
        <f>IF(OR(V721="",V721=0),"",(X721-V721)/V721)</f>
        <v/>
      </c>
      <c r="Z721" s="7">
        <f>IF(COUNT(D721:U721)=0,"",INDEX($D$1:$U$1,MATCH(MIN(D721:U721),D721:U721,0)))</f>
        <v/>
      </c>
      <c r="AA721" s="8" t="n">
        <v>219</v>
      </c>
      <c r="AB721" s="10" t="n">
        <v>1</v>
      </c>
    </row>
    <row r="722">
      <c r="A722" s="7" t="inlineStr">
        <is>
          <t>MAT-10-109</t>
        </is>
      </c>
      <c r="B722" s="4" t="inlineStr">
        <is>
          <t>Panel LED empotrar redondo de 7.8 W</t>
        </is>
      </c>
      <c r="C722" s="7" t="inlineStr">
        <is>
          <t>unidad</t>
        </is>
      </c>
      <c r="D722" s="8" t="n"/>
      <c r="E722" s="8" t="n">
        <v>335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>
        <f>IF(COUNT(D722:U722)=0,"",MIN(D722:U722))</f>
        <v/>
      </c>
      <c r="W722" s="8">
        <f>IF(COUNT(D722:U722)=0,"",MEDIAN(D722:U722))</f>
        <v/>
      </c>
      <c r="X722" s="8">
        <f>IF(COUNT(D722:U722)=0,"",MAX(D722:U722))</f>
        <v/>
      </c>
      <c r="Y722" s="9">
        <f>IF(OR(V722="",V722=0),"",(X722-V722)/V722)</f>
        <v/>
      </c>
      <c r="Z722" s="7">
        <f>IF(COUNT(D722:U722)=0,"",INDEX($D$1:$U$1,MATCH(MIN(D722:U722),D722:U722,0)))</f>
        <v/>
      </c>
      <c r="AA722" s="8" t="n">
        <v>385</v>
      </c>
      <c r="AB722" s="10" t="n">
        <v>1</v>
      </c>
    </row>
    <row r="723">
      <c r="A723" s="7" t="inlineStr">
        <is>
          <t>MAT-10-110</t>
        </is>
      </c>
      <c r="B723" s="4" t="inlineStr">
        <is>
          <t>Panel LED empotrar redondo de 8.5 W</t>
        </is>
      </c>
      <c r="C723" s="7" t="inlineStr">
        <is>
          <t>unidad</t>
        </is>
      </c>
      <c r="D723" s="8" t="n"/>
      <c r="E723" s="8" t="n">
        <v>1268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>
        <f>IF(COUNT(D723:U723)=0,"",MIN(D723:U723))</f>
        <v/>
      </c>
      <c r="W723" s="8">
        <f>IF(COUNT(D723:U723)=0,"",MEDIAN(D723:U723))</f>
        <v/>
      </c>
      <c r="X723" s="8">
        <f>IF(COUNT(D723:U723)=0,"",MAX(D723:U723))</f>
        <v/>
      </c>
      <c r="Y723" s="9">
        <f>IF(OR(V723="",V723=0),"",(X723-V723)/V723)</f>
        <v/>
      </c>
      <c r="Z723" s="7">
        <f>IF(COUNT(D723:U723)=0,"",INDEX($D$1:$U$1,MATCH(MIN(D723:U723),D723:U723,0)))</f>
        <v/>
      </c>
      <c r="AA723" s="8" t="n">
        <v>1268</v>
      </c>
      <c r="AB723" s="10" t="n">
        <v>1</v>
      </c>
    </row>
    <row r="724">
      <c r="A724" s="7" t="inlineStr">
        <is>
          <t>MAT-10-111</t>
        </is>
      </c>
      <c r="B724" s="4" t="inlineStr">
        <is>
          <t>Panel LED empotrar redondo de 9 W</t>
        </is>
      </c>
      <c r="C724" s="7" t="inlineStr">
        <is>
          <t>unidad</t>
        </is>
      </c>
      <c r="D724" s="8" t="n"/>
      <c r="E724" s="8" t="n">
        <v>120</v>
      </c>
      <c r="F724" s="8" t="n"/>
      <c r="G724" s="8" t="n"/>
      <c r="H724" s="8" t="n"/>
      <c r="I724" s="8" t="n"/>
      <c r="J724" s="8" t="n">
        <v>200</v>
      </c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>
        <f>IF(COUNT(D724:U724)=0,"",MIN(D724:U724))</f>
        <v/>
      </c>
      <c r="W724" s="8">
        <f>IF(COUNT(D724:U724)=0,"",MEDIAN(D724:U724))</f>
        <v/>
      </c>
      <c r="X724" s="8">
        <f>IF(COUNT(D724:U724)=0,"",MAX(D724:U724))</f>
        <v/>
      </c>
      <c r="Y724" s="9">
        <f>IF(OR(V724="",V724=0),"",(X724-V724)/V724)</f>
        <v/>
      </c>
      <c r="Z724" s="7">
        <f>IF(COUNT(D724:U724)=0,"",INDEX($D$1:$U$1,MATCH(MIN(D724:U724),D724:U724,0)))</f>
        <v/>
      </c>
      <c r="AA724" s="8" t="n">
        <v>310</v>
      </c>
      <c r="AB724" s="10" t="n">
        <v>2</v>
      </c>
    </row>
    <row r="725">
      <c r="A725" s="7" t="inlineStr">
        <is>
          <t>MAT-10-112</t>
        </is>
      </c>
      <c r="B725" s="4" t="inlineStr">
        <is>
          <t>Panel LED empotrar redondo de 9.8 W</t>
        </is>
      </c>
      <c r="C725" s="7" t="inlineStr">
        <is>
          <t>unidad</t>
        </is>
      </c>
      <c r="D725" s="8" t="n"/>
      <c r="E725" s="8" t="n">
        <v>859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>
        <f>IF(COUNT(D725:U725)=0,"",MIN(D725:U725))</f>
        <v/>
      </c>
      <c r="W725" s="8">
        <f>IF(COUNT(D725:U725)=0,"",MEDIAN(D725:U725))</f>
        <v/>
      </c>
      <c r="X725" s="8">
        <f>IF(COUNT(D725:U725)=0,"",MAX(D725:U725))</f>
        <v/>
      </c>
      <c r="Y725" s="9">
        <f>IF(OR(V725="",V725=0),"",(X725-V725)/V725)</f>
        <v/>
      </c>
      <c r="Z725" s="7">
        <f>IF(COUNT(D725:U725)=0,"",INDEX($D$1:$U$1,MATCH(MIN(D725:U725),D725:U725,0)))</f>
        <v/>
      </c>
      <c r="AA725" s="8" t="n">
        <v>859</v>
      </c>
      <c r="AB725" s="10" t="n">
        <v>1</v>
      </c>
    </row>
    <row r="726">
      <c r="A726" s="7" t="inlineStr">
        <is>
          <t>MAT-10-113</t>
        </is>
      </c>
      <c r="B726" s="4" t="inlineStr">
        <is>
          <t>Panel LED sobreponer cuadrado de 10.5 W</t>
        </is>
      </c>
      <c r="C726" s="7" t="inlineStr">
        <is>
          <t>unidad</t>
        </is>
      </c>
      <c r="D726" s="8" t="n"/>
      <c r="E726" s="8" t="n">
        <v>2536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>
        <f>IF(COUNT(D726:U726)=0,"",MIN(D726:U726))</f>
        <v/>
      </c>
      <c r="W726" s="8">
        <f>IF(COUNT(D726:U726)=0,"",MEDIAN(D726:U726))</f>
        <v/>
      </c>
      <c r="X726" s="8">
        <f>IF(COUNT(D726:U726)=0,"",MAX(D726:U726))</f>
        <v/>
      </c>
      <c r="Y726" s="9">
        <f>IF(OR(V726="",V726=0),"",(X726-V726)/V726)</f>
        <v/>
      </c>
      <c r="Z726" s="7">
        <f>IF(COUNT(D726:U726)=0,"",INDEX($D$1:$U$1,MATCH(MIN(D726:U726),D726:U726,0)))</f>
        <v/>
      </c>
      <c r="AA726" s="8" t="n">
        <v>2536</v>
      </c>
      <c r="AB726" s="10" t="n">
        <v>1</v>
      </c>
    </row>
    <row r="727">
      <c r="A727" s="7" t="inlineStr">
        <is>
          <t>MAT-10-114</t>
        </is>
      </c>
      <c r="B727" s="4" t="inlineStr">
        <is>
          <t>Panel LED sobreponer cuadrado de 11.5 W</t>
        </is>
      </c>
      <c r="C727" s="7" t="inlineStr">
        <is>
          <t>unidad</t>
        </is>
      </c>
      <c r="D727" s="8" t="n"/>
      <c r="E727" s="8" t="n">
        <v>535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>
        <f>IF(COUNT(D727:U727)=0,"",MIN(D727:U727))</f>
        <v/>
      </c>
      <c r="W727" s="8">
        <f>IF(COUNT(D727:U727)=0,"",MEDIAN(D727:U727))</f>
        <v/>
      </c>
      <c r="X727" s="8">
        <f>IF(COUNT(D727:U727)=0,"",MAX(D727:U727))</f>
        <v/>
      </c>
      <c r="Y727" s="9">
        <f>IF(OR(V727="",V727=0),"",(X727-V727)/V727)</f>
        <v/>
      </c>
      <c r="Z727" s="7">
        <f>IF(COUNT(D727:U727)=0,"",INDEX($D$1:$U$1,MATCH(MIN(D727:U727),D727:U727,0)))</f>
        <v/>
      </c>
      <c r="AA727" s="8" t="n">
        <v>535</v>
      </c>
      <c r="AB727" s="10" t="n">
        <v>1</v>
      </c>
    </row>
    <row r="728">
      <c r="A728" s="7" t="inlineStr">
        <is>
          <t>MAT-10-115</t>
        </is>
      </c>
      <c r="B728" s="4" t="inlineStr">
        <is>
          <t>Panel LED sobreponer cuadrado de 12 W</t>
        </is>
      </c>
      <c r="C728" s="7" t="inlineStr">
        <is>
          <t>unidad</t>
        </is>
      </c>
      <c r="D728" s="8" t="n"/>
      <c r="E728" s="8" t="n">
        <v>220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>
        <f>IF(COUNT(D728:U728)=0,"",MIN(D728:U728))</f>
        <v/>
      </c>
      <c r="W728" s="8">
        <f>IF(COUNT(D728:U728)=0,"",MEDIAN(D728:U728))</f>
        <v/>
      </c>
      <c r="X728" s="8">
        <f>IF(COUNT(D728:U728)=0,"",MAX(D728:U728))</f>
        <v/>
      </c>
      <c r="Y728" s="9">
        <f>IF(OR(V728="",V728=0),"",(X728-V728)/V728)</f>
        <v/>
      </c>
      <c r="Z728" s="7">
        <f>IF(COUNT(D728:U728)=0,"",INDEX($D$1:$U$1,MATCH(MIN(D728:U728),D728:U728,0)))</f>
        <v/>
      </c>
      <c r="AA728" s="8" t="n">
        <v>390</v>
      </c>
      <c r="AB728" s="10" t="n">
        <v>1</v>
      </c>
    </row>
    <row r="729">
      <c r="A729" s="7" t="inlineStr">
        <is>
          <t>MAT-10-116</t>
        </is>
      </c>
      <c r="B729" s="4" t="inlineStr">
        <is>
          <t>Panel LED sobreponer cuadrado de 18 W</t>
        </is>
      </c>
      <c r="C729" s="7" t="inlineStr">
        <is>
          <t>unidad</t>
        </is>
      </c>
      <c r="D729" s="8" t="n"/>
      <c r="E729" s="8" t="n">
        <v>305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>
        <f>IF(COUNT(D729:U729)=0,"",MIN(D729:U729))</f>
        <v/>
      </c>
      <c r="W729" s="8">
        <f>IF(COUNT(D729:U729)=0,"",MEDIAN(D729:U729))</f>
        <v/>
      </c>
      <c r="X729" s="8">
        <f>IF(COUNT(D729:U729)=0,"",MAX(D729:U729))</f>
        <v/>
      </c>
      <c r="Y729" s="9">
        <f>IF(OR(V729="",V729=0),"",(X729-V729)/V729)</f>
        <v/>
      </c>
      <c r="Z729" s="7">
        <f>IF(COUNT(D729:U729)=0,"",INDEX($D$1:$U$1,MATCH(MIN(D729:U729),D729:U729,0)))</f>
        <v/>
      </c>
      <c r="AA729" s="8" t="n">
        <v>390</v>
      </c>
      <c r="AB729" s="10" t="n">
        <v>1</v>
      </c>
    </row>
    <row r="730">
      <c r="A730" s="7" t="inlineStr">
        <is>
          <t>MAT-10-117</t>
        </is>
      </c>
      <c r="B730" s="4" t="inlineStr">
        <is>
          <t>Panel LED sobreponer cuadrado de 22 W</t>
        </is>
      </c>
      <c r="C730" s="7" t="inlineStr">
        <is>
          <t>unidad</t>
        </is>
      </c>
      <c r="D730" s="8" t="n"/>
      <c r="E730" s="8" t="n">
        <v>760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>
        <f>IF(COUNT(D730:U730)=0,"",MIN(D730:U730))</f>
        <v/>
      </c>
      <c r="W730" s="8">
        <f>IF(COUNT(D730:U730)=0,"",MEDIAN(D730:U730))</f>
        <v/>
      </c>
      <c r="X730" s="8">
        <f>IF(COUNT(D730:U730)=0,"",MAX(D730:U730))</f>
        <v/>
      </c>
      <c r="Y730" s="9">
        <f>IF(OR(V730="",V730=0),"",(X730-V730)/V730)</f>
        <v/>
      </c>
      <c r="Z730" s="7">
        <f>IF(COUNT(D730:U730)=0,"",INDEX($D$1:$U$1,MATCH(MIN(D730:U730),D730:U730,0)))</f>
        <v/>
      </c>
      <c r="AA730" s="8" t="n">
        <v>760</v>
      </c>
      <c r="AB730" s="10" t="n">
        <v>1</v>
      </c>
    </row>
    <row r="731">
      <c r="A731" s="7" t="inlineStr">
        <is>
          <t>MAT-10-118</t>
        </is>
      </c>
      <c r="B731" s="4" t="inlineStr">
        <is>
          <t>Panel LED sobreponer cuadrado de 24 W</t>
        </is>
      </c>
      <c r="C731" s="7" t="inlineStr">
        <is>
          <t>unidad</t>
        </is>
      </c>
      <c r="D731" s="8" t="n"/>
      <c r="E731" s="8" t="n">
        <v>695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>
        <f>IF(COUNT(D731:U731)=0,"",MIN(D731:U731))</f>
        <v/>
      </c>
      <c r="W731" s="8">
        <f>IF(COUNT(D731:U731)=0,"",MEDIAN(D731:U731))</f>
        <v/>
      </c>
      <c r="X731" s="8">
        <f>IF(COUNT(D731:U731)=0,"",MAX(D731:U731))</f>
        <v/>
      </c>
      <c r="Y731" s="9">
        <f>IF(OR(V731="",V731=0),"",(X731-V731)/V731)</f>
        <v/>
      </c>
      <c r="Z731" s="7">
        <f>IF(COUNT(D731:U731)=0,"",INDEX($D$1:$U$1,MATCH(MIN(D731:U731),D731:U731,0)))</f>
        <v/>
      </c>
      <c r="AA731" s="8" t="n">
        <v>695</v>
      </c>
      <c r="AB731" s="10" t="n">
        <v>1</v>
      </c>
    </row>
    <row r="732">
      <c r="A732" s="7" t="inlineStr">
        <is>
          <t>MAT-10-119</t>
        </is>
      </c>
      <c r="B732" s="4" t="inlineStr">
        <is>
          <t>Panel LED sobreponer cuadrado de 36 W</t>
        </is>
      </c>
      <c r="C732" s="7" t="inlineStr">
        <is>
          <t>unidad</t>
        </is>
      </c>
      <c r="D732" s="8" t="n"/>
      <c r="E732" s="8" t="n">
        <v>1242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>
        <f>IF(COUNT(D732:U732)=0,"",MIN(D732:U732))</f>
        <v/>
      </c>
      <c r="W732" s="8">
        <f>IF(COUNT(D732:U732)=0,"",MEDIAN(D732:U732))</f>
        <v/>
      </c>
      <c r="X732" s="8">
        <f>IF(COUNT(D732:U732)=0,"",MAX(D732:U732))</f>
        <v/>
      </c>
      <c r="Y732" s="9">
        <f>IF(OR(V732="",V732=0),"",(X732-V732)/V732)</f>
        <v/>
      </c>
      <c r="Z732" s="7">
        <f>IF(COUNT(D732:U732)=0,"",INDEX($D$1:$U$1,MATCH(MIN(D732:U732),D732:U732,0)))</f>
        <v/>
      </c>
      <c r="AA732" s="8" t="n">
        <v>1242</v>
      </c>
      <c r="AB732" s="10" t="n">
        <v>1</v>
      </c>
    </row>
    <row r="733">
      <c r="A733" s="7" t="inlineStr">
        <is>
          <t>MAT-10-120</t>
        </is>
      </c>
      <c r="B733" s="4" t="inlineStr">
        <is>
          <t>Panel LED sobreponer cuadrado de 6 W</t>
        </is>
      </c>
      <c r="C733" s="7" t="inlineStr">
        <is>
          <t>unidad</t>
        </is>
      </c>
      <c r="D733" s="8" t="n"/>
      <c r="E733" s="8" t="n">
        <v>375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>
        <f>IF(COUNT(D733:U733)=0,"",MIN(D733:U733))</f>
        <v/>
      </c>
      <c r="W733" s="8">
        <f>IF(COUNT(D733:U733)=0,"",MEDIAN(D733:U733))</f>
        <v/>
      </c>
      <c r="X733" s="8">
        <f>IF(COUNT(D733:U733)=0,"",MAX(D733:U733))</f>
        <v/>
      </c>
      <c r="Y733" s="9">
        <f>IF(OR(V733="",V733=0),"",(X733-V733)/V733)</f>
        <v/>
      </c>
      <c r="Z733" s="7">
        <f>IF(COUNT(D733:U733)=0,"",INDEX($D$1:$U$1,MATCH(MIN(D733:U733),D733:U733,0)))</f>
        <v/>
      </c>
      <c r="AA733" s="8" t="n">
        <v>375</v>
      </c>
      <c r="AB733" s="10" t="n">
        <v>1</v>
      </c>
    </row>
    <row r="734">
      <c r="A734" s="7" t="inlineStr">
        <is>
          <t>MAT-10-121</t>
        </is>
      </c>
      <c r="B734" s="4" t="inlineStr">
        <is>
          <t>Panel LED sobreponer redondo de 10.5 W</t>
        </is>
      </c>
      <c r="C734" s="7" t="inlineStr">
        <is>
          <t>unidad</t>
        </is>
      </c>
      <c r="D734" s="8" t="n"/>
      <c r="E734" s="8" t="n">
        <v>1910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>
        <f>IF(COUNT(D734:U734)=0,"",MIN(D734:U734))</f>
        <v/>
      </c>
      <c r="W734" s="8">
        <f>IF(COUNT(D734:U734)=0,"",MEDIAN(D734:U734))</f>
        <v/>
      </c>
      <c r="X734" s="8">
        <f>IF(COUNT(D734:U734)=0,"",MAX(D734:U734))</f>
        <v/>
      </c>
      <c r="Y734" s="9">
        <f>IF(OR(V734="",V734=0),"",(X734-V734)/V734)</f>
        <v/>
      </c>
      <c r="Z734" s="7">
        <f>IF(COUNT(D734:U734)=0,"",INDEX($D$1:$U$1,MATCH(MIN(D734:U734),D734:U734,0)))</f>
        <v/>
      </c>
      <c r="AA734" s="8" t="n">
        <v>2048.5</v>
      </c>
      <c r="AB734" s="10" t="n">
        <v>1</v>
      </c>
    </row>
    <row r="735">
      <c r="A735" s="7" t="inlineStr">
        <is>
          <t>MAT-10-122</t>
        </is>
      </c>
      <c r="B735" s="4" t="inlineStr">
        <is>
          <t>Panel LED sobreponer redondo de 11.5 W</t>
        </is>
      </c>
      <c r="C735" s="7" t="inlineStr">
        <is>
          <t>unidad</t>
        </is>
      </c>
      <c r="D735" s="8" t="n"/>
      <c r="E735" s="8" t="n">
        <v>525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>
        <f>IF(COUNT(D735:U735)=0,"",MIN(D735:U735))</f>
        <v/>
      </c>
      <c r="W735" s="8">
        <f>IF(COUNT(D735:U735)=0,"",MEDIAN(D735:U735))</f>
        <v/>
      </c>
      <c r="X735" s="8">
        <f>IF(COUNT(D735:U735)=0,"",MAX(D735:U735))</f>
        <v/>
      </c>
      <c r="Y735" s="9">
        <f>IF(OR(V735="",V735=0),"",(X735-V735)/V735)</f>
        <v/>
      </c>
      <c r="Z735" s="7">
        <f>IF(COUNT(D735:U735)=0,"",INDEX($D$1:$U$1,MATCH(MIN(D735:U735),D735:U735,0)))</f>
        <v/>
      </c>
      <c r="AA735" s="8" t="n">
        <v>525</v>
      </c>
      <c r="AB735" s="10" t="n">
        <v>1</v>
      </c>
    </row>
    <row r="736">
      <c r="A736" s="7" t="inlineStr">
        <is>
          <t>MAT-10-123</t>
        </is>
      </c>
      <c r="B736" s="4" t="inlineStr">
        <is>
          <t>Panel LED sobreponer redondo de 12 W</t>
        </is>
      </c>
      <c r="C736" s="7" t="inlineStr">
        <is>
          <t>unidad</t>
        </is>
      </c>
      <c r="D736" s="8" t="n"/>
      <c r="E736" s="8" t="n">
        <v>175</v>
      </c>
      <c r="F736" s="8" t="n"/>
      <c r="G736" s="8" t="n"/>
      <c r="H736" s="8" t="n"/>
      <c r="I736" s="8" t="n">
        <v>269</v>
      </c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>
        <f>IF(COUNT(D736:U736)=0,"",MIN(D736:U736))</f>
        <v/>
      </c>
      <c r="W736" s="8">
        <f>IF(COUNT(D736:U736)=0,"",MEDIAN(D736:U736))</f>
        <v/>
      </c>
      <c r="X736" s="8">
        <f>IF(COUNT(D736:U736)=0,"",MAX(D736:U736))</f>
        <v/>
      </c>
      <c r="Y736" s="9">
        <f>IF(OR(V736="",V736=0),"",(X736-V736)/V736)</f>
        <v/>
      </c>
      <c r="Z736" s="7">
        <f>IF(COUNT(D736:U736)=0,"",INDEX($D$1:$U$1,MATCH(MIN(D736:U736),D736:U736,0)))</f>
        <v/>
      </c>
      <c r="AA736" s="8" t="n">
        <v>343</v>
      </c>
      <c r="AB736" s="10" t="n">
        <v>2</v>
      </c>
    </row>
    <row r="737">
      <c r="A737" s="7" t="inlineStr">
        <is>
          <t>MAT-10-124</t>
        </is>
      </c>
      <c r="B737" s="4" t="inlineStr">
        <is>
          <t>Panel LED sobreponer redondo de 18 W</t>
        </is>
      </c>
      <c r="C737" s="7" t="inlineStr">
        <is>
          <t>unidad</t>
        </is>
      </c>
      <c r="D737" s="8" t="n"/>
      <c r="E737" s="8" t="n">
        <v>235</v>
      </c>
      <c r="F737" s="8" t="n"/>
      <c r="G737" s="8" t="n"/>
      <c r="H737" s="8" t="n"/>
      <c r="I737" s="8" t="n">
        <v>345</v>
      </c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>
        <f>IF(COUNT(D737:U737)=0,"",MIN(D737:U737))</f>
        <v/>
      </c>
      <c r="W737" s="8">
        <f>IF(COUNT(D737:U737)=0,"",MEDIAN(D737:U737))</f>
        <v/>
      </c>
      <c r="X737" s="8">
        <f>IF(COUNT(D737:U737)=0,"",MAX(D737:U737))</f>
        <v/>
      </c>
      <c r="Y737" s="9">
        <f>IF(OR(V737="",V737=0),"",(X737-V737)/V737)</f>
        <v/>
      </c>
      <c r="Z737" s="7">
        <f>IF(COUNT(D737:U737)=0,"",INDEX($D$1:$U$1,MATCH(MIN(D737:U737),D737:U737,0)))</f>
        <v/>
      </c>
      <c r="AA737" s="8" t="n">
        <v>464</v>
      </c>
      <c r="AB737" s="10" t="n">
        <v>2</v>
      </c>
    </row>
    <row r="738">
      <c r="A738" s="7" t="inlineStr">
        <is>
          <t>MAT-10-125</t>
        </is>
      </c>
      <c r="B738" s="4" t="inlineStr">
        <is>
          <t>Panel LED sobreponer redondo de 22 W</t>
        </is>
      </c>
      <c r="C738" s="7" t="inlineStr">
        <is>
          <t>unidad</t>
        </is>
      </c>
      <c r="D738" s="8" t="n"/>
      <c r="E738" s="8" t="n">
        <v>735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>
        <f>IF(COUNT(D738:U738)=0,"",MIN(D738:U738))</f>
        <v/>
      </c>
      <c r="W738" s="8">
        <f>IF(COUNT(D738:U738)=0,"",MEDIAN(D738:U738))</f>
        <v/>
      </c>
      <c r="X738" s="8">
        <f>IF(COUNT(D738:U738)=0,"",MAX(D738:U738))</f>
        <v/>
      </c>
      <c r="Y738" s="9">
        <f>IF(OR(V738="",V738=0),"",(X738-V738)/V738)</f>
        <v/>
      </c>
      <c r="Z738" s="7">
        <f>IF(COUNT(D738:U738)=0,"",INDEX($D$1:$U$1,MATCH(MIN(D738:U738),D738:U738,0)))</f>
        <v/>
      </c>
      <c r="AA738" s="8" t="n">
        <v>780</v>
      </c>
      <c r="AB738" s="10" t="n">
        <v>1</v>
      </c>
    </row>
    <row r="739">
      <c r="A739" s="7" t="inlineStr">
        <is>
          <t>MAT-10-126</t>
        </is>
      </c>
      <c r="B739" s="4" t="inlineStr">
        <is>
          <t>Panel LED sobreponer redondo de 24 W</t>
        </is>
      </c>
      <c r="C739" s="7" t="inlineStr">
        <is>
          <t>unidad</t>
        </is>
      </c>
      <c r="D739" s="8" t="n"/>
      <c r="E739" s="8" t="n">
        <v>390</v>
      </c>
      <c r="F739" s="8" t="n"/>
      <c r="G739" s="8" t="n"/>
      <c r="H739" s="8" t="n"/>
      <c r="I739" s="8" t="n">
        <v>519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>
        <f>IF(COUNT(D739:U739)=0,"",MIN(D739:U739))</f>
        <v/>
      </c>
      <c r="W739" s="8">
        <f>IF(COUNT(D739:U739)=0,"",MEDIAN(D739:U739))</f>
        <v/>
      </c>
      <c r="X739" s="8">
        <f>IF(COUNT(D739:U739)=0,"",MAX(D739:U739))</f>
        <v/>
      </c>
      <c r="Y739" s="9">
        <f>IF(OR(V739="",V739=0),"",(X739-V739)/V739)</f>
        <v/>
      </c>
      <c r="Z739" s="7">
        <f>IF(COUNT(D739:U739)=0,"",INDEX($D$1:$U$1,MATCH(MIN(D739:U739),D739:U739,0)))</f>
        <v/>
      </c>
      <c r="AA739" s="8" t="n">
        <v>519</v>
      </c>
      <c r="AB739" s="10" t="n">
        <v>2</v>
      </c>
    </row>
    <row r="740">
      <c r="A740" s="7" t="inlineStr">
        <is>
          <t>MAT-10-127</t>
        </is>
      </c>
      <c r="B740" s="4" t="inlineStr">
        <is>
          <t>Panel LED sobreponer redondo de 25 W</t>
        </is>
      </c>
      <c r="C740" s="7" t="inlineStr">
        <is>
          <t>unidad</t>
        </is>
      </c>
      <c r="D740" s="8" t="n"/>
      <c r="E740" s="8" t="n">
        <v>595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>
        <f>IF(COUNT(D740:U740)=0,"",MIN(D740:U740))</f>
        <v/>
      </c>
      <c r="W740" s="8">
        <f>IF(COUNT(D740:U740)=0,"",MEDIAN(D740:U740))</f>
        <v/>
      </c>
      <c r="X740" s="8">
        <f>IF(COUNT(D740:U740)=0,"",MAX(D740:U740))</f>
        <v/>
      </c>
      <c r="Y740" s="9">
        <f>IF(OR(V740="",V740=0),"",(X740-V740)/V740)</f>
        <v/>
      </c>
      <c r="Z740" s="7">
        <f>IF(COUNT(D740:U740)=0,"",INDEX($D$1:$U$1,MATCH(MIN(D740:U740),D740:U740,0)))</f>
        <v/>
      </c>
      <c r="AA740" s="8" t="n">
        <v>595</v>
      </c>
      <c r="AB740" s="10" t="n">
        <v>1</v>
      </c>
    </row>
    <row r="741">
      <c r="A741" s="7" t="inlineStr">
        <is>
          <t>MAT-10-128</t>
        </is>
      </c>
      <c r="B741" s="4" t="inlineStr">
        <is>
          <t>Panel LED sobreponer redondo de 36 W</t>
        </is>
      </c>
      <c r="C741" s="7" t="inlineStr">
        <is>
          <t>unidad</t>
        </is>
      </c>
      <c r="D741" s="8" t="n"/>
      <c r="E741" s="8" t="n">
        <v>1290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>
        <f>IF(COUNT(D741:U741)=0,"",MIN(D741:U741))</f>
        <v/>
      </c>
      <c r="W741" s="8">
        <f>IF(COUNT(D741:U741)=0,"",MEDIAN(D741:U741))</f>
        <v/>
      </c>
      <c r="X741" s="8">
        <f>IF(COUNT(D741:U741)=0,"",MAX(D741:U741))</f>
        <v/>
      </c>
      <c r="Y741" s="9">
        <f>IF(OR(V741="",V741=0),"",(X741-V741)/V741)</f>
        <v/>
      </c>
      <c r="Z741" s="7">
        <f>IF(COUNT(D741:U741)=0,"",INDEX($D$1:$U$1,MATCH(MIN(D741:U741),D741:U741,0)))</f>
        <v/>
      </c>
      <c r="AA741" s="8" t="n">
        <v>1290</v>
      </c>
      <c r="AB741" s="10" t="n">
        <v>1</v>
      </c>
    </row>
    <row r="742">
      <c r="A742" s="7" t="inlineStr">
        <is>
          <t>MAT-10-129</t>
        </is>
      </c>
      <c r="B742" s="4" t="inlineStr">
        <is>
          <t>Panel LED sobreponer redondo de 6 W</t>
        </is>
      </c>
      <c r="C742" s="7" t="inlineStr">
        <is>
          <t>unidad</t>
        </is>
      </c>
      <c r="D742" s="8" t="n"/>
      <c r="E742" s="8" t="n">
        <v>276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>
        <f>IF(COUNT(D742:U742)=0,"",MIN(D742:U742))</f>
        <v/>
      </c>
      <c r="W742" s="8">
        <f>IF(COUNT(D742:U742)=0,"",MEDIAN(D742:U742))</f>
        <v/>
      </c>
      <c r="X742" s="8">
        <f>IF(COUNT(D742:U742)=0,"",MAX(D742:U742))</f>
        <v/>
      </c>
      <c r="Y742" s="9">
        <f>IF(OR(V742="",V742=0),"",(X742-V742)/V742)</f>
        <v/>
      </c>
      <c r="Z742" s="7">
        <f>IF(COUNT(D742:U742)=0,"",INDEX($D$1:$U$1,MATCH(MIN(D742:U742),D742:U742,0)))</f>
        <v/>
      </c>
      <c r="AA742" s="8" t="n">
        <v>327</v>
      </c>
      <c r="AB742" s="10" t="n">
        <v>1</v>
      </c>
    </row>
    <row r="743">
      <c r="A743" s="7" t="inlineStr">
        <is>
          <t>MAT-10-130</t>
        </is>
      </c>
      <c r="B743" s="4" t="inlineStr">
        <is>
          <t>Panel LED sobreponer redondo de 7.8 W</t>
        </is>
      </c>
      <c r="C743" s="7" t="inlineStr">
        <is>
          <t>unidad</t>
        </is>
      </c>
      <c r="D743" s="8" t="n"/>
      <c r="E743" s="8" t="n">
        <v>395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>
        <f>IF(COUNT(D743:U743)=0,"",MIN(D743:U743))</f>
        <v/>
      </c>
      <c r="W743" s="8">
        <f>IF(COUNT(D743:U743)=0,"",MEDIAN(D743:U743))</f>
        <v/>
      </c>
      <c r="X743" s="8">
        <f>IF(COUNT(D743:U743)=0,"",MAX(D743:U743))</f>
        <v/>
      </c>
      <c r="Y743" s="9">
        <f>IF(OR(V743="",V743=0),"",(X743-V743)/V743)</f>
        <v/>
      </c>
      <c r="Z743" s="7">
        <f>IF(COUNT(D743:U743)=0,"",INDEX($D$1:$U$1,MATCH(MIN(D743:U743),D743:U743,0)))</f>
        <v/>
      </c>
      <c r="AA743" s="8" t="n">
        <v>395</v>
      </c>
      <c r="AB743" s="10" t="n">
        <v>1</v>
      </c>
    </row>
    <row r="744">
      <c r="A744" s="7" t="inlineStr">
        <is>
          <t>MAT-10-131</t>
        </is>
      </c>
      <c r="B744" s="4" t="inlineStr">
        <is>
          <t>Luminaria empotrada dirigible cuadrada</t>
        </is>
      </c>
      <c r="C744" s="7" t="inlineStr">
        <is>
          <t>unidad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>
        <v>190</v>
      </c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>
        <f>IF(COUNT(D744:U744)=0,"",MIN(D744:U744))</f>
        <v/>
      </c>
      <c r="W744" s="8">
        <f>IF(COUNT(D744:U744)=0,"",MEDIAN(D744:U744))</f>
        <v/>
      </c>
      <c r="X744" s="8">
        <f>IF(COUNT(D744:U744)=0,"",MAX(D744:U744))</f>
        <v/>
      </c>
      <c r="Y744" s="9">
        <f>IF(OR(V744="",V744=0),"",(X744-V744)/V744)</f>
        <v/>
      </c>
      <c r="Z744" s="7">
        <f>IF(COUNT(D744:U744)=0,"",INDEX($D$1:$U$1,MATCH(MIN(D744:U744),D744:U744,0)))</f>
        <v/>
      </c>
      <c r="AA744" s="8" t="n">
        <v>190</v>
      </c>
      <c r="AB744" s="10" t="n">
        <v>1</v>
      </c>
    </row>
    <row r="745">
      <c r="A745" s="7" t="inlineStr">
        <is>
          <t>MAT-10-132</t>
        </is>
      </c>
      <c r="B745" s="4" t="inlineStr">
        <is>
          <t>Luminaria empotrada dirigible redonda</t>
        </is>
      </c>
      <c r="C745" s="7" t="inlineStr">
        <is>
          <t>unidad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>
        <v>190</v>
      </c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>
        <f>IF(COUNT(D745:U745)=0,"",MIN(D745:U745))</f>
        <v/>
      </c>
      <c r="W745" s="8">
        <f>IF(COUNT(D745:U745)=0,"",MEDIAN(D745:U745))</f>
        <v/>
      </c>
      <c r="X745" s="8">
        <f>IF(COUNT(D745:U745)=0,"",MAX(D745:U745))</f>
        <v/>
      </c>
      <c r="Y745" s="9">
        <f>IF(OR(V745="",V745=0),"",(X745-V745)/V745)</f>
        <v/>
      </c>
      <c r="Z745" s="7">
        <f>IF(COUNT(D745:U745)=0,"",INDEX($D$1:$U$1,MATCH(MIN(D745:U745),D745:U745,0)))</f>
        <v/>
      </c>
      <c r="AA745" s="8" t="n">
        <v>252.5</v>
      </c>
      <c r="AB745" s="10" t="n">
        <v>1</v>
      </c>
    </row>
    <row r="746">
      <c r="A746" s="7" t="inlineStr">
        <is>
          <t>MAT-10-133</t>
        </is>
      </c>
      <c r="B746" s="4" t="inlineStr">
        <is>
          <t>Lámpara de emergencia recargable</t>
        </is>
      </c>
      <c r="C746" s="7" t="inlineStr">
        <is>
          <t>unidad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>
        <v>1015</v>
      </c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>
        <f>IF(COUNT(D746:U746)=0,"",MIN(D746:U746))</f>
        <v/>
      </c>
      <c r="W746" s="8">
        <f>IF(COUNT(D746:U746)=0,"",MEDIAN(D746:U746))</f>
        <v/>
      </c>
      <c r="X746" s="8">
        <f>IF(COUNT(D746:U746)=0,"",MAX(D746:U746))</f>
        <v/>
      </c>
      <c r="Y746" s="9">
        <f>IF(OR(V746="",V746=0),"",(X746-V746)/V746)</f>
        <v/>
      </c>
      <c r="Z746" s="7">
        <f>IF(COUNT(D746:U746)=0,"",INDEX($D$1:$U$1,MATCH(MIN(D746:U746),D746:U746,0)))</f>
        <v/>
      </c>
      <c r="AA746" s="8" t="n">
        <v>1015</v>
      </c>
      <c r="AB746" s="10" t="n">
        <v>1</v>
      </c>
    </row>
    <row r="747">
      <c r="A747" s="7" t="inlineStr">
        <is>
          <t>MAT-10-134</t>
        </is>
      </c>
      <c r="B747" s="4" t="inlineStr">
        <is>
          <t>Reflector LED de 10 W</t>
        </is>
      </c>
      <c r="C747" s="7" t="inlineStr">
        <is>
          <t>unidad</t>
        </is>
      </c>
      <c r="D747" s="8" t="n"/>
      <c r="E747" s="8" t="n">
        <v>487</v>
      </c>
      <c r="F747" s="8" t="n"/>
      <c r="G747" s="8" t="n"/>
      <c r="H747" s="8" t="n"/>
      <c r="I747" s="8" t="n">
        <v>397.34</v>
      </c>
      <c r="J747" s="8" t="n">
        <v>400</v>
      </c>
      <c r="K747" s="8" t="n"/>
      <c r="L747" s="8" t="n">
        <v>475</v>
      </c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>
        <f>IF(COUNT(D747:U747)=0,"",MIN(D747:U747))</f>
        <v/>
      </c>
      <c r="W747" s="8">
        <f>IF(COUNT(D747:U747)=0,"",MEDIAN(D747:U747))</f>
        <v/>
      </c>
      <c r="X747" s="8">
        <f>IF(COUNT(D747:U747)=0,"",MAX(D747:U747))</f>
        <v/>
      </c>
      <c r="Y747" s="9">
        <f>IF(OR(V747="",V747=0),"",(X747-V747)/V747)</f>
        <v/>
      </c>
      <c r="Z747" s="7">
        <f>IF(COUNT(D747:U747)=0,"",INDEX($D$1:$U$1,MATCH(MIN(D747:U747),D747:U747,0)))</f>
        <v/>
      </c>
      <c r="AA747" s="8" t="n">
        <v>632</v>
      </c>
      <c r="AB747" s="10" t="n">
        <v>4</v>
      </c>
    </row>
    <row r="748">
      <c r="A748" s="7" t="inlineStr">
        <is>
          <t>MAT-10-135</t>
        </is>
      </c>
      <c r="B748" s="4" t="inlineStr">
        <is>
          <t>Reflector LED de 100 W</t>
        </is>
      </c>
      <c r="C748" s="7" t="inlineStr">
        <is>
          <t>unidad</t>
        </is>
      </c>
      <c r="D748" s="8" t="n"/>
      <c r="E748" s="8" t="n">
        <v>1502</v>
      </c>
      <c r="F748" s="8" t="n"/>
      <c r="G748" s="8" t="n"/>
      <c r="H748" s="8" t="n"/>
      <c r="I748" s="8" t="n"/>
      <c r="J748" s="8" t="n">
        <v>1500</v>
      </c>
      <c r="K748" s="8" t="n"/>
      <c r="L748" s="8" t="n">
        <v>1940</v>
      </c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>
        <f>IF(COUNT(D748:U748)=0,"",MIN(D748:U748))</f>
        <v/>
      </c>
      <c r="W748" s="8">
        <f>IF(COUNT(D748:U748)=0,"",MEDIAN(D748:U748))</f>
        <v/>
      </c>
      <c r="X748" s="8">
        <f>IF(COUNT(D748:U748)=0,"",MAX(D748:U748))</f>
        <v/>
      </c>
      <c r="Y748" s="9">
        <f>IF(OR(V748="",V748=0),"",(X748-V748)/V748)</f>
        <v/>
      </c>
      <c r="Z748" s="7">
        <f>IF(COUNT(D748:U748)=0,"",INDEX($D$1:$U$1,MATCH(MIN(D748:U748),D748:U748,0)))</f>
        <v/>
      </c>
      <c r="AA748" s="8" t="n">
        <v>1990</v>
      </c>
      <c r="AB748" s="10" t="n">
        <v>3</v>
      </c>
    </row>
    <row r="749">
      <c r="A749" s="7" t="inlineStr">
        <is>
          <t>MAT-10-136</t>
        </is>
      </c>
      <c r="B749" s="4" t="inlineStr">
        <is>
          <t>Reflector LED de 14 W</t>
        </is>
      </c>
      <c r="C749" s="7" t="inlineStr">
        <is>
          <t>unidad</t>
        </is>
      </c>
      <c r="D749" s="8" t="n"/>
      <c r="E749" s="8" t="n">
        <v>815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>
        <f>IF(COUNT(D749:U749)=0,"",MIN(D749:U749))</f>
        <v/>
      </c>
      <c r="W749" s="8">
        <f>IF(COUNT(D749:U749)=0,"",MEDIAN(D749:U749))</f>
        <v/>
      </c>
      <c r="X749" s="8">
        <f>IF(COUNT(D749:U749)=0,"",MAX(D749:U749))</f>
        <v/>
      </c>
      <c r="Y749" s="9">
        <f>IF(OR(V749="",V749=0),"",(X749-V749)/V749)</f>
        <v/>
      </c>
      <c r="Z749" s="7">
        <f>IF(COUNT(D749:U749)=0,"",INDEX($D$1:$U$1,MATCH(MIN(D749:U749),D749:U749,0)))</f>
        <v/>
      </c>
      <c r="AA749" s="8" t="n">
        <v>815</v>
      </c>
      <c r="AB749" s="10" t="n">
        <v>1</v>
      </c>
    </row>
    <row r="750">
      <c r="A750" s="7" t="inlineStr">
        <is>
          <t>MAT-10-137</t>
        </is>
      </c>
      <c r="B750" s="4" t="inlineStr">
        <is>
          <t>Reflector LED de 150 W</t>
        </is>
      </c>
      <c r="C750" s="7" t="inlineStr">
        <is>
          <t>unidad</t>
        </is>
      </c>
      <c r="D750" s="8" t="n"/>
      <c r="E750" s="8" t="n">
        <v>1818</v>
      </c>
      <c r="F750" s="8" t="n"/>
      <c r="G750" s="8" t="n"/>
      <c r="H750" s="8" t="n"/>
      <c r="I750" s="8" t="n"/>
      <c r="J750" s="8" t="n">
        <v>2950</v>
      </c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>
        <f>IF(COUNT(D750:U750)=0,"",MIN(D750:U750))</f>
        <v/>
      </c>
      <c r="W750" s="8">
        <f>IF(COUNT(D750:U750)=0,"",MEDIAN(D750:U750))</f>
        <v/>
      </c>
      <c r="X750" s="8">
        <f>IF(COUNT(D750:U750)=0,"",MAX(D750:U750))</f>
        <v/>
      </c>
      <c r="Y750" s="9">
        <f>IF(OR(V750="",V750=0),"",(X750-V750)/V750)</f>
        <v/>
      </c>
      <c r="Z750" s="7">
        <f>IF(COUNT(D750:U750)=0,"",INDEX($D$1:$U$1,MATCH(MIN(D750:U750),D750:U750,0)))</f>
        <v/>
      </c>
      <c r="AA750" s="8" t="n">
        <v>3990</v>
      </c>
      <c r="AB750" s="10" t="n">
        <v>2</v>
      </c>
    </row>
    <row r="751">
      <c r="A751" s="7" t="inlineStr">
        <is>
          <t>MAT-10-138</t>
        </is>
      </c>
      <c r="B751" s="4" t="inlineStr">
        <is>
          <t>Reflector LED de 16 W</t>
        </is>
      </c>
      <c r="C751" s="7" t="inlineStr">
        <is>
          <t>unidad</t>
        </is>
      </c>
      <c r="D751" s="8" t="n"/>
      <c r="E751" s="8" t="n">
        <v>2207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>
        <f>IF(COUNT(D751:U751)=0,"",MIN(D751:U751))</f>
        <v/>
      </c>
      <c r="W751" s="8">
        <f>IF(COUNT(D751:U751)=0,"",MEDIAN(D751:U751))</f>
        <v/>
      </c>
      <c r="X751" s="8">
        <f>IF(COUNT(D751:U751)=0,"",MAX(D751:U751))</f>
        <v/>
      </c>
      <c r="Y751" s="9">
        <f>IF(OR(V751="",V751=0),"",(X751-V751)/V751)</f>
        <v/>
      </c>
      <c r="Z751" s="7">
        <f>IF(COUNT(D751:U751)=0,"",INDEX($D$1:$U$1,MATCH(MIN(D751:U751),D751:U751,0)))</f>
        <v/>
      </c>
      <c r="AA751" s="8" t="n">
        <v>2207</v>
      </c>
      <c r="AB751" s="10" t="n">
        <v>1</v>
      </c>
    </row>
    <row r="752">
      <c r="A752" s="7" t="inlineStr">
        <is>
          <t>MAT-10-139</t>
        </is>
      </c>
      <c r="B752" s="4" t="inlineStr">
        <is>
          <t>Reflector LED de 18 W</t>
        </is>
      </c>
      <c r="C752" s="7" t="inlineStr">
        <is>
          <t>unidad</t>
        </is>
      </c>
      <c r="D752" s="8" t="n"/>
      <c r="E752" s="8" t="n">
        <v>1062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>
        <f>IF(COUNT(D752:U752)=0,"",MIN(D752:U752))</f>
        <v/>
      </c>
      <c r="W752" s="8">
        <f>IF(COUNT(D752:U752)=0,"",MEDIAN(D752:U752))</f>
        <v/>
      </c>
      <c r="X752" s="8">
        <f>IF(COUNT(D752:U752)=0,"",MAX(D752:U752))</f>
        <v/>
      </c>
      <c r="Y752" s="9">
        <f>IF(OR(V752="",V752=0),"",(X752-V752)/V752)</f>
        <v/>
      </c>
      <c r="Z752" s="7">
        <f>IF(COUNT(D752:U752)=0,"",INDEX($D$1:$U$1,MATCH(MIN(D752:U752),D752:U752,0)))</f>
        <v/>
      </c>
      <c r="AA752" s="8" t="n">
        <v>1062</v>
      </c>
      <c r="AB752" s="10" t="n">
        <v>1</v>
      </c>
    </row>
    <row r="753">
      <c r="A753" s="7" t="inlineStr">
        <is>
          <t>MAT-10-140</t>
        </is>
      </c>
      <c r="B753" s="4" t="inlineStr">
        <is>
          <t>Reflector LED de 20 W</t>
        </is>
      </c>
      <c r="C753" s="7" t="inlineStr">
        <is>
          <t>unidad</t>
        </is>
      </c>
      <c r="D753" s="8" t="n"/>
      <c r="E753" s="8" t="n">
        <v>899</v>
      </c>
      <c r="F753" s="8" t="n"/>
      <c r="G753" s="8" t="n"/>
      <c r="H753" s="8" t="n"/>
      <c r="I753" s="8" t="n">
        <v>462.51</v>
      </c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>
        <f>IF(COUNT(D753:U753)=0,"",MIN(D753:U753))</f>
        <v/>
      </c>
      <c r="W753" s="8">
        <f>IF(COUNT(D753:U753)=0,"",MEDIAN(D753:U753))</f>
        <v/>
      </c>
      <c r="X753" s="8">
        <f>IF(COUNT(D753:U753)=0,"",MAX(D753:U753))</f>
        <v/>
      </c>
      <c r="Y753" s="9">
        <f>IF(OR(V753="",V753=0),"",(X753-V753)/V753)</f>
        <v/>
      </c>
      <c r="Z753" s="7">
        <f>IF(COUNT(D753:U753)=0,"",INDEX($D$1:$U$1,MATCH(MIN(D753:U753),D753:U753,0)))</f>
        <v/>
      </c>
      <c r="AA753" s="8" t="n">
        <v>1066.5</v>
      </c>
      <c r="AB753" s="10" t="n">
        <v>2</v>
      </c>
    </row>
    <row r="754">
      <c r="A754" s="7" t="inlineStr">
        <is>
          <t>MAT-10-141</t>
        </is>
      </c>
      <c r="B754" s="4" t="inlineStr">
        <is>
          <t>Reflector LED de 200 W</t>
        </is>
      </c>
      <c r="C754" s="7" t="inlineStr">
        <is>
          <t>unidad</t>
        </is>
      </c>
      <c r="D754" s="8" t="n"/>
      <c r="E754" s="8" t="n">
        <v>5295</v>
      </c>
      <c r="F754" s="8" t="n"/>
      <c r="G754" s="8" t="n"/>
      <c r="H754" s="8" t="n"/>
      <c r="I754" s="8" t="n"/>
      <c r="J754" s="8" t="n">
        <v>3200</v>
      </c>
      <c r="K754" s="8" t="n"/>
      <c r="L754" s="8" t="n">
        <v>2335</v>
      </c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>
        <f>IF(COUNT(D754:U754)=0,"",MIN(D754:U754))</f>
        <v/>
      </c>
      <c r="W754" s="8">
        <f>IF(COUNT(D754:U754)=0,"",MEDIAN(D754:U754))</f>
        <v/>
      </c>
      <c r="X754" s="8">
        <f>IF(COUNT(D754:U754)=0,"",MAX(D754:U754))</f>
        <v/>
      </c>
      <c r="Y754" s="9">
        <f>IF(OR(V754="",V754=0),"",(X754-V754)/V754)</f>
        <v/>
      </c>
      <c r="Z754" s="7">
        <f>IF(COUNT(D754:U754)=0,"",INDEX($D$1:$U$1,MATCH(MIN(D754:U754),D754:U754,0)))</f>
        <v/>
      </c>
      <c r="AA754" s="8" t="n">
        <v>6750</v>
      </c>
      <c r="AB754" s="10" t="n">
        <v>3</v>
      </c>
    </row>
    <row r="755">
      <c r="A755" s="7" t="inlineStr">
        <is>
          <t>MAT-10-142</t>
        </is>
      </c>
      <c r="B755" s="4" t="inlineStr">
        <is>
          <t>Reflector LED de 23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455</v>
      </c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>
        <f>IF(COUNT(D755:U755)=0,"",MIN(D755:U755))</f>
        <v/>
      </c>
      <c r="W755" s="8">
        <f>IF(COUNT(D755:U755)=0,"",MEDIAN(D755:U755))</f>
        <v/>
      </c>
      <c r="X755" s="8">
        <f>IF(COUNT(D755:U755)=0,"",MAX(D755:U755))</f>
        <v/>
      </c>
      <c r="Y755" s="9">
        <f>IF(OR(V755="",V755=0),"",(X755-V755)/V755)</f>
        <v/>
      </c>
      <c r="Z755" s="7">
        <f>IF(COUNT(D755:U755)=0,"",INDEX($D$1:$U$1,MATCH(MIN(D755:U755),D755:U755,0)))</f>
        <v/>
      </c>
      <c r="AA755" s="8" t="n">
        <v>455</v>
      </c>
      <c r="AB755" s="10" t="n">
        <v>1</v>
      </c>
    </row>
    <row r="756">
      <c r="A756" s="7" t="inlineStr">
        <is>
          <t>MAT-10-143</t>
        </is>
      </c>
      <c r="B756" s="4" t="inlineStr">
        <is>
          <t>Reflector LED de 250 W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>
        <v>280</v>
      </c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>
        <f>IF(COUNT(D756:U756)=0,"",MIN(D756:U756))</f>
        <v/>
      </c>
      <c r="W756" s="8">
        <f>IF(COUNT(D756:U756)=0,"",MEDIAN(D756:U756))</f>
        <v/>
      </c>
      <c r="X756" s="8">
        <f>IF(COUNT(D756:U756)=0,"",MAX(D756:U756))</f>
        <v/>
      </c>
      <c r="Y756" s="9">
        <f>IF(OR(V756="",V756=0),"",(X756-V756)/V756)</f>
        <v/>
      </c>
      <c r="Z756" s="7">
        <f>IF(COUNT(D756:U756)=0,"",INDEX($D$1:$U$1,MATCH(MIN(D756:U756),D756:U756,0)))</f>
        <v/>
      </c>
      <c r="AA756" s="8" t="n">
        <v>580</v>
      </c>
      <c r="AB756" s="10" t="n">
        <v>1</v>
      </c>
    </row>
    <row r="757">
      <c r="A757" s="7" t="inlineStr">
        <is>
          <t>MAT-10-144</t>
        </is>
      </c>
      <c r="B757" s="4" t="inlineStr">
        <is>
          <t>Reflector LED de 30 W</t>
        </is>
      </c>
      <c r="C757" s="7" t="inlineStr">
        <is>
          <t>unidad</t>
        </is>
      </c>
      <c r="D757" s="8" t="n"/>
      <c r="E757" s="8" t="n">
        <v>475</v>
      </c>
      <c r="F757" s="8" t="n"/>
      <c r="G757" s="8" t="n"/>
      <c r="H757" s="8" t="n"/>
      <c r="I757" s="8" t="n"/>
      <c r="J757" s="8" t="n">
        <v>650</v>
      </c>
      <c r="K757" s="8" t="n"/>
      <c r="L757" s="8" t="n">
        <v>620</v>
      </c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>
        <f>IF(COUNT(D757:U757)=0,"",MIN(D757:U757))</f>
        <v/>
      </c>
      <c r="W757" s="8">
        <f>IF(COUNT(D757:U757)=0,"",MEDIAN(D757:U757))</f>
        <v/>
      </c>
      <c r="X757" s="8">
        <f>IF(COUNT(D757:U757)=0,"",MAX(D757:U757))</f>
        <v/>
      </c>
      <c r="Y757" s="9">
        <f>IF(OR(V757="",V757=0),"",(X757-V757)/V757)</f>
        <v/>
      </c>
      <c r="Z757" s="7">
        <f>IF(COUNT(D757:U757)=0,"",INDEX($D$1:$U$1,MATCH(MIN(D757:U757),D757:U757,0)))</f>
        <v/>
      </c>
      <c r="AA757" s="8" t="n">
        <v>1145</v>
      </c>
      <c r="AB757" s="10" t="n">
        <v>3</v>
      </c>
    </row>
    <row r="758">
      <c r="A758" s="7" t="inlineStr">
        <is>
          <t>MAT-10-145</t>
        </is>
      </c>
      <c r="B758" s="4" t="inlineStr">
        <is>
          <t>Reflector LED de 300 W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5100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>
        <f>IF(COUNT(D758:U758)=0,"",MIN(D758:U758))</f>
        <v/>
      </c>
      <c r="W758" s="8">
        <f>IF(COUNT(D758:U758)=0,"",MEDIAN(D758:U758))</f>
        <v/>
      </c>
      <c r="X758" s="8">
        <f>IF(COUNT(D758:U758)=0,"",MAX(D758:U758))</f>
        <v/>
      </c>
      <c r="Y758" s="9">
        <f>IF(OR(V758="",V758=0),"",(X758-V758)/V758)</f>
        <v/>
      </c>
      <c r="Z758" s="7">
        <f>IF(COUNT(D758:U758)=0,"",INDEX($D$1:$U$1,MATCH(MIN(D758:U758),D758:U758,0)))</f>
        <v/>
      </c>
      <c r="AA758" s="8" t="n">
        <v>7800</v>
      </c>
      <c r="AB758" s="10" t="n">
        <v>1</v>
      </c>
    </row>
    <row r="759">
      <c r="A759" s="7" t="inlineStr">
        <is>
          <t>MAT-10-146</t>
        </is>
      </c>
      <c r="B759" s="4" t="inlineStr">
        <is>
          <t>Reflector LED de 4 W</t>
        </is>
      </c>
      <c r="C759" s="7" t="inlineStr">
        <is>
          <t>unidad</t>
        </is>
      </c>
      <c r="D759" s="8" t="n"/>
      <c r="E759" s="8" t="n">
        <v>88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>
        <f>IF(COUNT(D759:U759)=0,"",MIN(D759:U759))</f>
        <v/>
      </c>
      <c r="W759" s="8">
        <f>IF(COUNT(D759:U759)=0,"",MEDIAN(D759:U759))</f>
        <v/>
      </c>
      <c r="X759" s="8">
        <f>IF(COUNT(D759:U759)=0,"",MAX(D759:U759))</f>
        <v/>
      </c>
      <c r="Y759" s="9">
        <f>IF(OR(V759="",V759=0),"",(X759-V759)/V759)</f>
        <v/>
      </c>
      <c r="Z759" s="7">
        <f>IF(COUNT(D759:U759)=0,"",INDEX($D$1:$U$1,MATCH(MIN(D759:U759),D759:U759,0)))</f>
        <v/>
      </c>
      <c r="AA759" s="8" t="n">
        <v>221.5</v>
      </c>
      <c r="AB759" s="10" t="n">
        <v>1</v>
      </c>
    </row>
    <row r="760">
      <c r="A760" s="7" t="inlineStr">
        <is>
          <t>MAT-10-147</t>
        </is>
      </c>
      <c r="B760" s="4" t="inlineStr">
        <is>
          <t>Reflector LED de 400 W</t>
        </is>
      </c>
      <c r="C760" s="7" t="inlineStr">
        <is>
          <t>unidad</t>
        </is>
      </c>
      <c r="D760" s="8" t="n"/>
      <c r="E760" s="8" t="n">
        <v>7058</v>
      </c>
      <c r="F760" s="8" t="n"/>
      <c r="G760" s="8" t="n"/>
      <c r="H760" s="8" t="n"/>
      <c r="I760" s="8" t="n"/>
      <c r="J760" s="8" t="n">
        <v>5900</v>
      </c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>
        <f>IF(COUNT(D760:U760)=0,"",MIN(D760:U760))</f>
        <v/>
      </c>
      <c r="W760" s="8">
        <f>IF(COUNT(D760:U760)=0,"",MEDIAN(D760:U760))</f>
        <v/>
      </c>
      <c r="X760" s="8">
        <f>IF(COUNT(D760:U760)=0,"",MAX(D760:U760))</f>
        <v/>
      </c>
      <c r="Y760" s="9">
        <f>IF(OR(V760="",V760=0),"",(X760-V760)/V760)</f>
        <v/>
      </c>
      <c r="Z760" s="7">
        <f>IF(COUNT(D760:U760)=0,"",INDEX($D$1:$U$1,MATCH(MIN(D760:U760),D760:U760,0)))</f>
        <v/>
      </c>
      <c r="AA760" s="8" t="n">
        <v>7058</v>
      </c>
      <c r="AB760" s="10" t="n">
        <v>2</v>
      </c>
    </row>
    <row r="761">
      <c r="A761" s="7" t="inlineStr">
        <is>
          <t>MAT-10-148</t>
        </is>
      </c>
      <c r="B761" s="4" t="inlineStr">
        <is>
          <t>Reflector LED de 5 W</t>
        </is>
      </c>
      <c r="C761" s="7" t="inlineStr">
        <is>
          <t>unidad</t>
        </is>
      </c>
      <c r="D761" s="8" t="n"/>
      <c r="E761" s="8" t="n">
        <v>93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>
        <f>IF(COUNT(D761:U761)=0,"",MIN(D761:U761))</f>
        <v/>
      </c>
      <c r="W761" s="8">
        <f>IF(COUNT(D761:U761)=0,"",MEDIAN(D761:U761))</f>
        <v/>
      </c>
      <c r="X761" s="8">
        <f>IF(COUNT(D761:U761)=0,"",MAX(D761:U761))</f>
        <v/>
      </c>
      <c r="Y761" s="9">
        <f>IF(OR(V761="",V761=0),"",(X761-V761)/V761)</f>
        <v/>
      </c>
      <c r="Z761" s="7">
        <f>IF(COUNT(D761:U761)=0,"",INDEX($D$1:$U$1,MATCH(MIN(D761:U761),D761:U761,0)))</f>
        <v/>
      </c>
      <c r="AA761" s="8" t="n">
        <v>95</v>
      </c>
      <c r="AB761" s="10" t="n">
        <v>1</v>
      </c>
    </row>
    <row r="762">
      <c r="A762" s="7" t="inlineStr">
        <is>
          <t>MAT-10-149</t>
        </is>
      </c>
      <c r="B762" s="4" t="inlineStr">
        <is>
          <t>Reflector LED de 50 W</t>
        </is>
      </c>
      <c r="C762" s="7" t="inlineStr">
        <is>
          <t>unidad</t>
        </is>
      </c>
      <c r="D762" s="8" t="n"/>
      <c r="E762" s="8" t="n">
        <v>645.63</v>
      </c>
      <c r="F762" s="8" t="n"/>
      <c r="G762" s="8" t="n"/>
      <c r="H762" s="8" t="n"/>
      <c r="I762" s="8" t="n"/>
      <c r="J762" s="8" t="n">
        <v>915</v>
      </c>
      <c r="K762" s="8" t="n"/>
      <c r="L762" s="8" t="n">
        <v>970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>
        <f>IF(COUNT(D762:U762)=0,"",MIN(D762:U762))</f>
        <v/>
      </c>
      <c r="W762" s="8">
        <f>IF(COUNT(D762:U762)=0,"",MEDIAN(D762:U762))</f>
        <v/>
      </c>
      <c r="X762" s="8">
        <f>IF(COUNT(D762:U762)=0,"",MAX(D762:U762))</f>
        <v/>
      </c>
      <c r="Y762" s="9">
        <f>IF(OR(V762="",V762=0),"",(X762-V762)/V762)</f>
        <v/>
      </c>
      <c r="Z762" s="7">
        <f>IF(COUNT(D762:U762)=0,"",INDEX($D$1:$U$1,MATCH(MIN(D762:U762),D762:U762,0)))</f>
        <v/>
      </c>
      <c r="AA762" s="8" t="n">
        <v>1136</v>
      </c>
      <c r="AB762" s="10" t="n">
        <v>3</v>
      </c>
    </row>
    <row r="763">
      <c r="A763" s="7" t="inlineStr">
        <is>
          <t>MAT-10-150</t>
        </is>
      </c>
      <c r="B763" s="4" t="inlineStr">
        <is>
          <t>Reflector LED de 500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18000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>
        <f>IF(COUNT(D763:U763)=0,"",MIN(D763:U763))</f>
        <v/>
      </c>
      <c r="W763" s="8">
        <f>IF(COUNT(D763:U763)=0,"",MEDIAN(D763:U763))</f>
        <v/>
      </c>
      <c r="X763" s="8">
        <f>IF(COUNT(D763:U763)=0,"",MAX(D763:U763))</f>
        <v/>
      </c>
      <c r="Y763" s="9">
        <f>IF(OR(V763="",V763=0),"",(X763-V763)/V763)</f>
        <v/>
      </c>
      <c r="Z763" s="7">
        <f>IF(COUNT(D763:U763)=0,"",INDEX($D$1:$U$1,MATCH(MIN(D763:U763),D763:U763,0)))</f>
        <v/>
      </c>
      <c r="AA763" s="8" t="n">
        <v>18000</v>
      </c>
      <c r="AB763" s="10" t="n">
        <v>1</v>
      </c>
    </row>
    <row r="764">
      <c r="A764" s="7" t="inlineStr">
        <is>
          <t>MAT-10-151</t>
        </is>
      </c>
      <c r="B764" s="4" t="inlineStr">
        <is>
          <t>Reflector LED de 55 W</t>
        </is>
      </c>
      <c r="C764" s="7" t="inlineStr">
        <is>
          <t>unidad</t>
        </is>
      </c>
      <c r="D764" s="8" t="n"/>
      <c r="E764" s="8" t="n">
        <v>12101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>
        <f>IF(COUNT(D764:U764)=0,"",MIN(D764:U764))</f>
        <v/>
      </c>
      <c r="W764" s="8">
        <f>IF(COUNT(D764:U764)=0,"",MEDIAN(D764:U764))</f>
        <v/>
      </c>
      <c r="X764" s="8">
        <f>IF(COUNT(D764:U764)=0,"",MAX(D764:U764))</f>
        <v/>
      </c>
      <c r="Y764" s="9">
        <f>IF(OR(V764="",V764=0),"",(X764-V764)/V764)</f>
        <v/>
      </c>
      <c r="Z764" s="7">
        <f>IF(COUNT(D764:U764)=0,"",INDEX($D$1:$U$1,MATCH(MIN(D764:U764),D764:U764,0)))</f>
        <v/>
      </c>
      <c r="AA764" s="8" t="n">
        <v>12101</v>
      </c>
      <c r="AB764" s="10" t="n">
        <v>1</v>
      </c>
    </row>
    <row r="765">
      <c r="A765" s="7" t="inlineStr">
        <is>
          <t>MAT-10-152</t>
        </is>
      </c>
      <c r="B765" s="4" t="inlineStr">
        <is>
          <t>Reflector LED de 6.5 W</t>
        </is>
      </c>
      <c r="C765" s="7" t="inlineStr">
        <is>
          <t>unidad</t>
        </is>
      </c>
      <c r="D765" s="8" t="n"/>
      <c r="E765" s="8" t="n">
        <v>472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>
        <f>IF(COUNT(D765:U765)=0,"",MIN(D765:U765))</f>
        <v/>
      </c>
      <c r="W765" s="8">
        <f>IF(COUNT(D765:U765)=0,"",MEDIAN(D765:U765))</f>
        <v/>
      </c>
      <c r="X765" s="8">
        <f>IF(COUNT(D765:U765)=0,"",MAX(D765:U765))</f>
        <v/>
      </c>
      <c r="Y765" s="9">
        <f>IF(OR(V765="",V765=0),"",(X765-V765)/V765)</f>
        <v/>
      </c>
      <c r="Z765" s="7">
        <f>IF(COUNT(D765:U765)=0,"",INDEX($D$1:$U$1,MATCH(MIN(D765:U765),D765:U765,0)))</f>
        <v/>
      </c>
      <c r="AA765" s="8" t="n">
        <v>472</v>
      </c>
      <c r="AB765" s="10" t="n">
        <v>1</v>
      </c>
    </row>
    <row r="766">
      <c r="A766" s="7" t="inlineStr">
        <is>
          <t>MAT-10-153</t>
        </is>
      </c>
      <c r="B766" s="4" t="inlineStr">
        <is>
          <t>Reflector LED de 8 W</t>
        </is>
      </c>
      <c r="C766" s="7" t="inlineStr">
        <is>
          <t>unidad</t>
        </is>
      </c>
      <c r="D766" s="8" t="n"/>
      <c r="E766" s="8" t="n">
        <v>120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>
        <f>IF(COUNT(D766:U766)=0,"",MIN(D766:U766))</f>
        <v/>
      </c>
      <c r="W766" s="8">
        <f>IF(COUNT(D766:U766)=0,"",MEDIAN(D766:U766))</f>
        <v/>
      </c>
      <c r="X766" s="8">
        <f>IF(COUNT(D766:U766)=0,"",MAX(D766:U766))</f>
        <v/>
      </c>
      <c r="Y766" s="9">
        <f>IF(OR(V766="",V766=0),"",(X766-V766)/V766)</f>
        <v/>
      </c>
      <c r="Z766" s="7">
        <f>IF(COUNT(D766:U766)=0,"",INDEX($D$1:$U$1,MATCH(MIN(D766:U766),D766:U766,0)))</f>
        <v/>
      </c>
      <c r="AA766" s="8" t="n">
        <v>280</v>
      </c>
      <c r="AB766" s="10" t="n">
        <v>1</v>
      </c>
    </row>
    <row r="767">
      <c r="A767" s="7" t="inlineStr">
        <is>
          <t>MAT-10-154</t>
        </is>
      </c>
      <c r="B767" s="4" t="inlineStr">
        <is>
          <t>Reflector LED de 8.5 W</t>
        </is>
      </c>
      <c r="C767" s="7" t="inlineStr">
        <is>
          <t>unidad</t>
        </is>
      </c>
      <c r="D767" s="8" t="n"/>
      <c r="E767" s="8" t="n">
        <v>319</v>
      </c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>
        <f>IF(COUNT(D767:U767)=0,"",MIN(D767:U767))</f>
        <v/>
      </c>
      <c r="W767" s="8">
        <f>IF(COUNT(D767:U767)=0,"",MEDIAN(D767:U767))</f>
        <v/>
      </c>
      <c r="X767" s="8">
        <f>IF(COUNT(D767:U767)=0,"",MAX(D767:U767))</f>
        <v/>
      </c>
      <c r="Y767" s="9">
        <f>IF(OR(V767="",V767=0),"",(X767-V767)/V767)</f>
        <v/>
      </c>
      <c r="Z767" s="7">
        <f>IF(COUNT(D767:U767)=0,"",INDEX($D$1:$U$1,MATCH(MIN(D767:U767),D767:U767,0)))</f>
        <v/>
      </c>
      <c r="AA767" s="8" t="n">
        <v>319</v>
      </c>
      <c r="AB767" s="10" t="n">
        <v>1</v>
      </c>
    </row>
    <row r="768">
      <c r="A768" s="7" t="inlineStr">
        <is>
          <t>MAT-10-156</t>
        </is>
      </c>
      <c r="B768" s="4" t="inlineStr">
        <is>
          <t>Tubo LED de 11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>
        <v>699</v>
      </c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>
        <f>IF(COUNT(D768:U768)=0,"",MIN(D768:U768))</f>
        <v/>
      </c>
      <c r="W768" s="8">
        <f>IF(COUNT(D768:U768)=0,"",MEDIAN(D768:U768))</f>
        <v/>
      </c>
      <c r="X768" s="8">
        <f>IF(COUNT(D768:U768)=0,"",MAX(D768:U768))</f>
        <v/>
      </c>
      <c r="Y768" s="9">
        <f>IF(OR(V768="",V768=0),"",(X768-V768)/V768)</f>
        <v/>
      </c>
      <c r="Z768" s="7">
        <f>IF(COUNT(D768:U768)=0,"",INDEX($D$1:$U$1,MATCH(MIN(D768:U768),D768:U768,0)))</f>
        <v/>
      </c>
      <c r="AA768" s="8" t="n">
        <v>699</v>
      </c>
      <c r="AB768" s="10" t="n">
        <v>1</v>
      </c>
    </row>
    <row r="769">
      <c r="A769" s="7" t="inlineStr">
        <is>
          <t>MAT-10-157</t>
        </is>
      </c>
      <c r="B769" s="4" t="inlineStr">
        <is>
          <t>Tubo LED de 12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142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>
        <f>IF(COUNT(D769:U769)=0,"",MIN(D769:U769))</f>
        <v/>
      </c>
      <c r="W769" s="8">
        <f>IF(COUNT(D769:U769)=0,"",MEDIAN(D769:U769))</f>
        <v/>
      </c>
      <c r="X769" s="8">
        <f>IF(COUNT(D769:U769)=0,"",MAX(D769:U769))</f>
        <v/>
      </c>
      <c r="Y769" s="9">
        <f>IF(OR(V769="",V769=0),"",(X769-V769)/V769)</f>
        <v/>
      </c>
      <c r="Z769" s="7">
        <f>IF(COUNT(D769:U769)=0,"",INDEX($D$1:$U$1,MATCH(MIN(D769:U769),D769:U769,0)))</f>
        <v/>
      </c>
      <c r="AA769" s="8" t="n">
        <v>142</v>
      </c>
      <c r="AB769" s="10" t="n">
        <v>1</v>
      </c>
    </row>
    <row r="770">
      <c r="A770" s="7" t="inlineStr">
        <is>
          <t>MAT-10-158</t>
        </is>
      </c>
      <c r="B770" s="4" t="inlineStr">
        <is>
          <t>Tubo LED de 16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>
        <v>249.99</v>
      </c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>
        <f>IF(COUNT(D770:U770)=0,"",MIN(D770:U770))</f>
        <v/>
      </c>
      <c r="W770" s="8">
        <f>IF(COUNT(D770:U770)=0,"",MEDIAN(D770:U770))</f>
        <v/>
      </c>
      <c r="X770" s="8">
        <f>IF(COUNT(D770:U770)=0,"",MAX(D770:U770))</f>
        <v/>
      </c>
      <c r="Y770" s="9">
        <f>IF(OR(V770="",V770=0),"",(X770-V770)/V770)</f>
        <v/>
      </c>
      <c r="Z770" s="7">
        <f>IF(COUNT(D770:U770)=0,"",INDEX($D$1:$U$1,MATCH(MIN(D770:U770),D770:U770,0)))</f>
        <v/>
      </c>
      <c r="AA770" s="8" t="n">
        <v>249.99</v>
      </c>
      <c r="AB770" s="10" t="n">
        <v>1</v>
      </c>
    </row>
    <row r="771">
      <c r="A771" s="7" t="inlineStr">
        <is>
          <t>MAT-10-159</t>
        </is>
      </c>
      <c r="B771" s="4" t="inlineStr">
        <is>
          <t>Tubo LED de 18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>
        <v>170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>
        <f>IF(COUNT(D771:U771)=0,"",MIN(D771:U771))</f>
        <v/>
      </c>
      <c r="W771" s="8">
        <f>IF(COUNT(D771:U771)=0,"",MEDIAN(D771:U771))</f>
        <v/>
      </c>
      <c r="X771" s="8">
        <f>IF(COUNT(D771:U771)=0,"",MAX(D771:U771))</f>
        <v/>
      </c>
      <c r="Y771" s="9">
        <f>IF(OR(V771="",V771=0),"",(X771-V771)/V771)</f>
        <v/>
      </c>
      <c r="Z771" s="7">
        <f>IF(COUNT(D771:U771)=0,"",INDEX($D$1:$U$1,MATCH(MIN(D771:U771),D771:U771,0)))</f>
        <v/>
      </c>
      <c r="AA771" s="8" t="n">
        <v>177</v>
      </c>
      <c r="AB771" s="10" t="n">
        <v>1</v>
      </c>
    </row>
    <row r="772">
      <c r="A772" s="7" t="inlineStr">
        <is>
          <t>MAT-10-160</t>
        </is>
      </c>
      <c r="B772" s="4" t="inlineStr">
        <is>
          <t>Tubo LED de 19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>
        <v>785</v>
      </c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>
        <f>IF(COUNT(D772:U772)=0,"",MIN(D772:U772))</f>
        <v/>
      </c>
      <c r="W772" s="8">
        <f>IF(COUNT(D772:U772)=0,"",MEDIAN(D772:U772))</f>
        <v/>
      </c>
      <c r="X772" s="8">
        <f>IF(COUNT(D772:U772)=0,"",MAX(D772:U772))</f>
        <v/>
      </c>
      <c r="Y772" s="9">
        <f>IF(OR(V772="",V772=0),"",(X772-V772)/V772)</f>
        <v/>
      </c>
      <c r="Z772" s="7">
        <f>IF(COUNT(D772:U772)=0,"",INDEX($D$1:$U$1,MATCH(MIN(D772:U772),D772:U772,0)))</f>
        <v/>
      </c>
      <c r="AA772" s="8" t="n">
        <v>785</v>
      </c>
      <c r="AB772" s="10" t="n">
        <v>1</v>
      </c>
    </row>
    <row r="773">
      <c r="A773" s="7" t="inlineStr">
        <is>
          <t>MAT-10-161</t>
        </is>
      </c>
      <c r="B773" s="4" t="inlineStr">
        <is>
          <t>Tubo LED de 20.5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264.99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>
        <f>IF(COUNT(D773:U773)=0,"",MIN(D773:U773))</f>
        <v/>
      </c>
      <c r="W773" s="8">
        <f>IF(COUNT(D773:U773)=0,"",MEDIAN(D773:U773))</f>
        <v/>
      </c>
      <c r="X773" s="8">
        <f>IF(COUNT(D773:U773)=0,"",MAX(D773:U773))</f>
        <v/>
      </c>
      <c r="Y773" s="9">
        <f>IF(OR(V773="",V773=0),"",(X773-V773)/V773)</f>
        <v/>
      </c>
      <c r="Z773" s="7">
        <f>IF(COUNT(D773:U773)=0,"",INDEX($D$1:$U$1,MATCH(MIN(D773:U773),D773:U773,0)))</f>
        <v/>
      </c>
      <c r="AA773" s="8" t="n">
        <v>264.99</v>
      </c>
      <c r="AB773" s="10" t="n">
        <v>1</v>
      </c>
    </row>
    <row r="774">
      <c r="A774" s="7" t="inlineStr">
        <is>
          <t>MAT-10-162</t>
        </is>
      </c>
      <c r="B774" s="4" t="inlineStr">
        <is>
          <t>Tubo LED de 22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>
        <v>404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>
        <f>IF(COUNT(D774:U774)=0,"",MIN(D774:U774))</f>
        <v/>
      </c>
      <c r="W774" s="8">
        <f>IF(COUNT(D774:U774)=0,"",MEDIAN(D774:U774))</f>
        <v/>
      </c>
      <c r="X774" s="8">
        <f>IF(COUNT(D774:U774)=0,"",MAX(D774:U774))</f>
        <v/>
      </c>
      <c r="Y774" s="9">
        <f>IF(OR(V774="",V774=0),"",(X774-V774)/V774)</f>
        <v/>
      </c>
      <c r="Z774" s="7">
        <f>IF(COUNT(D774:U774)=0,"",INDEX($D$1:$U$1,MATCH(MIN(D774:U774),D774:U774,0)))</f>
        <v/>
      </c>
      <c r="AA774" s="8" t="n">
        <v>404</v>
      </c>
      <c r="AB774" s="10" t="n">
        <v>1</v>
      </c>
    </row>
    <row r="775">
      <c r="A775" s="7" t="inlineStr">
        <is>
          <t>MAT-10-163</t>
        </is>
      </c>
      <c r="B775" s="4" t="inlineStr">
        <is>
          <t>Tubo LED de 24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>
        <v>889</v>
      </c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>
        <f>IF(COUNT(D775:U775)=0,"",MIN(D775:U775))</f>
        <v/>
      </c>
      <c r="W775" s="8">
        <f>IF(COUNT(D775:U775)=0,"",MEDIAN(D775:U775))</f>
        <v/>
      </c>
      <c r="X775" s="8">
        <f>IF(COUNT(D775:U775)=0,"",MAX(D775:U775))</f>
        <v/>
      </c>
      <c r="Y775" s="9">
        <f>IF(OR(V775="",V775=0),"",(X775-V775)/V775)</f>
        <v/>
      </c>
      <c r="Z775" s="7">
        <f>IF(COUNT(D775:U775)=0,"",INDEX($D$1:$U$1,MATCH(MIN(D775:U775),D775:U775,0)))</f>
        <v/>
      </c>
      <c r="AA775" s="8" t="n">
        <v>889</v>
      </c>
      <c r="AB775" s="10" t="n">
        <v>1</v>
      </c>
    </row>
    <row r="776">
      <c r="A776" s="7" t="inlineStr">
        <is>
          <t>MAT-10-164</t>
        </is>
      </c>
      <c r="B776" s="4" t="inlineStr">
        <is>
          <t>Tubo LED de 30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3000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>
        <f>IF(COUNT(D776:U776)=0,"",MIN(D776:U776))</f>
        <v/>
      </c>
      <c r="W776" s="8">
        <f>IF(COUNT(D776:U776)=0,"",MEDIAN(D776:U776))</f>
        <v/>
      </c>
      <c r="X776" s="8">
        <f>IF(COUNT(D776:U776)=0,"",MAX(D776:U776))</f>
        <v/>
      </c>
      <c r="Y776" s="9">
        <f>IF(OR(V776="",V776=0),"",(X776-V776)/V776)</f>
        <v/>
      </c>
      <c r="Z776" s="7">
        <f>IF(COUNT(D776:U776)=0,"",INDEX($D$1:$U$1,MATCH(MIN(D776:U776),D776:U776,0)))</f>
        <v/>
      </c>
      <c r="AA776" s="8" t="n">
        <v>3000</v>
      </c>
      <c r="AB776" s="10" t="n">
        <v>1</v>
      </c>
    </row>
    <row r="777">
      <c r="A777" s="7" t="inlineStr">
        <is>
          <t>MAT-10-165</t>
        </is>
      </c>
      <c r="B777" s="4" t="inlineStr">
        <is>
          <t>Tubo LED de 36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875</v>
      </c>
      <c r="J777" s="8" t="n">
        <v>650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>
        <f>IF(COUNT(D777:U777)=0,"",MIN(D777:U777))</f>
        <v/>
      </c>
      <c r="W777" s="8">
        <f>IF(COUNT(D777:U777)=0,"",MEDIAN(D777:U777))</f>
        <v/>
      </c>
      <c r="X777" s="8">
        <f>IF(COUNT(D777:U777)=0,"",MAX(D777:U777))</f>
        <v/>
      </c>
      <c r="Y777" s="9">
        <f>IF(OR(V777="",V777=0),"",(X777-V777)/V777)</f>
        <v/>
      </c>
      <c r="Z777" s="7">
        <f>IF(COUNT(D777:U777)=0,"",INDEX($D$1:$U$1,MATCH(MIN(D777:U777),D777:U777,0)))</f>
        <v/>
      </c>
      <c r="AA777" s="8" t="n">
        <v>875</v>
      </c>
      <c r="AB777" s="10" t="n">
        <v>2</v>
      </c>
    </row>
    <row r="778">
      <c r="A778" s="7" t="inlineStr">
        <is>
          <t>MAT-10-166</t>
        </is>
      </c>
      <c r="B778" s="4" t="inlineStr">
        <is>
          <t>Tubo LED de 6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505</v>
      </c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>
        <f>IF(COUNT(D778:U778)=0,"",MIN(D778:U778))</f>
        <v/>
      </c>
      <c r="W778" s="8">
        <f>IF(COUNT(D778:U778)=0,"",MEDIAN(D778:U778))</f>
        <v/>
      </c>
      <c r="X778" s="8">
        <f>IF(COUNT(D778:U778)=0,"",MAX(D778:U778))</f>
        <v/>
      </c>
      <c r="Y778" s="9">
        <f>IF(OR(V778="",V778=0),"",(X778-V778)/V778)</f>
        <v/>
      </c>
      <c r="Z778" s="7">
        <f>IF(COUNT(D778:U778)=0,"",INDEX($D$1:$U$1,MATCH(MIN(D778:U778),D778:U778,0)))</f>
        <v/>
      </c>
      <c r="AA778" s="8" t="n">
        <v>505</v>
      </c>
      <c r="AB778" s="10" t="n">
        <v>1</v>
      </c>
    </row>
    <row r="779">
      <c r="A779" s="7" t="inlineStr">
        <is>
          <t>MAT-10-167</t>
        </is>
      </c>
      <c r="B779" s="4" t="inlineStr">
        <is>
          <t>Tubo LED de 9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>
        <v>145</v>
      </c>
      <c r="J779" s="8" t="n">
        <v>120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>
        <f>IF(COUNT(D779:U779)=0,"",MIN(D779:U779))</f>
        <v/>
      </c>
      <c r="W779" s="8">
        <f>IF(COUNT(D779:U779)=0,"",MEDIAN(D779:U779))</f>
        <v/>
      </c>
      <c r="X779" s="8">
        <f>IF(COUNT(D779:U779)=0,"",MAX(D779:U779))</f>
        <v/>
      </c>
      <c r="Y779" s="9">
        <f>IF(OR(V779="",V779=0),"",(X779-V779)/V779)</f>
        <v/>
      </c>
      <c r="Z779" s="7">
        <f>IF(COUNT(D779:U779)=0,"",INDEX($D$1:$U$1,MATCH(MIN(D779:U779),D779:U779,0)))</f>
        <v/>
      </c>
      <c r="AA779" s="8" t="n">
        <v>147.5</v>
      </c>
      <c r="AB779" s="10" t="n">
        <v>2</v>
      </c>
    </row>
    <row r="780">
      <c r="A780" s="7" t="inlineStr">
        <is>
          <t>MAT-10-168</t>
        </is>
      </c>
      <c r="B780" s="4" t="inlineStr">
        <is>
          <t>Tubo LED de 9.9 W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210</v>
      </c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>
        <f>IF(COUNT(D780:U780)=0,"",MIN(D780:U780))</f>
        <v/>
      </c>
      <c r="W780" s="8">
        <f>IF(COUNT(D780:U780)=0,"",MEDIAN(D780:U780))</f>
        <v/>
      </c>
      <c r="X780" s="8">
        <f>IF(COUNT(D780:U780)=0,"",MAX(D780:U780))</f>
        <v/>
      </c>
      <c r="Y780" s="9">
        <f>IF(OR(V780="",V780=0),"",(X780-V780)/V780)</f>
        <v/>
      </c>
      <c r="Z780" s="7">
        <f>IF(COUNT(D780:U780)=0,"",INDEX($D$1:$U$1,MATCH(MIN(D780:U780),D780:U780,0)))</f>
        <v/>
      </c>
      <c r="AA780" s="8" t="n">
        <v>210</v>
      </c>
      <c r="AB780" s="10" t="n">
        <v>1</v>
      </c>
    </row>
    <row r="781">
      <c r="A781" s="7" t="inlineStr">
        <is>
          <t>MAT-10-169</t>
        </is>
      </c>
      <c r="B781" s="4" t="inlineStr">
        <is>
          <t>Fotocelda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150</v>
      </c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>
        <f>IF(COUNT(D781:U781)=0,"",MIN(D781:U781))</f>
        <v/>
      </c>
      <c r="W781" s="8">
        <f>IF(COUNT(D781:U781)=0,"",MEDIAN(D781:U781))</f>
        <v/>
      </c>
      <c r="X781" s="8">
        <f>IF(COUNT(D781:U781)=0,"",MAX(D781:U781))</f>
        <v/>
      </c>
      <c r="Y781" s="9">
        <f>IF(OR(V781="",V781=0),"",(X781-V781)/V781)</f>
        <v/>
      </c>
      <c r="Z781" s="7">
        <f>IF(COUNT(D781:U781)=0,"",INDEX($D$1:$U$1,MATCH(MIN(D781:U781),D781:U781,0)))</f>
        <v/>
      </c>
      <c r="AA781" s="8" t="n">
        <v>235</v>
      </c>
      <c r="AB781" s="10" t="n">
        <v>1</v>
      </c>
    </row>
    <row r="782">
      <c r="A782" s="7" t="inlineStr">
        <is>
          <t>MAT-10-170</t>
        </is>
      </c>
      <c r="B782" s="4" t="inlineStr">
        <is>
          <t>Portalámparas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35</v>
      </c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>
        <f>IF(COUNT(D782:U782)=0,"",MIN(D782:U782))</f>
        <v/>
      </c>
      <c r="W782" s="8">
        <f>IF(COUNT(D782:U782)=0,"",MEDIAN(D782:U782))</f>
        <v/>
      </c>
      <c r="X782" s="8">
        <f>IF(COUNT(D782:U782)=0,"",MAX(D782:U782))</f>
        <v/>
      </c>
      <c r="Y782" s="9">
        <f>IF(OR(V782="",V782=0),"",(X782-V782)/V782)</f>
        <v/>
      </c>
      <c r="Z782" s="7">
        <f>IF(COUNT(D782:U782)=0,"",INDEX($D$1:$U$1,MATCH(MIN(D782:U782),D782:U782,0)))</f>
        <v/>
      </c>
      <c r="AA782" s="8" t="n">
        <v>52</v>
      </c>
      <c r="AB782" s="10" t="n">
        <v>1</v>
      </c>
    </row>
    <row r="783">
      <c r="A783" s="7" t="inlineStr">
        <is>
          <t>MAT-10-171</t>
        </is>
      </c>
      <c r="B783" s="4" t="inlineStr">
        <is>
          <t>Portalámparas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>
        <v>29</v>
      </c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>
        <f>IF(COUNT(D783:U783)=0,"",MIN(D783:U783))</f>
        <v/>
      </c>
      <c r="W783" s="8">
        <f>IF(COUNT(D783:U783)=0,"",MEDIAN(D783:U783))</f>
        <v/>
      </c>
      <c r="X783" s="8">
        <f>IF(COUNT(D783:U783)=0,"",MAX(D783:U783))</f>
        <v/>
      </c>
      <c r="Y783" s="9">
        <f>IF(OR(V783="",V783=0),"",(X783-V783)/V783)</f>
        <v/>
      </c>
      <c r="Z783" s="7">
        <f>IF(COUNT(D783:U783)=0,"",INDEX($D$1:$U$1,MATCH(MIN(D783:U783),D783:U783,0)))</f>
        <v/>
      </c>
      <c r="AA783" s="8" t="n">
        <v>45</v>
      </c>
      <c r="AB783" s="10" t="n">
        <v>1</v>
      </c>
    </row>
    <row r="784">
      <c r="A784" s="7" t="inlineStr">
        <is>
          <t>MAT-10-172</t>
        </is>
      </c>
      <c r="B784" s="4" t="inlineStr">
        <is>
          <t>Roseta de techo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>
        <v>115</v>
      </c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>
        <f>IF(COUNT(D784:U784)=0,"",MIN(D784:U784))</f>
        <v/>
      </c>
      <c r="W784" s="8">
        <f>IF(COUNT(D784:U784)=0,"",MEDIAN(D784:U784))</f>
        <v/>
      </c>
      <c r="X784" s="8">
        <f>IF(COUNT(D784:U784)=0,"",MAX(D784:U784))</f>
        <v/>
      </c>
      <c r="Y784" s="9">
        <f>IF(OR(V784="",V784=0),"",(X784-V784)/V784)</f>
        <v/>
      </c>
      <c r="Z784" s="7">
        <f>IF(COUNT(D784:U784)=0,"",INDEX($D$1:$U$1,MATCH(MIN(D784:U784),D784:U784,0)))</f>
        <v/>
      </c>
      <c r="AA784" s="8" t="n">
        <v>115</v>
      </c>
      <c r="AB784" s="10" t="n">
        <v>1</v>
      </c>
    </row>
    <row r="785">
      <c r="A785" s="7" t="inlineStr">
        <is>
          <t>MAT-10-174</t>
        </is>
      </c>
      <c r="B785" s="4" t="inlineStr">
        <is>
          <t>Ojo de buey fijo de 10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1000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>
        <f>IF(COUNT(D785:U785)=0,"",MIN(D785:U785))</f>
        <v/>
      </c>
      <c r="W785" s="8">
        <f>IF(COUNT(D785:U785)=0,"",MEDIAN(D785:U785))</f>
        <v/>
      </c>
      <c r="X785" s="8">
        <f>IF(COUNT(D785:U785)=0,"",MAX(D785:U785))</f>
        <v/>
      </c>
      <c r="Y785" s="9">
        <f>IF(OR(V785="",V785=0),"",(X785-V785)/V785)</f>
        <v/>
      </c>
      <c r="Z785" s="7">
        <f>IF(COUNT(D785:U785)=0,"",INDEX($D$1:$U$1,MATCH(MIN(D785:U785),D785:U785,0)))</f>
        <v/>
      </c>
      <c r="AA785" s="8" t="n">
        <v>1000</v>
      </c>
      <c r="AB785" s="10" t="n">
        <v>1</v>
      </c>
    </row>
    <row r="786">
      <c r="A786" s="7" t="inlineStr">
        <is>
          <t>MAT-10-175</t>
        </is>
      </c>
      <c r="B786" s="4" t="inlineStr">
        <is>
          <t>Ojo de buey fijo de 20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>
        <v>1800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>
        <f>IF(COUNT(D786:U786)=0,"",MIN(D786:U786))</f>
        <v/>
      </c>
      <c r="W786" s="8">
        <f>IF(COUNT(D786:U786)=0,"",MEDIAN(D786:U786))</f>
        <v/>
      </c>
      <c r="X786" s="8">
        <f>IF(COUNT(D786:U786)=0,"",MAX(D786:U786))</f>
        <v/>
      </c>
      <c r="Y786" s="9">
        <f>IF(OR(V786="",V786=0),"",(X786-V786)/V786)</f>
        <v/>
      </c>
      <c r="Z786" s="7">
        <f>IF(COUNT(D786:U786)=0,"",INDEX($D$1:$U$1,MATCH(MIN(D786:U786),D786:U786,0)))</f>
        <v/>
      </c>
      <c r="AA786" s="8" t="n">
        <v>1800</v>
      </c>
      <c r="AB786" s="10" t="n">
        <v>1</v>
      </c>
    </row>
    <row r="787">
      <c r="A787" s="7" t="inlineStr">
        <is>
          <t>MAT-10-176</t>
        </is>
      </c>
      <c r="B787" s="4" t="inlineStr">
        <is>
          <t>Cinta LED blanca, rollo de 100 m</t>
        </is>
      </c>
      <c r="C787" s="7" t="inlineStr">
        <is>
          <t>rollo</t>
        </is>
      </c>
      <c r="D787" s="8" t="n"/>
      <c r="E787" s="8" t="n"/>
      <c r="F787" s="8" t="n"/>
      <c r="G787" s="8" t="n"/>
      <c r="H787" s="8" t="n"/>
      <c r="I787" s="8" t="n"/>
      <c r="J787" s="8" t="n">
        <v>110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>
        <f>IF(COUNT(D787:U787)=0,"",MIN(D787:U787))</f>
        <v/>
      </c>
      <c r="W787" s="8">
        <f>IF(COUNT(D787:U787)=0,"",MEDIAN(D787:U787))</f>
        <v/>
      </c>
      <c r="X787" s="8">
        <f>IF(COUNT(D787:U787)=0,"",MAX(D787:U787))</f>
        <v/>
      </c>
      <c r="Y787" s="9">
        <f>IF(OR(V787="",V787=0),"",(X787-V787)/V787)</f>
        <v/>
      </c>
      <c r="Z787" s="7">
        <f>IF(COUNT(D787:U787)=0,"",INDEX($D$1:$U$1,MATCH(MIN(D787:U787),D787:U787,0)))</f>
        <v/>
      </c>
      <c r="AA787" s="8" t="n">
        <v>110</v>
      </c>
      <c r="AB787" s="10" t="n">
        <v>1</v>
      </c>
    </row>
    <row r="788">
      <c r="A788" s="7" t="inlineStr">
        <is>
          <t>MAT-10-177</t>
        </is>
      </c>
      <c r="B788" s="4" t="inlineStr">
        <is>
          <t>Cinta LED blanca, rollo de 5 m</t>
        </is>
      </c>
      <c r="C788" s="7" t="inlineStr">
        <is>
          <t>rollo</t>
        </is>
      </c>
      <c r="D788" s="8" t="n"/>
      <c r="E788" s="8" t="n"/>
      <c r="F788" s="8" t="n"/>
      <c r="G788" s="8" t="n"/>
      <c r="H788" s="8" t="n"/>
      <c r="I788" s="8" t="n"/>
      <c r="J788" s="8" t="n">
        <v>900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>
        <f>IF(COUNT(D788:U788)=0,"",MIN(D788:U788))</f>
        <v/>
      </c>
      <c r="W788" s="8">
        <f>IF(COUNT(D788:U788)=0,"",MEDIAN(D788:U788))</f>
        <v/>
      </c>
      <c r="X788" s="8">
        <f>IF(COUNT(D788:U788)=0,"",MAX(D788:U788))</f>
        <v/>
      </c>
      <c r="Y788" s="9">
        <f>IF(OR(V788="",V788=0),"",(X788-V788)/V788)</f>
        <v/>
      </c>
      <c r="Z788" s="7">
        <f>IF(COUNT(D788:U788)=0,"",INDEX($D$1:$U$1,MATCH(MIN(D788:U788),D788:U788,0)))</f>
        <v/>
      </c>
      <c r="AA788" s="8" t="n">
        <v>900</v>
      </c>
      <c r="AB788" s="10" t="n">
        <v>1</v>
      </c>
    </row>
    <row r="789">
      <c r="A789" s="7" t="inlineStr">
        <is>
          <t>MAT-10-178</t>
        </is>
      </c>
      <c r="B789" s="4" t="inlineStr">
        <is>
          <t>Cinta LED neón, rollo de 100 m</t>
        </is>
      </c>
      <c r="C789" s="7" t="inlineStr">
        <is>
          <t>rollo</t>
        </is>
      </c>
      <c r="D789" s="8" t="n"/>
      <c r="E789" s="8" t="n"/>
      <c r="F789" s="8" t="n"/>
      <c r="G789" s="8" t="n"/>
      <c r="H789" s="8" t="n"/>
      <c r="I789" s="8" t="n"/>
      <c r="J789" s="8" t="n">
        <v>110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>
        <f>IF(COUNT(D789:U789)=0,"",MIN(D789:U789))</f>
        <v/>
      </c>
      <c r="W789" s="8">
        <f>IF(COUNT(D789:U789)=0,"",MEDIAN(D789:U789))</f>
        <v/>
      </c>
      <c r="X789" s="8">
        <f>IF(COUNT(D789:U789)=0,"",MAX(D789:U789))</f>
        <v/>
      </c>
      <c r="Y789" s="9">
        <f>IF(OR(V789="",V789=0),"",(X789-V789)/V789)</f>
        <v/>
      </c>
      <c r="Z789" s="7">
        <f>IF(COUNT(D789:U789)=0,"",INDEX($D$1:$U$1,MATCH(MIN(D789:U789),D789:U789,0)))</f>
        <v/>
      </c>
      <c r="AA789" s="8" t="n">
        <v>142.5</v>
      </c>
      <c r="AB789" s="10" t="n">
        <v>1</v>
      </c>
    </row>
    <row r="790">
      <c r="A790" s="7" t="inlineStr">
        <is>
          <t>MAT-10-179</t>
        </is>
      </c>
      <c r="B790" s="4" t="inlineStr">
        <is>
          <t>Cinta LED neón, rollo de 5 m</t>
        </is>
      </c>
      <c r="C790" s="7" t="inlineStr">
        <is>
          <t>rollo</t>
        </is>
      </c>
      <c r="D790" s="8" t="n"/>
      <c r="E790" s="8" t="n"/>
      <c r="F790" s="8" t="n"/>
      <c r="G790" s="8" t="n"/>
      <c r="H790" s="8" t="n"/>
      <c r="I790" s="8" t="n"/>
      <c r="J790" s="8" t="n">
        <v>1151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>
        <f>IF(COUNT(D790:U790)=0,"",MIN(D790:U790))</f>
        <v/>
      </c>
      <c r="W790" s="8">
        <f>IF(COUNT(D790:U790)=0,"",MEDIAN(D790:U790))</f>
        <v/>
      </c>
      <c r="X790" s="8">
        <f>IF(COUNT(D790:U790)=0,"",MAX(D790:U790))</f>
        <v/>
      </c>
      <c r="Y790" s="9">
        <f>IF(OR(V790="",V790=0),"",(X790-V790)/V790)</f>
        <v/>
      </c>
      <c r="Z790" s="7">
        <f>IF(COUNT(D790:U790)=0,"",INDEX($D$1:$U$1,MATCH(MIN(D790:U790),D790:U790,0)))</f>
        <v/>
      </c>
      <c r="AA790" s="8" t="n">
        <v>1175.5</v>
      </c>
      <c r="AB790" s="10" t="n">
        <v>1</v>
      </c>
    </row>
    <row r="791">
      <c r="A791" s="7" t="inlineStr">
        <is>
          <t>MAT-10-180</t>
        </is>
      </c>
      <c r="B791" s="4" t="inlineStr">
        <is>
          <t>Perfil de aluminio para cinta LED, esquinero, 2.5 m</t>
        </is>
      </c>
      <c r="C791" s="7" t="inlineStr">
        <is>
          <t>tramo</t>
        </is>
      </c>
      <c r="D791" s="8" t="n"/>
      <c r="E791" s="8" t="n"/>
      <c r="F791" s="8" t="n"/>
      <c r="G791" s="8" t="n"/>
      <c r="H791" s="8" t="n"/>
      <c r="I791" s="8" t="n"/>
      <c r="J791" s="8" t="n">
        <v>1500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>
        <f>IF(COUNT(D791:U791)=0,"",MIN(D791:U791))</f>
        <v/>
      </c>
      <c r="W791" s="8">
        <f>IF(COUNT(D791:U791)=0,"",MEDIAN(D791:U791))</f>
        <v/>
      </c>
      <c r="X791" s="8">
        <f>IF(COUNT(D791:U791)=0,"",MAX(D791:U791))</f>
        <v/>
      </c>
      <c r="Y791" s="9">
        <f>IF(OR(V791="",V791=0),"",(X791-V791)/V791)</f>
        <v/>
      </c>
      <c r="Z791" s="7">
        <f>IF(COUNT(D791:U791)=0,"",INDEX($D$1:$U$1,MATCH(MIN(D791:U791),D791:U791,0)))</f>
        <v/>
      </c>
      <c r="AA791" s="8" t="n">
        <v>1500</v>
      </c>
      <c r="AB791" s="10" t="n">
        <v>1</v>
      </c>
    </row>
    <row r="792">
      <c r="A792" s="7" t="inlineStr">
        <is>
          <t>MAT-10-182</t>
        </is>
      </c>
      <c r="B792" s="4" t="inlineStr">
        <is>
          <t>Fuente de poder para LED de 100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1000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>
        <f>IF(COUNT(D792:U792)=0,"",MIN(D792:U792))</f>
        <v/>
      </c>
      <c r="W792" s="8">
        <f>IF(COUNT(D792:U792)=0,"",MEDIAN(D792:U792))</f>
        <v/>
      </c>
      <c r="X792" s="8">
        <f>IF(COUNT(D792:U792)=0,"",MAX(D792:U792))</f>
        <v/>
      </c>
      <c r="Y792" s="9">
        <f>IF(OR(V792="",V792=0),"",(X792-V792)/V792)</f>
        <v/>
      </c>
      <c r="Z792" s="7">
        <f>IF(COUNT(D792:U792)=0,"",INDEX($D$1:$U$1,MATCH(MIN(D792:U792),D792:U792,0)))</f>
        <v/>
      </c>
      <c r="AA792" s="8" t="n">
        <v>1365</v>
      </c>
      <c r="AB792" s="10" t="n">
        <v>1</v>
      </c>
    </row>
    <row r="793">
      <c r="A793" s="7" t="inlineStr">
        <is>
          <t>MAT-10-183</t>
        </is>
      </c>
      <c r="B793" s="4" t="inlineStr">
        <is>
          <t>Fuente de poder para LED de 150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1263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>
        <f>IF(COUNT(D793:U793)=0,"",MIN(D793:U793))</f>
        <v/>
      </c>
      <c r="W793" s="8">
        <f>IF(COUNT(D793:U793)=0,"",MEDIAN(D793:U793))</f>
        <v/>
      </c>
      <c r="X793" s="8">
        <f>IF(COUNT(D793:U793)=0,"",MAX(D793:U793))</f>
        <v/>
      </c>
      <c r="Y793" s="9">
        <f>IF(OR(V793="",V793=0),"",(X793-V793)/V793)</f>
        <v/>
      </c>
      <c r="Z793" s="7">
        <f>IF(COUNT(D793:U793)=0,"",INDEX($D$1:$U$1,MATCH(MIN(D793:U793),D793:U793,0)))</f>
        <v/>
      </c>
      <c r="AA793" s="8" t="n">
        <v>1551.5</v>
      </c>
      <c r="AB793" s="10" t="n">
        <v>1</v>
      </c>
    </row>
    <row r="794">
      <c r="A794" s="7" t="inlineStr">
        <is>
          <t>MAT-10-184</t>
        </is>
      </c>
      <c r="B794" s="4" t="inlineStr">
        <is>
          <t>Fuente de poder para LED de 200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1723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>
        <f>IF(COUNT(D794:U794)=0,"",MIN(D794:U794))</f>
        <v/>
      </c>
      <c r="W794" s="8">
        <f>IF(COUNT(D794:U794)=0,"",MEDIAN(D794:U794))</f>
        <v/>
      </c>
      <c r="X794" s="8">
        <f>IF(COUNT(D794:U794)=0,"",MAX(D794:U794))</f>
        <v/>
      </c>
      <c r="Y794" s="9">
        <f>IF(OR(V794="",V794=0),"",(X794-V794)/V794)</f>
        <v/>
      </c>
      <c r="Z794" s="7">
        <f>IF(COUNT(D794:U794)=0,"",INDEX($D$1:$U$1,MATCH(MIN(D794:U794),D794:U794,0)))</f>
        <v/>
      </c>
      <c r="AA794" s="8" t="n">
        <v>2006</v>
      </c>
      <c r="AB794" s="10" t="n">
        <v>1</v>
      </c>
    </row>
    <row r="795">
      <c r="A795" s="7" t="inlineStr">
        <is>
          <t>MAT-10-185</t>
        </is>
      </c>
      <c r="B795" s="4" t="inlineStr">
        <is>
          <t>Fuente de poder para LED de 250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2006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>
        <f>IF(COUNT(D795:U795)=0,"",MIN(D795:U795))</f>
        <v/>
      </c>
      <c r="W795" s="8">
        <f>IF(COUNT(D795:U795)=0,"",MEDIAN(D795:U795))</f>
        <v/>
      </c>
      <c r="X795" s="8">
        <f>IF(COUNT(D795:U795)=0,"",MAX(D795:U795))</f>
        <v/>
      </c>
      <c r="Y795" s="9">
        <f>IF(OR(V795="",V795=0),"",(X795-V795)/V795)</f>
        <v/>
      </c>
      <c r="Z795" s="7">
        <f>IF(COUNT(D795:U795)=0,"",INDEX($D$1:$U$1,MATCH(MIN(D795:U795),D795:U795,0)))</f>
        <v/>
      </c>
      <c r="AA795" s="8" t="n">
        <v>2006</v>
      </c>
      <c r="AB795" s="10" t="n">
        <v>1</v>
      </c>
    </row>
    <row r="796">
      <c r="A796" s="7" t="inlineStr">
        <is>
          <t>MAT-10-186</t>
        </is>
      </c>
      <c r="B796" s="4" t="inlineStr">
        <is>
          <t>Fuente de poder para LED de 300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2071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>
        <f>IF(COUNT(D796:U796)=0,"",MIN(D796:U796))</f>
        <v/>
      </c>
      <c r="W796" s="8">
        <f>IF(COUNT(D796:U796)=0,"",MEDIAN(D796:U796))</f>
        <v/>
      </c>
      <c r="X796" s="8">
        <f>IF(COUNT(D796:U796)=0,"",MAX(D796:U796))</f>
        <v/>
      </c>
      <c r="Y796" s="9">
        <f>IF(OR(V796="",V796=0),"",(X796-V796)/V796)</f>
        <v/>
      </c>
      <c r="Z796" s="7">
        <f>IF(COUNT(D796:U796)=0,"",INDEX($D$1:$U$1,MATCH(MIN(D796:U796),D796:U796,0)))</f>
        <v/>
      </c>
      <c r="AA796" s="8" t="n">
        <v>2071</v>
      </c>
      <c r="AB796" s="10" t="n">
        <v>1</v>
      </c>
    </row>
    <row r="797">
      <c r="A797" s="7" t="inlineStr">
        <is>
          <t>MAT-10-187</t>
        </is>
      </c>
      <c r="B797" s="4" t="inlineStr">
        <is>
          <t>Fuente de poder para LED de 400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2431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>
        <f>IF(COUNT(D797:U797)=0,"",MIN(D797:U797))</f>
        <v/>
      </c>
      <c r="W797" s="8">
        <f>IF(COUNT(D797:U797)=0,"",MEDIAN(D797:U797))</f>
        <v/>
      </c>
      <c r="X797" s="8">
        <f>IF(COUNT(D797:U797)=0,"",MAX(D797:U797))</f>
        <v/>
      </c>
      <c r="Y797" s="9">
        <f>IF(OR(V797="",V797=0),"",(X797-V797)/V797)</f>
        <v/>
      </c>
      <c r="Z797" s="7">
        <f>IF(COUNT(D797:U797)=0,"",INDEX($D$1:$U$1,MATCH(MIN(D797:U797),D797:U797,0)))</f>
        <v/>
      </c>
      <c r="AA797" s="8" t="n">
        <v>2431</v>
      </c>
      <c r="AB797" s="10" t="n">
        <v>1</v>
      </c>
    </row>
    <row r="798">
      <c r="A798" s="7" t="inlineStr">
        <is>
          <t>MAT-10-188</t>
        </is>
      </c>
      <c r="B798" s="4" t="inlineStr">
        <is>
          <t>Fuente de poder para LED de 60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770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>
        <f>IF(COUNT(D798:U798)=0,"",MIN(D798:U798))</f>
        <v/>
      </c>
      <c r="W798" s="8">
        <f>IF(COUNT(D798:U798)=0,"",MEDIAN(D798:U798))</f>
        <v/>
      </c>
      <c r="X798" s="8">
        <f>IF(COUNT(D798:U798)=0,"",MAX(D798:U798))</f>
        <v/>
      </c>
      <c r="Y798" s="9">
        <f>IF(OR(V798="",V798=0),"",(X798-V798)/V798)</f>
        <v/>
      </c>
      <c r="Z798" s="7">
        <f>IF(COUNT(D798:U798)=0,"",INDEX($D$1:$U$1,MATCH(MIN(D798:U798),D798:U798,0)))</f>
        <v/>
      </c>
      <c r="AA798" s="8" t="n">
        <v>770</v>
      </c>
      <c r="AB798" s="10" t="n">
        <v>1</v>
      </c>
    </row>
    <row r="799">
      <c r="A799" s="7" t="inlineStr">
        <is>
          <t>MAT-10-189</t>
        </is>
      </c>
      <c r="B799" s="4" t="inlineStr">
        <is>
          <t>Campana LED industrial de 100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1500</v>
      </c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>
        <f>IF(COUNT(D799:U799)=0,"",MIN(D799:U799))</f>
        <v/>
      </c>
      <c r="W799" s="8">
        <f>IF(COUNT(D799:U799)=0,"",MEDIAN(D799:U799))</f>
        <v/>
      </c>
      <c r="X799" s="8">
        <f>IF(COUNT(D799:U799)=0,"",MAX(D799:U799))</f>
        <v/>
      </c>
      <c r="Y799" s="9">
        <f>IF(OR(V799="",V799=0),"",(X799-V799)/V799)</f>
        <v/>
      </c>
      <c r="Z799" s="7">
        <f>IF(COUNT(D799:U799)=0,"",INDEX($D$1:$U$1,MATCH(MIN(D799:U799),D799:U799,0)))</f>
        <v/>
      </c>
      <c r="AA799" s="8" t="n">
        <v>4162.5</v>
      </c>
      <c r="AB799" s="10" t="n">
        <v>1</v>
      </c>
    </row>
    <row r="800">
      <c r="A800" s="7" t="inlineStr">
        <is>
          <t>MAT-10-190</t>
        </is>
      </c>
      <c r="B800" s="4" t="inlineStr">
        <is>
          <t>Campana LED industrial de 150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5830</v>
      </c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>
        <f>IF(COUNT(D800:U800)=0,"",MIN(D800:U800))</f>
        <v/>
      </c>
      <c r="W800" s="8">
        <f>IF(COUNT(D800:U800)=0,"",MEDIAN(D800:U800))</f>
        <v/>
      </c>
      <c r="X800" s="8">
        <f>IF(COUNT(D800:U800)=0,"",MAX(D800:U800))</f>
        <v/>
      </c>
      <c r="Y800" s="9">
        <f>IF(OR(V800="",V800=0),"",(X800-V800)/V800)</f>
        <v/>
      </c>
      <c r="Z800" s="7">
        <f>IF(COUNT(D800:U800)=0,"",INDEX($D$1:$U$1,MATCH(MIN(D800:U800),D800:U800,0)))</f>
        <v/>
      </c>
      <c r="AA800" s="8" t="n">
        <v>6365</v>
      </c>
      <c r="AB800" s="10" t="n">
        <v>1</v>
      </c>
    </row>
    <row r="801">
      <c r="A801" s="7" t="inlineStr">
        <is>
          <t>MAT-10-191</t>
        </is>
      </c>
      <c r="B801" s="4" t="inlineStr">
        <is>
          <t>Campana LED industrial de 200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2500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>
        <f>IF(COUNT(D801:U801)=0,"",MIN(D801:U801))</f>
        <v/>
      </c>
      <c r="W801" s="8">
        <f>IF(COUNT(D801:U801)=0,"",MEDIAN(D801:U801))</f>
        <v/>
      </c>
      <c r="X801" s="8">
        <f>IF(COUNT(D801:U801)=0,"",MAX(D801:U801))</f>
        <v/>
      </c>
      <c r="Y801" s="9">
        <f>IF(OR(V801="",V801=0),"",(X801-V801)/V801)</f>
        <v/>
      </c>
      <c r="Z801" s="7">
        <f>IF(COUNT(D801:U801)=0,"",INDEX($D$1:$U$1,MATCH(MIN(D801:U801),D801:U801,0)))</f>
        <v/>
      </c>
      <c r="AA801" s="8" t="n">
        <v>2500</v>
      </c>
      <c r="AB801" s="10" t="n">
        <v>1</v>
      </c>
    </row>
    <row r="802">
      <c r="A802" s="7" t="inlineStr">
        <is>
          <t>MAT-10-192</t>
        </is>
      </c>
      <c r="B802" s="4" t="inlineStr">
        <is>
          <t>Campana LED industrial de 50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4000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>
        <f>IF(COUNT(D802:U802)=0,"",MIN(D802:U802))</f>
        <v/>
      </c>
      <c r="W802" s="8">
        <f>IF(COUNT(D802:U802)=0,"",MEDIAN(D802:U802))</f>
        <v/>
      </c>
      <c r="X802" s="8">
        <f>IF(COUNT(D802:U802)=0,"",MAX(D802:U802))</f>
        <v/>
      </c>
      <c r="Y802" s="9">
        <f>IF(OR(V802="",V802=0),"",(X802-V802)/V802)</f>
        <v/>
      </c>
      <c r="Z802" s="7">
        <f>IF(COUNT(D802:U802)=0,"",INDEX($D$1:$U$1,MATCH(MIN(D802:U802),D802:U802,0)))</f>
        <v/>
      </c>
      <c r="AA802" s="8" t="n">
        <v>4045</v>
      </c>
      <c r="AB802" s="10" t="n">
        <v>1</v>
      </c>
    </row>
    <row r="803">
      <c r="A803" s="7" t="inlineStr">
        <is>
          <t>MAT-10-193</t>
        </is>
      </c>
      <c r="B803" s="4" t="inlineStr">
        <is>
          <t>Campana LED industrial de 60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4500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>
        <f>IF(COUNT(D803:U803)=0,"",MIN(D803:U803))</f>
        <v/>
      </c>
      <c r="W803" s="8">
        <f>IF(COUNT(D803:U803)=0,"",MEDIAN(D803:U803))</f>
        <v/>
      </c>
      <c r="X803" s="8">
        <f>IF(COUNT(D803:U803)=0,"",MAX(D803:U803))</f>
        <v/>
      </c>
      <c r="Y803" s="9">
        <f>IF(OR(V803="",V803=0),"",(X803-V803)/V803)</f>
        <v/>
      </c>
      <c r="Z803" s="7">
        <f>IF(COUNT(D803:U803)=0,"",INDEX($D$1:$U$1,MATCH(MIN(D803:U803),D803:U803,0)))</f>
        <v/>
      </c>
      <c r="AA803" s="8" t="n">
        <v>4500</v>
      </c>
      <c r="AB803" s="10" t="n">
        <v>1</v>
      </c>
    </row>
    <row r="804">
      <c r="A804" s="7" t="inlineStr">
        <is>
          <t>MAT-10-194</t>
        </is>
      </c>
      <c r="B804" s="4" t="inlineStr">
        <is>
          <t>Interruptor con tomacorriente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>
        <v>465</v>
      </c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>
        <f>IF(COUNT(D804:U804)=0,"",MIN(D804:U804))</f>
        <v/>
      </c>
      <c r="W804" s="8">
        <f>IF(COUNT(D804:U804)=0,"",MEDIAN(D804:U804))</f>
        <v/>
      </c>
      <c r="X804" s="8">
        <f>IF(COUNT(D804:U804)=0,"",MAX(D804:U804))</f>
        <v/>
      </c>
      <c r="Y804" s="9">
        <f>IF(OR(V804="",V804=0),"",(X804-V804)/V804)</f>
        <v/>
      </c>
      <c r="Z804" s="7">
        <f>IF(COUNT(D804:U804)=0,"",INDEX($D$1:$U$1,MATCH(MIN(D804:U804),D804:U804,0)))</f>
        <v/>
      </c>
      <c r="AA804" s="8" t="n">
        <v>500</v>
      </c>
      <c r="AB804" s="10" t="n">
        <v>1</v>
      </c>
    </row>
    <row r="805">
      <c r="A805" s="7" t="inlineStr">
        <is>
          <t>MAT-10-195</t>
        </is>
      </c>
      <c r="B805" s="4" t="inlineStr">
        <is>
          <t>Interruptor conmutador</t>
        </is>
      </c>
      <c r="C805" s="7" t="inlineStr">
        <is>
          <t>unidad</t>
        </is>
      </c>
      <c r="D805" s="8" t="n"/>
      <c r="E805" s="8" t="n">
        <v>14.74</v>
      </c>
      <c r="F805" s="8" t="n"/>
      <c r="G805" s="8" t="n"/>
      <c r="H805" s="8" t="n"/>
      <c r="I805" s="8" t="n">
        <v>45</v>
      </c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>
        <f>IF(COUNT(D805:U805)=0,"",MIN(D805:U805))</f>
        <v/>
      </c>
      <c r="W805" s="8">
        <f>IF(COUNT(D805:U805)=0,"",MEDIAN(D805:U805))</f>
        <v/>
      </c>
      <c r="X805" s="8">
        <f>IF(COUNT(D805:U805)=0,"",MAX(D805:U805))</f>
        <v/>
      </c>
      <c r="Y805" s="9">
        <f>IF(OR(V805="",V805=0),"",(X805-V805)/V805)</f>
        <v/>
      </c>
      <c r="Z805" s="7">
        <f>IF(COUNT(D805:U805)=0,"",INDEX($D$1:$U$1,MATCH(MIN(D805:U805),D805:U805,0)))</f>
        <v/>
      </c>
      <c r="AA805" s="8" t="n">
        <v>191.22</v>
      </c>
      <c r="AB805" s="10" t="n">
        <v>2</v>
      </c>
    </row>
    <row r="806">
      <c r="A806" s="7" t="inlineStr">
        <is>
          <t>MAT-10-196</t>
        </is>
      </c>
      <c r="B806" s="4" t="inlineStr">
        <is>
          <t>Interruptor de 3 vías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>
        <v>395</v>
      </c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>
        <f>IF(COUNT(D806:U806)=0,"",MIN(D806:U806))</f>
        <v/>
      </c>
      <c r="W806" s="8">
        <f>IF(COUNT(D806:U806)=0,"",MEDIAN(D806:U806))</f>
        <v/>
      </c>
      <c r="X806" s="8">
        <f>IF(COUNT(D806:U806)=0,"",MAX(D806:U806))</f>
        <v/>
      </c>
      <c r="Y806" s="9">
        <f>IF(OR(V806="",V806=0),"",(X806-V806)/V806)</f>
        <v/>
      </c>
      <c r="Z806" s="7">
        <f>IF(COUNT(D806:U806)=0,"",INDEX($D$1:$U$1,MATCH(MIN(D806:U806),D806:U806,0)))</f>
        <v/>
      </c>
      <c r="AA806" s="8" t="n">
        <v>542.5</v>
      </c>
      <c r="AB806" s="10" t="n">
        <v>1</v>
      </c>
    </row>
    <row r="807">
      <c r="A807" s="7" t="inlineStr">
        <is>
          <t>MAT-10-197</t>
        </is>
      </c>
      <c r="B807" s="4" t="inlineStr">
        <is>
          <t>Interruptor de 4 vías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>
        <v>390</v>
      </c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>
        <f>IF(COUNT(D807:U807)=0,"",MIN(D807:U807))</f>
        <v/>
      </c>
      <c r="W807" s="8">
        <f>IF(COUNT(D807:U807)=0,"",MEDIAN(D807:U807))</f>
        <v/>
      </c>
      <c r="X807" s="8">
        <f>IF(COUNT(D807:U807)=0,"",MAX(D807:U807))</f>
        <v/>
      </c>
      <c r="Y807" s="9">
        <f>IF(OR(V807="",V807=0),"",(X807-V807)/V807)</f>
        <v/>
      </c>
      <c r="Z807" s="7">
        <f>IF(COUNT(D807:U807)=0,"",INDEX($D$1:$U$1,MATCH(MIN(D807:U807),D807:U807,0)))</f>
        <v/>
      </c>
      <c r="AA807" s="8" t="n">
        <v>467.5</v>
      </c>
      <c r="AB807" s="10" t="n">
        <v>1</v>
      </c>
    </row>
    <row r="808">
      <c r="A808" s="7" t="inlineStr">
        <is>
          <t>MAT-10-198</t>
        </is>
      </c>
      <c r="B808" s="4" t="inlineStr">
        <is>
          <t>Interruptor dimmer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>
        <v>960</v>
      </c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>
        <f>IF(COUNT(D808:U808)=0,"",MIN(D808:U808))</f>
        <v/>
      </c>
      <c r="W808" s="8">
        <f>IF(COUNT(D808:U808)=0,"",MEDIAN(D808:U808))</f>
        <v/>
      </c>
      <c r="X808" s="8">
        <f>IF(COUNT(D808:U808)=0,"",MAX(D808:U808))</f>
        <v/>
      </c>
      <c r="Y808" s="9">
        <f>IF(OR(V808="",V808=0),"",(X808-V808)/V808)</f>
        <v/>
      </c>
      <c r="Z808" s="7">
        <f>IF(COUNT(D808:U808)=0,"",INDEX($D$1:$U$1,MATCH(MIN(D808:U808),D808:U808,0)))</f>
        <v/>
      </c>
      <c r="AA808" s="8" t="n">
        <v>1112.5</v>
      </c>
      <c r="AB808" s="10" t="n">
        <v>1</v>
      </c>
    </row>
    <row r="809">
      <c r="A809" s="7" t="inlineStr">
        <is>
          <t>MAT-10-199</t>
        </is>
      </c>
      <c r="B809" s="4" t="inlineStr">
        <is>
          <t>Interruptor doble</t>
        </is>
      </c>
      <c r="C809" s="7" t="inlineStr">
        <is>
          <t>unidad</t>
        </is>
      </c>
      <c r="D809" s="8" t="n"/>
      <c r="E809" s="8" t="n">
        <v>86</v>
      </c>
      <c r="F809" s="8" t="n"/>
      <c r="G809" s="8" t="n"/>
      <c r="H809" s="8" t="n"/>
      <c r="I809" s="8" t="n">
        <v>45</v>
      </c>
      <c r="J809" s="8" t="n"/>
      <c r="K809" s="8" t="n"/>
      <c r="L809" s="8" t="n">
        <v>145</v>
      </c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>
        <f>IF(COUNT(D809:U809)=0,"",MIN(D809:U809))</f>
        <v/>
      </c>
      <c r="W809" s="8">
        <f>IF(COUNT(D809:U809)=0,"",MEDIAN(D809:U809))</f>
        <v/>
      </c>
      <c r="X809" s="8">
        <f>IF(COUNT(D809:U809)=0,"",MAX(D809:U809))</f>
        <v/>
      </c>
      <c r="Y809" s="9">
        <f>IF(OR(V809="",V809=0),"",(X809-V809)/V809)</f>
        <v/>
      </c>
      <c r="Z809" s="7">
        <f>IF(COUNT(D809:U809)=0,"",INDEX($D$1:$U$1,MATCH(MIN(D809:U809),D809:U809,0)))</f>
        <v/>
      </c>
      <c r="AA809" s="8" t="n">
        <v>225</v>
      </c>
      <c r="AB809" s="10" t="n">
        <v>3</v>
      </c>
    </row>
    <row r="810">
      <c r="A810" s="7" t="inlineStr">
        <is>
          <t>MAT-10-200</t>
        </is>
      </c>
      <c r="B810" s="4" t="inlineStr">
        <is>
          <t>Interruptor sencillo</t>
        </is>
      </c>
      <c r="C810" s="7" t="inlineStr">
        <is>
          <t>unidad</t>
        </is>
      </c>
      <c r="D810" s="8" t="n"/>
      <c r="E810" s="8" t="n">
        <v>49.48</v>
      </c>
      <c r="F810" s="8" t="n"/>
      <c r="G810" s="8" t="n"/>
      <c r="H810" s="8" t="n"/>
      <c r="I810" s="8" t="n">
        <v>30</v>
      </c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>
        <f>IF(COUNT(D810:U810)=0,"",MIN(D810:U810))</f>
        <v/>
      </c>
      <c r="W810" s="8">
        <f>IF(COUNT(D810:U810)=0,"",MEDIAN(D810:U810))</f>
        <v/>
      </c>
      <c r="X810" s="8">
        <f>IF(COUNT(D810:U810)=0,"",MAX(D810:U810))</f>
        <v/>
      </c>
      <c r="Y810" s="9">
        <f>IF(OR(V810="",V810=0),"",(X810-V810)/V810)</f>
        <v/>
      </c>
      <c r="Z810" s="7">
        <f>IF(COUNT(D810:U810)=0,"",INDEX($D$1:$U$1,MATCH(MIN(D810:U810),D810:U810,0)))</f>
        <v/>
      </c>
      <c r="AA810" s="8" t="n">
        <v>99</v>
      </c>
      <c r="AB810" s="10" t="n">
        <v>2</v>
      </c>
    </row>
    <row r="811">
      <c r="A811" s="7" t="inlineStr">
        <is>
          <t>MAT-10-201</t>
        </is>
      </c>
      <c r="B811" s="4" t="inlineStr">
        <is>
          <t>Interruptor triple</t>
        </is>
      </c>
      <c r="C811" s="7" t="inlineStr">
        <is>
          <t>unidad</t>
        </is>
      </c>
      <c r="D811" s="8" t="n"/>
      <c r="E811" s="8" t="n">
        <v>92</v>
      </c>
      <c r="F811" s="8" t="n"/>
      <c r="G811" s="8" t="n"/>
      <c r="H811" s="8" t="n"/>
      <c r="I811" s="8" t="n">
        <v>60</v>
      </c>
      <c r="J811" s="8" t="n"/>
      <c r="K811" s="8" t="n"/>
      <c r="L811" s="8" t="n">
        <v>325</v>
      </c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>
        <f>IF(COUNT(D811:U811)=0,"",MIN(D811:U811))</f>
        <v/>
      </c>
      <c r="W811" s="8">
        <f>IF(COUNT(D811:U811)=0,"",MEDIAN(D811:U811))</f>
        <v/>
      </c>
      <c r="X811" s="8">
        <f>IF(COUNT(D811:U811)=0,"",MAX(D811:U811))</f>
        <v/>
      </c>
      <c r="Y811" s="9">
        <f>IF(OR(V811="",V811=0),"",(X811-V811)/V811)</f>
        <v/>
      </c>
      <c r="Z811" s="7">
        <f>IF(COUNT(D811:U811)=0,"",INDEX($D$1:$U$1,MATCH(MIN(D811:U811),D811:U811,0)))</f>
        <v/>
      </c>
      <c r="AA811" s="8" t="n">
        <v>235</v>
      </c>
      <c r="AB811" s="10" t="n">
        <v>3</v>
      </c>
    </row>
    <row r="812">
      <c r="A812" s="7" t="inlineStr">
        <is>
          <t>MAT-10-202</t>
        </is>
      </c>
      <c r="B812" s="4" t="inlineStr">
        <is>
          <t>Tomacorriente con USB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460</v>
      </c>
      <c r="J812" s="8" t="n"/>
      <c r="K812" s="8" t="n"/>
      <c r="L812" s="8" t="n">
        <v>1085</v>
      </c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>
        <f>IF(COUNT(D812:U812)=0,"",MIN(D812:U812))</f>
        <v/>
      </c>
      <c r="W812" s="8">
        <f>IF(COUNT(D812:U812)=0,"",MEDIAN(D812:U812))</f>
        <v/>
      </c>
      <c r="X812" s="8">
        <f>IF(COUNT(D812:U812)=0,"",MAX(D812:U812))</f>
        <v/>
      </c>
      <c r="Y812" s="9">
        <f>IF(OR(V812="",V812=0),"",(X812-V812)/V812)</f>
        <v/>
      </c>
      <c r="Z812" s="7">
        <f>IF(COUNT(D812:U812)=0,"",INDEX($D$1:$U$1,MATCH(MIN(D812:U812),D812:U812,0)))</f>
        <v/>
      </c>
      <c r="AA812" s="8" t="n">
        <v>550</v>
      </c>
      <c r="AB812" s="10" t="n">
        <v>2</v>
      </c>
    </row>
    <row r="813">
      <c r="A813" s="7" t="inlineStr">
        <is>
          <t>MAT-10-203</t>
        </is>
      </c>
      <c r="B813" s="4" t="inlineStr">
        <is>
          <t>Tomacorriente doble</t>
        </is>
      </c>
      <c r="C813" s="7" t="inlineStr">
        <is>
          <t>unidad</t>
        </is>
      </c>
      <c r="D813" s="8" t="n"/>
      <c r="E813" s="8" t="n">
        <v>75</v>
      </c>
      <c r="F813" s="8" t="n"/>
      <c r="G813" s="8" t="n"/>
      <c r="H813" s="8" t="n"/>
      <c r="I813" s="8" t="n">
        <v>34</v>
      </c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>
        <f>IF(COUNT(D813:U813)=0,"",MIN(D813:U813))</f>
        <v/>
      </c>
      <c r="W813" s="8">
        <f>IF(COUNT(D813:U813)=0,"",MEDIAN(D813:U813))</f>
        <v/>
      </c>
      <c r="X813" s="8">
        <f>IF(COUNT(D813:U813)=0,"",MAX(D813:U813))</f>
        <v/>
      </c>
      <c r="Y813" s="9">
        <f>IF(OR(V813="",V813=0),"",(X813-V813)/V813)</f>
        <v/>
      </c>
      <c r="Z813" s="7">
        <f>IF(COUNT(D813:U813)=0,"",INDEX($D$1:$U$1,MATCH(MIN(D813:U813),D813:U813,0)))</f>
        <v/>
      </c>
      <c r="AA813" s="8" t="n">
        <v>197</v>
      </c>
      <c r="AB813" s="10" t="n">
        <v>2</v>
      </c>
    </row>
    <row r="814">
      <c r="A814" s="7" t="inlineStr">
        <is>
          <t>MAT-10-204</t>
        </is>
      </c>
      <c r="B814" s="4" t="inlineStr">
        <is>
          <t>Tomacorriente gfci</t>
        </is>
      </c>
      <c r="C814" s="7" t="inlineStr">
        <is>
          <t>unidad</t>
        </is>
      </c>
      <c r="D814" s="8" t="n"/>
      <c r="E814" s="8" t="n">
        <v>1467.04</v>
      </c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>
        <f>IF(COUNT(D814:U814)=0,"",MIN(D814:U814))</f>
        <v/>
      </c>
      <c r="W814" s="8">
        <f>IF(COUNT(D814:U814)=0,"",MEDIAN(D814:U814))</f>
        <v/>
      </c>
      <c r="X814" s="8">
        <f>IF(COUNT(D814:U814)=0,"",MAX(D814:U814))</f>
        <v/>
      </c>
      <c r="Y814" s="9">
        <f>IF(OR(V814="",V814=0),"",(X814-V814)/V814)</f>
        <v/>
      </c>
      <c r="Z814" s="7">
        <f>IF(COUNT(D814:U814)=0,"",INDEX($D$1:$U$1,MATCH(MIN(D814:U814),D814:U814,0)))</f>
        <v/>
      </c>
      <c r="AA814" s="8" t="n">
        <v>2121.5</v>
      </c>
      <c r="AB814" s="10" t="n">
        <v>1</v>
      </c>
    </row>
    <row r="815">
      <c r="A815" s="7" t="inlineStr">
        <is>
          <t>MAT-10-205</t>
        </is>
      </c>
      <c r="B815" s="4" t="inlineStr">
        <is>
          <t>Tomacorriente sencillo</t>
        </is>
      </c>
      <c r="C815" s="7" t="inlineStr">
        <is>
          <t>unidad</t>
        </is>
      </c>
      <c r="D815" s="8" t="n"/>
      <c r="E815" s="8" t="n">
        <v>210.98</v>
      </c>
      <c r="F815" s="8" t="n"/>
      <c r="G815" s="8" t="n"/>
      <c r="H815" s="8" t="n"/>
      <c r="I815" s="8" t="n">
        <v>39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>
        <f>IF(COUNT(D815:U815)=0,"",MIN(D815:U815))</f>
        <v/>
      </c>
      <c r="W815" s="8">
        <f>IF(COUNT(D815:U815)=0,"",MEDIAN(D815:U815))</f>
        <v/>
      </c>
      <c r="X815" s="8">
        <f>IF(COUNT(D815:U815)=0,"",MAX(D815:U815))</f>
        <v/>
      </c>
      <c r="Y815" s="9">
        <f>IF(OR(V815="",V815=0),"",(X815-V815)/V815)</f>
        <v/>
      </c>
      <c r="Z815" s="7">
        <f>IF(COUNT(D815:U815)=0,"",INDEX($D$1:$U$1,MATCH(MIN(D815:U815),D815:U815,0)))</f>
        <v/>
      </c>
      <c r="AA815" s="8" t="n">
        <v>70</v>
      </c>
      <c r="AB815" s="10" t="n">
        <v>2</v>
      </c>
    </row>
    <row r="816">
      <c r="A816" s="7" t="inlineStr">
        <is>
          <t>MAT-10-206</t>
        </is>
      </c>
      <c r="B816" s="4" t="inlineStr">
        <is>
          <t>ciega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11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>
        <f>IF(COUNT(D816:U816)=0,"",MIN(D816:U816))</f>
        <v/>
      </c>
      <c r="W816" s="8">
        <f>IF(COUNT(D816:U816)=0,"",MEDIAN(D816:U816))</f>
        <v/>
      </c>
      <c r="X816" s="8">
        <f>IF(COUNT(D816:U816)=0,"",MAX(D816:U816))</f>
        <v/>
      </c>
      <c r="Y816" s="9">
        <f>IF(OR(V816="",V816=0),"",(X816-V816)/V816)</f>
        <v/>
      </c>
      <c r="Z816" s="7">
        <f>IF(COUNT(D816:U816)=0,"",INDEX($D$1:$U$1,MATCH(MIN(D816:U816),D816:U816,0)))</f>
        <v/>
      </c>
      <c r="AA816" s="8" t="n">
        <v>49</v>
      </c>
      <c r="AB816" s="10" t="n">
        <v>1</v>
      </c>
    </row>
    <row r="817">
      <c r="A817" s="7" t="inlineStr">
        <is>
          <t>MAT-10-207</t>
        </is>
      </c>
      <c r="B817" s="4" t="inlineStr">
        <is>
          <t>doble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>
        <v>15</v>
      </c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>
        <f>IF(COUNT(D817:U817)=0,"",MIN(D817:U817))</f>
        <v/>
      </c>
      <c r="W817" s="8">
        <f>IF(COUNT(D817:U817)=0,"",MEDIAN(D817:U817))</f>
        <v/>
      </c>
      <c r="X817" s="8">
        <f>IF(COUNT(D817:U817)=0,"",MAX(D817:U817))</f>
        <v/>
      </c>
      <c r="Y817" s="9">
        <f>IF(OR(V817="",V817=0),"",(X817-V817)/V817)</f>
        <v/>
      </c>
      <c r="Z817" s="7">
        <f>IF(COUNT(D817:U817)=0,"",INDEX($D$1:$U$1,MATCH(MIN(D817:U817),D817:U817,0)))</f>
        <v/>
      </c>
      <c r="AA817" s="8" t="n">
        <v>132.5</v>
      </c>
      <c r="AB817" s="10" t="n">
        <v>1</v>
      </c>
    </row>
    <row r="818">
      <c r="A818" s="7" t="inlineStr">
        <is>
          <t>MAT-10-208</t>
        </is>
      </c>
      <c r="B818" s="4" t="inlineStr">
        <is>
          <t>Placa de 3 módulos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85</v>
      </c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>
        <f>IF(COUNT(D818:U818)=0,"",MIN(D818:U818))</f>
        <v/>
      </c>
      <c r="W818" s="8">
        <f>IF(COUNT(D818:U818)=0,"",MEDIAN(D818:U818))</f>
        <v/>
      </c>
      <c r="X818" s="8">
        <f>IF(COUNT(D818:U818)=0,"",MAX(D818:U818))</f>
        <v/>
      </c>
      <c r="Y818" s="9">
        <f>IF(OR(V818="",V818=0),"",(X818-V818)/V818)</f>
        <v/>
      </c>
      <c r="Z818" s="7">
        <f>IF(COUNT(D818:U818)=0,"",INDEX($D$1:$U$1,MATCH(MIN(D818:U818),D818:U818,0)))</f>
        <v/>
      </c>
      <c r="AA818" s="8" t="n">
        <v>85</v>
      </c>
      <c r="AB818" s="10" t="n">
        <v>1</v>
      </c>
    </row>
    <row r="819">
      <c r="A819" s="7" t="inlineStr">
        <is>
          <t>MAT-10-209</t>
        </is>
      </c>
      <c r="B819" s="4" t="inlineStr">
        <is>
          <t>Placa de 7 módulos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1620</v>
      </c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>
        <f>IF(COUNT(D819:U819)=0,"",MIN(D819:U819))</f>
        <v/>
      </c>
      <c r="W819" s="8">
        <f>IF(COUNT(D819:U819)=0,"",MEDIAN(D819:U819))</f>
        <v/>
      </c>
      <c r="X819" s="8">
        <f>IF(COUNT(D819:U819)=0,"",MAX(D819:U819))</f>
        <v/>
      </c>
      <c r="Y819" s="9">
        <f>IF(OR(V819="",V819=0),"",(X819-V819)/V819)</f>
        <v/>
      </c>
      <c r="Z819" s="7">
        <f>IF(COUNT(D819:U819)=0,"",INDEX($D$1:$U$1,MATCH(MIN(D819:U819),D819:U819,0)))</f>
        <v/>
      </c>
      <c r="AA819" s="8" t="n">
        <v>1620</v>
      </c>
      <c r="AB819" s="10" t="n">
        <v>1</v>
      </c>
    </row>
    <row r="820">
      <c r="A820" s="7" t="inlineStr">
        <is>
          <t>MAT-10-210</t>
        </is>
      </c>
      <c r="B820" s="4" t="inlineStr">
        <is>
          <t>Placa de pared de 2 huecos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>
        <v>9.99</v>
      </c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>
        <f>IF(COUNT(D820:U820)=0,"",MIN(D820:U820))</f>
        <v/>
      </c>
      <c r="W820" s="8">
        <f>IF(COUNT(D820:U820)=0,"",MEDIAN(D820:U820))</f>
        <v/>
      </c>
      <c r="X820" s="8">
        <f>IF(COUNT(D820:U820)=0,"",MAX(D820:U820))</f>
        <v/>
      </c>
      <c r="Y820" s="9">
        <f>IF(OR(V820="",V820=0),"",(X820-V820)/V820)</f>
        <v/>
      </c>
      <c r="Z820" s="7">
        <f>IF(COUNT(D820:U820)=0,"",INDEX($D$1:$U$1,MATCH(MIN(D820:U820),D820:U820,0)))</f>
        <v/>
      </c>
      <c r="AA820" s="8" t="n">
        <v>9.99</v>
      </c>
      <c r="AB820" s="10" t="n">
        <v>1</v>
      </c>
    </row>
    <row r="821">
      <c r="A821" s="7" t="inlineStr">
        <is>
          <t>MAT-10-211</t>
        </is>
      </c>
      <c r="B821" s="4" t="inlineStr">
        <is>
          <t>sencilla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>
        <v>45</v>
      </c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>
        <f>IF(COUNT(D821:U821)=0,"",MIN(D821:U821))</f>
        <v/>
      </c>
      <c r="W821" s="8">
        <f>IF(COUNT(D821:U821)=0,"",MEDIAN(D821:U821))</f>
        <v/>
      </c>
      <c r="X821" s="8">
        <f>IF(COUNT(D821:U821)=0,"",MAX(D821:U821))</f>
        <v/>
      </c>
      <c r="Y821" s="9">
        <f>IF(OR(V821="",V821=0),"",(X821-V821)/V821)</f>
        <v/>
      </c>
      <c r="Z821" s="7">
        <f>IF(COUNT(D821:U821)=0,"",INDEX($D$1:$U$1,MATCH(MIN(D821:U821),D821:U821,0)))</f>
        <v/>
      </c>
      <c r="AA821" s="8" t="n">
        <v>49</v>
      </c>
      <c r="AB821" s="10" t="n">
        <v>1</v>
      </c>
    </row>
    <row r="822">
      <c r="A822" s="7" t="inlineStr">
        <is>
          <t>MAT-10-212</t>
        </is>
      </c>
      <c r="B822" s="4" t="inlineStr">
        <is>
          <t>Tapa ciega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115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>
        <f>IF(COUNT(D822:U822)=0,"",MIN(D822:U822))</f>
        <v/>
      </c>
      <c r="W822" s="8">
        <f>IF(COUNT(D822:U822)=0,"",MEDIAN(D822:U822))</f>
        <v/>
      </c>
      <c r="X822" s="8">
        <f>IF(COUNT(D822:U822)=0,"",MAX(D822:U822))</f>
        <v/>
      </c>
      <c r="Y822" s="9">
        <f>IF(OR(V822="",V822=0),"",(X822-V822)/V822)</f>
        <v/>
      </c>
      <c r="Z822" s="7">
        <f>IF(COUNT(D822:U822)=0,"",INDEX($D$1:$U$1,MATCH(MIN(D822:U822),D822:U822,0)))</f>
        <v/>
      </c>
      <c r="AA822" s="8" t="n">
        <v>200</v>
      </c>
      <c r="AB822" s="10" t="n">
        <v>1</v>
      </c>
    </row>
    <row r="823">
      <c r="A823" s="7" t="inlineStr">
        <is>
          <t>MAT-10-213</t>
        </is>
      </c>
      <c r="B823" s="4" t="inlineStr">
        <is>
          <t>Tapa para tomacorriente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25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>
        <f>IF(COUNT(D823:U823)=0,"",MIN(D823:U823))</f>
        <v/>
      </c>
      <c r="W823" s="8">
        <f>IF(COUNT(D823:U823)=0,"",MEDIAN(D823:U823))</f>
        <v/>
      </c>
      <c r="X823" s="8">
        <f>IF(COUNT(D823:U823)=0,"",MAX(D823:U823))</f>
        <v/>
      </c>
      <c r="Y823" s="9">
        <f>IF(OR(V823="",V823=0),"",(X823-V823)/V823)</f>
        <v/>
      </c>
      <c r="Z823" s="7">
        <f>IF(COUNT(D823:U823)=0,"",INDEX($D$1:$U$1,MATCH(MIN(D823:U823),D823:U823,0)))</f>
        <v/>
      </c>
      <c r="AA823" s="8" t="n">
        <v>95</v>
      </c>
      <c r="AB823" s="10" t="n">
        <v>1</v>
      </c>
    </row>
    <row r="824">
      <c r="A824" s="7" t="inlineStr">
        <is>
          <t>MAT-10-214</t>
        </is>
      </c>
      <c r="B824" s="4" t="inlineStr">
        <is>
          <t>triple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>
        <v>40</v>
      </c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>
        <f>IF(COUNT(D824:U824)=0,"",MIN(D824:U824))</f>
        <v/>
      </c>
      <c r="W824" s="8">
        <f>IF(COUNT(D824:U824)=0,"",MEDIAN(D824:U824))</f>
        <v/>
      </c>
      <c r="X824" s="8">
        <f>IF(COUNT(D824:U824)=0,"",MAX(D824:U824))</f>
        <v/>
      </c>
      <c r="Y824" s="9">
        <f>IF(OR(V824="",V824=0),"",(X824-V824)/V824)</f>
        <v/>
      </c>
      <c r="Z824" s="7">
        <f>IF(COUNT(D824:U824)=0,"",INDEX($D$1:$U$1,MATCH(MIN(D824:U824),D824:U824,0)))</f>
        <v/>
      </c>
      <c r="AA824" s="8" t="n">
        <v>99</v>
      </c>
      <c r="AB824" s="10" t="n">
        <v>1</v>
      </c>
    </row>
    <row r="825">
      <c r="A825" s="7" t="inlineStr">
        <is>
          <t>MAT-10-215</t>
        </is>
      </c>
      <c r="B825" s="4" t="inlineStr">
        <is>
          <t>Adaptador de enchufe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45.01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>
        <f>IF(COUNT(D825:U825)=0,"",MIN(D825:U825))</f>
        <v/>
      </c>
      <c r="W825" s="8">
        <f>IF(COUNT(D825:U825)=0,"",MEDIAN(D825:U825))</f>
        <v/>
      </c>
      <c r="X825" s="8">
        <f>IF(COUNT(D825:U825)=0,"",MAX(D825:U825))</f>
        <v/>
      </c>
      <c r="Y825" s="9">
        <f>IF(OR(V825="",V825=0),"",(X825-V825)/V825)</f>
        <v/>
      </c>
      <c r="Z825" s="7">
        <f>IF(COUNT(D825:U825)=0,"",INDEX($D$1:$U$1,MATCH(MIN(D825:U825),D825:U825,0)))</f>
        <v/>
      </c>
      <c r="AA825" s="8" t="n">
        <v>112.5</v>
      </c>
      <c r="AB825" s="10" t="n">
        <v>1</v>
      </c>
    </row>
    <row r="826">
      <c r="A826" s="7" t="inlineStr">
        <is>
          <t>MAT-10-216</t>
        </is>
      </c>
      <c r="B826" s="4" t="inlineStr">
        <is>
          <t>Enchufe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50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>
        <f>IF(COUNT(D826:U826)=0,"",MIN(D826:U826))</f>
        <v/>
      </c>
      <c r="W826" s="8">
        <f>IF(COUNT(D826:U826)=0,"",MEDIAN(D826:U826))</f>
        <v/>
      </c>
      <c r="X826" s="8">
        <f>IF(COUNT(D826:U826)=0,"",MAX(D826:U826))</f>
        <v/>
      </c>
      <c r="Y826" s="9">
        <f>IF(OR(V826="",V826=0),"",(X826-V826)/V826)</f>
        <v/>
      </c>
      <c r="Z826" s="7">
        <f>IF(COUNT(D826:U826)=0,"",INDEX($D$1:$U$1,MATCH(MIN(D826:U826),D826:U826,0)))</f>
        <v/>
      </c>
      <c r="AA826" s="8" t="n">
        <v>57.5</v>
      </c>
      <c r="AB826" s="10" t="n">
        <v>1</v>
      </c>
    </row>
    <row r="827">
      <c r="A827" s="7" t="inlineStr">
        <is>
          <t>MAT-10-217</t>
        </is>
      </c>
      <c r="B827" s="4" t="inlineStr">
        <is>
          <t>Breaker enchufable 1P de 15 A</t>
        </is>
      </c>
      <c r="C827" s="7" t="inlineStr">
        <is>
          <t>unidad</t>
        </is>
      </c>
      <c r="D827" s="8" t="n"/>
      <c r="E827" s="8" t="n">
        <v>430.24</v>
      </c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>
        <f>IF(COUNT(D827:U827)=0,"",MIN(D827:U827))</f>
        <v/>
      </c>
      <c r="W827" s="8">
        <f>IF(COUNT(D827:U827)=0,"",MEDIAN(D827:U827))</f>
        <v/>
      </c>
      <c r="X827" s="8">
        <f>IF(COUNT(D827:U827)=0,"",MAX(D827:U827))</f>
        <v/>
      </c>
      <c r="Y827" s="9">
        <f>IF(OR(V827="",V827=0),"",(X827-V827)/V827)</f>
        <v/>
      </c>
      <c r="Z827" s="7">
        <f>IF(COUNT(D827:U827)=0,"",INDEX($D$1:$U$1,MATCH(MIN(D827:U827),D827:U827,0)))</f>
        <v/>
      </c>
      <c r="AA827" s="8" t="n">
        <v>447.27</v>
      </c>
      <c r="AB827" s="10" t="n">
        <v>1</v>
      </c>
    </row>
    <row r="828">
      <c r="A828" s="7" t="inlineStr">
        <is>
          <t>MAT-10-218</t>
        </is>
      </c>
      <c r="B828" s="4" t="inlineStr">
        <is>
          <t>Breaker enchufable 1P de 15 A, formato fino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485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>
        <f>IF(COUNT(D828:U828)=0,"",MIN(D828:U828))</f>
        <v/>
      </c>
      <c r="W828" s="8">
        <f>IF(COUNT(D828:U828)=0,"",MEDIAN(D828:U828))</f>
        <v/>
      </c>
      <c r="X828" s="8">
        <f>IF(COUNT(D828:U828)=0,"",MAX(D828:U828))</f>
        <v/>
      </c>
      <c r="Y828" s="9">
        <f>IF(OR(V828="",V828=0),"",(X828-V828)/V828)</f>
        <v/>
      </c>
      <c r="Z828" s="7">
        <f>IF(COUNT(D828:U828)=0,"",INDEX($D$1:$U$1,MATCH(MIN(D828:U828),D828:U828,0)))</f>
        <v/>
      </c>
      <c r="AA828" s="8" t="n">
        <v>485</v>
      </c>
      <c r="AB828" s="10" t="n">
        <v>1</v>
      </c>
    </row>
    <row r="829">
      <c r="A829" s="7" t="inlineStr">
        <is>
          <t>MAT-10-219</t>
        </is>
      </c>
      <c r="B829" s="4" t="inlineStr">
        <is>
          <t>Breaker enchufable 1P de 20 A</t>
        </is>
      </c>
      <c r="C829" s="7" t="inlineStr">
        <is>
          <t>unidad</t>
        </is>
      </c>
      <c r="D829" s="8" t="n"/>
      <c r="E829" s="8" t="n">
        <v>374.13</v>
      </c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>
        <f>IF(COUNT(D829:U829)=0,"",MIN(D829:U829))</f>
        <v/>
      </c>
      <c r="W829" s="8">
        <f>IF(COUNT(D829:U829)=0,"",MEDIAN(D829:U829))</f>
        <v/>
      </c>
      <c r="X829" s="8">
        <f>IF(COUNT(D829:U829)=0,"",MAX(D829:U829))</f>
        <v/>
      </c>
      <c r="Y829" s="9">
        <f>IF(OR(V829="",V829=0),"",(X829-V829)/V829)</f>
        <v/>
      </c>
      <c r="Z829" s="7">
        <f>IF(COUNT(D829:U829)=0,"",INDEX($D$1:$U$1,MATCH(MIN(D829:U829),D829:U829,0)))</f>
        <v/>
      </c>
      <c r="AA829" s="8" t="n">
        <v>447.27</v>
      </c>
      <c r="AB829" s="10" t="n">
        <v>1</v>
      </c>
    </row>
    <row r="830">
      <c r="A830" s="7" t="inlineStr">
        <is>
          <t>MAT-10-220</t>
        </is>
      </c>
      <c r="B830" s="4" t="inlineStr">
        <is>
          <t>Breaker enchufable 1P de 20 A, formato fino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>
        <v>500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>
        <f>IF(COUNT(D830:U830)=0,"",MIN(D830:U830))</f>
        <v/>
      </c>
      <c r="W830" s="8">
        <f>IF(COUNT(D830:U830)=0,"",MEDIAN(D830:U830))</f>
        <v/>
      </c>
      <c r="X830" s="8">
        <f>IF(COUNT(D830:U830)=0,"",MAX(D830:U830))</f>
        <v/>
      </c>
      <c r="Y830" s="9">
        <f>IF(OR(V830="",V830=0),"",(X830-V830)/V830)</f>
        <v/>
      </c>
      <c r="Z830" s="7">
        <f>IF(COUNT(D830:U830)=0,"",INDEX($D$1:$U$1,MATCH(MIN(D830:U830),D830:U830,0)))</f>
        <v/>
      </c>
      <c r="AA830" s="8" t="n">
        <v>500</v>
      </c>
      <c r="AB830" s="10" t="n">
        <v>1</v>
      </c>
    </row>
    <row r="831">
      <c r="A831" s="7" t="inlineStr">
        <is>
          <t>MAT-10-221</t>
        </is>
      </c>
      <c r="B831" s="4" t="inlineStr">
        <is>
          <t>Breaker enchufable 1P de 30 A</t>
        </is>
      </c>
      <c r="C831" s="7" t="inlineStr">
        <is>
          <t>unidad</t>
        </is>
      </c>
      <c r="D831" s="8" t="n"/>
      <c r="E831" s="8" t="n">
        <v>374.1</v>
      </c>
      <c r="F831" s="8" t="n"/>
      <c r="G831" s="8" t="n"/>
      <c r="H831" s="8" t="n"/>
      <c r="I831" s="8" t="n"/>
      <c r="J831" s="8" t="n"/>
      <c r="K831" s="8" t="n"/>
      <c r="L831" s="8" t="n">
        <v>470.01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>
        <f>IF(COUNT(D831:U831)=0,"",MIN(D831:U831))</f>
        <v/>
      </c>
      <c r="W831" s="8">
        <f>IF(COUNT(D831:U831)=0,"",MEDIAN(D831:U831))</f>
        <v/>
      </c>
      <c r="X831" s="8">
        <f>IF(COUNT(D831:U831)=0,"",MAX(D831:U831))</f>
        <v/>
      </c>
      <c r="Y831" s="9">
        <f>IF(OR(V831="",V831=0),"",(X831-V831)/V831)</f>
        <v/>
      </c>
      <c r="Z831" s="7">
        <f>IF(COUNT(D831:U831)=0,"",INDEX($D$1:$U$1,MATCH(MIN(D831:U831),D831:U831,0)))</f>
        <v/>
      </c>
      <c r="AA831" s="8" t="n">
        <v>447.28</v>
      </c>
      <c r="AB831" s="10" t="n">
        <v>2</v>
      </c>
    </row>
    <row r="832">
      <c r="A832" s="7" t="inlineStr">
        <is>
          <t>MAT-10-222</t>
        </is>
      </c>
      <c r="B832" s="4" t="inlineStr">
        <is>
          <t>Breaker enchufable 1P de 30 A, formato fino</t>
        </is>
      </c>
      <c r="C832" s="7" t="inlineStr">
        <is>
          <t>unidad</t>
        </is>
      </c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>
        <v>505</v>
      </c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>
        <f>IF(COUNT(D832:U832)=0,"",MIN(D832:U832))</f>
        <v/>
      </c>
      <c r="W832" s="8">
        <f>IF(COUNT(D832:U832)=0,"",MEDIAN(D832:U832))</f>
        <v/>
      </c>
      <c r="X832" s="8">
        <f>IF(COUNT(D832:U832)=0,"",MAX(D832:U832))</f>
        <v/>
      </c>
      <c r="Y832" s="9">
        <f>IF(OR(V832="",V832=0),"",(X832-V832)/V832)</f>
        <v/>
      </c>
      <c r="Z832" s="7">
        <f>IF(COUNT(D832:U832)=0,"",INDEX($D$1:$U$1,MATCH(MIN(D832:U832),D832:U832,0)))</f>
        <v/>
      </c>
      <c r="AA832" s="8" t="n">
        <v>505</v>
      </c>
      <c r="AB832" s="10" t="n">
        <v>1</v>
      </c>
    </row>
    <row r="833">
      <c r="A833" s="7" t="inlineStr">
        <is>
          <t>MAT-10-223</t>
        </is>
      </c>
      <c r="B833" s="4" t="inlineStr">
        <is>
          <t>Breaker enchufable 1P de 40 A</t>
        </is>
      </c>
      <c r="C833" s="7" t="inlineStr">
        <is>
          <t>unidad</t>
        </is>
      </c>
      <c r="D833" s="8" t="n"/>
      <c r="E833" s="8" t="n">
        <v>481.33</v>
      </c>
      <c r="F833" s="8" t="n"/>
      <c r="G833" s="8" t="n"/>
      <c r="H833" s="8" t="n"/>
      <c r="I833" s="8" t="n">
        <v>170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>
        <f>IF(COUNT(D833:U833)=0,"",MIN(D833:U833))</f>
        <v/>
      </c>
      <c r="W833" s="8">
        <f>IF(COUNT(D833:U833)=0,"",MEDIAN(D833:U833))</f>
        <v/>
      </c>
      <c r="X833" s="8">
        <f>IF(COUNT(D833:U833)=0,"",MAX(D833:U833))</f>
        <v/>
      </c>
      <c r="Y833" s="9">
        <f>IF(OR(V833="",V833=0),"",(X833-V833)/V833)</f>
        <v/>
      </c>
      <c r="Z833" s="7">
        <f>IF(COUNT(D833:U833)=0,"",INDEX($D$1:$U$1,MATCH(MIN(D833:U833),D833:U833,0)))</f>
        <v/>
      </c>
      <c r="AA833" s="8" t="n">
        <v>488.17</v>
      </c>
      <c r="AB833" s="10" t="n">
        <v>2</v>
      </c>
    </row>
    <row r="834">
      <c r="A834" s="7" t="inlineStr">
        <is>
          <t>MAT-10-224</t>
        </is>
      </c>
      <c r="B834" s="4" t="inlineStr">
        <is>
          <t>Breaker enchufable 1P de 50 A</t>
        </is>
      </c>
      <c r="C834" s="7" t="inlineStr">
        <is>
          <t>unidad</t>
        </is>
      </c>
      <c r="D834" s="8" t="n"/>
      <c r="E834" s="8" t="n">
        <v>495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>
        <f>IF(COUNT(D834:U834)=0,"",MIN(D834:U834))</f>
        <v/>
      </c>
      <c r="W834" s="8">
        <f>IF(COUNT(D834:U834)=0,"",MEDIAN(D834:U834))</f>
        <v/>
      </c>
      <c r="X834" s="8">
        <f>IF(COUNT(D834:U834)=0,"",MAX(D834:U834))</f>
        <v/>
      </c>
      <c r="Y834" s="9">
        <f>IF(OR(V834="",V834=0),"",(X834-V834)/V834)</f>
        <v/>
      </c>
      <c r="Z834" s="7">
        <f>IF(COUNT(D834:U834)=0,"",INDEX($D$1:$U$1,MATCH(MIN(D834:U834),D834:U834,0)))</f>
        <v/>
      </c>
      <c r="AA834" s="8" t="n">
        <v>505</v>
      </c>
      <c r="AB834" s="10" t="n">
        <v>1</v>
      </c>
    </row>
    <row r="835">
      <c r="A835" s="7" t="inlineStr">
        <is>
          <t>MAT-10-225</t>
        </is>
      </c>
      <c r="B835" s="4" t="inlineStr">
        <is>
          <t>Breaker enchufable 1P de 60 A</t>
        </is>
      </c>
      <c r="C835" s="7" t="inlineStr">
        <is>
          <t>unidad</t>
        </is>
      </c>
      <c r="D835" s="8" t="n"/>
      <c r="E835" s="8" t="n">
        <v>717.63</v>
      </c>
      <c r="F835" s="8" t="n"/>
      <c r="G835" s="8" t="n"/>
      <c r="H835" s="8" t="n"/>
      <c r="I835" s="8" t="n"/>
      <c r="J835" s="8" t="n"/>
      <c r="K835" s="8" t="n"/>
      <c r="L835" s="8" t="n">
        <v>815</v>
      </c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>
        <f>IF(COUNT(D835:U835)=0,"",MIN(D835:U835))</f>
        <v/>
      </c>
      <c r="W835" s="8">
        <f>IF(COUNT(D835:U835)=0,"",MEDIAN(D835:U835))</f>
        <v/>
      </c>
      <c r="X835" s="8">
        <f>IF(COUNT(D835:U835)=0,"",MAX(D835:U835))</f>
        <v/>
      </c>
      <c r="Y835" s="9">
        <f>IF(OR(V835="",V835=0),"",(X835-V835)/V835)</f>
        <v/>
      </c>
      <c r="Z835" s="7">
        <f>IF(COUNT(D835:U835)=0,"",INDEX($D$1:$U$1,MATCH(MIN(D835:U835),D835:U835,0)))</f>
        <v/>
      </c>
      <c r="AA835" s="8" t="n">
        <v>766.3200000000001</v>
      </c>
      <c r="AB835" s="10" t="n">
        <v>2</v>
      </c>
    </row>
    <row r="836">
      <c r="A836" s="7" t="inlineStr">
        <is>
          <t>MAT-10-226</t>
        </is>
      </c>
      <c r="B836" s="4" t="inlineStr">
        <is>
          <t>Breaker enchufable 2P de 100 A</t>
        </is>
      </c>
      <c r="C836" s="7" t="inlineStr">
        <is>
          <t>unidad</t>
        </is>
      </c>
      <c r="D836" s="8" t="n"/>
      <c r="E836" s="8" t="n">
        <v>2820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>
        <f>IF(COUNT(D836:U836)=0,"",MIN(D836:U836))</f>
        <v/>
      </c>
      <c r="W836" s="8">
        <f>IF(COUNT(D836:U836)=0,"",MEDIAN(D836:U836))</f>
        <v/>
      </c>
      <c r="X836" s="8">
        <f>IF(COUNT(D836:U836)=0,"",MAX(D836:U836))</f>
        <v/>
      </c>
      <c r="Y836" s="9">
        <f>IF(OR(V836="",V836=0),"",(X836-V836)/V836)</f>
        <v/>
      </c>
      <c r="Z836" s="7">
        <f>IF(COUNT(D836:U836)=0,"",INDEX($D$1:$U$1,MATCH(MIN(D836:U836),D836:U836,0)))</f>
        <v/>
      </c>
      <c r="AA836" s="8" t="n">
        <v>3203</v>
      </c>
      <c r="AB836" s="10" t="n">
        <v>1</v>
      </c>
    </row>
    <row r="837">
      <c r="A837" s="7" t="inlineStr">
        <is>
          <t>MAT-10-227</t>
        </is>
      </c>
      <c r="B837" s="4" t="inlineStr">
        <is>
          <t>Breaker enchufable 2P de 15 A</t>
        </is>
      </c>
      <c r="C837" s="7" t="inlineStr">
        <is>
          <t>unidad</t>
        </is>
      </c>
      <c r="D837" s="8" t="n"/>
      <c r="E837" s="8" t="n">
        <v>969.78</v>
      </c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>
        <f>IF(COUNT(D837:U837)=0,"",MIN(D837:U837))</f>
        <v/>
      </c>
      <c r="W837" s="8">
        <f>IF(COUNT(D837:U837)=0,"",MEDIAN(D837:U837))</f>
        <v/>
      </c>
      <c r="X837" s="8">
        <f>IF(COUNT(D837:U837)=0,"",MAX(D837:U837))</f>
        <v/>
      </c>
      <c r="Y837" s="9">
        <f>IF(OR(V837="",V837=0),"",(X837-V837)/V837)</f>
        <v/>
      </c>
      <c r="Z837" s="7">
        <f>IF(COUNT(D837:U837)=0,"",INDEX($D$1:$U$1,MATCH(MIN(D837:U837),D837:U837,0)))</f>
        <v/>
      </c>
      <c r="AA837" s="8" t="n">
        <v>1061.42</v>
      </c>
      <c r="AB837" s="10" t="n">
        <v>1</v>
      </c>
    </row>
    <row r="838">
      <c r="A838" s="7" t="inlineStr">
        <is>
          <t>MAT-10-228</t>
        </is>
      </c>
      <c r="B838" s="4" t="inlineStr">
        <is>
          <t>Breaker enchufable 2P de 20 A</t>
        </is>
      </c>
      <c r="C838" s="7" t="inlineStr">
        <is>
          <t>unidad</t>
        </is>
      </c>
      <c r="D838" s="8" t="n"/>
      <c r="E838" s="8" t="n">
        <v>1135</v>
      </c>
      <c r="F838" s="8" t="n"/>
      <c r="G838" s="8" t="n"/>
      <c r="H838" s="8" t="n"/>
      <c r="I838" s="8" t="n"/>
      <c r="J838" s="8" t="n"/>
      <c r="K838" s="8" t="n"/>
      <c r="L838" s="8" t="n">
        <v>1134.99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>
        <f>IF(COUNT(D838:U838)=0,"",MIN(D838:U838))</f>
        <v/>
      </c>
      <c r="W838" s="8">
        <f>IF(COUNT(D838:U838)=0,"",MEDIAN(D838:U838))</f>
        <v/>
      </c>
      <c r="X838" s="8">
        <f>IF(COUNT(D838:U838)=0,"",MAX(D838:U838))</f>
        <v/>
      </c>
      <c r="Y838" s="9">
        <f>IF(OR(V838="",V838=0),"",(X838-V838)/V838)</f>
        <v/>
      </c>
      <c r="Z838" s="7">
        <f>IF(COUNT(D838:U838)=0,"",INDEX($D$1:$U$1,MATCH(MIN(D838:U838),D838:U838,0)))</f>
        <v/>
      </c>
      <c r="AA838" s="8" t="n">
        <v>1157.5</v>
      </c>
      <c r="AB838" s="10" t="n">
        <v>2</v>
      </c>
    </row>
    <row r="839">
      <c r="A839" s="7" t="inlineStr">
        <is>
          <t>MAT-10-229</t>
        </is>
      </c>
      <c r="B839" s="4" t="inlineStr">
        <is>
          <t>Breaker enchufable 2P de 20 A, formato fino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>
        <v>1195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>
        <f>IF(COUNT(D839:U839)=0,"",MIN(D839:U839))</f>
        <v/>
      </c>
      <c r="W839" s="8">
        <f>IF(COUNT(D839:U839)=0,"",MEDIAN(D839:U839))</f>
        <v/>
      </c>
      <c r="X839" s="8">
        <f>IF(COUNT(D839:U839)=0,"",MAX(D839:U839))</f>
        <v/>
      </c>
      <c r="Y839" s="9">
        <f>IF(OR(V839="",V839=0),"",(X839-V839)/V839)</f>
        <v/>
      </c>
      <c r="Z839" s="7">
        <f>IF(COUNT(D839:U839)=0,"",INDEX($D$1:$U$1,MATCH(MIN(D839:U839),D839:U839,0)))</f>
        <v/>
      </c>
      <c r="AA839" s="8" t="n">
        <v>1195</v>
      </c>
      <c r="AB839" s="10" t="n">
        <v>1</v>
      </c>
    </row>
    <row r="840">
      <c r="A840" s="7" t="inlineStr">
        <is>
          <t>MAT-10-230</t>
        </is>
      </c>
      <c r="B840" s="4" t="inlineStr">
        <is>
          <t>Breaker enchufable 2P de 30 A</t>
        </is>
      </c>
      <c r="C840" s="7" t="inlineStr">
        <is>
          <t>unidad</t>
        </is>
      </c>
      <c r="D840" s="8" t="n"/>
      <c r="E840" s="8" t="n">
        <v>896</v>
      </c>
      <c r="F840" s="8" t="n"/>
      <c r="G840" s="8" t="n"/>
      <c r="H840" s="8" t="n"/>
      <c r="I840" s="8" t="n"/>
      <c r="J840" s="8" t="n"/>
      <c r="K840" s="8" t="n"/>
      <c r="L840" s="8" t="n">
        <v>1134.99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>
        <f>IF(COUNT(D840:U840)=0,"",MIN(D840:U840))</f>
        <v/>
      </c>
      <c r="W840" s="8">
        <f>IF(COUNT(D840:U840)=0,"",MEDIAN(D840:U840))</f>
        <v/>
      </c>
      <c r="X840" s="8">
        <f>IF(COUNT(D840:U840)=0,"",MAX(D840:U840))</f>
        <v/>
      </c>
      <c r="Y840" s="9">
        <f>IF(OR(V840="",V840=0),"",(X840-V840)/V840)</f>
        <v/>
      </c>
      <c r="Z840" s="7">
        <f>IF(COUNT(D840:U840)=0,"",INDEX($D$1:$U$1,MATCH(MIN(D840:U840),D840:U840,0)))</f>
        <v/>
      </c>
      <c r="AA840" s="8" t="n">
        <v>1079.99</v>
      </c>
      <c r="AB840" s="10" t="n">
        <v>2</v>
      </c>
    </row>
    <row r="841">
      <c r="A841" s="7" t="inlineStr">
        <is>
          <t>MAT-10-231</t>
        </is>
      </c>
      <c r="B841" s="4" t="inlineStr">
        <is>
          <t>Breaker enchufable 2P de 30 A, formato fino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1165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>
        <f>IF(COUNT(D841:U841)=0,"",MIN(D841:U841))</f>
        <v/>
      </c>
      <c r="W841" s="8">
        <f>IF(COUNT(D841:U841)=0,"",MEDIAN(D841:U841))</f>
        <v/>
      </c>
      <c r="X841" s="8">
        <f>IF(COUNT(D841:U841)=0,"",MAX(D841:U841))</f>
        <v/>
      </c>
      <c r="Y841" s="9">
        <f>IF(OR(V841="",V841=0),"",(X841-V841)/V841)</f>
        <v/>
      </c>
      <c r="Z841" s="7">
        <f>IF(COUNT(D841:U841)=0,"",INDEX($D$1:$U$1,MATCH(MIN(D841:U841),D841:U841,0)))</f>
        <v/>
      </c>
      <c r="AA841" s="8" t="n">
        <v>1165</v>
      </c>
      <c r="AB841" s="10" t="n">
        <v>1</v>
      </c>
    </row>
    <row r="842">
      <c r="A842" s="7" t="inlineStr">
        <is>
          <t>MAT-10-232</t>
        </is>
      </c>
      <c r="B842" s="4" t="inlineStr">
        <is>
          <t>Breaker enchufable 2P de 40 A</t>
        </is>
      </c>
      <c r="C842" s="7" t="inlineStr">
        <is>
          <t>unidad</t>
        </is>
      </c>
      <c r="D842" s="8" t="n"/>
      <c r="E842" s="8" t="n">
        <v>976.05</v>
      </c>
      <c r="F842" s="8" t="n"/>
      <c r="G842" s="8" t="n"/>
      <c r="H842" s="8" t="n"/>
      <c r="I842" s="8" t="n"/>
      <c r="J842" s="8" t="n"/>
      <c r="K842" s="8" t="n"/>
      <c r="L842" s="8" t="n">
        <v>1134.99</v>
      </c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>
        <f>IF(COUNT(D842:U842)=0,"",MIN(D842:U842))</f>
        <v/>
      </c>
      <c r="W842" s="8">
        <f>IF(COUNT(D842:U842)=0,"",MEDIAN(D842:U842))</f>
        <v/>
      </c>
      <c r="X842" s="8">
        <f>IF(COUNT(D842:U842)=0,"",MAX(D842:U842))</f>
        <v/>
      </c>
      <c r="Y842" s="9">
        <f>IF(OR(V842="",V842=0),"",(X842-V842)/V842)</f>
        <v/>
      </c>
      <c r="Z842" s="7">
        <f>IF(COUNT(D842:U842)=0,"",INDEX($D$1:$U$1,MATCH(MIN(D842:U842),D842:U842,0)))</f>
        <v/>
      </c>
      <c r="AA842" s="8" t="n">
        <v>1034</v>
      </c>
      <c r="AB842" s="10" t="n">
        <v>2</v>
      </c>
    </row>
    <row r="843">
      <c r="A843" s="7" t="inlineStr">
        <is>
          <t>MAT-10-233</t>
        </is>
      </c>
      <c r="B843" s="4" t="inlineStr">
        <is>
          <t>Breaker enchufable 2P de 50 A</t>
        </is>
      </c>
      <c r="C843" s="7" t="inlineStr">
        <is>
          <t>unidad</t>
        </is>
      </c>
      <c r="D843" s="8" t="n"/>
      <c r="E843" s="8" t="n">
        <v>999.95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>
        <f>IF(COUNT(D843:U843)=0,"",MIN(D843:U843))</f>
        <v/>
      </c>
      <c r="W843" s="8">
        <f>IF(COUNT(D843:U843)=0,"",MEDIAN(D843:U843))</f>
        <v/>
      </c>
      <c r="X843" s="8">
        <f>IF(COUNT(D843:U843)=0,"",MAX(D843:U843))</f>
        <v/>
      </c>
      <c r="Y843" s="9">
        <f>IF(OR(V843="",V843=0),"",(X843-V843)/V843)</f>
        <v/>
      </c>
      <c r="Z843" s="7">
        <f>IF(COUNT(D843:U843)=0,"",INDEX($D$1:$U$1,MATCH(MIN(D843:U843),D843:U843,0)))</f>
        <v/>
      </c>
      <c r="AA843" s="8" t="n">
        <v>1215</v>
      </c>
      <c r="AB843" s="10" t="n">
        <v>1</v>
      </c>
    </row>
    <row r="844">
      <c r="A844" s="7" t="inlineStr">
        <is>
          <t>MAT-10-234</t>
        </is>
      </c>
      <c r="B844" s="4" t="inlineStr">
        <is>
          <t>Breaker enchufable 2P de 60 A</t>
        </is>
      </c>
      <c r="C844" s="7" t="inlineStr">
        <is>
          <t>unidad</t>
        </is>
      </c>
      <c r="D844" s="8" t="n"/>
      <c r="E844" s="8" t="n">
        <v>1100</v>
      </c>
      <c r="F844" s="8" t="n"/>
      <c r="G844" s="8" t="n"/>
      <c r="H844" s="8" t="n"/>
      <c r="I844" s="8" t="n"/>
      <c r="J844" s="8" t="n"/>
      <c r="K844" s="8" t="n"/>
      <c r="L844" s="8" t="n">
        <v>1189.99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>
        <f>IF(COUNT(D844:U844)=0,"",MIN(D844:U844))</f>
        <v/>
      </c>
      <c r="W844" s="8">
        <f>IF(COUNT(D844:U844)=0,"",MEDIAN(D844:U844))</f>
        <v/>
      </c>
      <c r="X844" s="8">
        <f>IF(COUNT(D844:U844)=0,"",MAX(D844:U844))</f>
        <v/>
      </c>
      <c r="Y844" s="9">
        <f>IF(OR(V844="",V844=0),"",(X844-V844)/V844)</f>
        <v/>
      </c>
      <c r="Z844" s="7">
        <f>IF(COUNT(D844:U844)=0,"",INDEX($D$1:$U$1,MATCH(MIN(D844:U844),D844:U844,0)))</f>
        <v/>
      </c>
      <c r="AA844" s="8" t="n">
        <v>1189.99</v>
      </c>
      <c r="AB844" s="10" t="n">
        <v>2</v>
      </c>
    </row>
    <row r="845">
      <c r="A845" s="7" t="inlineStr">
        <is>
          <t>MAT-10-235</t>
        </is>
      </c>
      <c r="B845" s="4" t="inlineStr">
        <is>
          <t>Breaker enchufable 2P de 70 A</t>
        </is>
      </c>
      <c r="C845" s="7" t="inlineStr">
        <is>
          <t>unidad</t>
        </is>
      </c>
      <c r="D845" s="8" t="n"/>
      <c r="E845" s="8" t="n">
        <v>2720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>
        <f>IF(COUNT(D845:U845)=0,"",MIN(D845:U845))</f>
        <v/>
      </c>
      <c r="W845" s="8">
        <f>IF(COUNT(D845:U845)=0,"",MEDIAN(D845:U845))</f>
        <v/>
      </c>
      <c r="X845" s="8">
        <f>IF(COUNT(D845:U845)=0,"",MAX(D845:U845))</f>
        <v/>
      </c>
      <c r="Y845" s="9">
        <f>IF(OR(V845="",V845=0),"",(X845-V845)/V845)</f>
        <v/>
      </c>
      <c r="Z845" s="7">
        <f>IF(COUNT(D845:U845)=0,"",INDEX($D$1:$U$1,MATCH(MIN(D845:U845),D845:U845,0)))</f>
        <v/>
      </c>
      <c r="AA845" s="8" t="n">
        <v>2959.5</v>
      </c>
      <c r="AB845" s="10" t="n">
        <v>1</v>
      </c>
    </row>
    <row r="846">
      <c r="A846" s="7" t="inlineStr">
        <is>
          <t>MAT-10-236</t>
        </is>
      </c>
      <c r="B846" s="4" t="inlineStr">
        <is>
          <t>Breaker enchufable 2P de 80 A</t>
        </is>
      </c>
      <c r="C846" s="7" t="inlineStr">
        <is>
          <t>unidad</t>
        </is>
      </c>
      <c r="D846" s="8" t="n"/>
      <c r="E846" s="8" t="n">
        <v>2547.97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>
        <f>IF(COUNT(D846:U846)=0,"",MIN(D846:U846))</f>
        <v/>
      </c>
      <c r="W846" s="8">
        <f>IF(COUNT(D846:U846)=0,"",MEDIAN(D846:U846))</f>
        <v/>
      </c>
      <c r="X846" s="8">
        <f>IF(COUNT(D846:U846)=0,"",MAX(D846:U846))</f>
        <v/>
      </c>
      <c r="Y846" s="9">
        <f>IF(OR(V846="",V846=0),"",(X846-V846)/V846)</f>
        <v/>
      </c>
      <c r="Z846" s="7">
        <f>IF(COUNT(D846:U846)=0,"",INDEX($D$1:$U$1,MATCH(MIN(D846:U846),D846:U846,0)))</f>
        <v/>
      </c>
      <c r="AA846" s="8" t="n">
        <v>2810.48</v>
      </c>
      <c r="AB846" s="10" t="n">
        <v>1</v>
      </c>
    </row>
    <row r="847">
      <c r="A847" s="7" t="inlineStr">
        <is>
          <t>MAT-10-237</t>
        </is>
      </c>
      <c r="B847" s="4" t="inlineStr">
        <is>
          <t>Breaker enchufable 2P de 90 A</t>
        </is>
      </c>
      <c r="C847" s="7" t="inlineStr">
        <is>
          <t>unidad</t>
        </is>
      </c>
      <c r="D847" s="8" t="n"/>
      <c r="E847" s="8" t="n">
        <v>2968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>
        <f>IF(COUNT(D847:U847)=0,"",MIN(D847:U847))</f>
        <v/>
      </c>
      <c r="W847" s="8">
        <f>IF(COUNT(D847:U847)=0,"",MEDIAN(D847:U847))</f>
        <v/>
      </c>
      <c r="X847" s="8">
        <f>IF(COUNT(D847:U847)=0,"",MAX(D847:U847))</f>
        <v/>
      </c>
      <c r="Y847" s="9">
        <f>IF(OR(V847="",V847=0),"",(X847-V847)/V847)</f>
        <v/>
      </c>
      <c r="Z847" s="7">
        <f>IF(COUNT(D847:U847)=0,"",INDEX($D$1:$U$1,MATCH(MIN(D847:U847),D847:U847,0)))</f>
        <v/>
      </c>
      <c r="AA847" s="8" t="n">
        <v>2968</v>
      </c>
      <c r="AB847" s="10" t="n">
        <v>1</v>
      </c>
    </row>
    <row r="848">
      <c r="A848" s="7" t="inlineStr">
        <is>
          <t>MAT-10-238</t>
        </is>
      </c>
      <c r="B848" s="4" t="inlineStr">
        <is>
          <t>Breaker enchufable 3P de 100 A</t>
        </is>
      </c>
      <c r="C848" s="7" t="inlineStr">
        <is>
          <t>unidad</t>
        </is>
      </c>
      <c r="D848" s="8" t="n"/>
      <c r="E848" s="8" t="n">
        <v>6940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>
        <f>IF(COUNT(D848:U848)=0,"",MIN(D848:U848))</f>
        <v/>
      </c>
      <c r="W848" s="8">
        <f>IF(COUNT(D848:U848)=0,"",MEDIAN(D848:U848))</f>
        <v/>
      </c>
      <c r="X848" s="8">
        <f>IF(COUNT(D848:U848)=0,"",MAX(D848:U848))</f>
        <v/>
      </c>
      <c r="Y848" s="9">
        <f>IF(OR(V848="",V848=0),"",(X848-V848)/V848)</f>
        <v/>
      </c>
      <c r="Z848" s="7">
        <f>IF(COUNT(D848:U848)=0,"",INDEX($D$1:$U$1,MATCH(MIN(D848:U848),D848:U848,0)))</f>
        <v/>
      </c>
      <c r="AA848" s="8" t="n">
        <v>6940</v>
      </c>
      <c r="AB848" s="10" t="n">
        <v>1</v>
      </c>
    </row>
    <row r="849">
      <c r="A849" s="7" t="inlineStr">
        <is>
          <t>MAT-10-239</t>
        </is>
      </c>
      <c r="B849" s="4" t="inlineStr">
        <is>
          <t>Breaker enchufable 3P de 15 A</t>
        </is>
      </c>
      <c r="C849" s="7" t="inlineStr">
        <is>
          <t>unidad</t>
        </is>
      </c>
      <c r="D849" s="8" t="n"/>
      <c r="E849" s="8" t="n">
        <v>2309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>
        <f>IF(COUNT(D849:U849)=0,"",MIN(D849:U849))</f>
        <v/>
      </c>
      <c r="W849" s="8">
        <f>IF(COUNT(D849:U849)=0,"",MEDIAN(D849:U849))</f>
        <v/>
      </c>
      <c r="X849" s="8">
        <f>IF(COUNT(D849:U849)=0,"",MAX(D849:U849))</f>
        <v/>
      </c>
      <c r="Y849" s="9">
        <f>IF(OR(V849="",V849=0),"",(X849-V849)/V849)</f>
        <v/>
      </c>
      <c r="Z849" s="7">
        <f>IF(COUNT(D849:U849)=0,"",INDEX($D$1:$U$1,MATCH(MIN(D849:U849),D849:U849,0)))</f>
        <v/>
      </c>
      <c r="AA849" s="8" t="n">
        <v>3062</v>
      </c>
      <c r="AB849" s="10" t="n">
        <v>1</v>
      </c>
    </row>
    <row r="850">
      <c r="A850" s="7" t="inlineStr">
        <is>
          <t>MAT-10-240</t>
        </is>
      </c>
      <c r="B850" s="4" t="inlineStr">
        <is>
          <t>Breaker enchufable 3P de 20 A</t>
        </is>
      </c>
      <c r="C850" s="7" t="inlineStr">
        <is>
          <t>unidad</t>
        </is>
      </c>
      <c r="D850" s="8" t="n"/>
      <c r="E850" s="8" t="n">
        <v>3815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>
        <f>IF(COUNT(D850:U850)=0,"",MIN(D850:U850))</f>
        <v/>
      </c>
      <c r="W850" s="8">
        <f>IF(COUNT(D850:U850)=0,"",MEDIAN(D850:U850))</f>
        <v/>
      </c>
      <c r="X850" s="8">
        <f>IF(COUNT(D850:U850)=0,"",MAX(D850:U850))</f>
        <v/>
      </c>
      <c r="Y850" s="9">
        <f>IF(OR(V850="",V850=0),"",(X850-V850)/V850)</f>
        <v/>
      </c>
      <c r="Z850" s="7">
        <f>IF(COUNT(D850:U850)=0,"",INDEX($D$1:$U$1,MATCH(MIN(D850:U850),D850:U850,0)))</f>
        <v/>
      </c>
      <c r="AA850" s="8" t="n">
        <v>4801</v>
      </c>
      <c r="AB850" s="10" t="n">
        <v>1</v>
      </c>
    </row>
    <row r="851">
      <c r="A851" s="7" t="inlineStr">
        <is>
          <t>MAT-10-241</t>
        </is>
      </c>
      <c r="B851" s="4" t="inlineStr">
        <is>
          <t>Breaker enchufable 3P de 40 A</t>
        </is>
      </c>
      <c r="C851" s="7" t="inlineStr">
        <is>
          <t>unidad</t>
        </is>
      </c>
      <c r="D851" s="8" t="n"/>
      <c r="E851" s="8" t="n">
        <v>4310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>
        <f>IF(COUNT(D851:U851)=0,"",MIN(D851:U851))</f>
        <v/>
      </c>
      <c r="W851" s="8">
        <f>IF(COUNT(D851:U851)=0,"",MEDIAN(D851:U851))</f>
        <v/>
      </c>
      <c r="X851" s="8">
        <f>IF(COUNT(D851:U851)=0,"",MAX(D851:U851))</f>
        <v/>
      </c>
      <c r="Y851" s="9">
        <f>IF(OR(V851="",V851=0),"",(X851-V851)/V851)</f>
        <v/>
      </c>
      <c r="Z851" s="7">
        <f>IF(COUNT(D851:U851)=0,"",INDEX($D$1:$U$1,MATCH(MIN(D851:U851),D851:U851,0)))</f>
        <v/>
      </c>
      <c r="AA851" s="8" t="n">
        <v>4357.5</v>
      </c>
      <c r="AB851" s="10" t="n">
        <v>1</v>
      </c>
    </row>
    <row r="852">
      <c r="A852" s="7" t="inlineStr">
        <is>
          <t>MAT-10-242</t>
        </is>
      </c>
      <c r="B852" s="4" t="inlineStr">
        <is>
          <t>Breaker enchufable 3P de 50 A</t>
        </is>
      </c>
      <c r="C852" s="7" t="inlineStr">
        <is>
          <t>unidad</t>
        </is>
      </c>
      <c r="D852" s="8" t="n"/>
      <c r="E852" s="8" t="n">
        <v>4310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>
        <f>IF(COUNT(D852:U852)=0,"",MIN(D852:U852))</f>
        <v/>
      </c>
      <c r="W852" s="8">
        <f>IF(COUNT(D852:U852)=0,"",MEDIAN(D852:U852))</f>
        <v/>
      </c>
      <c r="X852" s="8">
        <f>IF(COUNT(D852:U852)=0,"",MAX(D852:U852))</f>
        <v/>
      </c>
      <c r="Y852" s="9">
        <f>IF(OR(V852="",V852=0),"",(X852-V852)/V852)</f>
        <v/>
      </c>
      <c r="Z852" s="7">
        <f>IF(COUNT(D852:U852)=0,"",INDEX($D$1:$U$1,MATCH(MIN(D852:U852),D852:U852,0)))</f>
        <v/>
      </c>
      <c r="AA852" s="8" t="n">
        <v>5048.5</v>
      </c>
      <c r="AB852" s="10" t="n">
        <v>1</v>
      </c>
    </row>
    <row r="853">
      <c r="A853" s="7" t="inlineStr">
        <is>
          <t>MAT-10-243</t>
        </is>
      </c>
      <c r="B853" s="4" t="inlineStr">
        <is>
          <t>Breaker enchufable 3P de 60 A</t>
        </is>
      </c>
      <c r="C853" s="7" t="inlineStr">
        <is>
          <t>unidad</t>
        </is>
      </c>
      <c r="D853" s="8" t="n"/>
      <c r="E853" s="8" t="n">
        <v>3933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>
        <f>IF(COUNT(D853:U853)=0,"",MIN(D853:U853))</f>
        <v/>
      </c>
      <c r="W853" s="8">
        <f>IF(COUNT(D853:U853)=0,"",MEDIAN(D853:U853))</f>
        <v/>
      </c>
      <c r="X853" s="8">
        <f>IF(COUNT(D853:U853)=0,"",MAX(D853:U853))</f>
        <v/>
      </c>
      <c r="Y853" s="9">
        <f>IF(OR(V853="",V853=0),"",(X853-V853)/V853)</f>
        <v/>
      </c>
      <c r="Z853" s="7">
        <f>IF(COUNT(D853:U853)=0,"",INDEX($D$1:$U$1,MATCH(MIN(D853:U853),D853:U853,0)))</f>
        <v/>
      </c>
      <c r="AA853" s="8" t="n">
        <v>4121.5</v>
      </c>
      <c r="AB853" s="10" t="n">
        <v>1</v>
      </c>
    </row>
    <row r="854">
      <c r="A854" s="7" t="inlineStr">
        <is>
          <t>MAT-10-244</t>
        </is>
      </c>
      <c r="B854" s="4" t="inlineStr">
        <is>
          <t>Breaker enchufable 3P de 70 A</t>
        </is>
      </c>
      <c r="C854" s="7" t="inlineStr">
        <is>
          <t>unidad</t>
        </is>
      </c>
      <c r="D854" s="8" t="n"/>
      <c r="E854" s="8" t="n">
        <v>5328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>
        <f>IF(COUNT(D854:U854)=0,"",MIN(D854:U854))</f>
        <v/>
      </c>
      <c r="W854" s="8">
        <f>IF(COUNT(D854:U854)=0,"",MEDIAN(D854:U854))</f>
        <v/>
      </c>
      <c r="X854" s="8">
        <f>IF(COUNT(D854:U854)=0,"",MAX(D854:U854))</f>
        <v/>
      </c>
      <c r="Y854" s="9">
        <f>IF(OR(V854="",V854=0),"",(X854-V854)/V854)</f>
        <v/>
      </c>
      <c r="Z854" s="7">
        <f>IF(COUNT(D854:U854)=0,"",INDEX($D$1:$U$1,MATCH(MIN(D854:U854),D854:U854,0)))</f>
        <v/>
      </c>
      <c r="AA854" s="8" t="n">
        <v>5519</v>
      </c>
      <c r="AB854" s="10" t="n">
        <v>1</v>
      </c>
    </row>
    <row r="855">
      <c r="A855" s="7" t="inlineStr">
        <is>
          <t>MAT-10-245</t>
        </is>
      </c>
      <c r="B855" s="4" t="inlineStr">
        <is>
          <t>Breaker enchufable 3P de 80 A</t>
        </is>
      </c>
      <c r="C855" s="7" t="inlineStr">
        <is>
          <t>unidad</t>
        </is>
      </c>
      <c r="D855" s="8" t="n"/>
      <c r="E855" s="8" t="n">
        <v>5739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>
        <f>IF(COUNT(D855:U855)=0,"",MIN(D855:U855))</f>
        <v/>
      </c>
      <c r="W855" s="8">
        <f>IF(COUNT(D855:U855)=0,"",MEDIAN(D855:U855))</f>
        <v/>
      </c>
      <c r="X855" s="8">
        <f>IF(COUNT(D855:U855)=0,"",MAX(D855:U855))</f>
        <v/>
      </c>
      <c r="Y855" s="9">
        <f>IF(OR(V855="",V855=0),"",(X855-V855)/V855)</f>
        <v/>
      </c>
      <c r="Z855" s="7">
        <f>IF(COUNT(D855:U855)=0,"",INDEX($D$1:$U$1,MATCH(MIN(D855:U855),D855:U855,0)))</f>
        <v/>
      </c>
      <c r="AA855" s="8" t="n">
        <v>6059.5</v>
      </c>
      <c r="AB855" s="10" t="n">
        <v>1</v>
      </c>
    </row>
    <row r="856">
      <c r="A856" s="7" t="inlineStr">
        <is>
          <t>MAT-10-246</t>
        </is>
      </c>
      <c r="B856" s="4" t="inlineStr">
        <is>
          <t>Breaker enchufable 3P de 90 A</t>
        </is>
      </c>
      <c r="C856" s="7" t="inlineStr">
        <is>
          <t>unidad</t>
        </is>
      </c>
      <c r="D856" s="8" t="n"/>
      <c r="E856" s="8" t="n">
        <v>4647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>
        <f>IF(COUNT(D856:U856)=0,"",MIN(D856:U856))</f>
        <v/>
      </c>
      <c r="W856" s="8">
        <f>IF(COUNT(D856:U856)=0,"",MEDIAN(D856:U856))</f>
        <v/>
      </c>
      <c r="X856" s="8">
        <f>IF(COUNT(D856:U856)=0,"",MAX(D856:U856))</f>
        <v/>
      </c>
      <c r="Y856" s="9">
        <f>IF(OR(V856="",V856=0),"",(X856-V856)/V856)</f>
        <v/>
      </c>
      <c r="Z856" s="7">
        <f>IF(COUNT(D856:U856)=0,"",INDEX($D$1:$U$1,MATCH(MIN(D856:U856),D856:U856,0)))</f>
        <v/>
      </c>
      <c r="AA856" s="8" t="n">
        <v>4887.62</v>
      </c>
      <c r="AB856" s="10" t="n">
        <v>1</v>
      </c>
    </row>
    <row r="857">
      <c r="A857" s="7" t="inlineStr">
        <is>
          <t>MAT-10-247</t>
        </is>
      </c>
      <c r="B857" s="4" t="inlineStr">
        <is>
          <t>Panel de breakers de 1 espacios</t>
        </is>
      </c>
      <c r="C857" s="7" t="inlineStr">
        <is>
          <t>unidad</t>
        </is>
      </c>
      <c r="D857" s="8" t="n"/>
      <c r="E857" s="8" t="n">
        <v>9622.41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>
        <f>IF(COUNT(D857:U857)=0,"",MIN(D857:U857))</f>
        <v/>
      </c>
      <c r="W857" s="8">
        <f>IF(COUNT(D857:U857)=0,"",MEDIAN(D857:U857))</f>
        <v/>
      </c>
      <c r="X857" s="8">
        <f>IF(COUNT(D857:U857)=0,"",MAX(D857:U857))</f>
        <v/>
      </c>
      <c r="Y857" s="9">
        <f>IF(OR(V857="",V857=0),"",(X857-V857)/V857)</f>
        <v/>
      </c>
      <c r="Z857" s="7">
        <f>IF(COUNT(D857:U857)=0,"",INDEX($D$1:$U$1,MATCH(MIN(D857:U857),D857:U857,0)))</f>
        <v/>
      </c>
      <c r="AA857" s="8" t="n">
        <v>9622.41</v>
      </c>
      <c r="AB857" s="10" t="n">
        <v>1</v>
      </c>
    </row>
    <row r="858">
      <c r="A858" s="7" t="inlineStr">
        <is>
          <t>MAT-10-248</t>
        </is>
      </c>
      <c r="B858" s="4" t="inlineStr">
        <is>
          <t>Panel de breakers de 12 espacios</t>
        </is>
      </c>
      <c r="C858" s="7" t="inlineStr">
        <is>
          <t>unidad</t>
        </is>
      </c>
      <c r="D858" s="8" t="n"/>
      <c r="E858" s="8" t="n">
        <v>3829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>
        <f>IF(COUNT(D858:U858)=0,"",MIN(D858:U858))</f>
        <v/>
      </c>
      <c r="W858" s="8">
        <f>IF(COUNT(D858:U858)=0,"",MEDIAN(D858:U858))</f>
        <v/>
      </c>
      <c r="X858" s="8">
        <f>IF(COUNT(D858:U858)=0,"",MAX(D858:U858))</f>
        <v/>
      </c>
      <c r="Y858" s="9">
        <f>IF(OR(V858="",V858=0),"",(X858-V858)/V858)</f>
        <v/>
      </c>
      <c r="Z858" s="7">
        <f>IF(COUNT(D858:U858)=0,"",INDEX($D$1:$U$1,MATCH(MIN(D858:U858),D858:U858,0)))</f>
        <v/>
      </c>
      <c r="AA858" s="8" t="n">
        <v>3920</v>
      </c>
      <c r="AB858" s="10" t="n">
        <v>1</v>
      </c>
    </row>
    <row r="859">
      <c r="A859" s="7" t="inlineStr">
        <is>
          <t>MAT-10-249</t>
        </is>
      </c>
      <c r="B859" s="4" t="inlineStr">
        <is>
          <t>Panel de breakers de 16 espacios</t>
        </is>
      </c>
      <c r="C859" s="7" t="inlineStr">
        <is>
          <t>unidad</t>
        </is>
      </c>
      <c r="D859" s="8" t="n"/>
      <c r="E859" s="8" t="n">
        <v>1522</v>
      </c>
      <c r="F859" s="8" t="n"/>
      <c r="G859" s="8" t="n"/>
      <c r="H859" s="8" t="n"/>
      <c r="I859" s="8" t="n"/>
      <c r="J859" s="8" t="n"/>
      <c r="K859" s="8" t="n"/>
      <c r="L859" s="8" t="n">
        <v>4755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>
        <f>IF(COUNT(D859:U859)=0,"",MIN(D859:U859))</f>
        <v/>
      </c>
      <c r="W859" s="8">
        <f>IF(COUNT(D859:U859)=0,"",MEDIAN(D859:U859))</f>
        <v/>
      </c>
      <c r="X859" s="8">
        <f>IF(COUNT(D859:U859)=0,"",MAX(D859:U859))</f>
        <v/>
      </c>
      <c r="Y859" s="9">
        <f>IF(OR(V859="",V859=0),"",(X859-V859)/V859)</f>
        <v/>
      </c>
      <c r="Z859" s="7">
        <f>IF(COUNT(D859:U859)=0,"",INDEX($D$1:$U$1,MATCH(MIN(D859:U859),D859:U859,0)))</f>
        <v/>
      </c>
      <c r="AA859" s="8" t="n">
        <v>4044</v>
      </c>
      <c r="AB859" s="10" t="n">
        <v>2</v>
      </c>
    </row>
    <row r="860">
      <c r="A860" s="7" t="inlineStr">
        <is>
          <t>MAT-10-250</t>
        </is>
      </c>
      <c r="B860" s="4" t="inlineStr">
        <is>
          <t>Panel de breakers de 18 espacios</t>
        </is>
      </c>
      <c r="C860" s="7" t="inlineStr">
        <is>
          <t>unidad</t>
        </is>
      </c>
      <c r="D860" s="8" t="n"/>
      <c r="E860" s="8" t="n">
        <v>14240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>
        <f>IF(COUNT(D860:U860)=0,"",MIN(D860:U860))</f>
        <v/>
      </c>
      <c r="W860" s="8">
        <f>IF(COUNT(D860:U860)=0,"",MEDIAN(D860:U860))</f>
        <v/>
      </c>
      <c r="X860" s="8">
        <f>IF(COUNT(D860:U860)=0,"",MAX(D860:U860))</f>
        <v/>
      </c>
      <c r="Y860" s="9">
        <f>IF(OR(V860="",V860=0),"",(X860-V860)/V860)</f>
        <v/>
      </c>
      <c r="Z860" s="7">
        <f>IF(COUNT(D860:U860)=0,"",INDEX($D$1:$U$1,MATCH(MIN(D860:U860),D860:U860,0)))</f>
        <v/>
      </c>
      <c r="AA860" s="8" t="n">
        <v>14240</v>
      </c>
      <c r="AB860" s="10" t="n">
        <v>1</v>
      </c>
    </row>
    <row r="861">
      <c r="A861" s="7" t="inlineStr">
        <is>
          <t>MAT-10-251</t>
        </is>
      </c>
      <c r="B861" s="4" t="inlineStr">
        <is>
          <t>Panel de breakers de 2 espacios</t>
        </is>
      </c>
      <c r="C861" s="7" t="inlineStr">
        <is>
          <t>unidad</t>
        </is>
      </c>
      <c r="D861" s="8" t="n"/>
      <c r="E861" s="8" t="n">
        <v>180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>
        <f>IF(COUNT(D861:U861)=0,"",MIN(D861:U861))</f>
        <v/>
      </c>
      <c r="W861" s="8">
        <f>IF(COUNT(D861:U861)=0,"",MEDIAN(D861:U861))</f>
        <v/>
      </c>
      <c r="X861" s="8">
        <f>IF(COUNT(D861:U861)=0,"",MAX(D861:U861))</f>
        <v/>
      </c>
      <c r="Y861" s="9">
        <f>IF(OR(V861="",V861=0),"",(X861-V861)/V861)</f>
        <v/>
      </c>
      <c r="Z861" s="7">
        <f>IF(COUNT(D861:U861)=0,"",INDEX($D$1:$U$1,MATCH(MIN(D861:U861),D861:U861,0)))</f>
        <v/>
      </c>
      <c r="AA861" s="8" t="n">
        <v>180</v>
      </c>
      <c r="AB861" s="10" t="n">
        <v>1</v>
      </c>
    </row>
    <row r="862">
      <c r="A862" s="7" t="inlineStr">
        <is>
          <t>MAT-10-252</t>
        </is>
      </c>
      <c r="B862" s="4" t="inlineStr">
        <is>
          <t>Panel de breakers de 24 espacios</t>
        </is>
      </c>
      <c r="C862" s="7" t="inlineStr">
        <is>
          <t>unidad</t>
        </is>
      </c>
      <c r="D862" s="8" t="n"/>
      <c r="E862" s="8" t="n">
        <v>4431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>
        <f>IF(COUNT(D862:U862)=0,"",MIN(D862:U862))</f>
        <v/>
      </c>
      <c r="W862" s="8">
        <f>IF(COUNT(D862:U862)=0,"",MEDIAN(D862:U862))</f>
        <v/>
      </c>
      <c r="X862" s="8">
        <f>IF(COUNT(D862:U862)=0,"",MAX(D862:U862))</f>
        <v/>
      </c>
      <c r="Y862" s="9">
        <f>IF(OR(V862="",V862=0),"",(X862-V862)/V862)</f>
        <v/>
      </c>
      <c r="Z862" s="7">
        <f>IF(COUNT(D862:U862)=0,"",INDEX($D$1:$U$1,MATCH(MIN(D862:U862),D862:U862,0)))</f>
        <v/>
      </c>
      <c r="AA862" s="8" t="n">
        <v>11419.5</v>
      </c>
      <c r="AB862" s="10" t="n">
        <v>1</v>
      </c>
    </row>
    <row r="863">
      <c r="A863" s="7" t="inlineStr">
        <is>
          <t>MAT-10-253</t>
        </is>
      </c>
      <c r="B863" s="4" t="inlineStr">
        <is>
          <t>Panel de breakers de 3 espacios</t>
        </is>
      </c>
      <c r="C863" s="7" t="inlineStr">
        <is>
          <t>unidad</t>
        </is>
      </c>
      <c r="D863" s="8" t="n"/>
      <c r="E863" s="8" t="n">
        <v>5730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>
        <f>IF(COUNT(D863:U863)=0,"",MIN(D863:U863))</f>
        <v/>
      </c>
      <c r="W863" s="8">
        <f>IF(COUNT(D863:U863)=0,"",MEDIAN(D863:U863))</f>
        <v/>
      </c>
      <c r="X863" s="8">
        <f>IF(COUNT(D863:U863)=0,"",MAX(D863:U863))</f>
        <v/>
      </c>
      <c r="Y863" s="9">
        <f>IF(OR(V863="",V863=0),"",(X863-V863)/V863)</f>
        <v/>
      </c>
      <c r="Z863" s="7">
        <f>IF(COUNT(D863:U863)=0,"",INDEX($D$1:$U$1,MATCH(MIN(D863:U863),D863:U863,0)))</f>
        <v/>
      </c>
      <c r="AA863" s="8" t="n">
        <v>5730</v>
      </c>
      <c r="AB863" s="10" t="n">
        <v>1</v>
      </c>
    </row>
    <row r="864">
      <c r="A864" s="7" t="inlineStr">
        <is>
          <t>MAT-10-254</t>
        </is>
      </c>
      <c r="B864" s="4" t="inlineStr">
        <is>
          <t>Panel de breakers de 30 espacios</t>
        </is>
      </c>
      <c r="C864" s="7" t="inlineStr">
        <is>
          <t>unidad</t>
        </is>
      </c>
      <c r="D864" s="8" t="n"/>
      <c r="E864" s="8" t="n">
        <v>14169.46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>
        <f>IF(COUNT(D864:U864)=0,"",MIN(D864:U864))</f>
        <v/>
      </c>
      <c r="W864" s="8">
        <f>IF(COUNT(D864:U864)=0,"",MEDIAN(D864:U864))</f>
        <v/>
      </c>
      <c r="X864" s="8">
        <f>IF(COUNT(D864:U864)=0,"",MAX(D864:U864))</f>
        <v/>
      </c>
      <c r="Y864" s="9">
        <f>IF(OR(V864="",V864=0),"",(X864-V864)/V864)</f>
        <v/>
      </c>
      <c r="Z864" s="7">
        <f>IF(COUNT(D864:U864)=0,"",INDEX($D$1:$U$1,MATCH(MIN(D864:U864),D864:U864,0)))</f>
        <v/>
      </c>
      <c r="AA864" s="8" t="n">
        <v>14169.46</v>
      </c>
      <c r="AB864" s="10" t="n">
        <v>1</v>
      </c>
    </row>
    <row r="865">
      <c r="A865" s="7" t="inlineStr">
        <is>
          <t>MAT-10-255</t>
        </is>
      </c>
      <c r="B865" s="4" t="inlineStr">
        <is>
          <t>Panel de breakers de 32 espacios</t>
        </is>
      </c>
      <c r="C865" s="7" t="inlineStr">
        <is>
          <t>unidad</t>
        </is>
      </c>
      <c r="D865" s="8" t="n"/>
      <c r="E865" s="8" t="n">
        <v>8136.48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>
        <f>IF(COUNT(D865:U865)=0,"",MIN(D865:U865))</f>
        <v/>
      </c>
      <c r="W865" s="8">
        <f>IF(COUNT(D865:U865)=0,"",MEDIAN(D865:U865))</f>
        <v/>
      </c>
      <c r="X865" s="8">
        <f>IF(COUNT(D865:U865)=0,"",MAX(D865:U865))</f>
        <v/>
      </c>
      <c r="Y865" s="9">
        <f>IF(OR(V865="",V865=0),"",(X865-V865)/V865)</f>
        <v/>
      </c>
      <c r="Z865" s="7">
        <f>IF(COUNT(D865:U865)=0,"",INDEX($D$1:$U$1,MATCH(MIN(D865:U865),D865:U865,0)))</f>
        <v/>
      </c>
      <c r="AA865" s="8" t="n">
        <v>8136.48</v>
      </c>
      <c r="AB865" s="10" t="n">
        <v>1</v>
      </c>
    </row>
    <row r="866">
      <c r="A866" s="7" t="inlineStr">
        <is>
          <t>MAT-10-256</t>
        </is>
      </c>
      <c r="B866" s="4" t="inlineStr">
        <is>
          <t>Panel de breakers de 36 espacios</t>
        </is>
      </c>
      <c r="C866" s="7" t="inlineStr">
        <is>
          <t>unidad</t>
        </is>
      </c>
      <c r="D866" s="8" t="n"/>
      <c r="E866" s="8" t="n">
        <v>16369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>
        <f>IF(COUNT(D866:U866)=0,"",MIN(D866:U866))</f>
        <v/>
      </c>
      <c r="W866" s="8">
        <f>IF(COUNT(D866:U866)=0,"",MEDIAN(D866:U866))</f>
        <v/>
      </c>
      <c r="X866" s="8">
        <f>IF(COUNT(D866:U866)=0,"",MAX(D866:U866))</f>
        <v/>
      </c>
      <c r="Y866" s="9">
        <f>IF(OR(V866="",V866=0),"",(X866-V866)/V866)</f>
        <v/>
      </c>
      <c r="Z866" s="7">
        <f>IF(COUNT(D866:U866)=0,"",INDEX($D$1:$U$1,MATCH(MIN(D866:U866),D866:U866,0)))</f>
        <v/>
      </c>
      <c r="AA866" s="8" t="n">
        <v>16369</v>
      </c>
      <c r="AB866" s="10" t="n">
        <v>1</v>
      </c>
    </row>
    <row r="867">
      <c r="A867" s="7" t="inlineStr">
        <is>
          <t>MAT-10-257</t>
        </is>
      </c>
      <c r="B867" s="4" t="inlineStr">
        <is>
          <t>Panel de breakers de 4 espacios</t>
        </is>
      </c>
      <c r="C867" s="7" t="inlineStr">
        <is>
          <t>unidad</t>
        </is>
      </c>
      <c r="D867" s="8" t="n"/>
      <c r="E867" s="8" t="n">
        <v>629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>
        <f>IF(COUNT(D867:U867)=0,"",MIN(D867:U867))</f>
        <v/>
      </c>
      <c r="W867" s="8">
        <f>IF(COUNT(D867:U867)=0,"",MEDIAN(D867:U867))</f>
        <v/>
      </c>
      <c r="X867" s="8">
        <f>IF(COUNT(D867:U867)=0,"",MAX(D867:U867))</f>
        <v/>
      </c>
      <c r="Y867" s="9">
        <f>IF(OR(V867="",V867=0),"",(X867-V867)/V867)</f>
        <v/>
      </c>
      <c r="Z867" s="7">
        <f>IF(COUNT(D867:U867)=0,"",INDEX($D$1:$U$1,MATCH(MIN(D867:U867),D867:U867,0)))</f>
        <v/>
      </c>
      <c r="AA867" s="8" t="n">
        <v>1855</v>
      </c>
      <c r="AB867" s="10" t="n">
        <v>1</v>
      </c>
    </row>
    <row r="868">
      <c r="A868" s="7" t="inlineStr">
        <is>
          <t>MAT-10-258</t>
        </is>
      </c>
      <c r="B868" s="4" t="inlineStr">
        <is>
          <t>Panel de breakers de 40 espacios</t>
        </is>
      </c>
      <c r="C868" s="7" t="inlineStr">
        <is>
          <t>unidad</t>
        </is>
      </c>
      <c r="D868" s="8" t="n"/>
      <c r="E868" s="8" t="n">
        <v>9743.09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>
        <f>IF(COUNT(D868:U868)=0,"",MIN(D868:U868))</f>
        <v/>
      </c>
      <c r="W868" s="8">
        <f>IF(COUNT(D868:U868)=0,"",MEDIAN(D868:U868))</f>
        <v/>
      </c>
      <c r="X868" s="8">
        <f>IF(COUNT(D868:U868)=0,"",MAX(D868:U868))</f>
        <v/>
      </c>
      <c r="Y868" s="9">
        <f>IF(OR(V868="",V868=0),"",(X868-V868)/V868)</f>
        <v/>
      </c>
      <c r="Z868" s="7">
        <f>IF(COUNT(D868:U868)=0,"",INDEX($D$1:$U$1,MATCH(MIN(D868:U868),D868:U868,0)))</f>
        <v/>
      </c>
      <c r="AA868" s="8" t="n">
        <v>9743.09</v>
      </c>
      <c r="AB868" s="10" t="n">
        <v>1</v>
      </c>
    </row>
    <row r="869">
      <c r="A869" s="7" t="inlineStr">
        <is>
          <t>MAT-10-259</t>
        </is>
      </c>
      <c r="B869" s="4" t="inlineStr">
        <is>
          <t>Panel de breakers de 42 espacios</t>
        </is>
      </c>
      <c r="C869" s="7" t="inlineStr">
        <is>
          <t>unidad</t>
        </is>
      </c>
      <c r="D869" s="8" t="n"/>
      <c r="E869" s="8" t="n">
        <v>11250.61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>
        <f>IF(COUNT(D869:U869)=0,"",MIN(D869:U869))</f>
        <v/>
      </c>
      <c r="W869" s="8">
        <f>IF(COUNT(D869:U869)=0,"",MEDIAN(D869:U869))</f>
        <v/>
      </c>
      <c r="X869" s="8">
        <f>IF(COUNT(D869:U869)=0,"",MAX(D869:U869))</f>
        <v/>
      </c>
      <c r="Y869" s="9">
        <f>IF(OR(V869="",V869=0),"",(X869-V869)/V869)</f>
        <v/>
      </c>
      <c r="Z869" s="7">
        <f>IF(COUNT(D869:U869)=0,"",INDEX($D$1:$U$1,MATCH(MIN(D869:U869),D869:U869,0)))</f>
        <v/>
      </c>
      <c r="AA869" s="8" t="n">
        <v>20121.46</v>
      </c>
      <c r="AB869" s="10" t="n">
        <v>1</v>
      </c>
    </row>
    <row r="870">
      <c r="A870" s="7" t="inlineStr">
        <is>
          <t>MAT-10-260</t>
        </is>
      </c>
      <c r="B870" s="4" t="inlineStr">
        <is>
          <t>Panel de breakers de 48 espacios</t>
        </is>
      </c>
      <c r="C870" s="7" t="inlineStr">
        <is>
          <t>unidad</t>
        </is>
      </c>
      <c r="D870" s="8" t="n"/>
      <c r="E870" s="8" t="n">
        <v>11883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>
        <f>IF(COUNT(D870:U870)=0,"",MIN(D870:U870))</f>
        <v/>
      </c>
      <c r="W870" s="8">
        <f>IF(COUNT(D870:U870)=0,"",MEDIAN(D870:U870))</f>
        <v/>
      </c>
      <c r="X870" s="8">
        <f>IF(COUNT(D870:U870)=0,"",MAX(D870:U870))</f>
        <v/>
      </c>
      <c r="Y870" s="9">
        <f>IF(OR(V870="",V870=0),"",(X870-V870)/V870)</f>
        <v/>
      </c>
      <c r="Z870" s="7">
        <f>IF(COUNT(D870:U870)=0,"",INDEX($D$1:$U$1,MATCH(MIN(D870:U870),D870:U870,0)))</f>
        <v/>
      </c>
      <c r="AA870" s="8" t="n">
        <v>11883</v>
      </c>
      <c r="AB870" s="10" t="n">
        <v>1</v>
      </c>
    </row>
    <row r="871">
      <c r="A871" s="7" t="inlineStr">
        <is>
          <t>MAT-10-261</t>
        </is>
      </c>
      <c r="B871" s="4" t="inlineStr">
        <is>
          <t>Panel de breakers de 60 espacios</t>
        </is>
      </c>
      <c r="C871" s="7" t="inlineStr">
        <is>
          <t>unidad</t>
        </is>
      </c>
      <c r="D871" s="8" t="n"/>
      <c r="E871" s="8" t="n">
        <v>10527.54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>
        <f>IF(COUNT(D871:U871)=0,"",MIN(D871:U871))</f>
        <v/>
      </c>
      <c r="W871" s="8">
        <f>IF(COUNT(D871:U871)=0,"",MEDIAN(D871:U871))</f>
        <v/>
      </c>
      <c r="X871" s="8">
        <f>IF(COUNT(D871:U871)=0,"",MAX(D871:U871))</f>
        <v/>
      </c>
      <c r="Y871" s="9">
        <f>IF(OR(V871="",V871=0),"",(X871-V871)/V871)</f>
        <v/>
      </c>
      <c r="Z871" s="7">
        <f>IF(COUNT(D871:U871)=0,"",INDEX($D$1:$U$1,MATCH(MIN(D871:U871),D871:U871,0)))</f>
        <v/>
      </c>
      <c r="AA871" s="8" t="n">
        <v>10527.54</v>
      </c>
      <c r="AB871" s="10" t="n">
        <v>1</v>
      </c>
    </row>
    <row r="872">
      <c r="A872" s="7" t="inlineStr">
        <is>
          <t>MAT-10-262</t>
        </is>
      </c>
      <c r="B872" s="4" t="inlineStr">
        <is>
          <t>Panel de breakers de 8 espacios</t>
        </is>
      </c>
      <c r="C872" s="7" t="inlineStr">
        <is>
          <t>unidad</t>
        </is>
      </c>
      <c r="D872" s="8" t="n"/>
      <c r="E872" s="8" t="n">
        <v>1145</v>
      </c>
      <c r="F872" s="8" t="n"/>
      <c r="G872" s="8" t="n"/>
      <c r="H872" s="8" t="n"/>
      <c r="I872" s="8" t="n"/>
      <c r="J872" s="8" t="n"/>
      <c r="K872" s="8" t="n"/>
      <c r="L872" s="8" t="n">
        <v>566</v>
      </c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>
        <f>IF(COUNT(D872:U872)=0,"",MIN(D872:U872))</f>
        <v/>
      </c>
      <c r="W872" s="8">
        <f>IF(COUNT(D872:U872)=0,"",MEDIAN(D872:U872))</f>
        <v/>
      </c>
      <c r="X872" s="8">
        <f>IF(COUNT(D872:U872)=0,"",MAX(D872:U872))</f>
        <v/>
      </c>
      <c r="Y872" s="9">
        <f>IF(OR(V872="",V872=0),"",(X872-V872)/V872)</f>
        <v/>
      </c>
      <c r="Z872" s="7">
        <f>IF(COUNT(D872:U872)=0,"",INDEX($D$1:$U$1,MATCH(MIN(D872:U872),D872:U872,0)))</f>
        <v/>
      </c>
      <c r="AA872" s="8" t="n">
        <v>1929.79</v>
      </c>
      <c r="AB872" s="10" t="n">
        <v>2</v>
      </c>
    </row>
    <row r="873">
      <c r="A873" s="7" t="inlineStr">
        <is>
          <t>MAT-10-263</t>
        </is>
      </c>
      <c r="B873" s="4" t="inlineStr">
        <is>
          <t>Caja de breaker principal de 125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6160</v>
      </c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>
        <f>IF(COUNT(D873:U873)=0,"",MIN(D873:U873))</f>
        <v/>
      </c>
      <c r="W873" s="8">
        <f>IF(COUNT(D873:U873)=0,"",MEDIAN(D873:U873))</f>
        <v/>
      </c>
      <c r="X873" s="8">
        <f>IF(COUNT(D873:U873)=0,"",MAX(D873:U873))</f>
        <v/>
      </c>
      <c r="Y873" s="9">
        <f>IF(OR(V873="",V873=0),"",(X873-V873)/V873)</f>
        <v/>
      </c>
      <c r="Z873" s="7">
        <f>IF(COUNT(D873:U873)=0,"",INDEX($D$1:$U$1,MATCH(MIN(D873:U873),D873:U873,0)))</f>
        <v/>
      </c>
      <c r="AA873" s="8" t="n">
        <v>6160</v>
      </c>
      <c r="AB873" s="10" t="n">
        <v>1</v>
      </c>
    </row>
    <row r="874">
      <c r="A874" s="7" t="inlineStr">
        <is>
          <t>MAT-10-264</t>
        </is>
      </c>
      <c r="B874" s="4" t="inlineStr">
        <is>
          <t>Caja de breaker principal de 25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815</v>
      </c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>
        <f>IF(COUNT(D874:U874)=0,"",MIN(D874:U874))</f>
        <v/>
      </c>
      <c r="W874" s="8">
        <f>IF(COUNT(D874:U874)=0,"",MEDIAN(D874:U874))</f>
        <v/>
      </c>
      <c r="X874" s="8">
        <f>IF(COUNT(D874:U874)=0,"",MAX(D874:U874))</f>
        <v/>
      </c>
      <c r="Y874" s="9">
        <f>IF(OR(V874="",V874=0),"",(X874-V874)/V874)</f>
        <v/>
      </c>
      <c r="Z874" s="7">
        <f>IF(COUNT(D874:U874)=0,"",INDEX($D$1:$U$1,MATCH(MIN(D874:U874),D874:U874,0)))</f>
        <v/>
      </c>
      <c r="AA874" s="8" t="n">
        <v>815</v>
      </c>
      <c r="AB874" s="10" t="n">
        <v>1</v>
      </c>
    </row>
    <row r="875">
      <c r="A875" s="7" t="inlineStr">
        <is>
          <t>MAT-10-265</t>
        </is>
      </c>
      <c r="B875" s="4" t="inlineStr">
        <is>
          <t>Caja de breaker principal de 32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700</v>
      </c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>
        <f>IF(COUNT(D875:U875)=0,"",MIN(D875:U875))</f>
        <v/>
      </c>
      <c r="W875" s="8">
        <f>IF(COUNT(D875:U875)=0,"",MEDIAN(D875:U875))</f>
        <v/>
      </c>
      <c r="X875" s="8">
        <f>IF(COUNT(D875:U875)=0,"",MAX(D875:U875))</f>
        <v/>
      </c>
      <c r="Y875" s="9">
        <f>IF(OR(V875="",V875=0),"",(X875-V875)/V875)</f>
        <v/>
      </c>
      <c r="Z875" s="7">
        <f>IF(COUNT(D875:U875)=0,"",INDEX($D$1:$U$1,MATCH(MIN(D875:U875),D875:U875,0)))</f>
        <v/>
      </c>
      <c r="AA875" s="8" t="n">
        <v>700</v>
      </c>
      <c r="AB875" s="10" t="n">
        <v>1</v>
      </c>
    </row>
    <row r="876">
      <c r="A876" s="7" t="inlineStr">
        <is>
          <t>MAT-10-266</t>
        </is>
      </c>
      <c r="B876" s="4" t="inlineStr">
        <is>
          <t>Switch de doble tiro 2P de 30 A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675</v>
      </c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>
        <f>IF(COUNT(D876:U876)=0,"",MIN(D876:U876))</f>
        <v/>
      </c>
      <c r="W876" s="8">
        <f>IF(COUNT(D876:U876)=0,"",MEDIAN(D876:U876))</f>
        <v/>
      </c>
      <c r="X876" s="8">
        <f>IF(COUNT(D876:U876)=0,"",MAX(D876:U876))</f>
        <v/>
      </c>
      <c r="Y876" s="9">
        <f>IF(OR(V876="",V876=0),"",(X876-V876)/V876)</f>
        <v/>
      </c>
      <c r="Z876" s="7">
        <f>IF(COUNT(D876:U876)=0,"",INDEX($D$1:$U$1,MATCH(MIN(D876:U876),D876:U876,0)))</f>
        <v/>
      </c>
      <c r="AA876" s="8" t="n">
        <v>675</v>
      </c>
      <c r="AB876" s="10" t="n">
        <v>1</v>
      </c>
    </row>
    <row r="877">
      <c r="A877" s="7" t="inlineStr">
        <is>
          <t>MAT-10-267</t>
        </is>
      </c>
      <c r="B877" s="4" t="inlineStr">
        <is>
          <t>Switch de doble tiro 2P de 60 A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1805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>
        <f>IF(COUNT(D877:U877)=0,"",MIN(D877:U877))</f>
        <v/>
      </c>
      <c r="W877" s="8">
        <f>IF(COUNT(D877:U877)=0,"",MEDIAN(D877:U877))</f>
        <v/>
      </c>
      <c r="X877" s="8">
        <f>IF(COUNT(D877:U877)=0,"",MAX(D877:U877))</f>
        <v/>
      </c>
      <c r="Y877" s="9">
        <f>IF(OR(V877="",V877=0),"",(X877-V877)/V877)</f>
        <v/>
      </c>
      <c r="Z877" s="7">
        <f>IF(COUNT(D877:U877)=0,"",INDEX($D$1:$U$1,MATCH(MIN(D877:U877),D877:U877,0)))</f>
        <v/>
      </c>
      <c r="AA877" s="8" t="n">
        <v>1805</v>
      </c>
      <c r="AB877" s="10" t="n">
        <v>1</v>
      </c>
    </row>
    <row r="878">
      <c r="A878" s="7" t="inlineStr">
        <is>
          <t>MAT-10-268</t>
        </is>
      </c>
      <c r="B878" s="4" t="inlineStr">
        <is>
          <t>Fusible de 30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50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>
        <f>IF(COUNT(D878:U878)=0,"",MIN(D878:U878))</f>
        <v/>
      </c>
      <c r="W878" s="8">
        <f>IF(COUNT(D878:U878)=0,"",MEDIAN(D878:U878))</f>
        <v/>
      </c>
      <c r="X878" s="8">
        <f>IF(COUNT(D878:U878)=0,"",MAX(D878:U878))</f>
        <v/>
      </c>
      <c r="Y878" s="9">
        <f>IF(OR(V878="",V878=0),"",(X878-V878)/V878)</f>
        <v/>
      </c>
      <c r="Z878" s="7">
        <f>IF(COUNT(D878:U878)=0,"",INDEX($D$1:$U$1,MATCH(MIN(D878:U878),D878:U878,0)))</f>
        <v/>
      </c>
      <c r="AA878" s="8" t="n">
        <v>50</v>
      </c>
      <c r="AB878" s="10" t="n">
        <v>1</v>
      </c>
    </row>
    <row r="879">
      <c r="A879" s="7" t="inlineStr">
        <is>
          <t>MAT-10-269</t>
        </is>
      </c>
      <c r="B879" s="4" t="inlineStr">
        <is>
          <t>Fusible de 60 A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140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>
        <f>IF(COUNT(D879:U879)=0,"",MIN(D879:U879))</f>
        <v/>
      </c>
      <c r="W879" s="8">
        <f>IF(COUNT(D879:U879)=0,"",MEDIAN(D879:U879))</f>
        <v/>
      </c>
      <c r="X879" s="8">
        <f>IF(COUNT(D879:U879)=0,"",MAX(D879:U879))</f>
        <v/>
      </c>
      <c r="Y879" s="9">
        <f>IF(OR(V879="",V879=0),"",(X879-V879)/V879)</f>
        <v/>
      </c>
      <c r="Z879" s="7">
        <f>IF(COUNT(D879:U879)=0,"",INDEX($D$1:$U$1,MATCH(MIN(D879:U879),D879:U879,0)))</f>
        <v/>
      </c>
      <c r="AA879" s="8" t="n">
        <v>140</v>
      </c>
      <c r="AB879" s="10" t="n">
        <v>1</v>
      </c>
    </row>
    <row r="880">
      <c r="A880" s="7" t="inlineStr">
        <is>
          <t>MAT-10-270</t>
        </is>
      </c>
      <c r="B880" s="4" t="inlineStr">
        <is>
          <t>Protector de voltaje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745</v>
      </c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>
        <f>IF(COUNT(D880:U880)=0,"",MIN(D880:U880))</f>
        <v/>
      </c>
      <c r="W880" s="8">
        <f>IF(COUNT(D880:U880)=0,"",MEDIAN(D880:U880))</f>
        <v/>
      </c>
      <c r="X880" s="8">
        <f>IF(COUNT(D880:U880)=0,"",MAX(D880:U880))</f>
        <v/>
      </c>
      <c r="Y880" s="9">
        <f>IF(OR(V880="",V880=0),"",(X880-V880)/V880)</f>
        <v/>
      </c>
      <c r="Z880" s="7">
        <f>IF(COUNT(D880:U880)=0,"",INDEX($D$1:$U$1,MATCH(MIN(D880:U880),D880:U880,0)))</f>
        <v/>
      </c>
      <c r="AA880" s="8" t="n">
        <v>950.01</v>
      </c>
      <c r="AB880" s="10" t="n">
        <v>1</v>
      </c>
    </row>
    <row r="881">
      <c r="A881" s="7" t="inlineStr">
        <is>
          <t>MAT-10-271</t>
        </is>
      </c>
      <c r="B881" s="4" t="inlineStr">
        <is>
          <t>Regulador de voltaje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1395</v>
      </c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>
        <f>IF(COUNT(D881:U881)=0,"",MIN(D881:U881))</f>
        <v/>
      </c>
      <c r="W881" s="8">
        <f>IF(COUNT(D881:U881)=0,"",MEDIAN(D881:U881))</f>
        <v/>
      </c>
      <c r="X881" s="8">
        <f>IF(COUNT(D881:U881)=0,"",MAX(D881:U881))</f>
        <v/>
      </c>
      <c r="Y881" s="9">
        <f>IF(OR(V881="",V881=0),"",(X881-V881)/V881)</f>
        <v/>
      </c>
      <c r="Z881" s="7">
        <f>IF(COUNT(D881:U881)=0,"",INDEX($D$1:$U$1,MATCH(MIN(D881:U881),D881:U881,0)))</f>
        <v/>
      </c>
      <c r="AA881" s="8" t="n">
        <v>1395</v>
      </c>
      <c r="AB881" s="10" t="n">
        <v>1</v>
      </c>
    </row>
    <row r="882">
      <c r="A882" s="7" t="inlineStr">
        <is>
          <t>MAT-10-272</t>
        </is>
      </c>
      <c r="B882" s="4" t="inlineStr">
        <is>
          <t>Tubo eléctrico EMT 1 1/2" x 10 pies</t>
        </is>
      </c>
      <c r="C882" s="7" t="inlineStr">
        <is>
          <t>tubo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725</v>
      </c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>
        <f>IF(COUNT(D882:U882)=0,"",MIN(D882:U882))</f>
        <v/>
      </c>
      <c r="W882" s="8">
        <f>IF(COUNT(D882:U882)=0,"",MEDIAN(D882:U882))</f>
        <v/>
      </c>
      <c r="X882" s="8">
        <f>IF(COUNT(D882:U882)=0,"",MAX(D882:U882))</f>
        <v/>
      </c>
      <c r="Y882" s="9">
        <f>IF(OR(V882="",V882=0),"",(X882-V882)/V882)</f>
        <v/>
      </c>
      <c r="Z882" s="7">
        <f>IF(COUNT(D882:U882)=0,"",INDEX($D$1:$U$1,MATCH(MIN(D882:U882),D882:U882,0)))</f>
        <v/>
      </c>
      <c r="AA882" s="8" t="n">
        <v>725</v>
      </c>
      <c r="AB882" s="10" t="n">
        <v>1</v>
      </c>
    </row>
    <row r="883">
      <c r="A883" s="7" t="inlineStr">
        <is>
          <t>MAT-10-273</t>
        </is>
      </c>
      <c r="B883" s="4" t="inlineStr">
        <is>
          <t>Tubo eléctrico EMT 1" x 10 pies</t>
        </is>
      </c>
      <c r="C883" s="7" t="inlineStr">
        <is>
          <t>tubo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375</v>
      </c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>
        <f>IF(COUNT(D883:U883)=0,"",MIN(D883:U883))</f>
        <v/>
      </c>
      <c r="W883" s="8">
        <f>IF(COUNT(D883:U883)=0,"",MEDIAN(D883:U883))</f>
        <v/>
      </c>
      <c r="X883" s="8">
        <f>IF(COUNT(D883:U883)=0,"",MAX(D883:U883))</f>
        <v/>
      </c>
      <c r="Y883" s="9">
        <f>IF(OR(V883="",V883=0),"",(X883-V883)/V883)</f>
        <v/>
      </c>
      <c r="Z883" s="7">
        <f>IF(COUNT(D883:U883)=0,"",INDEX($D$1:$U$1,MATCH(MIN(D883:U883),D883:U883,0)))</f>
        <v/>
      </c>
      <c r="AA883" s="8" t="n">
        <v>375</v>
      </c>
      <c r="AB883" s="10" t="n">
        <v>1</v>
      </c>
    </row>
    <row r="884">
      <c r="A884" s="7" t="inlineStr">
        <is>
          <t>MAT-10-274</t>
        </is>
      </c>
      <c r="B884" s="4" t="inlineStr">
        <is>
          <t>Tubo eléctrico EMT 3/4" x 10 pies</t>
        </is>
      </c>
      <c r="C884" s="7" t="inlineStr">
        <is>
          <t>tubo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310</v>
      </c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>
        <f>IF(COUNT(D884:U884)=0,"",MIN(D884:U884))</f>
        <v/>
      </c>
      <c r="W884" s="8">
        <f>IF(COUNT(D884:U884)=0,"",MEDIAN(D884:U884))</f>
        <v/>
      </c>
      <c r="X884" s="8">
        <f>IF(COUNT(D884:U884)=0,"",MAX(D884:U884))</f>
        <v/>
      </c>
      <c r="Y884" s="9">
        <f>IF(OR(V884="",V884=0),"",(X884-V884)/V884)</f>
        <v/>
      </c>
      <c r="Z884" s="7">
        <f>IF(COUNT(D884:U884)=0,"",INDEX($D$1:$U$1,MATCH(MIN(D884:U884),D884:U884,0)))</f>
        <v/>
      </c>
      <c r="AA884" s="8" t="n">
        <v>310</v>
      </c>
      <c r="AB884" s="10" t="n">
        <v>1</v>
      </c>
    </row>
    <row r="885">
      <c r="A885" s="7" t="inlineStr">
        <is>
          <t>MAT-10-275</t>
        </is>
      </c>
      <c r="B885" s="4" t="inlineStr">
        <is>
          <t>Tubería flexible BX 1/2"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25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>
        <f>IF(COUNT(D885:U885)=0,"",MIN(D885:U885))</f>
        <v/>
      </c>
      <c r="W885" s="8">
        <f>IF(COUNT(D885:U885)=0,"",MEDIAN(D885:U885))</f>
        <v/>
      </c>
      <c r="X885" s="8">
        <f>IF(COUNT(D885:U885)=0,"",MAX(D885:U885))</f>
        <v/>
      </c>
      <c r="Y885" s="9">
        <f>IF(OR(V885="",V885=0),"",(X885-V885)/V885)</f>
        <v/>
      </c>
      <c r="Z885" s="7">
        <f>IF(COUNT(D885:U885)=0,"",INDEX($D$1:$U$1,MATCH(MIN(D885:U885),D885:U885,0)))</f>
        <v/>
      </c>
      <c r="AA885" s="8" t="n">
        <v>25</v>
      </c>
      <c r="AB885" s="10" t="n">
        <v>1</v>
      </c>
    </row>
    <row r="886">
      <c r="A886" s="7" t="inlineStr">
        <is>
          <t>MAT-10-276</t>
        </is>
      </c>
      <c r="B886" s="4" t="inlineStr">
        <is>
          <t>Tubería flexible BX 3/4"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35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>
        <f>IF(COUNT(D886:U886)=0,"",MIN(D886:U886))</f>
        <v/>
      </c>
      <c r="W886" s="8">
        <f>IF(COUNT(D886:U886)=0,"",MEDIAN(D886:U886))</f>
        <v/>
      </c>
      <c r="X886" s="8">
        <f>IF(COUNT(D886:U886)=0,"",MAX(D886:U886))</f>
        <v/>
      </c>
      <c r="Y886" s="9">
        <f>IF(OR(V886="",V886=0),"",(X886-V886)/V886)</f>
        <v/>
      </c>
      <c r="Z886" s="7">
        <f>IF(COUNT(D886:U886)=0,"",INDEX($D$1:$U$1,MATCH(MIN(D886:U886),D886:U886,0)))</f>
        <v/>
      </c>
      <c r="AA886" s="8" t="n">
        <v>35</v>
      </c>
      <c r="AB886" s="10" t="n">
        <v>1</v>
      </c>
    </row>
    <row r="887">
      <c r="A887" s="7" t="inlineStr">
        <is>
          <t>MAT-10-277</t>
        </is>
      </c>
      <c r="B887" s="4" t="inlineStr">
        <is>
          <t>Tubería flexible liquid tight 3/4"</t>
        </is>
      </c>
      <c r="C887" s="7" t="inlineStr">
        <is>
          <t>unidad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45.01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>
        <f>IF(COUNT(D887:U887)=0,"",MIN(D887:U887))</f>
        <v/>
      </c>
      <c r="W887" s="8">
        <f>IF(COUNT(D887:U887)=0,"",MEDIAN(D887:U887))</f>
        <v/>
      </c>
      <c r="X887" s="8">
        <f>IF(COUNT(D887:U887)=0,"",MAX(D887:U887))</f>
        <v/>
      </c>
      <c r="Y887" s="9">
        <f>IF(OR(V887="",V887=0),"",(X887-V887)/V887)</f>
        <v/>
      </c>
      <c r="Z887" s="7">
        <f>IF(COUNT(D887:U887)=0,"",INDEX($D$1:$U$1,MATCH(MIN(D887:U887),D887:U887,0)))</f>
        <v/>
      </c>
      <c r="AA887" s="8" t="n">
        <v>77.51000000000001</v>
      </c>
      <c r="AB887" s="10" t="n">
        <v>1</v>
      </c>
    </row>
    <row r="888">
      <c r="A888" s="7" t="inlineStr">
        <is>
          <t>MAT-10-278</t>
        </is>
      </c>
      <c r="B888" s="4" t="inlineStr">
        <is>
          <t>Canaleta plástica 11 x 10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115</v>
      </c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>
        <f>IF(COUNT(D888:U888)=0,"",MIN(D888:U888))</f>
        <v/>
      </c>
      <c r="W888" s="8">
        <f>IF(COUNT(D888:U888)=0,"",MEDIAN(D888:U888))</f>
        <v/>
      </c>
      <c r="X888" s="8">
        <f>IF(COUNT(D888:U888)=0,"",MAX(D888:U888))</f>
        <v/>
      </c>
      <c r="Y888" s="9">
        <f>IF(OR(V888="",V888=0),"",(X888-V888)/V888)</f>
        <v/>
      </c>
      <c r="Z888" s="7">
        <f>IF(COUNT(D888:U888)=0,"",INDEX($D$1:$U$1,MATCH(MIN(D888:U888),D888:U888,0)))</f>
        <v/>
      </c>
      <c r="AA888" s="8" t="n">
        <v>115</v>
      </c>
      <c r="AB888" s="10" t="n">
        <v>1</v>
      </c>
    </row>
    <row r="889">
      <c r="A889" s="7" t="inlineStr">
        <is>
          <t>MAT-10-279</t>
        </is>
      </c>
      <c r="B889" s="4" t="inlineStr">
        <is>
          <t>Canaleta plástica 15 x 10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119.99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>
        <f>IF(COUNT(D889:U889)=0,"",MIN(D889:U889))</f>
        <v/>
      </c>
      <c r="W889" s="8">
        <f>IF(COUNT(D889:U889)=0,"",MEDIAN(D889:U889))</f>
        <v/>
      </c>
      <c r="X889" s="8">
        <f>IF(COUNT(D889:U889)=0,"",MAX(D889:U889))</f>
        <v/>
      </c>
      <c r="Y889" s="9">
        <f>IF(OR(V889="",V889=0),"",(X889-V889)/V889)</f>
        <v/>
      </c>
      <c r="Z889" s="7">
        <f>IF(COUNT(D889:U889)=0,"",INDEX($D$1:$U$1,MATCH(MIN(D889:U889),D889:U889,0)))</f>
        <v/>
      </c>
      <c r="AA889" s="8" t="n">
        <v>119.99</v>
      </c>
      <c r="AB889" s="10" t="n">
        <v>1</v>
      </c>
    </row>
    <row r="890">
      <c r="A890" s="7" t="inlineStr">
        <is>
          <t>MAT-10-280</t>
        </is>
      </c>
      <c r="B890" s="4" t="inlineStr">
        <is>
          <t>Canaleta plástica 15 x 12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135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>
        <f>IF(COUNT(D890:U890)=0,"",MIN(D890:U890))</f>
        <v/>
      </c>
      <c r="W890" s="8">
        <f>IF(COUNT(D890:U890)=0,"",MEDIAN(D890:U890))</f>
        <v/>
      </c>
      <c r="X890" s="8">
        <f>IF(COUNT(D890:U890)=0,"",MAX(D890:U890))</f>
        <v/>
      </c>
      <c r="Y890" s="9">
        <f>IF(OR(V890="",V890=0),"",(X890-V890)/V890)</f>
        <v/>
      </c>
      <c r="Z890" s="7">
        <f>IF(COUNT(D890:U890)=0,"",INDEX($D$1:$U$1,MATCH(MIN(D890:U890),D890:U890,0)))</f>
        <v/>
      </c>
      <c r="AA890" s="8" t="n">
        <v>135</v>
      </c>
      <c r="AB890" s="10" t="n">
        <v>1</v>
      </c>
    </row>
    <row r="891">
      <c r="A891" s="7" t="inlineStr">
        <is>
          <t>MAT-10-281</t>
        </is>
      </c>
      <c r="B891" s="4" t="inlineStr">
        <is>
          <t>Canaleta plástica 20 x 10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150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>
        <f>IF(COUNT(D891:U891)=0,"",MIN(D891:U891))</f>
        <v/>
      </c>
      <c r="W891" s="8">
        <f>IF(COUNT(D891:U891)=0,"",MEDIAN(D891:U891))</f>
        <v/>
      </c>
      <c r="X891" s="8">
        <f>IF(COUNT(D891:U891)=0,"",MAX(D891:U891))</f>
        <v/>
      </c>
      <c r="Y891" s="9">
        <f>IF(OR(V891="",V891=0),"",(X891-V891)/V891)</f>
        <v/>
      </c>
      <c r="Z891" s="7">
        <f>IF(COUNT(D891:U891)=0,"",INDEX($D$1:$U$1,MATCH(MIN(D891:U891),D891:U891,0)))</f>
        <v/>
      </c>
      <c r="AA891" s="8" t="n">
        <v>150</v>
      </c>
      <c r="AB891" s="10" t="n">
        <v>1</v>
      </c>
    </row>
    <row r="892">
      <c r="A892" s="7" t="inlineStr">
        <is>
          <t>MAT-10-282</t>
        </is>
      </c>
      <c r="B892" s="4" t="inlineStr">
        <is>
          <t>Canaleta plástica 25 x 15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200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>
        <f>IF(COUNT(D892:U892)=0,"",MIN(D892:U892))</f>
        <v/>
      </c>
      <c r="W892" s="8">
        <f>IF(COUNT(D892:U892)=0,"",MEDIAN(D892:U892))</f>
        <v/>
      </c>
      <c r="X892" s="8">
        <f>IF(COUNT(D892:U892)=0,"",MAX(D892:U892))</f>
        <v/>
      </c>
      <c r="Y892" s="9">
        <f>IF(OR(V892="",V892=0),"",(X892-V892)/V892)</f>
        <v/>
      </c>
      <c r="Z892" s="7">
        <f>IF(COUNT(D892:U892)=0,"",INDEX($D$1:$U$1,MATCH(MIN(D892:U892),D892:U892,0)))</f>
        <v/>
      </c>
      <c r="AA892" s="8" t="n">
        <v>200</v>
      </c>
      <c r="AB892" s="10" t="n">
        <v>1</v>
      </c>
    </row>
    <row r="893">
      <c r="A893" s="7" t="inlineStr">
        <is>
          <t>MAT-10-283</t>
        </is>
      </c>
      <c r="B893" s="4" t="inlineStr">
        <is>
          <t>Canaleta plástica 32 x 15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215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>
        <f>IF(COUNT(D893:U893)=0,"",MIN(D893:U893))</f>
        <v/>
      </c>
      <c r="W893" s="8">
        <f>IF(COUNT(D893:U893)=0,"",MEDIAN(D893:U893))</f>
        <v/>
      </c>
      <c r="X893" s="8">
        <f>IF(COUNT(D893:U893)=0,"",MAX(D893:U893))</f>
        <v/>
      </c>
      <c r="Y893" s="9">
        <f>IF(OR(V893="",V893=0),"",(X893-V893)/V893)</f>
        <v/>
      </c>
      <c r="Z893" s="7">
        <f>IF(COUNT(D893:U893)=0,"",INDEX($D$1:$U$1,MATCH(MIN(D893:U893),D893:U893,0)))</f>
        <v/>
      </c>
      <c r="AA893" s="8" t="n">
        <v>215</v>
      </c>
      <c r="AB893" s="10" t="n">
        <v>1</v>
      </c>
    </row>
    <row r="894">
      <c r="A894" s="7" t="inlineStr">
        <is>
          <t>MAT-10-284</t>
        </is>
      </c>
      <c r="B894" s="4" t="inlineStr">
        <is>
          <t>Canaleta plástica 40 x 15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320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>
        <f>IF(COUNT(D894:U894)=0,"",MIN(D894:U894))</f>
        <v/>
      </c>
      <c r="W894" s="8">
        <f>IF(COUNT(D894:U894)=0,"",MEDIAN(D894:U894))</f>
        <v/>
      </c>
      <c r="X894" s="8">
        <f>IF(COUNT(D894:U894)=0,"",MAX(D894:U894))</f>
        <v/>
      </c>
      <c r="Y894" s="9">
        <f>IF(OR(V894="",V894=0),"",(X894-V894)/V894)</f>
        <v/>
      </c>
      <c r="Z894" s="7">
        <f>IF(COUNT(D894:U894)=0,"",INDEX($D$1:$U$1,MATCH(MIN(D894:U894),D894:U894,0)))</f>
        <v/>
      </c>
      <c r="AA894" s="8" t="n">
        <v>320</v>
      </c>
      <c r="AB894" s="10" t="n">
        <v>1</v>
      </c>
    </row>
    <row r="895">
      <c r="A895" s="7" t="inlineStr">
        <is>
          <t>MAT-10-285</t>
        </is>
      </c>
      <c r="B895" s="4" t="inlineStr">
        <is>
          <t>Canaleta plástica 60 x 40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550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>
        <f>IF(COUNT(D895:U895)=0,"",MIN(D895:U895))</f>
        <v/>
      </c>
      <c r="W895" s="8">
        <f>IF(COUNT(D895:U895)=0,"",MEDIAN(D895:U895))</f>
        <v/>
      </c>
      <c r="X895" s="8">
        <f>IF(COUNT(D895:U895)=0,"",MAX(D895:U895))</f>
        <v/>
      </c>
      <c r="Y895" s="9">
        <f>IF(OR(V895="",V895=0),"",(X895-V895)/V895)</f>
        <v/>
      </c>
      <c r="Z895" s="7">
        <f>IF(COUNT(D895:U895)=0,"",INDEX($D$1:$U$1,MATCH(MIN(D895:U895),D895:U895,0)))</f>
        <v/>
      </c>
      <c r="AA895" s="8" t="n">
        <v>550</v>
      </c>
      <c r="AB895" s="10" t="n">
        <v>1</v>
      </c>
    </row>
    <row r="896">
      <c r="A896" s="7" t="inlineStr">
        <is>
          <t>MAT-10-286</t>
        </is>
      </c>
      <c r="B896" s="4" t="inlineStr">
        <is>
          <t>Canaleta plástica 80 x 40 mm</t>
        </is>
      </c>
      <c r="C896" s="7" t="inlineStr">
        <is>
          <t>tramo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745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>
        <f>IF(COUNT(D896:U896)=0,"",MIN(D896:U896))</f>
        <v/>
      </c>
      <c r="W896" s="8">
        <f>IF(COUNT(D896:U896)=0,"",MEDIAN(D896:U896))</f>
        <v/>
      </c>
      <c r="X896" s="8">
        <f>IF(COUNT(D896:U896)=0,"",MAX(D896:U896))</f>
        <v/>
      </c>
      <c r="Y896" s="9">
        <f>IF(OR(V896="",V896=0),"",(X896-V896)/V896)</f>
        <v/>
      </c>
      <c r="Z896" s="7">
        <f>IF(COUNT(D896:U896)=0,"",INDEX($D$1:$U$1,MATCH(MIN(D896:U896),D896:U896,0)))</f>
        <v/>
      </c>
      <c r="AA896" s="8" t="n">
        <v>745</v>
      </c>
      <c r="AB896" s="10" t="n">
        <v>1</v>
      </c>
    </row>
    <row r="897">
      <c r="A897" s="7" t="inlineStr">
        <is>
          <t>MAT-10-287</t>
        </is>
      </c>
      <c r="B897" s="4" t="inlineStr">
        <is>
          <t>Caja eléctrica octagonal de metal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115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>
        <f>IF(COUNT(D897:U897)=0,"",MIN(D897:U897))</f>
        <v/>
      </c>
      <c r="W897" s="8">
        <f>IF(COUNT(D897:U897)=0,"",MEDIAN(D897:U897))</f>
        <v/>
      </c>
      <c r="X897" s="8">
        <f>IF(COUNT(D897:U897)=0,"",MAX(D897:U897))</f>
        <v/>
      </c>
      <c r="Y897" s="9">
        <f>IF(OR(V897="",V897=0),"",(X897-V897)/V897)</f>
        <v/>
      </c>
      <c r="Z897" s="7">
        <f>IF(COUNT(D897:U897)=0,"",INDEX($D$1:$U$1,MATCH(MIN(D897:U897),D897:U897,0)))</f>
        <v/>
      </c>
      <c r="AA897" s="8" t="n">
        <v>115</v>
      </c>
      <c r="AB897" s="10" t="n">
        <v>1</v>
      </c>
    </row>
    <row r="898">
      <c r="A898" s="7" t="inlineStr">
        <is>
          <t>MAT-10-288</t>
        </is>
      </c>
      <c r="B898" s="4" t="inlineStr">
        <is>
          <t>Caja eléctrica rectangular de metal 2 x 4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40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>
        <f>IF(COUNT(D898:U898)=0,"",MIN(D898:U898))</f>
        <v/>
      </c>
      <c r="W898" s="8">
        <f>IF(COUNT(D898:U898)=0,"",MEDIAN(D898:U898))</f>
        <v/>
      </c>
      <c r="X898" s="8">
        <f>IF(COUNT(D898:U898)=0,"",MAX(D898:U898))</f>
        <v/>
      </c>
      <c r="Y898" s="9">
        <f>IF(OR(V898="",V898=0),"",(X898-V898)/V898)</f>
        <v/>
      </c>
      <c r="Z898" s="7">
        <f>IF(COUNT(D898:U898)=0,"",INDEX($D$1:$U$1,MATCH(MIN(D898:U898),D898:U898,0)))</f>
        <v/>
      </c>
      <c r="AA898" s="8" t="n">
        <v>40.5</v>
      </c>
      <c r="AB898" s="10" t="n">
        <v>1</v>
      </c>
    </row>
    <row r="899">
      <c r="A899" s="7" t="inlineStr">
        <is>
          <t>MAT-10-289</t>
        </is>
      </c>
      <c r="B899" s="4" t="inlineStr">
        <is>
          <t>Caja eléctrica rectangular de PVC 2 x 4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45.01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>
        <f>IF(COUNT(D899:U899)=0,"",MIN(D899:U899))</f>
        <v/>
      </c>
      <c r="W899" s="8">
        <f>IF(COUNT(D899:U899)=0,"",MEDIAN(D899:U899))</f>
        <v/>
      </c>
      <c r="X899" s="8">
        <f>IF(COUNT(D899:U899)=0,"",MAX(D899:U899))</f>
        <v/>
      </c>
      <c r="Y899" s="9">
        <f>IF(OR(V899="",V899=0),"",(X899-V899)/V899)</f>
        <v/>
      </c>
      <c r="Z899" s="7">
        <f>IF(COUNT(D899:U899)=0,"",INDEX($D$1:$U$1,MATCH(MIN(D899:U899),D899:U899,0)))</f>
        <v/>
      </c>
      <c r="AA899" s="8" t="n">
        <v>45.01</v>
      </c>
      <c r="AB899" s="10" t="n">
        <v>1</v>
      </c>
    </row>
    <row r="900">
      <c r="A900" s="7" t="inlineStr">
        <is>
          <t>MAT-10-290</t>
        </is>
      </c>
      <c r="B900" s="4" t="inlineStr">
        <is>
          <t>Abrazadera para tubo eléctrico 1/2"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4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>
        <f>IF(COUNT(D900:U900)=0,"",MIN(D900:U900))</f>
        <v/>
      </c>
      <c r="W900" s="8">
        <f>IF(COUNT(D900:U900)=0,"",MEDIAN(D900:U900))</f>
        <v/>
      </c>
      <c r="X900" s="8">
        <f>IF(COUNT(D900:U900)=0,"",MAX(D900:U900))</f>
        <v/>
      </c>
      <c r="Y900" s="9">
        <f>IF(OR(V900="",V900=0),"",(X900-V900)/V900)</f>
        <v/>
      </c>
      <c r="Z900" s="7">
        <f>IF(COUNT(D900:U900)=0,"",INDEX($D$1:$U$1,MATCH(MIN(D900:U900),D900:U900,0)))</f>
        <v/>
      </c>
      <c r="AA900" s="8" t="n">
        <v>4</v>
      </c>
      <c r="AB900" s="10" t="n">
        <v>1</v>
      </c>
    </row>
    <row r="901">
      <c r="A901" s="7" t="inlineStr">
        <is>
          <t>MAT-10-291</t>
        </is>
      </c>
      <c r="B901" s="4" t="inlineStr">
        <is>
          <t>Abrazadera para tubo eléctrico 1/2", 2 huecos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>
        <f>IF(COUNT(D901:U901)=0,"",MIN(D901:U901))</f>
        <v/>
      </c>
      <c r="W901" s="8">
        <f>IF(COUNT(D901:U901)=0,"",MEDIAN(D901:U901))</f>
        <v/>
      </c>
      <c r="X901" s="8">
        <f>IF(COUNT(D901:U901)=0,"",MAX(D901:U901))</f>
        <v/>
      </c>
      <c r="Y901" s="9">
        <f>IF(OR(V901="",V901=0),"",(X901-V901)/V901)</f>
        <v/>
      </c>
      <c r="Z901" s="7">
        <f>IF(COUNT(D901:U901)=0,"",INDEX($D$1:$U$1,MATCH(MIN(D901:U901),D901:U901,0)))</f>
        <v/>
      </c>
      <c r="AA901" s="8" t="n">
        <v>5</v>
      </c>
      <c r="AB901" s="10" t="n">
        <v>1</v>
      </c>
    </row>
    <row r="902">
      <c r="A902" s="7" t="inlineStr">
        <is>
          <t>MAT-10-292</t>
        </is>
      </c>
      <c r="B902" s="4" t="inlineStr">
        <is>
          <t>Abrazadera para tubo eléctrico 1"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7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>
        <f>IF(COUNT(D902:U902)=0,"",MIN(D902:U902))</f>
        <v/>
      </c>
      <c r="W902" s="8">
        <f>IF(COUNT(D902:U902)=0,"",MEDIAN(D902:U902))</f>
        <v/>
      </c>
      <c r="X902" s="8">
        <f>IF(COUNT(D902:U902)=0,"",MAX(D902:U902))</f>
        <v/>
      </c>
      <c r="Y902" s="9">
        <f>IF(OR(V902="",V902=0),"",(X902-V902)/V902)</f>
        <v/>
      </c>
      <c r="Z902" s="7">
        <f>IF(COUNT(D902:U902)=0,"",INDEX($D$1:$U$1,MATCH(MIN(D902:U902),D902:U902,0)))</f>
        <v/>
      </c>
      <c r="AA902" s="8" t="n">
        <v>7</v>
      </c>
      <c r="AB902" s="10" t="n">
        <v>1</v>
      </c>
    </row>
    <row r="903">
      <c r="A903" s="7" t="inlineStr">
        <is>
          <t>MAT-10-293</t>
        </is>
      </c>
      <c r="B903" s="4" t="inlineStr">
        <is>
          <t>Abrazadera para tubo eléctrico 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35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>
        <f>IF(COUNT(D903:U903)=0,"",MIN(D903:U903))</f>
        <v/>
      </c>
      <c r="W903" s="8">
        <f>IF(COUNT(D903:U903)=0,"",MEDIAN(D903:U903))</f>
        <v/>
      </c>
      <c r="X903" s="8">
        <f>IF(COUNT(D903:U903)=0,"",MAX(D903:U903))</f>
        <v/>
      </c>
      <c r="Y903" s="9">
        <f>IF(OR(V903="",V903=0),"",(X903-V903)/V903)</f>
        <v/>
      </c>
      <c r="Z903" s="7">
        <f>IF(COUNT(D903:U903)=0,"",INDEX($D$1:$U$1,MATCH(MIN(D903:U903),D903:U903,0)))</f>
        <v/>
      </c>
      <c r="AA903" s="8" t="n">
        <v>35</v>
      </c>
      <c r="AB903" s="10" t="n">
        <v>1</v>
      </c>
    </row>
    <row r="904">
      <c r="A904" s="7" t="inlineStr">
        <is>
          <t>MAT-10-294</t>
        </is>
      </c>
      <c r="B904" s="4" t="inlineStr">
        <is>
          <t>Abrazadera para tubo eléctrico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4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>
        <f>IF(COUNT(D904:U904)=0,"",MIN(D904:U904))</f>
        <v/>
      </c>
      <c r="W904" s="8">
        <f>IF(COUNT(D904:U904)=0,"",MEDIAN(D904:U904))</f>
        <v/>
      </c>
      <c r="X904" s="8">
        <f>IF(COUNT(D904:U904)=0,"",MAX(D904:U904))</f>
        <v/>
      </c>
      <c r="Y904" s="9">
        <f>IF(OR(V904="",V904=0),"",(X904-V904)/V904)</f>
        <v/>
      </c>
      <c r="Z904" s="7">
        <f>IF(COUNT(D904:U904)=0,"",INDEX($D$1:$U$1,MATCH(MIN(D904:U904),D904:U904,0)))</f>
        <v/>
      </c>
      <c r="AA904" s="8" t="n">
        <v>4</v>
      </c>
      <c r="AB904" s="10" t="n">
        <v>1</v>
      </c>
    </row>
    <row r="905">
      <c r="A905" s="7" t="inlineStr">
        <is>
          <t>MAT-10-295</t>
        </is>
      </c>
      <c r="B905" s="4" t="inlineStr">
        <is>
          <t>Abrazadera para tubo eléctrico 3"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64.98999999999999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>
        <f>IF(COUNT(D905:U905)=0,"",MIN(D905:U905))</f>
        <v/>
      </c>
      <c r="W905" s="8">
        <f>IF(COUNT(D905:U905)=0,"",MEDIAN(D905:U905))</f>
        <v/>
      </c>
      <c r="X905" s="8">
        <f>IF(COUNT(D905:U905)=0,"",MAX(D905:U905))</f>
        <v/>
      </c>
      <c r="Y905" s="9">
        <f>IF(OR(V905="",V905=0),"",(X905-V905)/V905)</f>
        <v/>
      </c>
      <c r="Z905" s="7">
        <f>IF(COUNT(D905:U905)=0,"",INDEX($D$1:$U$1,MATCH(MIN(D905:U905),D905:U905,0)))</f>
        <v/>
      </c>
      <c r="AA905" s="8" t="n">
        <v>64.98999999999999</v>
      </c>
      <c r="AB905" s="10" t="n">
        <v>1</v>
      </c>
    </row>
    <row r="906">
      <c r="A906" s="7" t="inlineStr">
        <is>
          <t>MAT-10-296</t>
        </is>
      </c>
      <c r="B906" s="4" t="inlineStr">
        <is>
          <t>Codo conduit de PVC 1 1/2"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>
        <v>38.64</v>
      </c>
      <c r="P906" s="8" t="n"/>
      <c r="Q906" s="8" t="n"/>
      <c r="R906" s="8" t="n"/>
      <c r="S906" s="8" t="n"/>
      <c r="T906" s="8" t="n"/>
      <c r="U906" s="8" t="n"/>
      <c r="V906" s="8">
        <f>IF(COUNT(D906:U906)=0,"",MIN(D906:U906))</f>
        <v/>
      </c>
      <c r="W906" s="8">
        <f>IF(COUNT(D906:U906)=0,"",MEDIAN(D906:U906))</f>
        <v/>
      </c>
      <c r="X906" s="8">
        <f>IF(COUNT(D906:U906)=0,"",MAX(D906:U906))</f>
        <v/>
      </c>
      <c r="Y906" s="9">
        <f>IF(OR(V906="",V906=0),"",(X906-V906)/V906)</f>
        <v/>
      </c>
      <c r="Z906" s="7">
        <f>IF(COUNT(D906:U906)=0,"",INDEX($D$1:$U$1,MATCH(MIN(D906:U906),D906:U906,0)))</f>
        <v/>
      </c>
      <c r="AA906" s="8" t="n">
        <v>45.6</v>
      </c>
      <c r="AB906" s="10" t="n">
        <v>1</v>
      </c>
    </row>
    <row r="907">
      <c r="A907" s="7" t="inlineStr">
        <is>
          <t>MAT-10-297</t>
        </is>
      </c>
      <c r="B907" s="4" t="inlineStr">
        <is>
          <t>Codo conduit de PVC 1/2"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>
        <v>7.62</v>
      </c>
      <c r="P907" s="8" t="n"/>
      <c r="Q907" s="8" t="n"/>
      <c r="R907" s="8" t="n"/>
      <c r="S907" s="8" t="n"/>
      <c r="T907" s="8" t="n"/>
      <c r="U907" s="8" t="n"/>
      <c r="V907" s="8">
        <f>IF(COUNT(D907:U907)=0,"",MIN(D907:U907))</f>
        <v/>
      </c>
      <c r="W907" s="8">
        <f>IF(COUNT(D907:U907)=0,"",MEDIAN(D907:U907))</f>
        <v/>
      </c>
      <c r="X907" s="8">
        <f>IF(COUNT(D907:U907)=0,"",MAX(D907:U907))</f>
        <v/>
      </c>
      <c r="Y907" s="9">
        <f>IF(OR(V907="",V907=0),"",(X907-V907)/V907)</f>
        <v/>
      </c>
      <c r="Z907" s="7">
        <f>IF(COUNT(D907:U907)=0,"",INDEX($D$1:$U$1,MATCH(MIN(D907:U907),D907:U907,0)))</f>
        <v/>
      </c>
      <c r="AA907" s="8" t="n">
        <v>8.99</v>
      </c>
      <c r="AB907" s="10" t="n">
        <v>1</v>
      </c>
    </row>
    <row r="908">
      <c r="A908" s="7" t="inlineStr">
        <is>
          <t>MAT-10-298</t>
        </is>
      </c>
      <c r="B908" s="4" t="inlineStr">
        <is>
          <t>Codo conduit de PVC 1"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>
        <v>15.16</v>
      </c>
      <c r="P908" s="8" t="n"/>
      <c r="Q908" s="8" t="n"/>
      <c r="R908" s="8" t="n"/>
      <c r="S908" s="8" t="n"/>
      <c r="T908" s="8" t="n"/>
      <c r="U908" s="8" t="n"/>
      <c r="V908" s="8">
        <f>IF(COUNT(D908:U908)=0,"",MIN(D908:U908))</f>
        <v/>
      </c>
      <c r="W908" s="8">
        <f>IF(COUNT(D908:U908)=0,"",MEDIAN(D908:U908))</f>
        <v/>
      </c>
      <c r="X908" s="8">
        <f>IF(COUNT(D908:U908)=0,"",MAX(D908:U908))</f>
        <v/>
      </c>
      <c r="Y908" s="9">
        <f>IF(OR(V908="",V908=0),"",(X908-V908)/V908)</f>
        <v/>
      </c>
      <c r="Z908" s="7">
        <f>IF(COUNT(D908:U908)=0,"",INDEX($D$1:$U$1,MATCH(MIN(D908:U908),D908:U908,0)))</f>
        <v/>
      </c>
      <c r="AA908" s="8" t="n">
        <v>17.89</v>
      </c>
      <c r="AB908" s="10" t="n">
        <v>1</v>
      </c>
    </row>
    <row r="909">
      <c r="A909" s="7" t="inlineStr">
        <is>
          <t>MAT-10-299</t>
        </is>
      </c>
      <c r="B909" s="4" t="inlineStr">
        <is>
          <t>Codo conduit de PVC 2"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>
        <v>55.83</v>
      </c>
      <c r="P909" s="8" t="n"/>
      <c r="Q909" s="8" t="n"/>
      <c r="R909" s="8" t="n"/>
      <c r="S909" s="8" t="n"/>
      <c r="T909" s="8" t="n"/>
      <c r="U909" s="8" t="n"/>
      <c r="V909" s="8">
        <f>IF(COUNT(D909:U909)=0,"",MIN(D909:U909))</f>
        <v/>
      </c>
      <c r="W909" s="8">
        <f>IF(COUNT(D909:U909)=0,"",MEDIAN(D909:U909))</f>
        <v/>
      </c>
      <c r="X909" s="8">
        <f>IF(COUNT(D909:U909)=0,"",MAX(D909:U909))</f>
        <v/>
      </c>
      <c r="Y909" s="9">
        <f>IF(OR(V909="",V909=0),"",(X909-V909)/V909)</f>
        <v/>
      </c>
      <c r="Z909" s="7">
        <f>IF(COUNT(D909:U909)=0,"",INDEX($D$1:$U$1,MATCH(MIN(D909:U909),D909:U909,0)))</f>
        <v/>
      </c>
      <c r="AA909" s="8" t="n">
        <v>65.88</v>
      </c>
      <c r="AB909" s="10" t="n">
        <v>1</v>
      </c>
    </row>
    <row r="910">
      <c r="A910" s="7" t="inlineStr">
        <is>
          <t>MAT-10-300</t>
        </is>
      </c>
      <c r="B910" s="4" t="inlineStr">
        <is>
          <t>Codo conduit de PVC 3/4"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>
        <v>9.130000000000001</v>
      </c>
      <c r="P910" s="8" t="n"/>
      <c r="Q910" s="8" t="n"/>
      <c r="R910" s="8" t="n"/>
      <c r="S910" s="8" t="n"/>
      <c r="T910" s="8" t="n"/>
      <c r="U910" s="8" t="n"/>
      <c r="V910" s="8">
        <f>IF(COUNT(D910:U910)=0,"",MIN(D910:U910))</f>
        <v/>
      </c>
      <c r="W910" s="8">
        <f>IF(COUNT(D910:U910)=0,"",MEDIAN(D910:U910))</f>
        <v/>
      </c>
      <c r="X910" s="8">
        <f>IF(COUNT(D910:U910)=0,"",MAX(D910:U910))</f>
        <v/>
      </c>
      <c r="Y910" s="9">
        <f>IF(OR(V910="",V910=0),"",(X910-V910)/V910)</f>
        <v/>
      </c>
      <c r="Z910" s="7">
        <f>IF(COUNT(D910:U910)=0,"",INDEX($D$1:$U$1,MATCH(MIN(D910:U910),D910:U910,0)))</f>
        <v/>
      </c>
      <c r="AA910" s="8" t="n">
        <v>10.77</v>
      </c>
      <c r="AB910" s="10" t="n">
        <v>1</v>
      </c>
    </row>
    <row r="911">
      <c r="A911" s="7" t="inlineStr">
        <is>
          <t>MAT-10-301</t>
        </is>
      </c>
      <c r="B911" s="4" t="inlineStr">
        <is>
          <t>Codo conduit de PVC 3"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>
        <v>165.6</v>
      </c>
      <c r="P911" s="8" t="n"/>
      <c r="Q911" s="8" t="n"/>
      <c r="R911" s="8" t="n"/>
      <c r="S911" s="8" t="n"/>
      <c r="T911" s="8" t="n"/>
      <c r="U911" s="8" t="n"/>
      <c r="V911" s="8">
        <f>IF(COUNT(D911:U911)=0,"",MIN(D911:U911))</f>
        <v/>
      </c>
      <c r="W911" s="8">
        <f>IF(COUNT(D911:U911)=0,"",MEDIAN(D911:U911))</f>
        <v/>
      </c>
      <c r="X911" s="8">
        <f>IF(COUNT(D911:U911)=0,"",MAX(D911:U911))</f>
        <v/>
      </c>
      <c r="Y911" s="9">
        <f>IF(OR(V911="",V911=0),"",(X911-V911)/V911)</f>
        <v/>
      </c>
      <c r="Z911" s="7">
        <f>IF(COUNT(D911:U911)=0,"",INDEX($D$1:$U$1,MATCH(MIN(D911:U911),D911:U911,0)))</f>
        <v/>
      </c>
      <c r="AA911" s="8" t="n">
        <v>195.41</v>
      </c>
      <c r="AB911" s="10" t="n">
        <v>1</v>
      </c>
    </row>
    <row r="912">
      <c r="A912" s="7" t="inlineStr">
        <is>
          <t>MAT-10-302</t>
        </is>
      </c>
      <c r="B912" s="4" t="inlineStr">
        <is>
          <t>Codo conduit de PVC 4"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>
        <v>311.19</v>
      </c>
      <c r="P912" s="8" t="n"/>
      <c r="Q912" s="8" t="n"/>
      <c r="R912" s="8" t="n"/>
      <c r="S912" s="8" t="n"/>
      <c r="T912" s="8" t="n"/>
      <c r="U912" s="8" t="n"/>
      <c r="V912" s="8">
        <f>IF(COUNT(D912:U912)=0,"",MIN(D912:U912))</f>
        <v/>
      </c>
      <c r="W912" s="8">
        <f>IF(COUNT(D912:U912)=0,"",MEDIAN(D912:U912))</f>
        <v/>
      </c>
      <c r="X912" s="8">
        <f>IF(COUNT(D912:U912)=0,"",MAX(D912:U912))</f>
        <v/>
      </c>
      <c r="Y912" s="9">
        <f>IF(OR(V912="",V912=0),"",(X912-V912)/V912)</f>
        <v/>
      </c>
      <c r="Z912" s="7">
        <f>IF(COUNT(D912:U912)=0,"",INDEX($D$1:$U$1,MATCH(MIN(D912:U912),D912:U912,0)))</f>
        <v/>
      </c>
      <c r="AA912" s="8" t="n">
        <v>367.2</v>
      </c>
      <c r="AB912" s="10" t="n">
        <v>1</v>
      </c>
    </row>
    <row r="913">
      <c r="A913" s="7" t="inlineStr">
        <is>
          <t>MAT-10-303</t>
        </is>
      </c>
      <c r="B913" s="4" t="inlineStr">
        <is>
          <t>Abrazadera plástica de 10"</t>
        </is>
      </c>
      <c r="C913" s="7" t="inlineStr">
        <is>
          <t>paquete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>
        <f>IF(COUNT(D913:U913)=0,"",MIN(D913:U913))</f>
        <v/>
      </c>
      <c r="W913" s="8">
        <f>IF(COUNT(D913:U913)=0,"",MEDIAN(D913:U913))</f>
        <v/>
      </c>
      <c r="X913" s="8">
        <f>IF(COUNT(D913:U913)=0,"",MAX(D913:U913))</f>
        <v/>
      </c>
      <c r="Y913" s="9">
        <f>IF(OR(V913="",V913=0),"",(X913-V913)/V913)</f>
        <v/>
      </c>
      <c r="Z913" s="7">
        <f>IF(COUNT(D913:U913)=0,"",INDEX($D$1:$U$1,MATCH(MIN(D913:U913),D913:U913,0)))</f>
        <v/>
      </c>
      <c r="AA913" s="8" t="n">
        <v>150</v>
      </c>
      <c r="AB913" s="10" t="n">
        <v>1</v>
      </c>
    </row>
    <row r="914">
      <c r="A914" s="7" t="inlineStr">
        <is>
          <t>MAT-10-304</t>
        </is>
      </c>
      <c r="B914" s="4" t="inlineStr">
        <is>
          <t>Abrazadera plástica de 12"</t>
        </is>
      </c>
      <c r="C914" s="7" t="inlineStr">
        <is>
          <t>paquete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1.99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>
        <f>IF(COUNT(D914:U914)=0,"",MIN(D914:U914))</f>
        <v/>
      </c>
      <c r="W914" s="8">
        <f>IF(COUNT(D914:U914)=0,"",MEDIAN(D914:U914))</f>
        <v/>
      </c>
      <c r="X914" s="8">
        <f>IF(COUNT(D914:U914)=0,"",MAX(D914:U914))</f>
        <v/>
      </c>
      <c r="Y914" s="9">
        <f>IF(OR(V914="",V914=0),"",(X914-V914)/V914)</f>
        <v/>
      </c>
      <c r="Z914" s="7">
        <f>IF(COUNT(D914:U914)=0,"",INDEX($D$1:$U$1,MATCH(MIN(D914:U914),D914:U914,0)))</f>
        <v/>
      </c>
      <c r="AA914" s="8" t="n">
        <v>2.42</v>
      </c>
      <c r="AB914" s="10" t="n">
        <v>1</v>
      </c>
    </row>
    <row r="915">
      <c r="A915" s="7" t="inlineStr">
        <is>
          <t>MAT-10-305</t>
        </is>
      </c>
      <c r="B915" s="4" t="inlineStr">
        <is>
          <t>Abrazadera plástica de 8"</t>
        </is>
      </c>
      <c r="C915" s="7" t="inlineStr">
        <is>
          <t>paquete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85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>
        <f>IF(COUNT(D915:U915)=0,"",MIN(D915:U915))</f>
        <v/>
      </c>
      <c r="W915" s="8">
        <f>IF(COUNT(D915:U915)=0,"",MEDIAN(D915:U915))</f>
        <v/>
      </c>
      <c r="X915" s="8">
        <f>IF(COUNT(D915:U915)=0,"",MAX(D915:U915))</f>
        <v/>
      </c>
      <c r="Y915" s="9">
        <f>IF(OR(V915="",V915=0),"",(X915-V915)/V915)</f>
        <v/>
      </c>
      <c r="Z915" s="7">
        <f>IF(COUNT(D915:U915)=0,"",INDEX($D$1:$U$1,MATCH(MIN(D915:U915),D915:U915,0)))</f>
        <v/>
      </c>
      <c r="AA915" s="8" t="n">
        <v>95</v>
      </c>
      <c r="AB915" s="10" t="n">
        <v>1</v>
      </c>
    </row>
    <row r="916">
      <c r="A916" s="7" t="inlineStr">
        <is>
          <t>MAT-10-306</t>
        </is>
      </c>
      <c r="B916" s="4" t="inlineStr">
        <is>
          <t>Cinta aislante 15 mts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1125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>
        <f>IF(COUNT(D916:U916)=0,"",MIN(D916:U916))</f>
        <v/>
      </c>
      <c r="W916" s="8">
        <f>IF(COUNT(D916:U916)=0,"",MEDIAN(D916:U916))</f>
        <v/>
      </c>
      <c r="X916" s="8">
        <f>IF(COUNT(D916:U916)=0,"",MAX(D916:U916))</f>
        <v/>
      </c>
      <c r="Y916" s="9">
        <f>IF(OR(V916="",V916=0),"",(X916-V916)/V916)</f>
        <v/>
      </c>
      <c r="Z916" s="7">
        <f>IF(COUNT(D916:U916)=0,"",INDEX($D$1:$U$1,MATCH(MIN(D916:U916),D916:U916,0)))</f>
        <v/>
      </c>
      <c r="AA916" s="8" t="n">
        <v>1125</v>
      </c>
      <c r="AB916" s="10" t="n">
        <v>1</v>
      </c>
    </row>
    <row r="917">
      <c r="A917" s="7" t="inlineStr">
        <is>
          <t>MAT-10-307</t>
        </is>
      </c>
      <c r="B917" s="4" t="inlineStr">
        <is>
          <t>Cinta aislante 3 m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135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>
        <f>IF(COUNT(D917:U917)=0,"",MIN(D917:U917))</f>
        <v/>
      </c>
      <c r="W917" s="8">
        <f>IF(COUNT(D917:U917)=0,"",MEDIAN(D917:U917))</f>
        <v/>
      </c>
      <c r="X917" s="8">
        <f>IF(COUNT(D917:U917)=0,"",MAX(D917:U917))</f>
        <v/>
      </c>
      <c r="Y917" s="9">
        <f>IF(OR(V917="",V917=0),"",(X917-V917)/V917)</f>
        <v/>
      </c>
      <c r="Z917" s="7">
        <f>IF(COUNT(D917:U917)=0,"",INDEX($D$1:$U$1,MATCH(MIN(D917:U917),D917:U917,0)))</f>
        <v/>
      </c>
      <c r="AA917" s="8" t="n">
        <v>787.5</v>
      </c>
      <c r="AB917" s="10" t="n">
        <v>1</v>
      </c>
    </row>
    <row r="918">
      <c r="A918" s="7" t="inlineStr">
        <is>
          <t>MAT-10-308</t>
        </is>
      </c>
      <c r="B918" s="4" t="inlineStr">
        <is>
          <t>Cinta aislante 30 mts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1730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>
        <f>IF(COUNT(D918:U918)=0,"",MIN(D918:U918))</f>
        <v/>
      </c>
      <c r="W918" s="8">
        <f>IF(COUNT(D918:U918)=0,"",MEDIAN(D918:U918))</f>
        <v/>
      </c>
      <c r="X918" s="8">
        <f>IF(COUNT(D918:U918)=0,"",MAX(D918:U918))</f>
        <v/>
      </c>
      <c r="Y918" s="9">
        <f>IF(OR(V918="",V918=0),"",(X918-V918)/V918)</f>
        <v/>
      </c>
      <c r="Z918" s="7">
        <f>IF(COUNT(D918:U918)=0,"",INDEX($D$1:$U$1,MATCH(MIN(D918:U918),D918:U918,0)))</f>
        <v/>
      </c>
      <c r="AA918" s="8" t="n">
        <v>1730</v>
      </c>
      <c r="AB918" s="10" t="n">
        <v>1</v>
      </c>
    </row>
    <row r="919">
      <c r="A919" s="7" t="inlineStr">
        <is>
          <t>MAT-10-309</t>
        </is>
      </c>
      <c r="B919" s="4" t="inlineStr">
        <is>
          <t>Cable THHN #14,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>
        <v>966</v>
      </c>
      <c r="P919" s="8" t="n"/>
      <c r="Q919" s="8" t="n"/>
      <c r="R919" s="8" t="n"/>
      <c r="S919" s="8" t="n"/>
      <c r="T919" s="8" t="n"/>
      <c r="U919" s="8" t="n"/>
      <c r="V919" s="8">
        <f>IF(COUNT(D919:U919)=0,"",MIN(D919:U919))</f>
        <v/>
      </c>
      <c r="W919" s="8">
        <f>IF(COUNT(D919:U919)=0,"",MEDIAN(D919:U919))</f>
        <v/>
      </c>
      <c r="X919" s="8">
        <f>IF(COUNT(D919:U919)=0,"",MAX(D919:U919))</f>
        <v/>
      </c>
      <c r="Y919" s="9">
        <f>IF(OR(V919="",V919=0),"",(X919-V919)/V919)</f>
        <v/>
      </c>
      <c r="Z919" s="7">
        <f>IF(COUNT(D919:U919)=0,"",INDEX($D$1:$U$1,MATCH(MIN(D919:U919),D919:U919,0)))</f>
        <v/>
      </c>
      <c r="AA919" s="8" t="n">
        <v>1139.88</v>
      </c>
      <c r="AB919" s="10" t="n">
        <v>1</v>
      </c>
    </row>
    <row r="920">
      <c r="A920" s="7" t="inlineStr">
        <is>
          <t>MAT-10-310</t>
        </is>
      </c>
      <c r="B920" s="4" t="inlineStr">
        <is>
          <t>Cable THHN #2,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>
        <v>12600</v>
      </c>
      <c r="P920" s="8" t="n"/>
      <c r="Q920" s="8" t="n"/>
      <c r="R920" s="8" t="n"/>
      <c r="S920" s="8" t="n"/>
      <c r="T920" s="8" t="n"/>
      <c r="U920" s="8" t="n"/>
      <c r="V920" s="8">
        <f>IF(COUNT(D920:U920)=0,"",MIN(D920:U920))</f>
        <v/>
      </c>
      <c r="W920" s="8">
        <f>IF(COUNT(D920:U920)=0,"",MEDIAN(D920:U920))</f>
        <v/>
      </c>
      <c r="X920" s="8">
        <f>IF(COUNT(D920:U920)=0,"",MAX(D920:U920))</f>
        <v/>
      </c>
      <c r="Y920" s="9">
        <f>IF(OR(V920="",V920=0),"",(X920-V920)/V920)</f>
        <v/>
      </c>
      <c r="Z920" s="7">
        <f>IF(COUNT(D920:U920)=0,"",INDEX($D$1:$U$1,MATCH(MIN(D920:U920),D920:U920,0)))</f>
        <v/>
      </c>
      <c r="AA920" s="8" t="n">
        <v>14868</v>
      </c>
      <c r="AB920" s="10" t="n">
        <v>1</v>
      </c>
    </row>
    <row r="921">
      <c r="A921" s="7" t="inlineStr">
        <is>
          <t>MAT-10-311</t>
        </is>
      </c>
      <c r="B921" s="4" t="inlineStr">
        <is>
          <t>Cable THHN #2/0,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>
        <v>25900</v>
      </c>
      <c r="P921" s="8" t="n"/>
      <c r="Q921" s="8" t="n"/>
      <c r="R921" s="8" t="n"/>
      <c r="S921" s="8" t="n"/>
      <c r="T921" s="8" t="n"/>
      <c r="U921" s="8" t="n"/>
      <c r="V921" s="8">
        <f>IF(COUNT(D921:U921)=0,"",MIN(D921:U921))</f>
        <v/>
      </c>
      <c r="W921" s="8">
        <f>IF(COUNT(D921:U921)=0,"",MEDIAN(D921:U921))</f>
        <v/>
      </c>
      <c r="X921" s="8">
        <f>IF(COUNT(D921:U921)=0,"",MAX(D921:U921))</f>
        <v/>
      </c>
      <c r="Y921" s="9">
        <f>IF(OR(V921="",V921=0),"",(X921-V921)/V921)</f>
        <v/>
      </c>
      <c r="Z921" s="7">
        <f>IF(COUNT(D921:U921)=0,"",INDEX($D$1:$U$1,MATCH(MIN(D921:U921),D921:U921,0)))</f>
        <v/>
      </c>
      <c r="AA921" s="8" t="n">
        <v>30562</v>
      </c>
      <c r="AB921" s="10" t="n">
        <v>1</v>
      </c>
    </row>
    <row r="922">
      <c r="A922" s="7" t="inlineStr">
        <is>
          <t>MAT-10-312</t>
        </is>
      </c>
      <c r="B922" s="4" t="inlineStr">
        <is>
          <t>Cable THHN #3/0,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>
        <v>32800</v>
      </c>
      <c r="P922" s="8" t="n"/>
      <c r="Q922" s="8" t="n"/>
      <c r="R922" s="8" t="n"/>
      <c r="S922" s="8" t="n"/>
      <c r="T922" s="8" t="n"/>
      <c r="U922" s="8" t="n"/>
      <c r="V922" s="8">
        <f>IF(COUNT(D922:U922)=0,"",MIN(D922:U922))</f>
        <v/>
      </c>
      <c r="W922" s="8">
        <f>IF(COUNT(D922:U922)=0,"",MEDIAN(D922:U922))</f>
        <v/>
      </c>
      <c r="X922" s="8">
        <f>IF(COUNT(D922:U922)=0,"",MAX(D922:U922))</f>
        <v/>
      </c>
      <c r="Y922" s="9">
        <f>IF(OR(V922="",V922=0),"",(X922-V922)/V922)</f>
        <v/>
      </c>
      <c r="Z922" s="7">
        <f>IF(COUNT(D922:U922)=0,"",INDEX($D$1:$U$1,MATCH(MIN(D922:U922),D922:U922,0)))</f>
        <v/>
      </c>
      <c r="AA922" s="8" t="n">
        <v>38704</v>
      </c>
      <c r="AB922" s="10" t="n">
        <v>1</v>
      </c>
    </row>
    <row r="923">
      <c r="A923" s="7" t="inlineStr">
        <is>
          <t>MAT-10-313</t>
        </is>
      </c>
      <c r="B923" s="4" t="inlineStr">
        <is>
          <t>Cable THHN #4,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>
        <v>8436</v>
      </c>
      <c r="P923" s="8" t="n"/>
      <c r="Q923" s="8" t="n"/>
      <c r="R923" s="8" t="n"/>
      <c r="S923" s="8" t="n"/>
      <c r="T923" s="8" t="n"/>
      <c r="U923" s="8" t="n"/>
      <c r="V923" s="8">
        <f>IF(COUNT(D923:U923)=0,"",MIN(D923:U923))</f>
        <v/>
      </c>
      <c r="W923" s="8">
        <f>IF(COUNT(D923:U923)=0,"",MEDIAN(D923:U923))</f>
        <v/>
      </c>
      <c r="X923" s="8">
        <f>IF(COUNT(D923:U923)=0,"",MAX(D923:U923))</f>
        <v/>
      </c>
      <c r="Y923" s="9">
        <f>IF(OR(V923="",V923=0),"",(X923-V923)/V923)</f>
        <v/>
      </c>
      <c r="Z923" s="7">
        <f>IF(COUNT(D923:U923)=0,"",INDEX($D$1:$U$1,MATCH(MIN(D923:U923),D923:U923,0)))</f>
        <v/>
      </c>
      <c r="AA923" s="8" t="n">
        <v>9954.48</v>
      </c>
      <c r="AB923" s="10" t="n">
        <v>1</v>
      </c>
    </row>
    <row r="924">
      <c r="A924" s="7" t="inlineStr">
        <is>
          <t>MAT-10-314</t>
        </is>
      </c>
      <c r="B924" s="4" t="inlineStr">
        <is>
          <t>Cable THHN #4/0,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39200</v>
      </c>
      <c r="P924" s="8" t="n"/>
      <c r="Q924" s="8" t="n"/>
      <c r="R924" s="8" t="n"/>
      <c r="S924" s="8" t="n"/>
      <c r="T924" s="8" t="n"/>
      <c r="U924" s="8" t="n"/>
      <c r="V924" s="8">
        <f>IF(COUNT(D924:U924)=0,"",MIN(D924:U924))</f>
        <v/>
      </c>
      <c r="W924" s="8">
        <f>IF(COUNT(D924:U924)=0,"",MEDIAN(D924:U924))</f>
        <v/>
      </c>
      <c r="X924" s="8">
        <f>IF(COUNT(D924:U924)=0,"",MAX(D924:U924))</f>
        <v/>
      </c>
      <c r="Y924" s="9">
        <f>IF(OR(V924="",V924=0),"",(X924-V924)/V924)</f>
        <v/>
      </c>
      <c r="Z924" s="7">
        <f>IF(COUNT(D924:U924)=0,"",INDEX($D$1:$U$1,MATCH(MIN(D924:U924),D924:U924,0)))</f>
        <v/>
      </c>
      <c r="AA924" s="8" t="n">
        <v>46256</v>
      </c>
      <c r="AB924" s="10" t="n">
        <v>1</v>
      </c>
    </row>
    <row r="925">
      <c r="A925" s="7" t="inlineStr">
        <is>
          <t>MAT-10-315</t>
        </is>
      </c>
      <c r="B925" s="4" t="inlineStr">
        <is>
          <t>Cable THHN #6,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5268</v>
      </c>
      <c r="P925" s="8" t="n"/>
      <c r="Q925" s="8" t="n"/>
      <c r="R925" s="8" t="n"/>
      <c r="S925" s="8" t="n"/>
      <c r="T925" s="8" t="n"/>
      <c r="U925" s="8" t="n"/>
      <c r="V925" s="8">
        <f>IF(COUNT(D925:U925)=0,"",MIN(D925:U925))</f>
        <v/>
      </c>
      <c r="W925" s="8">
        <f>IF(COUNT(D925:U925)=0,"",MEDIAN(D925:U925))</f>
        <v/>
      </c>
      <c r="X925" s="8">
        <f>IF(COUNT(D925:U925)=0,"",MAX(D925:U925))</f>
        <v/>
      </c>
      <c r="Y925" s="9">
        <f>IF(OR(V925="",V925=0),"",(X925-V925)/V925)</f>
        <v/>
      </c>
      <c r="Z925" s="7">
        <f>IF(COUNT(D925:U925)=0,"",INDEX($D$1:$U$1,MATCH(MIN(D925:U925),D925:U925,0)))</f>
        <v/>
      </c>
      <c r="AA925" s="8" t="n">
        <v>6216.24</v>
      </c>
      <c r="AB925" s="10" t="n">
        <v>1</v>
      </c>
    </row>
    <row r="926">
      <c r="A926" s="7" t="inlineStr">
        <is>
          <t>MAT-10-316</t>
        </is>
      </c>
      <c r="B926" s="4" t="inlineStr">
        <is>
          <t>Cable de goma 1.5 mm, 2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2102</v>
      </c>
      <c r="P926" s="8" t="n"/>
      <c r="Q926" s="8" t="n"/>
      <c r="R926" s="8" t="n"/>
      <c r="S926" s="8" t="n"/>
      <c r="T926" s="8" t="n"/>
      <c r="U926" s="8" t="n"/>
      <c r="V926" s="8">
        <f>IF(COUNT(D926:U926)=0,"",MIN(D926:U926))</f>
        <v/>
      </c>
      <c r="W926" s="8">
        <f>IF(COUNT(D926:U926)=0,"",MEDIAN(D926:U926))</f>
        <v/>
      </c>
      <c r="X926" s="8">
        <f>IF(COUNT(D926:U926)=0,"",MAX(D926:U926))</f>
        <v/>
      </c>
      <c r="Y926" s="9">
        <f>IF(OR(V926="",V926=0),"",(X926-V926)/V926)</f>
        <v/>
      </c>
      <c r="Z926" s="7">
        <f>IF(COUNT(D926:U926)=0,"",INDEX($D$1:$U$1,MATCH(MIN(D926:U926),D926:U926,0)))</f>
        <v/>
      </c>
      <c r="AA926" s="8" t="n">
        <v>2480.36</v>
      </c>
      <c r="AB926" s="10" t="n">
        <v>1</v>
      </c>
    </row>
    <row r="927">
      <c r="A927" s="7" t="inlineStr">
        <is>
          <t>MAT-10-317</t>
        </is>
      </c>
      <c r="B927" s="4" t="inlineStr">
        <is>
          <t>Cable de goma 1.5 mm, 3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2927</v>
      </c>
      <c r="P927" s="8" t="n"/>
      <c r="Q927" s="8" t="n"/>
      <c r="R927" s="8" t="n"/>
      <c r="S927" s="8" t="n"/>
      <c r="T927" s="8" t="n"/>
      <c r="U927" s="8" t="n"/>
      <c r="V927" s="8">
        <f>IF(COUNT(D927:U927)=0,"",MIN(D927:U927))</f>
        <v/>
      </c>
      <c r="W927" s="8">
        <f>IF(COUNT(D927:U927)=0,"",MEDIAN(D927:U927))</f>
        <v/>
      </c>
      <c r="X927" s="8">
        <f>IF(COUNT(D927:U927)=0,"",MAX(D927:U927))</f>
        <v/>
      </c>
      <c r="Y927" s="9">
        <f>IF(OR(V927="",V927=0),"",(X927-V927)/V927)</f>
        <v/>
      </c>
      <c r="Z927" s="7">
        <f>IF(COUNT(D927:U927)=0,"",INDEX($D$1:$U$1,MATCH(MIN(D927:U927),D927:U927,0)))</f>
        <v/>
      </c>
      <c r="AA927" s="8" t="n">
        <v>3453.86</v>
      </c>
      <c r="AB927" s="10" t="n">
        <v>1</v>
      </c>
    </row>
    <row r="928">
      <c r="A928" s="7" t="inlineStr">
        <is>
          <t>MAT-10-318</t>
        </is>
      </c>
      <c r="B928" s="4" t="inlineStr">
        <is>
          <t>Cable de goma 1.5 mm, 4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3713</v>
      </c>
      <c r="P928" s="8" t="n"/>
      <c r="Q928" s="8" t="n"/>
      <c r="R928" s="8" t="n"/>
      <c r="S928" s="8" t="n"/>
      <c r="T928" s="8" t="n"/>
      <c r="U928" s="8" t="n"/>
      <c r="V928" s="8">
        <f>IF(COUNT(D928:U928)=0,"",MIN(D928:U928))</f>
        <v/>
      </c>
      <c r="W928" s="8">
        <f>IF(COUNT(D928:U928)=0,"",MEDIAN(D928:U928))</f>
        <v/>
      </c>
      <c r="X928" s="8">
        <f>IF(COUNT(D928:U928)=0,"",MAX(D928:U928))</f>
        <v/>
      </c>
      <c r="Y928" s="9">
        <f>IF(OR(V928="",V928=0),"",(X928-V928)/V928)</f>
        <v/>
      </c>
      <c r="Z928" s="7">
        <f>IF(COUNT(D928:U928)=0,"",INDEX($D$1:$U$1,MATCH(MIN(D928:U928),D928:U928,0)))</f>
        <v/>
      </c>
      <c r="AA928" s="8" t="n">
        <v>4381.34</v>
      </c>
      <c r="AB928" s="10" t="n">
        <v>1</v>
      </c>
    </row>
    <row r="929">
      <c r="A929" s="7" t="inlineStr">
        <is>
          <t>MAT-10-319</t>
        </is>
      </c>
      <c r="B929" s="4" t="inlineStr">
        <is>
          <t>Cable de goma 12, 2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3644</v>
      </c>
      <c r="P929" s="8" t="n"/>
      <c r="Q929" s="8" t="n"/>
      <c r="R929" s="8" t="n"/>
      <c r="S929" s="8" t="n"/>
      <c r="T929" s="8" t="n"/>
      <c r="U929" s="8" t="n"/>
      <c r="V929" s="8">
        <f>IF(COUNT(D929:U929)=0,"",MIN(D929:U929))</f>
        <v/>
      </c>
      <c r="W929" s="8">
        <f>IF(COUNT(D929:U929)=0,"",MEDIAN(D929:U929))</f>
        <v/>
      </c>
      <c r="X929" s="8">
        <f>IF(COUNT(D929:U929)=0,"",MAX(D929:U929))</f>
        <v/>
      </c>
      <c r="Y929" s="9">
        <f>IF(OR(V929="",V929=0),"",(X929-V929)/V929)</f>
        <v/>
      </c>
      <c r="Z929" s="7">
        <f>IF(COUNT(D929:U929)=0,"",INDEX($D$1:$U$1,MATCH(MIN(D929:U929),D929:U929,0)))</f>
        <v/>
      </c>
      <c r="AA929" s="8" t="n">
        <v>4299.92</v>
      </c>
      <c r="AB929" s="10" t="n">
        <v>1</v>
      </c>
    </row>
    <row r="930">
      <c r="A930" s="7" t="inlineStr">
        <is>
          <t>MAT-10-320</t>
        </is>
      </c>
      <c r="B930" s="4" t="inlineStr">
        <is>
          <t>Cable de goma 12, 3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5338</v>
      </c>
      <c r="P930" s="8" t="n"/>
      <c r="Q930" s="8" t="n"/>
      <c r="R930" s="8" t="n"/>
      <c r="S930" s="8" t="n"/>
      <c r="T930" s="8" t="n"/>
      <c r="U930" s="8" t="n"/>
      <c r="V930" s="8">
        <f>IF(COUNT(D930:U930)=0,"",MIN(D930:U930))</f>
        <v/>
      </c>
      <c r="W930" s="8">
        <f>IF(COUNT(D930:U930)=0,"",MEDIAN(D930:U930))</f>
        <v/>
      </c>
      <c r="X930" s="8">
        <f>IF(COUNT(D930:U930)=0,"",MAX(D930:U930))</f>
        <v/>
      </c>
      <c r="Y930" s="9">
        <f>IF(OR(V930="",V930=0),"",(X930-V930)/V930)</f>
        <v/>
      </c>
      <c r="Z930" s="7">
        <f>IF(COUNT(D930:U930)=0,"",INDEX($D$1:$U$1,MATCH(MIN(D930:U930),D930:U930,0)))</f>
        <v/>
      </c>
      <c r="AA930" s="8" t="n">
        <v>6298.84</v>
      </c>
      <c r="AB930" s="10" t="n">
        <v>1</v>
      </c>
    </row>
    <row r="931">
      <c r="A931" s="7" t="inlineStr">
        <is>
          <t>MAT-10-321</t>
        </is>
      </c>
      <c r="B931" s="4" t="inlineStr">
        <is>
          <t>Cable de goma 14, 4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>
        <v>4668</v>
      </c>
      <c r="P931" s="8" t="n"/>
      <c r="Q931" s="8" t="n"/>
      <c r="R931" s="8" t="n"/>
      <c r="S931" s="8" t="n"/>
      <c r="T931" s="8" t="n"/>
      <c r="U931" s="8" t="n"/>
      <c r="V931" s="8">
        <f>IF(COUNT(D931:U931)=0,"",MIN(D931:U931))</f>
        <v/>
      </c>
      <c r="W931" s="8">
        <f>IF(COUNT(D931:U931)=0,"",MEDIAN(D931:U931))</f>
        <v/>
      </c>
      <c r="X931" s="8">
        <f>IF(COUNT(D931:U931)=0,"",MAX(D931:U931))</f>
        <v/>
      </c>
      <c r="Y931" s="9">
        <f>IF(OR(V931="",V931=0),"",(X931-V931)/V931)</f>
        <v/>
      </c>
      <c r="Z931" s="7">
        <f>IF(COUNT(D931:U931)=0,"",INDEX($D$1:$U$1,MATCH(MIN(D931:U931),D931:U931,0)))</f>
        <v/>
      </c>
      <c r="AA931" s="8" t="n">
        <v>5508.24</v>
      </c>
      <c r="AB931" s="10" t="n">
        <v>1</v>
      </c>
    </row>
    <row r="932">
      <c r="A932" s="7" t="inlineStr">
        <is>
          <t>MAT-10-322</t>
        </is>
      </c>
      <c r="B932" s="4" t="inlineStr">
        <is>
          <t>Cable de goma 2.5 mm, 2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>
        <v>2908</v>
      </c>
      <c r="P932" s="8" t="n"/>
      <c r="Q932" s="8" t="n"/>
      <c r="R932" s="8" t="n"/>
      <c r="S932" s="8" t="n"/>
      <c r="T932" s="8" t="n"/>
      <c r="U932" s="8" t="n"/>
      <c r="V932" s="8">
        <f>IF(COUNT(D932:U932)=0,"",MIN(D932:U932))</f>
        <v/>
      </c>
      <c r="W932" s="8">
        <f>IF(COUNT(D932:U932)=0,"",MEDIAN(D932:U932))</f>
        <v/>
      </c>
      <c r="X932" s="8">
        <f>IF(COUNT(D932:U932)=0,"",MAX(D932:U932))</f>
        <v/>
      </c>
      <c r="Y932" s="9">
        <f>IF(OR(V932="",V932=0),"",(X932-V932)/V932)</f>
        <v/>
      </c>
      <c r="Z932" s="7">
        <f>IF(COUNT(D932:U932)=0,"",INDEX($D$1:$U$1,MATCH(MIN(D932:U932),D932:U932,0)))</f>
        <v/>
      </c>
      <c r="AA932" s="8" t="n">
        <v>3431.44</v>
      </c>
      <c r="AB932" s="10" t="n">
        <v>1</v>
      </c>
    </row>
    <row r="933">
      <c r="A933" s="7" t="inlineStr">
        <is>
          <t>MAT-10-323</t>
        </is>
      </c>
      <c r="B933" s="4" t="inlineStr">
        <is>
          <t>Cable de goma 2.5 mm, 3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>
        <v>4361</v>
      </c>
      <c r="P933" s="8" t="n"/>
      <c r="Q933" s="8" t="n"/>
      <c r="R933" s="8" t="n"/>
      <c r="S933" s="8" t="n"/>
      <c r="T933" s="8" t="n"/>
      <c r="U933" s="8" t="n"/>
      <c r="V933" s="8">
        <f>IF(COUNT(D933:U933)=0,"",MIN(D933:U933))</f>
        <v/>
      </c>
      <c r="W933" s="8">
        <f>IF(COUNT(D933:U933)=0,"",MEDIAN(D933:U933))</f>
        <v/>
      </c>
      <c r="X933" s="8">
        <f>IF(COUNT(D933:U933)=0,"",MAX(D933:U933))</f>
        <v/>
      </c>
      <c r="Y933" s="9">
        <f>IF(OR(V933="",V933=0),"",(X933-V933)/V933)</f>
        <v/>
      </c>
      <c r="Z933" s="7">
        <f>IF(COUNT(D933:U933)=0,"",INDEX($D$1:$U$1,MATCH(MIN(D933:U933),D933:U933,0)))</f>
        <v/>
      </c>
      <c r="AA933" s="8" t="n">
        <v>5145.98</v>
      </c>
      <c r="AB933" s="10" t="n">
        <v>1</v>
      </c>
    </row>
    <row r="934">
      <c r="A934" s="7" t="inlineStr">
        <is>
          <t>MAT-10-324</t>
        </is>
      </c>
      <c r="B934" s="4" t="inlineStr">
        <is>
          <t>Cable de goma 6, 4 conductores, rollo 100 pies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>
        <v>26700</v>
      </c>
      <c r="P934" s="8" t="n"/>
      <c r="Q934" s="8" t="n"/>
      <c r="R934" s="8" t="n"/>
      <c r="S934" s="8" t="n"/>
      <c r="T934" s="8" t="n"/>
      <c r="U934" s="8" t="n"/>
      <c r="V934" s="8">
        <f>IF(COUNT(D934:U934)=0,"",MIN(D934:U934))</f>
        <v/>
      </c>
      <c r="W934" s="8">
        <f>IF(COUNT(D934:U934)=0,"",MEDIAN(D934:U934))</f>
        <v/>
      </c>
      <c r="X934" s="8">
        <f>IF(COUNT(D934:U934)=0,"",MAX(D934:U934))</f>
        <v/>
      </c>
      <c r="Y934" s="9">
        <f>IF(OR(V934="",V934=0),"",(X934-V934)/V934)</f>
        <v/>
      </c>
      <c r="Z934" s="7">
        <f>IF(COUNT(D934:U934)=0,"",INDEX($D$1:$U$1,MATCH(MIN(D934:U934),D934:U934,0)))</f>
        <v/>
      </c>
      <c r="AA934" s="8" t="n">
        <v>31506</v>
      </c>
      <c r="AB934" s="10" t="n">
        <v>1</v>
      </c>
    </row>
    <row r="935">
      <c r="A935" s="7" t="inlineStr">
        <is>
          <t>MAT-10-325</t>
        </is>
      </c>
      <c r="B935" s="4" t="inlineStr">
        <is>
          <t>Extensión eléctrica de 10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180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>
        <f>IF(COUNT(D935:U935)=0,"",MIN(D935:U935))</f>
        <v/>
      </c>
      <c r="W935" s="8">
        <f>IF(COUNT(D935:U935)=0,"",MEDIAN(D935:U935))</f>
        <v/>
      </c>
      <c r="X935" s="8">
        <f>IF(COUNT(D935:U935)=0,"",MAX(D935:U935))</f>
        <v/>
      </c>
      <c r="Y935" s="9">
        <f>IF(OR(V935="",V935=0),"",(X935-V935)/V935)</f>
        <v/>
      </c>
      <c r="Z935" s="7">
        <f>IF(COUNT(D935:U935)=0,"",INDEX($D$1:$U$1,MATCH(MIN(D935:U935),D935:U935,0)))</f>
        <v/>
      </c>
      <c r="AA935" s="8" t="n">
        <v>180</v>
      </c>
      <c r="AB935" s="10" t="n">
        <v>1</v>
      </c>
    </row>
    <row r="936">
      <c r="A936" s="7" t="inlineStr">
        <is>
          <t>MAT-10-326</t>
        </is>
      </c>
      <c r="B936" s="4" t="inlineStr">
        <is>
          <t>Extensión eléctrica de 100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1355.01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>
        <f>IF(COUNT(D936:U936)=0,"",MIN(D936:U936))</f>
        <v/>
      </c>
      <c r="W936" s="8">
        <f>IF(COUNT(D936:U936)=0,"",MEDIAN(D936:U936))</f>
        <v/>
      </c>
      <c r="X936" s="8">
        <f>IF(COUNT(D936:U936)=0,"",MAX(D936:U936))</f>
        <v/>
      </c>
      <c r="Y936" s="9">
        <f>IF(OR(V936="",V936=0),"",(X936-V936)/V936)</f>
        <v/>
      </c>
      <c r="Z936" s="7">
        <f>IF(COUNT(D936:U936)=0,"",INDEX($D$1:$U$1,MATCH(MIN(D936:U936),D936:U936,0)))</f>
        <v/>
      </c>
      <c r="AA936" s="8" t="n">
        <v>1940</v>
      </c>
      <c r="AB936" s="10" t="n">
        <v>1</v>
      </c>
    </row>
    <row r="937">
      <c r="A937" s="7" t="inlineStr">
        <is>
          <t>MAT-10-327</t>
        </is>
      </c>
      <c r="B937" s="4" t="inlineStr">
        <is>
          <t>Extensión eléctrica de 12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210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>
        <f>IF(COUNT(D937:U937)=0,"",MIN(D937:U937))</f>
        <v/>
      </c>
      <c r="W937" s="8">
        <f>IF(COUNT(D937:U937)=0,"",MEDIAN(D937:U937))</f>
        <v/>
      </c>
      <c r="X937" s="8">
        <f>IF(COUNT(D937:U937)=0,"",MAX(D937:U937))</f>
        <v/>
      </c>
      <c r="Y937" s="9">
        <f>IF(OR(V937="",V937=0),"",(X937-V937)/V937)</f>
        <v/>
      </c>
      <c r="Z937" s="7">
        <f>IF(COUNT(D937:U937)=0,"",INDEX($D$1:$U$1,MATCH(MIN(D937:U937),D937:U937,0)))</f>
        <v/>
      </c>
      <c r="AA937" s="8" t="n">
        <v>285</v>
      </c>
      <c r="AB937" s="10" t="n">
        <v>1</v>
      </c>
    </row>
    <row r="938">
      <c r="A938" s="7" t="inlineStr">
        <is>
          <t>MAT-10-328</t>
        </is>
      </c>
      <c r="B938" s="4" t="inlineStr">
        <is>
          <t>Extensión eléctrica de 13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225</v>
      </c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>
        <f>IF(COUNT(D938:U938)=0,"",MIN(D938:U938))</f>
        <v/>
      </c>
      <c r="W938" s="8">
        <f>IF(COUNT(D938:U938)=0,"",MEDIAN(D938:U938))</f>
        <v/>
      </c>
      <c r="X938" s="8">
        <f>IF(COUNT(D938:U938)=0,"",MAX(D938:U938))</f>
        <v/>
      </c>
      <c r="Y938" s="9">
        <f>IF(OR(V938="",V938=0),"",(X938-V938)/V938)</f>
        <v/>
      </c>
      <c r="Z938" s="7">
        <f>IF(COUNT(D938:U938)=0,"",INDEX($D$1:$U$1,MATCH(MIN(D938:U938),D938:U938,0)))</f>
        <v/>
      </c>
      <c r="AA938" s="8" t="n">
        <v>225</v>
      </c>
      <c r="AB938" s="10" t="n">
        <v>1</v>
      </c>
    </row>
    <row r="939">
      <c r="A939" s="7" t="inlineStr">
        <is>
          <t>MAT-10-329</t>
        </is>
      </c>
      <c r="B939" s="4" t="inlineStr">
        <is>
          <t>Extensión eléctrica de 15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300</v>
      </c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>
        <f>IF(COUNT(D939:U939)=0,"",MIN(D939:U939))</f>
        <v/>
      </c>
      <c r="W939" s="8">
        <f>IF(COUNT(D939:U939)=0,"",MEDIAN(D939:U939))</f>
        <v/>
      </c>
      <c r="X939" s="8">
        <f>IF(COUNT(D939:U939)=0,"",MAX(D939:U939))</f>
        <v/>
      </c>
      <c r="Y939" s="9">
        <f>IF(OR(V939="",V939=0),"",(X939-V939)/V939)</f>
        <v/>
      </c>
      <c r="Z939" s="7">
        <f>IF(COUNT(D939:U939)=0,"",INDEX($D$1:$U$1,MATCH(MIN(D939:U939),D939:U939,0)))</f>
        <v/>
      </c>
      <c r="AA939" s="8" t="n">
        <v>505</v>
      </c>
      <c r="AB939" s="10" t="n">
        <v>1</v>
      </c>
    </row>
    <row r="940">
      <c r="A940" s="7" t="inlineStr">
        <is>
          <t>MAT-10-330</t>
        </is>
      </c>
      <c r="B940" s="4" t="inlineStr">
        <is>
          <t>Extensión eléctrica de 16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270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>
        <f>IF(COUNT(D940:U940)=0,"",MIN(D940:U940))</f>
        <v/>
      </c>
      <c r="W940" s="8">
        <f>IF(COUNT(D940:U940)=0,"",MEDIAN(D940:U940))</f>
        <v/>
      </c>
      <c r="X940" s="8">
        <f>IF(COUNT(D940:U940)=0,"",MAX(D940:U940))</f>
        <v/>
      </c>
      <c r="Y940" s="9">
        <f>IF(OR(V940="",V940=0),"",(X940-V940)/V940)</f>
        <v/>
      </c>
      <c r="Z940" s="7">
        <f>IF(COUNT(D940:U940)=0,"",INDEX($D$1:$U$1,MATCH(MIN(D940:U940),D940:U940,0)))</f>
        <v/>
      </c>
      <c r="AA940" s="8" t="n">
        <v>270</v>
      </c>
      <c r="AB940" s="10" t="n">
        <v>1</v>
      </c>
    </row>
    <row r="941">
      <c r="A941" s="7" t="inlineStr">
        <is>
          <t>MAT-10-331</t>
        </is>
      </c>
      <c r="B941" s="4" t="inlineStr">
        <is>
          <t>Extensión eléctrica de 25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1700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>
        <f>IF(COUNT(D941:U941)=0,"",MIN(D941:U941))</f>
        <v/>
      </c>
      <c r="W941" s="8">
        <f>IF(COUNT(D941:U941)=0,"",MEDIAN(D941:U941))</f>
        <v/>
      </c>
      <c r="X941" s="8">
        <f>IF(COUNT(D941:U941)=0,"",MAX(D941:U941))</f>
        <v/>
      </c>
      <c r="Y941" s="9">
        <f>IF(OR(V941="",V941=0),"",(X941-V941)/V941)</f>
        <v/>
      </c>
      <c r="Z941" s="7">
        <f>IF(COUNT(D941:U941)=0,"",INDEX($D$1:$U$1,MATCH(MIN(D941:U941),D941:U941,0)))</f>
        <v/>
      </c>
      <c r="AA941" s="8" t="n">
        <v>1700</v>
      </c>
      <c r="AB941" s="10" t="n">
        <v>1</v>
      </c>
    </row>
    <row r="942">
      <c r="A942" s="7" t="inlineStr">
        <is>
          <t>MAT-10-332</t>
        </is>
      </c>
      <c r="B942" s="4" t="inlineStr">
        <is>
          <t>Extensión eléctrica de 26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520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>
        <f>IF(COUNT(D942:U942)=0,"",MIN(D942:U942))</f>
        <v/>
      </c>
      <c r="W942" s="8">
        <f>IF(COUNT(D942:U942)=0,"",MEDIAN(D942:U942))</f>
        <v/>
      </c>
      <c r="X942" s="8">
        <f>IF(COUNT(D942:U942)=0,"",MAX(D942:U942))</f>
        <v/>
      </c>
      <c r="Y942" s="9">
        <f>IF(OR(V942="",V942=0),"",(X942-V942)/V942)</f>
        <v/>
      </c>
      <c r="Z942" s="7">
        <f>IF(COUNT(D942:U942)=0,"",INDEX($D$1:$U$1,MATCH(MIN(D942:U942),D942:U942,0)))</f>
        <v/>
      </c>
      <c r="AA942" s="8" t="n">
        <v>520</v>
      </c>
      <c r="AB942" s="10" t="n">
        <v>1</v>
      </c>
    </row>
    <row r="943">
      <c r="A943" s="7" t="inlineStr">
        <is>
          <t>MAT-10-333</t>
        </is>
      </c>
      <c r="B943" s="4" t="inlineStr">
        <is>
          <t>Extensión eléctrica de 50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725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>
        <f>IF(COUNT(D943:U943)=0,"",MIN(D943:U943))</f>
        <v/>
      </c>
      <c r="W943" s="8">
        <f>IF(COUNT(D943:U943)=0,"",MEDIAN(D943:U943))</f>
        <v/>
      </c>
      <c r="X943" s="8">
        <f>IF(COUNT(D943:U943)=0,"",MAX(D943:U943))</f>
        <v/>
      </c>
      <c r="Y943" s="9">
        <f>IF(OR(V943="",V943=0),"",(X943-V943)/V943)</f>
        <v/>
      </c>
      <c r="Z943" s="7">
        <f>IF(COUNT(D943:U943)=0,"",INDEX($D$1:$U$1,MATCH(MIN(D943:U943),D943:U943,0)))</f>
        <v/>
      </c>
      <c r="AA943" s="8" t="n">
        <v>1330</v>
      </c>
      <c r="AB943" s="10" t="n">
        <v>1</v>
      </c>
    </row>
    <row r="944">
      <c r="A944" s="7" t="inlineStr">
        <is>
          <t>MAT-10-334</t>
        </is>
      </c>
      <c r="B944" s="4" t="inlineStr">
        <is>
          <t>Extensión eléctrica de 6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310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>
        <f>IF(COUNT(D944:U944)=0,"",MIN(D944:U944))</f>
        <v/>
      </c>
      <c r="W944" s="8">
        <f>IF(COUNT(D944:U944)=0,"",MEDIAN(D944:U944))</f>
        <v/>
      </c>
      <c r="X944" s="8">
        <f>IF(COUNT(D944:U944)=0,"",MAX(D944:U944))</f>
        <v/>
      </c>
      <c r="Y944" s="9">
        <f>IF(OR(V944="",V944=0),"",(X944-V944)/V944)</f>
        <v/>
      </c>
      <c r="Z944" s="7">
        <f>IF(COUNT(D944:U944)=0,"",INDEX($D$1:$U$1,MATCH(MIN(D944:U944),D944:U944,0)))</f>
        <v/>
      </c>
      <c r="AA944" s="8" t="n">
        <v>310</v>
      </c>
      <c r="AB944" s="10" t="n">
        <v>1</v>
      </c>
    </row>
    <row r="945">
      <c r="A945" s="7" t="inlineStr">
        <is>
          <t>MAT-10-335</t>
        </is>
      </c>
      <c r="B945" s="4" t="inlineStr">
        <is>
          <t>Extensión eléctrica de 7 pies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145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>
        <f>IF(COUNT(D945:U945)=0,"",MIN(D945:U945))</f>
        <v/>
      </c>
      <c r="W945" s="8">
        <f>IF(COUNT(D945:U945)=0,"",MEDIAN(D945:U945))</f>
        <v/>
      </c>
      <c r="X945" s="8">
        <f>IF(COUNT(D945:U945)=0,"",MAX(D945:U945))</f>
        <v/>
      </c>
      <c r="Y945" s="9">
        <f>IF(OR(V945="",V945=0),"",(X945-V945)/V945)</f>
        <v/>
      </c>
      <c r="Z945" s="7">
        <f>IF(COUNT(D945:U945)=0,"",INDEX($D$1:$U$1,MATCH(MIN(D945:U945),D945:U945,0)))</f>
        <v/>
      </c>
      <c r="AA945" s="8" t="n">
        <v>145</v>
      </c>
      <c r="AB945" s="10" t="n">
        <v>1</v>
      </c>
    </row>
    <row r="946">
      <c r="A946" s="7" t="inlineStr">
        <is>
          <t>MAT-10-336</t>
        </is>
      </c>
      <c r="B946" s="4" t="inlineStr">
        <is>
          <t>Regleta de 6 salidas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654.99</v>
      </c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>
        <f>IF(COUNT(D946:U946)=0,"",MIN(D946:U946))</f>
        <v/>
      </c>
      <c r="W946" s="8">
        <f>IF(COUNT(D946:U946)=0,"",MEDIAN(D946:U946))</f>
        <v/>
      </c>
      <c r="X946" s="8">
        <f>IF(COUNT(D946:U946)=0,"",MAX(D946:U946))</f>
        <v/>
      </c>
      <c r="Y946" s="9">
        <f>IF(OR(V946="",V946=0),"",(X946-V946)/V946)</f>
        <v/>
      </c>
      <c r="Z946" s="7">
        <f>IF(COUNT(D946:U946)=0,"",INDEX($D$1:$U$1,MATCH(MIN(D946:U946),D946:U946,0)))</f>
        <v/>
      </c>
      <c r="AA946" s="8" t="n">
        <v>737.5</v>
      </c>
      <c r="AB946" s="10" t="n">
        <v>1</v>
      </c>
    </row>
    <row r="947">
      <c r="A947" s="7" t="inlineStr">
        <is>
          <t>MAT-10-337</t>
        </is>
      </c>
      <c r="B947" s="4" t="inlineStr">
        <is>
          <t>Regleta de 6 salidas con supresor de picos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725</v>
      </c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>
        <f>IF(COUNT(D947:U947)=0,"",MIN(D947:U947))</f>
        <v/>
      </c>
      <c r="W947" s="8">
        <f>IF(COUNT(D947:U947)=0,"",MEDIAN(D947:U947))</f>
        <v/>
      </c>
      <c r="X947" s="8">
        <f>IF(COUNT(D947:U947)=0,"",MAX(D947:U947))</f>
        <v/>
      </c>
      <c r="Y947" s="9">
        <f>IF(OR(V947="",V947=0),"",(X947-V947)/V947)</f>
        <v/>
      </c>
      <c r="Z947" s="7">
        <f>IF(COUNT(D947:U947)=0,"",INDEX($D$1:$U$1,MATCH(MIN(D947:U947),D947:U947,0)))</f>
        <v/>
      </c>
      <c r="AA947" s="8" t="n">
        <v>725</v>
      </c>
      <c r="AB947" s="10" t="n">
        <v>1</v>
      </c>
    </row>
    <row r="948">
      <c r="A948" s="7" t="inlineStr">
        <is>
          <t>MAT-10-338</t>
        </is>
      </c>
      <c r="B948" s="4" t="inlineStr">
        <is>
          <t>Regleta de 8 salidas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1195</v>
      </c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>
        <f>IF(COUNT(D948:U948)=0,"",MIN(D948:U948))</f>
        <v/>
      </c>
      <c r="W948" s="8">
        <f>IF(COUNT(D948:U948)=0,"",MEDIAN(D948:U948))</f>
        <v/>
      </c>
      <c r="X948" s="8">
        <f>IF(COUNT(D948:U948)=0,"",MAX(D948:U948))</f>
        <v/>
      </c>
      <c r="Y948" s="9">
        <f>IF(OR(V948="",V948=0),"",(X948-V948)/V948)</f>
        <v/>
      </c>
      <c r="Z948" s="7">
        <f>IF(COUNT(D948:U948)=0,"",INDEX($D$1:$U$1,MATCH(MIN(D948:U948),D948:U948,0)))</f>
        <v/>
      </c>
      <c r="AA948" s="8" t="n">
        <v>1195</v>
      </c>
      <c r="AB948" s="10" t="n">
        <v>1</v>
      </c>
    </row>
    <row r="949">
      <c r="A949" s="7" t="inlineStr">
        <is>
          <t>MAT-10-339</t>
        </is>
      </c>
      <c r="B949" s="4" t="inlineStr">
        <is>
          <t>Sensor de movimiento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500</v>
      </c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>
        <f>IF(COUNT(D949:U949)=0,"",MIN(D949:U949))</f>
        <v/>
      </c>
      <c r="W949" s="8">
        <f>IF(COUNT(D949:U949)=0,"",MEDIAN(D949:U949))</f>
        <v/>
      </c>
      <c r="X949" s="8">
        <f>IF(COUNT(D949:U949)=0,"",MAX(D949:U949))</f>
        <v/>
      </c>
      <c r="Y949" s="9">
        <f>IF(OR(V949="",V949=0),"",(X949-V949)/V949)</f>
        <v/>
      </c>
      <c r="Z949" s="7">
        <f>IF(COUNT(D949:U949)=0,"",INDEX($D$1:$U$1,MATCH(MIN(D949:U949),D949:U949,0)))</f>
        <v/>
      </c>
      <c r="AA949" s="8" t="n">
        <v>570</v>
      </c>
      <c r="AB949" s="10" t="n">
        <v>1</v>
      </c>
    </row>
    <row r="950">
      <c r="A950" s="7" t="inlineStr">
        <is>
          <t>MAT-10-340</t>
        </is>
      </c>
      <c r="B950" s="4" t="inlineStr">
        <is>
          <t>Temporizador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805</v>
      </c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>
        <f>IF(COUNT(D950:U950)=0,"",MIN(D950:U950))</f>
        <v/>
      </c>
      <c r="W950" s="8">
        <f>IF(COUNT(D950:U950)=0,"",MEDIAN(D950:U950))</f>
        <v/>
      </c>
      <c r="X950" s="8">
        <f>IF(COUNT(D950:U950)=0,"",MAX(D950:U950))</f>
        <v/>
      </c>
      <c r="Y950" s="9">
        <f>IF(OR(V950="",V950=0),"",(X950-V950)/V950)</f>
        <v/>
      </c>
      <c r="Z950" s="7">
        <f>IF(COUNT(D950:U950)=0,"",INDEX($D$1:$U$1,MATCH(MIN(D950:U950),D950:U950,0)))</f>
        <v/>
      </c>
      <c r="AA950" s="8" t="n">
        <v>805</v>
      </c>
      <c r="AB950" s="10" t="n">
        <v>1</v>
      </c>
    </row>
    <row r="951">
      <c r="A951" s="7" t="inlineStr">
        <is>
          <t>MAT-10-341</t>
        </is>
      </c>
      <c r="B951" s="4" t="inlineStr">
        <is>
          <t>Timbre eléctrico</t>
        </is>
      </c>
      <c r="C951" s="7" t="inlineStr">
        <is>
          <t>unidad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>
        <v>100</v>
      </c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>
        <f>IF(COUNT(D951:U951)=0,"",MIN(D951:U951))</f>
        <v/>
      </c>
      <c r="W951" s="8">
        <f>IF(COUNT(D951:U951)=0,"",MEDIAN(D951:U951))</f>
        <v/>
      </c>
      <c r="X951" s="8">
        <f>IF(COUNT(D951:U951)=0,"",MAX(D951:U951))</f>
        <v/>
      </c>
      <c r="Y951" s="9">
        <f>IF(OR(V951="",V951=0),"",(X951-V951)/V951)</f>
        <v/>
      </c>
      <c r="Z951" s="7">
        <f>IF(COUNT(D951:U951)=0,"",INDEX($D$1:$U$1,MATCH(MIN(D951:U951),D951:U951,0)))</f>
        <v/>
      </c>
      <c r="AA951" s="8" t="n">
        <v>414.99</v>
      </c>
      <c r="AB951" s="10" t="n">
        <v>1</v>
      </c>
    </row>
    <row r="952">
      <c r="A952" s="7" t="inlineStr">
        <is>
          <t>MAT-12-009</t>
        </is>
      </c>
      <c r="B952" s="4" t="inlineStr">
        <is>
          <t>Pintura acrílica, cubeta de 5 galones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1750</v>
      </c>
      <c r="J952" s="8" t="n"/>
      <c r="K952" s="8" t="n"/>
      <c r="L952" s="8" t="n"/>
      <c r="M952" s="8" t="n"/>
      <c r="N952" s="8" t="n"/>
      <c r="O952" s="8" t="n"/>
      <c r="P952" s="8" t="n">
        <v>1730.56</v>
      </c>
      <c r="Q952" s="8" t="n"/>
      <c r="R952" s="8" t="n"/>
      <c r="S952" s="8" t="n"/>
      <c r="T952" s="8" t="n"/>
      <c r="U952" s="8" t="n"/>
      <c r="V952" s="8">
        <f>IF(COUNT(D952:U952)=0,"",MIN(D952:U952))</f>
        <v/>
      </c>
      <c r="W952" s="8">
        <f>IF(COUNT(D952:U952)=0,"",MEDIAN(D952:U952))</f>
        <v/>
      </c>
      <c r="X952" s="8">
        <f>IF(COUNT(D952:U952)=0,"",MAX(D952:U952))</f>
        <v/>
      </c>
      <c r="Y952" s="9">
        <f>IF(OR(V952="",V952=0),"",(X952-V952)/V952)</f>
        <v/>
      </c>
      <c r="Z952" s="7">
        <f>IF(COUNT(D952:U952)=0,"",INDEX($D$1:$U$1,MATCH(MIN(D952:U952),D952:U952,0)))</f>
        <v/>
      </c>
      <c r="AA952" s="8" t="n">
        <v>3750</v>
      </c>
      <c r="AB952" s="10" t="n">
        <v>2</v>
      </c>
    </row>
    <row r="953">
      <c r="A953" s="7" t="inlineStr">
        <is>
          <t>MAT-12-010</t>
        </is>
      </c>
      <c r="B953" s="4" t="inlineStr">
        <is>
          <t>Pintura acrílica,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>
        <v>375</v>
      </c>
      <c r="J953" s="8" t="n"/>
      <c r="K953" s="8" t="n"/>
      <c r="L953" s="8" t="n"/>
      <c r="M953" s="8" t="n"/>
      <c r="N953" s="8" t="n"/>
      <c r="O953" s="8" t="n"/>
      <c r="P953" s="8" t="n">
        <v>374.4</v>
      </c>
      <c r="Q953" s="8" t="n"/>
      <c r="R953" s="8" t="n"/>
      <c r="S953" s="8" t="n"/>
      <c r="T953" s="8" t="n"/>
      <c r="U953" s="8" t="n"/>
      <c r="V953" s="8">
        <f>IF(COUNT(D953:U953)=0,"",MIN(D953:U953))</f>
        <v/>
      </c>
      <c r="W953" s="8">
        <f>IF(COUNT(D953:U953)=0,"",MEDIAN(D953:U953))</f>
        <v/>
      </c>
      <c r="X953" s="8">
        <f>IF(COUNT(D953:U953)=0,"",MAX(D953:U953))</f>
        <v/>
      </c>
      <c r="Y953" s="9">
        <f>IF(OR(V953="",V953=0),"",(X953-V953)/V953)</f>
        <v/>
      </c>
      <c r="Z953" s="7">
        <f>IF(COUNT(D953:U953)=0,"",INDEX($D$1:$U$1,MATCH(MIN(D953:U953),D953:U953,0)))</f>
        <v/>
      </c>
      <c r="AA953" s="8" t="n">
        <v>757.13</v>
      </c>
      <c r="AB953" s="10" t="n">
        <v>2</v>
      </c>
    </row>
    <row r="954">
      <c r="A954" s="7" t="inlineStr">
        <is>
          <t>MAT-12-011</t>
        </is>
      </c>
      <c r="B954" s="4" t="inlineStr">
        <is>
          <t>Pintura aislante térmica,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>
        <v>6835.64</v>
      </c>
      <c r="Q954" s="8" t="n"/>
      <c r="R954" s="8" t="n"/>
      <c r="S954" s="8" t="n"/>
      <c r="T954" s="8" t="n"/>
      <c r="U954" s="8" t="n"/>
      <c r="V954" s="8">
        <f>IF(COUNT(D954:U954)=0,"",MIN(D954:U954))</f>
        <v/>
      </c>
      <c r="W954" s="8">
        <f>IF(COUNT(D954:U954)=0,"",MEDIAN(D954:U954))</f>
        <v/>
      </c>
      <c r="X954" s="8">
        <f>IF(COUNT(D954:U954)=0,"",MAX(D954:U954))</f>
        <v/>
      </c>
      <c r="Y954" s="9">
        <f>IF(OR(V954="",V954=0),"",(X954-V954)/V954)</f>
        <v/>
      </c>
      <c r="Z954" s="7">
        <f>IF(COUNT(D954:U954)=0,"",INDEX($D$1:$U$1,MATCH(MIN(D954:U954),D954:U954,0)))</f>
        <v/>
      </c>
      <c r="AA954" s="8" t="n">
        <v>6835.64</v>
      </c>
      <c r="AB954" s="10" t="n">
        <v>1</v>
      </c>
    </row>
    <row r="955">
      <c r="A955" s="7" t="inlineStr">
        <is>
          <t>MAT-12-012</t>
        </is>
      </c>
      <c r="B955" s="4" t="inlineStr">
        <is>
          <t>Pintura anticorrosiva,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>
        <v>1345.06</v>
      </c>
      <c r="Q955" s="8" t="n"/>
      <c r="R955" s="8" t="n"/>
      <c r="S955" s="8" t="n"/>
      <c r="T955" s="8" t="n"/>
      <c r="U955" s="8" t="n"/>
      <c r="V955" s="8">
        <f>IF(COUNT(D955:U955)=0,"",MIN(D955:U955))</f>
        <v/>
      </c>
      <c r="W955" s="8">
        <f>IF(COUNT(D955:U955)=0,"",MEDIAN(D955:U955))</f>
        <v/>
      </c>
      <c r="X955" s="8">
        <f>IF(COUNT(D955:U955)=0,"",MAX(D955:U955))</f>
        <v/>
      </c>
      <c r="Y955" s="9">
        <f>IF(OR(V955="",V955=0),"",(X955-V955)/V955)</f>
        <v/>
      </c>
      <c r="Z955" s="7">
        <f>IF(COUNT(D955:U955)=0,"",INDEX($D$1:$U$1,MATCH(MIN(D955:U955),D955:U955,0)))</f>
        <v/>
      </c>
      <c r="AA955" s="8" t="n">
        <v>4353.57</v>
      </c>
      <c r="AB955" s="10" t="n">
        <v>1</v>
      </c>
    </row>
    <row r="956">
      <c r="A956" s="7" t="inlineStr">
        <is>
          <t>MAT-12-013</t>
        </is>
      </c>
      <c r="B956" s="4" t="inlineStr">
        <is>
          <t>Pintura de tráfico, galón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>
        <v>1705.6</v>
      </c>
      <c r="Q956" s="8" t="n"/>
      <c r="R956" s="8" t="n"/>
      <c r="S956" s="8" t="n"/>
      <c r="T956" s="8" t="n"/>
      <c r="U956" s="8" t="n"/>
      <c r="V956" s="8">
        <f>IF(COUNT(D956:U956)=0,"",MIN(D956:U956))</f>
        <v/>
      </c>
      <c r="W956" s="8">
        <f>IF(COUNT(D956:U956)=0,"",MEDIAN(D956:U956))</f>
        <v/>
      </c>
      <c r="X956" s="8">
        <f>IF(COUNT(D956:U956)=0,"",MAX(D956:U956))</f>
        <v/>
      </c>
      <c r="Y956" s="9">
        <f>IF(OR(V956="",V956=0),"",(X956-V956)/V956)</f>
        <v/>
      </c>
      <c r="Z956" s="7">
        <f>IF(COUNT(D956:U956)=0,"",INDEX($D$1:$U$1,MATCH(MIN(D956:U956),D956:U956,0)))</f>
        <v/>
      </c>
      <c r="AA956" s="8" t="n">
        <v>1780.6</v>
      </c>
      <c r="AB956" s="10" t="n">
        <v>1</v>
      </c>
    </row>
    <row r="957">
      <c r="A957" s="7" t="inlineStr">
        <is>
          <t>MAT-12-014</t>
        </is>
      </c>
      <c r="B957" s="4" t="inlineStr">
        <is>
          <t>Pintura epóxica, cubeta de 5 galones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>
        <v>1675</v>
      </c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>
        <f>IF(COUNT(D957:U957)=0,"",MIN(D957:U957))</f>
        <v/>
      </c>
      <c r="W957" s="8">
        <f>IF(COUNT(D957:U957)=0,"",MEDIAN(D957:U957))</f>
        <v/>
      </c>
      <c r="X957" s="8">
        <f>IF(COUNT(D957:U957)=0,"",MAX(D957:U957))</f>
        <v/>
      </c>
      <c r="Y957" s="9">
        <f>IF(OR(V957="",V957=0),"",(X957-V957)/V957)</f>
        <v/>
      </c>
      <c r="Z957" s="7">
        <f>IF(COUNT(D957:U957)=0,"",INDEX($D$1:$U$1,MATCH(MIN(D957:U957),D957:U957,0)))</f>
        <v/>
      </c>
      <c r="AA957" s="8" t="n">
        <v>1675</v>
      </c>
      <c r="AB957" s="10" t="n">
        <v>1</v>
      </c>
    </row>
    <row r="958">
      <c r="A958" s="7" t="inlineStr">
        <is>
          <t>MAT-12-015</t>
        </is>
      </c>
      <c r="B958" s="4" t="inlineStr">
        <is>
          <t>Pintura epóxica, galón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>
        <v>2954.01</v>
      </c>
      <c r="Q958" s="8" t="n"/>
      <c r="R958" s="8" t="n"/>
      <c r="S958" s="8" t="n"/>
      <c r="T958" s="8" t="n"/>
      <c r="U958" s="8" t="n"/>
      <c r="V958" s="8">
        <f>IF(COUNT(D958:U958)=0,"",MIN(D958:U958))</f>
        <v/>
      </c>
      <c r="W958" s="8">
        <f>IF(COUNT(D958:U958)=0,"",MEDIAN(D958:U958))</f>
        <v/>
      </c>
      <c r="X958" s="8">
        <f>IF(COUNT(D958:U958)=0,"",MAX(D958:U958))</f>
        <v/>
      </c>
      <c r="Y958" s="9">
        <f>IF(OR(V958="",V958=0),"",(X958-V958)/V958)</f>
        <v/>
      </c>
      <c r="Z958" s="7">
        <f>IF(COUNT(D958:U958)=0,"",INDEX($D$1:$U$1,MATCH(MIN(D958:U958),D958:U958,0)))</f>
        <v/>
      </c>
      <c r="AA958" s="8" t="n">
        <v>2954.01</v>
      </c>
      <c r="AB958" s="10" t="n">
        <v>1</v>
      </c>
    </row>
    <row r="959">
      <c r="A959" s="7" t="inlineStr">
        <is>
          <t>MAT-12-016</t>
        </is>
      </c>
      <c r="B959" s="4" t="inlineStr">
        <is>
          <t>Pintura esmalte, envase de 750 ml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>
        <v>1212.3</v>
      </c>
      <c r="Q959" s="8" t="n"/>
      <c r="R959" s="8" t="n"/>
      <c r="S959" s="8" t="n"/>
      <c r="T959" s="8" t="n"/>
      <c r="U959" s="8" t="n"/>
      <c r="V959" s="8">
        <f>IF(COUNT(D959:U959)=0,"",MIN(D959:U959))</f>
        <v/>
      </c>
      <c r="W959" s="8">
        <f>IF(COUNT(D959:U959)=0,"",MEDIAN(D959:U959))</f>
        <v/>
      </c>
      <c r="X959" s="8">
        <f>IF(COUNT(D959:U959)=0,"",MAX(D959:U959))</f>
        <v/>
      </c>
      <c r="Y959" s="9">
        <f>IF(OR(V959="",V959=0),"",(X959-V959)/V959)</f>
        <v/>
      </c>
      <c r="Z959" s="7">
        <f>IF(COUNT(D959:U959)=0,"",INDEX($D$1:$U$1,MATCH(MIN(D959:U959),D959:U959,0)))</f>
        <v/>
      </c>
      <c r="AA959" s="8" t="n">
        <v>1212.3</v>
      </c>
      <c r="AB959" s="10" t="n">
        <v>1</v>
      </c>
    </row>
    <row r="960">
      <c r="A960" s="7" t="inlineStr">
        <is>
          <t>MAT-12-017</t>
        </is>
      </c>
      <c r="B960" s="4" t="inlineStr">
        <is>
          <t>Pintura esmalte, galón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>
        <v>1312.41</v>
      </c>
      <c r="Q960" s="8" t="n"/>
      <c r="R960" s="8" t="n"/>
      <c r="S960" s="8" t="n"/>
      <c r="T960" s="8" t="n"/>
      <c r="U960" s="8" t="n"/>
      <c r="V960" s="8">
        <f>IF(COUNT(D960:U960)=0,"",MIN(D960:U960))</f>
        <v/>
      </c>
      <c r="W960" s="8">
        <f>IF(COUNT(D960:U960)=0,"",MEDIAN(D960:U960))</f>
        <v/>
      </c>
      <c r="X960" s="8">
        <f>IF(COUNT(D960:U960)=0,"",MAX(D960:U960))</f>
        <v/>
      </c>
      <c r="Y960" s="9">
        <f>IF(OR(V960="",V960=0),"",(X960-V960)/V960)</f>
        <v/>
      </c>
      <c r="Z960" s="7">
        <f>IF(COUNT(D960:U960)=0,"",INDEX($D$1:$U$1,MATCH(MIN(D960:U960),D960:U960,0)))</f>
        <v/>
      </c>
      <c r="AA960" s="8" t="n">
        <v>3548.15</v>
      </c>
      <c r="AB960" s="10" t="n">
        <v>1</v>
      </c>
    </row>
    <row r="961">
      <c r="A961" s="7" t="inlineStr">
        <is>
          <t>MAT-12-018</t>
        </is>
      </c>
      <c r="B961" s="4" t="inlineStr">
        <is>
          <t>Impermeabilizante, cubeta de 5 galones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>
        <v>2065</v>
      </c>
      <c r="J961" s="8" t="n"/>
      <c r="K961" s="8" t="n"/>
      <c r="L961" s="8" t="n"/>
      <c r="M961" s="8" t="n"/>
      <c r="N961" s="8" t="n"/>
      <c r="O961" s="8" t="n"/>
      <c r="P961" s="8" t="n">
        <v>4578.08</v>
      </c>
      <c r="Q961" s="8" t="n"/>
      <c r="R961" s="8" t="n"/>
      <c r="S961" s="8" t="n"/>
      <c r="T961" s="8" t="n"/>
      <c r="U961" s="8" t="n"/>
      <c r="V961" s="8">
        <f>IF(COUNT(D961:U961)=0,"",MIN(D961:U961))</f>
        <v/>
      </c>
      <c r="W961" s="8">
        <f>IF(COUNT(D961:U961)=0,"",MEDIAN(D961:U961))</f>
        <v/>
      </c>
      <c r="X961" s="8">
        <f>IF(COUNT(D961:U961)=0,"",MAX(D961:U961))</f>
        <v/>
      </c>
      <c r="Y961" s="9">
        <f>IF(OR(V961="",V961=0),"",(X961-V961)/V961)</f>
        <v/>
      </c>
      <c r="Z961" s="7">
        <f>IF(COUNT(D961:U961)=0,"",INDEX($D$1:$U$1,MATCH(MIN(D961:U961),D961:U961,0)))</f>
        <v/>
      </c>
      <c r="AA961" s="8" t="n">
        <v>7752.62</v>
      </c>
      <c r="AB961" s="10" t="n">
        <v>2</v>
      </c>
    </row>
    <row r="962">
      <c r="A962" s="7" t="inlineStr">
        <is>
          <t>MAT-12-019</t>
        </is>
      </c>
      <c r="B962" s="4" t="inlineStr">
        <is>
          <t>Impermeabilizante, funda de 40 libras</t>
        </is>
      </c>
      <c r="C962" s="7" t="inlineStr">
        <is>
          <t>envase</t>
        </is>
      </c>
      <c r="D962" s="8" t="n"/>
      <c r="E962" s="8" t="n">
        <v>2427</v>
      </c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>
        <v>2419.2</v>
      </c>
      <c r="Q962" s="8" t="n"/>
      <c r="R962" s="8" t="n"/>
      <c r="S962" s="8" t="n"/>
      <c r="T962" s="8" t="n"/>
      <c r="U962" s="8" t="n"/>
      <c r="V962" s="8">
        <f>IF(COUNT(D962:U962)=0,"",MIN(D962:U962))</f>
        <v/>
      </c>
      <c r="W962" s="8">
        <f>IF(COUNT(D962:U962)=0,"",MEDIAN(D962:U962))</f>
        <v/>
      </c>
      <c r="X962" s="8">
        <f>IF(COUNT(D962:U962)=0,"",MAX(D962:U962))</f>
        <v/>
      </c>
      <c r="Y962" s="9">
        <f>IF(OR(V962="",V962=0),"",(X962-V962)/V962)</f>
        <v/>
      </c>
      <c r="Z962" s="7">
        <f>IF(COUNT(D962:U962)=0,"",INDEX($D$1:$U$1,MATCH(MIN(D962:U962),D962:U962,0)))</f>
        <v/>
      </c>
      <c r="AA962" s="8" t="n">
        <v>2663</v>
      </c>
      <c r="AB962" s="10" t="n">
        <v>2</v>
      </c>
    </row>
    <row r="963">
      <c r="A963" s="7" t="inlineStr">
        <is>
          <t>MAT-12-020</t>
        </is>
      </c>
      <c r="B963" s="4" t="inlineStr">
        <is>
          <t>Impermeabilizante, funda de 44 libras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>
        <v>2838.53</v>
      </c>
      <c r="Q963" s="8" t="n"/>
      <c r="R963" s="8" t="n"/>
      <c r="S963" s="8" t="n"/>
      <c r="T963" s="8" t="n"/>
      <c r="U963" s="8" t="n"/>
      <c r="V963" s="8">
        <f>IF(COUNT(D963:U963)=0,"",MIN(D963:U963))</f>
        <v/>
      </c>
      <c r="W963" s="8">
        <f>IF(COUNT(D963:U963)=0,"",MEDIAN(D963:U963))</f>
        <v/>
      </c>
      <c r="X963" s="8">
        <f>IF(COUNT(D963:U963)=0,"",MAX(D963:U963))</f>
        <v/>
      </c>
      <c r="Y963" s="9">
        <f>IF(OR(V963="",V963=0),"",(X963-V963)/V963)</f>
        <v/>
      </c>
      <c r="Z963" s="7">
        <f>IF(COUNT(D963:U963)=0,"",INDEX($D$1:$U$1,MATCH(MIN(D963:U963),D963:U963,0)))</f>
        <v/>
      </c>
      <c r="AA963" s="8" t="n">
        <v>2838.53</v>
      </c>
      <c r="AB963" s="10" t="n">
        <v>1</v>
      </c>
    </row>
    <row r="964">
      <c r="A964" s="7" t="inlineStr">
        <is>
          <t>MAT-12-021</t>
        </is>
      </c>
      <c r="B964" s="4" t="inlineStr">
        <is>
          <t>Impermeabilizante, galón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>
        <v>1265</v>
      </c>
      <c r="J964" s="8" t="n"/>
      <c r="K964" s="8" t="n"/>
      <c r="L964" s="8" t="n"/>
      <c r="M964" s="8" t="n"/>
      <c r="N964" s="8" t="n"/>
      <c r="O964" s="8" t="n"/>
      <c r="P964" s="8" t="n">
        <v>3104.96</v>
      </c>
      <c r="Q964" s="8" t="n"/>
      <c r="R964" s="8" t="n"/>
      <c r="S964" s="8" t="n"/>
      <c r="T964" s="8" t="n"/>
      <c r="U964" s="8" t="n"/>
      <c r="V964" s="8">
        <f>IF(COUNT(D964:U964)=0,"",MIN(D964:U964))</f>
        <v/>
      </c>
      <c r="W964" s="8">
        <f>IF(COUNT(D964:U964)=0,"",MEDIAN(D964:U964))</f>
        <v/>
      </c>
      <c r="X964" s="8">
        <f>IF(COUNT(D964:U964)=0,"",MAX(D964:U964))</f>
        <v/>
      </c>
      <c r="Y964" s="9">
        <f>IF(OR(V964="",V964=0),"",(X964-V964)/V964)</f>
        <v/>
      </c>
      <c r="Z964" s="7">
        <f>IF(COUNT(D964:U964)=0,"",INDEX($D$1:$U$1,MATCH(MIN(D964:U964),D964:U964,0)))</f>
        <v/>
      </c>
      <c r="AA964" s="8" t="n">
        <v>2299.98</v>
      </c>
      <c r="AB964" s="10" t="n">
        <v>2</v>
      </c>
    </row>
    <row r="965">
      <c r="A965" s="7" t="inlineStr">
        <is>
          <t>MAT-12-022</t>
        </is>
      </c>
      <c r="B965" s="4" t="inlineStr">
        <is>
          <t>Masilla, cubeta de 5 galones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>
        <v>1395</v>
      </c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>
        <f>IF(COUNT(D965:U965)=0,"",MIN(D965:U965))</f>
        <v/>
      </c>
      <c r="W965" s="8">
        <f>IF(COUNT(D965:U965)=0,"",MEDIAN(D965:U965))</f>
        <v/>
      </c>
      <c r="X965" s="8">
        <f>IF(COUNT(D965:U965)=0,"",MAX(D965:U965))</f>
        <v/>
      </c>
      <c r="Y965" s="9">
        <f>IF(OR(V965="",V965=0),"",(X965-V965)/V965)</f>
        <v/>
      </c>
      <c r="Z965" s="7">
        <f>IF(COUNT(D965:U965)=0,"",INDEX($D$1:$U$1,MATCH(MIN(D965:U965),D965:U965,0)))</f>
        <v/>
      </c>
      <c r="AA965" s="8" t="n">
        <v>1795</v>
      </c>
      <c r="AB965" s="10" t="n">
        <v>1</v>
      </c>
    </row>
    <row r="966">
      <c r="A966" s="7" t="inlineStr">
        <is>
          <t>MAT-12-023</t>
        </is>
      </c>
      <c r="B966" s="4" t="inlineStr">
        <is>
          <t>Masilla, envase de 2.5 litros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>
        <v>1429.12</v>
      </c>
      <c r="Q966" s="8" t="n"/>
      <c r="R966" s="8" t="n"/>
      <c r="S966" s="8" t="n"/>
      <c r="T966" s="8" t="n"/>
      <c r="U966" s="8" t="n"/>
      <c r="V966" s="8">
        <f>IF(COUNT(D966:U966)=0,"",MIN(D966:U966))</f>
        <v/>
      </c>
      <c r="W966" s="8">
        <f>IF(COUNT(D966:U966)=0,"",MEDIAN(D966:U966))</f>
        <v/>
      </c>
      <c r="X966" s="8">
        <f>IF(COUNT(D966:U966)=0,"",MAX(D966:U966))</f>
        <v/>
      </c>
      <c r="Y966" s="9">
        <f>IF(OR(V966="",V966=0),"",(X966-V966)/V966)</f>
        <v/>
      </c>
      <c r="Z966" s="7">
        <f>IF(COUNT(D966:U966)=0,"",INDEX($D$1:$U$1,MATCH(MIN(D966:U966),D966:U966,0)))</f>
        <v/>
      </c>
      <c r="AA966" s="8" t="n">
        <v>1429.12</v>
      </c>
      <c r="AB966" s="10" t="n">
        <v>1</v>
      </c>
    </row>
    <row r="967">
      <c r="A967" s="7" t="inlineStr">
        <is>
          <t>MAT-12-024</t>
        </is>
      </c>
      <c r="B967" s="4" t="inlineStr">
        <is>
          <t>Masilla, funda de 1 libra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>
        <v>211.9</v>
      </c>
      <c r="Q967" s="8" t="n"/>
      <c r="R967" s="8" t="n"/>
      <c r="S967" s="8" t="n"/>
      <c r="T967" s="8" t="n"/>
      <c r="U967" s="8" t="n"/>
      <c r="V967" s="8">
        <f>IF(COUNT(D967:U967)=0,"",MIN(D967:U967))</f>
        <v/>
      </c>
      <c r="W967" s="8">
        <f>IF(COUNT(D967:U967)=0,"",MEDIAN(D967:U967))</f>
        <v/>
      </c>
      <c r="X967" s="8">
        <f>IF(COUNT(D967:U967)=0,"",MAX(D967:U967))</f>
        <v/>
      </c>
      <c r="Y967" s="9">
        <f>IF(OR(V967="",V967=0),"",(X967-V967)/V967)</f>
        <v/>
      </c>
      <c r="Z967" s="7">
        <f>IF(COUNT(D967:U967)=0,"",INDEX($D$1:$U$1,MATCH(MIN(D967:U967),D967:U967,0)))</f>
        <v/>
      </c>
      <c r="AA967" s="8" t="n">
        <v>211.9</v>
      </c>
      <c r="AB967" s="10" t="n">
        <v>1</v>
      </c>
    </row>
    <row r="968">
      <c r="A968" s="7" t="inlineStr">
        <is>
          <t>MAT-12-025</t>
        </is>
      </c>
      <c r="B968" s="4" t="inlineStr">
        <is>
          <t>Masilla, funda de 11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>
        <v>1118.66</v>
      </c>
      <c r="Q968" s="8" t="n"/>
      <c r="R968" s="8" t="n"/>
      <c r="S968" s="8" t="n"/>
      <c r="T968" s="8" t="n"/>
      <c r="U968" s="8" t="n"/>
      <c r="V968" s="8">
        <f>IF(COUNT(D968:U968)=0,"",MIN(D968:U968))</f>
        <v/>
      </c>
      <c r="W968" s="8">
        <f>IF(COUNT(D968:U968)=0,"",MEDIAN(D968:U968))</f>
        <v/>
      </c>
      <c r="X968" s="8">
        <f>IF(COUNT(D968:U968)=0,"",MAX(D968:U968))</f>
        <v/>
      </c>
      <c r="Y968" s="9">
        <f>IF(OR(V968="",V968=0),"",(X968-V968)/V968)</f>
        <v/>
      </c>
      <c r="Z968" s="7">
        <f>IF(COUNT(D968:U968)=0,"",INDEX($D$1:$U$1,MATCH(MIN(D968:U968),D968:U968,0)))</f>
        <v/>
      </c>
      <c r="AA968" s="8" t="n">
        <v>1118.66</v>
      </c>
      <c r="AB968" s="10" t="n">
        <v>1</v>
      </c>
    </row>
    <row r="969">
      <c r="A969" s="7" t="inlineStr">
        <is>
          <t>MAT-12-026</t>
        </is>
      </c>
      <c r="B969" s="4" t="inlineStr">
        <is>
          <t>Masilla, funda de 2 libras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>
        <v>335.1</v>
      </c>
      <c r="Q969" s="8" t="n"/>
      <c r="R969" s="8" t="n"/>
      <c r="S969" s="8" t="n"/>
      <c r="T969" s="8" t="n"/>
      <c r="U969" s="8" t="n"/>
      <c r="V969" s="8">
        <f>IF(COUNT(D969:U969)=0,"",MIN(D969:U969))</f>
        <v/>
      </c>
      <c r="W969" s="8">
        <f>IF(COUNT(D969:U969)=0,"",MEDIAN(D969:U969))</f>
        <v/>
      </c>
      <c r="X969" s="8">
        <f>IF(COUNT(D969:U969)=0,"",MAX(D969:U969))</f>
        <v/>
      </c>
      <c r="Y969" s="9">
        <f>IF(OR(V969="",V969=0),"",(X969-V969)/V969)</f>
        <v/>
      </c>
      <c r="Z969" s="7">
        <f>IF(COUNT(D969:U969)=0,"",INDEX($D$1:$U$1,MATCH(MIN(D969:U969),D969:U969,0)))</f>
        <v/>
      </c>
      <c r="AA969" s="8" t="n">
        <v>335.1</v>
      </c>
      <c r="AB969" s="10" t="n">
        <v>1</v>
      </c>
    </row>
    <row r="970">
      <c r="A970" s="7" t="inlineStr">
        <is>
          <t>MAT-12-027</t>
        </is>
      </c>
      <c r="B970" s="4" t="inlineStr">
        <is>
          <t>Masilla para exterior,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>
        <v>4072.16</v>
      </c>
      <c r="Q970" s="8" t="n"/>
      <c r="R970" s="8" t="n"/>
      <c r="S970" s="8" t="n"/>
      <c r="T970" s="8" t="n"/>
      <c r="U970" s="8" t="n"/>
      <c r="V970" s="8">
        <f>IF(COUNT(D970:U970)=0,"",MIN(D970:U970))</f>
        <v/>
      </c>
      <c r="W970" s="8">
        <f>IF(COUNT(D970:U970)=0,"",MEDIAN(D970:U970))</f>
        <v/>
      </c>
      <c r="X970" s="8">
        <f>IF(COUNT(D970:U970)=0,"",MAX(D970:U970))</f>
        <v/>
      </c>
      <c r="Y970" s="9">
        <f>IF(OR(V970="",V970=0),"",(X970-V970)/V970)</f>
        <v/>
      </c>
      <c r="Z970" s="7">
        <f>IF(COUNT(D970:U970)=0,"",INDEX($D$1:$U$1,MATCH(MIN(D970:U970),D970:U970,0)))</f>
        <v/>
      </c>
      <c r="AA970" s="8" t="n">
        <v>4072.16</v>
      </c>
      <c r="AB970" s="10" t="n">
        <v>1</v>
      </c>
    </row>
    <row r="971">
      <c r="A971" s="7" t="inlineStr">
        <is>
          <t>MAT-12-028</t>
        </is>
      </c>
      <c r="B971" s="4" t="inlineStr">
        <is>
          <t>Masilla para exterior, funda de 40 libras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>
        <v>2157.6</v>
      </c>
      <c r="Q971" s="8" t="n"/>
      <c r="R971" s="8" t="n"/>
      <c r="S971" s="8" t="n"/>
      <c r="T971" s="8" t="n"/>
      <c r="U971" s="8" t="n"/>
      <c r="V971" s="8">
        <f>IF(COUNT(D971:U971)=0,"",MIN(D971:U971))</f>
        <v/>
      </c>
      <c r="W971" s="8">
        <f>IF(COUNT(D971:U971)=0,"",MEDIAN(D971:U971))</f>
        <v/>
      </c>
      <c r="X971" s="8">
        <f>IF(COUNT(D971:U971)=0,"",MAX(D971:U971))</f>
        <v/>
      </c>
      <c r="Y971" s="9">
        <f>IF(OR(V971="",V971=0),"",(X971-V971)/V971)</f>
        <v/>
      </c>
      <c r="Z971" s="7">
        <f>IF(COUNT(D971:U971)=0,"",INDEX($D$1:$U$1,MATCH(MIN(D971:U971),D971:U971,0)))</f>
        <v/>
      </c>
      <c r="AA971" s="8" t="n">
        <v>2157.6</v>
      </c>
      <c r="AB971" s="10" t="n">
        <v>1</v>
      </c>
    </row>
    <row r="972">
      <c r="A972" s="7" t="inlineStr">
        <is>
          <t>MAT-12-029</t>
        </is>
      </c>
      <c r="B972" s="4" t="inlineStr">
        <is>
          <t>Masilla para sheetrock, cubeta de 5 galones</t>
        </is>
      </c>
      <c r="C972" s="7" t="inlineStr">
        <is>
          <t>envase</t>
        </is>
      </c>
      <c r="D972" s="8" t="n"/>
      <c r="E972" s="8" t="n">
        <v>4316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1221.74</v>
      </c>
      <c r="Q972" s="8" t="n"/>
      <c r="R972" s="8" t="n"/>
      <c r="S972" s="8" t="n"/>
      <c r="T972" s="8" t="n"/>
      <c r="U972" s="8" t="n"/>
      <c r="V972" s="8">
        <f>IF(COUNT(D972:U972)=0,"",MIN(D972:U972))</f>
        <v/>
      </c>
      <c r="W972" s="8">
        <f>IF(COUNT(D972:U972)=0,"",MEDIAN(D972:U972))</f>
        <v/>
      </c>
      <c r="X972" s="8">
        <f>IF(COUNT(D972:U972)=0,"",MAX(D972:U972))</f>
        <v/>
      </c>
      <c r="Y972" s="9">
        <f>IF(OR(V972="",V972=0),"",(X972-V972)/V972)</f>
        <v/>
      </c>
      <c r="Z972" s="7">
        <f>IF(COUNT(D972:U972)=0,"",INDEX($D$1:$U$1,MATCH(MIN(D972:U972),D972:U972,0)))</f>
        <v/>
      </c>
      <c r="AA972" s="8" t="n">
        <v>1401.92</v>
      </c>
      <c r="AB972" s="10" t="n">
        <v>2</v>
      </c>
    </row>
    <row r="973">
      <c r="A973" s="7" t="inlineStr">
        <is>
          <t>MAT-12-030</t>
        </is>
      </c>
      <c r="B973" s="4" t="inlineStr">
        <is>
          <t>Masilla para sheetrock, funda de 14 libras</t>
        </is>
      </c>
      <c r="C973" s="7" t="inlineStr">
        <is>
          <t>envase</t>
        </is>
      </c>
      <c r="D973" s="8" t="n"/>
      <c r="E973" s="8" t="n">
        <v>1198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>
        <f>IF(COUNT(D973:U973)=0,"",MIN(D973:U973))</f>
        <v/>
      </c>
      <c r="W973" s="8">
        <f>IF(COUNT(D973:U973)=0,"",MEDIAN(D973:U973))</f>
        <v/>
      </c>
      <c r="X973" s="8">
        <f>IF(COUNT(D973:U973)=0,"",MAX(D973:U973))</f>
        <v/>
      </c>
      <c r="Y973" s="9">
        <f>IF(OR(V973="",V973=0),"",(X973-V973)/V973)</f>
        <v/>
      </c>
      <c r="Z973" s="7">
        <f>IF(COUNT(D973:U973)=0,"",INDEX($D$1:$U$1,MATCH(MIN(D973:U973),D973:U973,0)))</f>
        <v/>
      </c>
      <c r="AA973" s="8" t="n">
        <v>1198</v>
      </c>
      <c r="AB973" s="10" t="n">
        <v>1</v>
      </c>
    </row>
    <row r="974">
      <c r="A974" s="7" t="inlineStr">
        <is>
          <t>MAT-12-031</t>
        </is>
      </c>
      <c r="B974" s="4" t="inlineStr">
        <is>
          <t>Masilla para sheetrock, funda de 2 libras</t>
        </is>
      </c>
      <c r="C974" s="7" t="inlineStr">
        <is>
          <t>envase</t>
        </is>
      </c>
      <c r="D974" s="8" t="n"/>
      <c r="E974" s="8" t="n">
        <v>155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>
        <f>IF(COUNT(D974:U974)=0,"",MIN(D974:U974))</f>
        <v/>
      </c>
      <c r="W974" s="8">
        <f>IF(COUNT(D974:U974)=0,"",MEDIAN(D974:U974))</f>
        <v/>
      </c>
      <c r="X974" s="8">
        <f>IF(COUNT(D974:U974)=0,"",MAX(D974:U974))</f>
        <v/>
      </c>
      <c r="Y974" s="9">
        <f>IF(OR(V974="",V974=0),"",(X974-V974)/V974)</f>
        <v/>
      </c>
      <c r="Z974" s="7">
        <f>IF(COUNT(D974:U974)=0,"",INDEX($D$1:$U$1,MATCH(MIN(D974:U974),D974:U974,0)))</f>
        <v/>
      </c>
      <c r="AA974" s="8" t="n">
        <v>155</v>
      </c>
      <c r="AB974" s="10" t="n">
        <v>1</v>
      </c>
    </row>
    <row r="975">
      <c r="A975" s="7" t="inlineStr">
        <is>
          <t>MAT-12-032</t>
        </is>
      </c>
      <c r="B975" s="4" t="inlineStr">
        <is>
          <t>Masilla para sheetrock, funda de 44 libras</t>
        </is>
      </c>
      <c r="C975" s="7" t="inlineStr">
        <is>
          <t>envase</t>
        </is>
      </c>
      <c r="D975" s="8" t="n"/>
      <c r="E975" s="8" t="n">
        <v>982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>
        <f>IF(COUNT(D975:U975)=0,"",MIN(D975:U975))</f>
        <v/>
      </c>
      <c r="W975" s="8">
        <f>IF(COUNT(D975:U975)=0,"",MEDIAN(D975:U975))</f>
        <v/>
      </c>
      <c r="X975" s="8">
        <f>IF(COUNT(D975:U975)=0,"",MAX(D975:U975))</f>
        <v/>
      </c>
      <c r="Y975" s="9">
        <f>IF(OR(V975="",V975=0),"",(X975-V975)/V975)</f>
        <v/>
      </c>
      <c r="Z975" s="7">
        <f>IF(COUNT(D975:U975)=0,"",INDEX($D$1:$U$1,MATCH(MIN(D975:U975),D975:U975,0)))</f>
        <v/>
      </c>
      <c r="AA975" s="8" t="n">
        <v>982</v>
      </c>
      <c r="AB975" s="10" t="n">
        <v>1</v>
      </c>
    </row>
    <row r="976">
      <c r="A976" s="7" t="inlineStr">
        <is>
          <t>MAT-12-033</t>
        </is>
      </c>
      <c r="B976" s="4" t="inlineStr">
        <is>
          <t>Masilla para sheetrock, funda de 55 libras</t>
        </is>
      </c>
      <c r="C976" s="7" t="inlineStr">
        <is>
          <t>envase</t>
        </is>
      </c>
      <c r="D976" s="8" t="n"/>
      <c r="E976" s="8" t="n">
        <v>2885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>
        <f>IF(COUNT(D976:U976)=0,"",MIN(D976:U976))</f>
        <v/>
      </c>
      <c r="W976" s="8">
        <f>IF(COUNT(D976:U976)=0,"",MEDIAN(D976:U976))</f>
        <v/>
      </c>
      <c r="X976" s="8">
        <f>IF(COUNT(D976:U976)=0,"",MAX(D976:U976))</f>
        <v/>
      </c>
      <c r="Y976" s="9">
        <f>IF(OR(V976="",V976=0),"",(X976-V976)/V976)</f>
        <v/>
      </c>
      <c r="Z976" s="7">
        <f>IF(COUNT(D976:U976)=0,"",INDEX($D$1:$U$1,MATCH(MIN(D976:U976),D976:U976,0)))</f>
        <v/>
      </c>
      <c r="AA976" s="8" t="n">
        <v>2885</v>
      </c>
      <c r="AB976" s="10" t="n">
        <v>1</v>
      </c>
    </row>
    <row r="977">
      <c r="A977" s="7" t="inlineStr">
        <is>
          <t>MAT-12-034</t>
        </is>
      </c>
      <c r="B977" s="4" t="inlineStr">
        <is>
          <t>Masilla para sheetrock, funda de 62 libras</t>
        </is>
      </c>
      <c r="C977" s="7" t="inlineStr">
        <is>
          <t>envase</t>
        </is>
      </c>
      <c r="D977" s="8" t="n"/>
      <c r="E977" s="8" t="n">
        <v>1670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>
        <f>IF(COUNT(D977:U977)=0,"",MIN(D977:U977))</f>
        <v/>
      </c>
      <c r="W977" s="8">
        <f>IF(COUNT(D977:U977)=0,"",MEDIAN(D977:U977))</f>
        <v/>
      </c>
      <c r="X977" s="8">
        <f>IF(COUNT(D977:U977)=0,"",MAX(D977:U977))</f>
        <v/>
      </c>
      <c r="Y977" s="9">
        <f>IF(OR(V977="",V977=0),"",(X977-V977)/V977)</f>
        <v/>
      </c>
      <c r="Z977" s="7">
        <f>IF(COUNT(D977:U977)=0,"",INDEX($D$1:$U$1,MATCH(MIN(D977:U977),D977:U977,0)))</f>
        <v/>
      </c>
      <c r="AA977" s="8" t="n">
        <v>1670</v>
      </c>
      <c r="AB977" s="10" t="n">
        <v>1</v>
      </c>
    </row>
    <row r="978">
      <c r="A978" s="7" t="inlineStr">
        <is>
          <t>MAT-12-035</t>
        </is>
      </c>
      <c r="B978" s="4" t="inlineStr">
        <is>
          <t>Masilla para sheetrock, funda de 64 libras</t>
        </is>
      </c>
      <c r="C978" s="7" t="inlineStr">
        <is>
          <t>envase</t>
        </is>
      </c>
      <c r="D978" s="8" t="n"/>
      <c r="E978" s="8" t="n">
        <v>1828</v>
      </c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>
        <f>IF(COUNT(D978:U978)=0,"",MIN(D978:U978))</f>
        <v/>
      </c>
      <c r="W978" s="8">
        <f>IF(COUNT(D978:U978)=0,"",MEDIAN(D978:U978))</f>
        <v/>
      </c>
      <c r="X978" s="8">
        <f>IF(COUNT(D978:U978)=0,"",MAX(D978:U978))</f>
        <v/>
      </c>
      <c r="Y978" s="9">
        <f>IF(OR(V978="",V978=0),"",(X978-V978)/V978)</f>
        <v/>
      </c>
      <c r="Z978" s="7">
        <f>IF(COUNT(D978:U978)=0,"",INDEX($D$1:$U$1,MATCH(MIN(D978:U978),D978:U978,0)))</f>
        <v/>
      </c>
      <c r="AA978" s="8" t="n">
        <v>1828</v>
      </c>
      <c r="AB978" s="10" t="n">
        <v>1</v>
      </c>
    </row>
    <row r="979">
      <c r="A979" s="7" t="inlineStr">
        <is>
          <t>MAT-12-036</t>
        </is>
      </c>
      <c r="B979" s="4" t="inlineStr">
        <is>
          <t>Pintura para piscina, galón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>
        <v>3326.41</v>
      </c>
      <c r="Q979" s="8" t="n"/>
      <c r="R979" s="8" t="n"/>
      <c r="S979" s="8" t="n"/>
      <c r="T979" s="8" t="n"/>
      <c r="U979" s="8" t="n"/>
      <c r="V979" s="8">
        <f>IF(COUNT(D979:U979)=0,"",MIN(D979:U979))</f>
        <v/>
      </c>
      <c r="W979" s="8">
        <f>IF(COUNT(D979:U979)=0,"",MEDIAN(D979:U979))</f>
        <v/>
      </c>
      <c r="X979" s="8">
        <f>IF(COUNT(D979:U979)=0,"",MAX(D979:U979))</f>
        <v/>
      </c>
      <c r="Y979" s="9">
        <f>IF(OR(V979="",V979=0),"",(X979-V979)/V979)</f>
        <v/>
      </c>
      <c r="Z979" s="7">
        <f>IF(COUNT(D979:U979)=0,"",INDEX($D$1:$U$1,MATCH(MIN(D979:U979),D979:U979,0)))</f>
        <v/>
      </c>
      <c r="AA979" s="8" t="n">
        <v>3326.41</v>
      </c>
      <c r="AB979" s="10" t="n">
        <v>1</v>
      </c>
    </row>
    <row r="980">
      <c r="A980" s="7" t="inlineStr">
        <is>
          <t>MAT-12-037</t>
        </is>
      </c>
      <c r="B980" s="4" t="inlineStr">
        <is>
          <t>Primer sellador, cubeta de 5 galones</t>
        </is>
      </c>
      <c r="C980" s="7" t="inlineStr">
        <is>
          <t>envase</t>
        </is>
      </c>
      <c r="D980" s="8" t="n"/>
      <c r="E980" s="8" t="n">
        <v>4300</v>
      </c>
      <c r="F980" s="8" t="n"/>
      <c r="G980" s="8" t="n"/>
      <c r="H980" s="8" t="n"/>
      <c r="I980" s="8" t="n">
        <v>3260</v>
      </c>
      <c r="J980" s="8" t="n"/>
      <c r="K980" s="8" t="n"/>
      <c r="L980" s="8" t="n"/>
      <c r="M980" s="8" t="n"/>
      <c r="N980" s="8" t="n"/>
      <c r="O980" s="8" t="n"/>
      <c r="P980" s="8" t="n">
        <v>3473.6</v>
      </c>
      <c r="Q980" s="8" t="n"/>
      <c r="R980" s="8" t="n"/>
      <c r="S980" s="8" t="n"/>
      <c r="T980" s="8" t="n"/>
      <c r="U980" s="8" t="n"/>
      <c r="V980" s="8">
        <f>IF(COUNT(D980:U980)=0,"",MIN(D980:U980))</f>
        <v/>
      </c>
      <c r="W980" s="8">
        <f>IF(COUNT(D980:U980)=0,"",MEDIAN(D980:U980))</f>
        <v/>
      </c>
      <c r="X980" s="8">
        <f>IF(COUNT(D980:U980)=0,"",MAX(D980:U980))</f>
        <v/>
      </c>
      <c r="Y980" s="9">
        <f>IF(OR(V980="",V980=0),"",(X980-V980)/V980)</f>
        <v/>
      </c>
      <c r="Z980" s="7">
        <f>IF(COUNT(D980:U980)=0,"",INDEX($D$1:$U$1,MATCH(MIN(D980:U980),D980:U980,0)))</f>
        <v/>
      </c>
      <c r="AA980" s="8" t="n">
        <v>5112.5</v>
      </c>
      <c r="AB980" s="10" t="n">
        <v>3</v>
      </c>
    </row>
    <row r="981">
      <c r="A981" s="7" t="inlineStr">
        <is>
          <t>MAT-12-038</t>
        </is>
      </c>
      <c r="B981" s="4" t="inlineStr">
        <is>
          <t>Estuco para interiores, funda de 35 libras</t>
        </is>
      </c>
      <c r="C981" s="7" t="inlineStr">
        <is>
          <t>funda</t>
        </is>
      </c>
      <c r="D981" s="8" t="n">
        <v>331.11</v>
      </c>
      <c r="E981" s="8" t="n"/>
      <c r="F981" s="8" t="n"/>
      <c r="G981" s="8" t="n"/>
      <c r="H981" s="8" t="n"/>
      <c r="I981" s="8" t="n"/>
      <c r="J981" s="8" t="n"/>
      <c r="K981" s="8" t="n">
        <v>690</v>
      </c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>
        <f>IF(COUNT(D981:U981)=0,"",MIN(D981:U981))</f>
        <v/>
      </c>
      <c r="W981" s="8">
        <f>IF(COUNT(D981:U981)=0,"",MEDIAN(D981:U981))</f>
        <v/>
      </c>
      <c r="X981" s="8">
        <f>IF(COUNT(D981:U981)=0,"",MAX(D981:U981))</f>
        <v/>
      </c>
      <c r="Y981" s="9">
        <f>IF(OR(V981="",V981=0),"",(X981-V981)/V981)</f>
        <v/>
      </c>
      <c r="Z981" s="7">
        <f>IF(COUNT(D981:U981)=0,"",INDEX($D$1:$U$1,MATCH(MIN(D981:U981),D981:U981,0)))</f>
        <v/>
      </c>
      <c r="AA981" s="8" t="n">
        <v>510.56</v>
      </c>
      <c r="AB981" s="10" t="n">
        <v>2</v>
      </c>
    </row>
    <row r="982">
      <c r="A982" s="7" t="inlineStr">
        <is>
          <t>MAT-13-011</t>
        </is>
      </c>
      <c r="B982" s="4" t="inlineStr">
        <is>
          <t>Angular para plafón, 10'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98</v>
      </c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>
        <f>IF(COUNT(D982:U982)=0,"",MIN(D982:U982))</f>
        <v/>
      </c>
      <c r="W982" s="8">
        <f>IF(COUNT(D982:U982)=0,"",MEDIAN(D982:U982))</f>
        <v/>
      </c>
      <c r="X982" s="8">
        <f>IF(COUNT(D982:U982)=0,"",MAX(D982:U982))</f>
        <v/>
      </c>
      <c r="Y982" s="9">
        <f>IF(OR(V982="",V982=0),"",(X982-V982)/V982)</f>
        <v/>
      </c>
      <c r="Z982" s="7">
        <f>IF(COUNT(D982:U982)=0,"",INDEX($D$1:$U$1,MATCH(MIN(D982:U982),D982:U982,0)))</f>
        <v/>
      </c>
      <c r="AA982" s="8" t="n">
        <v>98</v>
      </c>
      <c r="AB982" s="10" t="n">
        <v>1</v>
      </c>
    </row>
    <row r="983">
      <c r="A983" s="7" t="inlineStr">
        <is>
          <t>MAT-13-012</t>
        </is>
      </c>
      <c r="B983" s="4" t="inlineStr">
        <is>
          <t>Cartón piedra, 4'X8' 3X2Mm 1/8"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495</v>
      </c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>
        <f>IF(COUNT(D983:U983)=0,"",MIN(D983:U983))</f>
        <v/>
      </c>
      <c r="W983" s="8">
        <f>IF(COUNT(D983:U983)=0,"",MEDIAN(D983:U983))</f>
        <v/>
      </c>
      <c r="X983" s="8">
        <f>IF(COUNT(D983:U983)=0,"",MAX(D983:U983))</f>
        <v/>
      </c>
      <c r="Y983" s="9">
        <f>IF(OR(V983="",V983=0),"",(X983-V983)/V983)</f>
        <v/>
      </c>
      <c r="Z983" s="7">
        <f>IF(COUNT(D983:U983)=0,"",INDEX($D$1:$U$1,MATCH(MIN(D983:U983),D983:U983,0)))</f>
        <v/>
      </c>
      <c r="AA983" s="8" t="n">
        <v>495</v>
      </c>
      <c r="AB983" s="10" t="n">
        <v>1</v>
      </c>
    </row>
    <row r="984">
      <c r="A984" s="7" t="inlineStr">
        <is>
          <t>MAT-13-013</t>
        </is>
      </c>
      <c r="B984" s="4" t="inlineStr">
        <is>
          <t>Cross tee para plafón, 2'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26</v>
      </c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>
        <f>IF(COUNT(D984:U984)=0,"",MIN(D984:U984))</f>
        <v/>
      </c>
      <c r="W984" s="8">
        <f>IF(COUNT(D984:U984)=0,"",MEDIAN(D984:U984))</f>
        <v/>
      </c>
      <c r="X984" s="8">
        <f>IF(COUNT(D984:U984)=0,"",MAX(D984:U984))</f>
        <v/>
      </c>
      <c r="Y984" s="9">
        <f>IF(OR(V984="",V984=0),"",(X984-V984)/V984)</f>
        <v/>
      </c>
      <c r="Z984" s="7">
        <f>IF(COUNT(D984:U984)=0,"",INDEX($D$1:$U$1,MATCH(MIN(D984:U984),D984:U984,0)))</f>
        <v/>
      </c>
      <c r="AA984" s="8" t="n">
        <v>26</v>
      </c>
      <c r="AB984" s="10" t="n">
        <v>1</v>
      </c>
    </row>
    <row r="985">
      <c r="A985" s="7" t="inlineStr">
        <is>
          <t>MAT-13-014</t>
        </is>
      </c>
      <c r="B985" s="4" t="inlineStr">
        <is>
          <t>Cross tee para plafón, 4'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56</v>
      </c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>
        <f>IF(COUNT(D985:U985)=0,"",MIN(D985:U985))</f>
        <v/>
      </c>
      <c r="W985" s="8">
        <f>IF(COUNT(D985:U985)=0,"",MEDIAN(D985:U985))</f>
        <v/>
      </c>
      <c r="X985" s="8">
        <f>IF(COUNT(D985:U985)=0,"",MAX(D985:U985))</f>
        <v/>
      </c>
      <c r="Y985" s="9">
        <f>IF(OR(V985="",V985=0),"",(X985-V985)/V985)</f>
        <v/>
      </c>
      <c r="Z985" s="7">
        <f>IF(COUNT(D985:U985)=0,"",INDEX($D$1:$U$1,MATCH(MIN(D985:U985),D985:U985,0)))</f>
        <v/>
      </c>
      <c r="AA985" s="8" t="n">
        <v>56</v>
      </c>
      <c r="AB985" s="10" t="n">
        <v>1</v>
      </c>
    </row>
    <row r="986">
      <c r="A986" s="7" t="inlineStr">
        <is>
          <t>MAT-13-015</t>
        </is>
      </c>
      <c r="B986" s="4" t="inlineStr">
        <is>
          <t>Durmiente para plafón, 2-1/2"X10 calibre 25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149</v>
      </c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>
        <f>IF(COUNT(D986:U986)=0,"",MIN(D986:U986))</f>
        <v/>
      </c>
      <c r="W986" s="8">
        <f>IF(COUNT(D986:U986)=0,"",MEDIAN(D986:U986))</f>
        <v/>
      </c>
      <c r="X986" s="8">
        <f>IF(COUNT(D986:U986)=0,"",MAX(D986:U986))</f>
        <v/>
      </c>
      <c r="Y986" s="9">
        <f>IF(OR(V986="",V986=0),"",(X986-V986)/V986)</f>
        <v/>
      </c>
      <c r="Z986" s="7">
        <f>IF(COUNT(D986:U986)=0,"",INDEX($D$1:$U$1,MATCH(MIN(D986:U986),D986:U986,0)))</f>
        <v/>
      </c>
      <c r="AA986" s="8" t="n">
        <v>149</v>
      </c>
      <c r="AB986" s="10" t="n">
        <v>1</v>
      </c>
    </row>
    <row r="987">
      <c r="A987" s="7" t="inlineStr">
        <is>
          <t>MAT-13-016</t>
        </is>
      </c>
      <c r="B987" s="4" t="inlineStr">
        <is>
          <t>Main tee para plafón, 12'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186</v>
      </c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>
        <f>IF(COUNT(D987:U987)=0,"",MIN(D987:U987))</f>
        <v/>
      </c>
      <c r="W987" s="8">
        <f>IF(COUNT(D987:U987)=0,"",MEDIAN(D987:U987))</f>
        <v/>
      </c>
      <c r="X987" s="8">
        <f>IF(COUNT(D987:U987)=0,"",MAX(D987:U987))</f>
        <v/>
      </c>
      <c r="Y987" s="9">
        <f>IF(OR(V987="",V987=0),"",(X987-V987)/V987)</f>
        <v/>
      </c>
      <c r="Z987" s="7">
        <f>IF(COUNT(D987:U987)=0,"",INDEX($D$1:$U$1,MATCH(MIN(D987:U987),D987:U987,0)))</f>
        <v/>
      </c>
      <c r="AA987" s="8" t="n">
        <v>186</v>
      </c>
      <c r="AB987" s="10" t="n">
        <v>1</v>
      </c>
    </row>
    <row r="988">
      <c r="A988" s="7" t="inlineStr">
        <is>
          <t>MAT-13-017</t>
        </is>
      </c>
      <c r="B988" s="4" t="inlineStr">
        <is>
          <t>Paral para plafón, 2-1/2"X10 calibre 25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185</v>
      </c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>
        <f>IF(COUNT(D988:U988)=0,"",MIN(D988:U988))</f>
        <v/>
      </c>
      <c r="W988" s="8">
        <f>IF(COUNT(D988:U988)=0,"",MEDIAN(D988:U988))</f>
        <v/>
      </c>
      <c r="X988" s="8">
        <f>IF(COUNT(D988:U988)=0,"",MAX(D988:U988))</f>
        <v/>
      </c>
      <c r="Y988" s="9">
        <f>IF(OR(V988="",V988=0),"",(X988-V988)/V988)</f>
        <v/>
      </c>
      <c r="Z988" s="7">
        <f>IF(COUNT(D988:U988)=0,"",INDEX($D$1:$U$1,MATCH(MIN(D988:U988),D988:U988,0)))</f>
        <v/>
      </c>
      <c r="AA988" s="8" t="n">
        <v>185</v>
      </c>
      <c r="AB988" s="10" t="n">
        <v>1</v>
      </c>
    </row>
    <row r="989">
      <c r="A989" s="7" t="inlineStr">
        <is>
          <t>MAT-13-018</t>
        </is>
      </c>
      <c r="B989" s="4" t="inlineStr">
        <is>
          <t>Plafón, 2X4'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295</v>
      </c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>
        <f>IF(COUNT(D989:U989)=0,"",MIN(D989:U989))</f>
        <v/>
      </c>
      <c r="W989" s="8">
        <f>IF(COUNT(D989:U989)=0,"",MEDIAN(D989:U989))</f>
        <v/>
      </c>
      <c r="X989" s="8">
        <f>IF(COUNT(D989:U989)=0,"",MAX(D989:U989))</f>
        <v/>
      </c>
      <c r="Y989" s="9">
        <f>IF(OR(V989="",V989=0),"",(X989-V989)/V989)</f>
        <v/>
      </c>
      <c r="Z989" s="7">
        <f>IF(COUNT(D989:U989)=0,"",INDEX($D$1:$U$1,MATCH(MIN(D989:U989),D989:U989,0)))</f>
        <v/>
      </c>
      <c r="AA989" s="8" t="n">
        <v>295</v>
      </c>
      <c r="AB989" s="10" t="n">
        <v>1</v>
      </c>
    </row>
    <row r="990">
      <c r="A990" s="7" t="inlineStr">
        <is>
          <t>MAT-13-019</t>
        </is>
      </c>
      <c r="B990" s="4" t="inlineStr">
        <is>
          <t>Plafón blanco, 250X5800X7MM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375</v>
      </c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>
        <f>IF(COUNT(D990:U990)=0,"",MIN(D990:U990))</f>
        <v/>
      </c>
      <c r="W990" s="8">
        <f>IF(COUNT(D990:U990)=0,"",MEDIAN(D990:U990))</f>
        <v/>
      </c>
      <c r="X990" s="8">
        <f>IF(COUNT(D990:U990)=0,"",MAX(D990:U990))</f>
        <v/>
      </c>
      <c r="Y990" s="9">
        <f>IF(OR(V990="",V990=0),"",(X990-V990)/V990)</f>
        <v/>
      </c>
      <c r="Z990" s="7">
        <f>IF(COUNT(D990:U990)=0,"",INDEX($D$1:$U$1,MATCH(MIN(D990:U990),D990:U990,0)))</f>
        <v/>
      </c>
      <c r="AA990" s="8" t="n">
        <v>375</v>
      </c>
      <c r="AB990" s="10" t="n">
        <v>1</v>
      </c>
    </row>
    <row r="991">
      <c r="A991" s="7" t="inlineStr">
        <is>
          <t>MAT-13-020</t>
        </is>
      </c>
      <c r="B991" s="4" t="inlineStr">
        <is>
          <t>Plafón blanco, 2X4'</t>
        </is>
      </c>
      <c r="C991" s="7" t="inlineStr">
        <is>
          <t>unidad</t>
        </is>
      </c>
      <c r="D991" s="8" t="n"/>
      <c r="E991" s="8" t="n"/>
      <c r="F991" s="8" t="n"/>
      <c r="G991" s="8" t="n"/>
      <c r="H991" s="8" t="n"/>
      <c r="I991" s="8" t="n"/>
      <c r="J991" s="8" t="n"/>
      <c r="K991" s="8" t="n">
        <v>202</v>
      </c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>
        <f>IF(COUNT(D991:U991)=0,"",MIN(D991:U991))</f>
        <v/>
      </c>
      <c r="W991" s="8">
        <f>IF(COUNT(D991:U991)=0,"",MEDIAN(D991:U991))</f>
        <v/>
      </c>
      <c r="X991" s="8">
        <f>IF(COUNT(D991:U991)=0,"",MAX(D991:U991))</f>
        <v/>
      </c>
      <c r="Y991" s="9">
        <f>IF(OR(V991="",V991=0),"",(X991-V991)/V991)</f>
        <v/>
      </c>
      <c r="Z991" s="7">
        <f>IF(COUNT(D991:U991)=0,"",INDEX($D$1:$U$1,MATCH(MIN(D991:U991),D991:U991,0)))</f>
        <v/>
      </c>
      <c r="AA991" s="8" t="n">
        <v>202</v>
      </c>
      <c r="AB991" s="10" t="n">
        <v>1</v>
      </c>
    </row>
    <row r="992">
      <c r="A992" s="7" t="inlineStr">
        <is>
          <t>MAT-16-003</t>
        </is>
      </c>
      <c r="B992" s="4" t="inlineStr">
        <is>
          <t>Kit de videovigilancia 4 cámaras bullet 2 MP</t>
        </is>
      </c>
      <c r="C992" s="7" t="inlineStr">
        <is>
          <t>juego</t>
        </is>
      </c>
      <c r="D992" s="8" t="n">
        <v>18221.03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>
        <f>IF(COUNT(D992:U992)=0,"",MIN(D992:U992))</f>
        <v/>
      </c>
      <c r="W992" s="8">
        <f>IF(COUNT(D992:U992)=0,"",MEDIAN(D992:U992))</f>
        <v/>
      </c>
      <c r="X992" s="8">
        <f>IF(COUNT(D992:U992)=0,"",MAX(D992:U992))</f>
        <v/>
      </c>
      <c r="Y992" s="9">
        <f>IF(OR(V992="",V992=0),"",(X992-V992)/V992)</f>
        <v/>
      </c>
      <c r="Z992" s="7">
        <f>IF(COUNT(D992:U992)=0,"",INDEX($D$1:$U$1,MATCH(MIN(D992:U992),D992:U992,0)))</f>
        <v/>
      </c>
      <c r="AA992" s="8" t="n">
        <v>18221.03</v>
      </c>
      <c r="AB992" s="10" t="n">
        <v>1</v>
      </c>
    </row>
    <row r="993">
      <c r="A993" s="7" t="inlineStr">
        <is>
          <t>MAT-16-004</t>
        </is>
      </c>
      <c r="B993" s="4" t="inlineStr">
        <is>
          <t>Kit de videovigilancia 4 cámaras domo 2 MP</t>
        </is>
      </c>
      <c r="C993" s="7" t="inlineStr">
        <is>
          <t>juego</t>
        </is>
      </c>
      <c r="D993" s="8" t="n">
        <v>17133.95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>
        <f>IF(COUNT(D993:U993)=0,"",MIN(D993:U993))</f>
        <v/>
      </c>
      <c r="W993" s="8">
        <f>IF(COUNT(D993:U993)=0,"",MEDIAN(D993:U993))</f>
        <v/>
      </c>
      <c r="X993" s="8">
        <f>IF(COUNT(D993:U993)=0,"",MAX(D993:U993))</f>
        <v/>
      </c>
      <c r="Y993" s="9">
        <f>IF(OR(V993="",V993=0),"",(X993-V993)/V993)</f>
        <v/>
      </c>
      <c r="Z993" s="7">
        <f>IF(COUNT(D993:U993)=0,"",INDEX($D$1:$U$1,MATCH(MIN(D993:U993),D993:U993,0)))</f>
        <v/>
      </c>
      <c r="AA993" s="8" t="n">
        <v>17133.95</v>
      </c>
      <c r="AB993" s="10" t="n">
        <v>1</v>
      </c>
    </row>
    <row r="994">
      <c r="A994" s="7" t="inlineStr">
        <is>
          <t>MAT-16-005</t>
        </is>
      </c>
      <c r="B994" s="4" t="inlineStr">
        <is>
          <t>Cámara de seguridad</t>
        </is>
      </c>
      <c r="C994" s="7" t="inlineStr">
        <is>
          <t>unidad</t>
        </is>
      </c>
      <c r="D994" s="8" t="n">
        <v>2548.17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>
        <f>IF(COUNT(D994:U994)=0,"",MIN(D994:U994))</f>
        <v/>
      </c>
      <c r="W994" s="8">
        <f>IF(COUNT(D994:U994)=0,"",MEDIAN(D994:U994))</f>
        <v/>
      </c>
      <c r="X994" s="8">
        <f>IF(COUNT(D994:U994)=0,"",MAX(D994:U994))</f>
        <v/>
      </c>
      <c r="Y994" s="9">
        <f>IF(OR(V994="",V994=0),"",(X994-V994)/V994)</f>
        <v/>
      </c>
      <c r="Z994" s="7">
        <f>IF(COUNT(D994:U994)=0,"",INDEX($D$1:$U$1,MATCH(MIN(D994:U994),D994:U994,0)))</f>
        <v/>
      </c>
      <c r="AA994" s="8" t="n">
        <v>3342.09</v>
      </c>
      <c r="AB994" s="10" t="n">
        <v>1</v>
      </c>
    </row>
    <row r="995">
      <c r="A995" s="7" t="inlineStr">
        <is>
          <t>MAT-16-006</t>
        </is>
      </c>
      <c r="B995" s="4" t="inlineStr">
        <is>
          <t>Cámara de seguridad bullet</t>
        </is>
      </c>
      <c r="C995" s="7" t="inlineStr">
        <is>
          <t>unidad</t>
        </is>
      </c>
      <c r="D995" s="8" t="n">
        <v>2191.4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>
        <f>IF(COUNT(D995:U995)=0,"",MIN(D995:U995))</f>
        <v/>
      </c>
      <c r="W995" s="8">
        <f>IF(COUNT(D995:U995)=0,"",MEDIAN(D995:U995))</f>
        <v/>
      </c>
      <c r="X995" s="8">
        <f>IF(COUNT(D995:U995)=0,"",MAX(D995:U995))</f>
        <v/>
      </c>
      <c r="Y995" s="9">
        <f>IF(OR(V995="",V995=0),"",(X995-V995)/V995)</f>
        <v/>
      </c>
      <c r="Z995" s="7">
        <f>IF(COUNT(D995:U995)=0,"",INDEX($D$1:$U$1,MATCH(MIN(D995:U995),D995:U995,0)))</f>
        <v/>
      </c>
      <c r="AA995" s="8" t="n">
        <v>2588.72</v>
      </c>
      <c r="AB995" s="10" t="n">
        <v>1</v>
      </c>
    </row>
    <row r="996">
      <c r="A996" s="7" t="inlineStr">
        <is>
          <t>MAT-16-007</t>
        </is>
      </c>
      <c r="B996" s="4" t="inlineStr">
        <is>
          <t>Cámara de seguridad bullet 2 MP</t>
        </is>
      </c>
      <c r="C996" s="7" t="inlineStr">
        <is>
          <t>unidad</t>
        </is>
      </c>
      <c r="D996" s="8" t="n">
        <v>1784.16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>
        <f>IF(COUNT(D996:U996)=0,"",MIN(D996:U996))</f>
        <v/>
      </c>
      <c r="W996" s="8">
        <f>IF(COUNT(D996:U996)=0,"",MEDIAN(D996:U996))</f>
        <v/>
      </c>
      <c r="X996" s="8">
        <f>IF(COUNT(D996:U996)=0,"",MAX(D996:U996))</f>
        <v/>
      </c>
      <c r="Y996" s="9">
        <f>IF(OR(V996="",V996=0),"",(X996-V996)/V996)</f>
        <v/>
      </c>
      <c r="Z996" s="7">
        <f>IF(COUNT(D996:U996)=0,"",INDEX($D$1:$U$1,MATCH(MIN(D996:U996),D996:U996,0)))</f>
        <v/>
      </c>
      <c r="AA996" s="8" t="n">
        <v>4606.9</v>
      </c>
      <c r="AB996" s="10" t="n">
        <v>1</v>
      </c>
    </row>
    <row r="997">
      <c r="A997" s="7" t="inlineStr">
        <is>
          <t>MAT-16-008</t>
        </is>
      </c>
      <c r="B997" s="4" t="inlineStr">
        <is>
          <t>Cámara de seguridad bullet 4 MP</t>
        </is>
      </c>
      <c r="C997" s="7" t="inlineStr">
        <is>
          <t>unidad</t>
        </is>
      </c>
      <c r="D997" s="8" t="n">
        <v>3087.35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>
        <f>IF(COUNT(D997:U997)=0,"",MIN(D997:U997))</f>
        <v/>
      </c>
      <c r="W997" s="8">
        <f>IF(COUNT(D997:U997)=0,"",MEDIAN(D997:U997))</f>
        <v/>
      </c>
      <c r="X997" s="8">
        <f>IF(COUNT(D997:U997)=0,"",MAX(D997:U997))</f>
        <v/>
      </c>
      <c r="Y997" s="9">
        <f>IF(OR(V997="",V997=0),"",(X997-V997)/V997)</f>
        <v/>
      </c>
      <c r="Z997" s="7">
        <f>IF(COUNT(D997:U997)=0,"",INDEX($D$1:$U$1,MATCH(MIN(D997:U997),D997:U997,0)))</f>
        <v/>
      </c>
      <c r="AA997" s="8" t="n">
        <v>9064.129999999999</v>
      </c>
      <c r="AB997" s="10" t="n">
        <v>1</v>
      </c>
    </row>
    <row r="998">
      <c r="A998" s="7" t="inlineStr">
        <is>
          <t>MAT-16-009</t>
        </is>
      </c>
      <c r="B998" s="4" t="inlineStr">
        <is>
          <t>Cámara de seguridad bullet 5 MP</t>
        </is>
      </c>
      <c r="C998" s="7" t="inlineStr">
        <is>
          <t>unidad</t>
        </is>
      </c>
      <c r="D998" s="8" t="n">
        <v>1394.08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>
        <f>IF(COUNT(D998:U998)=0,"",MIN(D998:U998))</f>
        <v/>
      </c>
      <c r="W998" s="8">
        <f>IF(COUNT(D998:U998)=0,"",MEDIAN(D998:U998))</f>
        <v/>
      </c>
      <c r="X998" s="8">
        <f>IF(COUNT(D998:U998)=0,"",MAX(D998:U998))</f>
        <v/>
      </c>
      <c r="Y998" s="9">
        <f>IF(OR(V998="",V998=0),"",(X998-V998)/V998)</f>
        <v/>
      </c>
      <c r="Z998" s="7">
        <f>IF(COUNT(D998:U998)=0,"",INDEX($D$1:$U$1,MATCH(MIN(D998:U998),D998:U998,0)))</f>
        <v/>
      </c>
      <c r="AA998" s="8" t="n">
        <v>5675.9</v>
      </c>
      <c r="AB998" s="10" t="n">
        <v>1</v>
      </c>
    </row>
    <row r="999">
      <c r="A999" s="7" t="inlineStr">
        <is>
          <t>MAT-16-010</t>
        </is>
      </c>
      <c r="B999" s="4" t="inlineStr">
        <is>
          <t>Cámara de seguridad bullet 8 MP</t>
        </is>
      </c>
      <c r="C999" s="7" t="inlineStr">
        <is>
          <t>unidad</t>
        </is>
      </c>
      <c r="D999" s="8" t="n">
        <v>13465.71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>
        <f>IF(COUNT(D999:U999)=0,"",MIN(D999:U999))</f>
        <v/>
      </c>
      <c r="W999" s="8">
        <f>IF(COUNT(D999:U999)=0,"",MEDIAN(D999:U999))</f>
        <v/>
      </c>
      <c r="X999" s="8">
        <f>IF(COUNT(D999:U999)=0,"",MAX(D999:U999))</f>
        <v/>
      </c>
      <c r="Y999" s="9">
        <f>IF(OR(V999="",V999=0),"",(X999-V999)/V999)</f>
        <v/>
      </c>
      <c r="Z999" s="7">
        <f>IF(COUNT(D999:U999)=0,"",INDEX($D$1:$U$1,MATCH(MIN(D999:U999),D999:U999,0)))</f>
        <v/>
      </c>
      <c r="AA999" s="8" t="n">
        <v>13465.71</v>
      </c>
      <c r="AB999" s="10" t="n">
        <v>1</v>
      </c>
    </row>
    <row r="1000">
      <c r="A1000" s="7" t="inlineStr">
        <is>
          <t>MAT-16-011</t>
        </is>
      </c>
      <c r="B1000" s="4" t="inlineStr">
        <is>
          <t>Cámara de seguridad domo</t>
        </is>
      </c>
      <c r="C1000" s="7" t="inlineStr">
        <is>
          <t>unidad</t>
        </is>
      </c>
      <c r="D1000" s="8" t="n">
        <v>12992.17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>
        <f>IF(COUNT(D1000:U1000)=0,"",MIN(D1000:U1000))</f>
        <v/>
      </c>
      <c r="W1000" s="8">
        <f>IF(COUNT(D1000:U1000)=0,"",MEDIAN(D1000:U1000))</f>
        <v/>
      </c>
      <c r="X1000" s="8">
        <f>IF(COUNT(D1000:U1000)=0,"",MAX(D1000:U1000))</f>
        <v/>
      </c>
      <c r="Y1000" s="9">
        <f>IF(OR(V1000="",V1000=0),"",(X1000-V1000)/V1000)</f>
        <v/>
      </c>
      <c r="Z1000" s="7">
        <f>IF(COUNT(D1000:U1000)=0,"",INDEX($D$1:$U$1,MATCH(MIN(D1000:U1000),D1000:U1000,0)))</f>
        <v/>
      </c>
      <c r="AA1000" s="8" t="n">
        <v>12992.17</v>
      </c>
      <c r="AB1000" s="10" t="n">
        <v>1</v>
      </c>
    </row>
    <row r="1001">
      <c r="A1001" s="7" t="inlineStr">
        <is>
          <t>MAT-16-012</t>
        </is>
      </c>
      <c r="B1001" s="4" t="inlineStr">
        <is>
          <t>Cámara de seguridad domo 2 MP</t>
        </is>
      </c>
      <c r="C1001" s="7" t="inlineStr">
        <is>
          <t>unidad</t>
        </is>
      </c>
      <c r="D1001" s="8" t="n">
        <v>740.01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>
        <f>IF(COUNT(D1001:U1001)=0,"",MIN(D1001:U1001))</f>
        <v/>
      </c>
      <c r="W1001" s="8">
        <f>IF(COUNT(D1001:U1001)=0,"",MEDIAN(D1001:U1001))</f>
        <v/>
      </c>
      <c r="X1001" s="8">
        <f>IF(COUNT(D1001:U1001)=0,"",MAX(D1001:U1001))</f>
        <v/>
      </c>
      <c r="Y1001" s="9">
        <f>IF(OR(V1001="",V1001=0),"",(X1001-V1001)/V1001)</f>
        <v/>
      </c>
      <c r="Z1001" s="7">
        <f>IF(COUNT(D1001:U1001)=0,"",INDEX($D$1:$U$1,MATCH(MIN(D1001:U1001),D1001:U1001,0)))</f>
        <v/>
      </c>
      <c r="AA1001" s="8" t="n">
        <v>3461.37</v>
      </c>
      <c r="AB1001" s="10" t="n">
        <v>1</v>
      </c>
    </row>
    <row r="1002">
      <c r="A1002" s="7" t="inlineStr">
        <is>
          <t>MAT-16-013</t>
        </is>
      </c>
      <c r="B1002" s="4" t="inlineStr">
        <is>
          <t>Cámara de seguridad domo 4 MP</t>
        </is>
      </c>
      <c r="C1002" s="7" t="inlineStr">
        <is>
          <t>unidad</t>
        </is>
      </c>
      <c r="D1002" s="8" t="n">
        <v>3695.82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>
        <f>IF(COUNT(D1002:U1002)=0,"",MIN(D1002:U1002))</f>
        <v/>
      </c>
      <c r="W1002" s="8">
        <f>IF(COUNT(D1002:U1002)=0,"",MEDIAN(D1002:U1002))</f>
        <v/>
      </c>
      <c r="X1002" s="8">
        <f>IF(COUNT(D1002:U1002)=0,"",MAX(D1002:U1002))</f>
        <v/>
      </c>
      <c r="Y1002" s="9">
        <f>IF(OR(V1002="",V1002=0),"",(X1002-V1002)/V1002)</f>
        <v/>
      </c>
      <c r="Z1002" s="7">
        <f>IF(COUNT(D1002:U1002)=0,"",INDEX($D$1:$U$1,MATCH(MIN(D1002:U1002),D1002:U1002,0)))</f>
        <v/>
      </c>
      <c r="AA1002" s="8" t="n">
        <v>5025.16</v>
      </c>
      <c r="AB1002" s="10" t="n">
        <v>1</v>
      </c>
    </row>
    <row r="1003">
      <c r="A1003" s="7" t="inlineStr">
        <is>
          <t>MAT-16-014</t>
        </is>
      </c>
      <c r="B1003" s="4" t="inlineStr">
        <is>
          <t>Cámara de seguridad domo 5 MP</t>
        </is>
      </c>
      <c r="C1003" s="7" t="inlineStr">
        <is>
          <t>unidad</t>
        </is>
      </c>
      <c r="D1003" s="8" t="n">
        <v>1368.3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>
        <f>IF(COUNT(D1003:U1003)=0,"",MIN(D1003:U1003))</f>
        <v/>
      </c>
      <c r="W1003" s="8">
        <f>IF(COUNT(D1003:U1003)=0,"",MEDIAN(D1003:U1003))</f>
        <v/>
      </c>
      <c r="X1003" s="8">
        <f>IF(COUNT(D1003:U1003)=0,"",MAX(D1003:U1003))</f>
        <v/>
      </c>
      <c r="Y1003" s="9">
        <f>IF(OR(V1003="",V1003=0),"",(X1003-V1003)/V1003)</f>
        <v/>
      </c>
      <c r="Z1003" s="7">
        <f>IF(COUNT(D1003:U1003)=0,"",INDEX($D$1:$U$1,MATCH(MIN(D1003:U1003),D1003:U1003,0)))</f>
        <v/>
      </c>
      <c r="AA1003" s="8" t="n">
        <v>6122.92</v>
      </c>
      <c r="AB1003" s="10" t="n">
        <v>1</v>
      </c>
    </row>
    <row r="1004">
      <c r="A1004" s="7" t="inlineStr">
        <is>
          <t>MAT-16-015</t>
        </is>
      </c>
      <c r="B1004" s="4" t="inlineStr">
        <is>
          <t>Cámara de seguridad ojo de pez 5 MP</t>
        </is>
      </c>
      <c r="C1004" s="7" t="inlineStr">
        <is>
          <t>unidad</t>
        </is>
      </c>
      <c r="D1004" s="8" t="n">
        <v>11020.47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>
        <f>IF(COUNT(D1004:U1004)=0,"",MIN(D1004:U1004))</f>
        <v/>
      </c>
      <c r="W1004" s="8">
        <f>IF(COUNT(D1004:U1004)=0,"",MEDIAN(D1004:U1004))</f>
        <v/>
      </c>
      <c r="X1004" s="8">
        <f>IF(COUNT(D1004:U1004)=0,"",MAX(D1004:U1004))</f>
        <v/>
      </c>
      <c r="Y1004" s="9">
        <f>IF(OR(V1004="",V1004=0),"",(X1004-V1004)/V1004)</f>
        <v/>
      </c>
      <c r="Z1004" s="7">
        <f>IF(COUNT(D1004:U1004)=0,"",INDEX($D$1:$U$1,MATCH(MIN(D1004:U1004),D1004:U1004,0)))</f>
        <v/>
      </c>
      <c r="AA1004" s="8" t="n">
        <v>11020.47</v>
      </c>
      <c r="AB1004" s="10" t="n">
        <v>1</v>
      </c>
    </row>
    <row r="1005">
      <c r="A1005" s="7" t="inlineStr">
        <is>
          <t>MAT-16-016</t>
        </is>
      </c>
      <c r="B1005" s="4" t="inlineStr">
        <is>
          <t>Cámara de seguridad PTZ 2 MP</t>
        </is>
      </c>
      <c r="C1005" s="7" t="inlineStr">
        <is>
          <t>unidad</t>
        </is>
      </c>
      <c r="D1005" s="8" t="n">
        <v>30360.56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>
        <f>IF(COUNT(D1005:U1005)=0,"",MIN(D1005:U1005))</f>
        <v/>
      </c>
      <c r="W1005" s="8">
        <f>IF(COUNT(D1005:U1005)=0,"",MEDIAN(D1005:U1005))</f>
        <v/>
      </c>
      <c r="X1005" s="8">
        <f>IF(COUNT(D1005:U1005)=0,"",MAX(D1005:U1005))</f>
        <v/>
      </c>
      <c r="Y1005" s="9">
        <f>IF(OR(V1005="",V1005=0),"",(X1005-V1005)/V1005)</f>
        <v/>
      </c>
      <c r="Z1005" s="7">
        <f>IF(COUNT(D1005:U1005)=0,"",INDEX($D$1:$U$1,MATCH(MIN(D1005:U1005),D1005:U1005,0)))</f>
        <v/>
      </c>
      <c r="AA1005" s="8" t="n">
        <v>30360.56</v>
      </c>
      <c r="AB1005" s="10" t="n">
        <v>1</v>
      </c>
    </row>
    <row r="1006">
      <c r="A1006" s="7" t="inlineStr">
        <is>
          <t>MAT-16-017</t>
        </is>
      </c>
      <c r="B1006" s="4" t="inlineStr">
        <is>
          <t>Cámara de seguridad PTZ 3 MP</t>
        </is>
      </c>
      <c r="C1006" s="7" t="inlineStr">
        <is>
          <t>unidad</t>
        </is>
      </c>
      <c r="D1006" s="8" t="n">
        <v>19602.61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>
        <f>IF(COUNT(D1006:U1006)=0,"",MIN(D1006:U1006))</f>
        <v/>
      </c>
      <c r="W1006" s="8">
        <f>IF(COUNT(D1006:U1006)=0,"",MEDIAN(D1006:U1006))</f>
        <v/>
      </c>
      <c r="X1006" s="8">
        <f>IF(COUNT(D1006:U1006)=0,"",MAX(D1006:U1006))</f>
        <v/>
      </c>
      <c r="Y1006" s="9">
        <f>IF(OR(V1006="",V1006=0),"",(X1006-V1006)/V1006)</f>
        <v/>
      </c>
      <c r="Z1006" s="7">
        <f>IF(COUNT(D1006:U1006)=0,"",INDEX($D$1:$U$1,MATCH(MIN(D1006:U1006),D1006:U1006,0)))</f>
        <v/>
      </c>
      <c r="AA1006" s="8" t="n">
        <v>19602.61</v>
      </c>
      <c r="AB1006" s="10" t="n">
        <v>1</v>
      </c>
    </row>
    <row r="1007">
      <c r="A1007" s="7" t="inlineStr">
        <is>
          <t>MAT-16-018</t>
        </is>
      </c>
      <c r="B1007" s="4" t="inlineStr">
        <is>
          <t>Cámara de seguridad turret 2 MP</t>
        </is>
      </c>
      <c r="C1007" s="7" t="inlineStr">
        <is>
          <t>unidad</t>
        </is>
      </c>
      <c r="D1007" s="8" t="n">
        <v>2549.16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>
        <f>IF(COUNT(D1007:U1007)=0,"",MIN(D1007:U1007))</f>
        <v/>
      </c>
      <c r="W1007" s="8">
        <f>IF(COUNT(D1007:U1007)=0,"",MEDIAN(D1007:U1007))</f>
        <v/>
      </c>
      <c r="X1007" s="8">
        <f>IF(COUNT(D1007:U1007)=0,"",MAX(D1007:U1007))</f>
        <v/>
      </c>
      <c r="Y1007" s="9">
        <f>IF(OR(V1007="",V1007=0),"",(X1007-V1007)/V1007)</f>
        <v/>
      </c>
      <c r="Z1007" s="7">
        <f>IF(COUNT(D1007:U1007)=0,"",INDEX($D$1:$U$1,MATCH(MIN(D1007:U1007),D1007:U1007,0)))</f>
        <v/>
      </c>
      <c r="AA1007" s="8" t="n">
        <v>3614.58</v>
      </c>
      <c r="AB1007" s="10" t="n">
        <v>1</v>
      </c>
    </row>
    <row r="1008">
      <c r="A1008" s="7" t="inlineStr">
        <is>
          <t>MAT-16-019</t>
        </is>
      </c>
      <c r="B1008" s="4" t="inlineStr">
        <is>
          <t>Cámara de seguridad turret 4 MP</t>
        </is>
      </c>
      <c r="C1008" s="7" t="inlineStr">
        <is>
          <t>unidad</t>
        </is>
      </c>
      <c r="D1008" s="8" t="n">
        <v>3073.06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>
        <f>IF(COUNT(D1008:U1008)=0,"",MIN(D1008:U1008))</f>
        <v/>
      </c>
      <c r="W1008" s="8">
        <f>IF(COUNT(D1008:U1008)=0,"",MEDIAN(D1008:U1008))</f>
        <v/>
      </c>
      <c r="X1008" s="8">
        <f>IF(COUNT(D1008:U1008)=0,"",MAX(D1008:U1008))</f>
        <v/>
      </c>
      <c r="Y1008" s="9">
        <f>IF(OR(V1008="",V1008=0),"",(X1008-V1008)/V1008)</f>
        <v/>
      </c>
      <c r="Z1008" s="7">
        <f>IF(COUNT(D1008:U1008)=0,"",INDEX($D$1:$U$1,MATCH(MIN(D1008:U1008),D1008:U1008,0)))</f>
        <v/>
      </c>
      <c r="AA1008" s="8" t="n">
        <v>3073.06</v>
      </c>
      <c r="AB1008" s="10" t="n">
        <v>1</v>
      </c>
    </row>
    <row r="1009">
      <c r="A1009" s="7" t="inlineStr">
        <is>
          <t>MAT-16-020</t>
        </is>
      </c>
      <c r="B1009" s="4" t="inlineStr">
        <is>
          <t>Cámara de seguridad turret 5 MP</t>
        </is>
      </c>
      <c r="C1009" s="7" t="inlineStr">
        <is>
          <t>unidad</t>
        </is>
      </c>
      <c r="D1009" s="8" t="n">
        <v>3714.5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>
        <f>IF(COUNT(D1009:U1009)=0,"",MIN(D1009:U1009))</f>
        <v/>
      </c>
      <c r="W1009" s="8">
        <f>IF(COUNT(D1009:U1009)=0,"",MEDIAN(D1009:U1009))</f>
        <v/>
      </c>
      <c r="X1009" s="8">
        <f>IF(COUNT(D1009:U1009)=0,"",MAX(D1009:U1009))</f>
        <v/>
      </c>
      <c r="Y1009" s="9">
        <f>IF(OR(V1009="",V1009=0),"",(X1009-V1009)/V1009)</f>
        <v/>
      </c>
      <c r="Z1009" s="7">
        <f>IF(COUNT(D1009:U1009)=0,"",INDEX($D$1:$U$1,MATCH(MIN(D1009:U1009),D1009:U1009,0)))</f>
        <v/>
      </c>
      <c r="AA1009" s="8" t="n">
        <v>4570.82</v>
      </c>
      <c r="AB1009" s="10" t="n">
        <v>1</v>
      </c>
    </row>
    <row r="1010">
      <c r="A1010" s="7" t="inlineStr">
        <is>
          <t>MAT-16-021</t>
        </is>
      </c>
      <c r="B1010" s="4" t="inlineStr">
        <is>
          <t>Cámara de seguridad 2 MP</t>
        </is>
      </c>
      <c r="C1010" s="7" t="inlineStr">
        <is>
          <t>unidad</t>
        </is>
      </c>
      <c r="D1010" s="8" t="n">
        <v>1576.87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>
        <f>IF(COUNT(D1010:U1010)=0,"",MIN(D1010:U1010))</f>
        <v/>
      </c>
      <c r="W1010" s="8">
        <f>IF(COUNT(D1010:U1010)=0,"",MEDIAN(D1010:U1010))</f>
        <v/>
      </c>
      <c r="X1010" s="8">
        <f>IF(COUNT(D1010:U1010)=0,"",MAX(D1010:U1010))</f>
        <v/>
      </c>
      <c r="Y1010" s="9">
        <f>IF(OR(V1010="",V1010=0),"",(X1010-V1010)/V1010)</f>
        <v/>
      </c>
      <c r="Z1010" s="7">
        <f>IF(COUNT(D1010:U1010)=0,"",INDEX($D$1:$U$1,MATCH(MIN(D1010:U1010),D1010:U1010,0)))</f>
        <v/>
      </c>
      <c r="AA1010" s="8" t="n">
        <v>5421.17</v>
      </c>
      <c r="AB1010" s="10" t="n">
        <v>1</v>
      </c>
    </row>
    <row r="1011">
      <c r="A1011" s="7" t="inlineStr">
        <is>
          <t>MAT-16-022</t>
        </is>
      </c>
      <c r="B1011" s="4" t="inlineStr">
        <is>
          <t>Cámara de seguridad 5 MP</t>
        </is>
      </c>
      <c r="C1011" s="7" t="inlineStr">
        <is>
          <t>unidad</t>
        </is>
      </c>
      <c r="D1011" s="8" t="n">
        <v>3414.74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>
        <f>IF(COUNT(D1011:U1011)=0,"",MIN(D1011:U1011))</f>
        <v/>
      </c>
      <c r="W1011" s="8">
        <f>IF(COUNT(D1011:U1011)=0,"",MEDIAN(D1011:U1011))</f>
        <v/>
      </c>
      <c r="X1011" s="8">
        <f>IF(COUNT(D1011:U1011)=0,"",MAX(D1011:U1011))</f>
        <v/>
      </c>
      <c r="Y1011" s="9">
        <f>IF(OR(V1011="",V1011=0),"",(X1011-V1011)/V1011)</f>
        <v/>
      </c>
      <c r="Z1011" s="7">
        <f>IF(COUNT(D1011:U1011)=0,"",INDEX($D$1:$U$1,MATCH(MIN(D1011:U1011),D1011:U1011,0)))</f>
        <v/>
      </c>
      <c r="AA1011" s="8" t="n">
        <v>3414.74</v>
      </c>
      <c r="AB1011" s="10" t="n">
        <v>1</v>
      </c>
    </row>
    <row r="1012">
      <c r="A1012" s="7" t="inlineStr">
        <is>
          <t>MAT-16-023</t>
        </is>
      </c>
      <c r="B1012" s="4" t="inlineStr">
        <is>
          <t>Grabador de video DVR 16 canales</t>
        </is>
      </c>
      <c r="C1012" s="7" t="inlineStr">
        <is>
          <t>unidad</t>
        </is>
      </c>
      <c r="D1012" s="8" t="n">
        <v>18426.33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>
        <f>IF(COUNT(D1012:U1012)=0,"",MIN(D1012:U1012))</f>
        <v/>
      </c>
      <c r="W1012" s="8">
        <f>IF(COUNT(D1012:U1012)=0,"",MEDIAN(D1012:U1012))</f>
        <v/>
      </c>
      <c r="X1012" s="8">
        <f>IF(COUNT(D1012:U1012)=0,"",MAX(D1012:U1012))</f>
        <v/>
      </c>
      <c r="Y1012" s="9">
        <f>IF(OR(V1012="",V1012=0),"",(X1012-V1012)/V1012)</f>
        <v/>
      </c>
      <c r="Z1012" s="7">
        <f>IF(COUNT(D1012:U1012)=0,"",INDEX($D$1:$U$1,MATCH(MIN(D1012:U1012),D1012:U1012,0)))</f>
        <v/>
      </c>
      <c r="AA1012" s="8" t="n">
        <v>18426.33</v>
      </c>
      <c r="AB1012" s="10" t="n">
        <v>1</v>
      </c>
    </row>
    <row r="1013">
      <c r="A1013" s="7" t="inlineStr">
        <is>
          <t>MAT-16-024</t>
        </is>
      </c>
      <c r="B1013" s="4" t="inlineStr">
        <is>
          <t>Grabador de video DVR 4 canales</t>
        </is>
      </c>
      <c r="C1013" s="7" t="inlineStr">
        <is>
          <t>unidad</t>
        </is>
      </c>
      <c r="D1013" s="8" t="n">
        <v>6677.44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>
        <f>IF(COUNT(D1013:U1013)=0,"",MIN(D1013:U1013))</f>
        <v/>
      </c>
      <c r="W1013" s="8">
        <f>IF(COUNT(D1013:U1013)=0,"",MEDIAN(D1013:U1013))</f>
        <v/>
      </c>
      <c r="X1013" s="8">
        <f>IF(COUNT(D1013:U1013)=0,"",MAX(D1013:U1013))</f>
        <v/>
      </c>
      <c r="Y1013" s="9">
        <f>IF(OR(V1013="",V1013=0),"",(X1013-V1013)/V1013)</f>
        <v/>
      </c>
      <c r="Z1013" s="7">
        <f>IF(COUNT(D1013:U1013)=0,"",INDEX($D$1:$U$1,MATCH(MIN(D1013:U1013),D1013:U1013,0)))</f>
        <v/>
      </c>
      <c r="AA1013" s="8" t="n">
        <v>7057.8</v>
      </c>
      <c r="AB1013" s="10" t="n">
        <v>1</v>
      </c>
    </row>
    <row r="1014">
      <c r="A1014" s="7" t="inlineStr">
        <is>
          <t>MAT-16-025</t>
        </is>
      </c>
      <c r="B1014" s="4" t="inlineStr">
        <is>
          <t>Grabador de video NVR 16 canales</t>
        </is>
      </c>
      <c r="C1014" s="7" t="inlineStr">
        <is>
          <t>unidad</t>
        </is>
      </c>
      <c r="D1014" s="8" t="n">
        <v>17077.39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>
        <f>IF(COUNT(D1014:U1014)=0,"",MIN(D1014:U1014))</f>
        <v/>
      </c>
      <c r="W1014" s="8">
        <f>IF(COUNT(D1014:U1014)=0,"",MEDIAN(D1014:U1014))</f>
        <v/>
      </c>
      <c r="X1014" s="8">
        <f>IF(COUNT(D1014:U1014)=0,"",MAX(D1014:U1014))</f>
        <v/>
      </c>
      <c r="Y1014" s="9">
        <f>IF(OR(V1014="",V1014=0),"",(X1014-V1014)/V1014)</f>
        <v/>
      </c>
      <c r="Z1014" s="7">
        <f>IF(COUNT(D1014:U1014)=0,"",INDEX($D$1:$U$1,MATCH(MIN(D1014:U1014),D1014:U1014,0)))</f>
        <v/>
      </c>
      <c r="AA1014" s="8" t="n">
        <v>17077.39</v>
      </c>
      <c r="AB1014" s="10" t="n">
        <v>1</v>
      </c>
    </row>
    <row r="1015">
      <c r="A1015" s="7" t="inlineStr">
        <is>
          <t>MAT-16-026</t>
        </is>
      </c>
      <c r="B1015" s="4" t="inlineStr">
        <is>
          <t>Grabador de video NVR 32 canales</t>
        </is>
      </c>
      <c r="C1015" s="7" t="inlineStr">
        <is>
          <t>unidad</t>
        </is>
      </c>
      <c r="D1015" s="8" t="n">
        <v>20990.22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>
        <f>IF(COUNT(D1015:U1015)=0,"",MIN(D1015:U1015))</f>
        <v/>
      </c>
      <c r="W1015" s="8">
        <f>IF(COUNT(D1015:U1015)=0,"",MEDIAN(D1015:U1015))</f>
        <v/>
      </c>
      <c r="X1015" s="8">
        <f>IF(COUNT(D1015:U1015)=0,"",MAX(D1015:U1015))</f>
        <v/>
      </c>
      <c r="Y1015" s="9">
        <f>IF(OR(V1015="",V1015=0),"",(X1015-V1015)/V1015)</f>
        <v/>
      </c>
      <c r="Z1015" s="7">
        <f>IF(COUNT(D1015:U1015)=0,"",INDEX($D$1:$U$1,MATCH(MIN(D1015:U1015),D1015:U1015,0)))</f>
        <v/>
      </c>
      <c r="AA1015" s="8" t="n">
        <v>20990.22</v>
      </c>
      <c r="AB1015" s="10" t="n">
        <v>1</v>
      </c>
    </row>
    <row r="1016">
      <c r="A1016" s="7" t="inlineStr">
        <is>
          <t>MAT-16-027</t>
        </is>
      </c>
      <c r="B1016" s="4" t="inlineStr">
        <is>
          <t>Grabador de video NVR 64 canales</t>
        </is>
      </c>
      <c r="C1016" s="7" t="inlineStr">
        <is>
          <t>unidad</t>
        </is>
      </c>
      <c r="D1016" s="8" t="n">
        <v>126684.93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>
        <f>IF(COUNT(D1016:U1016)=0,"",MIN(D1016:U1016))</f>
        <v/>
      </c>
      <c r="W1016" s="8">
        <f>IF(COUNT(D1016:U1016)=0,"",MEDIAN(D1016:U1016))</f>
        <v/>
      </c>
      <c r="X1016" s="8">
        <f>IF(COUNT(D1016:U1016)=0,"",MAX(D1016:U1016))</f>
        <v/>
      </c>
      <c r="Y1016" s="9">
        <f>IF(OR(V1016="",V1016=0),"",(X1016-V1016)/V1016)</f>
        <v/>
      </c>
      <c r="Z1016" s="7">
        <f>IF(COUNT(D1016:U1016)=0,"",INDEX($D$1:$U$1,MATCH(MIN(D1016:U1016),D1016:U1016,0)))</f>
        <v/>
      </c>
      <c r="AA1016" s="8" t="n">
        <v>126684.93</v>
      </c>
      <c r="AB1016" s="10" t="n">
        <v>1</v>
      </c>
    </row>
    <row r="1017">
      <c r="A1017" s="7" t="inlineStr">
        <is>
          <t>MAT-16-028</t>
        </is>
      </c>
      <c r="B1017" s="4" t="inlineStr">
        <is>
          <t>Grabador de video XVR 16 canales</t>
        </is>
      </c>
      <c r="C1017" s="7" t="inlineStr">
        <is>
          <t>unidad</t>
        </is>
      </c>
      <c r="D1017" s="8" t="n">
        <v>6079.41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>
        <f>IF(COUNT(D1017:U1017)=0,"",MIN(D1017:U1017))</f>
        <v/>
      </c>
      <c r="W1017" s="8">
        <f>IF(COUNT(D1017:U1017)=0,"",MEDIAN(D1017:U1017))</f>
        <v/>
      </c>
      <c r="X1017" s="8">
        <f>IF(COUNT(D1017:U1017)=0,"",MAX(D1017:U1017))</f>
        <v/>
      </c>
      <c r="Y1017" s="9">
        <f>IF(OR(V1017="",V1017=0),"",(X1017-V1017)/V1017)</f>
        <v/>
      </c>
      <c r="Z1017" s="7">
        <f>IF(COUNT(D1017:U1017)=0,"",INDEX($D$1:$U$1,MATCH(MIN(D1017:U1017),D1017:U1017,0)))</f>
        <v/>
      </c>
      <c r="AA1017" s="8" t="n">
        <v>6079.41</v>
      </c>
      <c r="AB1017" s="10" t="n">
        <v>1</v>
      </c>
    </row>
    <row r="1018">
      <c r="A1018" s="7" t="inlineStr">
        <is>
          <t>MAT-16-029</t>
        </is>
      </c>
      <c r="B1018" s="4" t="inlineStr">
        <is>
          <t>Disco duro para videovigilancia 1 TB</t>
        </is>
      </c>
      <c r="C1018" s="7" t="inlineStr">
        <is>
          <t>unidad</t>
        </is>
      </c>
      <c r="D1018" s="8" t="n">
        <v>7633.17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>
        <f>IF(COUNT(D1018:U1018)=0,"",MIN(D1018:U1018))</f>
        <v/>
      </c>
      <c r="W1018" s="8">
        <f>IF(COUNT(D1018:U1018)=0,"",MEDIAN(D1018:U1018))</f>
        <v/>
      </c>
      <c r="X1018" s="8">
        <f>IF(COUNT(D1018:U1018)=0,"",MAX(D1018:U1018))</f>
        <v/>
      </c>
      <c r="Y1018" s="9">
        <f>IF(OR(V1018="",V1018=0),"",(X1018-V1018)/V1018)</f>
        <v/>
      </c>
      <c r="Z1018" s="7">
        <f>IF(COUNT(D1018:U1018)=0,"",INDEX($D$1:$U$1,MATCH(MIN(D1018:U1018),D1018:U1018,0)))</f>
        <v/>
      </c>
      <c r="AA1018" s="8" t="n">
        <v>7633.17</v>
      </c>
      <c r="AB1018" s="10" t="n">
        <v>1</v>
      </c>
    </row>
    <row r="1019">
      <c r="A1019" s="7" t="inlineStr">
        <is>
          <t>MAT-16-030</t>
        </is>
      </c>
      <c r="B1019" s="4" t="inlineStr">
        <is>
          <t>Disco duro para videovigilancia 8 TB</t>
        </is>
      </c>
      <c r="C1019" s="7" t="inlineStr">
        <is>
          <t>unidad</t>
        </is>
      </c>
      <c r="D1019" s="8" t="n">
        <v>22243.38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>
        <f>IF(COUNT(D1019:U1019)=0,"",MIN(D1019:U1019))</f>
        <v/>
      </c>
      <c r="W1019" s="8">
        <f>IF(COUNT(D1019:U1019)=0,"",MEDIAN(D1019:U1019))</f>
        <v/>
      </c>
      <c r="X1019" s="8">
        <f>IF(COUNT(D1019:U1019)=0,"",MAX(D1019:U1019))</f>
        <v/>
      </c>
      <c r="Y1019" s="9">
        <f>IF(OR(V1019="",V1019=0),"",(X1019-V1019)/V1019)</f>
        <v/>
      </c>
      <c r="Z1019" s="7">
        <f>IF(COUNT(D1019:U1019)=0,"",INDEX($D$1:$U$1,MATCH(MIN(D1019:U1019),D1019:U1019,0)))</f>
        <v/>
      </c>
      <c r="AA1019" s="8" t="n">
        <v>22243.38</v>
      </c>
      <c r="AB1019" s="10" t="n">
        <v>1</v>
      </c>
    </row>
    <row r="1020">
      <c r="A1020" s="7" t="inlineStr">
        <is>
          <t>MAT-16-031</t>
        </is>
      </c>
      <c r="B1020" s="4" t="inlineStr">
        <is>
          <t>Monitor para CCTV</t>
        </is>
      </c>
      <c r="C1020" s="7" t="inlineStr">
        <is>
          <t>unidad</t>
        </is>
      </c>
      <c r="D1020" s="8" t="n">
        <v>2976.42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>
        <f>IF(COUNT(D1020:U1020)=0,"",MIN(D1020:U1020))</f>
        <v/>
      </c>
      <c r="W1020" s="8">
        <f>IF(COUNT(D1020:U1020)=0,"",MEDIAN(D1020:U1020))</f>
        <v/>
      </c>
      <c r="X1020" s="8">
        <f>IF(COUNT(D1020:U1020)=0,"",MAX(D1020:U1020))</f>
        <v/>
      </c>
      <c r="Y1020" s="9">
        <f>IF(OR(V1020="",V1020=0),"",(X1020-V1020)/V1020)</f>
        <v/>
      </c>
      <c r="Z1020" s="7">
        <f>IF(COUNT(D1020:U1020)=0,"",INDEX($D$1:$U$1,MATCH(MIN(D1020:U1020),D1020:U1020,0)))</f>
        <v/>
      </c>
      <c r="AA1020" s="8" t="n">
        <v>5019.51</v>
      </c>
      <c r="AB1020" s="10" t="n">
        <v>1</v>
      </c>
    </row>
    <row r="1021">
      <c r="A1021" s="7" t="inlineStr">
        <is>
          <t>MAT-16-032</t>
        </is>
      </c>
      <c r="B1021" s="4" t="inlineStr">
        <is>
          <t>Monitor para CCTV 3.5"</t>
        </is>
      </c>
      <c r="C1021" s="7" t="inlineStr">
        <is>
          <t>unidad</t>
        </is>
      </c>
      <c r="D1021" s="8" t="n">
        <v>4362.91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>
        <f>IF(COUNT(D1021:U1021)=0,"",MIN(D1021:U1021))</f>
        <v/>
      </c>
      <c r="W1021" s="8">
        <f>IF(COUNT(D1021:U1021)=0,"",MEDIAN(D1021:U1021))</f>
        <v/>
      </c>
      <c r="X1021" s="8">
        <f>IF(COUNT(D1021:U1021)=0,"",MAX(D1021:U1021))</f>
        <v/>
      </c>
      <c r="Y1021" s="9">
        <f>IF(OR(V1021="",V1021=0),"",(X1021-V1021)/V1021)</f>
        <v/>
      </c>
      <c r="Z1021" s="7">
        <f>IF(COUNT(D1021:U1021)=0,"",INDEX($D$1:$U$1,MATCH(MIN(D1021:U1021),D1021:U1021,0)))</f>
        <v/>
      </c>
      <c r="AA1021" s="8" t="n">
        <v>4362.91</v>
      </c>
      <c r="AB1021" s="10" t="n">
        <v>1</v>
      </c>
    </row>
    <row r="1022">
      <c r="A1022" s="7" t="inlineStr">
        <is>
          <t>MAT-16-033</t>
        </is>
      </c>
      <c r="B1022" s="4" t="inlineStr">
        <is>
          <t>Monitor para CCTV 32"</t>
        </is>
      </c>
      <c r="C1022" s="7" t="inlineStr">
        <is>
          <t>unidad</t>
        </is>
      </c>
      <c r="D1022" s="8" t="n">
        <v>15349.99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>
        <f>IF(COUNT(D1022:U1022)=0,"",MIN(D1022:U1022))</f>
        <v/>
      </c>
      <c r="W1022" s="8">
        <f>IF(COUNT(D1022:U1022)=0,"",MEDIAN(D1022:U1022))</f>
        <v/>
      </c>
      <c r="X1022" s="8">
        <f>IF(COUNT(D1022:U1022)=0,"",MAX(D1022:U1022))</f>
        <v/>
      </c>
      <c r="Y1022" s="9">
        <f>IF(OR(V1022="",V1022=0),"",(X1022-V1022)/V1022)</f>
        <v/>
      </c>
      <c r="Z1022" s="7">
        <f>IF(COUNT(D1022:U1022)=0,"",INDEX($D$1:$U$1,MATCH(MIN(D1022:U1022),D1022:U1022,0)))</f>
        <v/>
      </c>
      <c r="AA1022" s="8" t="n">
        <v>15349.99</v>
      </c>
      <c r="AB1022" s="10" t="n">
        <v>1</v>
      </c>
    </row>
    <row r="1023">
      <c r="A1023" s="7" t="inlineStr">
        <is>
          <t>MAT-16-034</t>
        </is>
      </c>
      <c r="B1023" s="4" t="inlineStr">
        <is>
          <t>Monitor para CCTV 4"</t>
        </is>
      </c>
      <c r="C1023" s="7" t="inlineStr">
        <is>
          <t>unidad</t>
        </is>
      </c>
      <c r="D1023" s="8" t="n">
        <v>2707.65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>
        <f>IF(COUNT(D1023:U1023)=0,"",MIN(D1023:U1023))</f>
        <v/>
      </c>
      <c r="W1023" s="8">
        <f>IF(COUNT(D1023:U1023)=0,"",MEDIAN(D1023:U1023))</f>
        <v/>
      </c>
      <c r="X1023" s="8">
        <f>IF(COUNT(D1023:U1023)=0,"",MAX(D1023:U1023))</f>
        <v/>
      </c>
      <c r="Y1023" s="9">
        <f>IF(OR(V1023="",V1023=0),"",(X1023-V1023)/V1023)</f>
        <v/>
      </c>
      <c r="Z1023" s="7">
        <f>IF(COUNT(D1023:U1023)=0,"",INDEX($D$1:$U$1,MATCH(MIN(D1023:U1023),D1023:U1023,0)))</f>
        <v/>
      </c>
      <c r="AA1023" s="8" t="n">
        <v>2707.65</v>
      </c>
      <c r="AB1023" s="10" t="n">
        <v>1</v>
      </c>
    </row>
    <row r="1024">
      <c r="A1024" s="7" t="inlineStr">
        <is>
          <t>MAT-16-035</t>
        </is>
      </c>
      <c r="B1024" s="4" t="inlineStr">
        <is>
          <t>Monitor para CCTV 7"</t>
        </is>
      </c>
      <c r="C1024" s="7" t="inlineStr">
        <is>
          <t>unidad</t>
        </is>
      </c>
      <c r="D1024" s="8" t="n">
        <v>5570.12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>
        <f>IF(COUNT(D1024:U1024)=0,"",MIN(D1024:U1024))</f>
        <v/>
      </c>
      <c r="W1024" s="8">
        <f>IF(COUNT(D1024:U1024)=0,"",MEDIAN(D1024:U1024))</f>
        <v/>
      </c>
      <c r="X1024" s="8">
        <f>IF(COUNT(D1024:U1024)=0,"",MAX(D1024:U1024))</f>
        <v/>
      </c>
      <c r="Y1024" s="9">
        <f>IF(OR(V1024="",V1024=0),"",(X1024-V1024)/V1024)</f>
        <v/>
      </c>
      <c r="Z1024" s="7">
        <f>IF(COUNT(D1024:U1024)=0,"",INDEX($D$1:$U$1,MATCH(MIN(D1024:U1024),D1024:U1024,0)))</f>
        <v/>
      </c>
      <c r="AA1024" s="8" t="n">
        <v>7823.52</v>
      </c>
      <c r="AB1024" s="10" t="n">
        <v>1</v>
      </c>
    </row>
    <row r="1025">
      <c r="A1025" s="7" t="inlineStr">
        <is>
          <t>MAT-16-036</t>
        </is>
      </c>
      <c r="B1025" s="4" t="inlineStr">
        <is>
          <t>Soporte o caja para cámara</t>
        </is>
      </c>
      <c r="C1025" s="7" t="inlineStr">
        <is>
          <t>unidad</t>
        </is>
      </c>
      <c r="D1025" s="8" t="n">
        <v>1012.91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>
        <f>IF(COUNT(D1025:U1025)=0,"",MIN(D1025:U1025))</f>
        <v/>
      </c>
      <c r="W1025" s="8">
        <f>IF(COUNT(D1025:U1025)=0,"",MEDIAN(D1025:U1025))</f>
        <v/>
      </c>
      <c r="X1025" s="8">
        <f>IF(COUNT(D1025:U1025)=0,"",MAX(D1025:U1025))</f>
        <v/>
      </c>
      <c r="Y1025" s="9">
        <f>IF(OR(V1025="",V1025=0),"",(X1025-V1025)/V1025)</f>
        <v/>
      </c>
      <c r="Z1025" s="7">
        <f>IF(COUNT(D1025:U1025)=0,"",INDEX($D$1:$U$1,MATCH(MIN(D1025:U1025),D1025:U1025,0)))</f>
        <v/>
      </c>
      <c r="AA1025" s="8" t="n">
        <v>1012.91</v>
      </c>
      <c r="AB1025" s="10" t="n">
        <v>1</v>
      </c>
    </row>
    <row r="1026">
      <c r="A1026" s="7" t="inlineStr">
        <is>
          <t>MAT-16-037</t>
        </is>
      </c>
      <c r="B1026" s="4" t="inlineStr">
        <is>
          <t>Video balun</t>
        </is>
      </c>
      <c r="C1026" s="7" t="inlineStr">
        <is>
          <t>unidad</t>
        </is>
      </c>
      <c r="D1026" s="8" t="n">
        <v>231.08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>
        <f>IF(COUNT(D1026:U1026)=0,"",MIN(D1026:U1026))</f>
        <v/>
      </c>
      <c r="W1026" s="8">
        <f>IF(COUNT(D1026:U1026)=0,"",MEDIAN(D1026:U1026))</f>
        <v/>
      </c>
      <c r="X1026" s="8">
        <f>IF(COUNT(D1026:U1026)=0,"",MAX(D1026:U1026))</f>
        <v/>
      </c>
      <c r="Y1026" s="9">
        <f>IF(OR(V1026="",V1026=0),"",(X1026-V1026)/V1026)</f>
        <v/>
      </c>
      <c r="Z1026" s="7">
        <f>IF(COUNT(D1026:U1026)=0,"",INDEX($D$1:$U$1,MATCH(MIN(D1026:U1026),D1026:U1026,0)))</f>
        <v/>
      </c>
      <c r="AA1026" s="8" t="n">
        <v>241.33</v>
      </c>
      <c r="AB1026" s="10" t="n">
        <v>1</v>
      </c>
    </row>
    <row r="1027">
      <c r="A1027" s="7" t="inlineStr">
        <is>
          <t>MAT-18-006</t>
        </is>
      </c>
      <c r="B1027" s="4" t="inlineStr">
        <is>
          <t>Asfalto en frío, 25 kg</t>
        </is>
      </c>
      <c r="C1027" s="7" t="inlineStr">
        <is>
          <t>unidad</t>
        </is>
      </c>
      <c r="D1027" s="8" t="n"/>
      <c r="E1027" s="8" t="n"/>
      <c r="F1027" s="8" t="n"/>
      <c r="G1027" s="8" t="n"/>
      <c r="H1027" s="8" t="n"/>
      <c r="I1027" s="8" t="n"/>
      <c r="J1027" s="8" t="n"/>
      <c r="K1027" s="8" t="n">
        <v>1695</v>
      </c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>
        <f>IF(COUNT(D1027:U1027)=0,"",MIN(D1027:U1027))</f>
        <v/>
      </c>
      <c r="W1027" s="8">
        <f>IF(COUNT(D1027:U1027)=0,"",MEDIAN(D1027:U1027))</f>
        <v/>
      </c>
      <c r="X1027" s="8">
        <f>IF(COUNT(D1027:U1027)=0,"",MAX(D1027:U1027))</f>
        <v/>
      </c>
      <c r="Y1027" s="9">
        <f>IF(OR(V1027="",V1027=0),"",(X1027-V1027)/V1027)</f>
        <v/>
      </c>
      <c r="Z1027" s="7">
        <f>IF(COUNT(D1027:U1027)=0,"",INDEX($D$1:$U$1,MATCH(MIN(D1027:U1027),D1027:U1027,0)))</f>
        <v/>
      </c>
      <c r="AA1027" s="8" t="n">
        <v>1695</v>
      </c>
      <c r="AB1027" s="10" t="n">
        <v>1</v>
      </c>
    </row>
    <row r="1028">
      <c r="A1028" s="7" t="inlineStr">
        <is>
          <t>MAT-19-001</t>
        </is>
      </c>
      <c r="B1028" s="4" t="inlineStr">
        <is>
          <t>Perfil cuadrado negro 3/4" x 3/4" x 20 pies, pared 1.2 mm</t>
        </is>
      </c>
      <c r="C1028" s="7" t="inlineStr">
        <is>
          <t>unidad</t>
        </is>
      </c>
      <c r="D1028" s="8" t="n">
        <v>262.29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>
        <f>IF(COUNT(D1028:U1028)=0,"",MIN(D1028:U1028))</f>
        <v/>
      </c>
      <c r="W1028" s="8">
        <f>IF(COUNT(D1028:U1028)=0,"",MEDIAN(D1028:U1028))</f>
        <v/>
      </c>
      <c r="X1028" s="8">
        <f>IF(COUNT(D1028:U1028)=0,"",MAX(D1028:U1028))</f>
        <v/>
      </c>
      <c r="Y1028" s="9">
        <f>IF(OR(V1028="",V1028=0),"",(X1028-V1028)/V1028)</f>
        <v/>
      </c>
      <c r="Z1028" s="7">
        <f>IF(COUNT(D1028:U1028)=0,"",INDEX($D$1:$U$1,MATCH(MIN(D1028:U1028),D1028:U1028,0)))</f>
        <v/>
      </c>
      <c r="AA1028" s="8" t="n">
        <v>262.29</v>
      </c>
      <c r="AB1028" s="10" t="n">
        <v>1</v>
      </c>
    </row>
    <row r="1029">
      <c r="A1029" s="7" t="inlineStr">
        <is>
          <t>MAT-19-002</t>
        </is>
      </c>
      <c r="B1029" s="4" t="inlineStr">
        <is>
          <t>Perfil cuadrado negro 3/4" x 3/4" x 20 pies, pared 1.6 mm</t>
        </is>
      </c>
      <c r="C1029" s="7" t="inlineStr">
        <is>
          <t>unidad</t>
        </is>
      </c>
      <c r="D1029" s="8" t="n">
        <v>321.76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>
        <v>316.7</v>
      </c>
      <c r="P1029" s="8" t="n"/>
      <c r="Q1029" s="8" t="n"/>
      <c r="R1029" s="8" t="n"/>
      <c r="S1029" s="8" t="n"/>
      <c r="T1029" s="8" t="n"/>
      <c r="U1029" s="8" t="n"/>
      <c r="V1029" s="8">
        <f>IF(COUNT(D1029:U1029)=0,"",MIN(D1029:U1029))</f>
        <v/>
      </c>
      <c r="W1029" s="8">
        <f>IF(COUNT(D1029:U1029)=0,"",MEDIAN(D1029:U1029))</f>
        <v/>
      </c>
      <c r="X1029" s="8">
        <f>IF(COUNT(D1029:U1029)=0,"",MAX(D1029:U1029))</f>
        <v/>
      </c>
      <c r="Y1029" s="9">
        <f>IF(OR(V1029="",V1029=0),"",(X1029-V1029)/V1029)</f>
        <v/>
      </c>
      <c r="Z1029" s="7">
        <f>IF(COUNT(D1029:U1029)=0,"",INDEX($D$1:$U$1,MATCH(MIN(D1029:U1029),D1029:U1029,0)))</f>
        <v/>
      </c>
      <c r="AA1029" s="8" t="n">
        <v>347.73</v>
      </c>
      <c r="AB1029" s="10" t="n">
        <v>2</v>
      </c>
    </row>
    <row r="1030">
      <c r="A1030" s="7" t="inlineStr">
        <is>
          <t>MAT-19-003</t>
        </is>
      </c>
      <c r="B1030" s="4" t="inlineStr">
        <is>
          <t>Perfil cuadrado negro 1" x 1" x 20 pies, pared 1.2 mm</t>
        </is>
      </c>
      <c r="C1030" s="7" t="inlineStr">
        <is>
          <t>unidad</t>
        </is>
      </c>
      <c r="D1030" s="8" t="n">
        <v>355.58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>
        <v>348.3</v>
      </c>
      <c r="P1030" s="8" t="n"/>
      <c r="Q1030" s="8" t="n"/>
      <c r="R1030" s="8" t="n"/>
      <c r="S1030" s="8" t="n"/>
      <c r="T1030" s="8" t="n"/>
      <c r="U1030" s="8" t="n"/>
      <c r="V1030" s="8">
        <f>IF(COUNT(D1030:U1030)=0,"",MIN(D1030:U1030))</f>
        <v/>
      </c>
      <c r="W1030" s="8">
        <f>IF(COUNT(D1030:U1030)=0,"",MEDIAN(D1030:U1030))</f>
        <v/>
      </c>
      <c r="X1030" s="8">
        <f>IF(COUNT(D1030:U1030)=0,"",MAX(D1030:U1030))</f>
        <v/>
      </c>
      <c r="Y1030" s="9">
        <f>IF(OR(V1030="",V1030=0),"",(X1030-V1030)/V1030)</f>
        <v/>
      </c>
      <c r="Z1030" s="7">
        <f>IF(COUNT(D1030:U1030)=0,"",INDEX($D$1:$U$1,MATCH(MIN(D1030:U1030),D1030:U1030,0)))</f>
        <v/>
      </c>
      <c r="AA1030" s="8" t="n">
        <v>383.29</v>
      </c>
      <c r="AB1030" s="10" t="n">
        <v>2</v>
      </c>
    </row>
    <row r="1031">
      <c r="A1031" s="7" t="inlineStr">
        <is>
          <t>MAT-19-004</t>
        </is>
      </c>
      <c r="B1031" s="4" t="inlineStr">
        <is>
          <t>Perfil cuadrado negro 1 1/4" x 1 1/4" x 20 pies, pared 1.2 mm</t>
        </is>
      </c>
      <c r="C1031" s="7" t="inlineStr">
        <is>
          <t>unidad</t>
        </is>
      </c>
      <c r="D1031" s="8" t="n">
        <v>510.43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>
        <f>IF(COUNT(D1031:U1031)=0,"",MIN(D1031:U1031))</f>
        <v/>
      </c>
      <c r="W1031" s="8">
        <f>IF(COUNT(D1031:U1031)=0,"",MEDIAN(D1031:U1031))</f>
        <v/>
      </c>
      <c r="X1031" s="8">
        <f>IF(COUNT(D1031:U1031)=0,"",MAX(D1031:U1031))</f>
        <v/>
      </c>
      <c r="Y1031" s="9">
        <f>IF(OR(V1031="",V1031=0),"",(X1031-V1031)/V1031)</f>
        <v/>
      </c>
      <c r="Z1031" s="7">
        <f>IF(COUNT(D1031:U1031)=0,"",INDEX($D$1:$U$1,MATCH(MIN(D1031:U1031),D1031:U1031,0)))</f>
        <v/>
      </c>
      <c r="AA1031" s="8" t="n">
        <v>510.43</v>
      </c>
      <c r="AB1031" s="10" t="n">
        <v>1</v>
      </c>
    </row>
    <row r="1032">
      <c r="A1032" s="7" t="inlineStr">
        <is>
          <t>MAT-19-005</t>
        </is>
      </c>
      <c r="B1032" s="4" t="inlineStr">
        <is>
          <t>Perfil cuadrado negro 1 1/4" x 1 1/4" x 20 pies, pared 1.6 mm</t>
        </is>
      </c>
      <c r="C1032" s="7" t="inlineStr">
        <is>
          <t>unidad</t>
        </is>
      </c>
      <c r="D1032" s="8" t="n">
        <v>556.02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>
        <f>IF(COUNT(D1032:U1032)=0,"",MIN(D1032:U1032))</f>
        <v/>
      </c>
      <c r="W1032" s="8">
        <f>IF(COUNT(D1032:U1032)=0,"",MEDIAN(D1032:U1032))</f>
        <v/>
      </c>
      <c r="X1032" s="8">
        <f>IF(COUNT(D1032:U1032)=0,"",MAX(D1032:U1032))</f>
        <v/>
      </c>
      <c r="Y1032" s="9">
        <f>IF(OR(V1032="",V1032=0),"",(X1032-V1032)/V1032)</f>
        <v/>
      </c>
      <c r="Z1032" s="7">
        <f>IF(COUNT(D1032:U1032)=0,"",INDEX($D$1:$U$1,MATCH(MIN(D1032:U1032),D1032:U1032,0)))</f>
        <v/>
      </c>
      <c r="AA1032" s="8" t="n">
        <v>556.02</v>
      </c>
      <c r="AB1032" s="10" t="n">
        <v>1</v>
      </c>
    </row>
    <row r="1033">
      <c r="A1033" s="7" t="inlineStr">
        <is>
          <t>MAT-19-006</t>
        </is>
      </c>
      <c r="B1033" s="4" t="inlineStr">
        <is>
          <t>Perfil cuadrado negro 1 1/2" x 1 1/2" x 20 pies, pared 1.2 mm</t>
        </is>
      </c>
      <c r="C1033" s="7" t="inlineStr">
        <is>
          <t>unidad</t>
        </is>
      </c>
      <c r="D1033" s="8" t="n">
        <v>542.15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>
        <v>531.36</v>
      </c>
      <c r="P1033" s="8" t="n"/>
      <c r="Q1033" s="8" t="n"/>
      <c r="R1033" s="8" t="n"/>
      <c r="S1033" s="8" t="n"/>
      <c r="T1033" s="8" t="n"/>
      <c r="U1033" s="8" t="n"/>
      <c r="V1033" s="8">
        <f>IF(COUNT(D1033:U1033)=0,"",MIN(D1033:U1033))</f>
        <v/>
      </c>
      <c r="W1033" s="8">
        <f>IF(COUNT(D1033:U1033)=0,"",MEDIAN(D1033:U1033))</f>
        <v/>
      </c>
      <c r="X1033" s="8">
        <f>IF(COUNT(D1033:U1033)=0,"",MAX(D1033:U1033))</f>
        <v/>
      </c>
      <c r="Y1033" s="9">
        <f>IF(OR(V1033="",V1033=0),"",(X1033-V1033)/V1033)</f>
        <v/>
      </c>
      <c r="Z1033" s="7">
        <f>IF(COUNT(D1033:U1033)=0,"",INDEX($D$1:$U$1,MATCH(MIN(D1033:U1033),D1033:U1033,0)))</f>
        <v/>
      </c>
      <c r="AA1033" s="8" t="n">
        <v>584.58</v>
      </c>
      <c r="AB1033" s="10" t="n">
        <v>2</v>
      </c>
    </row>
    <row r="1034">
      <c r="A1034" s="7" t="inlineStr">
        <is>
          <t>MAT-19-007</t>
        </is>
      </c>
      <c r="B1034" s="4" t="inlineStr">
        <is>
          <t>Perfil cuadrado negro 1 1/2" x 1 1/2" x 20 pies, pared 1.6 mm</t>
        </is>
      </c>
      <c r="C1034" s="7" t="inlineStr">
        <is>
          <t>unidad</t>
        </is>
      </c>
      <c r="D1034" s="8" t="n">
        <v>647.03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>
        <v>667</v>
      </c>
      <c r="P1034" s="8" t="n"/>
      <c r="Q1034" s="8" t="n"/>
      <c r="R1034" s="8" t="n"/>
      <c r="S1034" s="8" t="n"/>
      <c r="T1034" s="8" t="n"/>
      <c r="U1034" s="8" t="n"/>
      <c r="V1034" s="8">
        <f>IF(COUNT(D1034:U1034)=0,"",MIN(D1034:U1034))</f>
        <v/>
      </c>
      <c r="W1034" s="8">
        <f>IF(COUNT(D1034:U1034)=0,"",MEDIAN(D1034:U1034))</f>
        <v/>
      </c>
      <c r="X1034" s="8">
        <f>IF(COUNT(D1034:U1034)=0,"",MAX(D1034:U1034))</f>
        <v/>
      </c>
      <c r="Y1034" s="9">
        <f>IF(OR(V1034="",V1034=0),"",(X1034-V1034)/V1034)</f>
        <v/>
      </c>
      <c r="Z1034" s="7">
        <f>IF(COUNT(D1034:U1034)=0,"",INDEX($D$1:$U$1,MATCH(MIN(D1034:U1034),D1034:U1034,0)))</f>
        <v/>
      </c>
      <c r="AA1034" s="8" t="n">
        <v>717.05</v>
      </c>
      <c r="AB1034" s="10" t="n">
        <v>2</v>
      </c>
    </row>
    <row r="1035">
      <c r="A1035" s="7" t="inlineStr">
        <is>
          <t>MAT-19-008</t>
        </is>
      </c>
      <c r="B1035" s="4" t="inlineStr">
        <is>
          <t>Perfil cuadrado negro 2" x 2" x 20 pies, pared 1.6 mm</t>
        </is>
      </c>
      <c r="C1035" s="7" t="inlineStr">
        <is>
          <t>unidad</t>
        </is>
      </c>
      <c r="D1035" s="8" t="n">
        <v>867.64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>
        <v>859</v>
      </c>
      <c r="P1035" s="8" t="n"/>
      <c r="Q1035" s="8" t="n"/>
      <c r="R1035" s="8" t="n"/>
      <c r="S1035" s="8" t="n"/>
      <c r="T1035" s="8" t="n"/>
      <c r="U1035" s="8" t="n"/>
      <c r="V1035" s="8">
        <f>IF(COUNT(D1035:U1035)=0,"",MIN(D1035:U1035))</f>
        <v/>
      </c>
      <c r="W1035" s="8">
        <f>IF(COUNT(D1035:U1035)=0,"",MEDIAN(D1035:U1035))</f>
        <v/>
      </c>
      <c r="X1035" s="8">
        <f>IF(COUNT(D1035:U1035)=0,"",MAX(D1035:U1035))</f>
        <v/>
      </c>
      <c r="Y1035" s="9">
        <f>IF(OR(V1035="",V1035=0),"",(X1035-V1035)/V1035)</f>
        <v/>
      </c>
      <c r="Z1035" s="7">
        <f>IF(COUNT(D1035:U1035)=0,"",INDEX($D$1:$U$1,MATCH(MIN(D1035:U1035),D1035:U1035,0)))</f>
        <v/>
      </c>
      <c r="AA1035" s="8" t="n">
        <v>940.63</v>
      </c>
      <c r="AB1035" s="10" t="n">
        <v>2</v>
      </c>
    </row>
    <row r="1036">
      <c r="A1036" s="7" t="inlineStr">
        <is>
          <t>MAT-19-009</t>
        </is>
      </c>
      <c r="B1036" s="4" t="inlineStr">
        <is>
          <t>Perfil cuadrado negro 3" x 3" x 20 pies, pared 1.6 mm</t>
        </is>
      </c>
      <c r="C1036" s="7" t="inlineStr">
        <is>
          <t>unidad</t>
        </is>
      </c>
      <c r="D1036" s="8" t="n">
        <v>1319.81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>
        <v>1378</v>
      </c>
      <c r="P1036" s="8" t="n"/>
      <c r="Q1036" s="8" t="n"/>
      <c r="R1036" s="8" t="n"/>
      <c r="S1036" s="8" t="n"/>
      <c r="T1036" s="8" t="n"/>
      <c r="U1036" s="8" t="n"/>
      <c r="V1036" s="8">
        <f>IF(COUNT(D1036:U1036)=0,"",MIN(D1036:U1036))</f>
        <v/>
      </c>
      <c r="W1036" s="8">
        <f>IF(COUNT(D1036:U1036)=0,"",MEDIAN(D1036:U1036))</f>
        <v/>
      </c>
      <c r="X1036" s="8">
        <f>IF(COUNT(D1036:U1036)=0,"",MAX(D1036:U1036))</f>
        <v/>
      </c>
      <c r="Y1036" s="9">
        <f>IF(OR(V1036="",V1036=0),"",(X1036-V1036)/V1036)</f>
        <v/>
      </c>
      <c r="Z1036" s="7">
        <f>IF(COUNT(D1036:U1036)=0,"",INDEX($D$1:$U$1,MATCH(MIN(D1036:U1036),D1036:U1036,0)))</f>
        <v/>
      </c>
      <c r="AA1036" s="8" t="n">
        <v>1472.93</v>
      </c>
      <c r="AB1036" s="10" t="n">
        <v>2</v>
      </c>
    </row>
    <row r="1037">
      <c r="A1037" s="7" t="inlineStr">
        <is>
          <t>MAT-19-010</t>
        </is>
      </c>
      <c r="B1037" s="4" t="inlineStr">
        <is>
          <t>Perfil cuadrado galvanizado 3/4" x 3/4" x 20 pies, pared 1.2 mm</t>
        </is>
      </c>
      <c r="C1037" s="7" t="inlineStr">
        <is>
          <t>unidad</t>
        </is>
      </c>
      <c r="D1037" s="8" t="n">
        <v>316.11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>
        <f>IF(COUNT(D1037:U1037)=0,"",MIN(D1037:U1037))</f>
        <v/>
      </c>
      <c r="W1037" s="8">
        <f>IF(COUNT(D1037:U1037)=0,"",MEDIAN(D1037:U1037))</f>
        <v/>
      </c>
      <c r="X1037" s="8">
        <f>IF(COUNT(D1037:U1037)=0,"",MAX(D1037:U1037))</f>
        <v/>
      </c>
      <c r="Y1037" s="9">
        <f>IF(OR(V1037="",V1037=0),"",(X1037-V1037)/V1037)</f>
        <v/>
      </c>
      <c r="Z1037" s="7">
        <f>IF(COUNT(D1037:U1037)=0,"",INDEX($D$1:$U$1,MATCH(MIN(D1037:U1037),D1037:U1037,0)))</f>
        <v/>
      </c>
      <c r="AA1037" s="8" t="n">
        <v>316.11</v>
      </c>
      <c r="AB1037" s="10" t="n">
        <v>1</v>
      </c>
    </row>
    <row r="1038">
      <c r="A1038" s="7" t="inlineStr">
        <is>
          <t>MAT-19-011</t>
        </is>
      </c>
      <c r="B1038" s="4" t="inlineStr">
        <is>
          <t>Perfil cuadrado galvanizado 1" x 1" x 20 pies, pared 1.2 mm</t>
        </is>
      </c>
      <c r="C1038" s="7" t="inlineStr">
        <is>
          <t>unidad</t>
        </is>
      </c>
      <c r="D1038" s="8" t="n">
        <v>423.74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>
        <v>434</v>
      </c>
      <c r="P1038" s="8" t="n"/>
      <c r="Q1038" s="8" t="n"/>
      <c r="R1038" s="8" t="n"/>
      <c r="S1038" s="8" t="n"/>
      <c r="T1038" s="8" t="n"/>
      <c r="U1038" s="8" t="n"/>
      <c r="V1038" s="8">
        <f>IF(COUNT(D1038:U1038)=0,"",MIN(D1038:U1038))</f>
        <v/>
      </c>
      <c r="W1038" s="8">
        <f>IF(COUNT(D1038:U1038)=0,"",MEDIAN(D1038:U1038))</f>
        <v/>
      </c>
      <c r="X1038" s="8">
        <f>IF(COUNT(D1038:U1038)=0,"",MAX(D1038:U1038))</f>
        <v/>
      </c>
      <c r="Y1038" s="9">
        <f>IF(OR(V1038="",V1038=0),"",(X1038-V1038)/V1038)</f>
        <v/>
      </c>
      <c r="Z1038" s="7">
        <f>IF(COUNT(D1038:U1038)=0,"",INDEX($D$1:$U$1,MATCH(MIN(D1038:U1038),D1038:U1038,0)))</f>
        <v/>
      </c>
      <c r="AA1038" s="8" t="n">
        <v>467.93</v>
      </c>
      <c r="AB1038" s="10" t="n">
        <v>2</v>
      </c>
    </row>
    <row r="1039">
      <c r="A1039" s="7" t="inlineStr">
        <is>
          <t>MAT-19-012</t>
        </is>
      </c>
      <c r="B1039" s="4" t="inlineStr">
        <is>
          <t>Perfil cuadrado galvanizado 1" x 1" x 20 pies, pared 1.6 mm</t>
        </is>
      </c>
      <c r="C1039" s="7" t="inlineStr">
        <is>
          <t>unidad</t>
        </is>
      </c>
      <c r="D1039" s="8" t="n">
        <v>539.74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>
        <v>561</v>
      </c>
      <c r="P1039" s="8" t="n"/>
      <c r="Q1039" s="8" t="n"/>
      <c r="R1039" s="8" t="n"/>
      <c r="S1039" s="8" t="n"/>
      <c r="T1039" s="8" t="n"/>
      <c r="U1039" s="8" t="n"/>
      <c r="V1039" s="8">
        <f>IF(COUNT(D1039:U1039)=0,"",MIN(D1039:U1039))</f>
        <v/>
      </c>
      <c r="W1039" s="8">
        <f>IF(COUNT(D1039:U1039)=0,"",MEDIAN(D1039:U1039))</f>
        <v/>
      </c>
      <c r="X1039" s="8">
        <f>IF(COUNT(D1039:U1039)=0,"",MAX(D1039:U1039))</f>
        <v/>
      </c>
      <c r="Y1039" s="9">
        <f>IF(OR(V1039="",V1039=0),"",(X1039-V1039)/V1039)</f>
        <v/>
      </c>
      <c r="Z1039" s="7">
        <f>IF(COUNT(D1039:U1039)=0,"",INDEX($D$1:$U$1,MATCH(MIN(D1039:U1039),D1039:U1039,0)))</f>
        <v/>
      </c>
      <c r="AA1039" s="8" t="n">
        <v>600.86</v>
      </c>
      <c r="AB1039" s="10" t="n">
        <v>2</v>
      </c>
    </row>
    <row r="1040">
      <c r="A1040" s="7" t="inlineStr">
        <is>
          <t>MAT-19-013</t>
        </is>
      </c>
      <c r="B1040" s="4" t="inlineStr">
        <is>
          <t>Perfil cuadrado galvanizado 1 1/4" x 1 1/4" x 20 pies, pared 1.5 mm</t>
        </is>
      </c>
      <c r="C1040" s="7" t="inlineStr">
        <is>
          <t>unidad</t>
        </is>
      </c>
      <c r="D1040" s="8" t="n">
        <v>712.04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>
        <f>IF(COUNT(D1040:U1040)=0,"",MIN(D1040:U1040))</f>
        <v/>
      </c>
      <c r="W1040" s="8">
        <f>IF(COUNT(D1040:U1040)=0,"",MEDIAN(D1040:U1040))</f>
        <v/>
      </c>
      <c r="X1040" s="8">
        <f>IF(COUNT(D1040:U1040)=0,"",MAX(D1040:U1040))</f>
        <v/>
      </c>
      <c r="Y1040" s="9">
        <f>IF(OR(V1040="",V1040=0),"",(X1040-V1040)/V1040)</f>
        <v/>
      </c>
      <c r="Z1040" s="7">
        <f>IF(COUNT(D1040:U1040)=0,"",INDEX($D$1:$U$1,MATCH(MIN(D1040:U1040),D1040:U1040,0)))</f>
        <v/>
      </c>
      <c r="AA1040" s="8" t="n">
        <v>712.04</v>
      </c>
      <c r="AB1040" s="10" t="n">
        <v>1</v>
      </c>
    </row>
    <row r="1041">
      <c r="A1041" s="7" t="inlineStr">
        <is>
          <t>MAT-19-014</t>
        </is>
      </c>
      <c r="B1041" s="4" t="inlineStr">
        <is>
          <t>Perfil cuadrado galvanizado 1 1/2" x 1 1/2" x 20 pies, pared 1.2 mm</t>
        </is>
      </c>
      <c r="C1041" s="7" t="inlineStr">
        <is>
          <t>unidad</t>
        </is>
      </c>
      <c r="D1041" s="8" t="n">
        <v>648.6799999999999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>
        <v>642.8</v>
      </c>
      <c r="P1041" s="8" t="n"/>
      <c r="Q1041" s="8" t="n"/>
      <c r="R1041" s="8" t="n"/>
      <c r="S1041" s="8" t="n"/>
      <c r="T1041" s="8" t="n"/>
      <c r="U1041" s="8" t="n"/>
      <c r="V1041" s="8">
        <f>IF(COUNT(D1041:U1041)=0,"",MIN(D1041:U1041))</f>
        <v/>
      </c>
      <c r="W1041" s="8">
        <f>IF(COUNT(D1041:U1041)=0,"",MEDIAN(D1041:U1041))</f>
        <v/>
      </c>
      <c r="X1041" s="8">
        <f>IF(COUNT(D1041:U1041)=0,"",MAX(D1041:U1041))</f>
        <v/>
      </c>
      <c r="Y1041" s="9">
        <f>IF(OR(V1041="",V1041=0),"",(X1041-V1041)/V1041)</f>
        <v/>
      </c>
      <c r="Z1041" s="7">
        <f>IF(COUNT(D1041:U1041)=0,"",INDEX($D$1:$U$1,MATCH(MIN(D1041:U1041),D1041:U1041,0)))</f>
        <v/>
      </c>
      <c r="AA1041" s="8" t="n">
        <v>703.59</v>
      </c>
      <c r="AB1041" s="10" t="n">
        <v>2</v>
      </c>
    </row>
    <row r="1042">
      <c r="A1042" s="7" t="inlineStr">
        <is>
          <t>MAT-19-015</t>
        </is>
      </c>
      <c r="B1042" s="4" t="inlineStr">
        <is>
          <t>Perfil cuadrado galvanizado 1 1/2" x 1 1/2" x 20 pies, pared 1.6 mm</t>
        </is>
      </c>
      <c r="C1042" s="7" t="inlineStr">
        <is>
          <t>unidad</t>
        </is>
      </c>
      <c r="D1042" s="8" t="n">
        <v>814.53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>
        <v>810</v>
      </c>
      <c r="P1042" s="8" t="n"/>
      <c r="Q1042" s="8" t="n"/>
      <c r="R1042" s="8" t="n"/>
      <c r="S1042" s="8" t="n"/>
      <c r="T1042" s="8" t="n"/>
      <c r="U1042" s="8" t="n"/>
      <c r="V1042" s="8">
        <f>IF(COUNT(D1042:U1042)=0,"",MIN(D1042:U1042))</f>
        <v/>
      </c>
      <c r="W1042" s="8">
        <f>IF(COUNT(D1042:U1042)=0,"",MEDIAN(D1042:U1042))</f>
        <v/>
      </c>
      <c r="X1042" s="8">
        <f>IF(COUNT(D1042:U1042)=0,"",MAX(D1042:U1042))</f>
        <v/>
      </c>
      <c r="Y1042" s="9">
        <f>IF(OR(V1042="",V1042=0),"",(X1042-V1042)/V1042)</f>
        <v/>
      </c>
      <c r="Z1042" s="7">
        <f>IF(COUNT(D1042:U1042)=0,"",INDEX($D$1:$U$1,MATCH(MIN(D1042:U1042),D1042:U1042,0)))</f>
        <v/>
      </c>
      <c r="AA1042" s="8" t="n">
        <v>885.17</v>
      </c>
      <c r="AB1042" s="10" t="n">
        <v>2</v>
      </c>
    </row>
    <row r="1043">
      <c r="A1043" s="7" t="inlineStr">
        <is>
          <t>MAT-19-016</t>
        </is>
      </c>
      <c r="B1043" s="4" t="inlineStr">
        <is>
          <t>Perfil cuadrado galvanizado 2" x 2" x 20 pies, pared 1.6 mm</t>
        </is>
      </c>
      <c r="C1043" s="7" t="inlineStr">
        <is>
          <t>unidad</t>
        </is>
      </c>
      <c r="D1043" s="8" t="n">
        <v>1108.57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>
        <f>IF(COUNT(D1043:U1043)=0,"",MIN(D1043:U1043))</f>
        <v/>
      </c>
      <c r="W1043" s="8">
        <f>IF(COUNT(D1043:U1043)=0,"",MEDIAN(D1043:U1043))</f>
        <v/>
      </c>
      <c r="X1043" s="8">
        <f>IF(COUNT(D1043:U1043)=0,"",MAX(D1043:U1043))</f>
        <v/>
      </c>
      <c r="Y1043" s="9">
        <f>IF(OR(V1043="",V1043=0),"",(X1043-V1043)/V1043)</f>
        <v/>
      </c>
      <c r="Z1043" s="7">
        <f>IF(COUNT(D1043:U1043)=0,"",INDEX($D$1:$U$1,MATCH(MIN(D1043:U1043),D1043:U1043,0)))</f>
        <v/>
      </c>
      <c r="AA1043" s="8" t="n">
        <v>1108.57</v>
      </c>
      <c r="AB1043" s="10" t="n">
        <v>1</v>
      </c>
    </row>
    <row r="1044">
      <c r="A1044" s="7" t="inlineStr">
        <is>
          <t>MAT-19-017</t>
        </is>
      </c>
      <c r="B1044" s="4" t="inlineStr">
        <is>
          <t>Perfil cuadrado galvanizado 3" x 3" x 20 pies, pared 1.5 mm</t>
        </is>
      </c>
      <c r="C1044" s="7" t="inlineStr">
        <is>
          <t>unidad</t>
        </is>
      </c>
      <c r="D1044" s="8" t="n">
        <v>1707.91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>
        <v>1726</v>
      </c>
      <c r="P1044" s="8" t="n"/>
      <c r="Q1044" s="8" t="n"/>
      <c r="R1044" s="8" t="n"/>
      <c r="S1044" s="8" t="n"/>
      <c r="T1044" s="8" t="n"/>
      <c r="U1044" s="8" t="n"/>
      <c r="V1044" s="8">
        <f>IF(COUNT(D1044:U1044)=0,"",MIN(D1044:U1044))</f>
        <v/>
      </c>
      <c r="W1044" s="8">
        <f>IF(COUNT(D1044:U1044)=0,"",MEDIAN(D1044:U1044))</f>
        <v/>
      </c>
      <c r="X1044" s="8">
        <f>IF(COUNT(D1044:U1044)=0,"",MAX(D1044:U1044))</f>
        <v/>
      </c>
      <c r="Y1044" s="9">
        <f>IF(OR(V1044="",V1044=0),"",(X1044-V1044)/V1044)</f>
        <v/>
      </c>
      <c r="Z1044" s="7">
        <f>IF(COUNT(D1044:U1044)=0,"",INDEX($D$1:$U$1,MATCH(MIN(D1044:U1044),D1044:U1044,0)))</f>
        <v/>
      </c>
      <c r="AA1044" s="8" t="n">
        <v>1872.3</v>
      </c>
      <c r="AB1044" s="10" t="n">
        <v>2</v>
      </c>
    </row>
    <row r="1045">
      <c r="A1045" s="7" t="inlineStr">
        <is>
          <t>MAT-19-018</t>
        </is>
      </c>
      <c r="B1045" s="4" t="inlineStr">
        <is>
          <t>Perfil rectangular negro 3/4" x 1 1/2" x 20 pies, pared 1.2 mm</t>
        </is>
      </c>
      <c r="C1045" s="7" t="inlineStr">
        <is>
          <t>unidad</t>
        </is>
      </c>
      <c r="D1045" s="8" t="n">
        <v>402.51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>
        <f>IF(COUNT(D1045:U1045)=0,"",MIN(D1045:U1045))</f>
        <v/>
      </c>
      <c r="W1045" s="8">
        <f>IF(COUNT(D1045:U1045)=0,"",MEDIAN(D1045:U1045))</f>
        <v/>
      </c>
      <c r="X1045" s="8">
        <f>IF(COUNT(D1045:U1045)=0,"",MAX(D1045:U1045))</f>
        <v/>
      </c>
      <c r="Y1045" s="9">
        <f>IF(OR(V1045="",V1045=0),"",(X1045-V1045)/V1045)</f>
        <v/>
      </c>
      <c r="Z1045" s="7">
        <f>IF(COUNT(D1045:U1045)=0,"",INDEX($D$1:$U$1,MATCH(MIN(D1045:U1045),D1045:U1045,0)))</f>
        <v/>
      </c>
      <c r="AA1045" s="8" t="n">
        <v>402.51</v>
      </c>
      <c r="AB1045" s="10" t="n">
        <v>1</v>
      </c>
    </row>
    <row r="1046">
      <c r="A1046" s="7" t="inlineStr">
        <is>
          <t>MAT-19-019</t>
        </is>
      </c>
      <c r="B1046" s="4" t="inlineStr">
        <is>
          <t>Perfil rectangular negro 3/4" x 1 1/2" x 20 pies, pared 1.6 mm</t>
        </is>
      </c>
      <c r="C1046" s="7" t="inlineStr">
        <is>
          <t>unidad</t>
        </is>
      </c>
      <c r="D1046" s="8" t="n">
        <v>472.19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>
        <f>IF(COUNT(D1046:U1046)=0,"",MIN(D1046:U1046))</f>
        <v/>
      </c>
      <c r="W1046" s="8">
        <f>IF(COUNT(D1046:U1046)=0,"",MEDIAN(D1046:U1046))</f>
        <v/>
      </c>
      <c r="X1046" s="8">
        <f>IF(COUNT(D1046:U1046)=0,"",MAX(D1046:U1046))</f>
        <v/>
      </c>
      <c r="Y1046" s="9">
        <f>IF(OR(V1046="",V1046=0),"",(X1046-V1046)/V1046)</f>
        <v/>
      </c>
      <c r="Z1046" s="7">
        <f>IF(COUNT(D1046:U1046)=0,"",INDEX($D$1:$U$1,MATCH(MIN(D1046:U1046),D1046:U1046,0)))</f>
        <v/>
      </c>
      <c r="AA1046" s="8" t="n">
        <v>472.19</v>
      </c>
      <c r="AB1046" s="10" t="n">
        <v>1</v>
      </c>
    </row>
    <row r="1047">
      <c r="A1047" s="7" t="inlineStr">
        <is>
          <t>MAT-19-020</t>
        </is>
      </c>
      <c r="B1047" s="4" t="inlineStr">
        <is>
          <t>Perfil rectangular negro 2" x 1" x 20 pies, pared 1.2 mm</t>
        </is>
      </c>
      <c r="C1047" s="7" t="inlineStr">
        <is>
          <t>unidad</t>
        </is>
      </c>
      <c r="D1047" s="8" t="n">
        <v>542.15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>
        <f>IF(COUNT(D1047:U1047)=0,"",MIN(D1047:U1047))</f>
        <v/>
      </c>
      <c r="W1047" s="8">
        <f>IF(COUNT(D1047:U1047)=0,"",MEDIAN(D1047:U1047))</f>
        <v/>
      </c>
      <c r="X1047" s="8">
        <f>IF(COUNT(D1047:U1047)=0,"",MAX(D1047:U1047))</f>
        <v/>
      </c>
      <c r="Y1047" s="9">
        <f>IF(OR(V1047="",V1047=0),"",(X1047-V1047)/V1047)</f>
        <v/>
      </c>
      <c r="Z1047" s="7">
        <f>IF(COUNT(D1047:U1047)=0,"",INDEX($D$1:$U$1,MATCH(MIN(D1047:U1047),D1047:U1047,0)))</f>
        <v/>
      </c>
      <c r="AA1047" s="8" t="n">
        <v>542.15</v>
      </c>
      <c r="AB1047" s="10" t="n">
        <v>1</v>
      </c>
    </row>
    <row r="1048">
      <c r="A1048" s="7" t="inlineStr">
        <is>
          <t>MAT-19-021</t>
        </is>
      </c>
      <c r="B1048" s="4" t="inlineStr">
        <is>
          <t>Perfil rectangular negro 2" x 1" x 20 pies, pared 1.6 mm</t>
        </is>
      </c>
      <c r="C1048" s="7" t="inlineStr">
        <is>
          <t>unidad</t>
        </is>
      </c>
      <c r="D1048" s="8" t="n">
        <v>639.71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>
        <f>IF(COUNT(D1048:U1048)=0,"",MIN(D1048:U1048))</f>
        <v/>
      </c>
      <c r="W1048" s="8">
        <f>IF(COUNT(D1048:U1048)=0,"",MEDIAN(D1048:U1048))</f>
        <v/>
      </c>
      <c r="X1048" s="8">
        <f>IF(COUNT(D1048:U1048)=0,"",MAX(D1048:U1048))</f>
        <v/>
      </c>
      <c r="Y1048" s="9">
        <f>IF(OR(V1048="",V1048=0),"",(X1048-V1048)/V1048)</f>
        <v/>
      </c>
      <c r="Z1048" s="7">
        <f>IF(COUNT(D1048:U1048)=0,"",INDEX($D$1:$U$1,MATCH(MIN(D1048:U1048),D1048:U1048,0)))</f>
        <v/>
      </c>
      <c r="AA1048" s="8" t="n">
        <v>639.71</v>
      </c>
      <c r="AB1048" s="10" t="n">
        <v>1</v>
      </c>
    </row>
    <row r="1049">
      <c r="A1049" s="7" t="inlineStr">
        <is>
          <t>MAT-19-022</t>
        </is>
      </c>
      <c r="B1049" s="4" t="inlineStr">
        <is>
          <t>Perfil rectangular negro 2" x 3" x 20 pies, pared 1.6 mm</t>
        </is>
      </c>
      <c r="C1049" s="7" t="inlineStr">
        <is>
          <t>unidad</t>
        </is>
      </c>
      <c r="D1049" s="8" t="n">
        <v>1082.3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>
        <f>IF(COUNT(D1049:U1049)=0,"",MIN(D1049:U1049))</f>
        <v/>
      </c>
      <c r="W1049" s="8">
        <f>IF(COUNT(D1049:U1049)=0,"",MEDIAN(D1049:U1049))</f>
        <v/>
      </c>
      <c r="X1049" s="8">
        <f>IF(COUNT(D1049:U1049)=0,"",MAX(D1049:U1049))</f>
        <v/>
      </c>
      <c r="Y1049" s="9">
        <f>IF(OR(V1049="",V1049=0),"",(X1049-V1049)/V1049)</f>
        <v/>
      </c>
      <c r="Z1049" s="7">
        <f>IF(COUNT(D1049:U1049)=0,"",INDEX($D$1:$U$1,MATCH(MIN(D1049:U1049),D1049:U1049,0)))</f>
        <v/>
      </c>
      <c r="AA1049" s="8" t="n">
        <v>1082.3</v>
      </c>
      <c r="AB1049" s="10" t="n">
        <v>1</v>
      </c>
    </row>
    <row r="1050">
      <c r="A1050" s="7" t="inlineStr">
        <is>
          <t>MAT-19-023</t>
        </is>
      </c>
      <c r="B1050" s="4" t="inlineStr">
        <is>
          <t>Perfil rectangular negro 2" x 4" x 20 pies, pared 1.6 mm</t>
        </is>
      </c>
      <c r="C1050" s="7" t="inlineStr">
        <is>
          <t>unidad</t>
        </is>
      </c>
      <c r="D1050" s="8" t="n">
        <v>1349.04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>
        <f>IF(COUNT(D1050:U1050)=0,"",MIN(D1050:U1050))</f>
        <v/>
      </c>
      <c r="W1050" s="8">
        <f>IF(COUNT(D1050:U1050)=0,"",MEDIAN(D1050:U1050))</f>
        <v/>
      </c>
      <c r="X1050" s="8">
        <f>IF(COUNT(D1050:U1050)=0,"",MAX(D1050:U1050))</f>
        <v/>
      </c>
      <c r="Y1050" s="9">
        <f>IF(OR(V1050="",V1050=0),"",(X1050-V1050)/V1050)</f>
        <v/>
      </c>
      <c r="Z1050" s="7">
        <f>IF(COUNT(D1050:U1050)=0,"",INDEX($D$1:$U$1,MATCH(MIN(D1050:U1050),D1050:U1050,0)))</f>
        <v/>
      </c>
      <c r="AA1050" s="8" t="n">
        <v>1349.04</v>
      </c>
      <c r="AB1050" s="10" t="n">
        <v>1</v>
      </c>
    </row>
    <row r="1051">
      <c r="A1051" s="7" t="inlineStr">
        <is>
          <t>MAT-19-024</t>
        </is>
      </c>
      <c r="B1051" s="4" t="inlineStr">
        <is>
          <t>Perfil rectangular negro 3" x 1 1/2" x 20 pies, pared 1.6 mm</t>
        </is>
      </c>
      <c r="C1051" s="7" t="inlineStr">
        <is>
          <t>unidad</t>
        </is>
      </c>
      <c r="D1051" s="8" t="n">
        <v>973.59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>
        <f>IF(COUNT(D1051:U1051)=0,"",MIN(D1051:U1051))</f>
        <v/>
      </c>
      <c r="W1051" s="8">
        <f>IF(COUNT(D1051:U1051)=0,"",MEDIAN(D1051:U1051))</f>
        <v/>
      </c>
      <c r="X1051" s="8">
        <f>IF(COUNT(D1051:U1051)=0,"",MAX(D1051:U1051))</f>
        <v/>
      </c>
      <c r="Y1051" s="9">
        <f>IF(OR(V1051="",V1051=0),"",(X1051-V1051)/V1051)</f>
        <v/>
      </c>
      <c r="Z1051" s="7">
        <f>IF(COUNT(D1051:U1051)=0,"",INDEX($D$1:$U$1,MATCH(MIN(D1051:U1051),D1051:U1051,0)))</f>
        <v/>
      </c>
      <c r="AA1051" s="8" t="n">
        <v>973.59</v>
      </c>
      <c r="AB1051" s="10" t="n">
        <v>1</v>
      </c>
    </row>
    <row r="1052">
      <c r="A1052" s="7" t="inlineStr">
        <is>
          <t>MAT-19-025</t>
        </is>
      </c>
      <c r="B1052" s="4" t="inlineStr">
        <is>
          <t>Perfil rectangular galvanizado 3/4" x 1 1/2" x 20 pies, pared 1.2 mm</t>
        </is>
      </c>
      <c r="C1052" s="7" t="inlineStr">
        <is>
          <t>unidad</t>
        </is>
      </c>
      <c r="D1052" s="8" t="n">
        <v>492.8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>
        <f>IF(COUNT(D1052:U1052)=0,"",MIN(D1052:U1052))</f>
        <v/>
      </c>
      <c r="W1052" s="8">
        <f>IF(COUNT(D1052:U1052)=0,"",MEDIAN(D1052:U1052))</f>
        <v/>
      </c>
      <c r="X1052" s="8">
        <f>IF(COUNT(D1052:U1052)=0,"",MAX(D1052:U1052))</f>
        <v/>
      </c>
      <c r="Y1052" s="9">
        <f>IF(OR(V1052="",V1052=0),"",(X1052-V1052)/V1052)</f>
        <v/>
      </c>
      <c r="Z1052" s="7">
        <f>IF(COUNT(D1052:U1052)=0,"",INDEX($D$1:$U$1,MATCH(MIN(D1052:U1052),D1052:U1052,0)))</f>
        <v/>
      </c>
      <c r="AA1052" s="8" t="n">
        <v>492.8</v>
      </c>
      <c r="AB1052" s="10" t="n">
        <v>1</v>
      </c>
    </row>
    <row r="1053">
      <c r="A1053" s="7" t="inlineStr">
        <is>
          <t>MAT-19-026</t>
        </is>
      </c>
      <c r="B1053" s="4" t="inlineStr">
        <is>
          <t>Perfil rectangular galvanizado 3/4" x 1 1/2" x 20 pies, pared 1.5 mm</t>
        </is>
      </c>
      <c r="C1053" s="7" t="inlineStr">
        <is>
          <t>unidad</t>
        </is>
      </c>
      <c r="D1053" s="8" t="n">
        <v>626.88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>
        <f>IF(COUNT(D1053:U1053)=0,"",MIN(D1053:U1053))</f>
        <v/>
      </c>
      <c r="W1053" s="8">
        <f>IF(COUNT(D1053:U1053)=0,"",MEDIAN(D1053:U1053))</f>
        <v/>
      </c>
      <c r="X1053" s="8">
        <f>IF(COUNT(D1053:U1053)=0,"",MAX(D1053:U1053))</f>
        <v/>
      </c>
      <c r="Y1053" s="9">
        <f>IF(OR(V1053="",V1053=0),"",(X1053-V1053)/V1053)</f>
        <v/>
      </c>
      <c r="Z1053" s="7">
        <f>IF(COUNT(D1053:U1053)=0,"",INDEX($D$1:$U$1,MATCH(MIN(D1053:U1053),D1053:U1053,0)))</f>
        <v/>
      </c>
      <c r="AA1053" s="8" t="n">
        <v>626.88</v>
      </c>
      <c r="AB1053" s="10" t="n">
        <v>1</v>
      </c>
    </row>
    <row r="1054">
      <c r="A1054" s="7" t="inlineStr">
        <is>
          <t>MAT-19-027</t>
        </is>
      </c>
      <c r="B1054" s="4" t="inlineStr">
        <is>
          <t>Perfil rectangular galvanizado 2" x 1" x 20 pies, pared 1.2 mm</t>
        </is>
      </c>
      <c r="C1054" s="7" t="inlineStr">
        <is>
          <t>unidad</t>
        </is>
      </c>
      <c r="D1054" s="8" t="n">
        <v>646.73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>
        <f>IF(COUNT(D1054:U1054)=0,"",MIN(D1054:U1054))</f>
        <v/>
      </c>
      <c r="W1054" s="8">
        <f>IF(COUNT(D1054:U1054)=0,"",MEDIAN(D1054:U1054))</f>
        <v/>
      </c>
      <c r="X1054" s="8">
        <f>IF(COUNT(D1054:U1054)=0,"",MAX(D1054:U1054))</f>
        <v/>
      </c>
      <c r="Y1054" s="9">
        <f>IF(OR(V1054="",V1054=0),"",(X1054-V1054)/V1054)</f>
        <v/>
      </c>
      <c r="Z1054" s="7">
        <f>IF(COUNT(D1054:U1054)=0,"",INDEX($D$1:$U$1,MATCH(MIN(D1054:U1054),D1054:U1054,0)))</f>
        <v/>
      </c>
      <c r="AA1054" s="8" t="n">
        <v>646.73</v>
      </c>
      <c r="AB1054" s="10" t="n">
        <v>1</v>
      </c>
    </row>
    <row r="1055">
      <c r="A1055" s="7" t="inlineStr">
        <is>
          <t>MAT-19-028</t>
        </is>
      </c>
      <c r="B1055" s="4" t="inlineStr">
        <is>
          <t>Perfil rectangular galvanizado 2" x 1" x 20 pies, pared 1.6 mm</t>
        </is>
      </c>
      <c r="C1055" s="7" t="inlineStr">
        <is>
          <t>unidad</t>
        </is>
      </c>
      <c r="D1055" s="8" t="n">
        <v>812.22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>
        <f>IF(COUNT(D1055:U1055)=0,"",MIN(D1055:U1055))</f>
        <v/>
      </c>
      <c r="W1055" s="8">
        <f>IF(COUNT(D1055:U1055)=0,"",MEDIAN(D1055:U1055))</f>
        <v/>
      </c>
      <c r="X1055" s="8">
        <f>IF(COUNT(D1055:U1055)=0,"",MAX(D1055:U1055))</f>
        <v/>
      </c>
      <c r="Y1055" s="9">
        <f>IF(OR(V1055="",V1055=0),"",(X1055-V1055)/V1055)</f>
        <v/>
      </c>
      <c r="Z1055" s="7">
        <f>IF(COUNT(D1055:U1055)=0,"",INDEX($D$1:$U$1,MATCH(MIN(D1055:U1055),D1055:U1055,0)))</f>
        <v/>
      </c>
      <c r="AA1055" s="8" t="n">
        <v>812.22</v>
      </c>
      <c r="AB1055" s="10" t="n">
        <v>1</v>
      </c>
    </row>
    <row r="1056">
      <c r="A1056" s="7" t="inlineStr">
        <is>
          <t>MAT-19-029</t>
        </is>
      </c>
      <c r="B1056" s="4" t="inlineStr">
        <is>
          <t>Perfil rectangular galvanizado 2" x 3" x 20 pies, pared 1.6 mm</t>
        </is>
      </c>
      <c r="C1056" s="7" t="inlineStr">
        <is>
          <t>unidad</t>
        </is>
      </c>
      <c r="D1056" s="8" t="n">
        <v>1400.9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>
        <f>IF(COUNT(D1056:U1056)=0,"",MIN(D1056:U1056))</f>
        <v/>
      </c>
      <c r="W1056" s="8">
        <f>IF(COUNT(D1056:U1056)=0,"",MEDIAN(D1056:U1056))</f>
        <v/>
      </c>
      <c r="X1056" s="8">
        <f>IF(COUNT(D1056:U1056)=0,"",MAX(D1056:U1056))</f>
        <v/>
      </c>
      <c r="Y1056" s="9">
        <f>IF(OR(V1056="",V1056=0),"",(X1056-V1056)/V1056)</f>
        <v/>
      </c>
      <c r="Z1056" s="7">
        <f>IF(COUNT(D1056:U1056)=0,"",INDEX($D$1:$U$1,MATCH(MIN(D1056:U1056),D1056:U1056,0)))</f>
        <v/>
      </c>
      <c r="AA1056" s="8" t="n">
        <v>1400.9</v>
      </c>
      <c r="AB1056" s="10" t="n">
        <v>1</v>
      </c>
    </row>
    <row r="1057">
      <c r="A1057" s="7" t="inlineStr">
        <is>
          <t>MAT-19-030</t>
        </is>
      </c>
      <c r="B1057" s="4" t="inlineStr">
        <is>
          <t>Perfil rectangular galvanizado 2" x 4" x 20 pies, pared 1.6 mm</t>
        </is>
      </c>
      <c r="C1057" s="7" t="inlineStr">
        <is>
          <t>unidad</t>
        </is>
      </c>
      <c r="D1057" s="8" t="n">
        <v>1695.85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>
        <f>IF(COUNT(D1057:U1057)=0,"",MIN(D1057:U1057))</f>
        <v/>
      </c>
      <c r="W1057" s="8">
        <f>IF(COUNT(D1057:U1057)=0,"",MEDIAN(D1057:U1057))</f>
        <v/>
      </c>
      <c r="X1057" s="8">
        <f>IF(COUNT(D1057:U1057)=0,"",MAX(D1057:U1057))</f>
        <v/>
      </c>
      <c r="Y1057" s="9">
        <f>IF(OR(V1057="",V1057=0),"",(X1057-V1057)/V1057)</f>
        <v/>
      </c>
      <c r="Z1057" s="7">
        <f>IF(COUNT(D1057:U1057)=0,"",INDEX($D$1:$U$1,MATCH(MIN(D1057:U1057),D1057:U1057,0)))</f>
        <v/>
      </c>
      <c r="AA1057" s="8" t="n">
        <v>1695.85</v>
      </c>
      <c r="AB1057" s="10" t="n">
        <v>1</v>
      </c>
    </row>
    <row r="1058">
      <c r="A1058" s="7" t="inlineStr">
        <is>
          <t>MAT-19-031</t>
        </is>
      </c>
      <c r="B1058" s="4" t="inlineStr">
        <is>
          <t>Perfil rectangular galvanizado 3" x 1 1/2" x 20 pies, pared 1.6 mm</t>
        </is>
      </c>
      <c r="C1058" s="7" t="inlineStr">
        <is>
          <t>unidad</t>
        </is>
      </c>
      <c r="D1058" s="8" t="n">
        <v>1275.97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>
        <f>IF(COUNT(D1058:U1058)=0,"",MIN(D1058:U1058))</f>
        <v/>
      </c>
      <c r="W1058" s="8">
        <f>IF(COUNT(D1058:U1058)=0,"",MEDIAN(D1058:U1058))</f>
        <v/>
      </c>
      <c r="X1058" s="8">
        <f>IF(COUNT(D1058:U1058)=0,"",MAX(D1058:U1058))</f>
        <v/>
      </c>
      <c r="Y1058" s="9">
        <f>IF(OR(V1058="",V1058=0),"",(X1058-V1058)/V1058)</f>
        <v/>
      </c>
      <c r="Z1058" s="7">
        <f>IF(COUNT(D1058:U1058)=0,"",INDEX($D$1:$U$1,MATCH(MIN(D1058:U1058),D1058:U1058,0)))</f>
        <v/>
      </c>
      <c r="AA1058" s="8" t="n">
        <v>1275.97</v>
      </c>
      <c r="AB1058" s="10" t="n">
        <v>1</v>
      </c>
    </row>
    <row r="1059">
      <c r="A1059" s="7" t="inlineStr">
        <is>
          <t>MAT-19-032</t>
        </is>
      </c>
      <c r="B1059" s="4" t="inlineStr">
        <is>
          <t>Tubo negro redondo 1/2" x 20 pies, pared 2.77 mm</t>
        </is>
      </c>
      <c r="C1059" s="7" t="inlineStr">
        <is>
          <t>unidad</t>
        </is>
      </c>
      <c r="D1059" s="8" t="n">
        <v>620.21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>
        <f>IF(COUNT(D1059:U1059)=0,"",MIN(D1059:U1059))</f>
        <v/>
      </c>
      <c r="W1059" s="8">
        <f>IF(COUNT(D1059:U1059)=0,"",MEDIAN(D1059:U1059))</f>
        <v/>
      </c>
      <c r="X1059" s="8">
        <f>IF(COUNT(D1059:U1059)=0,"",MAX(D1059:U1059))</f>
        <v/>
      </c>
      <c r="Y1059" s="9">
        <f>IF(OR(V1059="",V1059=0),"",(X1059-V1059)/V1059)</f>
        <v/>
      </c>
      <c r="Z1059" s="7">
        <f>IF(COUNT(D1059:U1059)=0,"",INDEX($D$1:$U$1,MATCH(MIN(D1059:U1059),D1059:U1059,0)))</f>
        <v/>
      </c>
      <c r="AA1059" s="8" t="n">
        <v>620.21</v>
      </c>
      <c r="AB1059" s="10" t="n">
        <v>1</v>
      </c>
    </row>
    <row r="1060">
      <c r="A1060" s="7" t="inlineStr">
        <is>
          <t>MAT-19-033</t>
        </is>
      </c>
      <c r="B1060" s="4" t="inlineStr">
        <is>
          <t>Tubo negro redondo 3/4" x 20 pies, pared 2.87 mm</t>
        </is>
      </c>
      <c r="C1060" s="7" t="inlineStr">
        <is>
          <t>unidad</t>
        </is>
      </c>
      <c r="D1060" s="8" t="n">
        <v>826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>
        <f>IF(COUNT(D1060:U1060)=0,"",MIN(D1060:U1060))</f>
        <v/>
      </c>
      <c r="W1060" s="8">
        <f>IF(COUNT(D1060:U1060)=0,"",MEDIAN(D1060:U1060))</f>
        <v/>
      </c>
      <c r="X1060" s="8">
        <f>IF(COUNT(D1060:U1060)=0,"",MAX(D1060:U1060))</f>
        <v/>
      </c>
      <c r="Y1060" s="9">
        <f>IF(OR(V1060="",V1060=0),"",(X1060-V1060)/V1060)</f>
        <v/>
      </c>
      <c r="Z1060" s="7">
        <f>IF(COUNT(D1060:U1060)=0,"",INDEX($D$1:$U$1,MATCH(MIN(D1060:U1060),D1060:U1060,0)))</f>
        <v/>
      </c>
      <c r="AA1060" s="8" t="n">
        <v>826</v>
      </c>
      <c r="AB1060" s="10" t="n">
        <v>1</v>
      </c>
    </row>
    <row r="1061">
      <c r="A1061" s="7" t="inlineStr">
        <is>
          <t>MAT-19-034</t>
        </is>
      </c>
      <c r="B1061" s="4" t="inlineStr">
        <is>
          <t>Tubo negro redondo 1" x 20 pies, pared 3.38 mm</t>
        </is>
      </c>
      <c r="C1061" s="7" t="inlineStr">
        <is>
          <t>unidad</t>
        </is>
      </c>
      <c r="D1061" s="8" t="n">
        <v>1206.29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>
        <f>IF(COUNT(D1061:U1061)=0,"",MIN(D1061:U1061))</f>
        <v/>
      </c>
      <c r="W1061" s="8">
        <f>IF(COUNT(D1061:U1061)=0,"",MEDIAN(D1061:U1061))</f>
        <v/>
      </c>
      <c r="X1061" s="8">
        <f>IF(COUNT(D1061:U1061)=0,"",MAX(D1061:U1061))</f>
        <v/>
      </c>
      <c r="Y1061" s="9">
        <f>IF(OR(V1061="",V1061=0),"",(X1061-V1061)/V1061)</f>
        <v/>
      </c>
      <c r="Z1061" s="7">
        <f>IF(COUNT(D1061:U1061)=0,"",INDEX($D$1:$U$1,MATCH(MIN(D1061:U1061),D1061:U1061,0)))</f>
        <v/>
      </c>
      <c r="AA1061" s="8" t="n">
        <v>1206.29</v>
      </c>
      <c r="AB1061" s="10" t="n">
        <v>1</v>
      </c>
    </row>
    <row r="1062">
      <c r="A1062" s="7" t="inlineStr">
        <is>
          <t>MAT-19-035</t>
        </is>
      </c>
      <c r="B1062" s="4" t="inlineStr">
        <is>
          <t>Tubo negro redondo 1 1/4" x 20 pies, pared 3.56 mm</t>
        </is>
      </c>
      <c r="C1062" s="7" t="inlineStr">
        <is>
          <t>unidad</t>
        </is>
      </c>
      <c r="D1062" s="8" t="n">
        <v>1507.57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>
        <f>IF(COUNT(D1062:U1062)=0,"",MIN(D1062:U1062))</f>
        <v/>
      </c>
      <c r="W1062" s="8">
        <f>IF(COUNT(D1062:U1062)=0,"",MEDIAN(D1062:U1062))</f>
        <v/>
      </c>
      <c r="X1062" s="8">
        <f>IF(COUNT(D1062:U1062)=0,"",MAX(D1062:U1062))</f>
        <v/>
      </c>
      <c r="Y1062" s="9">
        <f>IF(OR(V1062="",V1062=0),"",(X1062-V1062)/V1062)</f>
        <v/>
      </c>
      <c r="Z1062" s="7">
        <f>IF(COUNT(D1062:U1062)=0,"",INDEX($D$1:$U$1,MATCH(MIN(D1062:U1062),D1062:U1062,0)))</f>
        <v/>
      </c>
      <c r="AA1062" s="8" t="n">
        <v>1507.57</v>
      </c>
      <c r="AB1062" s="10" t="n">
        <v>1</v>
      </c>
    </row>
    <row r="1063">
      <c r="A1063" s="7" t="inlineStr">
        <is>
          <t>MAT-19-036</t>
        </is>
      </c>
      <c r="B1063" s="4" t="inlineStr">
        <is>
          <t>Tubo negro redondo 1 1/2" x 20 pies, pared 3.68 mm</t>
        </is>
      </c>
      <c r="C1063" s="7" t="inlineStr">
        <is>
          <t>unidad</t>
        </is>
      </c>
      <c r="D1063" s="8" t="n">
        <v>1952.51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>
        <f>IF(COUNT(D1063:U1063)=0,"",MIN(D1063:U1063))</f>
        <v/>
      </c>
      <c r="W1063" s="8">
        <f>IF(COUNT(D1063:U1063)=0,"",MEDIAN(D1063:U1063))</f>
        <v/>
      </c>
      <c r="X1063" s="8">
        <f>IF(COUNT(D1063:U1063)=0,"",MAX(D1063:U1063))</f>
        <v/>
      </c>
      <c r="Y1063" s="9">
        <f>IF(OR(V1063="",V1063=0),"",(X1063-V1063)/V1063)</f>
        <v/>
      </c>
      <c r="Z1063" s="7">
        <f>IF(COUNT(D1063:U1063)=0,"",INDEX($D$1:$U$1,MATCH(MIN(D1063:U1063),D1063:U1063,0)))</f>
        <v/>
      </c>
      <c r="AA1063" s="8" t="n">
        <v>1952.51</v>
      </c>
      <c r="AB1063" s="10" t="n">
        <v>1</v>
      </c>
    </row>
    <row r="1064">
      <c r="A1064" s="7" t="inlineStr">
        <is>
          <t>MAT-19-037</t>
        </is>
      </c>
      <c r="B1064" s="4" t="inlineStr">
        <is>
          <t>Tubo negro redondo 2" x 20 pies, pared 3.91 mm</t>
        </is>
      </c>
      <c r="C1064" s="7" t="inlineStr">
        <is>
          <t>unidad</t>
        </is>
      </c>
      <c r="D1064" s="8" t="n">
        <v>2634.08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>
        <f>IF(COUNT(D1064:U1064)=0,"",MIN(D1064:U1064))</f>
        <v/>
      </c>
      <c r="W1064" s="8">
        <f>IF(COUNT(D1064:U1064)=0,"",MEDIAN(D1064:U1064))</f>
        <v/>
      </c>
      <c r="X1064" s="8">
        <f>IF(COUNT(D1064:U1064)=0,"",MAX(D1064:U1064))</f>
        <v/>
      </c>
      <c r="Y1064" s="9">
        <f>IF(OR(V1064="",V1064=0),"",(X1064-V1064)/V1064)</f>
        <v/>
      </c>
      <c r="Z1064" s="7">
        <f>IF(COUNT(D1064:U1064)=0,"",INDEX($D$1:$U$1,MATCH(MIN(D1064:U1064),D1064:U1064,0)))</f>
        <v/>
      </c>
      <c r="AA1064" s="8" t="n">
        <v>2634.08</v>
      </c>
      <c r="AB1064" s="10" t="n">
        <v>1</v>
      </c>
    </row>
    <row r="1065">
      <c r="A1065" s="7" t="inlineStr">
        <is>
          <t>MAT-19-038</t>
        </is>
      </c>
      <c r="B1065" s="4" t="inlineStr">
        <is>
          <t>Tubo negro redondo 2 1/2" x 20 pies</t>
        </is>
      </c>
      <c r="C1065" s="7" t="inlineStr">
        <is>
          <t>unidad</t>
        </is>
      </c>
      <c r="D1065" s="8" t="n">
        <v>4173.42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>
        <f>IF(COUNT(D1065:U1065)=0,"",MIN(D1065:U1065))</f>
        <v/>
      </c>
      <c r="W1065" s="8">
        <f>IF(COUNT(D1065:U1065)=0,"",MEDIAN(D1065:U1065))</f>
        <v/>
      </c>
      <c r="X1065" s="8">
        <f>IF(COUNT(D1065:U1065)=0,"",MAX(D1065:U1065))</f>
        <v/>
      </c>
      <c r="Y1065" s="9">
        <f>IF(OR(V1065="",V1065=0),"",(X1065-V1065)/V1065)</f>
        <v/>
      </c>
      <c r="Z1065" s="7">
        <f>IF(COUNT(D1065:U1065)=0,"",INDEX($D$1:$U$1,MATCH(MIN(D1065:U1065),D1065:U1065,0)))</f>
        <v/>
      </c>
      <c r="AA1065" s="8" t="n">
        <v>4173.42</v>
      </c>
      <c r="AB1065" s="10" t="n">
        <v>1</v>
      </c>
    </row>
    <row r="1066">
      <c r="A1066" s="7" t="inlineStr">
        <is>
          <t>MAT-19-039</t>
        </is>
      </c>
      <c r="B1066" s="4" t="inlineStr">
        <is>
          <t>Tubo negro redondo 3" x 20 pies</t>
        </is>
      </c>
      <c r="C1066" s="7" t="inlineStr">
        <is>
          <t>unidad</t>
        </is>
      </c>
      <c r="D1066" s="8" t="n">
        <v>5029.28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>
        <f>IF(COUNT(D1066:U1066)=0,"",MIN(D1066:U1066))</f>
        <v/>
      </c>
      <c r="W1066" s="8">
        <f>IF(COUNT(D1066:U1066)=0,"",MEDIAN(D1066:U1066))</f>
        <v/>
      </c>
      <c r="X1066" s="8">
        <f>IF(COUNT(D1066:U1066)=0,"",MAX(D1066:U1066))</f>
        <v/>
      </c>
      <c r="Y1066" s="9">
        <f>IF(OR(V1066="",V1066=0),"",(X1066-V1066)/V1066)</f>
        <v/>
      </c>
      <c r="Z1066" s="7">
        <f>IF(COUNT(D1066:U1066)=0,"",INDEX($D$1:$U$1,MATCH(MIN(D1066:U1066),D1066:U1066,0)))</f>
        <v/>
      </c>
      <c r="AA1066" s="8" t="n">
        <v>5029.28</v>
      </c>
      <c r="AB1066" s="10" t="n">
        <v>1</v>
      </c>
    </row>
    <row r="1067">
      <c r="A1067" s="7" t="inlineStr">
        <is>
          <t>MAT-19-040</t>
        </is>
      </c>
      <c r="B1067" s="4" t="inlineStr">
        <is>
          <t>Tubo negro redondo 8" x 20 pies, pared 6 mm</t>
        </is>
      </c>
      <c r="C1067" s="7" t="inlineStr">
        <is>
          <t>unidad</t>
        </is>
      </c>
      <c r="D1067" s="8" t="n">
        <v>15250.64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>
        <f>IF(COUNT(D1067:U1067)=0,"",MIN(D1067:U1067))</f>
        <v/>
      </c>
      <c r="W1067" s="8">
        <f>IF(COUNT(D1067:U1067)=0,"",MEDIAN(D1067:U1067))</f>
        <v/>
      </c>
      <c r="X1067" s="8">
        <f>IF(COUNT(D1067:U1067)=0,"",MAX(D1067:U1067))</f>
        <v/>
      </c>
      <c r="Y1067" s="9">
        <f>IF(OR(V1067="",V1067=0),"",(X1067-V1067)/V1067)</f>
        <v/>
      </c>
      <c r="Z1067" s="7">
        <f>IF(COUNT(D1067:U1067)=0,"",INDEX($D$1:$U$1,MATCH(MIN(D1067:U1067),D1067:U1067,0)))</f>
        <v/>
      </c>
      <c r="AA1067" s="8" t="n">
        <v>15250.64</v>
      </c>
      <c r="AB1067" s="10" t="n">
        <v>1</v>
      </c>
    </row>
    <row r="1068">
      <c r="A1068" s="7" t="inlineStr">
        <is>
          <t>MAT-19-041</t>
        </is>
      </c>
      <c r="B1068" s="4" t="inlineStr">
        <is>
          <t>Tubo negro redondo 8" x 20 pies, pared 6.35 mm</t>
        </is>
      </c>
      <c r="C1068" s="7" t="inlineStr">
        <is>
          <t>unidad</t>
        </is>
      </c>
      <c r="D1068" s="8" t="n">
        <v>11671.14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>
        <f>IF(COUNT(D1068:U1068)=0,"",MIN(D1068:U1068))</f>
        <v/>
      </c>
      <c r="W1068" s="8">
        <f>IF(COUNT(D1068:U1068)=0,"",MEDIAN(D1068:U1068))</f>
        <v/>
      </c>
      <c r="X1068" s="8">
        <f>IF(COUNT(D1068:U1068)=0,"",MAX(D1068:U1068))</f>
        <v/>
      </c>
      <c r="Y1068" s="9">
        <f>IF(OR(V1068="",V1068=0),"",(X1068-V1068)/V1068)</f>
        <v/>
      </c>
      <c r="Z1068" s="7">
        <f>IF(COUNT(D1068:U1068)=0,"",INDEX($D$1:$U$1,MATCH(MIN(D1068:U1068),D1068:U1068,0)))</f>
        <v/>
      </c>
      <c r="AA1068" s="8" t="n">
        <v>11671.14</v>
      </c>
      <c r="AB1068" s="10" t="n">
        <v>1</v>
      </c>
    </row>
    <row r="1069">
      <c r="A1069" s="7" t="inlineStr">
        <is>
          <t>MAT-19-042</t>
        </is>
      </c>
      <c r="B1069" s="4" t="inlineStr">
        <is>
          <t>Tubo negro redondo 10" x 20 pies, pared 6.00 mm</t>
        </is>
      </c>
      <c r="C1069" s="7" t="inlineStr">
        <is>
          <t>unidad</t>
        </is>
      </c>
      <c r="D1069" s="8" t="n">
        <v>18313.02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>
        <f>IF(COUNT(D1069:U1069)=0,"",MIN(D1069:U1069))</f>
        <v/>
      </c>
      <c r="W1069" s="8">
        <f>IF(COUNT(D1069:U1069)=0,"",MEDIAN(D1069:U1069))</f>
        <v/>
      </c>
      <c r="X1069" s="8">
        <f>IF(COUNT(D1069:U1069)=0,"",MAX(D1069:U1069))</f>
        <v/>
      </c>
      <c r="Y1069" s="9">
        <f>IF(OR(V1069="",V1069=0),"",(X1069-V1069)/V1069)</f>
        <v/>
      </c>
      <c r="Z1069" s="7">
        <f>IF(COUNT(D1069:U1069)=0,"",INDEX($D$1:$U$1,MATCH(MIN(D1069:U1069),D1069:U1069,0)))</f>
        <v/>
      </c>
      <c r="AA1069" s="8" t="n">
        <v>18313.02</v>
      </c>
      <c r="AB1069" s="10" t="n">
        <v>1</v>
      </c>
    </row>
    <row r="1070">
      <c r="A1070" s="7" t="inlineStr">
        <is>
          <t>MAT-19-043</t>
        </is>
      </c>
      <c r="B1070" s="4" t="inlineStr">
        <is>
          <t>Tubo negro redondo 14" x 20 pies, pared 6 mm</t>
        </is>
      </c>
      <c r="C1070" s="7" t="inlineStr">
        <is>
          <t>unidad</t>
        </is>
      </c>
      <c r="D1070" s="8" t="n">
        <v>27695.11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>
        <f>IF(COUNT(D1070:U1070)=0,"",MIN(D1070:U1070))</f>
        <v/>
      </c>
      <c r="W1070" s="8">
        <f>IF(COUNT(D1070:U1070)=0,"",MEDIAN(D1070:U1070))</f>
        <v/>
      </c>
      <c r="X1070" s="8">
        <f>IF(COUNT(D1070:U1070)=0,"",MAX(D1070:U1070))</f>
        <v/>
      </c>
      <c r="Y1070" s="9">
        <f>IF(OR(V1070="",V1070=0),"",(X1070-V1070)/V1070)</f>
        <v/>
      </c>
      <c r="Z1070" s="7">
        <f>IF(COUNT(D1070:U1070)=0,"",INDEX($D$1:$U$1,MATCH(MIN(D1070:U1070),D1070:U1070,0)))</f>
        <v/>
      </c>
      <c r="AA1070" s="8" t="n">
        <v>27695.11</v>
      </c>
      <c r="AB1070" s="10" t="n">
        <v>1</v>
      </c>
    </row>
    <row r="1071">
      <c r="A1071" s="7" t="inlineStr">
        <is>
          <t>MAT-19-044</t>
        </is>
      </c>
      <c r="B1071" s="4" t="inlineStr">
        <is>
          <t>Tubo negro redondo 16" x 20 pies, pared 12.70 mm</t>
        </is>
      </c>
      <c r="C1071" s="7" t="inlineStr">
        <is>
          <t>unidad</t>
        </is>
      </c>
      <c r="D1071" s="8" t="n">
        <v>62026.36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>
        <f>IF(COUNT(D1071:U1071)=0,"",MIN(D1071:U1071))</f>
        <v/>
      </c>
      <c r="W1071" s="8">
        <f>IF(COUNT(D1071:U1071)=0,"",MEDIAN(D1071:U1071))</f>
        <v/>
      </c>
      <c r="X1071" s="8">
        <f>IF(COUNT(D1071:U1071)=0,"",MAX(D1071:U1071))</f>
        <v/>
      </c>
      <c r="Y1071" s="9">
        <f>IF(OR(V1071="",V1071=0),"",(X1071-V1071)/V1071)</f>
        <v/>
      </c>
      <c r="Z1071" s="7">
        <f>IF(COUNT(D1071:U1071)=0,"",INDEX($D$1:$U$1,MATCH(MIN(D1071:U1071),D1071:U1071,0)))</f>
        <v/>
      </c>
      <c r="AA1071" s="8" t="n">
        <v>62026.36</v>
      </c>
      <c r="AB1071" s="10" t="n">
        <v>1</v>
      </c>
    </row>
    <row r="1072">
      <c r="A1072" s="7" t="inlineStr">
        <is>
          <t>MAT-19-045</t>
        </is>
      </c>
      <c r="B1072" s="4" t="inlineStr">
        <is>
          <t>Correa galvanizada tipo Z 6" x 1/16" x 20 pies</t>
        </is>
      </c>
      <c r="C1072" s="7" t="inlineStr">
        <is>
          <t>unidad</t>
        </is>
      </c>
      <c r="D1072" s="8" t="n">
        <v>2658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>
        <f>IF(COUNT(D1072:U1072)=0,"",MIN(D1072:U1072))</f>
        <v/>
      </c>
      <c r="W1072" s="8">
        <f>IF(COUNT(D1072:U1072)=0,"",MEDIAN(D1072:U1072))</f>
        <v/>
      </c>
      <c r="X1072" s="8">
        <f>IF(COUNT(D1072:U1072)=0,"",MAX(D1072:U1072))</f>
        <v/>
      </c>
      <c r="Y1072" s="9">
        <f>IF(OR(V1072="",V1072=0),"",(X1072-V1072)/V1072)</f>
        <v/>
      </c>
      <c r="Z1072" s="7">
        <f>IF(COUNT(D1072:U1072)=0,"",INDEX($D$1:$U$1,MATCH(MIN(D1072:U1072),D1072:U1072,0)))</f>
        <v/>
      </c>
      <c r="AA1072" s="8" t="n">
        <v>2658</v>
      </c>
      <c r="AB1072" s="10" t="n">
        <v>1</v>
      </c>
    </row>
    <row r="1073">
      <c r="A1073" s="7" t="inlineStr">
        <is>
          <t>MAT-19-046</t>
        </is>
      </c>
      <c r="B1073" s="4" t="inlineStr">
        <is>
          <t>Correa galvanizada tipo Z 8" x 1/16" x 20 pies</t>
        </is>
      </c>
      <c r="C1073" s="7" t="inlineStr">
        <is>
          <t>unidad</t>
        </is>
      </c>
      <c r="D1073" s="8" t="n">
        <v>3039.2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>
        <f>IF(COUNT(D1073:U1073)=0,"",MIN(D1073:U1073))</f>
        <v/>
      </c>
      <c r="W1073" s="8">
        <f>IF(COUNT(D1073:U1073)=0,"",MEDIAN(D1073:U1073))</f>
        <v/>
      </c>
      <c r="X1073" s="8">
        <f>IF(COUNT(D1073:U1073)=0,"",MAX(D1073:U1073))</f>
        <v/>
      </c>
      <c r="Y1073" s="9">
        <f>IF(OR(V1073="",V1073=0),"",(X1073-V1073)/V1073)</f>
        <v/>
      </c>
      <c r="Z1073" s="7">
        <f>IF(COUNT(D1073:U1073)=0,"",INDEX($D$1:$U$1,MATCH(MIN(D1073:U1073),D1073:U1073,0)))</f>
        <v/>
      </c>
      <c r="AA1073" s="8" t="n">
        <v>3039.2</v>
      </c>
      <c r="AB1073" s="10" t="n">
        <v>1</v>
      </c>
    </row>
    <row r="1074">
      <c r="A1074" s="7" t="inlineStr">
        <is>
          <t>MAT-20-001</t>
        </is>
      </c>
      <c r="B1074" s="4" t="inlineStr">
        <is>
          <t>Angular de hierro negro 3/4" x 1/8" x 20 pies</t>
        </is>
      </c>
      <c r="C1074" s="7" t="inlineStr">
        <is>
          <t>unidad</t>
        </is>
      </c>
      <c r="D1074" s="8" t="n">
        <v>449.99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>
        <f>IF(COUNT(D1074:U1074)=0,"",MIN(D1074:U1074))</f>
        <v/>
      </c>
      <c r="W1074" s="8">
        <f>IF(COUNT(D1074:U1074)=0,"",MEDIAN(D1074:U1074))</f>
        <v/>
      </c>
      <c r="X1074" s="8">
        <f>IF(COUNT(D1074:U1074)=0,"",MAX(D1074:U1074))</f>
        <v/>
      </c>
      <c r="Y1074" s="9">
        <f>IF(OR(V1074="",V1074=0),"",(X1074-V1074)/V1074)</f>
        <v/>
      </c>
      <c r="Z1074" s="7">
        <f>IF(COUNT(D1074:U1074)=0,"",INDEX($D$1:$U$1,MATCH(MIN(D1074:U1074),D1074:U1074,0)))</f>
        <v/>
      </c>
      <c r="AA1074" s="8" t="n">
        <v>449.99</v>
      </c>
      <c r="AB1074" s="10" t="n">
        <v>1</v>
      </c>
    </row>
    <row r="1075">
      <c r="A1075" s="7" t="inlineStr">
        <is>
          <t>MAT-20-002</t>
        </is>
      </c>
      <c r="B1075" s="4" t="inlineStr">
        <is>
          <t>Angular de hierro negro 1" x 1/8" x 20 pies</t>
        </is>
      </c>
      <c r="C1075" s="7" t="inlineStr">
        <is>
          <t>unidad</t>
        </is>
      </c>
      <c r="D1075" s="8" t="n">
        <v>560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>
        <v>580</v>
      </c>
      <c r="P1075" s="8" t="n"/>
      <c r="Q1075" s="8" t="n"/>
      <c r="R1075" s="8" t="n"/>
      <c r="S1075" s="8" t="n"/>
      <c r="T1075" s="8" t="n"/>
      <c r="U1075" s="8" t="n"/>
      <c r="V1075" s="8">
        <f>IF(COUNT(D1075:U1075)=0,"",MIN(D1075:U1075))</f>
        <v/>
      </c>
      <c r="W1075" s="8">
        <f>IF(COUNT(D1075:U1075)=0,"",MEDIAN(D1075:U1075))</f>
        <v/>
      </c>
      <c r="X1075" s="8">
        <f>IF(COUNT(D1075:U1075)=0,"",MAX(D1075:U1075))</f>
        <v/>
      </c>
      <c r="Y1075" s="9">
        <f>IF(OR(V1075="",V1075=0),"",(X1075-V1075)/V1075)</f>
        <v/>
      </c>
      <c r="Z1075" s="7">
        <f>IF(COUNT(D1075:U1075)=0,"",INDEX($D$1:$U$1,MATCH(MIN(D1075:U1075),D1075:U1075,0)))</f>
        <v/>
      </c>
      <c r="AA1075" s="8" t="n">
        <v>622.2</v>
      </c>
      <c r="AB1075" s="10" t="n">
        <v>2</v>
      </c>
    </row>
    <row r="1076">
      <c r="A1076" s="7" t="inlineStr">
        <is>
          <t>MAT-20-003</t>
        </is>
      </c>
      <c r="B1076" s="4" t="inlineStr">
        <is>
          <t>Angular de hierro negro 1" x 3/16" x 20 pies</t>
        </is>
      </c>
      <c r="C1076" s="7" t="inlineStr">
        <is>
          <t>unidad</t>
        </is>
      </c>
      <c r="D1076" s="8" t="n">
        <v>812.01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>
        <v>869</v>
      </c>
      <c r="P1076" s="8" t="n"/>
      <c r="Q1076" s="8" t="n"/>
      <c r="R1076" s="8" t="n"/>
      <c r="S1076" s="8" t="n"/>
      <c r="T1076" s="8" t="n"/>
      <c r="U1076" s="8" t="n"/>
      <c r="V1076" s="8">
        <f>IF(COUNT(D1076:U1076)=0,"",MIN(D1076:U1076))</f>
        <v/>
      </c>
      <c r="W1076" s="8">
        <f>IF(COUNT(D1076:U1076)=0,"",MEDIAN(D1076:U1076))</f>
        <v/>
      </c>
      <c r="X1076" s="8">
        <f>IF(COUNT(D1076:U1076)=0,"",MAX(D1076:U1076))</f>
        <v/>
      </c>
      <c r="Y1076" s="9">
        <f>IF(OR(V1076="",V1076=0),"",(X1076-V1076)/V1076)</f>
        <v/>
      </c>
      <c r="Z1076" s="7">
        <f>IF(COUNT(D1076:U1076)=0,"",INDEX($D$1:$U$1,MATCH(MIN(D1076:U1076),D1076:U1076,0)))</f>
        <v/>
      </c>
      <c r="AA1076" s="8" t="n">
        <v>918.71</v>
      </c>
      <c r="AB1076" s="10" t="n">
        <v>2</v>
      </c>
    </row>
    <row r="1077">
      <c r="A1077" s="7" t="inlineStr">
        <is>
          <t>MAT-20-004</t>
        </is>
      </c>
      <c r="B1077" s="4" t="inlineStr">
        <is>
          <t>Angular de hierro negro 1" x 1/4" x 20 pies</t>
        </is>
      </c>
      <c r="C1077" s="7" t="inlineStr">
        <is>
          <t>unidad</t>
        </is>
      </c>
      <c r="D1077" s="8" t="n">
        <v>1163.48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>
        <f>IF(COUNT(D1077:U1077)=0,"",MIN(D1077:U1077))</f>
        <v/>
      </c>
      <c r="W1077" s="8">
        <f>IF(COUNT(D1077:U1077)=0,"",MEDIAN(D1077:U1077))</f>
        <v/>
      </c>
      <c r="X1077" s="8">
        <f>IF(COUNT(D1077:U1077)=0,"",MAX(D1077:U1077))</f>
        <v/>
      </c>
      <c r="Y1077" s="9">
        <f>IF(OR(V1077="",V1077=0),"",(X1077-V1077)/V1077)</f>
        <v/>
      </c>
      <c r="Z1077" s="7">
        <f>IF(COUNT(D1077:U1077)=0,"",INDEX($D$1:$U$1,MATCH(MIN(D1077:U1077),D1077:U1077,0)))</f>
        <v/>
      </c>
      <c r="AA1077" s="8" t="n">
        <v>1163.48</v>
      </c>
      <c r="AB1077" s="10" t="n">
        <v>1</v>
      </c>
    </row>
    <row r="1078">
      <c r="A1078" s="7" t="inlineStr">
        <is>
          <t>MAT-20-005</t>
        </is>
      </c>
      <c r="B1078" s="4" t="inlineStr">
        <is>
          <t>Angular de hierro negro 1 1/4" x 1/8" x 20 pies</t>
        </is>
      </c>
      <c r="C1078" s="7" t="inlineStr">
        <is>
          <t>unidad</t>
        </is>
      </c>
      <c r="D1078" s="8" t="n">
        <v>781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>
        <f>IF(COUNT(D1078:U1078)=0,"",MIN(D1078:U1078))</f>
        <v/>
      </c>
      <c r="W1078" s="8">
        <f>IF(COUNT(D1078:U1078)=0,"",MEDIAN(D1078:U1078))</f>
        <v/>
      </c>
      <c r="X1078" s="8">
        <f>IF(COUNT(D1078:U1078)=0,"",MAX(D1078:U1078))</f>
        <v/>
      </c>
      <c r="Y1078" s="9">
        <f>IF(OR(V1078="",V1078=0),"",(X1078-V1078)/V1078)</f>
        <v/>
      </c>
      <c r="Z1078" s="7">
        <f>IF(COUNT(D1078:U1078)=0,"",INDEX($D$1:$U$1,MATCH(MIN(D1078:U1078),D1078:U1078,0)))</f>
        <v/>
      </c>
      <c r="AA1078" s="8" t="n">
        <v>781</v>
      </c>
      <c r="AB1078" s="10" t="n">
        <v>1</v>
      </c>
    </row>
    <row r="1079">
      <c r="A1079" s="7" t="inlineStr">
        <is>
          <t>MAT-20-006</t>
        </is>
      </c>
      <c r="B1079" s="4" t="inlineStr">
        <is>
          <t>Angular de hierro negro 1 1/4" x 3/16" x 20 pies</t>
        </is>
      </c>
      <c r="C1079" s="7" t="inlineStr">
        <is>
          <t>unidad</t>
        </is>
      </c>
      <c r="D1079" s="8" t="n">
        <v>1036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>
        <v>1011.86</v>
      </c>
      <c r="P1079" s="8" t="n"/>
      <c r="Q1079" s="8" t="n"/>
      <c r="R1079" s="8" t="n"/>
      <c r="S1079" s="8" t="n"/>
      <c r="T1079" s="8" t="n"/>
      <c r="U1079" s="8" t="n"/>
      <c r="V1079" s="8">
        <f>IF(COUNT(D1079:U1079)=0,"",MIN(D1079:U1079))</f>
        <v/>
      </c>
      <c r="W1079" s="8">
        <f>IF(COUNT(D1079:U1079)=0,"",MEDIAN(D1079:U1079))</f>
        <v/>
      </c>
      <c r="X1079" s="8">
        <f>IF(COUNT(D1079:U1079)=0,"",MAX(D1079:U1079))</f>
        <v/>
      </c>
      <c r="Y1079" s="9">
        <f>IF(OR(V1079="",V1079=0),"",(X1079-V1079)/V1079)</f>
        <v/>
      </c>
      <c r="Z1079" s="7">
        <f>IF(COUNT(D1079:U1079)=0,"",INDEX($D$1:$U$1,MATCH(MIN(D1079:U1079),D1079:U1079,0)))</f>
        <v/>
      </c>
      <c r="AA1079" s="8" t="n">
        <v>1115</v>
      </c>
      <c r="AB1079" s="10" t="n">
        <v>2</v>
      </c>
    </row>
    <row r="1080">
      <c r="A1080" s="7" t="inlineStr">
        <is>
          <t>MAT-20-007</t>
        </is>
      </c>
      <c r="B1080" s="4" t="inlineStr">
        <is>
          <t>Angular de hierro negro 1 1/4" x 1/4" x 20 pies</t>
        </is>
      </c>
      <c r="C1080" s="7" t="inlineStr">
        <is>
          <t>unidad</t>
        </is>
      </c>
      <c r="D1080" s="8" t="n">
        <v>1344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>
        <f>IF(COUNT(D1080:U1080)=0,"",MIN(D1080:U1080))</f>
        <v/>
      </c>
      <c r="W1080" s="8">
        <f>IF(COUNT(D1080:U1080)=0,"",MEDIAN(D1080:U1080))</f>
        <v/>
      </c>
      <c r="X1080" s="8">
        <f>IF(COUNT(D1080:U1080)=0,"",MAX(D1080:U1080))</f>
        <v/>
      </c>
      <c r="Y1080" s="9">
        <f>IF(OR(V1080="",V1080=0),"",(X1080-V1080)/V1080)</f>
        <v/>
      </c>
      <c r="Z1080" s="7">
        <f>IF(COUNT(D1080:U1080)=0,"",INDEX($D$1:$U$1,MATCH(MIN(D1080:U1080),D1080:U1080,0)))</f>
        <v/>
      </c>
      <c r="AA1080" s="8" t="n">
        <v>1344</v>
      </c>
      <c r="AB1080" s="10" t="n">
        <v>1</v>
      </c>
    </row>
    <row r="1081">
      <c r="A1081" s="7" t="inlineStr">
        <is>
          <t>MAT-20-008</t>
        </is>
      </c>
      <c r="B1081" s="4" t="inlineStr">
        <is>
          <t>Angular de hierro negro 1 1/2" x 3/16" x 20 pies</t>
        </is>
      </c>
      <c r="C1081" s="7" t="inlineStr">
        <is>
          <t>unidad</t>
        </is>
      </c>
      <c r="D1081" s="8" t="n">
        <v>1260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>
        <v>1437</v>
      </c>
      <c r="P1081" s="8" t="n"/>
      <c r="Q1081" s="8" t="n"/>
      <c r="R1081" s="8" t="n"/>
      <c r="S1081" s="8" t="n"/>
      <c r="T1081" s="8" t="n"/>
      <c r="U1081" s="8" t="n"/>
      <c r="V1081" s="8">
        <f>IF(COUNT(D1081:U1081)=0,"",MIN(D1081:U1081))</f>
        <v/>
      </c>
      <c r="W1081" s="8">
        <f>IF(COUNT(D1081:U1081)=0,"",MEDIAN(D1081:U1081))</f>
        <v/>
      </c>
      <c r="X1081" s="8">
        <f>IF(COUNT(D1081:U1081)=0,"",MAX(D1081:U1081))</f>
        <v/>
      </c>
      <c r="Y1081" s="9">
        <f>IF(OR(V1081="",V1081=0),"",(X1081-V1081)/V1081)</f>
        <v/>
      </c>
      <c r="Z1081" s="7">
        <f>IF(COUNT(D1081:U1081)=0,"",INDEX($D$1:$U$1,MATCH(MIN(D1081:U1081),D1081:U1081,0)))</f>
        <v/>
      </c>
      <c r="AA1081" s="8" t="n">
        <v>1477.83</v>
      </c>
      <c r="AB1081" s="10" t="n">
        <v>2</v>
      </c>
    </row>
    <row r="1082">
      <c r="A1082" s="7" t="inlineStr">
        <is>
          <t>MAT-20-009</t>
        </is>
      </c>
      <c r="B1082" s="4" t="inlineStr">
        <is>
          <t>Angular de hierro negro 1 1/2" x 1/4" x 20 pies</t>
        </is>
      </c>
      <c r="C1082" s="7" t="inlineStr">
        <is>
          <t>unidad</t>
        </is>
      </c>
      <c r="D1082" s="8" t="n">
        <v>1638.01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>
        <v>1698</v>
      </c>
      <c r="P1082" s="8" t="n"/>
      <c r="Q1082" s="8" t="n"/>
      <c r="R1082" s="8" t="n"/>
      <c r="S1082" s="8" t="n"/>
      <c r="T1082" s="8" t="n"/>
      <c r="U1082" s="8" t="n"/>
      <c r="V1082" s="8">
        <f>IF(COUNT(D1082:U1082)=0,"",MIN(D1082:U1082))</f>
        <v/>
      </c>
      <c r="W1082" s="8">
        <f>IF(COUNT(D1082:U1082)=0,"",MEDIAN(D1082:U1082))</f>
        <v/>
      </c>
      <c r="X1082" s="8">
        <f>IF(COUNT(D1082:U1082)=0,"",MAX(D1082:U1082))</f>
        <v/>
      </c>
      <c r="Y1082" s="9">
        <f>IF(OR(V1082="",V1082=0),"",(X1082-V1082)/V1082)</f>
        <v/>
      </c>
      <c r="Z1082" s="7">
        <f>IF(COUNT(D1082:U1082)=0,"",INDEX($D$1:$U$1,MATCH(MIN(D1082:U1082),D1082:U1082,0)))</f>
        <v/>
      </c>
      <c r="AA1082" s="8" t="n">
        <v>1820.82</v>
      </c>
      <c r="AB1082" s="10" t="n">
        <v>2</v>
      </c>
    </row>
    <row r="1083">
      <c r="A1083" s="7" t="inlineStr">
        <is>
          <t>MAT-20-010</t>
        </is>
      </c>
      <c r="B1083" s="4" t="inlineStr">
        <is>
          <t>Angular de hierro negro 2" x 1/8" x 20 pies</t>
        </is>
      </c>
      <c r="C1083" s="7" t="inlineStr">
        <is>
          <t>unidad</t>
        </is>
      </c>
      <c r="D1083" s="8" t="n">
        <v>1155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>
        <v>1048</v>
      </c>
      <c r="P1083" s="8" t="n"/>
      <c r="Q1083" s="8" t="n"/>
      <c r="R1083" s="8" t="n"/>
      <c r="S1083" s="8" t="n"/>
      <c r="T1083" s="8" t="n"/>
      <c r="U1083" s="8" t="n"/>
      <c r="V1083" s="8">
        <f>IF(COUNT(D1083:U1083)=0,"",MIN(D1083:U1083))</f>
        <v/>
      </c>
      <c r="W1083" s="8">
        <f>IF(COUNT(D1083:U1083)=0,"",MEDIAN(D1083:U1083))</f>
        <v/>
      </c>
      <c r="X1083" s="8">
        <f>IF(COUNT(D1083:U1083)=0,"",MAX(D1083:U1083))</f>
        <v/>
      </c>
      <c r="Y1083" s="9">
        <f>IF(OR(V1083="",V1083=0),"",(X1083-V1083)/V1083)</f>
        <v/>
      </c>
      <c r="Z1083" s="7">
        <f>IF(COUNT(D1083:U1083)=0,"",INDEX($D$1:$U$1,MATCH(MIN(D1083:U1083),D1083:U1083,0)))</f>
        <v/>
      </c>
      <c r="AA1083" s="8" t="n">
        <v>1195.82</v>
      </c>
      <c r="AB1083" s="10" t="n">
        <v>2</v>
      </c>
    </row>
    <row r="1084">
      <c r="A1084" s="7" t="inlineStr">
        <is>
          <t>MAT-20-011</t>
        </is>
      </c>
      <c r="B1084" s="4" t="inlineStr">
        <is>
          <t>Angular de hierro negro 2" x 3/16" x 20 pies</t>
        </is>
      </c>
      <c r="C1084" s="7" t="inlineStr">
        <is>
          <t>unidad</t>
        </is>
      </c>
      <c r="D1084" s="8" t="n">
        <v>1708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>
        <v>1971</v>
      </c>
      <c r="P1084" s="8" t="n"/>
      <c r="Q1084" s="8" t="n"/>
      <c r="R1084" s="8" t="n"/>
      <c r="S1084" s="8" t="n"/>
      <c r="T1084" s="8" t="n"/>
      <c r="U1084" s="8" t="n"/>
      <c r="V1084" s="8">
        <f>IF(COUNT(D1084:U1084)=0,"",MIN(D1084:U1084))</f>
        <v/>
      </c>
      <c r="W1084" s="8">
        <f>IF(COUNT(D1084:U1084)=0,"",MEDIAN(D1084:U1084))</f>
        <v/>
      </c>
      <c r="X1084" s="8">
        <f>IF(COUNT(D1084:U1084)=0,"",MAX(D1084:U1084))</f>
        <v/>
      </c>
      <c r="Y1084" s="9">
        <f>IF(OR(V1084="",V1084=0),"",(X1084-V1084)/V1084)</f>
        <v/>
      </c>
      <c r="Z1084" s="7">
        <f>IF(COUNT(D1084:U1084)=0,"",INDEX($D$1:$U$1,MATCH(MIN(D1084:U1084),D1084:U1084,0)))</f>
        <v/>
      </c>
      <c r="AA1084" s="8" t="n">
        <v>2016.89</v>
      </c>
      <c r="AB1084" s="10" t="n">
        <v>2</v>
      </c>
    </row>
    <row r="1085">
      <c r="A1085" s="7" t="inlineStr">
        <is>
          <t>MAT-20-012</t>
        </is>
      </c>
      <c r="B1085" s="4" t="inlineStr">
        <is>
          <t>Angular de hierro negro 2" x 1/4" x 20 pies</t>
        </is>
      </c>
      <c r="C1085" s="7" t="inlineStr">
        <is>
          <t>unidad</t>
        </is>
      </c>
      <c r="D1085" s="8" t="n">
        <v>2324.69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>
        <v>2539</v>
      </c>
      <c r="P1085" s="8" t="n"/>
      <c r="Q1085" s="8" t="n"/>
      <c r="R1085" s="8" t="n"/>
      <c r="S1085" s="8" t="n"/>
      <c r="T1085" s="8" t="n"/>
      <c r="U1085" s="8" t="n"/>
      <c r="V1085" s="8">
        <f>IF(COUNT(D1085:U1085)=0,"",MIN(D1085:U1085))</f>
        <v/>
      </c>
      <c r="W1085" s="8">
        <f>IF(COUNT(D1085:U1085)=0,"",MEDIAN(D1085:U1085))</f>
        <v/>
      </c>
      <c r="X1085" s="8">
        <f>IF(COUNT(D1085:U1085)=0,"",MAX(D1085:U1085))</f>
        <v/>
      </c>
      <c r="Y1085" s="9">
        <f>IF(OR(V1085="",V1085=0),"",(X1085-V1085)/V1085)</f>
        <v/>
      </c>
      <c r="Z1085" s="7">
        <f>IF(COUNT(D1085:U1085)=0,"",INDEX($D$1:$U$1,MATCH(MIN(D1085:U1085),D1085:U1085,0)))</f>
        <v/>
      </c>
      <c r="AA1085" s="8" t="n">
        <v>2660.36</v>
      </c>
      <c r="AB1085" s="10" t="n">
        <v>2</v>
      </c>
    </row>
    <row r="1086">
      <c r="A1086" s="7" t="inlineStr">
        <is>
          <t>MAT-20-013</t>
        </is>
      </c>
      <c r="B1086" s="4" t="inlineStr">
        <is>
          <t>Angular de hierro negro 2" x 3/8" x 20 pies</t>
        </is>
      </c>
      <c r="C1086" s="7" t="inlineStr">
        <is>
          <t>unidad</t>
        </is>
      </c>
      <c r="D1086" s="8" t="n">
        <v>3290.01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>
        <f>IF(COUNT(D1086:U1086)=0,"",MIN(D1086:U1086))</f>
        <v/>
      </c>
      <c r="W1086" s="8">
        <f>IF(COUNT(D1086:U1086)=0,"",MEDIAN(D1086:U1086))</f>
        <v/>
      </c>
      <c r="X1086" s="8">
        <f>IF(COUNT(D1086:U1086)=0,"",MAX(D1086:U1086))</f>
        <v/>
      </c>
      <c r="Y1086" s="9">
        <f>IF(OR(V1086="",V1086=0),"",(X1086-V1086)/V1086)</f>
        <v/>
      </c>
      <c r="Z1086" s="7">
        <f>IF(COUNT(D1086:U1086)=0,"",INDEX($D$1:$U$1,MATCH(MIN(D1086:U1086),D1086:U1086,0)))</f>
        <v/>
      </c>
      <c r="AA1086" s="8" t="n">
        <v>3290.01</v>
      </c>
      <c r="AB1086" s="10" t="n">
        <v>1</v>
      </c>
    </row>
    <row r="1087">
      <c r="A1087" s="7" t="inlineStr">
        <is>
          <t>MAT-20-014</t>
        </is>
      </c>
      <c r="B1087" s="4" t="inlineStr">
        <is>
          <t>Angular de hierro negro 2 1/2" x 3/16" x 20 pies</t>
        </is>
      </c>
      <c r="C1087" s="7" t="inlineStr">
        <is>
          <t>unidad</t>
        </is>
      </c>
      <c r="D1087" s="8" t="n">
        <v>2149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>
        <f>IF(COUNT(D1087:U1087)=0,"",MIN(D1087:U1087))</f>
        <v/>
      </c>
      <c r="W1087" s="8">
        <f>IF(COUNT(D1087:U1087)=0,"",MEDIAN(D1087:U1087))</f>
        <v/>
      </c>
      <c r="X1087" s="8">
        <f>IF(COUNT(D1087:U1087)=0,"",MAX(D1087:U1087))</f>
        <v/>
      </c>
      <c r="Y1087" s="9">
        <f>IF(OR(V1087="",V1087=0),"",(X1087-V1087)/V1087)</f>
        <v/>
      </c>
      <c r="Z1087" s="7">
        <f>IF(COUNT(D1087:U1087)=0,"",INDEX($D$1:$U$1,MATCH(MIN(D1087:U1087),D1087:U1087,0)))</f>
        <v/>
      </c>
      <c r="AA1087" s="8" t="n">
        <v>2149</v>
      </c>
      <c r="AB1087" s="10" t="n">
        <v>1</v>
      </c>
    </row>
    <row r="1088">
      <c r="A1088" s="7" t="inlineStr">
        <is>
          <t>MAT-20-015</t>
        </is>
      </c>
      <c r="B1088" s="4" t="inlineStr">
        <is>
          <t>Angular de hierro negro 2 1/2" x 1/4" x 20 pies</t>
        </is>
      </c>
      <c r="C1088" s="7" t="inlineStr">
        <is>
          <t>unidad</t>
        </is>
      </c>
      <c r="D1088" s="8" t="n">
        <v>2870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>
        <v>2744</v>
      </c>
      <c r="P1088" s="8" t="n"/>
      <c r="Q1088" s="8" t="n"/>
      <c r="R1088" s="8" t="n"/>
      <c r="S1088" s="8" t="n"/>
      <c r="T1088" s="8" t="n"/>
      <c r="U1088" s="8" t="n"/>
      <c r="V1088" s="8">
        <f>IF(COUNT(D1088:U1088)=0,"",MIN(D1088:U1088))</f>
        <v/>
      </c>
      <c r="W1088" s="8">
        <f>IF(COUNT(D1088:U1088)=0,"",MEDIAN(D1088:U1088))</f>
        <v/>
      </c>
      <c r="X1088" s="8">
        <f>IF(COUNT(D1088:U1088)=0,"",MAX(D1088:U1088))</f>
        <v/>
      </c>
      <c r="Y1088" s="9">
        <f>IF(OR(V1088="",V1088=0),"",(X1088-V1088)/V1088)</f>
        <v/>
      </c>
      <c r="Z1088" s="7">
        <f>IF(COUNT(D1088:U1088)=0,"",INDEX($D$1:$U$1,MATCH(MIN(D1088:U1088),D1088:U1088,0)))</f>
        <v/>
      </c>
      <c r="AA1088" s="8" t="n">
        <v>3053.96</v>
      </c>
      <c r="AB1088" s="10" t="n">
        <v>2</v>
      </c>
    </row>
    <row r="1089">
      <c r="A1089" s="7" t="inlineStr">
        <is>
          <t>MAT-20-016</t>
        </is>
      </c>
      <c r="B1089" s="4" t="inlineStr">
        <is>
          <t>Angular de hierro negro 2 1/2" x 3/8" x 20 pies</t>
        </is>
      </c>
      <c r="C1089" s="7" t="inlineStr">
        <is>
          <t>unidad</t>
        </is>
      </c>
      <c r="D1089" s="8" t="n">
        <v>4130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>
        <f>IF(COUNT(D1089:U1089)=0,"",MIN(D1089:U1089))</f>
        <v/>
      </c>
      <c r="W1089" s="8">
        <f>IF(COUNT(D1089:U1089)=0,"",MEDIAN(D1089:U1089))</f>
        <v/>
      </c>
      <c r="X1089" s="8">
        <f>IF(COUNT(D1089:U1089)=0,"",MAX(D1089:U1089))</f>
        <v/>
      </c>
      <c r="Y1089" s="9">
        <f>IF(OR(V1089="",V1089=0),"",(X1089-V1089)/V1089)</f>
        <v/>
      </c>
      <c r="Z1089" s="7">
        <f>IF(COUNT(D1089:U1089)=0,"",INDEX($D$1:$U$1,MATCH(MIN(D1089:U1089),D1089:U1089,0)))</f>
        <v/>
      </c>
      <c r="AA1089" s="8" t="n">
        <v>4130</v>
      </c>
      <c r="AB1089" s="10" t="n">
        <v>1</v>
      </c>
    </row>
    <row r="1090">
      <c r="A1090" s="7" t="inlineStr">
        <is>
          <t>MAT-20-017</t>
        </is>
      </c>
      <c r="B1090" s="4" t="inlineStr">
        <is>
          <t>Angular de hierro negro 3" x 1/4" x 20 pies</t>
        </is>
      </c>
      <c r="C1090" s="7" t="inlineStr">
        <is>
          <t>unidad</t>
        </is>
      </c>
      <c r="D1090" s="8" t="n">
        <v>3430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>
        <v>3127</v>
      </c>
      <c r="P1090" s="8" t="n"/>
      <c r="Q1090" s="8" t="n"/>
      <c r="R1090" s="8" t="n"/>
      <c r="S1090" s="8" t="n"/>
      <c r="T1090" s="8" t="n"/>
      <c r="U1090" s="8" t="n"/>
      <c r="V1090" s="8">
        <f>IF(COUNT(D1090:U1090)=0,"",MIN(D1090:U1090))</f>
        <v/>
      </c>
      <c r="W1090" s="8">
        <f>IF(COUNT(D1090:U1090)=0,"",MEDIAN(D1090:U1090))</f>
        <v/>
      </c>
      <c r="X1090" s="8">
        <f>IF(COUNT(D1090:U1090)=0,"",MAX(D1090:U1090))</f>
        <v/>
      </c>
      <c r="Y1090" s="9">
        <f>IF(OR(V1090="",V1090=0),"",(X1090-V1090)/V1090)</f>
        <v/>
      </c>
      <c r="Z1090" s="7">
        <f>IF(COUNT(D1090:U1090)=0,"",INDEX($D$1:$U$1,MATCH(MIN(D1090:U1090),D1090:U1090,0)))</f>
        <v/>
      </c>
      <c r="AA1090" s="8" t="n">
        <v>3559.93</v>
      </c>
      <c r="AB1090" s="10" t="n">
        <v>2</v>
      </c>
    </row>
    <row r="1091">
      <c r="A1091" s="7" t="inlineStr">
        <is>
          <t>MAT-20-018</t>
        </is>
      </c>
      <c r="B1091" s="4" t="inlineStr">
        <is>
          <t>Angular de hierro negro 3" x 3/8" x 20 pies</t>
        </is>
      </c>
      <c r="C1091" s="7" t="inlineStr">
        <is>
          <t>unidad</t>
        </is>
      </c>
      <c r="D1091" s="8" t="n">
        <v>5622.2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>
        <f>IF(COUNT(D1091:U1091)=0,"",MIN(D1091:U1091))</f>
        <v/>
      </c>
      <c r="W1091" s="8">
        <f>IF(COUNT(D1091:U1091)=0,"",MEDIAN(D1091:U1091))</f>
        <v/>
      </c>
      <c r="X1091" s="8">
        <f>IF(COUNT(D1091:U1091)=0,"",MAX(D1091:U1091))</f>
        <v/>
      </c>
      <c r="Y1091" s="9">
        <f>IF(OR(V1091="",V1091=0),"",(X1091-V1091)/V1091)</f>
        <v/>
      </c>
      <c r="Z1091" s="7">
        <f>IF(COUNT(D1091:U1091)=0,"",INDEX($D$1:$U$1,MATCH(MIN(D1091:U1091),D1091:U1091,0)))</f>
        <v/>
      </c>
      <c r="AA1091" s="8" t="n">
        <v>5622.2</v>
      </c>
      <c r="AB1091" s="10" t="n">
        <v>1</v>
      </c>
    </row>
    <row r="1092">
      <c r="A1092" s="7" t="inlineStr">
        <is>
          <t>MAT-20-019</t>
        </is>
      </c>
      <c r="B1092" s="4" t="inlineStr">
        <is>
          <t>Angular de hierro negro 4" x 1/4" x 20 pies</t>
        </is>
      </c>
      <c r="C1092" s="7" t="inlineStr">
        <is>
          <t>unidad</t>
        </is>
      </c>
      <c r="D1092" s="8" t="n">
        <v>4117.73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>
        <v>5306</v>
      </c>
      <c r="P1092" s="8" t="n"/>
      <c r="Q1092" s="8" t="n"/>
      <c r="R1092" s="8" t="n"/>
      <c r="S1092" s="8" t="n"/>
      <c r="T1092" s="8" t="n"/>
      <c r="U1092" s="8" t="n"/>
      <c r="V1092" s="8">
        <f>IF(COUNT(D1092:U1092)=0,"",MIN(D1092:U1092))</f>
        <v/>
      </c>
      <c r="W1092" s="8">
        <f>IF(COUNT(D1092:U1092)=0,"",MEDIAN(D1092:U1092))</f>
        <v/>
      </c>
      <c r="X1092" s="8">
        <f>IF(COUNT(D1092:U1092)=0,"",MAX(D1092:U1092))</f>
        <v/>
      </c>
      <c r="Y1092" s="9">
        <f>IF(OR(V1092="",V1092=0),"",(X1092-V1092)/V1092)</f>
        <v/>
      </c>
      <c r="Z1092" s="7">
        <f>IF(COUNT(D1092:U1092)=0,"",INDEX($D$1:$U$1,MATCH(MIN(D1092:U1092),D1092:U1092,0)))</f>
        <v/>
      </c>
      <c r="AA1092" s="8" t="n">
        <v>5189.41</v>
      </c>
      <c r="AB1092" s="10" t="n">
        <v>2</v>
      </c>
    </row>
    <row r="1093">
      <c r="A1093" s="7" t="inlineStr">
        <is>
          <t>MAT-20-020</t>
        </is>
      </c>
      <c r="B1093" s="4" t="inlineStr">
        <is>
          <t>Angular de hierro negro 4" x 1/2" x 20 pies</t>
        </is>
      </c>
      <c r="C1093" s="7" t="inlineStr">
        <is>
          <t>unidad</t>
        </is>
      </c>
      <c r="D1093" s="8" t="n">
        <v>9995.309999999999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>
        <f>IF(COUNT(D1093:U1093)=0,"",MIN(D1093:U1093))</f>
        <v/>
      </c>
      <c r="W1093" s="8">
        <f>IF(COUNT(D1093:U1093)=0,"",MEDIAN(D1093:U1093))</f>
        <v/>
      </c>
      <c r="X1093" s="8">
        <f>IF(COUNT(D1093:U1093)=0,"",MAX(D1093:U1093))</f>
        <v/>
      </c>
      <c r="Y1093" s="9">
        <f>IF(OR(V1093="",V1093=0),"",(X1093-V1093)/V1093)</f>
        <v/>
      </c>
      <c r="Z1093" s="7">
        <f>IF(COUNT(D1093:U1093)=0,"",INDEX($D$1:$U$1,MATCH(MIN(D1093:U1093),D1093:U1093,0)))</f>
        <v/>
      </c>
      <c r="AA1093" s="8" t="n">
        <v>9995.309999999999</v>
      </c>
      <c r="AB1093" s="10" t="n">
        <v>1</v>
      </c>
    </row>
    <row r="1094">
      <c r="A1094" s="7" t="inlineStr">
        <is>
          <t>MAT-20-021</t>
        </is>
      </c>
      <c r="B1094" s="4" t="inlineStr">
        <is>
          <t>Angular perforado, 1-1/2X1-1/2"X10'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425</v>
      </c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>
        <f>IF(COUNT(D1094:U1094)=0,"",MIN(D1094:U1094))</f>
        <v/>
      </c>
      <c r="W1094" s="8">
        <f>IF(COUNT(D1094:U1094)=0,"",MEDIAN(D1094:U1094))</f>
        <v/>
      </c>
      <c r="X1094" s="8">
        <f>IF(COUNT(D1094:U1094)=0,"",MAX(D1094:U1094))</f>
        <v/>
      </c>
      <c r="Y1094" s="9">
        <f>IF(OR(V1094="",V1094=0),"",(X1094-V1094)/V1094)</f>
        <v/>
      </c>
      <c r="Z1094" s="7">
        <f>IF(COUNT(D1094:U1094)=0,"",INDEX($D$1:$U$1,MATCH(MIN(D1094:U1094),D1094:U1094,0)))</f>
        <v/>
      </c>
      <c r="AA1094" s="8" t="n">
        <v>425</v>
      </c>
      <c r="AB1094" s="10" t="n">
        <v>1</v>
      </c>
    </row>
    <row r="1095">
      <c r="A1095" s="7" t="inlineStr">
        <is>
          <t>MAT-20-022</t>
        </is>
      </c>
      <c r="B1095" s="4" t="inlineStr">
        <is>
          <t>Angular perforado, 1-1/2X1-1/2"X8'</t>
        </is>
      </c>
      <c r="C1095" s="7" t="inlineStr">
        <is>
          <t>unidad</t>
        </is>
      </c>
      <c r="D1095" s="8" t="n"/>
      <c r="E1095" s="8" t="n"/>
      <c r="F1095" s="8" t="n"/>
      <c r="G1095" s="8" t="n"/>
      <c r="H1095" s="8" t="n"/>
      <c r="I1095" s="8" t="n"/>
      <c r="J1095" s="8" t="n"/>
      <c r="K1095" s="8" t="n">
        <v>360</v>
      </c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>
        <f>IF(COUNT(D1095:U1095)=0,"",MIN(D1095:U1095))</f>
        <v/>
      </c>
      <c r="W1095" s="8">
        <f>IF(COUNT(D1095:U1095)=0,"",MEDIAN(D1095:U1095))</f>
        <v/>
      </c>
      <c r="X1095" s="8">
        <f>IF(COUNT(D1095:U1095)=0,"",MAX(D1095:U1095))</f>
        <v/>
      </c>
      <c r="Y1095" s="9">
        <f>IF(OR(V1095="",V1095=0),"",(X1095-V1095)/V1095)</f>
        <v/>
      </c>
      <c r="Z1095" s="7">
        <f>IF(COUNT(D1095:U1095)=0,"",INDEX($D$1:$U$1,MATCH(MIN(D1095:U1095),D1095:U1095,0)))</f>
        <v/>
      </c>
      <c r="AA1095" s="8" t="n">
        <v>360</v>
      </c>
      <c r="AB1095" s="10" t="n">
        <v>1</v>
      </c>
    </row>
    <row r="1096">
      <c r="A1096" s="7" t="inlineStr">
        <is>
          <t>MAT-20-023</t>
        </is>
      </c>
      <c r="B1096" s="4" t="inlineStr">
        <is>
          <t>Planchuela de hierro negro 1/2" x 1/8" x 20 pies</t>
        </is>
      </c>
      <c r="C1096" s="7" t="inlineStr">
        <is>
          <t>unidad</t>
        </is>
      </c>
      <c r="D1096" s="8" t="n">
        <v>141.64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>
        <f>IF(COUNT(D1096:U1096)=0,"",MIN(D1096:U1096))</f>
        <v/>
      </c>
      <c r="W1096" s="8">
        <f>IF(COUNT(D1096:U1096)=0,"",MEDIAN(D1096:U1096))</f>
        <v/>
      </c>
      <c r="X1096" s="8">
        <f>IF(COUNT(D1096:U1096)=0,"",MAX(D1096:U1096))</f>
        <v/>
      </c>
      <c r="Y1096" s="9">
        <f>IF(OR(V1096="",V1096=0),"",(X1096-V1096)/V1096)</f>
        <v/>
      </c>
      <c r="Z1096" s="7">
        <f>IF(COUNT(D1096:U1096)=0,"",INDEX($D$1:$U$1,MATCH(MIN(D1096:U1096),D1096:U1096,0)))</f>
        <v/>
      </c>
      <c r="AA1096" s="8" t="n">
        <v>141.64</v>
      </c>
      <c r="AB1096" s="10" t="n">
        <v>1</v>
      </c>
    </row>
    <row r="1097">
      <c r="A1097" s="7" t="inlineStr">
        <is>
          <t>MAT-20-024</t>
        </is>
      </c>
      <c r="B1097" s="4" t="inlineStr">
        <is>
          <t>Planchuela de hierro negro 1/2" x 3/16" x 20 pies</t>
        </is>
      </c>
      <c r="C1097" s="7" t="inlineStr">
        <is>
          <t>unidad</t>
        </is>
      </c>
      <c r="D1097" s="8" t="n">
        <v>249.92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>
        <f>IF(COUNT(D1097:U1097)=0,"",MIN(D1097:U1097))</f>
        <v/>
      </c>
      <c r="W1097" s="8">
        <f>IF(COUNT(D1097:U1097)=0,"",MEDIAN(D1097:U1097))</f>
        <v/>
      </c>
      <c r="X1097" s="8">
        <f>IF(COUNT(D1097:U1097)=0,"",MAX(D1097:U1097))</f>
        <v/>
      </c>
      <c r="Y1097" s="9">
        <f>IF(OR(V1097="",V1097=0),"",(X1097-V1097)/V1097)</f>
        <v/>
      </c>
      <c r="Z1097" s="7">
        <f>IF(COUNT(D1097:U1097)=0,"",INDEX($D$1:$U$1,MATCH(MIN(D1097:U1097),D1097:U1097,0)))</f>
        <v/>
      </c>
      <c r="AA1097" s="8" t="n">
        <v>249.92</v>
      </c>
      <c r="AB1097" s="10" t="n">
        <v>1</v>
      </c>
    </row>
    <row r="1098">
      <c r="A1098" s="7" t="inlineStr">
        <is>
          <t>MAT-20-025</t>
        </is>
      </c>
      <c r="B1098" s="4" t="inlineStr">
        <is>
          <t>Planchuela de hierro negro 1/2" x 1/4" x 20 pies</t>
        </is>
      </c>
      <c r="C1098" s="7" t="inlineStr">
        <is>
          <t>unidad</t>
        </is>
      </c>
      <c r="D1098" s="8" t="n">
        <v>331.8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>
        <f>IF(COUNT(D1098:U1098)=0,"",MIN(D1098:U1098))</f>
        <v/>
      </c>
      <c r="W1098" s="8">
        <f>IF(COUNT(D1098:U1098)=0,"",MEDIAN(D1098:U1098))</f>
        <v/>
      </c>
      <c r="X1098" s="8">
        <f>IF(COUNT(D1098:U1098)=0,"",MAX(D1098:U1098))</f>
        <v/>
      </c>
      <c r="Y1098" s="9">
        <f>IF(OR(V1098="",V1098=0),"",(X1098-V1098)/V1098)</f>
        <v/>
      </c>
      <c r="Z1098" s="7">
        <f>IF(COUNT(D1098:U1098)=0,"",INDEX($D$1:$U$1,MATCH(MIN(D1098:U1098),D1098:U1098,0)))</f>
        <v/>
      </c>
      <c r="AA1098" s="8" t="n">
        <v>331.8</v>
      </c>
      <c r="AB1098" s="10" t="n">
        <v>1</v>
      </c>
    </row>
    <row r="1099">
      <c r="A1099" s="7" t="inlineStr">
        <is>
          <t>MAT-20-026</t>
        </is>
      </c>
      <c r="B1099" s="4" t="inlineStr">
        <is>
          <t>Planchuela de hierro negro 3/4" x 1/8" x 20 pies</t>
        </is>
      </c>
      <c r="C1099" s="7" t="inlineStr">
        <is>
          <t>unidad</t>
        </is>
      </c>
      <c r="D1099" s="8" t="n">
        <v>298.91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>
        <f>IF(COUNT(D1099:U1099)=0,"",MIN(D1099:U1099))</f>
        <v/>
      </c>
      <c r="W1099" s="8">
        <f>IF(COUNT(D1099:U1099)=0,"",MEDIAN(D1099:U1099))</f>
        <v/>
      </c>
      <c r="X1099" s="8">
        <f>IF(COUNT(D1099:U1099)=0,"",MAX(D1099:U1099))</f>
        <v/>
      </c>
      <c r="Y1099" s="9">
        <f>IF(OR(V1099="",V1099=0),"",(X1099-V1099)/V1099)</f>
        <v/>
      </c>
      <c r="Z1099" s="7">
        <f>IF(COUNT(D1099:U1099)=0,"",INDEX($D$1:$U$1,MATCH(MIN(D1099:U1099),D1099:U1099,0)))</f>
        <v/>
      </c>
      <c r="AA1099" s="8" t="n">
        <v>298.91</v>
      </c>
      <c r="AB1099" s="10" t="n">
        <v>1</v>
      </c>
    </row>
    <row r="1100">
      <c r="A1100" s="7" t="inlineStr">
        <is>
          <t>MAT-20-027</t>
        </is>
      </c>
      <c r="B1100" s="4" t="inlineStr">
        <is>
          <t>Planchuela de hierro negro 3/4" x 3/16" x 20 pies</t>
        </is>
      </c>
      <c r="C1100" s="7" t="inlineStr">
        <is>
          <t>unidad</t>
        </is>
      </c>
      <c r="D1100" s="8" t="n">
        <v>373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>
        <f>IF(COUNT(D1100:U1100)=0,"",MIN(D1100:U1100))</f>
        <v/>
      </c>
      <c r="W1100" s="8">
        <f>IF(COUNT(D1100:U1100)=0,"",MEDIAN(D1100:U1100))</f>
        <v/>
      </c>
      <c r="X1100" s="8">
        <f>IF(COUNT(D1100:U1100)=0,"",MAX(D1100:U1100))</f>
        <v/>
      </c>
      <c r="Y1100" s="9">
        <f>IF(OR(V1100="",V1100=0),"",(X1100-V1100)/V1100)</f>
        <v/>
      </c>
      <c r="Z1100" s="7">
        <f>IF(COUNT(D1100:U1100)=0,"",INDEX($D$1:$U$1,MATCH(MIN(D1100:U1100),D1100:U1100,0)))</f>
        <v/>
      </c>
      <c r="AA1100" s="8" t="n">
        <v>373</v>
      </c>
      <c r="AB1100" s="10" t="n">
        <v>1</v>
      </c>
    </row>
    <row r="1101">
      <c r="A1101" s="7" t="inlineStr">
        <is>
          <t>MAT-20-028</t>
        </is>
      </c>
      <c r="B1101" s="4" t="inlineStr">
        <is>
          <t>Planchuela de hierro negro 3/4" x 1/4" x 20 pies</t>
        </is>
      </c>
      <c r="C1101" s="7" t="inlineStr">
        <is>
          <t>unidad</t>
        </is>
      </c>
      <c r="D1101" s="8" t="n">
        <v>497.72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>
        <f>IF(COUNT(D1101:U1101)=0,"",MIN(D1101:U1101))</f>
        <v/>
      </c>
      <c r="W1101" s="8">
        <f>IF(COUNT(D1101:U1101)=0,"",MEDIAN(D1101:U1101))</f>
        <v/>
      </c>
      <c r="X1101" s="8">
        <f>IF(COUNT(D1101:U1101)=0,"",MAX(D1101:U1101))</f>
        <v/>
      </c>
      <c r="Y1101" s="9">
        <f>IF(OR(V1101="",V1101=0),"",(X1101-V1101)/V1101)</f>
        <v/>
      </c>
      <c r="Z1101" s="7">
        <f>IF(COUNT(D1101:U1101)=0,"",INDEX($D$1:$U$1,MATCH(MIN(D1101:U1101),D1101:U1101,0)))</f>
        <v/>
      </c>
      <c r="AA1101" s="8" t="n">
        <v>497.72</v>
      </c>
      <c r="AB1101" s="10" t="n">
        <v>1</v>
      </c>
    </row>
    <row r="1102">
      <c r="A1102" s="7" t="inlineStr">
        <is>
          <t>MAT-20-029</t>
        </is>
      </c>
      <c r="B1102" s="4" t="inlineStr">
        <is>
          <t>Planchuela de hierro negro 1" x 1/8" x 20 pies</t>
        </is>
      </c>
      <c r="C1102" s="7" t="inlineStr">
        <is>
          <t>unidad</t>
        </is>
      </c>
      <c r="D1102" s="8" t="n">
        <v>297.5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>
        <f>IF(COUNT(D1102:U1102)=0,"",MIN(D1102:U1102))</f>
        <v/>
      </c>
      <c r="W1102" s="8">
        <f>IF(COUNT(D1102:U1102)=0,"",MEDIAN(D1102:U1102))</f>
        <v/>
      </c>
      <c r="X1102" s="8">
        <f>IF(COUNT(D1102:U1102)=0,"",MAX(D1102:U1102))</f>
        <v/>
      </c>
      <c r="Y1102" s="9">
        <f>IF(OR(V1102="",V1102=0),"",(X1102-V1102)/V1102)</f>
        <v/>
      </c>
      <c r="Z1102" s="7">
        <f>IF(COUNT(D1102:U1102)=0,"",INDEX($D$1:$U$1,MATCH(MIN(D1102:U1102),D1102:U1102,0)))</f>
        <v/>
      </c>
      <c r="AA1102" s="8" t="n">
        <v>297.5</v>
      </c>
      <c r="AB1102" s="10" t="n">
        <v>1</v>
      </c>
    </row>
    <row r="1103">
      <c r="A1103" s="7" t="inlineStr">
        <is>
          <t>MAT-20-030</t>
        </is>
      </c>
      <c r="B1103" s="4" t="inlineStr">
        <is>
          <t>Planchuela de hierro negro 1" x 3/16" x 20 pies</t>
        </is>
      </c>
      <c r="C1103" s="7" t="inlineStr">
        <is>
          <t>unidad</t>
        </is>
      </c>
      <c r="D1103" s="8" t="n">
        <v>446.25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>
        <f>IF(COUNT(D1103:U1103)=0,"",MIN(D1103:U1103))</f>
        <v/>
      </c>
      <c r="W1103" s="8">
        <f>IF(COUNT(D1103:U1103)=0,"",MEDIAN(D1103:U1103))</f>
        <v/>
      </c>
      <c r="X1103" s="8">
        <f>IF(COUNT(D1103:U1103)=0,"",MAX(D1103:U1103))</f>
        <v/>
      </c>
      <c r="Y1103" s="9">
        <f>IF(OR(V1103="",V1103=0),"",(X1103-V1103)/V1103)</f>
        <v/>
      </c>
      <c r="Z1103" s="7">
        <f>IF(COUNT(D1103:U1103)=0,"",INDEX($D$1:$U$1,MATCH(MIN(D1103:U1103),D1103:U1103,0)))</f>
        <v/>
      </c>
      <c r="AA1103" s="8" t="n">
        <v>446.25</v>
      </c>
      <c r="AB1103" s="10" t="n">
        <v>1</v>
      </c>
    </row>
    <row r="1104">
      <c r="A1104" s="7" t="inlineStr">
        <is>
          <t>MAT-20-031</t>
        </is>
      </c>
      <c r="B1104" s="4" t="inlineStr">
        <is>
          <t>Planchuela de hierro negro 1" x 1/4" x 20 pies</t>
        </is>
      </c>
      <c r="C1104" s="7" t="inlineStr">
        <is>
          <t>unidad</t>
        </is>
      </c>
      <c r="D1104" s="8" t="n">
        <v>595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>
        <f>IF(COUNT(D1104:U1104)=0,"",MIN(D1104:U1104))</f>
        <v/>
      </c>
      <c r="W1104" s="8">
        <f>IF(COUNT(D1104:U1104)=0,"",MEDIAN(D1104:U1104))</f>
        <v/>
      </c>
      <c r="X1104" s="8">
        <f>IF(COUNT(D1104:U1104)=0,"",MAX(D1104:U1104))</f>
        <v/>
      </c>
      <c r="Y1104" s="9">
        <f>IF(OR(V1104="",V1104=0),"",(X1104-V1104)/V1104)</f>
        <v/>
      </c>
      <c r="Z1104" s="7">
        <f>IF(COUNT(D1104:U1104)=0,"",INDEX($D$1:$U$1,MATCH(MIN(D1104:U1104),D1104:U1104,0)))</f>
        <v/>
      </c>
      <c r="AA1104" s="8" t="n">
        <v>595</v>
      </c>
      <c r="AB1104" s="10" t="n">
        <v>1</v>
      </c>
    </row>
    <row r="1105">
      <c r="A1105" s="7" t="inlineStr">
        <is>
          <t>MAT-20-032</t>
        </is>
      </c>
      <c r="B1105" s="4" t="inlineStr">
        <is>
          <t>Planchuela de hierro negro 1" x 1/2" x 20 pies</t>
        </is>
      </c>
      <c r="C1105" s="7" t="inlineStr">
        <is>
          <t>unidad</t>
        </is>
      </c>
      <c r="D1105" s="8" t="n">
        <v>1327.5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>
        <f>IF(COUNT(D1105:U1105)=0,"",MIN(D1105:U1105))</f>
        <v/>
      </c>
      <c r="W1105" s="8">
        <f>IF(COUNT(D1105:U1105)=0,"",MEDIAN(D1105:U1105))</f>
        <v/>
      </c>
      <c r="X1105" s="8">
        <f>IF(COUNT(D1105:U1105)=0,"",MAX(D1105:U1105))</f>
        <v/>
      </c>
      <c r="Y1105" s="9">
        <f>IF(OR(V1105="",V1105=0),"",(X1105-V1105)/V1105)</f>
        <v/>
      </c>
      <c r="Z1105" s="7">
        <f>IF(COUNT(D1105:U1105)=0,"",INDEX($D$1:$U$1,MATCH(MIN(D1105:U1105),D1105:U1105,0)))</f>
        <v/>
      </c>
      <c r="AA1105" s="8" t="n">
        <v>1327.5</v>
      </c>
      <c r="AB1105" s="10" t="n">
        <v>1</v>
      </c>
    </row>
    <row r="1106">
      <c r="A1106" s="7" t="inlineStr">
        <is>
          <t>MAT-20-033</t>
        </is>
      </c>
      <c r="B1106" s="4" t="inlineStr">
        <is>
          <t>Planchuela de hierro negro 1 1/4" x 1/8" x 20 pies</t>
        </is>
      </c>
      <c r="C1106" s="7" t="inlineStr">
        <is>
          <t>unidad</t>
        </is>
      </c>
      <c r="D1106" s="8" t="n">
        <v>415.35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>
        <f>IF(COUNT(D1106:U1106)=0,"",MIN(D1106:U1106))</f>
        <v/>
      </c>
      <c r="W1106" s="8">
        <f>IF(COUNT(D1106:U1106)=0,"",MEDIAN(D1106:U1106))</f>
        <v/>
      </c>
      <c r="X1106" s="8">
        <f>IF(COUNT(D1106:U1106)=0,"",MAX(D1106:U1106))</f>
        <v/>
      </c>
      <c r="Y1106" s="9">
        <f>IF(OR(V1106="",V1106=0),"",(X1106-V1106)/V1106)</f>
        <v/>
      </c>
      <c r="Z1106" s="7">
        <f>IF(COUNT(D1106:U1106)=0,"",INDEX($D$1:$U$1,MATCH(MIN(D1106:U1106),D1106:U1106,0)))</f>
        <v/>
      </c>
      <c r="AA1106" s="8" t="n">
        <v>415.35</v>
      </c>
      <c r="AB1106" s="10" t="n">
        <v>1</v>
      </c>
    </row>
    <row r="1107">
      <c r="A1107" s="7" t="inlineStr">
        <is>
          <t>MAT-20-034</t>
        </is>
      </c>
      <c r="B1107" s="4" t="inlineStr">
        <is>
          <t>Planchuela de hierro negro 1 1/4" x 3/16" x 20 pies</t>
        </is>
      </c>
      <c r="C1107" s="7" t="inlineStr">
        <is>
          <t>unidad</t>
        </is>
      </c>
      <c r="D1107" s="8" t="n">
        <v>614.58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>
        <f>IF(COUNT(D1107:U1107)=0,"",MIN(D1107:U1107))</f>
        <v/>
      </c>
      <c r="W1107" s="8">
        <f>IF(COUNT(D1107:U1107)=0,"",MEDIAN(D1107:U1107))</f>
        <v/>
      </c>
      <c r="X1107" s="8">
        <f>IF(COUNT(D1107:U1107)=0,"",MAX(D1107:U1107))</f>
        <v/>
      </c>
      <c r="Y1107" s="9">
        <f>IF(OR(V1107="",V1107=0),"",(X1107-V1107)/V1107)</f>
        <v/>
      </c>
      <c r="Z1107" s="7">
        <f>IF(COUNT(D1107:U1107)=0,"",INDEX($D$1:$U$1,MATCH(MIN(D1107:U1107),D1107:U1107,0)))</f>
        <v/>
      </c>
      <c r="AA1107" s="8" t="n">
        <v>614.58</v>
      </c>
      <c r="AB1107" s="10" t="n">
        <v>1</v>
      </c>
    </row>
    <row r="1108">
      <c r="A1108" s="7" t="inlineStr">
        <is>
          <t>MAT-20-035</t>
        </is>
      </c>
      <c r="B1108" s="4" t="inlineStr">
        <is>
          <t>Planchuela de hierro negro 1 1/4" x 1/4" x 20 pies</t>
        </is>
      </c>
      <c r="C1108" s="7" t="inlineStr">
        <is>
          <t>unidad</t>
        </is>
      </c>
      <c r="D1108" s="8" t="n">
        <v>745.5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>
        <f>IF(COUNT(D1108:U1108)=0,"",MIN(D1108:U1108))</f>
        <v/>
      </c>
      <c r="W1108" s="8">
        <f>IF(COUNT(D1108:U1108)=0,"",MEDIAN(D1108:U1108))</f>
        <v/>
      </c>
      <c r="X1108" s="8">
        <f>IF(COUNT(D1108:U1108)=0,"",MAX(D1108:U1108))</f>
        <v/>
      </c>
      <c r="Y1108" s="9">
        <f>IF(OR(V1108="",V1108=0),"",(X1108-V1108)/V1108)</f>
        <v/>
      </c>
      <c r="Z1108" s="7">
        <f>IF(COUNT(D1108:U1108)=0,"",INDEX($D$1:$U$1,MATCH(MIN(D1108:U1108),D1108:U1108,0)))</f>
        <v/>
      </c>
      <c r="AA1108" s="8" t="n">
        <v>745.5</v>
      </c>
      <c r="AB1108" s="10" t="n">
        <v>1</v>
      </c>
    </row>
    <row r="1109">
      <c r="A1109" s="7" t="inlineStr">
        <is>
          <t>MAT-20-036</t>
        </is>
      </c>
      <c r="B1109" s="4" t="inlineStr">
        <is>
          <t>Planchuela de hierro negro 1 1/4" x 3/8" x 20 pies</t>
        </is>
      </c>
      <c r="C1109" s="7" t="inlineStr">
        <is>
          <t>unidad</t>
        </is>
      </c>
      <c r="D1109" s="8" t="n">
        <v>1115.73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>
        <f>IF(COUNT(D1109:U1109)=0,"",MIN(D1109:U1109))</f>
        <v/>
      </c>
      <c r="W1109" s="8">
        <f>IF(COUNT(D1109:U1109)=0,"",MEDIAN(D1109:U1109))</f>
        <v/>
      </c>
      <c r="X1109" s="8">
        <f>IF(COUNT(D1109:U1109)=0,"",MAX(D1109:U1109))</f>
        <v/>
      </c>
      <c r="Y1109" s="9">
        <f>IF(OR(V1109="",V1109=0),"",(X1109-V1109)/V1109)</f>
        <v/>
      </c>
      <c r="Z1109" s="7">
        <f>IF(COUNT(D1109:U1109)=0,"",INDEX($D$1:$U$1,MATCH(MIN(D1109:U1109),D1109:U1109,0)))</f>
        <v/>
      </c>
      <c r="AA1109" s="8" t="n">
        <v>1115.73</v>
      </c>
      <c r="AB1109" s="10" t="n">
        <v>1</v>
      </c>
    </row>
    <row r="1110">
      <c r="A1110" s="7" t="inlineStr">
        <is>
          <t>MAT-20-037</t>
        </is>
      </c>
      <c r="B1110" s="4" t="inlineStr">
        <is>
          <t>Planchuela de hierro negro 1 1/2" x 1/8" x 20 pies</t>
        </is>
      </c>
      <c r="C1110" s="7" t="inlineStr">
        <is>
          <t>unidad</t>
        </is>
      </c>
      <c r="D1110" s="8" t="n">
        <v>451.7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>
        <f>IF(COUNT(D1110:U1110)=0,"",MIN(D1110:U1110))</f>
        <v/>
      </c>
      <c r="W1110" s="8">
        <f>IF(COUNT(D1110:U1110)=0,"",MEDIAN(D1110:U1110))</f>
        <v/>
      </c>
      <c r="X1110" s="8">
        <f>IF(COUNT(D1110:U1110)=0,"",MAX(D1110:U1110))</f>
        <v/>
      </c>
      <c r="Y1110" s="9">
        <f>IF(OR(V1110="",V1110=0),"",(X1110-V1110)/V1110)</f>
        <v/>
      </c>
      <c r="Z1110" s="7">
        <f>IF(COUNT(D1110:U1110)=0,"",INDEX($D$1:$U$1,MATCH(MIN(D1110:U1110),D1110:U1110,0)))</f>
        <v/>
      </c>
      <c r="AA1110" s="8" t="n">
        <v>451.7</v>
      </c>
      <c r="AB1110" s="10" t="n">
        <v>1</v>
      </c>
    </row>
    <row r="1111">
      <c r="A1111" s="7" t="inlineStr">
        <is>
          <t>MAT-20-038</t>
        </is>
      </c>
      <c r="B1111" s="4" t="inlineStr">
        <is>
          <t>Planchuela de hierro negro 1 1/2" x 3/16" x 20 pies</t>
        </is>
      </c>
      <c r="C1111" s="7" t="inlineStr">
        <is>
          <t>unidad</t>
        </is>
      </c>
      <c r="D1111" s="8" t="n">
        <v>682.5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>
        <f>IF(COUNT(D1111:U1111)=0,"",MIN(D1111:U1111))</f>
        <v/>
      </c>
      <c r="W1111" s="8">
        <f>IF(COUNT(D1111:U1111)=0,"",MEDIAN(D1111:U1111))</f>
        <v/>
      </c>
      <c r="X1111" s="8">
        <f>IF(COUNT(D1111:U1111)=0,"",MAX(D1111:U1111))</f>
        <v/>
      </c>
      <c r="Y1111" s="9">
        <f>IF(OR(V1111="",V1111=0),"",(X1111-V1111)/V1111)</f>
        <v/>
      </c>
      <c r="Z1111" s="7">
        <f>IF(COUNT(D1111:U1111)=0,"",INDEX($D$1:$U$1,MATCH(MIN(D1111:U1111),D1111:U1111,0)))</f>
        <v/>
      </c>
      <c r="AA1111" s="8" t="n">
        <v>682.5</v>
      </c>
      <c r="AB1111" s="10" t="n">
        <v>1</v>
      </c>
    </row>
    <row r="1112">
      <c r="A1112" s="7" t="inlineStr">
        <is>
          <t>MAT-20-039</t>
        </is>
      </c>
      <c r="B1112" s="4" t="inlineStr">
        <is>
          <t>Planchuela de hierro negro 1 1/2" x 1/4" x 20 pies</t>
        </is>
      </c>
      <c r="C1112" s="7" t="inlineStr">
        <is>
          <t>unidad</t>
        </is>
      </c>
      <c r="D1112" s="8" t="n">
        <v>892.5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>
        <f>IF(COUNT(D1112:U1112)=0,"",MIN(D1112:U1112))</f>
        <v/>
      </c>
      <c r="W1112" s="8">
        <f>IF(COUNT(D1112:U1112)=0,"",MEDIAN(D1112:U1112))</f>
        <v/>
      </c>
      <c r="X1112" s="8">
        <f>IF(COUNT(D1112:U1112)=0,"",MAX(D1112:U1112))</f>
        <v/>
      </c>
      <c r="Y1112" s="9">
        <f>IF(OR(V1112="",V1112=0),"",(X1112-V1112)/V1112)</f>
        <v/>
      </c>
      <c r="Z1112" s="7">
        <f>IF(COUNT(D1112:U1112)=0,"",INDEX($D$1:$U$1,MATCH(MIN(D1112:U1112),D1112:U1112,0)))</f>
        <v/>
      </c>
      <c r="AA1112" s="8" t="n">
        <v>892.5</v>
      </c>
      <c r="AB1112" s="10" t="n">
        <v>1</v>
      </c>
    </row>
    <row r="1113">
      <c r="A1113" s="7" t="inlineStr">
        <is>
          <t>MAT-20-040</t>
        </is>
      </c>
      <c r="B1113" s="4" t="inlineStr">
        <is>
          <t>Planchuela de hierro negro 1 1/2" x 3/8" x 20 pies</t>
        </is>
      </c>
      <c r="C1113" s="7" t="inlineStr">
        <is>
          <t>unidad</t>
        </is>
      </c>
      <c r="D1113" s="8" t="n">
        <v>1338.75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>
        <f>IF(COUNT(D1113:U1113)=0,"",MIN(D1113:U1113))</f>
        <v/>
      </c>
      <c r="W1113" s="8">
        <f>IF(COUNT(D1113:U1113)=0,"",MEDIAN(D1113:U1113))</f>
        <v/>
      </c>
      <c r="X1113" s="8">
        <f>IF(COUNT(D1113:U1113)=0,"",MAX(D1113:U1113))</f>
        <v/>
      </c>
      <c r="Y1113" s="9">
        <f>IF(OR(V1113="",V1113=0),"",(X1113-V1113)/V1113)</f>
        <v/>
      </c>
      <c r="Z1113" s="7">
        <f>IF(COUNT(D1113:U1113)=0,"",INDEX($D$1:$U$1,MATCH(MIN(D1113:U1113),D1113:U1113,0)))</f>
        <v/>
      </c>
      <c r="AA1113" s="8" t="n">
        <v>1338.75</v>
      </c>
      <c r="AB1113" s="10" t="n">
        <v>1</v>
      </c>
    </row>
    <row r="1114">
      <c r="A1114" s="7" t="inlineStr">
        <is>
          <t>MAT-20-041</t>
        </is>
      </c>
      <c r="B1114" s="4" t="inlineStr">
        <is>
          <t>Planchuela de hierro negro 1 1/2" x 1/2" x 20 pies</t>
        </is>
      </c>
      <c r="C1114" s="7" t="inlineStr">
        <is>
          <t>unidad</t>
        </is>
      </c>
      <c r="D1114" s="8" t="n">
        <v>1991.13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>
        <f>IF(COUNT(D1114:U1114)=0,"",MIN(D1114:U1114))</f>
        <v/>
      </c>
      <c r="W1114" s="8">
        <f>IF(COUNT(D1114:U1114)=0,"",MEDIAN(D1114:U1114))</f>
        <v/>
      </c>
      <c r="X1114" s="8">
        <f>IF(COUNT(D1114:U1114)=0,"",MAX(D1114:U1114))</f>
        <v/>
      </c>
      <c r="Y1114" s="9">
        <f>IF(OR(V1114="",V1114=0),"",(X1114-V1114)/V1114)</f>
        <v/>
      </c>
      <c r="Z1114" s="7">
        <f>IF(COUNT(D1114:U1114)=0,"",INDEX($D$1:$U$1,MATCH(MIN(D1114:U1114),D1114:U1114,0)))</f>
        <v/>
      </c>
      <c r="AA1114" s="8" t="n">
        <v>1991.13</v>
      </c>
      <c r="AB1114" s="10" t="n">
        <v>1</v>
      </c>
    </row>
    <row r="1115">
      <c r="A1115" s="7" t="inlineStr">
        <is>
          <t>MAT-20-042</t>
        </is>
      </c>
      <c r="B1115" s="4" t="inlineStr">
        <is>
          <t>Planchuela de hierro negro 2" x 1/8" x 20 pies</t>
        </is>
      </c>
      <c r="C1115" s="7" t="inlineStr">
        <is>
          <t>unidad</t>
        </is>
      </c>
      <c r="D1115" s="8" t="n">
        <v>595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>
        <f>IF(COUNT(D1115:U1115)=0,"",MIN(D1115:U1115))</f>
        <v/>
      </c>
      <c r="W1115" s="8">
        <f>IF(COUNT(D1115:U1115)=0,"",MEDIAN(D1115:U1115))</f>
        <v/>
      </c>
      <c r="X1115" s="8">
        <f>IF(COUNT(D1115:U1115)=0,"",MAX(D1115:U1115))</f>
        <v/>
      </c>
      <c r="Y1115" s="9">
        <f>IF(OR(V1115="",V1115=0),"",(X1115-V1115)/V1115)</f>
        <v/>
      </c>
      <c r="Z1115" s="7">
        <f>IF(COUNT(D1115:U1115)=0,"",INDEX($D$1:$U$1,MATCH(MIN(D1115:U1115),D1115:U1115,0)))</f>
        <v/>
      </c>
      <c r="AA1115" s="8" t="n">
        <v>595</v>
      </c>
      <c r="AB1115" s="10" t="n">
        <v>1</v>
      </c>
    </row>
    <row r="1116">
      <c r="A1116" s="7" t="inlineStr">
        <is>
          <t>MAT-20-043</t>
        </is>
      </c>
      <c r="B1116" s="4" t="inlineStr">
        <is>
          <t>Planchuela de hierro negro 2" x 3/16" x 20 pies</t>
        </is>
      </c>
      <c r="C1116" s="7" t="inlineStr">
        <is>
          <t>unidad</t>
        </is>
      </c>
      <c r="D1116" s="8" t="n">
        <v>892.5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>
        <f>IF(COUNT(D1116:U1116)=0,"",MIN(D1116:U1116))</f>
        <v/>
      </c>
      <c r="W1116" s="8">
        <f>IF(COUNT(D1116:U1116)=0,"",MEDIAN(D1116:U1116))</f>
        <v/>
      </c>
      <c r="X1116" s="8">
        <f>IF(COUNT(D1116:U1116)=0,"",MAX(D1116:U1116))</f>
        <v/>
      </c>
      <c r="Y1116" s="9">
        <f>IF(OR(V1116="",V1116=0),"",(X1116-V1116)/V1116)</f>
        <v/>
      </c>
      <c r="Z1116" s="7">
        <f>IF(COUNT(D1116:U1116)=0,"",INDEX($D$1:$U$1,MATCH(MIN(D1116:U1116),D1116:U1116,0)))</f>
        <v/>
      </c>
      <c r="AA1116" s="8" t="n">
        <v>892.5</v>
      </c>
      <c r="AB1116" s="10" t="n">
        <v>1</v>
      </c>
    </row>
    <row r="1117">
      <c r="A1117" s="7" t="inlineStr">
        <is>
          <t>MAT-20-044</t>
        </is>
      </c>
      <c r="B1117" s="4" t="inlineStr">
        <is>
          <t>Planchuela de hierro negro 2" x 1/4" x 20 pies</t>
        </is>
      </c>
      <c r="C1117" s="7" t="inlineStr">
        <is>
          <t>unidad</t>
        </is>
      </c>
      <c r="D1117" s="8" t="n">
        <v>1189.99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>
        <f>IF(COUNT(D1117:U1117)=0,"",MIN(D1117:U1117))</f>
        <v/>
      </c>
      <c r="W1117" s="8">
        <f>IF(COUNT(D1117:U1117)=0,"",MEDIAN(D1117:U1117))</f>
        <v/>
      </c>
      <c r="X1117" s="8">
        <f>IF(COUNT(D1117:U1117)=0,"",MAX(D1117:U1117))</f>
        <v/>
      </c>
      <c r="Y1117" s="9">
        <f>IF(OR(V1117="",V1117=0),"",(X1117-V1117)/V1117)</f>
        <v/>
      </c>
      <c r="Z1117" s="7">
        <f>IF(COUNT(D1117:U1117)=0,"",INDEX($D$1:$U$1,MATCH(MIN(D1117:U1117),D1117:U1117,0)))</f>
        <v/>
      </c>
      <c r="AA1117" s="8" t="n">
        <v>1189.99</v>
      </c>
      <c r="AB1117" s="10" t="n">
        <v>1</v>
      </c>
    </row>
    <row r="1118">
      <c r="A1118" s="7" t="inlineStr">
        <is>
          <t>MAT-20-045</t>
        </is>
      </c>
      <c r="B1118" s="4" t="inlineStr">
        <is>
          <t>Planchuela de hierro negro 2" x 3/8" x 20 pies</t>
        </is>
      </c>
      <c r="C1118" s="7" t="inlineStr">
        <is>
          <t>unidad</t>
        </is>
      </c>
      <c r="D1118" s="8" t="n">
        <v>1785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>
        <f>IF(COUNT(D1118:U1118)=0,"",MIN(D1118:U1118))</f>
        <v/>
      </c>
      <c r="W1118" s="8">
        <f>IF(COUNT(D1118:U1118)=0,"",MEDIAN(D1118:U1118))</f>
        <v/>
      </c>
      <c r="X1118" s="8">
        <f>IF(COUNT(D1118:U1118)=0,"",MAX(D1118:U1118))</f>
        <v/>
      </c>
      <c r="Y1118" s="9">
        <f>IF(OR(V1118="",V1118=0),"",(X1118-V1118)/V1118)</f>
        <v/>
      </c>
      <c r="Z1118" s="7">
        <f>IF(COUNT(D1118:U1118)=0,"",INDEX($D$1:$U$1,MATCH(MIN(D1118:U1118),D1118:U1118,0)))</f>
        <v/>
      </c>
      <c r="AA1118" s="8" t="n">
        <v>1785</v>
      </c>
      <c r="AB1118" s="10" t="n">
        <v>1</v>
      </c>
    </row>
    <row r="1119">
      <c r="A1119" s="7" t="inlineStr">
        <is>
          <t>MAT-20-046</t>
        </is>
      </c>
      <c r="B1119" s="4" t="inlineStr">
        <is>
          <t>Planchuela de hierro negro 2" x 1/2" x 20 pies</t>
        </is>
      </c>
      <c r="C1119" s="7" t="inlineStr">
        <is>
          <t>unidad</t>
        </is>
      </c>
      <c r="D1119" s="8" t="n">
        <v>2380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>
        <f>IF(COUNT(D1119:U1119)=0,"",MIN(D1119:U1119))</f>
        <v/>
      </c>
      <c r="W1119" s="8">
        <f>IF(COUNT(D1119:U1119)=0,"",MEDIAN(D1119:U1119))</f>
        <v/>
      </c>
      <c r="X1119" s="8">
        <f>IF(COUNT(D1119:U1119)=0,"",MAX(D1119:U1119))</f>
        <v/>
      </c>
      <c r="Y1119" s="9">
        <f>IF(OR(V1119="",V1119=0),"",(X1119-V1119)/V1119)</f>
        <v/>
      </c>
      <c r="Z1119" s="7">
        <f>IF(COUNT(D1119:U1119)=0,"",INDEX($D$1:$U$1,MATCH(MIN(D1119:U1119),D1119:U1119,0)))</f>
        <v/>
      </c>
      <c r="AA1119" s="8" t="n">
        <v>2380</v>
      </c>
      <c r="AB1119" s="10" t="n">
        <v>1</v>
      </c>
    </row>
    <row r="1120">
      <c r="A1120" s="7" t="inlineStr">
        <is>
          <t>MAT-20-047</t>
        </is>
      </c>
      <c r="B1120" s="4" t="inlineStr">
        <is>
          <t>Planchuela de hierro negro 2 1/2" x 1/4" x 20 pies</t>
        </is>
      </c>
      <c r="C1120" s="7" t="inlineStr">
        <is>
          <t>unidad</t>
        </is>
      </c>
      <c r="D1120" s="8" t="n">
        <v>1487.5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>
        <f>IF(COUNT(D1120:U1120)=0,"",MIN(D1120:U1120))</f>
        <v/>
      </c>
      <c r="W1120" s="8">
        <f>IF(COUNT(D1120:U1120)=0,"",MEDIAN(D1120:U1120))</f>
        <v/>
      </c>
      <c r="X1120" s="8">
        <f>IF(COUNT(D1120:U1120)=0,"",MAX(D1120:U1120))</f>
        <v/>
      </c>
      <c r="Y1120" s="9">
        <f>IF(OR(V1120="",V1120=0),"",(X1120-V1120)/V1120)</f>
        <v/>
      </c>
      <c r="Z1120" s="7">
        <f>IF(COUNT(D1120:U1120)=0,"",INDEX($D$1:$U$1,MATCH(MIN(D1120:U1120),D1120:U1120,0)))</f>
        <v/>
      </c>
      <c r="AA1120" s="8" t="n">
        <v>1487.5</v>
      </c>
      <c r="AB1120" s="10" t="n">
        <v>1</v>
      </c>
    </row>
    <row r="1121">
      <c r="A1121" s="7" t="inlineStr">
        <is>
          <t>MAT-20-048</t>
        </is>
      </c>
      <c r="B1121" s="4" t="inlineStr">
        <is>
          <t>Planchuela de hierro negro 2 1/2" x 3/8" x 20 pies</t>
        </is>
      </c>
      <c r="C1121" s="7" t="inlineStr">
        <is>
          <t>unidad</t>
        </is>
      </c>
      <c r="D1121" s="8" t="n">
        <v>2231.6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>
        <f>IF(COUNT(D1121:U1121)=0,"",MIN(D1121:U1121))</f>
        <v/>
      </c>
      <c r="W1121" s="8">
        <f>IF(COUNT(D1121:U1121)=0,"",MEDIAN(D1121:U1121))</f>
        <v/>
      </c>
      <c r="X1121" s="8">
        <f>IF(COUNT(D1121:U1121)=0,"",MAX(D1121:U1121))</f>
        <v/>
      </c>
      <c r="Y1121" s="9">
        <f>IF(OR(V1121="",V1121=0),"",(X1121-V1121)/V1121)</f>
        <v/>
      </c>
      <c r="Z1121" s="7">
        <f>IF(COUNT(D1121:U1121)=0,"",INDEX($D$1:$U$1,MATCH(MIN(D1121:U1121),D1121:U1121,0)))</f>
        <v/>
      </c>
      <c r="AA1121" s="8" t="n">
        <v>2231.6</v>
      </c>
      <c r="AB1121" s="10" t="n">
        <v>1</v>
      </c>
    </row>
    <row r="1122">
      <c r="A1122" s="7" t="inlineStr">
        <is>
          <t>MAT-20-049</t>
        </is>
      </c>
      <c r="B1122" s="4" t="inlineStr">
        <is>
          <t>Planchuela de hierro negro 3" x 1/4" x 20 pies</t>
        </is>
      </c>
      <c r="C1122" s="7" t="inlineStr">
        <is>
          <t>unidad</t>
        </is>
      </c>
      <c r="D1122" s="8" t="n">
        <v>1785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>
        <f>IF(COUNT(D1122:U1122)=0,"",MIN(D1122:U1122))</f>
        <v/>
      </c>
      <c r="W1122" s="8">
        <f>IF(COUNT(D1122:U1122)=0,"",MEDIAN(D1122:U1122))</f>
        <v/>
      </c>
      <c r="X1122" s="8">
        <f>IF(COUNT(D1122:U1122)=0,"",MAX(D1122:U1122))</f>
        <v/>
      </c>
      <c r="Y1122" s="9">
        <f>IF(OR(V1122="",V1122=0),"",(X1122-V1122)/V1122)</f>
        <v/>
      </c>
      <c r="Z1122" s="7">
        <f>IF(COUNT(D1122:U1122)=0,"",INDEX($D$1:$U$1,MATCH(MIN(D1122:U1122),D1122:U1122,0)))</f>
        <v/>
      </c>
      <c r="AA1122" s="8" t="n">
        <v>1785</v>
      </c>
      <c r="AB1122" s="10" t="n">
        <v>1</v>
      </c>
    </row>
    <row r="1123">
      <c r="A1123" s="7" t="inlineStr">
        <is>
          <t>MAT-20-050</t>
        </is>
      </c>
      <c r="B1123" s="4" t="inlineStr">
        <is>
          <t>Planchuela de hierro negro 3" x 3/8" x 20 pies</t>
        </is>
      </c>
      <c r="C1123" s="7" t="inlineStr">
        <is>
          <t>unidad</t>
        </is>
      </c>
      <c r="D1123" s="8" t="n">
        <v>2677.62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>
        <f>IF(COUNT(D1123:U1123)=0,"",MIN(D1123:U1123))</f>
        <v/>
      </c>
      <c r="W1123" s="8">
        <f>IF(COUNT(D1123:U1123)=0,"",MEDIAN(D1123:U1123))</f>
        <v/>
      </c>
      <c r="X1123" s="8">
        <f>IF(COUNT(D1123:U1123)=0,"",MAX(D1123:U1123))</f>
        <v/>
      </c>
      <c r="Y1123" s="9">
        <f>IF(OR(V1123="",V1123=0),"",(X1123-V1123)/V1123)</f>
        <v/>
      </c>
      <c r="Z1123" s="7">
        <f>IF(COUNT(D1123:U1123)=0,"",INDEX($D$1:$U$1,MATCH(MIN(D1123:U1123),D1123:U1123,0)))</f>
        <v/>
      </c>
      <c r="AA1123" s="8" t="n">
        <v>2677.62</v>
      </c>
      <c r="AB1123" s="10" t="n">
        <v>1</v>
      </c>
    </row>
    <row r="1124">
      <c r="A1124" s="7" t="inlineStr">
        <is>
          <t>MAT-20-051</t>
        </is>
      </c>
      <c r="B1124" s="4" t="inlineStr">
        <is>
          <t>Planchuela de hierro negro 4" x 1/4" x 20 pies</t>
        </is>
      </c>
      <c r="C1124" s="7" t="inlineStr">
        <is>
          <t>unidad</t>
        </is>
      </c>
      <c r="D1124" s="8" t="n">
        <v>2380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>
        <f>IF(COUNT(D1124:U1124)=0,"",MIN(D1124:U1124))</f>
        <v/>
      </c>
      <c r="W1124" s="8">
        <f>IF(COUNT(D1124:U1124)=0,"",MEDIAN(D1124:U1124))</f>
        <v/>
      </c>
      <c r="X1124" s="8">
        <f>IF(COUNT(D1124:U1124)=0,"",MAX(D1124:U1124))</f>
        <v/>
      </c>
      <c r="Y1124" s="9">
        <f>IF(OR(V1124="",V1124=0),"",(X1124-V1124)/V1124)</f>
        <v/>
      </c>
      <c r="Z1124" s="7">
        <f>IF(COUNT(D1124:U1124)=0,"",INDEX($D$1:$U$1,MATCH(MIN(D1124:U1124),D1124:U1124,0)))</f>
        <v/>
      </c>
      <c r="AA1124" s="8" t="n">
        <v>2380</v>
      </c>
      <c r="AB1124" s="10" t="n">
        <v>1</v>
      </c>
    </row>
    <row r="1125">
      <c r="A1125" s="7" t="inlineStr">
        <is>
          <t>MAT-20-052</t>
        </is>
      </c>
      <c r="B1125" s="4" t="inlineStr">
        <is>
          <t>Planchuela de hierro negro 4" x 3/8" x 20 pies</t>
        </is>
      </c>
      <c r="C1125" s="7" t="inlineStr">
        <is>
          <t>unidad</t>
        </is>
      </c>
      <c r="D1125" s="8" t="n">
        <v>3982.5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>
        <f>IF(COUNT(D1125:U1125)=0,"",MIN(D1125:U1125))</f>
        <v/>
      </c>
      <c r="W1125" s="8">
        <f>IF(COUNT(D1125:U1125)=0,"",MEDIAN(D1125:U1125))</f>
        <v/>
      </c>
      <c r="X1125" s="8">
        <f>IF(COUNT(D1125:U1125)=0,"",MAX(D1125:U1125))</f>
        <v/>
      </c>
      <c r="Y1125" s="9">
        <f>IF(OR(V1125="",V1125=0),"",(X1125-V1125)/V1125)</f>
        <v/>
      </c>
      <c r="Z1125" s="7">
        <f>IF(COUNT(D1125:U1125)=0,"",INDEX($D$1:$U$1,MATCH(MIN(D1125:U1125),D1125:U1125,0)))</f>
        <v/>
      </c>
      <c r="AA1125" s="8" t="n">
        <v>3982.5</v>
      </c>
      <c r="AB1125" s="10" t="n">
        <v>1</v>
      </c>
    </row>
    <row r="1126">
      <c r="A1126" s="7" t="inlineStr">
        <is>
          <t>MAT-20-053</t>
        </is>
      </c>
      <c r="B1126" s="4" t="inlineStr">
        <is>
          <t>Planchuela de acero inoxidable 2" x 1/8" x 20 pies</t>
        </is>
      </c>
      <c r="C1126" s="7" t="inlineStr">
        <is>
          <t>unidad</t>
        </is>
      </c>
      <c r="D1126" s="8" t="n">
        <v>1397.2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>
        <f>IF(COUNT(D1126:U1126)=0,"",MIN(D1126:U1126))</f>
        <v/>
      </c>
      <c r="W1126" s="8">
        <f>IF(COUNT(D1126:U1126)=0,"",MEDIAN(D1126:U1126))</f>
        <v/>
      </c>
      <c r="X1126" s="8">
        <f>IF(COUNT(D1126:U1126)=0,"",MAX(D1126:U1126))</f>
        <v/>
      </c>
      <c r="Y1126" s="9">
        <f>IF(OR(V1126="",V1126=0),"",(X1126-V1126)/V1126)</f>
        <v/>
      </c>
      <c r="Z1126" s="7">
        <f>IF(COUNT(D1126:U1126)=0,"",INDEX($D$1:$U$1,MATCH(MIN(D1126:U1126),D1126:U1126,0)))</f>
        <v/>
      </c>
      <c r="AA1126" s="8" t="n">
        <v>1397.2</v>
      </c>
      <c r="AB1126" s="10" t="n">
        <v>1</v>
      </c>
    </row>
    <row r="1127">
      <c r="A1127" s="7" t="inlineStr">
        <is>
          <t>MAT-20-054</t>
        </is>
      </c>
      <c r="B1127" s="4" t="inlineStr">
        <is>
          <t>Barra cuadrada de acero 7/16" x 20 pies</t>
        </is>
      </c>
      <c r="C1127" s="7" t="inlineStr">
        <is>
          <t>unidad</t>
        </is>
      </c>
      <c r="D1127" s="8" t="n">
        <v>411.76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>
        <f>IF(COUNT(D1127:U1127)=0,"",MIN(D1127:U1127))</f>
        <v/>
      </c>
      <c r="W1127" s="8">
        <f>IF(COUNT(D1127:U1127)=0,"",MEDIAN(D1127:U1127))</f>
        <v/>
      </c>
      <c r="X1127" s="8">
        <f>IF(COUNT(D1127:U1127)=0,"",MAX(D1127:U1127))</f>
        <v/>
      </c>
      <c r="Y1127" s="9">
        <f>IF(OR(V1127="",V1127=0),"",(X1127-V1127)/V1127)</f>
        <v/>
      </c>
      <c r="Z1127" s="7">
        <f>IF(COUNT(D1127:U1127)=0,"",INDEX($D$1:$U$1,MATCH(MIN(D1127:U1127),D1127:U1127,0)))</f>
        <v/>
      </c>
      <c r="AA1127" s="8" t="n">
        <v>411.76</v>
      </c>
      <c r="AB1127" s="10" t="n">
        <v>1</v>
      </c>
    </row>
    <row r="1128">
      <c r="A1128" s="7" t="inlineStr">
        <is>
          <t>MAT-20-055</t>
        </is>
      </c>
      <c r="B1128" s="4" t="inlineStr">
        <is>
          <t>Barra cuadrada de acero 1/2" x 20 pies</t>
        </is>
      </c>
      <c r="C1128" s="7" t="inlineStr">
        <is>
          <t>unidad</t>
        </is>
      </c>
      <c r="D1128" s="8" t="n">
        <v>538.46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>
        <f>IF(COUNT(D1128:U1128)=0,"",MIN(D1128:U1128))</f>
        <v/>
      </c>
      <c r="W1128" s="8">
        <f>IF(COUNT(D1128:U1128)=0,"",MEDIAN(D1128:U1128))</f>
        <v/>
      </c>
      <c r="X1128" s="8">
        <f>IF(COUNT(D1128:U1128)=0,"",MAX(D1128:U1128))</f>
        <v/>
      </c>
      <c r="Y1128" s="9">
        <f>IF(OR(V1128="",V1128=0),"",(X1128-V1128)/V1128)</f>
        <v/>
      </c>
      <c r="Z1128" s="7">
        <f>IF(COUNT(D1128:U1128)=0,"",INDEX($D$1:$U$1,MATCH(MIN(D1128:U1128),D1128:U1128,0)))</f>
        <v/>
      </c>
      <c r="AA1128" s="8" t="n">
        <v>538.46</v>
      </c>
      <c r="AB1128" s="10" t="n">
        <v>1</v>
      </c>
    </row>
    <row r="1129">
      <c r="A1129" s="7" t="inlineStr">
        <is>
          <t>MAT-20-056</t>
        </is>
      </c>
      <c r="B1129" s="4" t="inlineStr">
        <is>
          <t>Barra cuadrada de acero 5/8" x 20 pies</t>
        </is>
      </c>
      <c r="C1129" s="7" t="inlineStr">
        <is>
          <t>unidad</t>
        </is>
      </c>
      <c r="D1129" s="8" t="n">
        <v>843.37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>
        <f>IF(COUNT(D1129:U1129)=0,"",MIN(D1129:U1129))</f>
        <v/>
      </c>
      <c r="W1129" s="8">
        <f>IF(COUNT(D1129:U1129)=0,"",MEDIAN(D1129:U1129))</f>
        <v/>
      </c>
      <c r="X1129" s="8">
        <f>IF(COUNT(D1129:U1129)=0,"",MAX(D1129:U1129))</f>
        <v/>
      </c>
      <c r="Y1129" s="9">
        <f>IF(OR(V1129="",V1129=0),"",(X1129-V1129)/V1129)</f>
        <v/>
      </c>
      <c r="Z1129" s="7">
        <f>IF(COUNT(D1129:U1129)=0,"",INDEX($D$1:$U$1,MATCH(MIN(D1129:U1129),D1129:U1129,0)))</f>
        <v/>
      </c>
      <c r="AA1129" s="8" t="n">
        <v>843.37</v>
      </c>
      <c r="AB1129" s="10" t="n">
        <v>1</v>
      </c>
    </row>
    <row r="1130">
      <c r="A1130" s="7" t="inlineStr">
        <is>
          <t>MAT-20-057</t>
        </is>
      </c>
      <c r="B1130" s="4" t="inlineStr">
        <is>
          <t>Barra redonda de acero 3/8" x 20 pies</t>
        </is>
      </c>
      <c r="C1130" s="7" t="inlineStr">
        <is>
          <t>unidad</t>
        </is>
      </c>
      <c r="D1130" s="8" t="n">
        <v>238.1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>
        <f>IF(COUNT(D1130:U1130)=0,"",MIN(D1130:U1130))</f>
        <v/>
      </c>
      <c r="W1130" s="8">
        <f>IF(COUNT(D1130:U1130)=0,"",MEDIAN(D1130:U1130))</f>
        <v/>
      </c>
      <c r="X1130" s="8">
        <f>IF(COUNT(D1130:U1130)=0,"",MAX(D1130:U1130))</f>
        <v/>
      </c>
      <c r="Y1130" s="9">
        <f>IF(OR(V1130="",V1130=0),"",(X1130-V1130)/V1130)</f>
        <v/>
      </c>
      <c r="Z1130" s="7">
        <f>IF(COUNT(D1130:U1130)=0,"",INDEX($D$1:$U$1,MATCH(MIN(D1130:U1130),D1130:U1130,0)))</f>
        <v/>
      </c>
      <c r="AA1130" s="8" t="n">
        <v>238.1</v>
      </c>
      <c r="AB1130" s="10" t="n">
        <v>1</v>
      </c>
    </row>
    <row r="1131">
      <c r="A1131" s="7" t="inlineStr">
        <is>
          <t>MAT-20-058</t>
        </is>
      </c>
      <c r="B1131" s="4" t="inlineStr">
        <is>
          <t>Barra redonda de acero 1/2" x 20 pies</t>
        </is>
      </c>
      <c r="C1131" s="7" t="inlineStr">
        <is>
          <t>unidad</t>
        </is>
      </c>
      <c r="D1131" s="8" t="n">
        <v>421.68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>
        <f>IF(COUNT(D1131:U1131)=0,"",MIN(D1131:U1131))</f>
        <v/>
      </c>
      <c r="W1131" s="8">
        <f>IF(COUNT(D1131:U1131)=0,"",MEDIAN(D1131:U1131))</f>
        <v/>
      </c>
      <c r="X1131" s="8">
        <f>IF(COUNT(D1131:U1131)=0,"",MAX(D1131:U1131))</f>
        <v/>
      </c>
      <c r="Y1131" s="9">
        <f>IF(OR(V1131="",V1131=0),"",(X1131-V1131)/V1131)</f>
        <v/>
      </c>
      <c r="Z1131" s="7">
        <f>IF(COUNT(D1131:U1131)=0,"",INDEX($D$1:$U$1,MATCH(MIN(D1131:U1131),D1131:U1131,0)))</f>
        <v/>
      </c>
      <c r="AA1131" s="8" t="n">
        <v>421.68</v>
      </c>
      <c r="AB1131" s="10" t="n">
        <v>1</v>
      </c>
    </row>
    <row r="1132">
      <c r="A1132" s="7" t="inlineStr">
        <is>
          <t>MAT-20-059</t>
        </is>
      </c>
      <c r="B1132" s="4" t="inlineStr">
        <is>
          <t>Barra redonda de acero 5/8" x 20 pies</t>
        </is>
      </c>
      <c r="C1132" s="7" t="inlineStr">
        <is>
          <t>unidad</t>
        </is>
      </c>
      <c r="D1132" s="8" t="n">
        <v>660.38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>
        <f>IF(COUNT(D1132:U1132)=0,"",MIN(D1132:U1132))</f>
        <v/>
      </c>
      <c r="W1132" s="8">
        <f>IF(COUNT(D1132:U1132)=0,"",MEDIAN(D1132:U1132))</f>
        <v/>
      </c>
      <c r="X1132" s="8">
        <f>IF(COUNT(D1132:U1132)=0,"",MAX(D1132:U1132))</f>
        <v/>
      </c>
      <c r="Y1132" s="9">
        <f>IF(OR(V1132="",V1132=0),"",(X1132-V1132)/V1132)</f>
        <v/>
      </c>
      <c r="Z1132" s="7">
        <f>IF(COUNT(D1132:U1132)=0,"",INDEX($D$1:$U$1,MATCH(MIN(D1132:U1132),D1132:U1132,0)))</f>
        <v/>
      </c>
      <c r="AA1132" s="8" t="n">
        <v>660.38</v>
      </c>
      <c r="AB1132" s="10" t="n">
        <v>1</v>
      </c>
    </row>
    <row r="1133">
      <c r="A1133" s="7" t="inlineStr">
        <is>
          <t>MAT-20-060</t>
        </is>
      </c>
      <c r="B1133" s="4" t="inlineStr">
        <is>
          <t>Barra redonda de acero 3/4" x 20 pies</t>
        </is>
      </c>
      <c r="C1133" s="7" t="inlineStr">
        <is>
          <t>unidad</t>
        </is>
      </c>
      <c r="D1133" s="8" t="n">
        <v>945.95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>
        <f>IF(COUNT(D1133:U1133)=0,"",MIN(D1133:U1133))</f>
        <v/>
      </c>
      <c r="W1133" s="8">
        <f>IF(COUNT(D1133:U1133)=0,"",MEDIAN(D1133:U1133))</f>
        <v/>
      </c>
      <c r="X1133" s="8">
        <f>IF(COUNT(D1133:U1133)=0,"",MAX(D1133:U1133))</f>
        <v/>
      </c>
      <c r="Y1133" s="9">
        <f>IF(OR(V1133="",V1133=0),"",(X1133-V1133)/V1133)</f>
        <v/>
      </c>
      <c r="Z1133" s="7">
        <f>IF(COUNT(D1133:U1133)=0,"",INDEX($D$1:$U$1,MATCH(MIN(D1133:U1133),D1133:U1133,0)))</f>
        <v/>
      </c>
      <c r="AA1133" s="8" t="n">
        <v>945.95</v>
      </c>
      <c r="AB1133" s="10" t="n">
        <v>1</v>
      </c>
    </row>
    <row r="1134">
      <c r="A1134" s="7" t="inlineStr">
        <is>
          <t>MAT-20-061</t>
        </is>
      </c>
      <c r="B1134" s="4" t="inlineStr">
        <is>
          <t>Barra redonda de acero 1" x 20 pies</t>
        </is>
      </c>
      <c r="C1134" s="7" t="inlineStr">
        <is>
          <t>unidad</t>
        </is>
      </c>
      <c r="D1134" s="8" t="n">
        <v>1666.67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>
        <f>IF(COUNT(D1134:U1134)=0,"",MIN(D1134:U1134))</f>
        <v/>
      </c>
      <c r="W1134" s="8">
        <f>IF(COUNT(D1134:U1134)=0,"",MEDIAN(D1134:U1134))</f>
        <v/>
      </c>
      <c r="X1134" s="8">
        <f>IF(COUNT(D1134:U1134)=0,"",MAX(D1134:U1134))</f>
        <v/>
      </c>
      <c r="Y1134" s="9">
        <f>IF(OR(V1134="",V1134=0),"",(X1134-V1134)/V1134)</f>
        <v/>
      </c>
      <c r="Z1134" s="7">
        <f>IF(COUNT(D1134:U1134)=0,"",INDEX($D$1:$U$1,MATCH(MIN(D1134:U1134),D1134:U1134,0)))</f>
        <v/>
      </c>
      <c r="AA1134" s="8" t="n">
        <v>1666.67</v>
      </c>
      <c r="AB1134" s="10" t="n">
        <v>1</v>
      </c>
    </row>
    <row r="1135">
      <c r="A1135" s="7" t="inlineStr">
        <is>
          <t>MAT-20-062</t>
        </is>
      </c>
      <c r="B1135" s="4" t="inlineStr">
        <is>
          <t>Barra redonda torneada de acero 7/16" x 20 pies</t>
        </is>
      </c>
      <c r="C1135" s="7" t="inlineStr">
        <is>
          <t>unidad</t>
        </is>
      </c>
      <c r="D1135" s="8" t="n">
        <v>426.77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>
        <f>IF(COUNT(D1135:U1135)=0,"",MIN(D1135:U1135))</f>
        <v/>
      </c>
      <c r="W1135" s="8">
        <f>IF(COUNT(D1135:U1135)=0,"",MEDIAN(D1135:U1135))</f>
        <v/>
      </c>
      <c r="X1135" s="8">
        <f>IF(COUNT(D1135:U1135)=0,"",MAX(D1135:U1135))</f>
        <v/>
      </c>
      <c r="Y1135" s="9">
        <f>IF(OR(V1135="",V1135=0),"",(X1135-V1135)/V1135)</f>
        <v/>
      </c>
      <c r="Z1135" s="7">
        <f>IF(COUNT(D1135:U1135)=0,"",INDEX($D$1:$U$1,MATCH(MIN(D1135:U1135),D1135:U1135,0)))</f>
        <v/>
      </c>
      <c r="AA1135" s="8" t="n">
        <v>426.77</v>
      </c>
      <c r="AB1135" s="10" t="n">
        <v>1</v>
      </c>
    </row>
    <row r="1136">
      <c r="A1136" s="7" t="inlineStr">
        <is>
          <t>MAT-20-063</t>
        </is>
      </c>
      <c r="B1136" s="4" t="inlineStr">
        <is>
          <t>Barra redonda torneada de acero 1/2" x 20 pies</t>
        </is>
      </c>
      <c r="C1136" s="7" t="inlineStr">
        <is>
          <t>unidad</t>
        </is>
      </c>
      <c r="D1136" s="8" t="n">
        <v>553.47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>
        <f>IF(COUNT(D1136:U1136)=0,"",MIN(D1136:U1136))</f>
        <v/>
      </c>
      <c r="W1136" s="8">
        <f>IF(COUNT(D1136:U1136)=0,"",MEDIAN(D1136:U1136))</f>
        <v/>
      </c>
      <c r="X1136" s="8">
        <f>IF(COUNT(D1136:U1136)=0,"",MAX(D1136:U1136))</f>
        <v/>
      </c>
      <c r="Y1136" s="9">
        <f>IF(OR(V1136="",V1136=0),"",(X1136-V1136)/V1136)</f>
        <v/>
      </c>
      <c r="Z1136" s="7">
        <f>IF(COUNT(D1136:U1136)=0,"",INDEX($D$1:$U$1,MATCH(MIN(D1136:U1136),D1136:U1136,0)))</f>
        <v/>
      </c>
      <c r="AA1136" s="8" t="n">
        <v>553.47</v>
      </c>
      <c r="AB1136" s="10" t="n">
        <v>1</v>
      </c>
    </row>
    <row r="1137">
      <c r="A1137" s="7" t="inlineStr">
        <is>
          <t>MAT-20-064</t>
        </is>
      </c>
      <c r="B1137" s="4" t="inlineStr">
        <is>
          <t>Barra redonda torneada de acero 5/8" x 20 pies</t>
        </is>
      </c>
      <c r="C1137" s="7" t="inlineStr">
        <is>
          <t>unidad</t>
        </is>
      </c>
      <c r="D1137" s="8" t="n">
        <v>858.38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>
        <f>IF(COUNT(D1137:U1137)=0,"",MIN(D1137:U1137))</f>
        <v/>
      </c>
      <c r="W1137" s="8">
        <f>IF(COUNT(D1137:U1137)=0,"",MEDIAN(D1137:U1137))</f>
        <v/>
      </c>
      <c r="X1137" s="8">
        <f>IF(COUNT(D1137:U1137)=0,"",MAX(D1137:U1137))</f>
        <v/>
      </c>
      <c r="Y1137" s="9">
        <f>IF(OR(V1137="",V1137=0),"",(X1137-V1137)/V1137)</f>
        <v/>
      </c>
      <c r="Z1137" s="7">
        <f>IF(COUNT(D1137:U1137)=0,"",INDEX($D$1:$U$1,MATCH(MIN(D1137:U1137),D1137:U1137,0)))</f>
        <v/>
      </c>
      <c r="AA1137" s="8" t="n">
        <v>858.38</v>
      </c>
      <c r="AB1137" s="10" t="n">
        <v>1</v>
      </c>
    </row>
    <row r="1138">
      <c r="A1138" s="7" t="inlineStr">
        <is>
          <t>MAT-21-001</t>
        </is>
      </c>
      <c r="B1138" s="4" t="inlineStr">
        <is>
          <t>Tola negra 1/32", plancha 4 x 8 pies</t>
        </is>
      </c>
      <c r="C1138" s="7" t="inlineStr">
        <is>
          <t>plancha</t>
        </is>
      </c>
      <c r="D1138" s="8" t="n">
        <v>1113.61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>
        <f>IF(COUNT(D1138:U1138)=0,"",MIN(D1138:U1138))</f>
        <v/>
      </c>
      <c r="W1138" s="8">
        <f>IF(COUNT(D1138:U1138)=0,"",MEDIAN(D1138:U1138))</f>
        <v/>
      </c>
      <c r="X1138" s="8">
        <f>IF(COUNT(D1138:U1138)=0,"",MAX(D1138:U1138))</f>
        <v/>
      </c>
      <c r="Y1138" s="9">
        <f>IF(OR(V1138="",V1138=0),"",(X1138-V1138)/V1138)</f>
        <v/>
      </c>
      <c r="Z1138" s="7">
        <f>IF(COUNT(D1138:U1138)=0,"",INDEX($D$1:$U$1,MATCH(MIN(D1138:U1138),D1138:U1138,0)))</f>
        <v/>
      </c>
      <c r="AA1138" s="8" t="n">
        <v>1113.61</v>
      </c>
      <c r="AB1138" s="10" t="n">
        <v>1</v>
      </c>
    </row>
    <row r="1139">
      <c r="A1139" s="7" t="inlineStr">
        <is>
          <t>MAT-21-002</t>
        </is>
      </c>
      <c r="B1139" s="4" t="inlineStr">
        <is>
          <t>Tola negra 1/22", plancha 4 x 8 pies</t>
        </is>
      </c>
      <c r="C1139" s="7" t="inlineStr">
        <is>
          <t>plancha</t>
        </is>
      </c>
      <c r="D1139" s="8" t="n">
        <v>1497.04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>
        <f>IF(COUNT(D1139:U1139)=0,"",MIN(D1139:U1139))</f>
        <v/>
      </c>
      <c r="W1139" s="8">
        <f>IF(COUNT(D1139:U1139)=0,"",MEDIAN(D1139:U1139))</f>
        <v/>
      </c>
      <c r="X1139" s="8">
        <f>IF(COUNT(D1139:U1139)=0,"",MAX(D1139:U1139))</f>
        <v/>
      </c>
      <c r="Y1139" s="9">
        <f>IF(OR(V1139="",V1139=0),"",(X1139-V1139)/V1139)</f>
        <v/>
      </c>
      <c r="Z1139" s="7">
        <f>IF(COUNT(D1139:U1139)=0,"",INDEX($D$1:$U$1,MATCH(MIN(D1139:U1139),D1139:U1139,0)))</f>
        <v/>
      </c>
      <c r="AA1139" s="8" t="n">
        <v>1497.04</v>
      </c>
      <c r="AB1139" s="10" t="n">
        <v>1</v>
      </c>
    </row>
    <row r="1140">
      <c r="A1140" s="7" t="inlineStr">
        <is>
          <t>MAT-21-003</t>
        </is>
      </c>
      <c r="B1140" s="4" t="inlineStr">
        <is>
          <t>Tola negra 1/16", plancha 4 x 10 pies</t>
        </is>
      </c>
      <c r="C1140" s="7" t="inlineStr">
        <is>
          <t>plancha</t>
        </is>
      </c>
      <c r="D1140" s="8" t="n">
        <v>2938.54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>
        <f>IF(COUNT(D1140:U1140)=0,"",MIN(D1140:U1140))</f>
        <v/>
      </c>
      <c r="W1140" s="8">
        <f>IF(COUNT(D1140:U1140)=0,"",MEDIAN(D1140:U1140))</f>
        <v/>
      </c>
      <c r="X1140" s="8">
        <f>IF(COUNT(D1140:U1140)=0,"",MAX(D1140:U1140))</f>
        <v/>
      </c>
      <c r="Y1140" s="9">
        <f>IF(OR(V1140="",V1140=0),"",(X1140-V1140)/V1140)</f>
        <v/>
      </c>
      <c r="Z1140" s="7">
        <f>IF(COUNT(D1140:U1140)=0,"",INDEX($D$1:$U$1,MATCH(MIN(D1140:U1140),D1140:U1140,0)))</f>
        <v/>
      </c>
      <c r="AA1140" s="8" t="n">
        <v>2938.54</v>
      </c>
      <c r="AB1140" s="10" t="n">
        <v>1</v>
      </c>
    </row>
    <row r="1141">
      <c r="A1141" s="7" t="inlineStr">
        <is>
          <t>MAT-21-004</t>
        </is>
      </c>
      <c r="B1141" s="4" t="inlineStr">
        <is>
          <t>Tola negra 1/16", plancha 4 x 8 pies</t>
        </is>
      </c>
      <c r="C1141" s="7" t="inlineStr">
        <is>
          <t>plancha</t>
        </is>
      </c>
      <c r="D1141" s="8" t="n">
        <v>2224.54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>
        <f>IF(COUNT(D1141:U1141)=0,"",MIN(D1141:U1141))</f>
        <v/>
      </c>
      <c r="W1141" s="8">
        <f>IF(COUNT(D1141:U1141)=0,"",MEDIAN(D1141:U1141))</f>
        <v/>
      </c>
      <c r="X1141" s="8">
        <f>IF(COUNT(D1141:U1141)=0,"",MAX(D1141:U1141))</f>
        <v/>
      </c>
      <c r="Y1141" s="9">
        <f>IF(OR(V1141="",V1141=0),"",(X1141-V1141)/V1141)</f>
        <v/>
      </c>
      <c r="Z1141" s="7">
        <f>IF(COUNT(D1141:U1141)=0,"",INDEX($D$1:$U$1,MATCH(MIN(D1141:U1141),D1141:U1141,0)))</f>
        <v/>
      </c>
      <c r="AA1141" s="8" t="n">
        <v>2224.54</v>
      </c>
      <c r="AB1141" s="10" t="n">
        <v>1</v>
      </c>
    </row>
    <row r="1142">
      <c r="A1142" s="7" t="inlineStr">
        <is>
          <t>MAT-21-005</t>
        </is>
      </c>
      <c r="B1142" s="4" t="inlineStr">
        <is>
          <t>Tola negra 3/32", plancha 4 x 8 pies</t>
        </is>
      </c>
      <c r="C1142" s="7" t="inlineStr">
        <is>
          <t>plancha</t>
        </is>
      </c>
      <c r="D1142" s="8" t="n">
        <v>3132.92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>
        <f>IF(COUNT(D1142:U1142)=0,"",MIN(D1142:U1142))</f>
        <v/>
      </c>
      <c r="W1142" s="8">
        <f>IF(COUNT(D1142:U1142)=0,"",MEDIAN(D1142:U1142))</f>
        <v/>
      </c>
      <c r="X1142" s="8">
        <f>IF(COUNT(D1142:U1142)=0,"",MAX(D1142:U1142))</f>
        <v/>
      </c>
      <c r="Y1142" s="9">
        <f>IF(OR(V1142="",V1142=0),"",(X1142-V1142)/V1142)</f>
        <v/>
      </c>
      <c r="Z1142" s="7">
        <f>IF(COUNT(D1142:U1142)=0,"",INDEX($D$1:$U$1,MATCH(MIN(D1142:U1142),D1142:U1142,0)))</f>
        <v/>
      </c>
      <c r="AA1142" s="8" t="n">
        <v>3132.92</v>
      </c>
      <c r="AB1142" s="10" t="n">
        <v>1</v>
      </c>
    </row>
    <row r="1143">
      <c r="A1143" s="7" t="inlineStr">
        <is>
          <t>MAT-21-006</t>
        </is>
      </c>
      <c r="B1143" s="4" t="inlineStr">
        <is>
          <t>Tola negra 1/8", plancha 4 x 10 pies</t>
        </is>
      </c>
      <c r="C1143" s="7" t="inlineStr">
        <is>
          <t>plancha</t>
        </is>
      </c>
      <c r="D1143" s="8" t="n">
        <v>5622.83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>
        <f>IF(COUNT(D1143:U1143)=0,"",MIN(D1143:U1143))</f>
        <v/>
      </c>
      <c r="W1143" s="8">
        <f>IF(COUNT(D1143:U1143)=0,"",MEDIAN(D1143:U1143))</f>
        <v/>
      </c>
      <c r="X1143" s="8">
        <f>IF(COUNT(D1143:U1143)=0,"",MAX(D1143:U1143))</f>
        <v/>
      </c>
      <c r="Y1143" s="9">
        <f>IF(OR(V1143="",V1143=0),"",(X1143-V1143)/V1143)</f>
        <v/>
      </c>
      <c r="Z1143" s="7">
        <f>IF(COUNT(D1143:U1143)=0,"",INDEX($D$1:$U$1,MATCH(MIN(D1143:U1143),D1143:U1143,0)))</f>
        <v/>
      </c>
      <c r="AA1143" s="8" t="n">
        <v>5622.83</v>
      </c>
      <c r="AB1143" s="10" t="n">
        <v>1</v>
      </c>
    </row>
    <row r="1144">
      <c r="A1144" s="7" t="inlineStr">
        <is>
          <t>MAT-21-007</t>
        </is>
      </c>
      <c r="B1144" s="4" t="inlineStr">
        <is>
          <t>Tola negra 1/8", plancha 4 x 8 pies</t>
        </is>
      </c>
      <c r="C1144" s="7" t="inlineStr">
        <is>
          <t>plancha</t>
        </is>
      </c>
      <c r="D1144" s="8" t="n">
        <v>4104.8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>
        <f>IF(COUNT(D1144:U1144)=0,"",MIN(D1144:U1144))</f>
        <v/>
      </c>
      <c r="W1144" s="8">
        <f>IF(COUNT(D1144:U1144)=0,"",MEDIAN(D1144:U1144))</f>
        <v/>
      </c>
      <c r="X1144" s="8">
        <f>IF(COUNT(D1144:U1144)=0,"",MAX(D1144:U1144))</f>
        <v/>
      </c>
      <c r="Y1144" s="9">
        <f>IF(OR(V1144="",V1144=0),"",(X1144-V1144)/V1144)</f>
        <v/>
      </c>
      <c r="Z1144" s="7">
        <f>IF(COUNT(D1144:U1144)=0,"",INDEX($D$1:$U$1,MATCH(MIN(D1144:U1144),D1144:U1144,0)))</f>
        <v/>
      </c>
      <c r="AA1144" s="8" t="n">
        <v>4104.8</v>
      </c>
      <c r="AB1144" s="10" t="n">
        <v>1</v>
      </c>
    </row>
    <row r="1145">
      <c r="A1145" s="7" t="inlineStr">
        <is>
          <t>MAT-21-008</t>
        </is>
      </c>
      <c r="B1145" s="4" t="inlineStr">
        <is>
          <t>Tola negra 1/8", plancha 5 x 10 pies</t>
        </is>
      </c>
      <c r="C1145" s="7" t="inlineStr">
        <is>
          <t>plancha</t>
        </is>
      </c>
      <c r="D1145" s="8" t="n">
        <v>6428.83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>
        <f>IF(COUNT(D1145:U1145)=0,"",MIN(D1145:U1145))</f>
        <v/>
      </c>
      <c r="W1145" s="8">
        <f>IF(COUNT(D1145:U1145)=0,"",MEDIAN(D1145:U1145))</f>
        <v/>
      </c>
      <c r="X1145" s="8">
        <f>IF(COUNT(D1145:U1145)=0,"",MAX(D1145:U1145))</f>
        <v/>
      </c>
      <c r="Y1145" s="9">
        <f>IF(OR(V1145="",V1145=0),"",(X1145-V1145)/V1145)</f>
        <v/>
      </c>
      <c r="Z1145" s="7">
        <f>IF(COUNT(D1145:U1145)=0,"",INDEX($D$1:$U$1,MATCH(MIN(D1145:U1145),D1145:U1145,0)))</f>
        <v/>
      </c>
      <c r="AA1145" s="8" t="n">
        <v>6428.83</v>
      </c>
      <c r="AB1145" s="10" t="n">
        <v>1</v>
      </c>
    </row>
    <row r="1146">
      <c r="A1146" s="7" t="inlineStr">
        <is>
          <t>MAT-21-009</t>
        </is>
      </c>
      <c r="B1146" s="4" t="inlineStr">
        <is>
          <t>Tola negra 3/16", plancha 4 x 8 pies</t>
        </is>
      </c>
      <c r="C1146" s="7" t="inlineStr">
        <is>
          <t>plancha</t>
        </is>
      </c>
      <c r="D1146" s="8" t="n">
        <v>6678.8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>
        <f>IF(COUNT(D1146:U1146)=0,"",MIN(D1146:U1146))</f>
        <v/>
      </c>
      <c r="W1146" s="8">
        <f>IF(COUNT(D1146:U1146)=0,"",MEDIAN(D1146:U1146))</f>
        <v/>
      </c>
      <c r="X1146" s="8">
        <f>IF(COUNT(D1146:U1146)=0,"",MAX(D1146:U1146))</f>
        <v/>
      </c>
      <c r="Y1146" s="9">
        <f>IF(OR(V1146="",V1146=0),"",(X1146-V1146)/V1146)</f>
        <v/>
      </c>
      <c r="Z1146" s="7">
        <f>IF(COUNT(D1146:U1146)=0,"",INDEX($D$1:$U$1,MATCH(MIN(D1146:U1146),D1146:U1146,0)))</f>
        <v/>
      </c>
      <c r="AA1146" s="8" t="n">
        <v>6678.8</v>
      </c>
      <c r="AB1146" s="10" t="n">
        <v>1</v>
      </c>
    </row>
    <row r="1147">
      <c r="A1147" s="7" t="inlineStr">
        <is>
          <t>MAT-21-010</t>
        </is>
      </c>
      <c r="B1147" s="4" t="inlineStr">
        <is>
          <t>Tola negra 3/16", plancha 5 x 10 pies</t>
        </is>
      </c>
      <c r="C1147" s="7" t="inlineStr">
        <is>
          <t>plancha</t>
        </is>
      </c>
      <c r="D1147" s="8" t="n">
        <v>10410.48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>
        <f>IF(COUNT(D1147:U1147)=0,"",MIN(D1147:U1147))</f>
        <v/>
      </c>
      <c r="W1147" s="8">
        <f>IF(COUNT(D1147:U1147)=0,"",MEDIAN(D1147:U1147))</f>
        <v/>
      </c>
      <c r="X1147" s="8">
        <f>IF(COUNT(D1147:U1147)=0,"",MAX(D1147:U1147))</f>
        <v/>
      </c>
      <c r="Y1147" s="9">
        <f>IF(OR(V1147="",V1147=0),"",(X1147-V1147)/V1147)</f>
        <v/>
      </c>
      <c r="Z1147" s="7">
        <f>IF(COUNT(D1147:U1147)=0,"",INDEX($D$1:$U$1,MATCH(MIN(D1147:U1147),D1147:U1147,0)))</f>
        <v/>
      </c>
      <c r="AA1147" s="8" t="n">
        <v>10410.48</v>
      </c>
      <c r="AB1147" s="10" t="n">
        <v>1</v>
      </c>
    </row>
    <row r="1148">
      <c r="A1148" s="7" t="inlineStr">
        <is>
          <t>MAT-21-011</t>
        </is>
      </c>
      <c r="B1148" s="4" t="inlineStr">
        <is>
          <t>Tola negra 3/16", plancha 6 x 10 pies</t>
        </is>
      </c>
      <c r="C1148" s="7" t="inlineStr">
        <is>
          <t>plancha</t>
        </is>
      </c>
      <c r="D1148" s="8" t="n">
        <v>12392.84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>
        <f>IF(COUNT(D1148:U1148)=0,"",MIN(D1148:U1148))</f>
        <v/>
      </c>
      <c r="W1148" s="8">
        <f>IF(COUNT(D1148:U1148)=0,"",MEDIAN(D1148:U1148))</f>
        <v/>
      </c>
      <c r="X1148" s="8">
        <f>IF(COUNT(D1148:U1148)=0,"",MAX(D1148:U1148))</f>
        <v/>
      </c>
      <c r="Y1148" s="9">
        <f>IF(OR(V1148="",V1148=0),"",(X1148-V1148)/V1148)</f>
        <v/>
      </c>
      <c r="Z1148" s="7">
        <f>IF(COUNT(D1148:U1148)=0,"",INDEX($D$1:$U$1,MATCH(MIN(D1148:U1148),D1148:U1148,0)))</f>
        <v/>
      </c>
      <c r="AA1148" s="8" t="n">
        <v>12392.84</v>
      </c>
      <c r="AB1148" s="10" t="n">
        <v>1</v>
      </c>
    </row>
    <row r="1149">
      <c r="A1149" s="7" t="inlineStr">
        <is>
          <t>MAT-21-012</t>
        </is>
      </c>
      <c r="B1149" s="4" t="inlineStr">
        <is>
          <t>Tola negra 1/4", plancha 4 x 8 pies</t>
        </is>
      </c>
      <c r="C1149" s="7" t="inlineStr">
        <is>
          <t>plancha</t>
        </is>
      </c>
      <c r="D1149" s="8" t="n">
        <v>8276.58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>
        <f>IF(COUNT(D1149:U1149)=0,"",MIN(D1149:U1149))</f>
        <v/>
      </c>
      <c r="W1149" s="8">
        <f>IF(COUNT(D1149:U1149)=0,"",MEDIAN(D1149:U1149))</f>
        <v/>
      </c>
      <c r="X1149" s="8">
        <f>IF(COUNT(D1149:U1149)=0,"",MAX(D1149:U1149))</f>
        <v/>
      </c>
      <c r="Y1149" s="9">
        <f>IF(OR(V1149="",V1149=0),"",(X1149-V1149)/V1149)</f>
        <v/>
      </c>
      <c r="Z1149" s="7">
        <f>IF(COUNT(D1149:U1149)=0,"",INDEX($D$1:$U$1,MATCH(MIN(D1149:U1149),D1149:U1149,0)))</f>
        <v/>
      </c>
      <c r="AA1149" s="8" t="n">
        <v>8276.58</v>
      </c>
      <c r="AB1149" s="10" t="n">
        <v>1</v>
      </c>
    </row>
    <row r="1150">
      <c r="A1150" s="7" t="inlineStr">
        <is>
          <t>MAT-21-013</t>
        </is>
      </c>
      <c r="B1150" s="4" t="inlineStr">
        <is>
          <t>Tola negra 1/4", plancha 6 x 10 pies</t>
        </is>
      </c>
      <c r="C1150" s="7" t="inlineStr">
        <is>
          <t>plancha</t>
        </is>
      </c>
      <c r="D1150" s="8" t="n">
        <v>16280.34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>
        <f>IF(COUNT(D1150:U1150)=0,"",MIN(D1150:U1150))</f>
        <v/>
      </c>
      <c r="W1150" s="8">
        <f>IF(COUNT(D1150:U1150)=0,"",MEDIAN(D1150:U1150))</f>
        <v/>
      </c>
      <c r="X1150" s="8">
        <f>IF(COUNT(D1150:U1150)=0,"",MAX(D1150:U1150))</f>
        <v/>
      </c>
      <c r="Y1150" s="9">
        <f>IF(OR(V1150="",V1150=0),"",(X1150-V1150)/V1150)</f>
        <v/>
      </c>
      <c r="Z1150" s="7">
        <f>IF(COUNT(D1150:U1150)=0,"",INDEX($D$1:$U$1,MATCH(MIN(D1150:U1150),D1150:U1150,0)))</f>
        <v/>
      </c>
      <c r="AA1150" s="8" t="n">
        <v>16280.34</v>
      </c>
      <c r="AB1150" s="10" t="n">
        <v>1</v>
      </c>
    </row>
    <row r="1151">
      <c r="A1151" s="7" t="inlineStr">
        <is>
          <t>MAT-21-014</t>
        </is>
      </c>
      <c r="B1151" s="4" t="inlineStr">
        <is>
          <t>Tola negra 3/8", plancha 4 x 8 pies</t>
        </is>
      </c>
      <c r="C1151" s="7" t="inlineStr">
        <is>
          <t>plancha</t>
        </is>
      </c>
      <c r="D1151" s="8" t="n">
        <v>12665.86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>
        <f>IF(COUNT(D1151:U1151)=0,"",MIN(D1151:U1151))</f>
        <v/>
      </c>
      <c r="W1151" s="8">
        <f>IF(COUNT(D1151:U1151)=0,"",MEDIAN(D1151:U1151))</f>
        <v/>
      </c>
      <c r="X1151" s="8">
        <f>IF(COUNT(D1151:U1151)=0,"",MAX(D1151:U1151))</f>
        <v/>
      </c>
      <c r="Y1151" s="9">
        <f>IF(OR(V1151="",V1151=0),"",(X1151-V1151)/V1151)</f>
        <v/>
      </c>
      <c r="Z1151" s="7">
        <f>IF(COUNT(D1151:U1151)=0,"",INDEX($D$1:$U$1,MATCH(MIN(D1151:U1151),D1151:U1151,0)))</f>
        <v/>
      </c>
      <c r="AA1151" s="8" t="n">
        <v>12665.86</v>
      </c>
      <c r="AB1151" s="10" t="n">
        <v>1</v>
      </c>
    </row>
    <row r="1152">
      <c r="A1152" s="7" t="inlineStr">
        <is>
          <t>MAT-21-015</t>
        </is>
      </c>
      <c r="B1152" s="4" t="inlineStr">
        <is>
          <t>Tola negra 5/8", plancha 4 x 8 pies</t>
        </is>
      </c>
      <c r="C1152" s="7" t="inlineStr">
        <is>
          <t>plancha</t>
        </is>
      </c>
      <c r="D1152" s="8" t="n">
        <v>21001.52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>
        <f>IF(COUNT(D1152:U1152)=0,"",MIN(D1152:U1152))</f>
        <v/>
      </c>
      <c r="W1152" s="8">
        <f>IF(COUNT(D1152:U1152)=0,"",MEDIAN(D1152:U1152))</f>
        <v/>
      </c>
      <c r="X1152" s="8">
        <f>IF(COUNT(D1152:U1152)=0,"",MAX(D1152:U1152))</f>
        <v/>
      </c>
      <c r="Y1152" s="9">
        <f>IF(OR(V1152="",V1152=0),"",(X1152-V1152)/V1152)</f>
        <v/>
      </c>
      <c r="Z1152" s="7">
        <f>IF(COUNT(D1152:U1152)=0,"",INDEX($D$1:$U$1,MATCH(MIN(D1152:U1152),D1152:U1152,0)))</f>
        <v/>
      </c>
      <c r="AA1152" s="8" t="n">
        <v>21001.52</v>
      </c>
      <c r="AB1152" s="10" t="n">
        <v>1</v>
      </c>
    </row>
    <row r="1153">
      <c r="A1153" s="7" t="inlineStr">
        <is>
          <t>MAT-21-016</t>
        </is>
      </c>
      <c r="B1153" s="4" t="inlineStr">
        <is>
          <t>Tola negra 1", plancha 4 x 8 pies</t>
        </is>
      </c>
      <c r="C1153" s="7" t="inlineStr">
        <is>
          <t>plancha</t>
        </is>
      </c>
      <c r="D1153" s="8" t="n">
        <v>37319.49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>
        <f>IF(COUNT(D1153:U1153)=0,"",MIN(D1153:U1153))</f>
        <v/>
      </c>
      <c r="W1153" s="8">
        <f>IF(COUNT(D1153:U1153)=0,"",MEDIAN(D1153:U1153))</f>
        <v/>
      </c>
      <c r="X1153" s="8">
        <f>IF(COUNT(D1153:U1153)=0,"",MAX(D1153:U1153))</f>
        <v/>
      </c>
      <c r="Y1153" s="9">
        <f>IF(OR(V1153="",V1153=0),"",(X1153-V1153)/V1153)</f>
        <v/>
      </c>
      <c r="Z1153" s="7">
        <f>IF(COUNT(D1153:U1153)=0,"",INDEX($D$1:$U$1,MATCH(MIN(D1153:U1153),D1153:U1153,0)))</f>
        <v/>
      </c>
      <c r="AA1153" s="8" t="n">
        <v>37319.49</v>
      </c>
      <c r="AB1153" s="10" t="n">
        <v>1</v>
      </c>
    </row>
    <row r="1154">
      <c r="A1154" s="7" t="inlineStr">
        <is>
          <t>MAT-21-017</t>
        </is>
      </c>
      <c r="B1154" s="4" t="inlineStr">
        <is>
          <t>Tola corrugada 3/32", plancha 4 x 8 pies</t>
        </is>
      </c>
      <c r="C1154" s="7" t="inlineStr">
        <is>
          <t>plancha</t>
        </is>
      </c>
      <c r="D1154" s="8" t="n">
        <v>3253.65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>
        <f>IF(COUNT(D1154:U1154)=0,"",MIN(D1154:U1154))</f>
        <v/>
      </c>
      <c r="W1154" s="8">
        <f>IF(COUNT(D1154:U1154)=0,"",MEDIAN(D1154:U1154))</f>
        <v/>
      </c>
      <c r="X1154" s="8">
        <f>IF(COUNT(D1154:U1154)=0,"",MAX(D1154:U1154))</f>
        <v/>
      </c>
      <c r="Y1154" s="9">
        <f>IF(OR(V1154="",V1154=0),"",(X1154-V1154)/V1154)</f>
        <v/>
      </c>
      <c r="Z1154" s="7">
        <f>IF(COUNT(D1154:U1154)=0,"",INDEX($D$1:$U$1,MATCH(MIN(D1154:U1154),D1154:U1154,0)))</f>
        <v/>
      </c>
      <c r="AA1154" s="8" t="n">
        <v>3253.65</v>
      </c>
      <c r="AB1154" s="10" t="n">
        <v>1</v>
      </c>
    </row>
    <row r="1155">
      <c r="A1155" s="7" t="inlineStr">
        <is>
          <t>MAT-21-018</t>
        </is>
      </c>
      <c r="B1155" s="4" t="inlineStr">
        <is>
          <t>Tola corrugada 1/8", plancha 4 x 8 pies</t>
        </is>
      </c>
      <c r="C1155" s="7" t="inlineStr">
        <is>
          <t>plancha</t>
        </is>
      </c>
      <c r="D1155" s="8" t="n">
        <v>4279.86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>
        <f>IF(COUNT(D1155:U1155)=0,"",MIN(D1155:U1155))</f>
        <v/>
      </c>
      <c r="W1155" s="8">
        <f>IF(COUNT(D1155:U1155)=0,"",MEDIAN(D1155:U1155))</f>
        <v/>
      </c>
      <c r="X1155" s="8">
        <f>IF(COUNT(D1155:U1155)=0,"",MAX(D1155:U1155))</f>
        <v/>
      </c>
      <c r="Y1155" s="9">
        <f>IF(OR(V1155="",V1155=0),"",(X1155-V1155)/V1155)</f>
        <v/>
      </c>
      <c r="Z1155" s="7">
        <f>IF(COUNT(D1155:U1155)=0,"",INDEX($D$1:$U$1,MATCH(MIN(D1155:U1155),D1155:U1155,0)))</f>
        <v/>
      </c>
      <c r="AA1155" s="8" t="n">
        <v>4279.86</v>
      </c>
      <c r="AB1155" s="10" t="n">
        <v>1</v>
      </c>
    </row>
    <row r="1156">
      <c r="A1156" s="7" t="inlineStr">
        <is>
          <t>MAT-21-019</t>
        </is>
      </c>
      <c r="B1156" s="4" t="inlineStr">
        <is>
          <t>Tola corrugada 3/16", plancha 4 x 8 pies</t>
        </is>
      </c>
      <c r="C1156" s="7" t="inlineStr">
        <is>
          <t>plancha</t>
        </is>
      </c>
      <c r="D1156" s="8" t="n">
        <v>6433.47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>
        <f>IF(COUNT(D1156:U1156)=0,"",MIN(D1156:U1156))</f>
        <v/>
      </c>
      <c r="W1156" s="8">
        <f>IF(COUNT(D1156:U1156)=0,"",MEDIAN(D1156:U1156))</f>
        <v/>
      </c>
      <c r="X1156" s="8">
        <f>IF(COUNT(D1156:U1156)=0,"",MAX(D1156:U1156))</f>
        <v/>
      </c>
      <c r="Y1156" s="9">
        <f>IF(OR(V1156="",V1156=0),"",(X1156-V1156)/V1156)</f>
        <v/>
      </c>
      <c r="Z1156" s="7">
        <f>IF(COUNT(D1156:U1156)=0,"",INDEX($D$1:$U$1,MATCH(MIN(D1156:U1156),D1156:U1156,0)))</f>
        <v/>
      </c>
      <c r="AA1156" s="8" t="n">
        <v>6433.47</v>
      </c>
      <c r="AB1156" s="10" t="n">
        <v>1</v>
      </c>
    </row>
    <row r="1157">
      <c r="A1157" s="7" t="inlineStr">
        <is>
          <t>MAT-21-020</t>
        </is>
      </c>
      <c r="B1157" s="4" t="inlineStr">
        <is>
          <t>Tola galvanizada 4 x 8 pies, 25 lb</t>
        </is>
      </c>
      <c r="C1157" s="7" t="inlineStr">
        <is>
          <t>plancha</t>
        </is>
      </c>
      <c r="D1157" s="8" t="n">
        <v>825.17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>
        <f>IF(COUNT(D1157:U1157)=0,"",MIN(D1157:U1157))</f>
        <v/>
      </c>
      <c r="W1157" s="8">
        <f>IF(COUNT(D1157:U1157)=0,"",MEDIAN(D1157:U1157))</f>
        <v/>
      </c>
      <c r="X1157" s="8">
        <f>IF(COUNT(D1157:U1157)=0,"",MAX(D1157:U1157))</f>
        <v/>
      </c>
      <c r="Y1157" s="9">
        <f>IF(OR(V1157="",V1157=0),"",(X1157-V1157)/V1157)</f>
        <v/>
      </c>
      <c r="Z1157" s="7">
        <f>IF(COUNT(D1157:U1157)=0,"",INDEX($D$1:$U$1,MATCH(MIN(D1157:U1157),D1157:U1157,0)))</f>
        <v/>
      </c>
      <c r="AA1157" s="8" t="n">
        <v>825.17</v>
      </c>
      <c r="AB1157" s="10" t="n">
        <v>1</v>
      </c>
    </row>
    <row r="1158">
      <c r="A1158" s="7" t="inlineStr">
        <is>
          <t>MAT-21-021</t>
        </is>
      </c>
      <c r="B1158" s="4" t="inlineStr">
        <is>
          <t>Tola galvanizada 4 x 8 pies, 32 lb</t>
        </is>
      </c>
      <c r="C1158" s="7" t="inlineStr">
        <is>
          <t>plancha</t>
        </is>
      </c>
      <c r="D1158" s="8" t="n">
        <v>952.1900000000001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>
        <f>IF(COUNT(D1158:U1158)=0,"",MIN(D1158:U1158))</f>
        <v/>
      </c>
      <c r="W1158" s="8">
        <f>IF(COUNT(D1158:U1158)=0,"",MEDIAN(D1158:U1158))</f>
        <v/>
      </c>
      <c r="X1158" s="8">
        <f>IF(COUNT(D1158:U1158)=0,"",MAX(D1158:U1158))</f>
        <v/>
      </c>
      <c r="Y1158" s="9">
        <f>IF(OR(V1158="",V1158=0),"",(X1158-V1158)/V1158)</f>
        <v/>
      </c>
      <c r="Z1158" s="7">
        <f>IF(COUNT(D1158:U1158)=0,"",INDEX($D$1:$U$1,MATCH(MIN(D1158:U1158),D1158:U1158,0)))</f>
        <v/>
      </c>
      <c r="AA1158" s="8" t="n">
        <v>952.1900000000001</v>
      </c>
      <c r="AB1158" s="10" t="n">
        <v>1</v>
      </c>
    </row>
    <row r="1159">
      <c r="A1159" s="7" t="inlineStr">
        <is>
          <t>MAT-21-022</t>
        </is>
      </c>
      <c r="B1159" s="4" t="inlineStr">
        <is>
          <t>Tola galvanizada 4 x 8 pies, 44 lb</t>
        </is>
      </c>
      <c r="C1159" s="7" t="inlineStr">
        <is>
          <t>plancha</t>
        </is>
      </c>
      <c r="D1159" s="8" t="n">
        <v>1169.6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>
        <f>IF(COUNT(D1159:U1159)=0,"",MIN(D1159:U1159))</f>
        <v/>
      </c>
      <c r="W1159" s="8">
        <f>IF(COUNT(D1159:U1159)=0,"",MEDIAN(D1159:U1159))</f>
        <v/>
      </c>
      <c r="X1159" s="8">
        <f>IF(COUNT(D1159:U1159)=0,"",MAX(D1159:U1159))</f>
        <v/>
      </c>
      <c r="Y1159" s="9">
        <f>IF(OR(V1159="",V1159=0),"",(X1159-V1159)/V1159)</f>
        <v/>
      </c>
      <c r="Z1159" s="7">
        <f>IF(COUNT(D1159:U1159)=0,"",INDEX($D$1:$U$1,MATCH(MIN(D1159:U1159),D1159:U1159,0)))</f>
        <v/>
      </c>
      <c r="AA1159" s="8" t="n">
        <v>1169.6</v>
      </c>
      <c r="AB1159" s="10" t="n">
        <v>1</v>
      </c>
    </row>
    <row r="1160">
      <c r="A1160" s="7" t="inlineStr">
        <is>
          <t>MAT-21-023</t>
        </is>
      </c>
      <c r="B1160" s="4" t="inlineStr">
        <is>
          <t>Tola galvanizada 4 x 8 pies, 52 lb</t>
        </is>
      </c>
      <c r="C1160" s="7" t="inlineStr">
        <is>
          <t>plancha</t>
        </is>
      </c>
      <c r="D1160" s="8" t="n">
        <v>1551.37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>
        <f>IF(COUNT(D1160:U1160)=0,"",MIN(D1160:U1160))</f>
        <v/>
      </c>
      <c r="W1160" s="8">
        <f>IF(COUNT(D1160:U1160)=0,"",MEDIAN(D1160:U1160))</f>
        <v/>
      </c>
      <c r="X1160" s="8">
        <f>IF(COUNT(D1160:U1160)=0,"",MAX(D1160:U1160))</f>
        <v/>
      </c>
      <c r="Y1160" s="9">
        <f>IF(OR(V1160="",V1160=0),"",(X1160-V1160)/V1160)</f>
        <v/>
      </c>
      <c r="Z1160" s="7">
        <f>IF(COUNT(D1160:U1160)=0,"",INDEX($D$1:$U$1,MATCH(MIN(D1160:U1160),D1160:U1160,0)))</f>
        <v/>
      </c>
      <c r="AA1160" s="8" t="n">
        <v>1551.37</v>
      </c>
      <c r="AB1160" s="10" t="n">
        <v>1</v>
      </c>
    </row>
    <row r="1161">
      <c r="A1161" s="7" t="inlineStr">
        <is>
          <t>MAT-21-024</t>
        </is>
      </c>
      <c r="B1161" s="4" t="inlineStr">
        <is>
          <t>Tola galvanizada 4 x 8 pies, 83.75 lb</t>
        </is>
      </c>
      <c r="C1161" s="7" t="inlineStr">
        <is>
          <t>plancha</t>
        </is>
      </c>
      <c r="D1161" s="8" t="n">
        <v>2364.86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>
        <f>IF(COUNT(D1161:U1161)=0,"",MIN(D1161:U1161))</f>
        <v/>
      </c>
      <c r="W1161" s="8">
        <f>IF(COUNT(D1161:U1161)=0,"",MEDIAN(D1161:U1161))</f>
        <v/>
      </c>
      <c r="X1161" s="8">
        <f>IF(COUNT(D1161:U1161)=0,"",MAX(D1161:U1161))</f>
        <v/>
      </c>
      <c r="Y1161" s="9">
        <f>IF(OR(V1161="",V1161=0),"",(X1161-V1161)/V1161)</f>
        <v/>
      </c>
      <c r="Z1161" s="7">
        <f>IF(COUNT(D1161:U1161)=0,"",INDEX($D$1:$U$1,MATCH(MIN(D1161:U1161),D1161:U1161,0)))</f>
        <v/>
      </c>
      <c r="AA1161" s="8" t="n">
        <v>2364.86</v>
      </c>
      <c r="AB1161" s="10" t="n">
        <v>1</v>
      </c>
    </row>
    <row r="1162">
      <c r="A1162" s="7" t="inlineStr">
        <is>
          <t>MAT-21-025</t>
        </is>
      </c>
      <c r="B1162" s="4" t="inlineStr">
        <is>
          <t>Metal desplegable plano 3/8", plancha 4 x 8 pies</t>
        </is>
      </c>
      <c r="C1162" s="7" t="inlineStr">
        <is>
          <t>plancha</t>
        </is>
      </c>
      <c r="D1162" s="8" t="n">
        <v>2209.05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>
        <f>IF(COUNT(D1162:U1162)=0,"",MIN(D1162:U1162))</f>
        <v/>
      </c>
      <c r="W1162" s="8">
        <f>IF(COUNT(D1162:U1162)=0,"",MEDIAN(D1162:U1162))</f>
        <v/>
      </c>
      <c r="X1162" s="8">
        <f>IF(COUNT(D1162:U1162)=0,"",MAX(D1162:U1162))</f>
        <v/>
      </c>
      <c r="Y1162" s="9">
        <f>IF(OR(V1162="",V1162=0),"",(X1162-V1162)/V1162)</f>
        <v/>
      </c>
      <c r="Z1162" s="7">
        <f>IF(COUNT(D1162:U1162)=0,"",INDEX($D$1:$U$1,MATCH(MIN(D1162:U1162),D1162:U1162,0)))</f>
        <v/>
      </c>
      <c r="AA1162" s="8" t="n">
        <v>2209.05</v>
      </c>
      <c r="AB1162" s="10" t="n">
        <v>1</v>
      </c>
    </row>
    <row r="1163">
      <c r="A1163" s="7" t="inlineStr">
        <is>
          <t>MAT-21-026</t>
        </is>
      </c>
      <c r="B1163" s="4" t="inlineStr">
        <is>
          <t>Metal desplegable plano 1/2", plancha 4 x 8 pies</t>
        </is>
      </c>
      <c r="C1163" s="7" t="inlineStr">
        <is>
          <t>plancha</t>
        </is>
      </c>
      <c r="D1163" s="8" t="n">
        <v>765.55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>
        <f>IF(COUNT(D1163:U1163)=0,"",MIN(D1163:U1163))</f>
        <v/>
      </c>
      <c r="W1163" s="8">
        <f>IF(COUNT(D1163:U1163)=0,"",MEDIAN(D1163:U1163))</f>
        <v/>
      </c>
      <c r="X1163" s="8">
        <f>IF(COUNT(D1163:U1163)=0,"",MAX(D1163:U1163))</f>
        <v/>
      </c>
      <c r="Y1163" s="9">
        <f>IF(OR(V1163="",V1163=0),"",(X1163-V1163)/V1163)</f>
        <v/>
      </c>
      <c r="Z1163" s="7">
        <f>IF(COUNT(D1163:U1163)=0,"",INDEX($D$1:$U$1,MATCH(MIN(D1163:U1163),D1163:U1163,0)))</f>
        <v/>
      </c>
      <c r="AA1163" s="8" t="n">
        <v>765.55</v>
      </c>
      <c r="AB1163" s="10" t="n">
        <v>1</v>
      </c>
    </row>
    <row r="1164">
      <c r="A1164" s="7" t="inlineStr">
        <is>
          <t>MAT-21-027</t>
        </is>
      </c>
      <c r="B1164" s="4" t="inlineStr">
        <is>
          <t>Metal desplegable plano 3/4", plancha 4 x 8 pies</t>
        </is>
      </c>
      <c r="C1164" s="7" t="inlineStr">
        <is>
          <t>plancha</t>
        </is>
      </c>
      <c r="D1164" s="8" t="n">
        <v>850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>
        <f>IF(COUNT(D1164:U1164)=0,"",MIN(D1164:U1164))</f>
        <v/>
      </c>
      <c r="W1164" s="8">
        <f>IF(COUNT(D1164:U1164)=0,"",MEDIAN(D1164:U1164))</f>
        <v/>
      </c>
      <c r="X1164" s="8">
        <f>IF(COUNT(D1164:U1164)=0,"",MAX(D1164:U1164))</f>
        <v/>
      </c>
      <c r="Y1164" s="9">
        <f>IF(OR(V1164="",V1164=0),"",(X1164-V1164)/V1164)</f>
        <v/>
      </c>
      <c r="Z1164" s="7">
        <f>IF(COUNT(D1164:U1164)=0,"",INDEX($D$1:$U$1,MATCH(MIN(D1164:U1164),D1164:U1164,0)))</f>
        <v/>
      </c>
      <c r="AA1164" s="8" t="n">
        <v>850</v>
      </c>
      <c r="AB1164" s="10" t="n">
        <v>1</v>
      </c>
    </row>
    <row r="1165">
      <c r="A1165" s="7" t="inlineStr">
        <is>
          <t>MAT-21-028</t>
        </is>
      </c>
      <c r="B1165" s="4" t="inlineStr">
        <is>
          <t>Metal desplegable plano 1", plancha 4 x 8 pies</t>
        </is>
      </c>
      <c r="C1165" s="7" t="inlineStr">
        <is>
          <t>plancha</t>
        </is>
      </c>
      <c r="D1165" s="8" t="n">
        <v>1080.47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>
        <f>IF(COUNT(D1165:U1165)=0,"",MIN(D1165:U1165))</f>
        <v/>
      </c>
      <c r="W1165" s="8">
        <f>IF(COUNT(D1165:U1165)=0,"",MEDIAN(D1165:U1165))</f>
        <v/>
      </c>
      <c r="X1165" s="8">
        <f>IF(COUNT(D1165:U1165)=0,"",MAX(D1165:U1165))</f>
        <v/>
      </c>
      <c r="Y1165" s="9">
        <f>IF(OR(V1165="",V1165=0),"",(X1165-V1165)/V1165)</f>
        <v/>
      </c>
      <c r="Z1165" s="7">
        <f>IF(COUNT(D1165:U1165)=0,"",INDEX($D$1:$U$1,MATCH(MIN(D1165:U1165),D1165:U1165,0)))</f>
        <v/>
      </c>
      <c r="AA1165" s="8" t="n">
        <v>1080.47</v>
      </c>
      <c r="AB1165" s="10" t="n">
        <v>1</v>
      </c>
    </row>
    <row r="1166">
      <c r="A1166" s="7" t="inlineStr">
        <is>
          <t>MAT-21-029</t>
        </is>
      </c>
      <c r="B1166" s="4" t="inlineStr">
        <is>
          <t>Metal desplegable plano 1 1/2", plancha 4 x 8 pies</t>
        </is>
      </c>
      <c r="C1166" s="7" t="inlineStr">
        <is>
          <t>plancha</t>
        </is>
      </c>
      <c r="D1166" s="8" t="n">
        <v>939.35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>
        <f>IF(COUNT(D1166:U1166)=0,"",MIN(D1166:U1166))</f>
        <v/>
      </c>
      <c r="W1166" s="8">
        <f>IF(COUNT(D1166:U1166)=0,"",MEDIAN(D1166:U1166))</f>
        <v/>
      </c>
      <c r="X1166" s="8">
        <f>IF(COUNT(D1166:U1166)=0,"",MAX(D1166:U1166))</f>
        <v/>
      </c>
      <c r="Y1166" s="9">
        <f>IF(OR(V1166="",V1166=0),"",(X1166-V1166)/V1166)</f>
        <v/>
      </c>
      <c r="Z1166" s="7">
        <f>IF(COUNT(D1166:U1166)=0,"",INDEX($D$1:$U$1,MATCH(MIN(D1166:U1166),D1166:U1166,0)))</f>
        <v/>
      </c>
      <c r="AA1166" s="8" t="n">
        <v>939.35</v>
      </c>
      <c r="AB1166" s="10" t="n">
        <v>1</v>
      </c>
    </row>
    <row r="1167">
      <c r="A1167" s="7" t="inlineStr">
        <is>
          <t>MAT-22-001</t>
        </is>
      </c>
      <c r="B1167" s="4" t="inlineStr">
        <is>
          <t>Malla ciclónica calibre 9, 3 pies de alto, rollo de 50 pies</t>
        </is>
      </c>
      <c r="C1167" s="7" t="inlineStr">
        <is>
          <t>rollo</t>
        </is>
      </c>
      <c r="D1167" s="8" t="n">
        <v>5223.1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>
        <f>IF(COUNT(D1167:U1167)=0,"",MIN(D1167:U1167))</f>
        <v/>
      </c>
      <c r="W1167" s="8">
        <f>IF(COUNT(D1167:U1167)=0,"",MEDIAN(D1167:U1167))</f>
        <v/>
      </c>
      <c r="X1167" s="8">
        <f>IF(COUNT(D1167:U1167)=0,"",MAX(D1167:U1167))</f>
        <v/>
      </c>
      <c r="Y1167" s="9">
        <f>IF(OR(V1167="",V1167=0),"",(X1167-V1167)/V1167)</f>
        <v/>
      </c>
      <c r="Z1167" s="7">
        <f>IF(COUNT(D1167:U1167)=0,"",INDEX($D$1:$U$1,MATCH(MIN(D1167:U1167),D1167:U1167,0)))</f>
        <v/>
      </c>
      <c r="AA1167" s="8" t="n">
        <v>5223.1</v>
      </c>
      <c r="AB1167" s="10" t="n">
        <v>1</v>
      </c>
    </row>
    <row r="1168">
      <c r="A1168" s="7" t="inlineStr">
        <is>
          <t>MAT-22-002</t>
        </is>
      </c>
      <c r="B1168" s="4" t="inlineStr">
        <is>
          <t>Malla ciclónica calibre 9, 4 pies de alto, rollo de 50 pies</t>
        </is>
      </c>
      <c r="C1168" s="7" t="inlineStr">
        <is>
          <t>rollo</t>
        </is>
      </c>
      <c r="D1168" s="8" t="n">
        <v>6121.98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>
        <v>6236</v>
      </c>
      <c r="P1168" s="8" t="n"/>
      <c r="Q1168" s="8" t="n"/>
      <c r="R1168" s="8" t="n"/>
      <c r="S1168" s="8" t="n"/>
      <c r="T1168" s="8" t="n"/>
      <c r="U1168" s="8" t="n"/>
      <c r="V1168" s="8">
        <f>IF(COUNT(D1168:U1168)=0,"",MIN(D1168:U1168))</f>
        <v/>
      </c>
      <c r="W1168" s="8">
        <f>IF(COUNT(D1168:U1168)=0,"",MEDIAN(D1168:U1168))</f>
        <v/>
      </c>
      <c r="X1168" s="8">
        <f>IF(COUNT(D1168:U1168)=0,"",MAX(D1168:U1168))</f>
        <v/>
      </c>
      <c r="Y1168" s="9">
        <f>IF(OR(V1168="",V1168=0),"",(X1168-V1168)/V1168)</f>
        <v/>
      </c>
      <c r="Z1168" s="7">
        <f>IF(COUNT(D1168:U1168)=0,"",INDEX($D$1:$U$1,MATCH(MIN(D1168:U1168),D1168:U1168,0)))</f>
        <v/>
      </c>
      <c r="AA1168" s="8" t="n">
        <v>6740.23</v>
      </c>
      <c r="AB1168" s="10" t="n">
        <v>2</v>
      </c>
    </row>
    <row r="1169">
      <c r="A1169" s="7" t="inlineStr">
        <is>
          <t>MAT-22-003</t>
        </is>
      </c>
      <c r="B1169" s="4" t="inlineStr">
        <is>
          <t>Malla ciclónica calibre 9, 6 pies de alto, rollo de 50 pies</t>
        </is>
      </c>
      <c r="C1169" s="7" t="inlineStr">
        <is>
          <t>rollo</t>
        </is>
      </c>
      <c r="D1169" s="8" t="n">
        <v>9867.16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>
        <v>9957</v>
      </c>
      <c r="P1169" s="8" t="n"/>
      <c r="Q1169" s="8" t="n"/>
      <c r="R1169" s="8" t="n"/>
      <c r="S1169" s="8" t="n"/>
      <c r="T1169" s="8" t="n"/>
      <c r="U1169" s="8" t="n"/>
      <c r="V1169" s="8">
        <f>IF(COUNT(D1169:U1169)=0,"",MIN(D1169:U1169))</f>
        <v/>
      </c>
      <c r="W1169" s="8">
        <f>IF(COUNT(D1169:U1169)=0,"",MEDIAN(D1169:U1169))</f>
        <v/>
      </c>
      <c r="X1169" s="8">
        <f>IF(COUNT(D1169:U1169)=0,"",MAX(D1169:U1169))</f>
        <v/>
      </c>
      <c r="Y1169" s="9">
        <f>IF(OR(V1169="",V1169=0),"",(X1169-V1169)/V1169)</f>
        <v/>
      </c>
      <c r="Z1169" s="7">
        <f>IF(COUNT(D1169:U1169)=0,"",INDEX($D$1:$U$1,MATCH(MIN(D1169:U1169),D1169:U1169,0)))</f>
        <v/>
      </c>
      <c r="AA1169" s="8" t="n">
        <v>10808.21</v>
      </c>
      <c r="AB1169" s="10" t="n">
        <v>2</v>
      </c>
    </row>
    <row r="1170">
      <c r="A1170" s="7" t="inlineStr">
        <is>
          <t>MAT-22-004</t>
        </is>
      </c>
      <c r="B1170" s="4" t="inlineStr">
        <is>
          <t>Malla ciclónica calibre 9 revestida en PVC, 6 pies de alto, rollo de 50 pies</t>
        </is>
      </c>
      <c r="C1170" s="7" t="inlineStr">
        <is>
          <t>rollo</t>
        </is>
      </c>
      <c r="D1170" s="8" t="n">
        <v>11757.65</v>
      </c>
      <c r="E1170" s="8" t="n"/>
      <c r="F1170" s="8" t="n"/>
      <c r="G1170" s="8" t="n"/>
      <c r="H1170" s="8" t="n"/>
      <c r="I1170" s="8" t="n"/>
      <c r="J1170" s="8" t="n"/>
      <c r="K1170" s="8" t="n">
        <v>14690</v>
      </c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>
        <f>IF(COUNT(D1170:U1170)=0,"",MIN(D1170:U1170))</f>
        <v/>
      </c>
      <c r="W1170" s="8">
        <f>IF(COUNT(D1170:U1170)=0,"",MEDIAN(D1170:U1170))</f>
        <v/>
      </c>
      <c r="X1170" s="8">
        <f>IF(COUNT(D1170:U1170)=0,"",MAX(D1170:U1170))</f>
        <v/>
      </c>
      <c r="Y1170" s="9">
        <f>IF(OR(V1170="",V1170=0),"",(X1170-V1170)/V1170)</f>
        <v/>
      </c>
      <c r="Z1170" s="7">
        <f>IF(COUNT(D1170:U1170)=0,"",INDEX($D$1:$U$1,MATCH(MIN(D1170:U1170),D1170:U1170,0)))</f>
        <v/>
      </c>
      <c r="AA1170" s="8" t="n">
        <v>13223.83</v>
      </c>
      <c r="AB1170" s="10" t="n">
        <v>2</v>
      </c>
    </row>
    <row r="1171">
      <c r="A1171" s="7" t="inlineStr">
        <is>
          <t>MAT-22-005</t>
        </is>
      </c>
      <c r="B1171" s="4" t="inlineStr">
        <is>
          <t>Malla ciclónica calibre 9, 8 pies de alto, rollo de 50 pies</t>
        </is>
      </c>
      <c r="C1171" s="7" t="inlineStr">
        <is>
          <t>rollo</t>
        </is>
      </c>
      <c r="D1171" s="8" t="n">
        <v>13273.54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>
        <v>13272</v>
      </c>
      <c r="P1171" s="8" t="n"/>
      <c r="Q1171" s="8" t="n"/>
      <c r="R1171" s="8" t="n"/>
      <c r="S1171" s="8" t="n"/>
      <c r="T1171" s="8" t="n"/>
      <c r="U1171" s="8" t="n"/>
      <c r="V1171" s="8">
        <f>IF(COUNT(D1171:U1171)=0,"",MIN(D1171:U1171))</f>
        <v/>
      </c>
      <c r="W1171" s="8">
        <f>IF(COUNT(D1171:U1171)=0,"",MEDIAN(D1171:U1171))</f>
        <v/>
      </c>
      <c r="X1171" s="8">
        <f>IF(COUNT(D1171:U1171)=0,"",MAX(D1171:U1171))</f>
        <v/>
      </c>
      <c r="Y1171" s="9">
        <f>IF(OR(V1171="",V1171=0),"",(X1171-V1171)/V1171)</f>
        <v/>
      </c>
      <c r="Z1171" s="7">
        <f>IF(COUNT(D1171:U1171)=0,"",INDEX($D$1:$U$1,MATCH(MIN(D1171:U1171),D1171:U1171,0)))</f>
        <v/>
      </c>
      <c r="AA1171" s="8" t="n">
        <v>14467.25</v>
      </c>
      <c r="AB1171" s="10" t="n">
        <v>2</v>
      </c>
    </row>
    <row r="1172">
      <c r="A1172" s="7" t="inlineStr">
        <is>
          <t>MAT-22-006</t>
        </is>
      </c>
      <c r="B1172" s="4" t="inlineStr">
        <is>
          <t>Tubo galvanizado para malla ciclónica 1 1/4" x 20 pies</t>
        </is>
      </c>
      <c r="C1172" s="7" t="inlineStr">
        <is>
          <t>unidad</t>
        </is>
      </c>
      <c r="D1172" s="8" t="n">
        <v>527.0599999999999</v>
      </c>
      <c r="E1172" s="8" t="n"/>
      <c r="F1172" s="8" t="n"/>
      <c r="G1172" s="8" t="n"/>
      <c r="H1172" s="8" t="n"/>
      <c r="I1172" s="8" t="n"/>
      <c r="J1172" s="8" t="n"/>
      <c r="K1172" s="8" t="n">
        <v>730</v>
      </c>
      <c r="L1172" s="8" t="n"/>
      <c r="M1172" s="8" t="n"/>
      <c r="N1172" s="8" t="n"/>
      <c r="O1172" s="8" t="n">
        <v>603</v>
      </c>
      <c r="P1172" s="8" t="n"/>
      <c r="Q1172" s="8" t="n"/>
      <c r="R1172" s="8" t="n"/>
      <c r="S1172" s="8" t="n"/>
      <c r="T1172" s="8" t="n"/>
      <c r="U1172" s="8" t="n"/>
      <c r="V1172" s="8">
        <f>IF(COUNT(D1172:U1172)=0,"",MIN(D1172:U1172))</f>
        <v/>
      </c>
      <c r="W1172" s="8">
        <f>IF(COUNT(D1172:U1172)=0,"",MEDIAN(D1172:U1172))</f>
        <v/>
      </c>
      <c r="X1172" s="8">
        <f>IF(COUNT(D1172:U1172)=0,"",MAX(D1172:U1172))</f>
        <v/>
      </c>
      <c r="Y1172" s="9">
        <f>IF(OR(V1172="",V1172=0),"",(X1172-V1172)/V1172)</f>
        <v/>
      </c>
      <c r="Z1172" s="7">
        <f>IF(COUNT(D1172:U1172)=0,"",INDEX($D$1:$U$1,MATCH(MIN(D1172:U1172),D1172:U1172,0)))</f>
        <v/>
      </c>
      <c r="AA1172" s="8" t="n">
        <v>711.54</v>
      </c>
      <c r="AB1172" s="10" t="n">
        <v>3</v>
      </c>
    </row>
    <row r="1173">
      <c r="A1173" s="7" t="inlineStr">
        <is>
          <t>MAT-22-007</t>
        </is>
      </c>
      <c r="B1173" s="4" t="inlineStr">
        <is>
          <t>Tubo galvanizado para malla ciclónica 1 1/2" x 15 pies</t>
        </is>
      </c>
      <c r="C1173" s="7" t="inlineStr">
        <is>
          <t>unidad</t>
        </is>
      </c>
      <c r="D1173" s="8" t="n">
        <v>462.61</v>
      </c>
      <c r="E1173" s="8" t="n"/>
      <c r="F1173" s="8" t="n"/>
      <c r="G1173" s="8" t="n"/>
      <c r="H1173" s="8" t="n"/>
      <c r="I1173" s="8" t="n"/>
      <c r="J1173" s="8" t="n"/>
      <c r="K1173" s="8" t="n">
        <v>625</v>
      </c>
      <c r="L1173" s="8" t="n"/>
      <c r="M1173" s="8" t="n"/>
      <c r="N1173" s="8" t="n"/>
      <c r="O1173" s="8" t="n">
        <v>460</v>
      </c>
      <c r="P1173" s="8" t="n"/>
      <c r="Q1173" s="8" t="n"/>
      <c r="R1173" s="8" t="n"/>
      <c r="S1173" s="8" t="n"/>
      <c r="T1173" s="8" t="n"/>
      <c r="U1173" s="8" t="n"/>
      <c r="V1173" s="8">
        <f>IF(COUNT(D1173:U1173)=0,"",MIN(D1173:U1173))</f>
        <v/>
      </c>
      <c r="W1173" s="8">
        <f>IF(COUNT(D1173:U1173)=0,"",MEDIAN(D1173:U1173))</f>
        <v/>
      </c>
      <c r="X1173" s="8">
        <f>IF(COUNT(D1173:U1173)=0,"",MAX(D1173:U1173))</f>
        <v/>
      </c>
      <c r="Y1173" s="9">
        <f>IF(OR(V1173="",V1173=0),"",(X1173-V1173)/V1173)</f>
        <v/>
      </c>
      <c r="Z1173" s="7">
        <f>IF(COUNT(D1173:U1173)=0,"",INDEX($D$1:$U$1,MATCH(MIN(D1173:U1173),D1173:U1173,0)))</f>
        <v/>
      </c>
      <c r="AA1173" s="8" t="n">
        <v>542.8</v>
      </c>
      <c r="AB1173" s="10" t="n">
        <v>3</v>
      </c>
    </row>
    <row r="1174">
      <c r="A1174" s="7" t="inlineStr">
        <is>
          <t>MAT-22-008</t>
        </is>
      </c>
      <c r="B1174" s="4" t="inlineStr">
        <is>
          <t>Tubo galvanizado para malla ciclónica 2" x 20 pies</t>
        </is>
      </c>
      <c r="C1174" s="7" t="inlineStr">
        <is>
          <t>unidad</t>
        </is>
      </c>
      <c r="D1174" s="8" t="n">
        <v>699.92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>
        <v>700</v>
      </c>
      <c r="P1174" s="8" t="n"/>
      <c r="Q1174" s="8" t="n"/>
      <c r="R1174" s="8" t="n"/>
      <c r="S1174" s="8" t="n"/>
      <c r="T1174" s="8" t="n"/>
      <c r="U1174" s="8" t="n"/>
      <c r="V1174" s="8">
        <f>IF(COUNT(D1174:U1174)=0,"",MIN(D1174:U1174))</f>
        <v/>
      </c>
      <c r="W1174" s="8">
        <f>IF(COUNT(D1174:U1174)=0,"",MEDIAN(D1174:U1174))</f>
        <v/>
      </c>
      <c r="X1174" s="8">
        <f>IF(COUNT(D1174:U1174)=0,"",MAX(D1174:U1174))</f>
        <v/>
      </c>
      <c r="Y1174" s="9">
        <f>IF(OR(V1174="",V1174=0),"",(X1174-V1174)/V1174)</f>
        <v/>
      </c>
      <c r="Z1174" s="7">
        <f>IF(COUNT(D1174:U1174)=0,"",INDEX($D$1:$U$1,MATCH(MIN(D1174:U1174),D1174:U1174,0)))</f>
        <v/>
      </c>
      <c r="AA1174" s="8" t="n">
        <v>762.96</v>
      </c>
      <c r="AB1174" s="10" t="n">
        <v>2</v>
      </c>
    </row>
    <row r="1175">
      <c r="A1175" s="7" t="inlineStr">
        <is>
          <t>MAT-22-009</t>
        </is>
      </c>
      <c r="B1175" s="4" t="inlineStr">
        <is>
          <t>Malla ciclónica calibre 11, 3 pies de alto, rollo de 50 pies</t>
        </is>
      </c>
      <c r="C1175" s="7" t="inlineStr">
        <is>
          <t>rollo</t>
        </is>
      </c>
      <c r="D1175" s="8" t="n">
        <v>4335.91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>
        <f>IF(COUNT(D1175:U1175)=0,"",MIN(D1175:U1175))</f>
        <v/>
      </c>
      <c r="W1175" s="8">
        <f>IF(COUNT(D1175:U1175)=0,"",MEDIAN(D1175:U1175))</f>
        <v/>
      </c>
      <c r="X1175" s="8">
        <f>IF(COUNT(D1175:U1175)=0,"",MAX(D1175:U1175))</f>
        <v/>
      </c>
      <c r="Y1175" s="9">
        <f>IF(OR(V1175="",V1175=0),"",(X1175-V1175)/V1175)</f>
        <v/>
      </c>
      <c r="Z1175" s="7">
        <f>IF(COUNT(D1175:U1175)=0,"",INDEX($D$1:$U$1,MATCH(MIN(D1175:U1175),D1175:U1175,0)))</f>
        <v/>
      </c>
      <c r="AA1175" s="8" t="n">
        <v>4335.91</v>
      </c>
      <c r="AB1175" s="10" t="n">
        <v>1</v>
      </c>
    </row>
    <row r="1176">
      <c r="A1176" s="7" t="inlineStr">
        <is>
          <t>MAT-22-010</t>
        </is>
      </c>
      <c r="B1176" s="4" t="inlineStr">
        <is>
          <t>Malla ciclónica calibre 11, 6 pies de alto, rollo de 50 pies</t>
        </is>
      </c>
      <c r="C1176" s="7" t="inlineStr">
        <is>
          <t>rollo</t>
        </is>
      </c>
      <c r="D1176" s="8" t="n">
        <v>8694.459999999999</v>
      </c>
      <c r="E1176" s="8" t="n"/>
      <c r="F1176" s="8" t="n"/>
      <c r="G1176" s="8" t="n"/>
      <c r="H1176" s="8" t="n"/>
      <c r="I1176" s="8" t="n"/>
      <c r="J1176" s="8" t="n"/>
      <c r="K1176" s="8" t="n">
        <v>10250</v>
      </c>
      <c r="L1176" s="8" t="n"/>
      <c r="M1176" s="8" t="n"/>
      <c r="N1176" s="8" t="n"/>
      <c r="O1176" s="8" t="n">
        <v>8780</v>
      </c>
      <c r="P1176" s="8" t="n"/>
      <c r="Q1176" s="8" t="n"/>
      <c r="R1176" s="8" t="n"/>
      <c r="S1176" s="8" t="n"/>
      <c r="T1176" s="8" t="n"/>
      <c r="U1176" s="8" t="n"/>
      <c r="V1176" s="8">
        <f>IF(COUNT(D1176:U1176)=0,"",MIN(D1176:U1176))</f>
        <v/>
      </c>
      <c r="W1176" s="8">
        <f>IF(COUNT(D1176:U1176)=0,"",MEDIAN(D1176:U1176))</f>
        <v/>
      </c>
      <c r="X1176" s="8">
        <f>IF(COUNT(D1176:U1176)=0,"",MAX(D1176:U1176))</f>
        <v/>
      </c>
      <c r="Y1176" s="9">
        <f>IF(OR(V1176="",V1176=0),"",(X1176-V1176)/V1176)</f>
        <v/>
      </c>
      <c r="Z1176" s="7">
        <f>IF(COUNT(D1176:U1176)=0,"",INDEX($D$1:$U$1,MATCH(MIN(D1176:U1176),D1176:U1176,0)))</f>
        <v/>
      </c>
      <c r="AA1176" s="8" t="n">
        <v>10250</v>
      </c>
      <c r="AB1176" s="10" t="n">
        <v>3</v>
      </c>
    </row>
    <row r="1177">
      <c r="A1177" s="7" t="inlineStr">
        <is>
          <t>MAT-22-011</t>
        </is>
      </c>
      <c r="B1177" s="4" t="inlineStr">
        <is>
          <t>Alambre de púas 1.50 mm, rollo de 250 metros</t>
        </is>
      </c>
      <c r="C1177" s="7" t="inlineStr">
        <is>
          <t>rollo</t>
        </is>
      </c>
      <c r="D1177" s="8" t="n">
        <v>2601.2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>
        <f>IF(COUNT(D1177:U1177)=0,"",MIN(D1177:U1177))</f>
        <v/>
      </c>
      <c r="W1177" s="8">
        <f>IF(COUNT(D1177:U1177)=0,"",MEDIAN(D1177:U1177))</f>
        <v/>
      </c>
      <c r="X1177" s="8">
        <f>IF(COUNT(D1177:U1177)=0,"",MAX(D1177:U1177))</f>
        <v/>
      </c>
      <c r="Y1177" s="9">
        <f>IF(OR(V1177="",V1177=0),"",(X1177-V1177)/V1177)</f>
        <v/>
      </c>
      <c r="Z1177" s="7">
        <f>IF(COUNT(D1177:U1177)=0,"",INDEX($D$1:$U$1,MATCH(MIN(D1177:U1177),D1177:U1177,0)))</f>
        <v/>
      </c>
      <c r="AA1177" s="8" t="n">
        <v>2601.2</v>
      </c>
      <c r="AB1177" s="10" t="n">
        <v>1</v>
      </c>
    </row>
    <row r="1178">
      <c r="A1178" s="7" t="inlineStr">
        <is>
          <t>MAT-22-012</t>
        </is>
      </c>
      <c r="B1178" s="4" t="inlineStr">
        <is>
          <t>Alambre de púas calibre 15, rollo de 250 metros</t>
        </is>
      </c>
      <c r="C1178" s="7" t="inlineStr">
        <is>
          <t>rollo</t>
        </is>
      </c>
      <c r="D1178" s="8" t="n">
        <v>2541.47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>
        <f>IF(COUNT(D1178:U1178)=0,"",MIN(D1178:U1178))</f>
        <v/>
      </c>
      <c r="W1178" s="8">
        <f>IF(COUNT(D1178:U1178)=0,"",MEDIAN(D1178:U1178))</f>
        <v/>
      </c>
      <c r="X1178" s="8">
        <f>IF(COUNT(D1178:U1178)=0,"",MAX(D1178:U1178))</f>
        <v/>
      </c>
      <c r="Y1178" s="9">
        <f>IF(OR(V1178="",V1178=0),"",(X1178-V1178)/V1178)</f>
        <v/>
      </c>
      <c r="Z1178" s="7">
        <f>IF(COUNT(D1178:U1178)=0,"",INDEX($D$1:$U$1,MATCH(MIN(D1178:U1178),D1178:U1178,0)))</f>
        <v/>
      </c>
      <c r="AA1178" s="8" t="n">
        <v>2541.47</v>
      </c>
      <c r="AB1178" s="10" t="n">
        <v>1</v>
      </c>
    </row>
    <row r="1179">
      <c r="A1179" s="7" t="inlineStr">
        <is>
          <t>MAT-22-013</t>
        </is>
      </c>
      <c r="B1179" s="4" t="inlineStr">
        <is>
          <t>Alambre de púas calibre 16, rollo de 110 metros</t>
        </is>
      </c>
      <c r="C1179" s="7" t="inlineStr">
        <is>
          <t>rollo</t>
        </is>
      </c>
      <c r="D1179" s="8" t="n">
        <v>964.11</v>
      </c>
      <c r="E1179" s="8" t="n"/>
      <c r="F1179" s="8" t="n"/>
      <c r="G1179" s="8" t="n"/>
      <c r="H1179" s="8" t="n"/>
      <c r="I1179" s="8" t="n"/>
      <c r="J1179" s="8" t="n"/>
      <c r="K1179" s="8" t="n">
        <v>845</v>
      </c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>
        <f>IF(COUNT(D1179:U1179)=0,"",MIN(D1179:U1179))</f>
        <v/>
      </c>
      <c r="W1179" s="8">
        <f>IF(COUNT(D1179:U1179)=0,"",MEDIAN(D1179:U1179))</f>
        <v/>
      </c>
      <c r="X1179" s="8">
        <f>IF(COUNT(D1179:U1179)=0,"",MAX(D1179:U1179))</f>
        <v/>
      </c>
      <c r="Y1179" s="9">
        <f>IF(OR(V1179="",V1179=0),"",(X1179-V1179)/V1179)</f>
        <v/>
      </c>
      <c r="Z1179" s="7">
        <f>IF(COUNT(D1179:U1179)=0,"",INDEX($D$1:$U$1,MATCH(MIN(D1179:U1179),D1179:U1179,0)))</f>
        <v/>
      </c>
      <c r="AA1179" s="8" t="n">
        <v>904.5599999999999</v>
      </c>
      <c r="AB1179" s="10" t="n">
        <v>2</v>
      </c>
    </row>
    <row r="1180">
      <c r="A1180" s="7" t="inlineStr">
        <is>
          <t>MAT-22-014</t>
        </is>
      </c>
      <c r="B1180" s="4" t="inlineStr">
        <is>
          <t>Alambre de púas calibre 16, rollo de 250 metros</t>
        </is>
      </c>
      <c r="C1180" s="7" t="inlineStr">
        <is>
          <t>rollo</t>
        </is>
      </c>
      <c r="D1180" s="8" t="n">
        <v>2108.46</v>
      </c>
      <c r="E1180" s="8" t="n"/>
      <c r="F1180" s="8" t="n"/>
      <c r="G1180" s="8" t="n">
        <v>2663</v>
      </c>
      <c r="H1180" s="8" t="n"/>
      <c r="I1180" s="8" t="n"/>
      <c r="J1180" s="8" t="n"/>
      <c r="K1180" s="8" t="n">
        <v>1885</v>
      </c>
      <c r="L1180" s="8" t="n">
        <v>2390.01</v>
      </c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>
        <f>IF(COUNT(D1180:U1180)=0,"",MIN(D1180:U1180))</f>
        <v/>
      </c>
      <c r="W1180" s="8">
        <f>IF(COUNT(D1180:U1180)=0,"",MEDIAN(D1180:U1180))</f>
        <v/>
      </c>
      <c r="X1180" s="8">
        <f>IF(COUNT(D1180:U1180)=0,"",MAX(D1180:U1180))</f>
        <v/>
      </c>
      <c r="Y1180" s="9">
        <f>IF(OR(V1180="",V1180=0),"",(X1180-V1180)/V1180)</f>
        <v/>
      </c>
      <c r="Z1180" s="7">
        <f>IF(COUNT(D1180:U1180)=0,"",INDEX($D$1:$U$1,MATCH(MIN(D1180:U1180),D1180:U1180,0)))</f>
        <v/>
      </c>
      <c r="AA1180" s="8" t="n">
        <v>2696.5</v>
      </c>
      <c r="AB1180" s="10" t="n">
        <v>4</v>
      </c>
    </row>
    <row r="1181">
      <c r="A1181" s="7" t="inlineStr">
        <is>
          <t>MAT-22-015</t>
        </is>
      </c>
      <c r="B1181" s="4" t="inlineStr">
        <is>
          <t>Alambre de púas calibre 17, rollo de 250 metros</t>
        </is>
      </c>
      <c r="C1181" s="7" t="inlineStr">
        <is>
          <t>rollo</t>
        </is>
      </c>
      <c r="D1181" s="8" t="n">
        <v>1933.36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>
        <f>IF(COUNT(D1181:U1181)=0,"",MIN(D1181:U1181))</f>
        <v/>
      </c>
      <c r="W1181" s="8">
        <f>IF(COUNT(D1181:U1181)=0,"",MEDIAN(D1181:U1181))</f>
        <v/>
      </c>
      <c r="X1181" s="8">
        <f>IF(COUNT(D1181:U1181)=0,"",MAX(D1181:U1181))</f>
        <v/>
      </c>
      <c r="Y1181" s="9">
        <f>IF(OR(V1181="",V1181=0),"",(X1181-V1181)/V1181)</f>
        <v/>
      </c>
      <c r="Z1181" s="7">
        <f>IF(COUNT(D1181:U1181)=0,"",INDEX($D$1:$U$1,MATCH(MIN(D1181:U1181),D1181:U1181,0)))</f>
        <v/>
      </c>
      <c r="AA1181" s="8" t="n">
        <v>1933.36</v>
      </c>
      <c r="AB1181" s="10" t="n">
        <v>1</v>
      </c>
    </row>
    <row r="1182">
      <c r="A1182" s="7" t="inlineStr">
        <is>
          <t>MAT-22-016</t>
        </is>
      </c>
      <c r="B1182" s="4" t="inlineStr">
        <is>
          <t>Tela metálica calibre 16, retícula 1" x 2", 4 pies de alto</t>
        </is>
      </c>
      <c r="C1182" s="7" t="inlineStr">
        <is>
          <t>yarda</t>
        </is>
      </c>
      <c r="D1182" s="8" t="n">
        <v>113.78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>
        <f>IF(COUNT(D1182:U1182)=0,"",MIN(D1182:U1182))</f>
        <v/>
      </c>
      <c r="W1182" s="8">
        <f>IF(COUNT(D1182:U1182)=0,"",MEDIAN(D1182:U1182))</f>
        <v/>
      </c>
      <c r="X1182" s="8">
        <f>IF(COUNT(D1182:U1182)=0,"",MAX(D1182:U1182))</f>
        <v/>
      </c>
      <c r="Y1182" s="9">
        <f>IF(OR(V1182="",V1182=0),"",(X1182-V1182)/V1182)</f>
        <v/>
      </c>
      <c r="Z1182" s="7">
        <f>IF(COUNT(D1182:U1182)=0,"",INDEX($D$1:$U$1,MATCH(MIN(D1182:U1182),D1182:U1182,0)))</f>
        <v/>
      </c>
      <c r="AA1182" s="8" t="n">
        <v>113.78</v>
      </c>
      <c r="AB1182" s="10" t="n">
        <v>1</v>
      </c>
    </row>
    <row r="1183">
      <c r="A1183" s="7" t="inlineStr">
        <is>
          <t>MAT-22-017</t>
        </is>
      </c>
      <c r="B1183" s="4" t="inlineStr">
        <is>
          <t>Tela metálica calibre 18, retícula 1/2" x 1/2", 4 pies de alto</t>
        </is>
      </c>
      <c r="C1183" s="7" t="inlineStr">
        <is>
          <t>yarda</t>
        </is>
      </c>
      <c r="D1183" s="8" t="n">
        <v>192.26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>
        <f>IF(COUNT(D1183:U1183)=0,"",MIN(D1183:U1183))</f>
        <v/>
      </c>
      <c r="W1183" s="8">
        <f>IF(COUNT(D1183:U1183)=0,"",MEDIAN(D1183:U1183))</f>
        <v/>
      </c>
      <c r="X1183" s="8">
        <f>IF(COUNT(D1183:U1183)=0,"",MAX(D1183:U1183))</f>
        <v/>
      </c>
      <c r="Y1183" s="9">
        <f>IF(OR(V1183="",V1183=0),"",(X1183-V1183)/V1183)</f>
        <v/>
      </c>
      <c r="Z1183" s="7">
        <f>IF(COUNT(D1183:U1183)=0,"",INDEX($D$1:$U$1,MATCH(MIN(D1183:U1183),D1183:U1183,0)))</f>
        <v/>
      </c>
      <c r="AA1183" s="8" t="n">
        <v>192.26</v>
      </c>
      <c r="AB1183" s="10" t="n">
        <v>1</v>
      </c>
    </row>
    <row r="1184">
      <c r="A1184" s="7" t="inlineStr">
        <is>
          <t>MAT-22-018</t>
        </is>
      </c>
      <c r="B1184" s="4" t="inlineStr">
        <is>
          <t>Tela metálica calibre 18, retícula 1" x 1/2", 3 pies de alto</t>
        </is>
      </c>
      <c r="C1184" s="7" t="inlineStr">
        <is>
          <t>yarda</t>
        </is>
      </c>
      <c r="D1184" s="8" t="n">
        <v>106.11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>
        <f>IF(COUNT(D1184:U1184)=0,"",MIN(D1184:U1184))</f>
        <v/>
      </c>
      <c r="W1184" s="8">
        <f>IF(COUNT(D1184:U1184)=0,"",MEDIAN(D1184:U1184))</f>
        <v/>
      </c>
      <c r="X1184" s="8">
        <f>IF(COUNT(D1184:U1184)=0,"",MAX(D1184:U1184))</f>
        <v/>
      </c>
      <c r="Y1184" s="9">
        <f>IF(OR(V1184="",V1184=0),"",(X1184-V1184)/V1184)</f>
        <v/>
      </c>
      <c r="Z1184" s="7">
        <f>IF(COUNT(D1184:U1184)=0,"",INDEX($D$1:$U$1,MATCH(MIN(D1184:U1184),D1184:U1184,0)))</f>
        <v/>
      </c>
      <c r="AA1184" s="8" t="n">
        <v>106.11</v>
      </c>
      <c r="AB1184" s="10" t="n">
        <v>1</v>
      </c>
    </row>
    <row r="1185">
      <c r="A1185" s="7" t="inlineStr">
        <is>
          <t>MAT-22-019</t>
        </is>
      </c>
      <c r="B1185" s="4" t="inlineStr">
        <is>
          <t>Tela metálica calibre 18, retícula 1" x 1/2", 4 pies de alto</t>
        </is>
      </c>
      <c r="C1185" s="7" t="inlineStr">
        <is>
          <t>yarda</t>
        </is>
      </c>
      <c r="D1185" s="8" t="n">
        <v>145.1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>
        <f>IF(COUNT(D1185:U1185)=0,"",MIN(D1185:U1185))</f>
        <v/>
      </c>
      <c r="W1185" s="8">
        <f>IF(COUNT(D1185:U1185)=0,"",MEDIAN(D1185:U1185))</f>
        <v/>
      </c>
      <c r="X1185" s="8">
        <f>IF(COUNT(D1185:U1185)=0,"",MAX(D1185:U1185))</f>
        <v/>
      </c>
      <c r="Y1185" s="9">
        <f>IF(OR(V1185="",V1185=0),"",(X1185-V1185)/V1185)</f>
        <v/>
      </c>
      <c r="Z1185" s="7">
        <f>IF(COUNT(D1185:U1185)=0,"",INDEX($D$1:$U$1,MATCH(MIN(D1185:U1185),D1185:U1185,0)))</f>
        <v/>
      </c>
      <c r="AA1185" s="8" t="n">
        <v>145.1</v>
      </c>
      <c r="AB1185" s="10" t="n">
        <v>1</v>
      </c>
    </row>
    <row r="1186">
      <c r="A1186" s="7" t="inlineStr">
        <is>
          <t>MAT-22-020</t>
        </is>
      </c>
      <c r="B1186" s="4" t="inlineStr">
        <is>
          <t>Tela metálica calibre 20, retícula 1" x 2", 3 pies de alto</t>
        </is>
      </c>
      <c r="C1186" s="7" t="inlineStr">
        <is>
          <t>yarda</t>
        </is>
      </c>
      <c r="D1186" s="8" t="n">
        <v>37.54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>
        <f>IF(COUNT(D1186:U1186)=0,"",MIN(D1186:U1186))</f>
        <v/>
      </c>
      <c r="W1186" s="8">
        <f>IF(COUNT(D1186:U1186)=0,"",MEDIAN(D1186:U1186))</f>
        <v/>
      </c>
      <c r="X1186" s="8">
        <f>IF(COUNT(D1186:U1186)=0,"",MAX(D1186:U1186))</f>
        <v/>
      </c>
      <c r="Y1186" s="9">
        <f>IF(OR(V1186="",V1186=0),"",(X1186-V1186)/V1186)</f>
        <v/>
      </c>
      <c r="Z1186" s="7">
        <f>IF(COUNT(D1186:U1186)=0,"",INDEX($D$1:$U$1,MATCH(MIN(D1186:U1186),D1186:U1186,0)))</f>
        <v/>
      </c>
      <c r="AA1186" s="8" t="n">
        <v>37.54</v>
      </c>
      <c r="AB1186" s="10" t="n">
        <v>1</v>
      </c>
    </row>
    <row r="1187">
      <c r="A1187" s="7" t="inlineStr">
        <is>
          <t>MAT-22-021</t>
        </is>
      </c>
      <c r="B1187" s="4" t="inlineStr">
        <is>
          <t>Tela metálica calibre 21, retícula 3/8" x 3/8", 3 pies de alto</t>
        </is>
      </c>
      <c r="C1187" s="7" t="inlineStr">
        <is>
          <t>yarda</t>
        </is>
      </c>
      <c r="D1187" s="8" t="n">
        <v>72.61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>
        <f>IF(COUNT(D1187:U1187)=0,"",MIN(D1187:U1187))</f>
        <v/>
      </c>
      <c r="W1187" s="8">
        <f>IF(COUNT(D1187:U1187)=0,"",MEDIAN(D1187:U1187))</f>
        <v/>
      </c>
      <c r="X1187" s="8">
        <f>IF(COUNT(D1187:U1187)=0,"",MAX(D1187:U1187))</f>
        <v/>
      </c>
      <c r="Y1187" s="9">
        <f>IF(OR(V1187="",V1187=0),"",(X1187-V1187)/V1187)</f>
        <v/>
      </c>
      <c r="Z1187" s="7">
        <f>IF(COUNT(D1187:U1187)=0,"",INDEX($D$1:$U$1,MATCH(MIN(D1187:U1187),D1187:U1187,0)))</f>
        <v/>
      </c>
      <c r="AA1187" s="8" t="n">
        <v>72.61</v>
      </c>
      <c r="AB1187" s="10" t="n">
        <v>1</v>
      </c>
    </row>
    <row r="1188">
      <c r="A1188" s="7" t="inlineStr">
        <is>
          <t>MAT-22-022</t>
        </is>
      </c>
      <c r="B1188" s="4" t="inlineStr">
        <is>
          <t>Tela para gallinero calibre 19, 3 pies de alto</t>
        </is>
      </c>
      <c r="C1188" s="7" t="inlineStr">
        <is>
          <t>yarda</t>
        </is>
      </c>
      <c r="D1188" s="8" t="n">
        <v>54.04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>
        <f>IF(COUNT(D1188:U1188)=0,"",MIN(D1188:U1188))</f>
        <v/>
      </c>
      <c r="W1188" s="8">
        <f>IF(COUNT(D1188:U1188)=0,"",MEDIAN(D1188:U1188))</f>
        <v/>
      </c>
      <c r="X1188" s="8">
        <f>IF(COUNT(D1188:U1188)=0,"",MAX(D1188:U1188))</f>
        <v/>
      </c>
      <c r="Y1188" s="9">
        <f>IF(OR(V1188="",V1188=0),"",(X1188-V1188)/V1188)</f>
        <v/>
      </c>
      <c r="Z1188" s="7">
        <f>IF(COUNT(D1188:U1188)=0,"",INDEX($D$1:$U$1,MATCH(MIN(D1188:U1188),D1188:U1188,0)))</f>
        <v/>
      </c>
      <c r="AA1188" s="8" t="n">
        <v>54.04</v>
      </c>
      <c r="AB1188" s="10" t="n">
        <v>1</v>
      </c>
    </row>
    <row r="1189">
      <c r="A1189" s="7" t="inlineStr">
        <is>
          <t>MAT-22-023</t>
        </is>
      </c>
      <c r="B1189" s="4" t="inlineStr">
        <is>
          <t>Tela para gallinero calibre 20, 3 pies de alto</t>
        </is>
      </c>
      <c r="C1189" s="7" t="inlineStr">
        <is>
          <t>yarda</t>
        </is>
      </c>
      <c r="D1189" s="8" t="n">
        <v>46.53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 t="n"/>
      <c r="U1189" s="8" t="n"/>
      <c r="V1189" s="8">
        <f>IF(COUNT(D1189:U1189)=0,"",MIN(D1189:U1189))</f>
        <v/>
      </c>
      <c r="W1189" s="8">
        <f>IF(COUNT(D1189:U1189)=0,"",MEDIAN(D1189:U1189))</f>
        <v/>
      </c>
      <c r="X1189" s="8">
        <f>IF(COUNT(D1189:U1189)=0,"",MAX(D1189:U1189))</f>
        <v/>
      </c>
      <c r="Y1189" s="9">
        <f>IF(OR(V1189="",V1189=0),"",(X1189-V1189)/V1189)</f>
        <v/>
      </c>
      <c r="Z1189" s="7">
        <f>IF(COUNT(D1189:U1189)=0,"",INDEX($D$1:$U$1,MATCH(MIN(D1189:U1189),D1189:U1189,0)))</f>
        <v/>
      </c>
      <c r="AA1189" s="8" t="n">
        <v>46.53</v>
      </c>
      <c r="AB1189" s="10" t="n">
        <v>1</v>
      </c>
    </row>
    <row r="1190">
      <c r="A1190" s="7" t="inlineStr">
        <is>
          <t>MAT-22-024</t>
        </is>
      </c>
      <c r="B1190" s="4" t="inlineStr">
        <is>
          <t>Alambre de trinchera, 45 Mts</t>
        </is>
      </c>
      <c r="C1190" s="7" t="inlineStr">
        <is>
          <t>rollo</t>
        </is>
      </c>
      <c r="D1190" s="8" t="n"/>
      <c r="E1190" s="8" t="n"/>
      <c r="F1190" s="8" t="n"/>
      <c r="G1190" s="8" t="n"/>
      <c r="H1190" s="8" t="n"/>
      <c r="I1190" s="8" t="n"/>
      <c r="J1190" s="8" t="n"/>
      <c r="K1190" s="8" t="n">
        <v>595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>
        <f>IF(COUNT(D1190:U1190)=0,"",MIN(D1190:U1190))</f>
        <v/>
      </c>
      <c r="W1190" s="8">
        <f>IF(COUNT(D1190:U1190)=0,"",MEDIAN(D1190:U1190))</f>
        <v/>
      </c>
      <c r="X1190" s="8">
        <f>IF(COUNT(D1190:U1190)=0,"",MAX(D1190:U1190))</f>
        <v/>
      </c>
      <c r="Y1190" s="9">
        <f>IF(OR(V1190="",V1190=0),"",(X1190-V1190)/V1190)</f>
        <v/>
      </c>
      <c r="Z1190" s="7">
        <f>IF(COUNT(D1190:U1190)=0,"",INDEX($D$1:$U$1,MATCH(MIN(D1190:U1190),D1190:U1190,0)))</f>
        <v/>
      </c>
      <c r="AA1190" s="8" t="n">
        <v>595</v>
      </c>
      <c r="AB1190" s="10" t="n">
        <v>1</v>
      </c>
    </row>
    <row r="1191">
      <c r="A1191" s="7" t="inlineStr">
        <is>
          <t>MAT-22-025</t>
        </is>
      </c>
      <c r="B1191" s="4" t="inlineStr">
        <is>
          <t>Protección de verja, 1mt</t>
        </is>
      </c>
      <c r="C1191" s="7" t="inlineStr">
        <is>
          <t>unidad</t>
        </is>
      </c>
      <c r="D1191" s="8" t="n"/>
      <c r="E1191" s="8" t="n"/>
      <c r="F1191" s="8" t="n"/>
      <c r="G1191" s="8" t="n"/>
      <c r="H1191" s="8" t="n"/>
      <c r="I1191" s="8" t="n"/>
      <c r="J1191" s="8" t="n"/>
      <c r="K1191" s="8" t="n">
        <v>985</v>
      </c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>
        <f>IF(COUNT(D1191:U1191)=0,"",MIN(D1191:U1191))</f>
        <v/>
      </c>
      <c r="W1191" s="8">
        <f>IF(COUNT(D1191:U1191)=0,"",MEDIAN(D1191:U1191))</f>
        <v/>
      </c>
      <c r="X1191" s="8">
        <f>IF(COUNT(D1191:U1191)=0,"",MAX(D1191:U1191))</f>
        <v/>
      </c>
      <c r="Y1191" s="9">
        <f>IF(OR(V1191="",V1191=0),"",(X1191-V1191)/V1191)</f>
        <v/>
      </c>
      <c r="Z1191" s="7">
        <f>IF(COUNT(D1191:U1191)=0,"",INDEX($D$1:$U$1,MATCH(MIN(D1191:U1191),D1191:U1191,0)))</f>
        <v/>
      </c>
      <c r="AA1191" s="8" t="n">
        <v>990</v>
      </c>
      <c r="AB1191" s="10" t="n">
        <v>1</v>
      </c>
    </row>
    <row r="1192">
      <c r="A1192" s="7" t="inlineStr">
        <is>
          <t>MAT-22-026</t>
        </is>
      </c>
      <c r="B1192" s="4" t="inlineStr">
        <is>
          <t>Abrazadera corta para malla ciclónica 1 1/4"</t>
        </is>
      </c>
      <c r="C1192" s="7" t="inlineStr">
        <is>
          <t>unidad</t>
        </is>
      </c>
      <c r="D1192" s="8" t="n">
        <v>16.91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34</v>
      </c>
      <c r="P1192" s="8" t="n"/>
      <c r="Q1192" s="8" t="n"/>
      <c r="R1192" s="8" t="n"/>
      <c r="S1192" s="8" t="n"/>
      <c r="T1192" s="8" t="n"/>
      <c r="U1192" s="8" t="n"/>
      <c r="V1192" s="8">
        <f>IF(COUNT(D1192:U1192)=0,"",MIN(D1192:U1192))</f>
        <v/>
      </c>
      <c r="W1192" s="8">
        <f>IF(COUNT(D1192:U1192)=0,"",MEDIAN(D1192:U1192))</f>
        <v/>
      </c>
      <c r="X1192" s="8">
        <f>IF(COUNT(D1192:U1192)=0,"",MAX(D1192:U1192))</f>
        <v/>
      </c>
      <c r="Y1192" s="9">
        <f>IF(OR(V1192="",V1192=0),"",(X1192-V1192)/V1192)</f>
        <v/>
      </c>
      <c r="Z1192" s="7">
        <f>IF(COUNT(D1192:U1192)=0,"",INDEX($D$1:$U$1,MATCH(MIN(D1192:U1192),D1192:U1192,0)))</f>
        <v/>
      </c>
      <c r="AA1192" s="8" t="n">
        <v>28.52</v>
      </c>
      <c r="AB1192" s="10" t="n">
        <v>2</v>
      </c>
    </row>
    <row r="1193">
      <c r="A1193" s="7" t="inlineStr">
        <is>
          <t>MAT-22-027</t>
        </is>
      </c>
      <c r="B1193" s="4" t="inlineStr">
        <is>
          <t>Copa pasante para malla ciclónica 1 1/4" x 1 1/2"</t>
        </is>
      </c>
      <c r="C1193" s="7" t="inlineStr">
        <is>
          <t>unidad</t>
        </is>
      </c>
      <c r="D1193" s="8" t="n">
        <v>76.66</v>
      </c>
      <c r="E1193" s="8" t="n"/>
      <c r="F1193" s="8" t="n"/>
      <c r="G1193" s="8" t="n"/>
      <c r="H1193" s="8" t="n"/>
      <c r="I1193" s="8" t="n"/>
      <c r="J1193" s="8" t="n"/>
      <c r="K1193" s="8" t="n">
        <v>98</v>
      </c>
      <c r="L1193" s="8" t="n"/>
      <c r="M1193" s="8" t="n"/>
      <c r="N1193" s="8" t="n"/>
      <c r="O1193" s="8" t="n">
        <v>115.6</v>
      </c>
      <c r="P1193" s="8" t="n"/>
      <c r="Q1193" s="8" t="n"/>
      <c r="R1193" s="8" t="n"/>
      <c r="S1193" s="8" t="n"/>
      <c r="T1193" s="8" t="n"/>
      <c r="U1193" s="8" t="n"/>
      <c r="V1193" s="8">
        <f>IF(COUNT(D1193:U1193)=0,"",MIN(D1193:U1193))</f>
        <v/>
      </c>
      <c r="W1193" s="8">
        <f>IF(COUNT(D1193:U1193)=0,"",MEDIAN(D1193:U1193))</f>
        <v/>
      </c>
      <c r="X1193" s="8">
        <f>IF(COUNT(D1193:U1193)=0,"",MAX(D1193:U1193))</f>
        <v/>
      </c>
      <c r="Y1193" s="9">
        <f>IF(OR(V1193="",V1193=0),"",(X1193-V1193)/V1193)</f>
        <v/>
      </c>
      <c r="Z1193" s="7">
        <f>IF(COUNT(D1193:U1193)=0,"",INDEX($D$1:$U$1,MATCH(MIN(D1193:U1193),D1193:U1193,0)))</f>
        <v/>
      </c>
      <c r="AA1193" s="8" t="n">
        <v>98</v>
      </c>
      <c r="AB1193" s="10" t="n">
        <v>3</v>
      </c>
    </row>
    <row r="1194">
      <c r="A1194" s="7" t="inlineStr">
        <is>
          <t>MAT-22-028</t>
        </is>
      </c>
      <c r="B1194" s="4" t="inlineStr">
        <is>
          <t>Copa tensora para malla ciclónica 1 1/4"</t>
        </is>
      </c>
      <c r="C1194" s="7" t="inlineStr">
        <is>
          <t>unidad</t>
        </is>
      </c>
      <c r="D1194" s="8" t="n">
        <v>55.61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8" t="n"/>
      <c r="V1194" s="8">
        <f>IF(COUNT(D1194:U1194)=0,"",MIN(D1194:U1194))</f>
        <v/>
      </c>
      <c r="W1194" s="8">
        <f>IF(COUNT(D1194:U1194)=0,"",MEDIAN(D1194:U1194))</f>
        <v/>
      </c>
      <c r="X1194" s="8">
        <f>IF(COUNT(D1194:U1194)=0,"",MAX(D1194:U1194))</f>
        <v/>
      </c>
      <c r="Y1194" s="9">
        <f>IF(OR(V1194="",V1194=0),"",(X1194-V1194)/V1194)</f>
        <v/>
      </c>
      <c r="Z1194" s="7">
        <f>IF(COUNT(D1194:U1194)=0,"",INDEX($D$1:$U$1,MATCH(MIN(D1194:U1194),D1194:U1194,0)))</f>
        <v/>
      </c>
      <c r="AA1194" s="8" t="n">
        <v>55.61</v>
      </c>
      <c r="AB1194" s="10" t="n">
        <v>1</v>
      </c>
    </row>
    <row r="1195">
      <c r="A1195" s="7" t="inlineStr">
        <is>
          <t>MAT-22-029</t>
        </is>
      </c>
      <c r="B1195" s="4" t="inlineStr">
        <is>
          <t>Copa terminal para malla ciclónica 1 1/4"</t>
        </is>
      </c>
      <c r="C1195" s="7" t="inlineStr">
        <is>
          <t>unidad</t>
        </is>
      </c>
      <c r="D1195" s="8" t="n">
        <v>36.96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>
        <v>81.59999999999999</v>
      </c>
      <c r="P1195" s="8" t="n"/>
      <c r="Q1195" s="8" t="n"/>
      <c r="R1195" s="8" t="n"/>
      <c r="S1195" s="8" t="n"/>
      <c r="T1195" s="8" t="n"/>
      <c r="U1195" s="8" t="n"/>
      <c r="V1195" s="8">
        <f>IF(COUNT(D1195:U1195)=0,"",MIN(D1195:U1195))</f>
        <v/>
      </c>
      <c r="W1195" s="8">
        <f>IF(COUNT(D1195:U1195)=0,"",MEDIAN(D1195:U1195))</f>
        <v/>
      </c>
      <c r="X1195" s="8">
        <f>IF(COUNT(D1195:U1195)=0,"",MAX(D1195:U1195))</f>
        <v/>
      </c>
      <c r="Y1195" s="9">
        <f>IF(OR(V1195="",V1195=0),"",(X1195-V1195)/V1195)</f>
        <v/>
      </c>
      <c r="Z1195" s="7">
        <f>IF(COUNT(D1195:U1195)=0,"",INDEX($D$1:$U$1,MATCH(MIN(D1195:U1195),D1195:U1195,0)))</f>
        <v/>
      </c>
      <c r="AA1195" s="8" t="n">
        <v>66.62</v>
      </c>
      <c r="AB1195" s="10" t="n">
        <v>2</v>
      </c>
    </row>
    <row r="1196">
      <c r="A1196" s="7" t="inlineStr">
        <is>
          <t>MAT-22-030</t>
        </is>
      </c>
      <c r="B1196" s="4" t="inlineStr">
        <is>
          <t>Unión reforzada para malla ciclónica 1 1/4"</t>
        </is>
      </c>
      <c r="C1196" s="7" t="inlineStr">
        <is>
          <t>unidad</t>
        </is>
      </c>
      <c r="D1196" s="8" t="n">
        <v>60.03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>
        <f>IF(COUNT(D1196:U1196)=0,"",MIN(D1196:U1196))</f>
        <v/>
      </c>
      <c r="W1196" s="8">
        <f>IF(COUNT(D1196:U1196)=0,"",MEDIAN(D1196:U1196))</f>
        <v/>
      </c>
      <c r="X1196" s="8">
        <f>IF(COUNT(D1196:U1196)=0,"",MAX(D1196:U1196))</f>
        <v/>
      </c>
      <c r="Y1196" s="9">
        <f>IF(OR(V1196="",V1196=0),"",(X1196-V1196)/V1196)</f>
        <v/>
      </c>
      <c r="Z1196" s="7">
        <f>IF(COUNT(D1196:U1196)=0,"",INDEX($D$1:$U$1,MATCH(MIN(D1196:U1196),D1196:U1196,0)))</f>
        <v/>
      </c>
      <c r="AA1196" s="8" t="n">
        <v>60.03</v>
      </c>
      <c r="AB1196" s="10" t="n">
        <v>1</v>
      </c>
    </row>
    <row r="1197">
      <c r="A1197" s="7" t="inlineStr">
        <is>
          <t>MAT-22-031</t>
        </is>
      </c>
      <c r="B1197" s="4" t="inlineStr">
        <is>
          <t>Abrazadera corta para malla ciclónica 1 1/2"</t>
        </is>
      </c>
      <c r="C1197" s="7" t="inlineStr">
        <is>
          <t>unidad</t>
        </is>
      </c>
      <c r="D1197" s="8" t="n">
        <v>19.14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>
        <v>25.57</v>
      </c>
      <c r="P1197" s="8" t="n"/>
      <c r="Q1197" s="8" t="n"/>
      <c r="R1197" s="8" t="n"/>
      <c r="S1197" s="8" t="n"/>
      <c r="T1197" s="8" t="n"/>
      <c r="U1197" s="8" t="n"/>
      <c r="V1197" s="8">
        <f>IF(COUNT(D1197:U1197)=0,"",MIN(D1197:U1197))</f>
        <v/>
      </c>
      <c r="W1197" s="8">
        <f>IF(COUNT(D1197:U1197)=0,"",MEDIAN(D1197:U1197))</f>
        <v/>
      </c>
      <c r="X1197" s="8">
        <f>IF(COUNT(D1197:U1197)=0,"",MAX(D1197:U1197))</f>
        <v/>
      </c>
      <c r="Y1197" s="9">
        <f>IF(OR(V1197="",V1197=0),"",(X1197-V1197)/V1197)</f>
        <v/>
      </c>
      <c r="Z1197" s="7">
        <f>IF(COUNT(D1197:U1197)=0,"",INDEX($D$1:$U$1,MATCH(MIN(D1197:U1197),D1197:U1197,0)))</f>
        <v/>
      </c>
      <c r="AA1197" s="8" t="n">
        <v>24.66</v>
      </c>
      <c r="AB1197" s="10" t="n">
        <v>2</v>
      </c>
    </row>
    <row r="1198">
      <c r="A1198" s="7" t="inlineStr">
        <is>
          <t>MAT-22-032</t>
        </is>
      </c>
      <c r="B1198" s="4" t="inlineStr">
        <is>
          <t>Abrazadera larga para malla ciclónica 1 1/2"</t>
        </is>
      </c>
      <c r="C1198" s="7" t="inlineStr">
        <is>
          <t>unidad</t>
        </is>
      </c>
      <c r="D1198" s="8" t="n">
        <v>28.77</v>
      </c>
      <c r="E1198" s="8" t="n"/>
      <c r="F1198" s="8" t="n"/>
      <c r="G1198" s="8" t="n"/>
      <c r="H1198" s="8" t="n"/>
      <c r="I1198" s="8" t="n"/>
      <c r="J1198" s="8" t="n"/>
      <c r="K1198" s="8" t="n">
        <v>46</v>
      </c>
      <c r="L1198" s="8" t="n"/>
      <c r="M1198" s="8" t="n"/>
      <c r="N1198" s="8" t="n"/>
      <c r="O1198" s="8" t="n">
        <v>33.82</v>
      </c>
      <c r="P1198" s="8" t="n"/>
      <c r="Q1198" s="8" t="n"/>
      <c r="R1198" s="8" t="n"/>
      <c r="S1198" s="8" t="n"/>
      <c r="T1198" s="8" t="n"/>
      <c r="U1198" s="8" t="n"/>
      <c r="V1198" s="8">
        <f>IF(COUNT(D1198:U1198)=0,"",MIN(D1198:U1198))</f>
        <v/>
      </c>
      <c r="W1198" s="8">
        <f>IF(COUNT(D1198:U1198)=0,"",MEDIAN(D1198:U1198))</f>
        <v/>
      </c>
      <c r="X1198" s="8">
        <f>IF(COUNT(D1198:U1198)=0,"",MAX(D1198:U1198))</f>
        <v/>
      </c>
      <c r="Y1198" s="9">
        <f>IF(OR(V1198="",V1198=0),"",(X1198-V1198)/V1198)</f>
        <v/>
      </c>
      <c r="Z1198" s="7">
        <f>IF(COUNT(D1198:U1198)=0,"",INDEX($D$1:$U$1,MATCH(MIN(D1198:U1198),D1198:U1198,0)))</f>
        <v/>
      </c>
      <c r="AA1198" s="8" t="n">
        <v>39.91</v>
      </c>
      <c r="AB1198" s="10" t="n">
        <v>3</v>
      </c>
    </row>
    <row r="1199">
      <c r="A1199" s="7" t="inlineStr">
        <is>
          <t>MAT-22-033</t>
        </is>
      </c>
      <c r="B1199" s="4" t="inlineStr">
        <is>
          <t>Brazo doble para malla ciclónica 1 1/2" x 1 1/4"</t>
        </is>
      </c>
      <c r="C1199" s="7" t="inlineStr">
        <is>
          <t>unidad</t>
        </is>
      </c>
      <c r="D1199" s="8" t="n">
        <v>187.9</v>
      </c>
      <c r="E1199" s="8" t="n"/>
      <c r="F1199" s="8" t="n"/>
      <c r="G1199" s="8" t="n"/>
      <c r="H1199" s="8" t="n"/>
      <c r="I1199" s="8" t="n"/>
      <c r="J1199" s="8" t="n"/>
      <c r="K1199" s="8" t="n">
        <v>277</v>
      </c>
      <c r="L1199" s="8" t="n"/>
      <c r="M1199" s="8" t="n"/>
      <c r="N1199" s="8" t="n"/>
      <c r="O1199" s="8" t="n">
        <v>286</v>
      </c>
      <c r="P1199" s="8" t="n"/>
      <c r="Q1199" s="8" t="n"/>
      <c r="R1199" s="8" t="n"/>
      <c r="S1199" s="8" t="n"/>
      <c r="T1199" s="8" t="n"/>
      <c r="U1199" s="8" t="n"/>
      <c r="V1199" s="8">
        <f>IF(COUNT(D1199:U1199)=0,"",MIN(D1199:U1199))</f>
        <v/>
      </c>
      <c r="W1199" s="8">
        <f>IF(COUNT(D1199:U1199)=0,"",MEDIAN(D1199:U1199))</f>
        <v/>
      </c>
      <c r="X1199" s="8">
        <f>IF(COUNT(D1199:U1199)=0,"",MAX(D1199:U1199))</f>
        <v/>
      </c>
      <c r="Y1199" s="9">
        <f>IF(OR(V1199="",V1199=0),"",(X1199-V1199)/V1199)</f>
        <v/>
      </c>
      <c r="Z1199" s="7">
        <f>IF(COUNT(D1199:U1199)=0,"",INDEX($D$1:$U$1,MATCH(MIN(D1199:U1199),D1199:U1199,0)))</f>
        <v/>
      </c>
      <c r="AA1199" s="8" t="n">
        <v>277</v>
      </c>
      <c r="AB1199" s="10" t="n">
        <v>3</v>
      </c>
    </row>
    <row r="1200">
      <c r="A1200" s="7" t="inlineStr">
        <is>
          <t>MAT-22-034</t>
        </is>
      </c>
      <c r="B1200" s="4" t="inlineStr">
        <is>
          <t>Brazo sencillo para malla ciclónica 1 1/2" x 1 1/4"</t>
        </is>
      </c>
      <c r="C1200" s="7" t="inlineStr">
        <is>
          <t>unidad</t>
        </is>
      </c>
      <c r="D1200" s="8" t="n">
        <v>124.76</v>
      </c>
      <c r="E1200" s="8" t="n"/>
      <c r="F1200" s="8" t="n"/>
      <c r="G1200" s="8" t="n"/>
      <c r="H1200" s="8" t="n"/>
      <c r="I1200" s="8" t="n"/>
      <c r="J1200" s="8" t="n"/>
      <c r="K1200" s="8" t="n">
        <v>168</v>
      </c>
      <c r="L1200" s="8" t="n"/>
      <c r="M1200" s="8" t="n"/>
      <c r="N1200" s="8" t="n"/>
      <c r="O1200" s="8" t="n">
        <v>218</v>
      </c>
      <c r="P1200" s="8" t="n"/>
      <c r="Q1200" s="8" t="n"/>
      <c r="R1200" s="8" t="n"/>
      <c r="S1200" s="8" t="n"/>
      <c r="T1200" s="8" t="n"/>
      <c r="U1200" s="8" t="n"/>
      <c r="V1200" s="8">
        <f>IF(COUNT(D1200:U1200)=0,"",MIN(D1200:U1200))</f>
        <v/>
      </c>
      <c r="W1200" s="8">
        <f>IF(COUNT(D1200:U1200)=0,"",MEDIAN(D1200:U1200))</f>
        <v/>
      </c>
      <c r="X1200" s="8">
        <f>IF(COUNT(D1200:U1200)=0,"",MAX(D1200:U1200))</f>
        <v/>
      </c>
      <c r="Y1200" s="9">
        <f>IF(OR(V1200="",V1200=0),"",(X1200-V1200)/V1200)</f>
        <v/>
      </c>
      <c r="Z1200" s="7">
        <f>IF(COUNT(D1200:U1200)=0,"",INDEX($D$1:$U$1,MATCH(MIN(D1200:U1200),D1200:U1200,0)))</f>
        <v/>
      </c>
      <c r="AA1200" s="8" t="n">
        <v>168</v>
      </c>
      <c r="AB1200" s="10" t="n">
        <v>3</v>
      </c>
    </row>
    <row r="1201">
      <c r="A1201" s="7" t="inlineStr">
        <is>
          <t>MAT-22-035</t>
        </is>
      </c>
      <c r="B1201" s="4" t="inlineStr">
        <is>
          <t>Copa pasante para malla ciclónica 1 1/2" x 1 1/2"</t>
        </is>
      </c>
      <c r="C1201" s="7" t="inlineStr">
        <is>
          <t>unidad</t>
        </is>
      </c>
      <c r="D1201" s="8" t="n">
        <v>76.66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>
        <f>IF(COUNT(D1201:U1201)=0,"",MIN(D1201:U1201))</f>
        <v/>
      </c>
      <c r="W1201" s="8">
        <f>IF(COUNT(D1201:U1201)=0,"",MEDIAN(D1201:U1201))</f>
        <v/>
      </c>
      <c r="X1201" s="8">
        <f>IF(COUNT(D1201:U1201)=0,"",MAX(D1201:U1201))</f>
        <v/>
      </c>
      <c r="Y1201" s="9">
        <f>IF(OR(V1201="",V1201=0),"",(X1201-V1201)/V1201)</f>
        <v/>
      </c>
      <c r="Z1201" s="7">
        <f>IF(COUNT(D1201:U1201)=0,"",INDEX($D$1:$U$1,MATCH(MIN(D1201:U1201),D1201:U1201,0)))</f>
        <v/>
      </c>
      <c r="AA1201" s="8" t="n">
        <v>76.66</v>
      </c>
      <c r="AB1201" s="10" t="n">
        <v>1</v>
      </c>
    </row>
    <row r="1202">
      <c r="A1202" s="7" t="inlineStr">
        <is>
          <t>MAT-22-036</t>
        </is>
      </c>
      <c r="B1202" s="4" t="inlineStr">
        <is>
          <t>Copa terminal para malla ciclónica 1 1/2"</t>
        </is>
      </c>
      <c r="C1202" s="7" t="inlineStr">
        <is>
          <t>unidad</t>
        </is>
      </c>
      <c r="D1202" s="8" t="n">
        <v>61.63</v>
      </c>
      <c r="E1202" s="8" t="n"/>
      <c r="F1202" s="8" t="n"/>
      <c r="G1202" s="8" t="n"/>
      <c r="H1202" s="8" t="n"/>
      <c r="I1202" s="8" t="n"/>
      <c r="J1202" s="8" t="n"/>
      <c r="K1202" s="8" t="n">
        <v>105</v>
      </c>
      <c r="L1202" s="8" t="n"/>
      <c r="M1202" s="8" t="n"/>
      <c r="N1202" s="8" t="n"/>
      <c r="O1202" s="8" t="n">
        <v>81.59999999999999</v>
      </c>
      <c r="P1202" s="8" t="n"/>
      <c r="Q1202" s="8" t="n"/>
      <c r="R1202" s="8" t="n"/>
      <c r="S1202" s="8" t="n"/>
      <c r="T1202" s="8" t="n"/>
      <c r="U1202" s="8" t="n"/>
      <c r="V1202" s="8">
        <f>IF(COUNT(D1202:U1202)=0,"",MIN(D1202:U1202))</f>
        <v/>
      </c>
      <c r="W1202" s="8">
        <f>IF(COUNT(D1202:U1202)=0,"",MEDIAN(D1202:U1202))</f>
        <v/>
      </c>
      <c r="X1202" s="8">
        <f>IF(COUNT(D1202:U1202)=0,"",MAX(D1202:U1202))</f>
        <v/>
      </c>
      <c r="Y1202" s="9">
        <f>IF(OR(V1202="",V1202=0),"",(X1202-V1202)/V1202)</f>
        <v/>
      </c>
      <c r="Z1202" s="7">
        <f>IF(COUNT(D1202:U1202)=0,"",INDEX($D$1:$U$1,MATCH(MIN(D1202:U1202),D1202:U1202,0)))</f>
        <v/>
      </c>
      <c r="AA1202" s="8" t="n">
        <v>96.29000000000001</v>
      </c>
      <c r="AB1202" s="10" t="n">
        <v>3</v>
      </c>
    </row>
    <row r="1203">
      <c r="A1203" s="7" t="inlineStr">
        <is>
          <t>MAT-22-037</t>
        </is>
      </c>
      <c r="B1203" s="4" t="inlineStr">
        <is>
          <t>Abrazadera corta para malla ciclónica 2"</t>
        </is>
      </c>
      <c r="C1203" s="7" t="inlineStr">
        <is>
          <t>unidad</t>
        </is>
      </c>
      <c r="D1203" s="8" t="n">
        <v>21.04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>
        <v>39.44</v>
      </c>
      <c r="P1203" s="8" t="n"/>
      <c r="Q1203" s="8" t="n"/>
      <c r="R1203" s="8" t="n"/>
      <c r="S1203" s="8" t="n"/>
      <c r="T1203" s="8" t="n"/>
      <c r="U1203" s="8" t="n"/>
      <c r="V1203" s="8">
        <f>IF(COUNT(D1203:U1203)=0,"",MIN(D1203:U1203))</f>
        <v/>
      </c>
      <c r="W1203" s="8">
        <f>IF(COUNT(D1203:U1203)=0,"",MEDIAN(D1203:U1203))</f>
        <v/>
      </c>
      <c r="X1203" s="8">
        <f>IF(COUNT(D1203:U1203)=0,"",MAX(D1203:U1203))</f>
        <v/>
      </c>
      <c r="Y1203" s="9">
        <f>IF(OR(V1203="",V1203=0),"",(X1203-V1203)/V1203)</f>
        <v/>
      </c>
      <c r="Z1203" s="7">
        <f>IF(COUNT(D1203:U1203)=0,"",INDEX($D$1:$U$1,MATCH(MIN(D1203:U1203),D1203:U1203,0)))</f>
        <v/>
      </c>
      <c r="AA1203" s="8" t="n">
        <v>33.79</v>
      </c>
      <c r="AB1203" s="10" t="n">
        <v>2</v>
      </c>
    </row>
    <row r="1204">
      <c r="A1204" s="7" t="inlineStr">
        <is>
          <t>MAT-22-038</t>
        </is>
      </c>
      <c r="B1204" s="4" t="inlineStr">
        <is>
          <t>Abrazadera larga para malla ciclónica 2"</t>
        </is>
      </c>
      <c r="C1204" s="7" t="inlineStr">
        <is>
          <t>unidad</t>
        </is>
      </c>
      <c r="D1204" s="8" t="n">
        <v>20.38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>
        <v>40.8</v>
      </c>
      <c r="P1204" s="8" t="n"/>
      <c r="Q1204" s="8" t="n"/>
      <c r="R1204" s="8" t="n"/>
      <c r="S1204" s="8" t="n"/>
      <c r="T1204" s="8" t="n"/>
      <c r="U1204" s="8" t="n"/>
      <c r="V1204" s="8">
        <f>IF(COUNT(D1204:U1204)=0,"",MIN(D1204:U1204))</f>
        <v/>
      </c>
      <c r="W1204" s="8">
        <f>IF(COUNT(D1204:U1204)=0,"",MEDIAN(D1204:U1204))</f>
        <v/>
      </c>
      <c r="X1204" s="8">
        <f>IF(COUNT(D1204:U1204)=0,"",MAX(D1204:U1204))</f>
        <v/>
      </c>
      <c r="Y1204" s="9">
        <f>IF(OR(V1204="",V1204=0),"",(X1204-V1204)/V1204)</f>
        <v/>
      </c>
      <c r="Z1204" s="7">
        <f>IF(COUNT(D1204:U1204)=0,"",INDEX($D$1:$U$1,MATCH(MIN(D1204:U1204),D1204:U1204,0)))</f>
        <v/>
      </c>
      <c r="AA1204" s="8" t="n">
        <v>34.26</v>
      </c>
      <c r="AB1204" s="10" t="n">
        <v>2</v>
      </c>
    </row>
    <row r="1205">
      <c r="A1205" s="7" t="inlineStr">
        <is>
          <t>MAT-22-039</t>
        </is>
      </c>
      <c r="B1205" s="4" t="inlineStr">
        <is>
          <t>Brazo sencillo para malla ciclónica 2" x 1 1/4"</t>
        </is>
      </c>
      <c r="C1205" s="7" t="inlineStr">
        <is>
          <t>unidad</t>
        </is>
      </c>
      <c r="D1205" s="8" t="n">
        <v>187.9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>
        <v>269.5</v>
      </c>
      <c r="P1205" s="8" t="n"/>
      <c r="Q1205" s="8" t="n"/>
      <c r="R1205" s="8" t="n"/>
      <c r="S1205" s="8" t="n"/>
      <c r="T1205" s="8" t="n"/>
      <c r="U1205" s="8" t="n"/>
      <c r="V1205" s="8">
        <f>IF(COUNT(D1205:U1205)=0,"",MIN(D1205:U1205))</f>
        <v/>
      </c>
      <c r="W1205" s="8">
        <f>IF(COUNT(D1205:U1205)=0,"",MEDIAN(D1205:U1205))</f>
        <v/>
      </c>
      <c r="X1205" s="8">
        <f>IF(COUNT(D1205:U1205)=0,"",MAX(D1205:U1205))</f>
        <v/>
      </c>
      <c r="Y1205" s="9">
        <f>IF(OR(V1205="",V1205=0),"",(X1205-V1205)/V1205)</f>
        <v/>
      </c>
      <c r="Z1205" s="7">
        <f>IF(COUNT(D1205:U1205)=0,"",INDEX($D$1:$U$1,MATCH(MIN(D1205:U1205),D1205:U1205,0)))</f>
        <v/>
      </c>
      <c r="AA1205" s="8" t="n">
        <v>252.96</v>
      </c>
      <c r="AB1205" s="10" t="n">
        <v>2</v>
      </c>
    </row>
    <row r="1206">
      <c r="A1206" s="7" t="inlineStr">
        <is>
          <t>MAT-22-040</t>
        </is>
      </c>
      <c r="B1206" s="4" t="inlineStr">
        <is>
          <t>Brazo doble para malla ciclónica 2" x 1 1/2"</t>
        </is>
      </c>
      <c r="C1206" s="7" t="inlineStr">
        <is>
          <t>unidad</t>
        </is>
      </c>
      <c r="D1206" s="8" t="n">
        <v>373.18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>
        <v>286</v>
      </c>
      <c r="P1206" s="8" t="n"/>
      <c r="Q1206" s="8" t="n"/>
      <c r="R1206" s="8" t="n"/>
      <c r="S1206" s="8" t="n"/>
      <c r="T1206" s="8" t="n"/>
      <c r="U1206" s="8" t="n"/>
      <c r="V1206" s="8">
        <f>IF(COUNT(D1206:U1206)=0,"",MIN(D1206:U1206))</f>
        <v/>
      </c>
      <c r="W1206" s="8">
        <f>IF(COUNT(D1206:U1206)=0,"",MEDIAN(D1206:U1206))</f>
        <v/>
      </c>
      <c r="X1206" s="8">
        <f>IF(COUNT(D1206:U1206)=0,"",MAX(D1206:U1206))</f>
        <v/>
      </c>
      <c r="Y1206" s="9">
        <f>IF(OR(V1206="",V1206=0),"",(X1206-V1206)/V1206)</f>
        <v/>
      </c>
      <c r="Z1206" s="7">
        <f>IF(COUNT(D1206:U1206)=0,"",INDEX($D$1:$U$1,MATCH(MIN(D1206:U1206),D1206:U1206,0)))</f>
        <v/>
      </c>
      <c r="AA1206" s="8" t="n">
        <v>355.33</v>
      </c>
      <c r="AB1206" s="10" t="n">
        <v>2</v>
      </c>
    </row>
    <row r="1207">
      <c r="A1207" s="7" t="inlineStr">
        <is>
          <t>MAT-22-041</t>
        </is>
      </c>
      <c r="B1207" s="4" t="inlineStr">
        <is>
          <t>Copa terminal para malla ciclónica 2"</t>
        </is>
      </c>
      <c r="C1207" s="7" t="inlineStr">
        <is>
          <t>unidad</t>
        </is>
      </c>
      <c r="D1207" s="8" t="n">
        <v>51.11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>
        <v>88.40000000000001</v>
      </c>
      <c r="P1207" s="8" t="n"/>
      <c r="Q1207" s="8" t="n"/>
      <c r="R1207" s="8" t="n"/>
      <c r="S1207" s="8" t="n"/>
      <c r="T1207" s="8" t="n"/>
      <c r="U1207" s="8" t="n"/>
      <c r="V1207" s="8">
        <f>IF(COUNT(D1207:U1207)=0,"",MIN(D1207:U1207))</f>
        <v/>
      </c>
      <c r="W1207" s="8">
        <f>IF(COUNT(D1207:U1207)=0,"",MEDIAN(D1207:U1207))</f>
        <v/>
      </c>
      <c r="X1207" s="8">
        <f>IF(COUNT(D1207:U1207)=0,"",MAX(D1207:U1207))</f>
        <v/>
      </c>
      <c r="Y1207" s="9">
        <f>IF(OR(V1207="",V1207=0),"",(X1207-V1207)/V1207)</f>
        <v/>
      </c>
      <c r="Z1207" s="7">
        <f>IF(COUNT(D1207:U1207)=0,"",INDEX($D$1:$U$1,MATCH(MIN(D1207:U1207),D1207:U1207,0)))</f>
        <v/>
      </c>
      <c r="AA1207" s="8" t="n">
        <v>77.70999999999999</v>
      </c>
      <c r="AB1207" s="10" t="n">
        <v>2</v>
      </c>
    </row>
    <row r="1208">
      <c r="A1208" s="7" t="inlineStr">
        <is>
          <t>MAT-22-042</t>
        </is>
      </c>
      <c r="B1208" s="4" t="inlineStr">
        <is>
          <t>Brazo para malla ciclónica 2 3/8" x 1 1/2"</t>
        </is>
      </c>
      <c r="C1208" s="7" t="inlineStr">
        <is>
          <t>unidad</t>
        </is>
      </c>
      <c r="D1208" s="8" t="n">
        <v>300.64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>
        <f>IF(COUNT(D1208:U1208)=0,"",MIN(D1208:U1208))</f>
        <v/>
      </c>
      <c r="W1208" s="8">
        <f>IF(COUNT(D1208:U1208)=0,"",MEDIAN(D1208:U1208))</f>
        <v/>
      </c>
      <c r="X1208" s="8">
        <f>IF(COUNT(D1208:U1208)=0,"",MAX(D1208:U1208))</f>
        <v/>
      </c>
      <c r="Y1208" s="9">
        <f>IF(OR(V1208="",V1208=0),"",(X1208-V1208)/V1208)</f>
        <v/>
      </c>
      <c r="Z1208" s="7">
        <f>IF(COUNT(D1208:U1208)=0,"",INDEX($D$1:$U$1,MATCH(MIN(D1208:U1208),D1208:U1208,0)))</f>
        <v/>
      </c>
      <c r="AA1208" s="8" t="n">
        <v>300.64</v>
      </c>
      <c r="AB1208" s="10" t="n">
        <v>1</v>
      </c>
    </row>
    <row r="1209">
      <c r="A1209" s="7" t="inlineStr">
        <is>
          <t>MAT-22-043</t>
        </is>
      </c>
      <c r="B1209" s="4" t="inlineStr">
        <is>
          <t>Copa terminal para malla ciclónica 3"</t>
        </is>
      </c>
      <c r="C1209" s="7" t="inlineStr">
        <is>
          <t>unidad</t>
        </is>
      </c>
      <c r="D1209" s="8" t="n">
        <v>36.5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>
        <f>IF(COUNT(D1209:U1209)=0,"",MIN(D1209:U1209))</f>
        <v/>
      </c>
      <c r="W1209" s="8">
        <f>IF(COUNT(D1209:U1209)=0,"",MEDIAN(D1209:U1209))</f>
        <v/>
      </c>
      <c r="X1209" s="8">
        <f>IF(COUNT(D1209:U1209)=0,"",MAX(D1209:U1209))</f>
        <v/>
      </c>
      <c r="Y1209" s="9">
        <f>IF(OR(V1209="",V1209=0),"",(X1209-V1209)/V1209)</f>
        <v/>
      </c>
      <c r="Z1209" s="7">
        <f>IF(COUNT(D1209:U1209)=0,"",INDEX($D$1:$U$1,MATCH(MIN(D1209:U1209),D1209:U1209,0)))</f>
        <v/>
      </c>
      <c r="AA1209" s="8" t="n">
        <v>36.5</v>
      </c>
      <c r="AB1209" s="10" t="n">
        <v>1</v>
      </c>
    </row>
    <row r="1210">
      <c r="A1210" s="7" t="inlineStr">
        <is>
          <t>MAT-23-001</t>
        </is>
      </c>
      <c r="B1210" s="4" t="inlineStr">
        <is>
          <t>Tubo redondo de aluminio 3/8" x 19.20 pies</t>
        </is>
      </c>
      <c r="C1210" s="7" t="inlineStr">
        <is>
          <t>unidad</t>
        </is>
      </c>
      <c r="D1210" s="8" t="n">
        <v>299.9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>
        <f>IF(COUNT(D1210:U1210)=0,"",MIN(D1210:U1210))</f>
        <v/>
      </c>
      <c r="W1210" s="8">
        <f>IF(COUNT(D1210:U1210)=0,"",MEDIAN(D1210:U1210))</f>
        <v/>
      </c>
      <c r="X1210" s="8">
        <f>IF(COUNT(D1210:U1210)=0,"",MAX(D1210:U1210))</f>
        <v/>
      </c>
      <c r="Y1210" s="9">
        <f>IF(OR(V1210="",V1210=0),"",(X1210-V1210)/V1210)</f>
        <v/>
      </c>
      <c r="Z1210" s="7">
        <f>IF(COUNT(D1210:U1210)=0,"",INDEX($D$1:$U$1,MATCH(MIN(D1210:U1210),D1210:U1210,0)))</f>
        <v/>
      </c>
      <c r="AA1210" s="8" t="n">
        <v>299.9</v>
      </c>
      <c r="AB1210" s="10" t="n">
        <v>1</v>
      </c>
    </row>
    <row r="1211">
      <c r="A1211" s="7" t="inlineStr">
        <is>
          <t>MAT-23-002</t>
        </is>
      </c>
      <c r="B1211" s="4" t="inlineStr">
        <is>
          <t>Tubo redondo de aluminio 1/2" x 19.20 pies</t>
        </is>
      </c>
      <c r="C1211" s="7" t="inlineStr">
        <is>
          <t>unidad</t>
        </is>
      </c>
      <c r="D1211" s="8" t="n">
        <v>373.61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>
        <f>IF(COUNT(D1211:U1211)=0,"",MIN(D1211:U1211))</f>
        <v/>
      </c>
      <c r="W1211" s="8">
        <f>IF(COUNT(D1211:U1211)=0,"",MEDIAN(D1211:U1211))</f>
        <v/>
      </c>
      <c r="X1211" s="8">
        <f>IF(COUNT(D1211:U1211)=0,"",MAX(D1211:U1211))</f>
        <v/>
      </c>
      <c r="Y1211" s="9">
        <f>IF(OR(V1211="",V1211=0),"",(X1211-V1211)/V1211)</f>
        <v/>
      </c>
      <c r="Z1211" s="7">
        <f>IF(COUNT(D1211:U1211)=0,"",INDEX($D$1:$U$1,MATCH(MIN(D1211:U1211),D1211:U1211,0)))</f>
        <v/>
      </c>
      <c r="AA1211" s="8" t="n">
        <v>373.61</v>
      </c>
      <c r="AB1211" s="10" t="n">
        <v>1</v>
      </c>
    </row>
    <row r="1212">
      <c r="A1212" s="7" t="inlineStr">
        <is>
          <t>MAT-23-003</t>
        </is>
      </c>
      <c r="B1212" s="4" t="inlineStr">
        <is>
          <t>Planchuela de aluminio 1/2" x 1/8" x 19.20 pies</t>
        </is>
      </c>
      <c r="C1212" s="7" t="inlineStr">
        <is>
          <t>unidad</t>
        </is>
      </c>
      <c r="D1212" s="8" t="n">
        <v>452.36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>
        <f>IF(COUNT(D1212:U1212)=0,"",MIN(D1212:U1212))</f>
        <v/>
      </c>
      <c r="W1212" s="8">
        <f>IF(COUNT(D1212:U1212)=0,"",MEDIAN(D1212:U1212))</f>
        <v/>
      </c>
      <c r="X1212" s="8">
        <f>IF(COUNT(D1212:U1212)=0,"",MAX(D1212:U1212))</f>
        <v/>
      </c>
      <c r="Y1212" s="9">
        <f>IF(OR(V1212="",V1212=0),"",(X1212-V1212)/V1212)</f>
        <v/>
      </c>
      <c r="Z1212" s="7">
        <f>IF(COUNT(D1212:U1212)=0,"",INDEX($D$1:$U$1,MATCH(MIN(D1212:U1212),D1212:U1212,0)))</f>
        <v/>
      </c>
      <c r="AA1212" s="8" t="n">
        <v>452.36</v>
      </c>
      <c r="AB1212" s="10" t="n">
        <v>1</v>
      </c>
    </row>
    <row r="1213">
      <c r="A1213" s="7" t="inlineStr">
        <is>
          <t>MAT-23-004</t>
        </is>
      </c>
      <c r="B1213" s="4" t="inlineStr">
        <is>
          <t>Angular de aluminio 1/2" x 1/2" x 19.20 pies</t>
        </is>
      </c>
      <c r="C1213" s="7" t="inlineStr">
        <is>
          <t>unidad</t>
        </is>
      </c>
      <c r="D1213" s="8" t="n">
        <v>394.72</v>
      </c>
      <c r="E1213" s="8" t="n"/>
      <c r="F1213" s="8" t="n"/>
      <c r="G1213" s="8" t="n"/>
      <c r="H1213" s="8" t="n"/>
      <c r="I1213" s="8" t="n"/>
      <c r="J1213" s="8" t="n"/>
      <c r="K1213" s="8" t="n">
        <v>295</v>
      </c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>
        <f>IF(COUNT(D1213:U1213)=0,"",MIN(D1213:U1213))</f>
        <v/>
      </c>
      <c r="W1213" s="8">
        <f>IF(COUNT(D1213:U1213)=0,"",MEDIAN(D1213:U1213))</f>
        <v/>
      </c>
      <c r="X1213" s="8">
        <f>IF(COUNT(D1213:U1213)=0,"",MAX(D1213:U1213))</f>
        <v/>
      </c>
      <c r="Y1213" s="9">
        <f>IF(OR(V1213="",V1213=0),"",(X1213-V1213)/V1213)</f>
        <v/>
      </c>
      <c r="Z1213" s="7">
        <f>IF(COUNT(D1213:U1213)=0,"",INDEX($D$1:$U$1,MATCH(MIN(D1213:U1213),D1213:U1213,0)))</f>
        <v/>
      </c>
      <c r="AA1213" s="8" t="n">
        <v>344.86</v>
      </c>
      <c r="AB1213" s="10" t="n">
        <v>2</v>
      </c>
    </row>
    <row r="1214">
      <c r="A1214" s="7" t="inlineStr">
        <is>
          <t>MAT-23-005</t>
        </is>
      </c>
      <c r="B1214" s="4" t="inlineStr">
        <is>
          <t>Moldura U de aluminio 1/2" x 1/2" x 19.20 pies</t>
        </is>
      </c>
      <c r="C1214" s="7" t="inlineStr">
        <is>
          <t>unidad</t>
        </is>
      </c>
      <c r="D1214" s="8" t="n">
        <v>377.71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>
        <f>IF(COUNT(D1214:U1214)=0,"",MIN(D1214:U1214))</f>
        <v/>
      </c>
      <c r="W1214" s="8">
        <f>IF(COUNT(D1214:U1214)=0,"",MEDIAN(D1214:U1214))</f>
        <v/>
      </c>
      <c r="X1214" s="8">
        <f>IF(COUNT(D1214:U1214)=0,"",MAX(D1214:U1214))</f>
        <v/>
      </c>
      <c r="Y1214" s="9">
        <f>IF(OR(V1214="",V1214=0),"",(X1214-V1214)/V1214)</f>
        <v/>
      </c>
      <c r="Z1214" s="7">
        <f>IF(COUNT(D1214:U1214)=0,"",INDEX($D$1:$U$1,MATCH(MIN(D1214:U1214),D1214:U1214,0)))</f>
        <v/>
      </c>
      <c r="AA1214" s="8" t="n">
        <v>377.71</v>
      </c>
      <c r="AB1214" s="10" t="n">
        <v>1</v>
      </c>
    </row>
    <row r="1215">
      <c r="A1215" s="7" t="inlineStr">
        <is>
          <t>MAT-23-006</t>
        </is>
      </c>
      <c r="B1215" s="4" t="inlineStr">
        <is>
          <t>Moldura U de aluminio 5/8" x 5/8" x 19.20 pies</t>
        </is>
      </c>
      <c r="C1215" s="7" t="inlineStr">
        <is>
          <t>unidad</t>
        </is>
      </c>
      <c r="D1215" s="8" t="n">
        <v>827.9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>
        <f>IF(COUNT(D1215:U1215)=0,"",MIN(D1215:U1215))</f>
        <v/>
      </c>
      <c r="W1215" s="8">
        <f>IF(COUNT(D1215:U1215)=0,"",MEDIAN(D1215:U1215))</f>
        <v/>
      </c>
      <c r="X1215" s="8">
        <f>IF(COUNT(D1215:U1215)=0,"",MAX(D1215:U1215))</f>
        <v/>
      </c>
      <c r="Y1215" s="9">
        <f>IF(OR(V1215="",V1215=0),"",(X1215-V1215)/V1215)</f>
        <v/>
      </c>
      <c r="Z1215" s="7">
        <f>IF(COUNT(D1215:U1215)=0,"",INDEX($D$1:$U$1,MATCH(MIN(D1215:U1215),D1215:U1215,0)))</f>
        <v/>
      </c>
      <c r="AA1215" s="8" t="n">
        <v>827.9</v>
      </c>
      <c r="AB1215" s="10" t="n">
        <v>1</v>
      </c>
    </row>
    <row r="1216">
      <c r="A1216" s="7" t="inlineStr">
        <is>
          <t>MAT-23-007</t>
        </is>
      </c>
      <c r="B1216" s="4" t="inlineStr">
        <is>
          <t>Tubo redondo de aluminio 3/4" x 19.20 pies</t>
        </is>
      </c>
      <c r="C1216" s="7" t="inlineStr">
        <is>
          <t>unidad</t>
        </is>
      </c>
      <c r="D1216" s="8" t="n">
        <v>772.42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>
        <f>IF(COUNT(D1216:U1216)=0,"",MIN(D1216:U1216))</f>
        <v/>
      </c>
      <c r="W1216" s="8">
        <f>IF(COUNT(D1216:U1216)=0,"",MEDIAN(D1216:U1216))</f>
        <v/>
      </c>
      <c r="X1216" s="8">
        <f>IF(COUNT(D1216:U1216)=0,"",MAX(D1216:U1216))</f>
        <v/>
      </c>
      <c r="Y1216" s="9">
        <f>IF(OR(V1216="",V1216=0),"",(X1216-V1216)/V1216)</f>
        <v/>
      </c>
      <c r="Z1216" s="7">
        <f>IF(COUNT(D1216:U1216)=0,"",INDEX($D$1:$U$1,MATCH(MIN(D1216:U1216),D1216:U1216,0)))</f>
        <v/>
      </c>
      <c r="AA1216" s="8" t="n">
        <v>772.42</v>
      </c>
      <c r="AB1216" s="10" t="n">
        <v>1</v>
      </c>
    </row>
    <row r="1217">
      <c r="A1217" s="7" t="inlineStr">
        <is>
          <t>MAT-23-008</t>
        </is>
      </c>
      <c r="B1217" s="4" t="inlineStr">
        <is>
          <t>Angular de aluminio 3/4" x 3/4" x 19.20 pies</t>
        </is>
      </c>
      <c r="C1217" s="7" t="inlineStr">
        <is>
          <t>unidad</t>
        </is>
      </c>
      <c r="D1217" s="8" t="n">
        <v>436.29</v>
      </c>
      <c r="E1217" s="8" t="n"/>
      <c r="F1217" s="8" t="n"/>
      <c r="G1217" s="8" t="n"/>
      <c r="H1217" s="8" t="n"/>
      <c r="I1217" s="8" t="n"/>
      <c r="J1217" s="8" t="n"/>
      <c r="K1217" s="8" t="n">
        <v>445</v>
      </c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>
        <f>IF(COUNT(D1217:U1217)=0,"",MIN(D1217:U1217))</f>
        <v/>
      </c>
      <c r="W1217" s="8">
        <f>IF(COUNT(D1217:U1217)=0,"",MEDIAN(D1217:U1217))</f>
        <v/>
      </c>
      <c r="X1217" s="8">
        <f>IF(COUNT(D1217:U1217)=0,"",MAX(D1217:U1217))</f>
        <v/>
      </c>
      <c r="Y1217" s="9">
        <f>IF(OR(V1217="",V1217=0),"",(X1217-V1217)/V1217)</f>
        <v/>
      </c>
      <c r="Z1217" s="7">
        <f>IF(COUNT(D1217:U1217)=0,"",INDEX($D$1:$U$1,MATCH(MIN(D1217:U1217),D1217:U1217,0)))</f>
        <v/>
      </c>
      <c r="AA1217" s="8" t="n">
        <v>440.65</v>
      </c>
      <c r="AB1217" s="10" t="n">
        <v>2</v>
      </c>
    </row>
    <row r="1218">
      <c r="A1218" s="7" t="inlineStr">
        <is>
          <t>MAT-23-009</t>
        </is>
      </c>
      <c r="B1218" s="4" t="inlineStr">
        <is>
          <t>Tubo redondo de aluminio 1" x 19.20 pies</t>
        </is>
      </c>
      <c r="C1218" s="7" t="inlineStr">
        <is>
          <t>unidad</t>
        </is>
      </c>
      <c r="D1218" s="8" t="n">
        <v>957.33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>
        <f>IF(COUNT(D1218:U1218)=0,"",MIN(D1218:U1218))</f>
        <v/>
      </c>
      <c r="W1218" s="8">
        <f>IF(COUNT(D1218:U1218)=0,"",MEDIAN(D1218:U1218))</f>
        <v/>
      </c>
      <c r="X1218" s="8">
        <f>IF(COUNT(D1218:U1218)=0,"",MAX(D1218:U1218))</f>
        <v/>
      </c>
      <c r="Y1218" s="9">
        <f>IF(OR(V1218="",V1218=0),"",(X1218-V1218)/V1218)</f>
        <v/>
      </c>
      <c r="Z1218" s="7">
        <f>IF(COUNT(D1218:U1218)=0,"",INDEX($D$1:$U$1,MATCH(MIN(D1218:U1218),D1218:U1218,0)))</f>
        <v/>
      </c>
      <c r="AA1218" s="8" t="n">
        <v>957.33</v>
      </c>
      <c r="AB1218" s="10" t="n">
        <v>1</v>
      </c>
    </row>
    <row r="1219">
      <c r="A1219" s="7" t="inlineStr">
        <is>
          <t>MAT-23-010</t>
        </is>
      </c>
      <c r="B1219" s="4" t="inlineStr">
        <is>
          <t>Planchuela de aluminio 1" x 1/4" x 19.20 pies</t>
        </is>
      </c>
      <c r="C1219" s="7" t="inlineStr">
        <is>
          <t>unidad</t>
        </is>
      </c>
      <c r="D1219" s="8" t="n">
        <v>1709.91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>
        <f>IF(COUNT(D1219:U1219)=0,"",MIN(D1219:U1219))</f>
        <v/>
      </c>
      <c r="W1219" s="8">
        <f>IF(COUNT(D1219:U1219)=0,"",MEDIAN(D1219:U1219))</f>
        <v/>
      </c>
      <c r="X1219" s="8">
        <f>IF(COUNT(D1219:U1219)=0,"",MAX(D1219:U1219))</f>
        <v/>
      </c>
      <c r="Y1219" s="9">
        <f>IF(OR(V1219="",V1219=0),"",(X1219-V1219)/V1219)</f>
        <v/>
      </c>
      <c r="Z1219" s="7">
        <f>IF(COUNT(D1219:U1219)=0,"",INDEX($D$1:$U$1,MATCH(MIN(D1219:U1219),D1219:U1219,0)))</f>
        <v/>
      </c>
      <c r="AA1219" s="8" t="n">
        <v>1709.91</v>
      </c>
      <c r="AB1219" s="10" t="n">
        <v>1</v>
      </c>
    </row>
    <row r="1220">
      <c r="A1220" s="7" t="inlineStr">
        <is>
          <t>MAT-23-011</t>
        </is>
      </c>
      <c r="B1220" s="4" t="inlineStr">
        <is>
          <t>Angular de aluminio 1" x 3/4" x 19.20 pies</t>
        </is>
      </c>
      <c r="C1220" s="7" t="inlineStr">
        <is>
          <t>unidad</t>
        </is>
      </c>
      <c r="D1220" s="8" t="n">
        <v>626.5700000000001</v>
      </c>
      <c r="E1220" s="8" t="n"/>
      <c r="F1220" s="8" t="n"/>
      <c r="G1220" s="8" t="n"/>
      <c r="H1220" s="8" t="n"/>
      <c r="I1220" s="8" t="n"/>
      <c r="J1220" s="8" t="n"/>
      <c r="K1220" s="8" t="n">
        <v>755</v>
      </c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>
        <f>IF(COUNT(D1220:U1220)=0,"",MIN(D1220:U1220))</f>
        <v/>
      </c>
      <c r="W1220" s="8">
        <f>IF(COUNT(D1220:U1220)=0,"",MEDIAN(D1220:U1220))</f>
        <v/>
      </c>
      <c r="X1220" s="8">
        <f>IF(COUNT(D1220:U1220)=0,"",MAX(D1220:U1220))</f>
        <v/>
      </c>
      <c r="Y1220" s="9">
        <f>IF(OR(V1220="",V1220=0),"",(X1220-V1220)/V1220)</f>
        <v/>
      </c>
      <c r="Z1220" s="7">
        <f>IF(COUNT(D1220:U1220)=0,"",INDEX($D$1:$U$1,MATCH(MIN(D1220:U1220),D1220:U1220,0)))</f>
        <v/>
      </c>
      <c r="AA1220" s="8" t="n">
        <v>690.79</v>
      </c>
      <c r="AB1220" s="10" t="n">
        <v>2</v>
      </c>
    </row>
    <row r="1221">
      <c r="A1221" s="7" t="inlineStr">
        <is>
          <t>MAT-23-012</t>
        </is>
      </c>
      <c r="B1221" s="4" t="inlineStr">
        <is>
          <t>Perfil de aluminio 1" x 1" x 19.20 pies</t>
        </is>
      </c>
      <c r="C1221" s="7" t="inlineStr">
        <is>
          <t>unidad</t>
        </is>
      </c>
      <c r="D1221" s="8" t="n">
        <v>1336.93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>
        <f>IF(COUNT(D1221:U1221)=0,"",MIN(D1221:U1221))</f>
        <v/>
      </c>
      <c r="W1221" s="8">
        <f>IF(COUNT(D1221:U1221)=0,"",MEDIAN(D1221:U1221))</f>
        <v/>
      </c>
      <c r="X1221" s="8">
        <f>IF(COUNT(D1221:U1221)=0,"",MAX(D1221:U1221))</f>
        <v/>
      </c>
      <c r="Y1221" s="9">
        <f>IF(OR(V1221="",V1221=0),"",(X1221-V1221)/V1221)</f>
        <v/>
      </c>
      <c r="Z1221" s="7">
        <f>IF(COUNT(D1221:U1221)=0,"",INDEX($D$1:$U$1,MATCH(MIN(D1221:U1221),D1221:U1221,0)))</f>
        <v/>
      </c>
      <c r="AA1221" s="8" t="n">
        <v>1336.93</v>
      </c>
      <c r="AB1221" s="10" t="n">
        <v>1</v>
      </c>
    </row>
    <row r="1222">
      <c r="A1222" s="7" t="inlineStr">
        <is>
          <t>MAT-23-013</t>
        </is>
      </c>
      <c r="B1222" s="4" t="inlineStr">
        <is>
          <t>Tubo redondo de aluminio 1 1/4" x 19.20 pies</t>
        </is>
      </c>
      <c r="C1222" s="7" t="inlineStr">
        <is>
          <t>unidad</t>
        </is>
      </c>
      <c r="D1222" s="8" t="n">
        <v>2185.58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>
        <f>IF(COUNT(D1222:U1222)=0,"",MIN(D1222:U1222))</f>
        <v/>
      </c>
      <c r="W1222" s="8">
        <f>IF(COUNT(D1222:U1222)=0,"",MEDIAN(D1222:U1222))</f>
        <v/>
      </c>
      <c r="X1222" s="8">
        <f>IF(COUNT(D1222:U1222)=0,"",MAX(D1222:U1222))</f>
        <v/>
      </c>
      <c r="Y1222" s="9">
        <f>IF(OR(V1222="",V1222=0),"",(X1222-V1222)/V1222)</f>
        <v/>
      </c>
      <c r="Z1222" s="7">
        <f>IF(COUNT(D1222:U1222)=0,"",INDEX($D$1:$U$1,MATCH(MIN(D1222:U1222),D1222:U1222,0)))</f>
        <v/>
      </c>
      <c r="AA1222" s="8" t="n">
        <v>2185.58</v>
      </c>
      <c r="AB1222" s="10" t="n">
        <v>1</v>
      </c>
    </row>
    <row r="1223">
      <c r="A1223" s="7" t="inlineStr">
        <is>
          <t>MAT-23-014</t>
        </is>
      </c>
      <c r="B1223" s="4" t="inlineStr">
        <is>
          <t>Angular de aluminio 1 1/4" x 1 1/4" x 19.20 pies</t>
        </is>
      </c>
      <c r="C1223" s="7" t="inlineStr">
        <is>
          <t>unidad</t>
        </is>
      </c>
      <c r="D1223" s="8" t="n">
        <v>982.22</v>
      </c>
      <c r="E1223" s="8" t="n"/>
      <c r="F1223" s="8" t="n"/>
      <c r="G1223" s="8" t="n"/>
      <c r="H1223" s="8" t="n"/>
      <c r="I1223" s="8" t="n"/>
      <c r="J1223" s="8" t="n"/>
      <c r="K1223" s="8" t="n">
        <v>1165</v>
      </c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>
        <f>IF(COUNT(D1223:U1223)=0,"",MIN(D1223:U1223))</f>
        <v/>
      </c>
      <c r="W1223" s="8">
        <f>IF(COUNT(D1223:U1223)=0,"",MEDIAN(D1223:U1223))</f>
        <v/>
      </c>
      <c r="X1223" s="8">
        <f>IF(COUNT(D1223:U1223)=0,"",MAX(D1223:U1223))</f>
        <v/>
      </c>
      <c r="Y1223" s="9">
        <f>IF(OR(V1223="",V1223=0),"",(X1223-V1223)/V1223)</f>
        <v/>
      </c>
      <c r="Z1223" s="7">
        <f>IF(COUNT(D1223:U1223)=0,"",INDEX($D$1:$U$1,MATCH(MIN(D1223:U1223),D1223:U1223,0)))</f>
        <v/>
      </c>
      <c r="AA1223" s="8" t="n">
        <v>1073.61</v>
      </c>
      <c r="AB1223" s="10" t="n">
        <v>2</v>
      </c>
    </row>
    <row r="1224">
      <c r="A1224" s="7" t="inlineStr">
        <is>
          <t>MAT-23-015</t>
        </is>
      </c>
      <c r="B1224" s="4" t="inlineStr">
        <is>
          <t>Planchuela de aluminio 1 1/2" x 1/4" x 19.20 pies</t>
        </is>
      </c>
      <c r="C1224" s="7" t="inlineStr">
        <is>
          <t>unidad</t>
        </is>
      </c>
      <c r="D1224" s="8" t="n">
        <v>2567.7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>
        <f>IF(COUNT(D1224:U1224)=0,"",MIN(D1224:U1224))</f>
        <v/>
      </c>
      <c r="W1224" s="8">
        <f>IF(COUNT(D1224:U1224)=0,"",MEDIAN(D1224:U1224))</f>
        <v/>
      </c>
      <c r="X1224" s="8">
        <f>IF(COUNT(D1224:U1224)=0,"",MAX(D1224:U1224))</f>
        <v/>
      </c>
      <c r="Y1224" s="9">
        <f>IF(OR(V1224="",V1224=0),"",(X1224-V1224)/V1224)</f>
        <v/>
      </c>
      <c r="Z1224" s="7">
        <f>IF(COUNT(D1224:U1224)=0,"",INDEX($D$1:$U$1,MATCH(MIN(D1224:U1224),D1224:U1224,0)))</f>
        <v/>
      </c>
      <c r="AA1224" s="8" t="n">
        <v>2567.7</v>
      </c>
      <c r="AB1224" s="10" t="n">
        <v>1</v>
      </c>
    </row>
    <row r="1225">
      <c r="A1225" s="7" t="inlineStr">
        <is>
          <t>MAT-23-016</t>
        </is>
      </c>
      <c r="B1225" s="4" t="inlineStr">
        <is>
          <t>Moldura U de aluminio 1 1/2" x 3/4" x 19.20 pies</t>
        </is>
      </c>
      <c r="C1225" s="7" t="inlineStr">
        <is>
          <t>unidad</t>
        </is>
      </c>
      <c r="D1225" s="8" t="n">
        <v>1117.37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>
        <f>IF(COUNT(D1225:U1225)=0,"",MIN(D1225:U1225))</f>
        <v/>
      </c>
      <c r="W1225" s="8">
        <f>IF(COUNT(D1225:U1225)=0,"",MEDIAN(D1225:U1225))</f>
        <v/>
      </c>
      <c r="X1225" s="8">
        <f>IF(COUNT(D1225:U1225)=0,"",MAX(D1225:U1225))</f>
        <v/>
      </c>
      <c r="Y1225" s="9">
        <f>IF(OR(V1225="",V1225=0),"",(X1225-V1225)/V1225)</f>
        <v/>
      </c>
      <c r="Z1225" s="7">
        <f>IF(COUNT(D1225:U1225)=0,"",INDEX($D$1:$U$1,MATCH(MIN(D1225:U1225),D1225:U1225,0)))</f>
        <v/>
      </c>
      <c r="AA1225" s="8" t="n">
        <v>1117.37</v>
      </c>
      <c r="AB1225" s="10" t="n">
        <v>1</v>
      </c>
    </row>
    <row r="1226">
      <c r="A1226" s="7" t="inlineStr">
        <is>
          <t>MAT-23-017</t>
        </is>
      </c>
      <c r="B1226" s="4" t="inlineStr">
        <is>
          <t>Angular de aluminio 1 1/2" x 1 1/2" x 19.20 pies</t>
        </is>
      </c>
      <c r="C1226" s="7" t="inlineStr">
        <is>
          <t>unidad</t>
        </is>
      </c>
      <c r="D1226" s="8" t="n">
        <v>2473.52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>
        <f>IF(COUNT(D1226:U1226)=0,"",MIN(D1226:U1226))</f>
        <v/>
      </c>
      <c r="W1226" s="8">
        <f>IF(COUNT(D1226:U1226)=0,"",MEDIAN(D1226:U1226))</f>
        <v/>
      </c>
      <c r="X1226" s="8">
        <f>IF(COUNT(D1226:U1226)=0,"",MAX(D1226:U1226))</f>
        <v/>
      </c>
      <c r="Y1226" s="9">
        <f>IF(OR(V1226="",V1226=0),"",(X1226-V1226)/V1226)</f>
        <v/>
      </c>
      <c r="Z1226" s="7">
        <f>IF(COUNT(D1226:U1226)=0,"",INDEX($D$1:$U$1,MATCH(MIN(D1226:U1226),D1226:U1226,0)))</f>
        <v/>
      </c>
      <c r="AA1226" s="8" t="n">
        <v>2473.52</v>
      </c>
      <c r="AB1226" s="10" t="n">
        <v>1</v>
      </c>
    </row>
    <row r="1227">
      <c r="A1227" s="7" t="inlineStr">
        <is>
          <t>MAT-23-018</t>
        </is>
      </c>
      <c r="B1227" s="4" t="inlineStr">
        <is>
          <t>Perfil cuadrado de aluminio 1 1/2" x 1 1/2" x 19.20 pies</t>
        </is>
      </c>
      <c r="C1227" s="7" t="inlineStr">
        <is>
          <t>unidad</t>
        </is>
      </c>
      <c r="D1227" s="8" t="n">
        <v>1701.73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>
        <f>IF(COUNT(D1227:U1227)=0,"",MIN(D1227:U1227))</f>
        <v/>
      </c>
      <c r="W1227" s="8">
        <f>IF(COUNT(D1227:U1227)=0,"",MEDIAN(D1227:U1227))</f>
        <v/>
      </c>
      <c r="X1227" s="8">
        <f>IF(COUNT(D1227:U1227)=0,"",MAX(D1227:U1227))</f>
        <v/>
      </c>
      <c r="Y1227" s="9">
        <f>IF(OR(V1227="",V1227=0),"",(X1227-V1227)/V1227)</f>
        <v/>
      </c>
      <c r="Z1227" s="7">
        <f>IF(COUNT(D1227:U1227)=0,"",INDEX($D$1:$U$1,MATCH(MIN(D1227:U1227),D1227:U1227,0)))</f>
        <v/>
      </c>
      <c r="AA1227" s="8" t="n">
        <v>1701.73</v>
      </c>
      <c r="AB1227" s="10" t="n">
        <v>1</v>
      </c>
    </row>
    <row r="1228">
      <c r="A1228" s="7" t="inlineStr">
        <is>
          <t>MAT-23-019</t>
        </is>
      </c>
      <c r="B1228" s="4" t="inlineStr">
        <is>
          <t>Perfil rectangular de aluminio 2" x 1" x 19.20 pies</t>
        </is>
      </c>
      <c r="C1228" s="7" t="inlineStr">
        <is>
          <t>unidad</t>
        </is>
      </c>
      <c r="D1228" s="8" t="n">
        <v>1846.63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>
        <f>IF(COUNT(D1228:U1228)=0,"",MIN(D1228:U1228))</f>
        <v/>
      </c>
      <c r="W1228" s="8">
        <f>IF(COUNT(D1228:U1228)=0,"",MEDIAN(D1228:U1228))</f>
        <v/>
      </c>
      <c r="X1228" s="8">
        <f>IF(COUNT(D1228:U1228)=0,"",MAX(D1228:U1228))</f>
        <v/>
      </c>
      <c r="Y1228" s="9">
        <f>IF(OR(V1228="",V1228=0),"",(X1228-V1228)/V1228)</f>
        <v/>
      </c>
      <c r="Z1228" s="7">
        <f>IF(COUNT(D1228:U1228)=0,"",INDEX($D$1:$U$1,MATCH(MIN(D1228:U1228),D1228:U1228,0)))</f>
        <v/>
      </c>
      <c r="AA1228" s="8" t="n">
        <v>1846.63</v>
      </c>
      <c r="AB1228" s="10" t="n">
        <v>1</v>
      </c>
    </row>
    <row r="1229">
      <c r="A1229" s="7" t="inlineStr">
        <is>
          <t>MAT-23-020</t>
        </is>
      </c>
      <c r="B1229" s="4" t="inlineStr">
        <is>
          <t>Angular de aluminio 2" x 2" x 19.20 pies</t>
        </is>
      </c>
      <c r="C1229" s="7" t="inlineStr">
        <is>
          <t>unidad</t>
        </is>
      </c>
      <c r="D1229" s="8" t="n">
        <v>3334.76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>
        <f>IF(COUNT(D1229:U1229)=0,"",MIN(D1229:U1229))</f>
        <v/>
      </c>
      <c r="W1229" s="8">
        <f>IF(COUNT(D1229:U1229)=0,"",MEDIAN(D1229:U1229))</f>
        <v/>
      </c>
      <c r="X1229" s="8">
        <f>IF(COUNT(D1229:U1229)=0,"",MAX(D1229:U1229))</f>
        <v/>
      </c>
      <c r="Y1229" s="9">
        <f>IF(OR(V1229="",V1229=0),"",(X1229-V1229)/V1229)</f>
        <v/>
      </c>
      <c r="Z1229" s="7">
        <f>IF(COUNT(D1229:U1229)=0,"",INDEX($D$1:$U$1,MATCH(MIN(D1229:U1229),D1229:U1229,0)))</f>
        <v/>
      </c>
      <c r="AA1229" s="8" t="n">
        <v>3334.76</v>
      </c>
      <c r="AB1229" s="10" t="n">
        <v>1</v>
      </c>
    </row>
    <row r="1230">
      <c r="A1230" s="7" t="inlineStr">
        <is>
          <t>MAT-23-021</t>
        </is>
      </c>
      <c r="B1230" s="4" t="inlineStr">
        <is>
          <t>Planchuela de aluminio 3" x 3/16" x 19.20 pies</t>
        </is>
      </c>
      <c r="C1230" s="7" t="inlineStr">
        <is>
          <t>unidad</t>
        </is>
      </c>
      <c r="D1230" s="8" t="n">
        <v>2695.59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>
        <f>IF(COUNT(D1230:U1230)=0,"",MIN(D1230:U1230))</f>
        <v/>
      </c>
      <c r="W1230" s="8">
        <f>IF(COUNT(D1230:U1230)=0,"",MEDIAN(D1230:U1230))</f>
        <v/>
      </c>
      <c r="X1230" s="8">
        <f>IF(COUNT(D1230:U1230)=0,"",MAX(D1230:U1230))</f>
        <v/>
      </c>
      <c r="Y1230" s="9">
        <f>IF(OR(V1230="",V1230=0),"",(X1230-V1230)/V1230)</f>
        <v/>
      </c>
      <c r="Z1230" s="7">
        <f>IF(COUNT(D1230:U1230)=0,"",INDEX($D$1:$U$1,MATCH(MIN(D1230:U1230),D1230:U1230,0)))</f>
        <v/>
      </c>
      <c r="AA1230" s="8" t="n">
        <v>2695.59</v>
      </c>
      <c r="AB1230" s="10" t="n">
        <v>1</v>
      </c>
    </row>
    <row r="1231">
      <c r="A1231" s="7" t="inlineStr">
        <is>
          <t>MAT-23-022</t>
        </is>
      </c>
      <c r="B1231" s="4" t="inlineStr">
        <is>
          <t>Perfil rectangular de aluminio 3" x 1 1/2" x 19.20 pies</t>
        </is>
      </c>
      <c r="C1231" s="7" t="inlineStr">
        <is>
          <t>unidad</t>
        </is>
      </c>
      <c r="D1231" s="8" t="n">
        <v>3956.93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>
        <f>IF(COUNT(D1231:U1231)=0,"",MIN(D1231:U1231))</f>
        <v/>
      </c>
      <c r="W1231" s="8">
        <f>IF(COUNT(D1231:U1231)=0,"",MEDIAN(D1231:U1231))</f>
        <v/>
      </c>
      <c r="X1231" s="8">
        <f>IF(COUNT(D1231:U1231)=0,"",MAX(D1231:U1231))</f>
        <v/>
      </c>
      <c r="Y1231" s="9">
        <f>IF(OR(V1231="",V1231=0),"",(X1231-V1231)/V1231)</f>
        <v/>
      </c>
      <c r="Z1231" s="7">
        <f>IF(COUNT(D1231:U1231)=0,"",INDEX($D$1:$U$1,MATCH(MIN(D1231:U1231),D1231:U1231,0)))</f>
        <v/>
      </c>
      <c r="AA1231" s="8" t="n">
        <v>3956.93</v>
      </c>
      <c r="AB1231" s="10" t="n">
        <v>1</v>
      </c>
    </row>
    <row r="1232">
      <c r="A1232" s="7" t="inlineStr">
        <is>
          <t>MAT-23-023</t>
        </is>
      </c>
      <c r="B1232" s="4" t="inlineStr">
        <is>
          <t>Planchuela de aluminio 4" x 1/8" x 19.20 pies</t>
        </is>
      </c>
      <c r="C1232" s="7" t="inlineStr">
        <is>
          <t>unidad</t>
        </is>
      </c>
      <c r="D1232" s="8" t="n">
        <v>3464.55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>
        <f>IF(COUNT(D1232:U1232)=0,"",MIN(D1232:U1232))</f>
        <v/>
      </c>
      <c r="W1232" s="8">
        <f>IF(COUNT(D1232:U1232)=0,"",MEDIAN(D1232:U1232))</f>
        <v/>
      </c>
      <c r="X1232" s="8">
        <f>IF(COUNT(D1232:U1232)=0,"",MAX(D1232:U1232))</f>
        <v/>
      </c>
      <c r="Y1232" s="9">
        <f>IF(OR(V1232="",V1232=0),"",(X1232-V1232)/V1232)</f>
        <v/>
      </c>
      <c r="Z1232" s="7">
        <f>IF(COUNT(D1232:U1232)=0,"",INDEX($D$1:$U$1,MATCH(MIN(D1232:U1232),D1232:U1232,0)))</f>
        <v/>
      </c>
      <c r="AA1232" s="8" t="n">
        <v>3464.55</v>
      </c>
      <c r="AB1232" s="10" t="n">
        <v>1</v>
      </c>
    </row>
    <row r="1233">
      <c r="A1233" s="7" t="inlineStr">
        <is>
          <t>MAT-23-024</t>
        </is>
      </c>
      <c r="B1233" s="4" t="inlineStr">
        <is>
          <t>Perfil rectangular de aluminio 4" x 1 3/4" x 19.20 pies</t>
        </is>
      </c>
      <c r="C1233" s="7" t="inlineStr">
        <is>
          <t>unidad</t>
        </is>
      </c>
      <c r="D1233" s="8" t="n">
        <v>5142.65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>
        <f>IF(COUNT(D1233:U1233)=0,"",MIN(D1233:U1233))</f>
        <v/>
      </c>
      <c r="W1233" s="8">
        <f>IF(COUNT(D1233:U1233)=0,"",MEDIAN(D1233:U1233))</f>
        <v/>
      </c>
      <c r="X1233" s="8">
        <f>IF(COUNT(D1233:U1233)=0,"",MAX(D1233:U1233))</f>
        <v/>
      </c>
      <c r="Y1233" s="9">
        <f>IF(OR(V1233="",V1233=0),"",(X1233-V1233)/V1233)</f>
        <v/>
      </c>
      <c r="Z1233" s="7">
        <f>IF(COUNT(D1233:U1233)=0,"",INDEX($D$1:$U$1,MATCH(MIN(D1233:U1233),D1233:U1233,0)))</f>
        <v/>
      </c>
      <c r="AA1233" s="8" t="n">
        <v>5142.65</v>
      </c>
      <c r="AB1233" s="10" t="n">
        <v>1</v>
      </c>
    </row>
    <row r="1234">
      <c r="A1234" s="7" t="inlineStr">
        <is>
          <t>MAT-23-025</t>
        </is>
      </c>
      <c r="B1234" s="4" t="inlineStr">
        <is>
          <t>Angular de aluminio, 1X1"X19'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/>
      <c r="K1234" s="8" t="n">
        <v>750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>
        <f>IF(COUNT(D1234:U1234)=0,"",MIN(D1234:U1234))</f>
        <v/>
      </c>
      <c r="W1234" s="8">
        <f>IF(COUNT(D1234:U1234)=0,"",MEDIAN(D1234:U1234))</f>
        <v/>
      </c>
      <c r="X1234" s="8">
        <f>IF(COUNT(D1234:U1234)=0,"",MAX(D1234:U1234))</f>
        <v/>
      </c>
      <c r="Y1234" s="9">
        <f>IF(OR(V1234="",V1234=0),"",(X1234-V1234)/V1234)</f>
        <v/>
      </c>
      <c r="Z1234" s="7">
        <f>IF(COUNT(D1234:U1234)=0,"",INDEX($D$1:$U$1,MATCH(MIN(D1234:U1234),D1234:U1234,0)))</f>
        <v/>
      </c>
      <c r="AA1234" s="8" t="n">
        <v>750</v>
      </c>
      <c r="AB1234" s="10" t="n">
        <v>1</v>
      </c>
    </row>
    <row r="1235">
      <c r="A1235" s="7" t="inlineStr">
        <is>
          <t>MAT-23-026</t>
        </is>
      </c>
      <c r="B1235" s="4" t="inlineStr">
        <is>
          <t>Angular de aluminio, 3/4X1/2"X19'</t>
        </is>
      </c>
      <c r="C1235" s="7" t="inlineStr">
        <is>
          <t>unidad</t>
        </is>
      </c>
      <c r="D1235" s="8" t="n"/>
      <c r="E1235" s="8" t="n"/>
      <c r="F1235" s="8" t="n"/>
      <c r="G1235" s="8" t="n"/>
      <c r="H1235" s="8" t="n"/>
      <c r="I1235" s="8" t="n"/>
      <c r="J1235" s="8" t="n"/>
      <c r="K1235" s="8" t="n">
        <v>398</v>
      </c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>
        <f>IF(COUNT(D1235:U1235)=0,"",MIN(D1235:U1235))</f>
        <v/>
      </c>
      <c r="W1235" s="8">
        <f>IF(COUNT(D1235:U1235)=0,"",MEDIAN(D1235:U1235))</f>
        <v/>
      </c>
      <c r="X1235" s="8">
        <f>IF(COUNT(D1235:U1235)=0,"",MAX(D1235:U1235))</f>
        <v/>
      </c>
      <c r="Y1235" s="9">
        <f>IF(OR(V1235="",V1235=0),"",(X1235-V1235)/V1235)</f>
        <v/>
      </c>
      <c r="Z1235" s="7">
        <f>IF(COUNT(D1235:U1235)=0,"",INDEX($D$1:$U$1,MATCH(MIN(D1235:U1235),D1235:U1235,0)))</f>
        <v/>
      </c>
      <c r="AA1235" s="8" t="n">
        <v>398</v>
      </c>
      <c r="AB1235" s="10" t="n">
        <v>1</v>
      </c>
    </row>
    <row r="1236">
      <c r="A1236" s="7" t="inlineStr">
        <is>
          <t>MAT-24-001</t>
        </is>
      </c>
      <c r="B1236" s="4" t="inlineStr">
        <is>
          <t>Inodoro de una pieza</t>
        </is>
      </c>
      <c r="C1236" s="7" t="inlineStr">
        <is>
          <t>unidad</t>
        </is>
      </c>
      <c r="D1236" s="8" t="n">
        <v>5981.36</v>
      </c>
      <c r="E1236" s="8" t="n">
        <v>4980</v>
      </c>
      <c r="F1236" s="8" t="n">
        <v>5932.2</v>
      </c>
      <c r="G1236" s="8" t="n">
        <v>9971</v>
      </c>
      <c r="H1236" s="8" t="n">
        <v>5950</v>
      </c>
      <c r="I1236" s="8" t="n"/>
      <c r="J1236" s="8" t="n"/>
      <c r="K1236" s="8" t="n">
        <v>4225</v>
      </c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>
        <f>IF(COUNT(D1236:U1236)=0,"",MIN(D1236:U1236))</f>
        <v/>
      </c>
      <c r="W1236" s="8">
        <f>IF(COUNT(D1236:U1236)=0,"",MEDIAN(D1236:U1236))</f>
        <v/>
      </c>
      <c r="X1236" s="8">
        <f>IF(COUNT(D1236:U1236)=0,"",MAX(D1236:U1236))</f>
        <v/>
      </c>
      <c r="Y1236" s="9">
        <f>IF(OR(V1236="",V1236=0),"",(X1236-V1236)/V1236)</f>
        <v/>
      </c>
      <c r="Z1236" s="7">
        <f>IF(COUNT(D1236:U1236)=0,"",INDEX($D$1:$U$1,MATCH(MIN(D1236:U1236),D1236:U1236,0)))</f>
        <v/>
      </c>
      <c r="AA1236" s="8" t="n">
        <v>9860</v>
      </c>
      <c r="AB1236" s="10" t="n">
        <v>6</v>
      </c>
    </row>
    <row r="1237">
      <c r="A1237" s="7" t="inlineStr">
        <is>
          <t>MAT-24-002</t>
        </is>
      </c>
      <c r="B1237" s="4" t="inlineStr">
        <is>
          <t>Inodoro infantil</t>
        </is>
      </c>
      <c r="C1237" s="7" t="inlineStr">
        <is>
          <t>unidad</t>
        </is>
      </c>
      <c r="D1237" s="8" t="n"/>
      <c r="E1237" s="8" t="n">
        <v>11543.61</v>
      </c>
      <c r="F1237" s="8" t="n">
        <v>6348.02</v>
      </c>
      <c r="G1237" s="8" t="n"/>
      <c r="H1237" s="8" t="n">
        <v>13750</v>
      </c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>
        <f>IF(COUNT(D1237:U1237)=0,"",MIN(D1237:U1237))</f>
        <v/>
      </c>
      <c r="W1237" s="8">
        <f>IF(COUNT(D1237:U1237)=0,"",MEDIAN(D1237:U1237))</f>
        <v/>
      </c>
      <c r="X1237" s="8">
        <f>IF(COUNT(D1237:U1237)=0,"",MAX(D1237:U1237))</f>
        <v/>
      </c>
      <c r="Y1237" s="9">
        <f>IF(OR(V1237="",V1237=0),"",(X1237-V1237)/V1237)</f>
        <v/>
      </c>
      <c r="Z1237" s="7">
        <f>IF(COUNT(D1237:U1237)=0,"",INDEX($D$1:$U$1,MATCH(MIN(D1237:U1237),D1237:U1237,0)))</f>
        <v/>
      </c>
      <c r="AA1237" s="8" t="n">
        <v>11543.61</v>
      </c>
      <c r="AB1237" s="10" t="n">
        <v>3</v>
      </c>
    </row>
    <row r="1238">
      <c r="A1238" s="7" t="inlineStr">
        <is>
          <t>MAT-24-004</t>
        </is>
      </c>
      <c r="B1238" s="4" t="inlineStr">
        <is>
          <t>Inodoro de dos piezas</t>
        </is>
      </c>
      <c r="C1238" s="7" t="inlineStr">
        <is>
          <t>unidad</t>
        </is>
      </c>
      <c r="D1238" s="8" t="n"/>
      <c r="E1238" s="8" t="n">
        <v>5100</v>
      </c>
      <c r="F1238" s="8" t="n">
        <v>6355.93</v>
      </c>
      <c r="G1238" s="8" t="n">
        <v>5320</v>
      </c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>
        <f>IF(COUNT(D1238:U1238)=0,"",MIN(D1238:U1238))</f>
        <v/>
      </c>
      <c r="W1238" s="8">
        <f>IF(COUNT(D1238:U1238)=0,"",MEDIAN(D1238:U1238))</f>
        <v/>
      </c>
      <c r="X1238" s="8">
        <f>IF(COUNT(D1238:U1238)=0,"",MAX(D1238:U1238))</f>
        <v/>
      </c>
      <c r="Y1238" s="9">
        <f>IF(OR(V1238="",V1238=0),"",(X1238-V1238)/V1238)</f>
        <v/>
      </c>
      <c r="Z1238" s="7">
        <f>IF(COUNT(D1238:U1238)=0,"",INDEX($D$1:$U$1,MATCH(MIN(D1238:U1238),D1238:U1238,0)))</f>
        <v/>
      </c>
      <c r="AA1238" s="8" t="n">
        <v>8905.379999999999</v>
      </c>
      <c r="AB1238" s="10" t="n">
        <v>3</v>
      </c>
    </row>
    <row r="1239">
      <c r="A1239" s="7" t="inlineStr">
        <is>
          <t>MAT-24-005</t>
        </is>
      </c>
      <c r="B1239" s="4" t="inlineStr">
        <is>
          <t>Tanque para inodoro de dos piezas</t>
        </is>
      </c>
      <c r="C1239" s="7" t="inlineStr">
        <is>
          <t>unidad</t>
        </is>
      </c>
      <c r="D1239" s="8" t="n">
        <v>586.47</v>
      </c>
      <c r="E1239" s="8" t="n"/>
      <c r="F1239" s="8" t="n"/>
      <c r="G1239" s="8" t="n"/>
      <c r="H1239" s="8" t="n"/>
      <c r="I1239" s="8" t="n"/>
      <c r="J1239" s="8" t="n"/>
      <c r="K1239" s="8" t="n">
        <v>12715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>
        <f>IF(COUNT(D1239:U1239)=0,"",MIN(D1239:U1239))</f>
        <v/>
      </c>
      <c r="W1239" s="8">
        <f>IF(COUNT(D1239:U1239)=0,"",MEDIAN(D1239:U1239))</f>
        <v/>
      </c>
      <c r="X1239" s="8">
        <f>IF(COUNT(D1239:U1239)=0,"",MAX(D1239:U1239))</f>
        <v/>
      </c>
      <c r="Y1239" s="9">
        <f>IF(OR(V1239="",V1239=0),"",(X1239-V1239)/V1239)</f>
        <v/>
      </c>
      <c r="Z1239" s="7">
        <f>IF(COUNT(D1239:U1239)=0,"",INDEX($D$1:$U$1,MATCH(MIN(D1239:U1239),D1239:U1239,0)))</f>
        <v/>
      </c>
      <c r="AA1239" s="8" t="n">
        <v>4198.79</v>
      </c>
      <c r="AB1239" s="10" t="n">
        <v>2</v>
      </c>
    </row>
    <row r="1240">
      <c r="A1240" s="7" t="inlineStr">
        <is>
          <t>MAT-24-006</t>
        </is>
      </c>
      <c r="B1240" s="4" t="inlineStr">
        <is>
          <t>Basineta para inodoro de dos piezas</t>
        </is>
      </c>
      <c r="C1240" s="7" t="inlineStr">
        <is>
          <t>unidad</t>
        </is>
      </c>
      <c r="D1240" s="8" t="n">
        <v>2129.12</v>
      </c>
      <c r="E1240" s="8" t="n"/>
      <c r="F1240" s="8" t="n">
        <v>4225.59</v>
      </c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>
        <f>IF(COUNT(D1240:U1240)=0,"",MIN(D1240:U1240))</f>
        <v/>
      </c>
      <c r="W1240" s="8">
        <f>IF(COUNT(D1240:U1240)=0,"",MEDIAN(D1240:U1240))</f>
        <v/>
      </c>
      <c r="X1240" s="8">
        <f>IF(COUNT(D1240:U1240)=0,"",MAX(D1240:U1240))</f>
        <v/>
      </c>
      <c r="Y1240" s="9">
        <f>IF(OR(V1240="",V1240=0),"",(X1240-V1240)/V1240)</f>
        <v/>
      </c>
      <c r="Z1240" s="7">
        <f>IF(COUNT(D1240:U1240)=0,"",INDEX($D$1:$U$1,MATCH(MIN(D1240:U1240),D1240:U1240,0)))</f>
        <v/>
      </c>
      <c r="AA1240" s="8" t="n">
        <v>5574.97</v>
      </c>
      <c r="AB1240" s="10" t="n">
        <v>2</v>
      </c>
    </row>
    <row r="1241">
      <c r="A1241" s="7" t="inlineStr">
        <is>
          <t>MAT-24-007</t>
        </is>
      </c>
      <c r="B1241" s="4" t="inlineStr">
        <is>
          <t>Taza para fluxómetro</t>
        </is>
      </c>
      <c r="C1241" s="7" t="inlineStr">
        <is>
          <t>unidad</t>
        </is>
      </c>
      <c r="D1241" s="8" t="n"/>
      <c r="E1241" s="8" t="n"/>
      <c r="F1241" s="8" t="n">
        <v>5857.58</v>
      </c>
      <c r="G1241" s="8" t="n"/>
      <c r="H1241" s="8" t="n">
        <v>8400</v>
      </c>
      <c r="I1241" s="8" t="n"/>
      <c r="J1241" s="8" t="n"/>
      <c r="K1241" s="8" t="n">
        <v>3925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>
        <f>IF(COUNT(D1241:U1241)=0,"",MIN(D1241:U1241))</f>
        <v/>
      </c>
      <c r="W1241" s="8">
        <f>IF(COUNT(D1241:U1241)=0,"",MEDIAN(D1241:U1241))</f>
        <v/>
      </c>
      <c r="X1241" s="8">
        <f>IF(COUNT(D1241:U1241)=0,"",MAX(D1241:U1241))</f>
        <v/>
      </c>
      <c r="Y1241" s="9">
        <f>IF(OR(V1241="",V1241=0),"",(X1241-V1241)/V1241)</f>
        <v/>
      </c>
      <c r="Z1241" s="7">
        <f>IF(COUNT(D1241:U1241)=0,"",INDEX($D$1:$U$1,MATCH(MIN(D1241:U1241),D1241:U1241,0)))</f>
        <v/>
      </c>
      <c r="AA1241" s="8" t="n">
        <v>9091</v>
      </c>
      <c r="AB1241" s="10" t="n">
        <v>3</v>
      </c>
    </row>
    <row r="1242">
      <c r="A1242" s="7" t="inlineStr">
        <is>
          <t>MAT-24-008</t>
        </is>
      </c>
      <c r="B1242" s="4" t="inlineStr">
        <is>
          <t>Urinario de porcelana</t>
        </is>
      </c>
      <c r="C1242" s="7" t="inlineStr">
        <is>
          <t>unidad</t>
        </is>
      </c>
      <c r="D1242" s="8" t="n">
        <v>4422.13</v>
      </c>
      <c r="E1242" s="8" t="n">
        <v>3265</v>
      </c>
      <c r="F1242" s="8" t="n">
        <v>4650</v>
      </c>
      <c r="G1242" s="8" t="n"/>
      <c r="H1242" s="8" t="n">
        <v>6995</v>
      </c>
      <c r="I1242" s="8" t="n"/>
      <c r="J1242" s="8" t="n"/>
      <c r="K1242" s="8" t="n">
        <v>4362</v>
      </c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>
        <f>IF(COUNT(D1242:U1242)=0,"",MIN(D1242:U1242))</f>
        <v/>
      </c>
      <c r="W1242" s="8">
        <f>IF(COUNT(D1242:U1242)=0,"",MEDIAN(D1242:U1242))</f>
        <v/>
      </c>
      <c r="X1242" s="8">
        <f>IF(COUNT(D1242:U1242)=0,"",MAX(D1242:U1242))</f>
        <v/>
      </c>
      <c r="Y1242" s="9">
        <f>IF(OR(V1242="",V1242=0),"",(X1242-V1242)/V1242)</f>
        <v/>
      </c>
      <c r="Z1242" s="7">
        <f>IF(COUNT(D1242:U1242)=0,"",INDEX($D$1:$U$1,MATCH(MIN(D1242:U1242),D1242:U1242,0)))</f>
        <v/>
      </c>
      <c r="AA1242" s="8" t="n">
        <v>9070.48</v>
      </c>
      <c r="AB1242" s="10" t="n">
        <v>5</v>
      </c>
    </row>
    <row r="1243">
      <c r="A1243" s="7" t="inlineStr">
        <is>
          <t>MAT-24-009</t>
        </is>
      </c>
      <c r="B1243" s="4" t="inlineStr">
        <is>
          <t>Bidé</t>
        </is>
      </c>
      <c r="C1243" s="7" t="inlineStr">
        <is>
          <t>unidad</t>
        </is>
      </c>
      <c r="D1243" s="8" t="n"/>
      <c r="E1243" s="8" t="n"/>
      <c r="F1243" s="8" t="n">
        <v>12574.54</v>
      </c>
      <c r="G1243" s="8" t="n">
        <v>3998</v>
      </c>
      <c r="H1243" s="8" t="n">
        <v>17500</v>
      </c>
      <c r="I1243" s="8" t="n"/>
      <c r="J1243" s="8" t="n"/>
      <c r="K1243" s="8" t="n">
        <v>5937</v>
      </c>
      <c r="L1243" s="8" t="n"/>
      <c r="M1243" s="8" t="n"/>
      <c r="N1243" s="8" t="n">
        <v>22250</v>
      </c>
      <c r="O1243" s="8" t="n"/>
      <c r="P1243" s="8" t="n"/>
      <c r="Q1243" s="8" t="n"/>
      <c r="R1243" s="8" t="n"/>
      <c r="S1243" s="8" t="n"/>
      <c r="T1243" s="8" t="n"/>
      <c r="U1243" s="8" t="n"/>
      <c r="V1243" s="8">
        <f>IF(COUNT(D1243:U1243)=0,"",MIN(D1243:U1243))</f>
        <v/>
      </c>
      <c r="W1243" s="8">
        <f>IF(COUNT(D1243:U1243)=0,"",MEDIAN(D1243:U1243))</f>
        <v/>
      </c>
      <c r="X1243" s="8">
        <f>IF(COUNT(D1243:U1243)=0,"",MAX(D1243:U1243))</f>
        <v/>
      </c>
      <c r="Y1243" s="9">
        <f>IF(OR(V1243="",V1243=0),"",(X1243-V1243)/V1243)</f>
        <v/>
      </c>
      <c r="Z1243" s="7">
        <f>IF(COUNT(D1243:U1243)=0,"",INDEX($D$1:$U$1,MATCH(MIN(D1243:U1243),D1243:U1243,0)))</f>
        <v/>
      </c>
      <c r="AA1243" s="8" t="n">
        <v>20495</v>
      </c>
      <c r="AB1243" s="10" t="n">
        <v>5</v>
      </c>
    </row>
    <row r="1244">
      <c r="A1244" s="7" t="inlineStr">
        <is>
          <t>MAT-24-010</t>
        </is>
      </c>
      <c r="B1244" s="4" t="inlineStr">
        <is>
          <t>Kit de instalación de inodoro</t>
        </is>
      </c>
      <c r="C1244" s="7" t="inlineStr">
        <is>
          <t>juego</t>
        </is>
      </c>
      <c r="D1244" s="8" t="n">
        <v>1773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>
        <f>IF(COUNT(D1244:U1244)=0,"",MIN(D1244:U1244))</f>
        <v/>
      </c>
      <c r="W1244" s="8">
        <f>IF(COUNT(D1244:U1244)=0,"",MEDIAN(D1244:U1244))</f>
        <v/>
      </c>
      <c r="X1244" s="8">
        <f>IF(COUNT(D1244:U1244)=0,"",MAX(D1244:U1244))</f>
        <v/>
      </c>
      <c r="Y1244" s="9">
        <f>IF(OR(V1244="",V1244=0),"",(X1244-V1244)/V1244)</f>
        <v/>
      </c>
      <c r="Z1244" s="7">
        <f>IF(COUNT(D1244:U1244)=0,"",INDEX($D$1:$U$1,MATCH(MIN(D1244:U1244),D1244:U1244,0)))</f>
        <v/>
      </c>
      <c r="AA1244" s="8" t="n">
        <v>1773</v>
      </c>
      <c r="AB1244" s="10" t="n">
        <v>1</v>
      </c>
    </row>
    <row r="1245">
      <c r="A1245" s="7" t="inlineStr">
        <is>
          <t>MAT-25-001</t>
        </is>
      </c>
      <c r="B1245" s="4" t="inlineStr">
        <is>
          <t>Lavamanos</t>
        </is>
      </c>
      <c r="C1245" s="7" t="inlineStr">
        <is>
          <t>unidad</t>
        </is>
      </c>
      <c r="D1245" s="8" t="n">
        <v>5360.96</v>
      </c>
      <c r="E1245" s="8" t="n"/>
      <c r="F1245" s="8" t="n"/>
      <c r="G1245" s="8" t="n"/>
      <c r="H1245" s="8" t="n">
        <v>1600</v>
      </c>
      <c r="I1245" s="8" t="n">
        <v>910</v>
      </c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>
        <f>IF(COUNT(D1245:U1245)=0,"",MIN(D1245:U1245))</f>
        <v/>
      </c>
      <c r="W1245" s="8">
        <f>IF(COUNT(D1245:U1245)=0,"",MEDIAN(D1245:U1245))</f>
        <v/>
      </c>
      <c r="X1245" s="8">
        <f>IF(COUNT(D1245:U1245)=0,"",MAX(D1245:U1245))</f>
        <v/>
      </c>
      <c r="Y1245" s="9">
        <f>IF(OR(V1245="",V1245=0),"",(X1245-V1245)/V1245)</f>
        <v/>
      </c>
      <c r="Z1245" s="7">
        <f>IF(COUNT(D1245:U1245)=0,"",INDEX($D$1:$U$1,MATCH(MIN(D1245:U1245),D1245:U1245,0)))</f>
        <v/>
      </c>
      <c r="AA1245" s="8" t="n">
        <v>8500</v>
      </c>
      <c r="AB1245" s="10" t="n">
        <v>3</v>
      </c>
    </row>
    <row r="1246">
      <c r="A1246" s="7" t="inlineStr">
        <is>
          <t>MAT-25-002</t>
        </is>
      </c>
      <c r="B1246" s="4" t="inlineStr">
        <is>
          <t>Lavamanos, de empotrar</t>
        </is>
      </c>
      <c r="C1246" s="7" t="inlineStr">
        <is>
          <t>unidad</t>
        </is>
      </c>
      <c r="D1246" s="8" t="n">
        <v>684.67</v>
      </c>
      <c r="E1246" s="8" t="n">
        <v>1345</v>
      </c>
      <c r="F1246" s="8" t="n">
        <v>1763.31</v>
      </c>
      <c r="G1246" s="8" t="n"/>
      <c r="H1246" s="8" t="n">
        <v>3535.4</v>
      </c>
      <c r="I1246" s="8" t="n"/>
      <c r="J1246" s="8" t="n"/>
      <c r="K1246" s="8" t="n">
        <v>1585</v>
      </c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>
        <f>IF(COUNT(D1246:U1246)=0,"",MIN(D1246:U1246))</f>
        <v/>
      </c>
      <c r="W1246" s="8">
        <f>IF(COUNT(D1246:U1246)=0,"",MEDIAN(D1246:U1246))</f>
        <v/>
      </c>
      <c r="X1246" s="8">
        <f>IF(COUNT(D1246:U1246)=0,"",MAX(D1246:U1246))</f>
        <v/>
      </c>
      <c r="Y1246" s="9">
        <f>IF(OR(V1246="",V1246=0),"",(X1246-V1246)/V1246)</f>
        <v/>
      </c>
      <c r="Z1246" s="7">
        <f>IF(COUNT(D1246:U1246)=0,"",INDEX($D$1:$U$1,MATCH(MIN(D1246:U1246),D1246:U1246,0)))</f>
        <v/>
      </c>
      <c r="AA1246" s="8" t="n">
        <v>3403.56</v>
      </c>
      <c r="AB1246" s="10" t="n">
        <v>5</v>
      </c>
    </row>
    <row r="1247">
      <c r="A1247" s="7" t="inlineStr">
        <is>
          <t>MAT-25-003</t>
        </is>
      </c>
      <c r="B1247" s="4" t="inlineStr">
        <is>
          <t>Lavamanos, de exento</t>
        </is>
      </c>
      <c r="C1247" s="7" t="inlineStr">
        <is>
          <t>unidad</t>
        </is>
      </c>
      <c r="D1247" s="8" t="n"/>
      <c r="E1247" s="8" t="n"/>
      <c r="F1247" s="8" t="n">
        <v>185169.48</v>
      </c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>
        <f>IF(COUNT(D1247:U1247)=0,"",MIN(D1247:U1247))</f>
        <v/>
      </c>
      <c r="W1247" s="8">
        <f>IF(COUNT(D1247:U1247)=0,"",MEDIAN(D1247:U1247))</f>
        <v/>
      </c>
      <c r="X1247" s="8">
        <f>IF(COUNT(D1247:U1247)=0,"",MAX(D1247:U1247))</f>
        <v/>
      </c>
      <c r="Y1247" s="9">
        <f>IF(OR(V1247="",V1247=0),"",(X1247-V1247)/V1247)</f>
        <v/>
      </c>
      <c r="Z1247" s="7">
        <f>IF(COUNT(D1247:U1247)=0,"",INDEX($D$1:$U$1,MATCH(MIN(D1247:U1247),D1247:U1247,0)))</f>
        <v/>
      </c>
      <c r="AA1247" s="8" t="n">
        <v>244189.99</v>
      </c>
      <c r="AB1247" s="10" t="n">
        <v>1</v>
      </c>
    </row>
    <row r="1248">
      <c r="A1248" s="7" t="inlineStr">
        <is>
          <t>MAT-25-005</t>
        </is>
      </c>
      <c r="B1248" s="4" t="inlineStr">
        <is>
          <t>Lavamanos, de pedestal</t>
        </is>
      </c>
      <c r="C1248" s="7" t="inlineStr">
        <is>
          <t>unidad</t>
        </is>
      </c>
      <c r="D1248" s="8" t="n">
        <v>1093</v>
      </c>
      <c r="E1248" s="8" t="n">
        <v>1870</v>
      </c>
      <c r="F1248" s="8" t="n">
        <v>15434.59</v>
      </c>
      <c r="G1248" s="8" t="n">
        <v>3635</v>
      </c>
      <c r="H1248" s="8" t="n">
        <v>2590.01</v>
      </c>
      <c r="I1248" s="8" t="n"/>
      <c r="J1248" s="8" t="n"/>
      <c r="K1248" s="8" t="n">
        <v>216</v>
      </c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>
        <f>IF(COUNT(D1248:U1248)=0,"",MIN(D1248:U1248))</f>
        <v/>
      </c>
      <c r="W1248" s="8">
        <f>IF(COUNT(D1248:U1248)=0,"",MEDIAN(D1248:U1248))</f>
        <v/>
      </c>
      <c r="X1248" s="8">
        <f>IF(COUNT(D1248:U1248)=0,"",MAX(D1248:U1248))</f>
        <v/>
      </c>
      <c r="Y1248" s="9">
        <f>IF(OR(V1248="",V1248=0),"",(X1248-V1248)/V1248)</f>
        <v/>
      </c>
      <c r="Z1248" s="7">
        <f>IF(COUNT(D1248:U1248)=0,"",INDEX($D$1:$U$1,MATCH(MIN(D1248:U1248),D1248:U1248,0)))</f>
        <v/>
      </c>
      <c r="AA1248" s="8" t="n">
        <v>2676.3</v>
      </c>
      <c r="AB1248" s="10" t="n">
        <v>6</v>
      </c>
    </row>
    <row r="1249">
      <c r="A1249" s="7" t="inlineStr">
        <is>
          <t>MAT-25-006</t>
        </is>
      </c>
      <c r="B1249" s="4" t="inlineStr">
        <is>
          <t>Lavamanos, de sobreponer</t>
        </is>
      </c>
      <c r="C1249" s="7" t="inlineStr">
        <is>
          <t>unidad</t>
        </is>
      </c>
      <c r="D1249" s="8" t="n">
        <v>2085.37</v>
      </c>
      <c r="E1249" s="8" t="n">
        <v>1680</v>
      </c>
      <c r="F1249" s="8" t="n">
        <v>1398.48</v>
      </c>
      <c r="G1249" s="8" t="n">
        <v>1150</v>
      </c>
      <c r="H1249" s="8" t="n">
        <v>5000</v>
      </c>
      <c r="I1249" s="8" t="n"/>
      <c r="J1249" s="8" t="n"/>
      <c r="K1249" s="8" t="n">
        <v>1495</v>
      </c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>
        <f>IF(COUNT(D1249:U1249)=0,"",MIN(D1249:U1249))</f>
        <v/>
      </c>
      <c r="W1249" s="8">
        <f>IF(COUNT(D1249:U1249)=0,"",MEDIAN(D1249:U1249))</f>
        <v/>
      </c>
      <c r="X1249" s="8">
        <f>IF(COUNT(D1249:U1249)=0,"",MAX(D1249:U1249))</f>
        <v/>
      </c>
      <c r="Y1249" s="9">
        <f>IF(OR(V1249="",V1249=0),"",(X1249-V1249)/V1249)</f>
        <v/>
      </c>
      <c r="Z1249" s="7">
        <f>IF(COUNT(D1249:U1249)=0,"",INDEX($D$1:$U$1,MATCH(MIN(D1249:U1249),D1249:U1249,0)))</f>
        <v/>
      </c>
      <c r="AA1249" s="8" t="n">
        <v>4140.13</v>
      </c>
      <c r="AB1249" s="10" t="n">
        <v>6</v>
      </c>
    </row>
    <row r="1250">
      <c r="A1250" s="7" t="inlineStr">
        <is>
          <t>MAT-25-007</t>
        </is>
      </c>
      <c r="B1250" s="4" t="inlineStr">
        <is>
          <t>Pedestal para lavamanos</t>
        </is>
      </c>
      <c r="C1250" s="7" t="inlineStr">
        <is>
          <t>unidad</t>
        </is>
      </c>
      <c r="D1250" s="8" t="n">
        <v>891.27</v>
      </c>
      <c r="E1250" s="8" t="n"/>
      <c r="F1250" s="8" t="n"/>
      <c r="G1250" s="8" t="n"/>
      <c r="H1250" s="8" t="n">
        <v>1100</v>
      </c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>
        <f>IF(COUNT(D1250:U1250)=0,"",MIN(D1250:U1250))</f>
        <v/>
      </c>
      <c r="W1250" s="8">
        <f>IF(COUNT(D1250:U1250)=0,"",MEDIAN(D1250:U1250))</f>
        <v/>
      </c>
      <c r="X1250" s="8">
        <f>IF(COUNT(D1250:U1250)=0,"",MAX(D1250:U1250))</f>
        <v/>
      </c>
      <c r="Y1250" s="9">
        <f>IF(OR(V1250="",V1250=0),"",(X1250-V1250)/V1250)</f>
        <v/>
      </c>
      <c r="Z1250" s="7">
        <f>IF(COUNT(D1250:U1250)=0,"",INDEX($D$1:$U$1,MATCH(MIN(D1250:U1250),D1250:U1250,0)))</f>
        <v/>
      </c>
      <c r="AA1250" s="8" t="n">
        <v>2014.01</v>
      </c>
      <c r="AB1250" s="10" t="n">
        <v>2</v>
      </c>
    </row>
    <row r="1251">
      <c r="A1251" s="7" t="inlineStr">
        <is>
          <t>MAT-25-008</t>
        </is>
      </c>
      <c r="B1251" s="4" t="inlineStr">
        <is>
          <t>Palometa para lavamanos</t>
        </is>
      </c>
      <c r="C1251" s="7" t="inlineStr">
        <is>
          <t>unidad</t>
        </is>
      </c>
      <c r="D1251" s="8" t="n">
        <v>57.88</v>
      </c>
      <c r="E1251" s="8" t="n"/>
      <c r="F1251" s="8" t="n"/>
      <c r="G1251" s="8" t="n">
        <v>141</v>
      </c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>
        <f>IF(COUNT(D1251:U1251)=0,"",MIN(D1251:U1251))</f>
        <v/>
      </c>
      <c r="W1251" s="8">
        <f>IF(COUNT(D1251:U1251)=0,"",MEDIAN(D1251:U1251))</f>
        <v/>
      </c>
      <c r="X1251" s="8">
        <f>IF(COUNT(D1251:U1251)=0,"",MAX(D1251:U1251))</f>
        <v/>
      </c>
      <c r="Y1251" s="9">
        <f>IF(OR(V1251="",V1251=0),"",(X1251-V1251)/V1251)</f>
        <v/>
      </c>
      <c r="Z1251" s="7">
        <f>IF(COUNT(D1251:U1251)=0,"",INDEX($D$1:$U$1,MATCH(MIN(D1251:U1251),D1251:U1251,0)))</f>
        <v/>
      </c>
      <c r="AA1251" s="8" t="n">
        <v>80.59</v>
      </c>
      <c r="AB1251" s="10" t="n">
        <v>2</v>
      </c>
    </row>
    <row r="1252">
      <c r="A1252" s="7" t="inlineStr">
        <is>
          <t>MAT-25-009</t>
        </is>
      </c>
      <c r="B1252" s="4" t="inlineStr">
        <is>
          <t>Conector de desagüe para lavamanos</t>
        </is>
      </c>
      <c r="C1252" s="7" t="inlineStr">
        <is>
          <t>unidad</t>
        </is>
      </c>
      <c r="D1252" s="8" t="n">
        <v>255.94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>
        <f>IF(COUNT(D1252:U1252)=0,"",MIN(D1252:U1252))</f>
        <v/>
      </c>
      <c r="W1252" s="8">
        <f>IF(COUNT(D1252:U1252)=0,"",MEDIAN(D1252:U1252))</f>
        <v/>
      </c>
      <c r="X1252" s="8">
        <f>IF(COUNT(D1252:U1252)=0,"",MAX(D1252:U1252))</f>
        <v/>
      </c>
      <c r="Y1252" s="9">
        <f>IF(OR(V1252="",V1252=0),"",(X1252-V1252)/V1252)</f>
        <v/>
      </c>
      <c r="Z1252" s="7">
        <f>IF(COUNT(D1252:U1252)=0,"",INDEX($D$1:$U$1,MATCH(MIN(D1252:U1252),D1252:U1252,0)))</f>
        <v/>
      </c>
      <c r="AA1252" s="8" t="n">
        <v>255.94</v>
      </c>
      <c r="AB1252" s="10" t="n">
        <v>1</v>
      </c>
    </row>
    <row r="1253">
      <c r="A1253" s="7" t="inlineStr">
        <is>
          <t>MAT-26-001</t>
        </is>
      </c>
      <c r="B1253" s="4" t="inlineStr">
        <is>
          <t>Mueble de baño</t>
        </is>
      </c>
      <c r="C1253" s="7" t="inlineStr">
        <is>
          <t>unidad</t>
        </is>
      </c>
      <c r="D1253" s="8" t="n">
        <v>8614.57</v>
      </c>
      <c r="E1253" s="8" t="n"/>
      <c r="F1253" s="8" t="n"/>
      <c r="G1253" s="8" t="n"/>
      <c r="H1253" s="8" t="n"/>
      <c r="I1253" s="8" t="n"/>
      <c r="J1253" s="8" t="n"/>
      <c r="K1253" s="8" t="n">
        <v>6495</v>
      </c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>
        <f>IF(COUNT(D1253:U1253)=0,"",MIN(D1253:U1253))</f>
        <v/>
      </c>
      <c r="W1253" s="8">
        <f>IF(COUNT(D1253:U1253)=0,"",MEDIAN(D1253:U1253))</f>
        <v/>
      </c>
      <c r="X1253" s="8">
        <f>IF(COUNT(D1253:U1253)=0,"",MAX(D1253:U1253))</f>
        <v/>
      </c>
      <c r="Y1253" s="9">
        <f>IF(OR(V1253="",V1253=0),"",(X1253-V1253)/V1253)</f>
        <v/>
      </c>
      <c r="Z1253" s="7">
        <f>IF(COUNT(D1253:U1253)=0,"",INDEX($D$1:$U$1,MATCH(MIN(D1253:U1253),D1253:U1253,0)))</f>
        <v/>
      </c>
      <c r="AA1253" s="8" t="n">
        <v>14401.48</v>
      </c>
      <c r="AB1253" s="10" t="n">
        <v>2</v>
      </c>
    </row>
    <row r="1254">
      <c r="A1254" s="7" t="inlineStr">
        <is>
          <t>MAT-26-002</t>
        </is>
      </c>
      <c r="B1254" s="4" t="inlineStr">
        <is>
          <t>Mueble de baño, de pared</t>
        </is>
      </c>
      <c r="C1254" s="7" t="inlineStr">
        <is>
          <t>unidad</t>
        </is>
      </c>
      <c r="D1254" s="8" t="n">
        <v>5433.44</v>
      </c>
      <c r="E1254" s="8" t="n"/>
      <c r="F1254" s="8" t="n"/>
      <c r="G1254" s="8" t="n"/>
      <c r="H1254" s="8" t="n">
        <v>19500</v>
      </c>
      <c r="I1254" s="8" t="n">
        <v>13150</v>
      </c>
      <c r="J1254" s="8" t="n"/>
      <c r="K1254" s="8" t="n">
        <v>8120</v>
      </c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>
        <f>IF(COUNT(D1254:U1254)=0,"",MIN(D1254:U1254))</f>
        <v/>
      </c>
      <c r="W1254" s="8">
        <f>IF(COUNT(D1254:U1254)=0,"",MEDIAN(D1254:U1254))</f>
        <v/>
      </c>
      <c r="X1254" s="8">
        <f>IF(COUNT(D1254:U1254)=0,"",MAX(D1254:U1254))</f>
        <v/>
      </c>
      <c r="Y1254" s="9">
        <f>IF(OR(V1254="",V1254=0),"",(X1254-V1254)/V1254)</f>
        <v/>
      </c>
      <c r="Z1254" s="7">
        <f>IF(COUNT(D1254:U1254)=0,"",INDEX($D$1:$U$1,MATCH(MIN(D1254:U1254),D1254:U1254,0)))</f>
        <v/>
      </c>
      <c r="AA1254" s="8" t="n">
        <v>17169.24</v>
      </c>
      <c r="AB1254" s="10" t="n">
        <v>4</v>
      </c>
    </row>
    <row r="1255">
      <c r="A1255" s="7" t="inlineStr">
        <is>
          <t>MAT-26-003</t>
        </is>
      </c>
      <c r="B1255" s="4" t="inlineStr">
        <is>
          <t>Mueble de baño, de piso</t>
        </is>
      </c>
      <c r="C1255" s="7" t="inlineStr">
        <is>
          <t>unidad</t>
        </is>
      </c>
      <c r="D1255" s="8" t="n"/>
      <c r="E1255" s="8" t="n"/>
      <c r="F1255" s="8" t="n">
        <v>8141.3</v>
      </c>
      <c r="G1255" s="8" t="n">
        <v>21825</v>
      </c>
      <c r="H1255" s="8" t="n">
        <v>7800</v>
      </c>
      <c r="I1255" s="8" t="n">
        <v>2725</v>
      </c>
      <c r="J1255" s="8" t="n"/>
      <c r="K1255" s="8" t="n">
        <v>7012.5</v>
      </c>
      <c r="L1255" s="8" t="n"/>
      <c r="M1255" s="8" t="n"/>
      <c r="N1255" s="8" t="n">
        <v>20150</v>
      </c>
      <c r="O1255" s="8" t="n"/>
      <c r="P1255" s="8" t="n"/>
      <c r="Q1255" s="8" t="n"/>
      <c r="R1255" s="8" t="n"/>
      <c r="S1255" s="8" t="n"/>
      <c r="T1255" s="8" t="n"/>
      <c r="U1255" s="8" t="n"/>
      <c r="V1255" s="8">
        <f>IF(COUNT(D1255:U1255)=0,"",MIN(D1255:U1255))</f>
        <v/>
      </c>
      <c r="W1255" s="8">
        <f>IF(COUNT(D1255:U1255)=0,"",MEDIAN(D1255:U1255))</f>
        <v/>
      </c>
      <c r="X1255" s="8">
        <f>IF(COUNT(D1255:U1255)=0,"",MAX(D1255:U1255))</f>
        <v/>
      </c>
      <c r="Y1255" s="9">
        <f>IF(OR(V1255="",V1255=0),"",(X1255-V1255)/V1255)</f>
        <v/>
      </c>
      <c r="Z1255" s="7">
        <f>IF(COUNT(D1255:U1255)=0,"",INDEX($D$1:$U$1,MATCH(MIN(D1255:U1255),D1255:U1255,0)))</f>
        <v/>
      </c>
      <c r="AA1255" s="8" t="n">
        <v>24588.58</v>
      </c>
      <c r="AB1255" s="10" t="n">
        <v>6</v>
      </c>
    </row>
    <row r="1256">
      <c r="A1256" s="7" t="inlineStr">
        <is>
          <t>MAT-26-004</t>
        </is>
      </c>
      <c r="B1256" s="4" t="inlineStr">
        <is>
          <t>Botiquín de baño</t>
        </is>
      </c>
      <c r="C1256" s="7" t="inlineStr">
        <is>
          <t>unidad</t>
        </is>
      </c>
      <c r="D1256" s="8" t="n">
        <v>725.87</v>
      </c>
      <c r="E1256" s="8" t="n"/>
      <c r="F1256" s="8" t="n"/>
      <c r="G1256" s="8" t="n">
        <v>2775</v>
      </c>
      <c r="H1256" s="8" t="n"/>
      <c r="I1256" s="8" t="n"/>
      <c r="J1256" s="8" t="n"/>
      <c r="K1256" s="8" t="n">
        <v>995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>
        <f>IF(COUNT(D1256:U1256)=0,"",MIN(D1256:U1256))</f>
        <v/>
      </c>
      <c r="W1256" s="8">
        <f>IF(COUNT(D1256:U1256)=0,"",MEDIAN(D1256:U1256))</f>
        <v/>
      </c>
      <c r="X1256" s="8">
        <f>IF(COUNT(D1256:U1256)=0,"",MAX(D1256:U1256))</f>
        <v/>
      </c>
      <c r="Y1256" s="9">
        <f>IF(OR(V1256="",V1256=0),"",(X1256-V1256)/V1256)</f>
        <v/>
      </c>
      <c r="Z1256" s="7">
        <f>IF(COUNT(D1256:U1256)=0,"",INDEX($D$1:$U$1,MATCH(MIN(D1256:U1256),D1256:U1256,0)))</f>
        <v/>
      </c>
      <c r="AA1256" s="8" t="n">
        <v>1481</v>
      </c>
      <c r="AB1256" s="10" t="n">
        <v>3</v>
      </c>
    </row>
    <row r="1257">
      <c r="A1257" s="7" t="inlineStr">
        <is>
          <t>MAT-26-005</t>
        </is>
      </c>
      <c r="B1257" s="4" t="inlineStr">
        <is>
          <t>Botiquín de baño, con luz LED</t>
        </is>
      </c>
      <c r="C1257" s="7" t="inlineStr">
        <is>
          <t>unidad</t>
        </is>
      </c>
      <c r="D1257" s="8" t="n">
        <v>10320.96</v>
      </c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>
        <f>IF(COUNT(D1257:U1257)=0,"",MIN(D1257:U1257))</f>
        <v/>
      </c>
      <c r="W1257" s="8">
        <f>IF(COUNT(D1257:U1257)=0,"",MEDIAN(D1257:U1257))</f>
        <v/>
      </c>
      <c r="X1257" s="8">
        <f>IF(COUNT(D1257:U1257)=0,"",MAX(D1257:U1257))</f>
        <v/>
      </c>
      <c r="Y1257" s="9">
        <f>IF(OR(V1257="",V1257=0),"",(X1257-V1257)/V1257)</f>
        <v/>
      </c>
      <c r="Z1257" s="7">
        <f>IF(COUNT(D1257:U1257)=0,"",INDEX($D$1:$U$1,MATCH(MIN(D1257:U1257),D1257:U1257,0)))</f>
        <v/>
      </c>
      <c r="AA1257" s="8" t="n">
        <v>15456.85</v>
      </c>
      <c r="AB1257" s="10" t="n">
        <v>1</v>
      </c>
    </row>
    <row r="1258">
      <c r="A1258" s="7" t="inlineStr">
        <is>
          <t>MAT-26-006</t>
        </is>
      </c>
      <c r="B1258" s="4" t="inlineStr">
        <is>
          <t>Espejo de baño</t>
        </is>
      </c>
      <c r="C1258" s="7" t="inlineStr">
        <is>
          <t>unidad</t>
        </is>
      </c>
      <c r="D1258" s="8" t="n">
        <v>1210.04</v>
      </c>
      <c r="E1258" s="8" t="n"/>
      <c r="F1258" s="8" t="n">
        <v>1351.45</v>
      </c>
      <c r="G1258" s="8" t="n"/>
      <c r="H1258" s="8" t="n">
        <v>1490</v>
      </c>
      <c r="I1258" s="8" t="n"/>
      <c r="J1258" s="8" t="n"/>
      <c r="K1258" s="8" t="n">
        <v>665</v>
      </c>
      <c r="L1258" s="8" t="n"/>
      <c r="M1258" s="8" t="n"/>
      <c r="N1258" s="8" t="n">
        <v>9250</v>
      </c>
      <c r="O1258" s="8" t="n"/>
      <c r="P1258" s="8" t="n"/>
      <c r="Q1258" s="8" t="n"/>
      <c r="R1258" s="8" t="n"/>
      <c r="S1258" s="8" t="n"/>
      <c r="T1258" s="8" t="n"/>
      <c r="U1258" s="8" t="n"/>
      <c r="V1258" s="8">
        <f>IF(COUNT(D1258:U1258)=0,"",MIN(D1258:U1258))</f>
        <v/>
      </c>
      <c r="W1258" s="8">
        <f>IF(COUNT(D1258:U1258)=0,"",MEDIAN(D1258:U1258))</f>
        <v/>
      </c>
      <c r="X1258" s="8">
        <f>IF(COUNT(D1258:U1258)=0,"",MAX(D1258:U1258))</f>
        <v/>
      </c>
      <c r="Y1258" s="9">
        <f>IF(OR(V1258="",V1258=0),"",(X1258-V1258)/V1258)</f>
        <v/>
      </c>
      <c r="Z1258" s="7">
        <f>IF(COUNT(D1258:U1258)=0,"",INDEX($D$1:$U$1,MATCH(MIN(D1258:U1258),D1258:U1258,0)))</f>
        <v/>
      </c>
      <c r="AA1258" s="8" t="n">
        <v>2319.01</v>
      </c>
      <c r="AB1258" s="10" t="n">
        <v>5</v>
      </c>
    </row>
    <row r="1259">
      <c r="A1259" s="7" t="inlineStr">
        <is>
          <t>MAT-26-007</t>
        </is>
      </c>
      <c r="B1259" s="4" t="inlineStr">
        <is>
          <t>Espejo de baño, con luz LED</t>
        </is>
      </c>
      <c r="C1259" s="7" t="inlineStr">
        <is>
          <t>unidad</t>
        </is>
      </c>
      <c r="D1259" s="8" t="n">
        <v>4270.75</v>
      </c>
      <c r="E1259" s="8" t="n"/>
      <c r="F1259" s="8" t="n">
        <v>5123.51</v>
      </c>
      <c r="G1259" s="8" t="n"/>
      <c r="H1259" s="8" t="n">
        <v>4900</v>
      </c>
      <c r="I1259" s="8" t="n">
        <v>2035</v>
      </c>
      <c r="J1259" s="8" t="n"/>
      <c r="K1259" s="8" t="n">
        <v>1795</v>
      </c>
      <c r="L1259" s="8" t="n"/>
      <c r="M1259" s="8" t="n"/>
      <c r="N1259" s="8" t="n">
        <v>40600</v>
      </c>
      <c r="O1259" s="8" t="n"/>
      <c r="P1259" s="8" t="n"/>
      <c r="Q1259" s="8" t="n"/>
      <c r="R1259" s="8" t="n"/>
      <c r="S1259" s="8" t="n"/>
      <c r="T1259" s="8" t="n"/>
      <c r="U1259" s="8" t="n"/>
      <c r="V1259" s="8">
        <f>IF(COUNT(D1259:U1259)=0,"",MIN(D1259:U1259))</f>
        <v/>
      </c>
      <c r="W1259" s="8">
        <f>IF(COUNT(D1259:U1259)=0,"",MEDIAN(D1259:U1259))</f>
        <v/>
      </c>
      <c r="X1259" s="8">
        <f>IF(COUNT(D1259:U1259)=0,"",MAX(D1259:U1259))</f>
        <v/>
      </c>
      <c r="Y1259" s="9">
        <f>IF(OR(V1259="",V1259=0),"",(X1259-V1259)/V1259)</f>
        <v/>
      </c>
      <c r="Z1259" s="7">
        <f>IF(COUNT(D1259:U1259)=0,"",INDEX($D$1:$U$1,MATCH(MIN(D1259:U1259),D1259:U1259,0)))</f>
        <v/>
      </c>
      <c r="AA1259" s="8" t="n">
        <v>8043.53</v>
      </c>
      <c r="AB1259" s="10" t="n">
        <v>6</v>
      </c>
    </row>
    <row r="1260">
      <c r="A1260" s="7" t="inlineStr">
        <is>
          <t>MAT-26-008</t>
        </is>
      </c>
      <c r="B1260" s="4" t="inlineStr">
        <is>
          <t>Cabina o panel de ducha</t>
        </is>
      </c>
      <c r="C1260" s="7" t="inlineStr">
        <is>
          <t>unidad</t>
        </is>
      </c>
      <c r="D1260" s="8" t="n"/>
      <c r="E1260" s="8" t="n"/>
      <c r="F1260" s="8" t="n">
        <v>14364.41</v>
      </c>
      <c r="G1260" s="8" t="n"/>
      <c r="H1260" s="8" t="n">
        <v>8900</v>
      </c>
      <c r="I1260" s="8" t="n"/>
      <c r="J1260" s="8" t="n"/>
      <c r="K1260" s="8" t="n">
        <v>3118.5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>
        <f>IF(COUNT(D1260:U1260)=0,"",MIN(D1260:U1260))</f>
        <v/>
      </c>
      <c r="W1260" s="8">
        <f>IF(COUNT(D1260:U1260)=0,"",MEDIAN(D1260:U1260))</f>
        <v/>
      </c>
      <c r="X1260" s="8">
        <f>IF(COUNT(D1260:U1260)=0,"",MAX(D1260:U1260))</f>
        <v/>
      </c>
      <c r="Y1260" s="9">
        <f>IF(OR(V1260="",V1260=0),"",(X1260-V1260)/V1260)</f>
        <v/>
      </c>
      <c r="Z1260" s="7">
        <f>IF(COUNT(D1260:U1260)=0,"",INDEX($D$1:$U$1,MATCH(MIN(D1260:U1260),D1260:U1260,0)))</f>
        <v/>
      </c>
      <c r="AA1260" s="8" t="n">
        <v>6079</v>
      </c>
      <c r="AB1260" s="10" t="n">
        <v>3</v>
      </c>
    </row>
    <row r="1261">
      <c r="A1261" s="7" t="inlineStr">
        <is>
          <t>MAT-26-009</t>
        </is>
      </c>
      <c r="B1261" s="4" t="inlineStr">
        <is>
          <t>Bañera</t>
        </is>
      </c>
      <c r="C1261" s="7" t="inlineStr">
        <is>
          <t>unidad</t>
        </is>
      </c>
      <c r="D1261" s="8" t="n"/>
      <c r="E1261" s="8" t="n">
        <v>9469</v>
      </c>
      <c r="F1261" s="8" t="n">
        <v>43840</v>
      </c>
      <c r="G1261" s="8" t="n"/>
      <c r="H1261" s="8" t="n">
        <v>14250</v>
      </c>
      <c r="I1261" s="8" t="n"/>
      <c r="J1261" s="8" t="n"/>
      <c r="K1261" s="8" t="n"/>
      <c r="L1261" s="8" t="n"/>
      <c r="M1261" s="8" t="n"/>
      <c r="N1261" s="8" t="n">
        <v>213400</v>
      </c>
      <c r="O1261" s="8" t="n"/>
      <c r="P1261" s="8" t="n"/>
      <c r="Q1261" s="8" t="n"/>
      <c r="R1261" s="8" t="n"/>
      <c r="S1261" s="8" t="n"/>
      <c r="T1261" s="8" t="n"/>
      <c r="U1261" s="8" t="n"/>
      <c r="V1261" s="8">
        <f>IF(COUNT(D1261:U1261)=0,"",MIN(D1261:U1261))</f>
        <v/>
      </c>
      <c r="W1261" s="8">
        <f>IF(COUNT(D1261:U1261)=0,"",MEDIAN(D1261:U1261))</f>
        <v/>
      </c>
      <c r="X1261" s="8">
        <f>IF(COUNT(D1261:U1261)=0,"",MAX(D1261:U1261))</f>
        <v/>
      </c>
      <c r="Y1261" s="9">
        <f>IF(OR(V1261="",V1261=0),"",(X1261-V1261)/V1261)</f>
        <v/>
      </c>
      <c r="Z1261" s="7">
        <f>IF(COUNT(D1261:U1261)=0,"",INDEX($D$1:$U$1,MATCH(MIN(D1261:U1261),D1261:U1261,0)))</f>
        <v/>
      </c>
      <c r="AA1261" s="8" t="n">
        <v>99104.78999999999</v>
      </c>
      <c r="AB1261" s="10" t="n">
        <v>4</v>
      </c>
    </row>
    <row r="1262">
      <c r="A1262" s="7" t="inlineStr">
        <is>
          <t>MAT-26-010</t>
        </is>
      </c>
      <c r="B1262" s="4" t="inlineStr">
        <is>
          <t>Plato de ducha</t>
        </is>
      </c>
      <c r="C1262" s="7" t="inlineStr">
        <is>
          <t>unidad</t>
        </is>
      </c>
      <c r="D1262" s="8" t="n"/>
      <c r="E1262" s="8" t="n"/>
      <c r="F1262" s="8" t="n">
        <v>14956.2</v>
      </c>
      <c r="G1262" s="8" t="n"/>
      <c r="H1262" s="8" t="n">
        <v>14999.99</v>
      </c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>
        <f>IF(COUNT(D1262:U1262)=0,"",MIN(D1262:U1262))</f>
        <v/>
      </c>
      <c r="W1262" s="8">
        <f>IF(COUNT(D1262:U1262)=0,"",MEDIAN(D1262:U1262))</f>
        <v/>
      </c>
      <c r="X1262" s="8">
        <f>IF(COUNT(D1262:U1262)=0,"",MAX(D1262:U1262))</f>
        <v/>
      </c>
      <c r="Y1262" s="9">
        <f>IF(OR(V1262="",V1262=0),"",(X1262-V1262)/V1262)</f>
        <v/>
      </c>
      <c r="Z1262" s="7">
        <f>IF(COUNT(D1262:U1262)=0,"",INDEX($D$1:$U$1,MATCH(MIN(D1262:U1262),D1262:U1262,0)))</f>
        <v/>
      </c>
      <c r="AA1262" s="8" t="n">
        <v>19278.36</v>
      </c>
      <c r="AB1262" s="10" t="n">
        <v>2</v>
      </c>
    </row>
    <row r="1263">
      <c r="A1263" s="7" t="inlineStr">
        <is>
          <t>MAT-27-001</t>
        </is>
      </c>
      <c r="B1263" s="4" t="inlineStr">
        <is>
          <t>Barra de seguridad, abatible, 20 cm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/>
      <c r="K1263" s="8" t="n">
        <v>2439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>
        <f>IF(COUNT(D1263:U1263)=0,"",MIN(D1263:U1263))</f>
        <v/>
      </c>
      <c r="W1263" s="8">
        <f>IF(COUNT(D1263:U1263)=0,"",MEDIAN(D1263:U1263))</f>
        <v/>
      </c>
      <c r="X1263" s="8">
        <f>IF(COUNT(D1263:U1263)=0,"",MAX(D1263:U1263))</f>
        <v/>
      </c>
      <c r="Y1263" s="9">
        <f>IF(OR(V1263="",V1263=0),"",(X1263-V1263)/V1263)</f>
        <v/>
      </c>
      <c r="Z1263" s="7">
        <f>IF(COUNT(D1263:U1263)=0,"",INDEX($D$1:$U$1,MATCH(MIN(D1263:U1263),D1263:U1263,0)))</f>
        <v/>
      </c>
      <c r="AA1263" s="8" t="n">
        <v>2439</v>
      </c>
      <c r="AB1263" s="10" t="n">
        <v>1</v>
      </c>
    </row>
    <row r="1264">
      <c r="A1264" s="7" t="inlineStr">
        <is>
          <t>MAT-27-002</t>
        </is>
      </c>
      <c r="B1264" s="4" t="inlineStr">
        <is>
          <t>Barra de seguridad, curva</t>
        </is>
      </c>
      <c r="C1264" s="7" t="inlineStr">
        <is>
          <t>unidad</t>
        </is>
      </c>
      <c r="D1264" s="8" t="n">
        <v>1416.67</v>
      </c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 t="n"/>
      <c r="U1264" s="8" t="n"/>
      <c r="V1264" s="8">
        <f>IF(COUNT(D1264:U1264)=0,"",MIN(D1264:U1264))</f>
        <v/>
      </c>
      <c r="W1264" s="8">
        <f>IF(COUNT(D1264:U1264)=0,"",MEDIAN(D1264:U1264))</f>
        <v/>
      </c>
      <c r="X1264" s="8">
        <f>IF(COUNT(D1264:U1264)=0,"",MAX(D1264:U1264))</f>
        <v/>
      </c>
      <c r="Y1264" s="9">
        <f>IF(OR(V1264="",V1264=0),"",(X1264-V1264)/V1264)</f>
        <v/>
      </c>
      <c r="Z1264" s="7">
        <f>IF(COUNT(D1264:U1264)=0,"",INDEX($D$1:$U$1,MATCH(MIN(D1264:U1264),D1264:U1264,0)))</f>
        <v/>
      </c>
      <c r="AA1264" s="8" t="n">
        <v>1416.67</v>
      </c>
      <c r="AB1264" s="10" t="n">
        <v>1</v>
      </c>
    </row>
    <row r="1265">
      <c r="A1265" s="7" t="inlineStr">
        <is>
          <t>MAT-27-003</t>
        </is>
      </c>
      <c r="B1265" s="4" t="inlineStr">
        <is>
          <t>Barra de seguridad, en L, 30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1200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>
        <f>IF(COUNT(D1265:U1265)=0,"",MIN(D1265:U1265))</f>
        <v/>
      </c>
      <c r="W1265" s="8">
        <f>IF(COUNT(D1265:U1265)=0,"",MEDIAN(D1265:U1265))</f>
        <v/>
      </c>
      <c r="X1265" s="8">
        <f>IF(COUNT(D1265:U1265)=0,"",MAX(D1265:U1265))</f>
        <v/>
      </c>
      <c r="Y1265" s="9">
        <f>IF(OR(V1265="",V1265=0),"",(X1265-V1265)/V1265)</f>
        <v/>
      </c>
      <c r="Z1265" s="7">
        <f>IF(COUNT(D1265:U1265)=0,"",INDEX($D$1:$U$1,MATCH(MIN(D1265:U1265),D1265:U1265,0)))</f>
        <v/>
      </c>
      <c r="AA1265" s="8" t="n">
        <v>1200</v>
      </c>
      <c r="AB1265" s="10" t="n">
        <v>1</v>
      </c>
    </row>
    <row r="1266">
      <c r="A1266" s="7" t="inlineStr">
        <is>
          <t>MAT-27-004</t>
        </is>
      </c>
      <c r="B1266" s="4" t="inlineStr">
        <is>
          <t>Barra de seguridad, en L, 45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925</v>
      </c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>
        <f>IF(COUNT(D1266:U1266)=0,"",MIN(D1266:U1266))</f>
        <v/>
      </c>
      <c r="W1266" s="8">
        <f>IF(COUNT(D1266:U1266)=0,"",MEDIAN(D1266:U1266))</f>
        <v/>
      </c>
      <c r="X1266" s="8">
        <f>IF(COUNT(D1266:U1266)=0,"",MAX(D1266:U1266))</f>
        <v/>
      </c>
      <c r="Y1266" s="9">
        <f>IF(OR(V1266="",V1266=0),"",(X1266-V1266)/V1266)</f>
        <v/>
      </c>
      <c r="Z1266" s="7">
        <f>IF(COUNT(D1266:U1266)=0,"",INDEX($D$1:$U$1,MATCH(MIN(D1266:U1266),D1266:U1266,0)))</f>
        <v/>
      </c>
      <c r="AA1266" s="8" t="n">
        <v>925</v>
      </c>
      <c r="AB1266" s="10" t="n">
        <v>1</v>
      </c>
    </row>
    <row r="1267">
      <c r="A1267" s="7" t="inlineStr">
        <is>
          <t>MAT-27-005</t>
        </is>
      </c>
      <c r="B1267" s="4" t="inlineStr">
        <is>
          <t>Barra de seguridad, en L, 55 cm</t>
        </is>
      </c>
      <c r="C1267" s="7" t="inlineStr">
        <is>
          <t>unidad</t>
        </is>
      </c>
      <c r="D1267" s="8" t="n"/>
      <c r="E1267" s="8" t="n"/>
      <c r="F1267" s="8" t="n"/>
      <c r="G1267" s="8" t="n"/>
      <c r="H1267" s="8" t="n"/>
      <c r="I1267" s="8" t="n"/>
      <c r="J1267" s="8" t="n"/>
      <c r="K1267" s="8" t="n">
        <v>2619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>
        <f>IF(COUNT(D1267:U1267)=0,"",MIN(D1267:U1267))</f>
        <v/>
      </c>
      <c r="W1267" s="8">
        <f>IF(COUNT(D1267:U1267)=0,"",MEDIAN(D1267:U1267))</f>
        <v/>
      </c>
      <c r="X1267" s="8">
        <f>IF(COUNT(D1267:U1267)=0,"",MAX(D1267:U1267))</f>
        <v/>
      </c>
      <c r="Y1267" s="9">
        <f>IF(OR(V1267="",V1267=0),"",(X1267-V1267)/V1267)</f>
        <v/>
      </c>
      <c r="Z1267" s="7">
        <f>IF(COUNT(D1267:U1267)=0,"",INDEX($D$1:$U$1,MATCH(MIN(D1267:U1267),D1267:U1267,0)))</f>
        <v/>
      </c>
      <c r="AA1267" s="8" t="n">
        <v>2619</v>
      </c>
      <c r="AB1267" s="10" t="n">
        <v>1</v>
      </c>
    </row>
    <row r="1268">
      <c r="A1268" s="7" t="inlineStr">
        <is>
          <t>MAT-27-006</t>
        </is>
      </c>
      <c r="B1268" s="4" t="inlineStr">
        <is>
          <t>Barra de seguridad, en L, 75 cm</t>
        </is>
      </c>
      <c r="C1268" s="7" t="inlineStr">
        <is>
          <t>unidad</t>
        </is>
      </c>
      <c r="D1268" s="8" t="n"/>
      <c r="E1268" s="8" t="n"/>
      <c r="F1268" s="8" t="n">
        <v>4786.74</v>
      </c>
      <c r="G1268" s="8" t="n"/>
      <c r="H1268" s="8" t="n"/>
      <c r="I1268" s="8" t="n"/>
      <c r="J1268" s="8" t="n"/>
      <c r="K1268" s="8" t="n">
        <v>6294</v>
      </c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>
        <f>IF(COUNT(D1268:U1268)=0,"",MIN(D1268:U1268))</f>
        <v/>
      </c>
      <c r="W1268" s="8">
        <f>IF(COUNT(D1268:U1268)=0,"",MEDIAN(D1268:U1268))</f>
        <v/>
      </c>
      <c r="X1268" s="8">
        <f>IF(COUNT(D1268:U1268)=0,"",MAX(D1268:U1268))</f>
        <v/>
      </c>
      <c r="Y1268" s="9">
        <f>IF(OR(V1268="",V1268=0),"",(X1268-V1268)/V1268)</f>
        <v/>
      </c>
      <c r="Z1268" s="7">
        <f>IF(COUNT(D1268:U1268)=0,"",INDEX($D$1:$U$1,MATCH(MIN(D1268:U1268),D1268:U1268,0)))</f>
        <v/>
      </c>
      <c r="AA1268" s="8" t="n">
        <v>6294</v>
      </c>
      <c r="AB1268" s="10" t="n">
        <v>2</v>
      </c>
    </row>
    <row r="1269">
      <c r="A1269" s="7" t="inlineStr">
        <is>
          <t>MAT-27-007</t>
        </is>
      </c>
      <c r="B1269" s="4" t="inlineStr">
        <is>
          <t>Barra de seguridad, recta</t>
        </is>
      </c>
      <c r="C1269" s="7" t="inlineStr">
        <is>
          <t>unidad</t>
        </is>
      </c>
      <c r="D1269" s="8" t="n">
        <v>3022.13</v>
      </c>
      <c r="E1269" s="8" t="n"/>
      <c r="F1269" s="8" t="n"/>
      <c r="G1269" s="8" t="n"/>
      <c r="H1269" s="8" t="n"/>
      <c r="I1269" s="8" t="n">
        <v>1615</v>
      </c>
      <c r="J1269" s="8" t="n"/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>
        <f>IF(COUNT(D1269:U1269)=0,"",MIN(D1269:U1269))</f>
        <v/>
      </c>
      <c r="W1269" s="8">
        <f>IF(COUNT(D1269:U1269)=0,"",MEDIAN(D1269:U1269))</f>
        <v/>
      </c>
      <c r="X1269" s="8">
        <f>IF(COUNT(D1269:U1269)=0,"",MAX(D1269:U1269))</f>
        <v/>
      </c>
      <c r="Y1269" s="9">
        <f>IF(OR(V1269="",V1269=0),"",(X1269-V1269)/V1269)</f>
        <v/>
      </c>
      <c r="Z1269" s="7">
        <f>IF(COUNT(D1269:U1269)=0,"",INDEX($D$1:$U$1,MATCH(MIN(D1269:U1269),D1269:U1269,0)))</f>
        <v/>
      </c>
      <c r="AA1269" s="8" t="n">
        <v>1940</v>
      </c>
      <c r="AB1269" s="10" t="n">
        <v>2</v>
      </c>
    </row>
    <row r="1270">
      <c r="A1270" s="7" t="inlineStr">
        <is>
          <t>MAT-27-008</t>
        </is>
      </c>
      <c r="B1270" s="4" t="inlineStr">
        <is>
          <t>Barra de seguridad, recta, 105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2750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>
        <f>IF(COUNT(D1270:U1270)=0,"",MIN(D1270:U1270))</f>
        <v/>
      </c>
      <c r="W1270" s="8">
        <f>IF(COUNT(D1270:U1270)=0,"",MEDIAN(D1270:U1270))</f>
        <v/>
      </c>
      <c r="X1270" s="8">
        <f>IF(COUNT(D1270:U1270)=0,"",MAX(D1270:U1270))</f>
        <v/>
      </c>
      <c r="Y1270" s="9">
        <f>IF(OR(V1270="",V1270=0),"",(X1270-V1270)/V1270)</f>
        <v/>
      </c>
      <c r="Z1270" s="7">
        <f>IF(COUNT(D1270:U1270)=0,"",INDEX($D$1:$U$1,MATCH(MIN(D1270:U1270),D1270:U1270,0)))</f>
        <v/>
      </c>
      <c r="AA1270" s="8" t="n">
        <v>2750</v>
      </c>
      <c r="AB1270" s="10" t="n">
        <v>1</v>
      </c>
    </row>
    <row r="1271">
      <c r="A1271" s="7" t="inlineStr">
        <is>
          <t>MAT-27-009</t>
        </is>
      </c>
      <c r="B1271" s="4" t="inlineStr">
        <is>
          <t>Barra de seguridad, recta, 120 cm</t>
        </is>
      </c>
      <c r="C1271" s="7" t="inlineStr">
        <is>
          <t>unidad</t>
        </is>
      </c>
      <c r="D1271" s="8" t="n"/>
      <c r="E1271" s="8" t="n"/>
      <c r="F1271" s="8" t="n"/>
      <c r="G1271" s="8" t="n"/>
      <c r="H1271" s="8" t="n"/>
      <c r="I1271" s="8" t="n"/>
      <c r="J1271" s="8" t="n"/>
      <c r="K1271" s="8" t="n">
        <v>3092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>
        <f>IF(COUNT(D1271:U1271)=0,"",MIN(D1271:U1271))</f>
        <v/>
      </c>
      <c r="W1271" s="8">
        <f>IF(COUNT(D1271:U1271)=0,"",MEDIAN(D1271:U1271))</f>
        <v/>
      </c>
      <c r="X1271" s="8">
        <f>IF(COUNT(D1271:U1271)=0,"",MAX(D1271:U1271))</f>
        <v/>
      </c>
      <c r="Y1271" s="9">
        <f>IF(OR(V1271="",V1271=0),"",(X1271-V1271)/V1271)</f>
        <v/>
      </c>
      <c r="Z1271" s="7">
        <f>IF(COUNT(D1271:U1271)=0,"",INDEX($D$1:$U$1,MATCH(MIN(D1271:U1271),D1271:U1271,0)))</f>
        <v/>
      </c>
      <c r="AA1271" s="8" t="n">
        <v>3092</v>
      </c>
      <c r="AB1271" s="10" t="n">
        <v>1</v>
      </c>
    </row>
    <row r="1272">
      <c r="A1272" s="7" t="inlineStr">
        <is>
          <t>MAT-27-010</t>
        </is>
      </c>
      <c r="B1272" s="4" t="inlineStr">
        <is>
          <t>Barra de seguridad, recta, 30 cm</t>
        </is>
      </c>
      <c r="C1272" s="7" t="inlineStr">
        <is>
          <t>unidad</t>
        </is>
      </c>
      <c r="D1272" s="8" t="n">
        <v>3007.09</v>
      </c>
      <c r="E1272" s="8" t="n"/>
      <c r="F1272" s="8" t="n">
        <v>1530</v>
      </c>
      <c r="G1272" s="8" t="n"/>
      <c r="H1272" s="8" t="n"/>
      <c r="I1272" s="8" t="n"/>
      <c r="J1272" s="8" t="n"/>
      <c r="K1272" s="8" t="n">
        <v>1200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>
        <f>IF(COUNT(D1272:U1272)=0,"",MIN(D1272:U1272))</f>
        <v/>
      </c>
      <c r="W1272" s="8">
        <f>IF(COUNT(D1272:U1272)=0,"",MEDIAN(D1272:U1272))</f>
        <v/>
      </c>
      <c r="X1272" s="8">
        <f>IF(COUNT(D1272:U1272)=0,"",MAX(D1272:U1272))</f>
        <v/>
      </c>
      <c r="Y1272" s="9">
        <f>IF(OR(V1272="",V1272=0),"",(X1272-V1272)/V1272)</f>
        <v/>
      </c>
      <c r="Z1272" s="7">
        <f>IF(COUNT(D1272:U1272)=0,"",INDEX($D$1:$U$1,MATCH(MIN(D1272:U1272),D1272:U1272,0)))</f>
        <v/>
      </c>
      <c r="AA1272" s="8" t="n">
        <v>1805.4</v>
      </c>
      <c r="AB1272" s="10" t="n">
        <v>3</v>
      </c>
    </row>
    <row r="1273">
      <c r="A1273" s="7" t="inlineStr">
        <is>
          <t>MAT-27-011</t>
        </is>
      </c>
      <c r="B1273" s="4" t="inlineStr">
        <is>
          <t>Barra de seguridad, recta, 40 cm</t>
        </is>
      </c>
      <c r="C1273" s="7" t="inlineStr">
        <is>
          <t>unidad</t>
        </is>
      </c>
      <c r="D1273" s="8" t="n">
        <v>1176.96</v>
      </c>
      <c r="E1273" s="8" t="n"/>
      <c r="F1273" s="8" t="n"/>
      <c r="G1273" s="8" t="n"/>
      <c r="H1273" s="8" t="n"/>
      <c r="I1273" s="8" t="n"/>
      <c r="J1273" s="8" t="n"/>
      <c r="K1273" s="8" t="n">
        <v>675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>
        <f>IF(COUNT(D1273:U1273)=0,"",MIN(D1273:U1273))</f>
        <v/>
      </c>
      <c r="W1273" s="8">
        <f>IF(COUNT(D1273:U1273)=0,"",MEDIAN(D1273:U1273))</f>
        <v/>
      </c>
      <c r="X1273" s="8">
        <f>IF(COUNT(D1273:U1273)=0,"",MAX(D1273:U1273))</f>
        <v/>
      </c>
      <c r="Y1273" s="9">
        <f>IF(OR(V1273="",V1273=0),"",(X1273-V1273)/V1273)</f>
        <v/>
      </c>
      <c r="Z1273" s="7">
        <f>IF(COUNT(D1273:U1273)=0,"",INDEX($D$1:$U$1,MATCH(MIN(D1273:U1273),D1273:U1273,0)))</f>
        <v/>
      </c>
      <c r="AA1273" s="8" t="n">
        <v>925.98</v>
      </c>
      <c r="AB1273" s="10" t="n">
        <v>2</v>
      </c>
    </row>
    <row r="1274">
      <c r="A1274" s="7" t="inlineStr">
        <is>
          <t>MAT-27-012</t>
        </is>
      </c>
      <c r="B1274" s="4" t="inlineStr">
        <is>
          <t>Barra de seguridad, recta, 45 cm</t>
        </is>
      </c>
      <c r="C1274" s="7" t="inlineStr">
        <is>
          <t>unidad</t>
        </is>
      </c>
      <c r="D1274" s="8" t="n"/>
      <c r="E1274" s="8" t="n"/>
      <c r="F1274" s="8" t="n"/>
      <c r="G1274" s="8" t="n"/>
      <c r="H1274" s="8" t="n"/>
      <c r="I1274" s="8" t="n"/>
      <c r="J1274" s="8" t="n"/>
      <c r="K1274" s="8" t="n">
        <v>1595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>
        <f>IF(COUNT(D1274:U1274)=0,"",MIN(D1274:U1274))</f>
        <v/>
      </c>
      <c r="W1274" s="8">
        <f>IF(COUNT(D1274:U1274)=0,"",MEDIAN(D1274:U1274))</f>
        <v/>
      </c>
      <c r="X1274" s="8">
        <f>IF(COUNT(D1274:U1274)=0,"",MAX(D1274:U1274))</f>
        <v/>
      </c>
      <c r="Y1274" s="9">
        <f>IF(OR(V1274="",V1274=0),"",(X1274-V1274)/V1274)</f>
        <v/>
      </c>
      <c r="Z1274" s="7">
        <f>IF(COUNT(D1274:U1274)=0,"",INDEX($D$1:$U$1,MATCH(MIN(D1274:U1274),D1274:U1274,0)))</f>
        <v/>
      </c>
      <c r="AA1274" s="8" t="n">
        <v>1665</v>
      </c>
      <c r="AB1274" s="10" t="n">
        <v>1</v>
      </c>
    </row>
    <row r="1275">
      <c r="A1275" s="7" t="inlineStr">
        <is>
          <t>MAT-27-013</t>
        </is>
      </c>
      <c r="B1275" s="4" t="inlineStr">
        <is>
          <t>Barra de seguridad, recta, 50 cm</t>
        </is>
      </c>
      <c r="C1275" s="7" t="inlineStr">
        <is>
          <t>unidad</t>
        </is>
      </c>
      <c r="D1275" s="8" t="n">
        <v>1522.47</v>
      </c>
      <c r="E1275" s="8" t="n"/>
      <c r="F1275" s="8" t="n"/>
      <c r="G1275" s="8" t="n"/>
      <c r="H1275" s="8" t="n"/>
      <c r="I1275" s="8" t="n"/>
      <c r="J1275" s="8" t="n"/>
      <c r="K1275" s="8" t="n">
        <v>745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>
        <f>IF(COUNT(D1275:U1275)=0,"",MIN(D1275:U1275))</f>
        <v/>
      </c>
      <c r="W1275" s="8">
        <f>IF(COUNT(D1275:U1275)=0,"",MEDIAN(D1275:U1275))</f>
        <v/>
      </c>
      <c r="X1275" s="8">
        <f>IF(COUNT(D1275:U1275)=0,"",MAX(D1275:U1275))</f>
        <v/>
      </c>
      <c r="Y1275" s="9">
        <f>IF(OR(V1275="",V1275=0),"",(X1275-V1275)/V1275)</f>
        <v/>
      </c>
      <c r="Z1275" s="7">
        <f>IF(COUNT(D1275:U1275)=0,"",INDEX($D$1:$U$1,MATCH(MIN(D1275:U1275),D1275:U1275,0)))</f>
        <v/>
      </c>
      <c r="AA1275" s="8" t="n">
        <v>1195</v>
      </c>
      <c r="AB1275" s="10" t="n">
        <v>2</v>
      </c>
    </row>
    <row r="1276">
      <c r="A1276" s="7" t="inlineStr">
        <is>
          <t>MAT-27-014</t>
        </is>
      </c>
      <c r="B1276" s="4" t="inlineStr">
        <is>
          <t>Barra de seguridad, recta, 60 cm</t>
        </is>
      </c>
      <c r="C1276" s="7" t="inlineStr">
        <is>
          <t>unidad</t>
        </is>
      </c>
      <c r="D1276" s="8" t="n">
        <v>3297.37</v>
      </c>
      <c r="E1276" s="8" t="n"/>
      <c r="F1276" s="8" t="n"/>
      <c r="G1276" s="8" t="n"/>
      <c r="H1276" s="8" t="n"/>
      <c r="I1276" s="8" t="n"/>
      <c r="J1276" s="8" t="n"/>
      <c r="K1276" s="8" t="n">
        <v>1869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>
        <f>IF(COUNT(D1276:U1276)=0,"",MIN(D1276:U1276))</f>
        <v/>
      </c>
      <c r="W1276" s="8">
        <f>IF(COUNT(D1276:U1276)=0,"",MEDIAN(D1276:U1276))</f>
        <v/>
      </c>
      <c r="X1276" s="8">
        <f>IF(COUNT(D1276:U1276)=0,"",MAX(D1276:U1276))</f>
        <v/>
      </c>
      <c r="Y1276" s="9">
        <f>IF(OR(V1276="",V1276=0),"",(X1276-V1276)/V1276)</f>
        <v/>
      </c>
      <c r="Z1276" s="7">
        <f>IF(COUNT(D1276:U1276)=0,"",INDEX($D$1:$U$1,MATCH(MIN(D1276:U1276),D1276:U1276,0)))</f>
        <v/>
      </c>
      <c r="AA1276" s="8" t="n">
        <v>1995</v>
      </c>
      <c r="AB1276" s="10" t="n">
        <v>2</v>
      </c>
    </row>
    <row r="1277">
      <c r="A1277" s="7" t="inlineStr">
        <is>
          <t>MAT-27-015</t>
        </is>
      </c>
      <c r="B1277" s="4" t="inlineStr">
        <is>
          <t>Barra de seguridad, recta, 70 cm</t>
        </is>
      </c>
      <c r="C1277" s="7" t="inlineStr">
        <is>
          <t>unidad</t>
        </is>
      </c>
      <c r="D1277" s="8" t="n">
        <v>3271.81</v>
      </c>
      <c r="E1277" s="8" t="n"/>
      <c r="F1277" s="8" t="n"/>
      <c r="G1277" s="8" t="n"/>
      <c r="H1277" s="8" t="n"/>
      <c r="I1277" s="8" t="n"/>
      <c r="J1277" s="8" t="n"/>
      <c r="K1277" s="8" t="n">
        <v>4695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>
        <f>IF(COUNT(D1277:U1277)=0,"",MIN(D1277:U1277))</f>
        <v/>
      </c>
      <c r="W1277" s="8">
        <f>IF(COUNT(D1277:U1277)=0,"",MEDIAN(D1277:U1277))</f>
        <v/>
      </c>
      <c r="X1277" s="8">
        <f>IF(COUNT(D1277:U1277)=0,"",MAX(D1277:U1277))</f>
        <v/>
      </c>
      <c r="Y1277" s="9">
        <f>IF(OR(V1277="",V1277=0),"",(X1277-V1277)/V1277)</f>
        <v/>
      </c>
      <c r="Z1277" s="7">
        <f>IF(COUNT(D1277:U1277)=0,"",INDEX($D$1:$U$1,MATCH(MIN(D1277:U1277),D1277:U1277,0)))</f>
        <v/>
      </c>
      <c r="AA1277" s="8" t="n">
        <v>3983.41</v>
      </c>
      <c r="AB1277" s="10" t="n">
        <v>2</v>
      </c>
    </row>
    <row r="1278">
      <c r="A1278" s="7" t="inlineStr">
        <is>
          <t>MAT-27-016</t>
        </is>
      </c>
      <c r="B1278" s="4" t="inlineStr">
        <is>
          <t>Barra de seguridad, recta, 75 cm</t>
        </is>
      </c>
      <c r="C1278" s="7" t="inlineStr">
        <is>
          <t>unidad</t>
        </is>
      </c>
      <c r="D1278" s="8" t="n"/>
      <c r="E1278" s="8" t="n"/>
      <c r="F1278" s="8" t="n"/>
      <c r="G1278" s="8" t="n"/>
      <c r="H1278" s="8" t="n"/>
      <c r="I1278" s="8" t="n"/>
      <c r="J1278" s="8" t="n"/>
      <c r="K1278" s="8" t="n">
        <v>2185</v>
      </c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>
        <f>IF(COUNT(D1278:U1278)=0,"",MIN(D1278:U1278))</f>
        <v/>
      </c>
      <c r="W1278" s="8">
        <f>IF(COUNT(D1278:U1278)=0,"",MEDIAN(D1278:U1278))</f>
        <v/>
      </c>
      <c r="X1278" s="8">
        <f>IF(COUNT(D1278:U1278)=0,"",MAX(D1278:U1278))</f>
        <v/>
      </c>
      <c r="Y1278" s="9">
        <f>IF(OR(V1278="",V1278=0),"",(X1278-V1278)/V1278)</f>
        <v/>
      </c>
      <c r="Z1278" s="7">
        <f>IF(COUNT(D1278:U1278)=0,"",INDEX($D$1:$U$1,MATCH(MIN(D1278:U1278),D1278:U1278,0)))</f>
        <v/>
      </c>
      <c r="AA1278" s="8" t="n">
        <v>2185</v>
      </c>
      <c r="AB1278" s="10" t="n">
        <v>1</v>
      </c>
    </row>
    <row r="1279">
      <c r="A1279" s="7" t="inlineStr">
        <is>
          <t>MAT-27-017</t>
        </is>
      </c>
      <c r="B1279" s="4" t="inlineStr">
        <is>
          <t>Barra de seguridad, recta, 90 cm</t>
        </is>
      </c>
      <c r="C1279" s="7" t="inlineStr">
        <is>
          <t>unidad</t>
        </is>
      </c>
      <c r="D1279" s="8" t="n">
        <v>6226.47</v>
      </c>
      <c r="E1279" s="8" t="n"/>
      <c r="F1279" s="8" t="n"/>
      <c r="G1279" s="8" t="n"/>
      <c r="H1279" s="8" t="n"/>
      <c r="I1279" s="8" t="n"/>
      <c r="J1279" s="8" t="n"/>
      <c r="K1279" s="8" t="n">
        <v>2395</v>
      </c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>
        <f>IF(COUNT(D1279:U1279)=0,"",MIN(D1279:U1279))</f>
        <v/>
      </c>
      <c r="W1279" s="8">
        <f>IF(COUNT(D1279:U1279)=0,"",MEDIAN(D1279:U1279))</f>
        <v/>
      </c>
      <c r="X1279" s="8">
        <f>IF(COUNT(D1279:U1279)=0,"",MAX(D1279:U1279))</f>
        <v/>
      </c>
      <c r="Y1279" s="9">
        <f>IF(OR(V1279="",V1279=0),"",(X1279-V1279)/V1279)</f>
        <v/>
      </c>
      <c r="Z1279" s="7">
        <f>IF(COUNT(D1279:U1279)=0,"",INDEX($D$1:$U$1,MATCH(MIN(D1279:U1279),D1279:U1279,0)))</f>
        <v/>
      </c>
      <c r="AA1279" s="8" t="n">
        <v>2439</v>
      </c>
      <c r="AB1279" s="10" t="n">
        <v>2</v>
      </c>
    </row>
    <row r="1280">
      <c r="A1280" s="7" t="inlineStr">
        <is>
          <t>MAT-27-018</t>
        </is>
      </c>
      <c r="B1280" s="4" t="inlineStr">
        <is>
          <t>Juego de accesorios de baño</t>
        </is>
      </c>
      <c r="C1280" s="7" t="inlineStr">
        <is>
          <t>juego</t>
        </is>
      </c>
      <c r="D1280" s="8" t="n">
        <v>345.39</v>
      </c>
      <c r="E1280" s="8" t="n"/>
      <c r="F1280" s="8" t="n">
        <v>4992.44</v>
      </c>
      <c r="G1280" s="8" t="n"/>
      <c r="H1280" s="8" t="n"/>
      <c r="I1280" s="8" t="n">
        <v>345</v>
      </c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>
        <f>IF(COUNT(D1280:U1280)=0,"",MIN(D1280:U1280))</f>
        <v/>
      </c>
      <c r="W1280" s="8">
        <f>IF(COUNT(D1280:U1280)=0,"",MEDIAN(D1280:U1280))</f>
        <v/>
      </c>
      <c r="X1280" s="8">
        <f>IF(COUNT(D1280:U1280)=0,"",MAX(D1280:U1280))</f>
        <v/>
      </c>
      <c r="Y1280" s="9">
        <f>IF(OR(V1280="",V1280=0),"",(X1280-V1280)/V1280)</f>
        <v/>
      </c>
      <c r="Z1280" s="7">
        <f>IF(COUNT(D1280:U1280)=0,"",INDEX($D$1:$U$1,MATCH(MIN(D1280:U1280),D1280:U1280,0)))</f>
        <v/>
      </c>
      <c r="AA1280" s="8" t="n">
        <v>2367.36</v>
      </c>
      <c r="AB1280" s="10" t="n">
        <v>3</v>
      </c>
    </row>
    <row r="1281">
      <c r="A1281" s="7" t="inlineStr">
        <is>
          <t>MAT-27-019</t>
        </is>
      </c>
      <c r="B1281" s="4" t="inlineStr">
        <is>
          <t>Juego de accesorios de baño, 3 piezas</t>
        </is>
      </c>
      <c r="C1281" s="7" t="inlineStr">
        <is>
          <t>juego</t>
        </is>
      </c>
      <c r="D1281" s="8" t="n">
        <v>1081.92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>
        <f>IF(COUNT(D1281:U1281)=0,"",MIN(D1281:U1281))</f>
        <v/>
      </c>
      <c r="W1281" s="8">
        <f>IF(COUNT(D1281:U1281)=0,"",MEDIAN(D1281:U1281))</f>
        <v/>
      </c>
      <c r="X1281" s="8">
        <f>IF(COUNT(D1281:U1281)=0,"",MAX(D1281:U1281))</f>
        <v/>
      </c>
      <c r="Y1281" s="9">
        <f>IF(OR(V1281="",V1281=0),"",(X1281-V1281)/V1281)</f>
        <v/>
      </c>
      <c r="Z1281" s="7">
        <f>IF(COUNT(D1281:U1281)=0,"",INDEX($D$1:$U$1,MATCH(MIN(D1281:U1281),D1281:U1281,0)))</f>
        <v/>
      </c>
      <c r="AA1281" s="8" t="n">
        <v>1673.59</v>
      </c>
      <c r="AB1281" s="10" t="n">
        <v>1</v>
      </c>
    </row>
    <row r="1282">
      <c r="A1282" s="7" t="inlineStr">
        <is>
          <t>MAT-27-020</t>
        </is>
      </c>
      <c r="B1282" s="4" t="inlineStr">
        <is>
          <t>Juego de accesorios de baño, 4 piezas</t>
        </is>
      </c>
      <c r="C1282" s="7" t="inlineStr">
        <is>
          <t>juego</t>
        </is>
      </c>
      <c r="D1282" s="8" t="n">
        <v>1605.2</v>
      </c>
      <c r="E1282" s="8" t="n"/>
      <c r="F1282" s="8" t="n"/>
      <c r="G1282" s="8" t="n"/>
      <c r="H1282" s="8" t="n"/>
      <c r="I1282" s="8" t="n"/>
      <c r="J1282" s="8" t="n"/>
      <c r="K1282" s="8" t="n">
        <v>2790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>
        <f>IF(COUNT(D1282:U1282)=0,"",MIN(D1282:U1282))</f>
        <v/>
      </c>
      <c r="W1282" s="8">
        <f>IF(COUNT(D1282:U1282)=0,"",MEDIAN(D1282:U1282))</f>
        <v/>
      </c>
      <c r="X1282" s="8">
        <f>IF(COUNT(D1282:U1282)=0,"",MAX(D1282:U1282))</f>
        <v/>
      </c>
      <c r="Y1282" s="9">
        <f>IF(OR(V1282="",V1282=0),"",(X1282-V1282)/V1282)</f>
        <v/>
      </c>
      <c r="Z1282" s="7">
        <f>IF(COUNT(D1282:U1282)=0,"",INDEX($D$1:$U$1,MATCH(MIN(D1282:U1282),D1282:U1282,0)))</f>
        <v/>
      </c>
      <c r="AA1282" s="8" t="n">
        <v>2927.39</v>
      </c>
      <c r="AB1282" s="10" t="n">
        <v>2</v>
      </c>
    </row>
    <row r="1283">
      <c r="A1283" s="7" t="inlineStr">
        <is>
          <t>MAT-27-021</t>
        </is>
      </c>
      <c r="B1283" s="4" t="inlineStr">
        <is>
          <t>Juego de accesorios de baño, 5 piezas</t>
        </is>
      </c>
      <c r="C1283" s="7" t="inlineStr">
        <is>
          <t>juego</t>
        </is>
      </c>
      <c r="D1283" s="8" t="n">
        <v>940.91</v>
      </c>
      <c r="E1283" s="8" t="n"/>
      <c r="F1283" s="8" t="n"/>
      <c r="G1283" s="8" t="n">
        <v>1139</v>
      </c>
      <c r="H1283" s="8" t="n"/>
      <c r="I1283" s="8" t="n"/>
      <c r="J1283" s="8" t="n"/>
      <c r="K1283" s="8" t="n">
        <v>394</v>
      </c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>
        <f>IF(COUNT(D1283:U1283)=0,"",MIN(D1283:U1283))</f>
        <v/>
      </c>
      <c r="W1283" s="8">
        <f>IF(COUNT(D1283:U1283)=0,"",MEDIAN(D1283:U1283))</f>
        <v/>
      </c>
      <c r="X1283" s="8">
        <f>IF(COUNT(D1283:U1283)=0,"",MAX(D1283:U1283))</f>
        <v/>
      </c>
      <c r="Y1283" s="9">
        <f>IF(OR(V1283="",V1283=0),"",(X1283-V1283)/V1283)</f>
        <v/>
      </c>
      <c r="Z1283" s="7">
        <f>IF(COUNT(D1283:U1283)=0,"",INDEX($D$1:$U$1,MATCH(MIN(D1283:U1283),D1283:U1283,0)))</f>
        <v/>
      </c>
      <c r="AA1283" s="8" t="n">
        <v>1139</v>
      </c>
      <c r="AB1283" s="10" t="n">
        <v>3</v>
      </c>
    </row>
    <row r="1284">
      <c r="A1284" s="7" t="inlineStr">
        <is>
          <t>MAT-27-022</t>
        </is>
      </c>
      <c r="B1284" s="4" t="inlineStr">
        <is>
          <t>Juego de accesorios de baño, 6 piezas</t>
        </is>
      </c>
      <c r="C1284" s="7" t="inlineStr">
        <is>
          <t>juego</t>
        </is>
      </c>
      <c r="D1284" s="8" t="n">
        <v>1342.61</v>
      </c>
      <c r="E1284" s="8" t="n"/>
      <c r="F1284" s="8" t="n"/>
      <c r="G1284" s="8" t="n">
        <v>2306</v>
      </c>
      <c r="H1284" s="8" t="n"/>
      <c r="I1284" s="8" t="n"/>
      <c r="J1284" s="8" t="n"/>
      <c r="K1284" s="8" t="n">
        <v>1545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>
        <f>IF(COUNT(D1284:U1284)=0,"",MIN(D1284:U1284))</f>
        <v/>
      </c>
      <c r="W1284" s="8">
        <f>IF(COUNT(D1284:U1284)=0,"",MEDIAN(D1284:U1284))</f>
        <v/>
      </c>
      <c r="X1284" s="8">
        <f>IF(COUNT(D1284:U1284)=0,"",MAX(D1284:U1284))</f>
        <v/>
      </c>
      <c r="Y1284" s="9">
        <f>IF(OR(V1284="",V1284=0),"",(X1284-V1284)/V1284)</f>
        <v/>
      </c>
      <c r="Z1284" s="7">
        <f>IF(COUNT(D1284:U1284)=0,"",INDEX($D$1:$U$1,MATCH(MIN(D1284:U1284),D1284:U1284,0)))</f>
        <v/>
      </c>
      <c r="AA1284" s="8" t="n">
        <v>3019.72</v>
      </c>
      <c r="AB1284" s="10" t="n">
        <v>3</v>
      </c>
    </row>
    <row r="1285">
      <c r="A1285" s="7" t="inlineStr">
        <is>
          <t>MAT-27-023</t>
        </is>
      </c>
      <c r="B1285" s="4" t="inlineStr">
        <is>
          <t>Secador de manos</t>
        </is>
      </c>
      <c r="C1285" s="7" t="inlineStr">
        <is>
          <t>unidad</t>
        </is>
      </c>
      <c r="D1285" s="8" t="n"/>
      <c r="E1285" s="8" t="n"/>
      <c r="F1285" s="8" t="n"/>
      <c r="G1285" s="8" t="n"/>
      <c r="H1285" s="8" t="n"/>
      <c r="I1285" s="8" t="n"/>
      <c r="J1285" s="8" t="n"/>
      <c r="K1285" s="8" t="n">
        <v>3335</v>
      </c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>
        <f>IF(COUNT(D1285:U1285)=0,"",MIN(D1285:U1285))</f>
        <v/>
      </c>
      <c r="W1285" s="8">
        <f>IF(COUNT(D1285:U1285)=0,"",MEDIAN(D1285:U1285))</f>
        <v/>
      </c>
      <c r="X1285" s="8">
        <f>IF(COUNT(D1285:U1285)=0,"",MAX(D1285:U1285))</f>
        <v/>
      </c>
      <c r="Y1285" s="9">
        <f>IF(OR(V1285="",V1285=0),"",(X1285-V1285)/V1285)</f>
        <v/>
      </c>
      <c r="Z1285" s="7">
        <f>IF(COUNT(D1285:U1285)=0,"",INDEX($D$1:$U$1,MATCH(MIN(D1285:U1285),D1285:U1285,0)))</f>
        <v/>
      </c>
      <c r="AA1285" s="8" t="n">
        <v>3467.5</v>
      </c>
      <c r="AB1285" s="10" t="n">
        <v>1</v>
      </c>
    </row>
    <row r="1286">
      <c r="A1286" s="7" t="inlineStr">
        <is>
          <t>MAT-27-024</t>
        </is>
      </c>
      <c r="B1286" s="4" t="inlineStr">
        <is>
          <t>Secador de manos, de botón</t>
        </is>
      </c>
      <c r="C1286" s="7" t="inlineStr">
        <is>
          <t>unidad</t>
        </is>
      </c>
      <c r="D1286" s="8" t="n">
        <v>16368.74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>
        <f>IF(COUNT(D1286:U1286)=0,"",MIN(D1286:U1286))</f>
        <v/>
      </c>
      <c r="W1286" s="8">
        <f>IF(COUNT(D1286:U1286)=0,"",MEDIAN(D1286:U1286))</f>
        <v/>
      </c>
      <c r="X1286" s="8">
        <f>IF(COUNT(D1286:U1286)=0,"",MAX(D1286:U1286))</f>
        <v/>
      </c>
      <c r="Y1286" s="9">
        <f>IF(OR(V1286="",V1286=0),"",(X1286-V1286)/V1286)</f>
        <v/>
      </c>
      <c r="Z1286" s="7">
        <f>IF(COUNT(D1286:U1286)=0,"",INDEX($D$1:$U$1,MATCH(MIN(D1286:U1286),D1286:U1286,0)))</f>
        <v/>
      </c>
      <c r="AA1286" s="8" t="n">
        <v>16368.74</v>
      </c>
      <c r="AB1286" s="10" t="n">
        <v>1</v>
      </c>
    </row>
    <row r="1287">
      <c r="A1287" s="7" t="inlineStr">
        <is>
          <t>MAT-27-025</t>
        </is>
      </c>
      <c r="B1287" s="4" t="inlineStr">
        <is>
          <t>Secador de manos, con sensor</t>
        </is>
      </c>
      <c r="C1287" s="7" t="inlineStr">
        <is>
          <t>unidad</t>
        </is>
      </c>
      <c r="D1287" s="8" t="n">
        <v>18390.47</v>
      </c>
      <c r="E1287" s="8" t="n"/>
      <c r="F1287" s="8" t="n"/>
      <c r="G1287" s="8" t="n"/>
      <c r="H1287" s="8" t="n"/>
      <c r="I1287" s="8" t="n">
        <v>16755</v>
      </c>
      <c r="J1287" s="8" t="n"/>
      <c r="K1287" s="8" t="n">
        <v>12495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>
        <f>IF(COUNT(D1287:U1287)=0,"",MIN(D1287:U1287))</f>
        <v/>
      </c>
      <c r="W1287" s="8">
        <f>IF(COUNT(D1287:U1287)=0,"",MEDIAN(D1287:U1287))</f>
        <v/>
      </c>
      <c r="X1287" s="8">
        <f>IF(COUNT(D1287:U1287)=0,"",MAX(D1287:U1287))</f>
        <v/>
      </c>
      <c r="Y1287" s="9">
        <f>IF(OR(V1287="",V1287=0),"",(X1287-V1287)/V1287)</f>
        <v/>
      </c>
      <c r="Z1287" s="7">
        <f>IF(COUNT(D1287:U1287)=0,"",INDEX($D$1:$U$1,MATCH(MIN(D1287:U1287),D1287:U1287,0)))</f>
        <v/>
      </c>
      <c r="AA1287" s="8" t="n">
        <v>16755</v>
      </c>
      <c r="AB1287" s="10" t="n">
        <v>3</v>
      </c>
    </row>
    <row r="1288">
      <c r="A1288" s="7" t="inlineStr">
        <is>
          <t>MAT-27-026</t>
        </is>
      </c>
      <c r="B1288" s="4" t="inlineStr">
        <is>
          <t>Secador de manos, institucional</t>
        </is>
      </c>
      <c r="C1288" s="7" t="inlineStr">
        <is>
          <t>unidad</t>
        </is>
      </c>
      <c r="D1288" s="8" t="n">
        <v>27487.14</v>
      </c>
      <c r="E1288" s="8" t="n"/>
      <c r="F1288" s="8" t="n">
        <v>33447.06</v>
      </c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>
        <f>IF(COUNT(D1288:U1288)=0,"",MIN(D1288:U1288))</f>
        <v/>
      </c>
      <c r="W1288" s="8">
        <f>IF(COUNT(D1288:U1288)=0,"",MEDIAN(D1288:U1288))</f>
        <v/>
      </c>
      <c r="X1288" s="8">
        <f>IF(COUNT(D1288:U1288)=0,"",MAX(D1288:U1288))</f>
        <v/>
      </c>
      <c r="Y1288" s="9">
        <f>IF(OR(V1288="",V1288=0),"",(X1288-V1288)/V1288)</f>
        <v/>
      </c>
      <c r="Z1288" s="7">
        <f>IF(COUNT(D1288:U1288)=0,"",INDEX($D$1:$U$1,MATCH(MIN(D1288:U1288),D1288:U1288,0)))</f>
        <v/>
      </c>
      <c r="AA1288" s="8" t="n">
        <v>33477.34</v>
      </c>
      <c r="AB1288" s="10" t="n">
        <v>2</v>
      </c>
    </row>
    <row r="1289">
      <c r="A1289" s="7" t="inlineStr">
        <is>
          <t>MAT-27-027</t>
        </is>
      </c>
      <c r="B1289" s="4" t="inlineStr">
        <is>
          <t>Secador de manos, institucional, con sensor</t>
        </is>
      </c>
      <c r="C1289" s="7" t="inlineStr">
        <is>
          <t>unidad</t>
        </is>
      </c>
      <c r="D1289" s="8" t="n">
        <v>32765.78</v>
      </c>
      <c r="E1289" s="8" t="n"/>
      <c r="F1289" s="8" t="n"/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>
        <f>IF(COUNT(D1289:U1289)=0,"",MIN(D1289:U1289))</f>
        <v/>
      </c>
      <c r="W1289" s="8">
        <f>IF(COUNT(D1289:U1289)=0,"",MEDIAN(D1289:U1289))</f>
        <v/>
      </c>
      <c r="X1289" s="8">
        <f>IF(COUNT(D1289:U1289)=0,"",MAX(D1289:U1289))</f>
        <v/>
      </c>
      <c r="Y1289" s="9">
        <f>IF(OR(V1289="",V1289=0),"",(X1289-V1289)/V1289)</f>
        <v/>
      </c>
      <c r="Z1289" s="7">
        <f>IF(COUNT(D1289:U1289)=0,"",INDEX($D$1:$U$1,MATCH(MIN(D1289:U1289),D1289:U1289,0)))</f>
        <v/>
      </c>
      <c r="AA1289" s="8" t="n">
        <v>32765.78</v>
      </c>
      <c r="AB1289" s="10" t="n">
        <v>1</v>
      </c>
    </row>
    <row r="1290">
      <c r="A1290" s="7" t="inlineStr">
        <is>
          <t>MAT-27-028</t>
        </is>
      </c>
      <c r="B1290" s="4" t="inlineStr">
        <is>
          <t>Dispensador de jabón</t>
        </is>
      </c>
      <c r="C1290" s="7" t="inlineStr">
        <is>
          <t>unidad</t>
        </is>
      </c>
      <c r="D1290" s="8" t="n"/>
      <c r="E1290" s="8" t="n"/>
      <c r="F1290" s="8" t="n"/>
      <c r="G1290" s="8" t="n"/>
      <c r="H1290" s="8" t="n"/>
      <c r="I1290" s="8" t="n">
        <v>899</v>
      </c>
      <c r="J1290" s="8" t="n"/>
      <c r="K1290" s="8" t="n">
        <v>156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>
        <f>IF(COUNT(D1290:U1290)=0,"",MIN(D1290:U1290))</f>
        <v/>
      </c>
      <c r="W1290" s="8">
        <f>IF(COUNT(D1290:U1290)=0,"",MEDIAN(D1290:U1290))</f>
        <v/>
      </c>
      <c r="X1290" s="8">
        <f>IF(COUNT(D1290:U1290)=0,"",MAX(D1290:U1290))</f>
        <v/>
      </c>
      <c r="Y1290" s="9">
        <f>IF(OR(V1290="",V1290=0),"",(X1290-V1290)/V1290)</f>
        <v/>
      </c>
      <c r="Z1290" s="7">
        <f>IF(COUNT(D1290:U1290)=0,"",INDEX($D$1:$U$1,MATCH(MIN(D1290:U1290),D1290:U1290,0)))</f>
        <v/>
      </c>
      <c r="AA1290" s="8" t="n">
        <v>672</v>
      </c>
      <c r="AB1290" s="10" t="n">
        <v>2</v>
      </c>
    </row>
    <row r="1291">
      <c r="A1291" s="7" t="inlineStr">
        <is>
          <t>MAT-27-029</t>
        </is>
      </c>
      <c r="B1291" s="4" t="inlineStr">
        <is>
          <t>Dispensador de jabón, con sensor</t>
        </is>
      </c>
      <c r="C1291" s="7" t="inlineStr">
        <is>
          <t>unidad</t>
        </is>
      </c>
      <c r="D1291" s="8" t="n"/>
      <c r="E1291" s="8" t="n"/>
      <c r="F1291" s="8" t="n">
        <v>28704.01</v>
      </c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>
        <f>IF(COUNT(D1291:U1291)=0,"",MIN(D1291:U1291))</f>
        <v/>
      </c>
      <c r="W1291" s="8">
        <f>IF(COUNT(D1291:U1291)=0,"",MEDIAN(D1291:U1291))</f>
        <v/>
      </c>
      <c r="X1291" s="8">
        <f>IF(COUNT(D1291:U1291)=0,"",MAX(D1291:U1291))</f>
        <v/>
      </c>
      <c r="Y1291" s="9">
        <f>IF(OR(V1291="",V1291=0),"",(X1291-V1291)/V1291)</f>
        <v/>
      </c>
      <c r="Z1291" s="7">
        <f>IF(COUNT(D1291:U1291)=0,"",INDEX($D$1:$U$1,MATCH(MIN(D1291:U1291),D1291:U1291,0)))</f>
        <v/>
      </c>
      <c r="AA1291" s="8" t="n">
        <v>33870.73</v>
      </c>
      <c r="AB1291" s="10" t="n">
        <v>1</v>
      </c>
    </row>
    <row r="1292">
      <c r="A1292" s="7" t="inlineStr">
        <is>
          <t>MAT-27-030</t>
        </is>
      </c>
      <c r="B1292" s="4" t="inlineStr">
        <is>
          <t>Dispensador de jabón, institucional</t>
        </is>
      </c>
      <c r="C1292" s="7" t="inlineStr">
        <is>
          <t>unidad</t>
        </is>
      </c>
      <c r="D1292" s="8" t="n">
        <v>14903.09</v>
      </c>
      <c r="E1292" s="8" t="n"/>
      <c r="F1292" s="8" t="n"/>
      <c r="G1292" s="8" t="n"/>
      <c r="H1292" s="8" t="n"/>
      <c r="I1292" s="8" t="n"/>
      <c r="J1292" s="8" t="n"/>
      <c r="K1292" s="8" t="n">
        <v>1270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>
        <f>IF(COUNT(D1292:U1292)=0,"",MIN(D1292:U1292))</f>
        <v/>
      </c>
      <c r="W1292" s="8">
        <f>IF(COUNT(D1292:U1292)=0,"",MEDIAN(D1292:U1292))</f>
        <v/>
      </c>
      <c r="X1292" s="8">
        <f>IF(COUNT(D1292:U1292)=0,"",MAX(D1292:U1292))</f>
        <v/>
      </c>
      <c r="Y1292" s="9">
        <f>IF(OR(V1292="",V1292=0),"",(X1292-V1292)/V1292)</f>
        <v/>
      </c>
      <c r="Z1292" s="7">
        <f>IF(COUNT(D1292:U1292)=0,"",INDEX($D$1:$U$1,MATCH(MIN(D1292:U1292),D1292:U1292,0)))</f>
        <v/>
      </c>
      <c r="AA1292" s="8" t="n">
        <v>3782.5</v>
      </c>
      <c r="AB1292" s="10" t="n">
        <v>2</v>
      </c>
    </row>
    <row r="1293">
      <c r="A1293" s="7" t="inlineStr">
        <is>
          <t>MAT-27-031</t>
        </is>
      </c>
      <c r="B1293" s="4" t="inlineStr">
        <is>
          <t>Dispensador de papel, de papel higiénico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485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>
        <f>IF(COUNT(D1293:U1293)=0,"",MIN(D1293:U1293))</f>
        <v/>
      </c>
      <c r="W1293" s="8">
        <f>IF(COUNT(D1293:U1293)=0,"",MEDIAN(D1293:U1293))</f>
        <v/>
      </c>
      <c r="X1293" s="8">
        <f>IF(COUNT(D1293:U1293)=0,"",MAX(D1293:U1293))</f>
        <v/>
      </c>
      <c r="Y1293" s="9">
        <f>IF(OR(V1293="",V1293=0),"",(X1293-V1293)/V1293)</f>
        <v/>
      </c>
      <c r="Z1293" s="7">
        <f>IF(COUNT(D1293:U1293)=0,"",INDEX($D$1:$U$1,MATCH(MIN(D1293:U1293),D1293:U1293,0)))</f>
        <v/>
      </c>
      <c r="AA1293" s="8" t="n">
        <v>587.5</v>
      </c>
      <c r="AB1293" s="10" t="n">
        <v>1</v>
      </c>
    </row>
    <row r="1294">
      <c r="A1294" s="7" t="inlineStr">
        <is>
          <t>MAT-27-032</t>
        </is>
      </c>
      <c r="B1294" s="4" t="inlineStr">
        <is>
          <t>Dispensador de papel, de toalla</t>
        </is>
      </c>
      <c r="C1294" s="7" t="inlineStr">
        <is>
          <t>unidad</t>
        </is>
      </c>
      <c r="D1294" s="8" t="n">
        <v>4472.06</v>
      </c>
      <c r="E1294" s="8" t="n"/>
      <c r="F1294" s="8" t="n"/>
      <c r="G1294" s="8" t="n"/>
      <c r="H1294" s="8" t="n"/>
      <c r="I1294" s="8" t="n"/>
      <c r="J1294" s="8" t="n"/>
      <c r="K1294" s="8" t="n">
        <v>274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>
        <f>IF(COUNT(D1294:U1294)=0,"",MIN(D1294:U1294))</f>
        <v/>
      </c>
      <c r="W1294" s="8">
        <f>IF(COUNT(D1294:U1294)=0,"",MEDIAN(D1294:U1294))</f>
        <v/>
      </c>
      <c r="X1294" s="8">
        <f>IF(COUNT(D1294:U1294)=0,"",MAX(D1294:U1294))</f>
        <v/>
      </c>
      <c r="Y1294" s="9">
        <f>IF(OR(V1294="",V1294=0),"",(X1294-V1294)/V1294)</f>
        <v/>
      </c>
      <c r="Z1294" s="7">
        <f>IF(COUNT(D1294:U1294)=0,"",INDEX($D$1:$U$1,MATCH(MIN(D1294:U1294),D1294:U1294,0)))</f>
        <v/>
      </c>
      <c r="AA1294" s="8" t="n">
        <v>2595</v>
      </c>
      <c r="AB1294" s="10" t="n">
        <v>2</v>
      </c>
    </row>
    <row r="1295">
      <c r="A1295" s="7" t="inlineStr">
        <is>
          <t>MAT-27-033</t>
        </is>
      </c>
      <c r="B1295" s="4" t="inlineStr">
        <is>
          <t>Dispensador de papel, institucional, de papel higiénico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1105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>
        <f>IF(COUNT(D1295:U1295)=0,"",MIN(D1295:U1295))</f>
        <v/>
      </c>
      <c r="W1295" s="8">
        <f>IF(COUNT(D1295:U1295)=0,"",MEDIAN(D1295:U1295))</f>
        <v/>
      </c>
      <c r="X1295" s="8">
        <f>IF(COUNT(D1295:U1295)=0,"",MAX(D1295:U1295))</f>
        <v/>
      </c>
      <c r="Y1295" s="9">
        <f>IF(OR(V1295="",V1295=0),"",(X1295-V1295)/V1295)</f>
        <v/>
      </c>
      <c r="Z1295" s="7">
        <f>IF(COUNT(D1295:U1295)=0,"",INDEX($D$1:$U$1,MATCH(MIN(D1295:U1295),D1295:U1295,0)))</f>
        <v/>
      </c>
      <c r="AA1295" s="8" t="n">
        <v>2870</v>
      </c>
      <c r="AB1295" s="10" t="n">
        <v>1</v>
      </c>
    </row>
    <row r="1296">
      <c r="A1296" s="7" t="inlineStr">
        <is>
          <t>MAT-27-034</t>
        </is>
      </c>
      <c r="B1296" s="4" t="inlineStr">
        <is>
          <t>Dispensador de papel, institucional, de toalla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2515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>
        <f>IF(COUNT(D1296:U1296)=0,"",MIN(D1296:U1296))</f>
        <v/>
      </c>
      <c r="W1296" s="8">
        <f>IF(COUNT(D1296:U1296)=0,"",MEDIAN(D1296:U1296))</f>
        <v/>
      </c>
      <c r="X1296" s="8">
        <f>IF(COUNT(D1296:U1296)=0,"",MAX(D1296:U1296))</f>
        <v/>
      </c>
      <c r="Y1296" s="9">
        <f>IF(OR(V1296="",V1296=0),"",(X1296-V1296)/V1296)</f>
        <v/>
      </c>
      <c r="Z1296" s="7">
        <f>IF(COUNT(D1296:U1296)=0,"",INDEX($D$1:$U$1,MATCH(MIN(D1296:U1296),D1296:U1296,0)))</f>
        <v/>
      </c>
      <c r="AA1296" s="8" t="n">
        <v>3245</v>
      </c>
      <c r="AB1296" s="10" t="n">
        <v>1</v>
      </c>
    </row>
    <row r="1297">
      <c r="A1297" s="7" t="inlineStr">
        <is>
          <t>MAT-27-035</t>
        </is>
      </c>
      <c r="B1297" s="4" t="inlineStr">
        <is>
          <t>Cambiador de bebés de pared</t>
        </is>
      </c>
      <c r="C1297" s="7" t="inlineStr">
        <is>
          <t>unidad</t>
        </is>
      </c>
      <c r="D1297" s="8" t="n"/>
      <c r="E1297" s="8" t="n"/>
      <c r="F1297" s="8" t="n"/>
      <c r="G1297" s="8" t="n"/>
      <c r="H1297" s="8" t="n"/>
      <c r="I1297" s="8" t="n"/>
      <c r="J1297" s="8" t="n"/>
      <c r="K1297" s="8" t="n">
        <v>8705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>
        <f>IF(COUNT(D1297:U1297)=0,"",MIN(D1297:U1297))</f>
        <v/>
      </c>
      <c r="W1297" s="8">
        <f>IF(COUNT(D1297:U1297)=0,"",MEDIAN(D1297:U1297))</f>
        <v/>
      </c>
      <c r="X1297" s="8">
        <f>IF(COUNT(D1297:U1297)=0,"",MAX(D1297:U1297))</f>
        <v/>
      </c>
      <c r="Y1297" s="9">
        <f>IF(OR(V1297="",V1297=0),"",(X1297-V1297)/V1297)</f>
        <v/>
      </c>
      <c r="Z1297" s="7">
        <f>IF(COUNT(D1297:U1297)=0,"",INDEX($D$1:$U$1,MATCH(MIN(D1297:U1297),D1297:U1297,0)))</f>
        <v/>
      </c>
      <c r="AA1297" s="8" t="n">
        <v>8705</v>
      </c>
      <c r="AB1297" s="10" t="n">
        <v>1</v>
      </c>
    </row>
    <row r="1298">
      <c r="A1298" s="7" t="inlineStr">
        <is>
          <t>MAT-28-001</t>
        </is>
      </c>
      <c r="B1298" s="4" t="inlineStr">
        <is>
          <t>Kit de alarma</t>
        </is>
      </c>
      <c r="C1298" s="7" t="inlineStr">
        <is>
          <t>juego</t>
        </is>
      </c>
      <c r="D1298" s="8" t="n">
        <v>7107.67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>
        <f>IF(COUNT(D1298:U1298)=0,"",MIN(D1298:U1298))</f>
        <v/>
      </c>
      <c r="W1298" s="8">
        <f>IF(COUNT(D1298:U1298)=0,"",MEDIAN(D1298:U1298))</f>
        <v/>
      </c>
      <c r="X1298" s="8">
        <f>IF(COUNT(D1298:U1298)=0,"",MAX(D1298:U1298))</f>
        <v/>
      </c>
      <c r="Y1298" s="9">
        <f>IF(OR(V1298="",V1298=0),"",(X1298-V1298)/V1298)</f>
        <v/>
      </c>
      <c r="Z1298" s="7">
        <f>IF(COUNT(D1298:U1298)=0,"",INDEX($D$1:$U$1,MATCH(MIN(D1298:U1298),D1298:U1298,0)))</f>
        <v/>
      </c>
      <c r="AA1298" s="8" t="n">
        <v>7107.67</v>
      </c>
      <c r="AB1298" s="10" t="n">
        <v>1</v>
      </c>
    </row>
    <row r="1299">
      <c r="A1299" s="7" t="inlineStr">
        <is>
          <t>MAT-28-002</t>
        </is>
      </c>
      <c r="B1299" s="4" t="inlineStr">
        <is>
          <t>Panel de alarma</t>
        </is>
      </c>
      <c r="C1299" s="7" t="inlineStr">
        <is>
          <t>unidad</t>
        </is>
      </c>
      <c r="D1299" s="8" t="n">
        <v>3536.16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>
        <f>IF(COUNT(D1299:U1299)=0,"",MIN(D1299:U1299))</f>
        <v/>
      </c>
      <c r="W1299" s="8">
        <f>IF(COUNT(D1299:U1299)=0,"",MEDIAN(D1299:U1299))</f>
        <v/>
      </c>
      <c r="X1299" s="8">
        <f>IF(COUNT(D1299:U1299)=0,"",MAX(D1299:U1299))</f>
        <v/>
      </c>
      <c r="Y1299" s="9">
        <f>IF(OR(V1299="",V1299=0),"",(X1299-V1299)/V1299)</f>
        <v/>
      </c>
      <c r="Z1299" s="7">
        <f>IF(COUNT(D1299:U1299)=0,"",INDEX($D$1:$U$1,MATCH(MIN(D1299:U1299),D1299:U1299,0)))</f>
        <v/>
      </c>
      <c r="AA1299" s="8" t="n">
        <v>15771.4</v>
      </c>
      <c r="AB1299" s="10" t="n">
        <v>1</v>
      </c>
    </row>
    <row r="1300">
      <c r="A1300" s="7" t="inlineStr">
        <is>
          <t>MAT-28-003</t>
        </is>
      </c>
      <c r="B1300" s="4" t="inlineStr">
        <is>
          <t>Panel de alarma 28 zonas</t>
        </is>
      </c>
      <c r="C1300" s="7" t="inlineStr">
        <is>
          <t>unidad</t>
        </is>
      </c>
      <c r="D1300" s="8" t="n">
        <v>7194.58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>
        <f>IF(COUNT(D1300:U1300)=0,"",MIN(D1300:U1300))</f>
        <v/>
      </c>
      <c r="W1300" s="8">
        <f>IF(COUNT(D1300:U1300)=0,"",MEDIAN(D1300:U1300))</f>
        <v/>
      </c>
      <c r="X1300" s="8">
        <f>IF(COUNT(D1300:U1300)=0,"",MAX(D1300:U1300))</f>
        <v/>
      </c>
      <c r="Y1300" s="9">
        <f>IF(OR(V1300="",V1300=0),"",(X1300-V1300)/V1300)</f>
        <v/>
      </c>
      <c r="Z1300" s="7">
        <f>IF(COUNT(D1300:U1300)=0,"",INDEX($D$1:$U$1,MATCH(MIN(D1300:U1300),D1300:U1300,0)))</f>
        <v/>
      </c>
      <c r="AA1300" s="8" t="n">
        <v>7194.58</v>
      </c>
      <c r="AB1300" s="10" t="n">
        <v>1</v>
      </c>
    </row>
    <row r="1301">
      <c r="A1301" s="7" t="inlineStr">
        <is>
          <t>MAT-28-004</t>
        </is>
      </c>
      <c r="B1301" s="4" t="inlineStr">
        <is>
          <t>Panel de alarma 320 zonas</t>
        </is>
      </c>
      <c r="C1301" s="7" t="inlineStr">
        <is>
          <t>unidad</t>
        </is>
      </c>
      <c r="D1301" s="8" t="n">
        <v>13889.31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>
        <f>IF(COUNT(D1301:U1301)=0,"",MIN(D1301:U1301))</f>
        <v/>
      </c>
      <c r="W1301" s="8">
        <f>IF(COUNT(D1301:U1301)=0,"",MEDIAN(D1301:U1301))</f>
        <v/>
      </c>
      <c r="X1301" s="8">
        <f>IF(COUNT(D1301:U1301)=0,"",MAX(D1301:U1301))</f>
        <v/>
      </c>
      <c r="Y1301" s="9">
        <f>IF(OR(V1301="",V1301=0),"",(X1301-V1301)/V1301)</f>
        <v/>
      </c>
      <c r="Z1301" s="7">
        <f>IF(COUNT(D1301:U1301)=0,"",INDEX($D$1:$U$1,MATCH(MIN(D1301:U1301),D1301:U1301,0)))</f>
        <v/>
      </c>
      <c r="AA1301" s="8" t="n">
        <v>16552.7</v>
      </c>
      <c r="AB1301" s="10" t="n">
        <v>1</v>
      </c>
    </row>
    <row r="1302">
      <c r="A1302" s="7" t="inlineStr">
        <is>
          <t>MAT-28-005</t>
        </is>
      </c>
      <c r="B1302" s="4" t="inlineStr">
        <is>
          <t>Panel de alarma 4 zonas</t>
        </is>
      </c>
      <c r="C1302" s="7" t="inlineStr">
        <is>
          <t>unidad</t>
        </is>
      </c>
      <c r="D1302" s="8" t="n">
        <v>18682.71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>
        <f>IF(COUNT(D1302:U1302)=0,"",MIN(D1302:U1302))</f>
        <v/>
      </c>
      <c r="W1302" s="8">
        <f>IF(COUNT(D1302:U1302)=0,"",MEDIAN(D1302:U1302))</f>
        <v/>
      </c>
      <c r="X1302" s="8">
        <f>IF(COUNT(D1302:U1302)=0,"",MAX(D1302:U1302))</f>
        <v/>
      </c>
      <c r="Y1302" s="9">
        <f>IF(OR(V1302="",V1302=0),"",(X1302-V1302)/V1302)</f>
        <v/>
      </c>
      <c r="Z1302" s="7">
        <f>IF(COUNT(D1302:U1302)=0,"",INDEX($D$1:$U$1,MATCH(MIN(D1302:U1302),D1302:U1302,0)))</f>
        <v/>
      </c>
      <c r="AA1302" s="8" t="n">
        <v>18682.71</v>
      </c>
      <c r="AB1302" s="10" t="n">
        <v>1</v>
      </c>
    </row>
    <row r="1303">
      <c r="A1303" s="7" t="inlineStr">
        <is>
          <t>MAT-28-006</t>
        </is>
      </c>
      <c r="B1303" s="4" t="inlineStr">
        <is>
          <t>Panel de alarma 48 zonas</t>
        </is>
      </c>
      <c r="C1303" s="7" t="inlineStr">
        <is>
          <t>unidad</t>
        </is>
      </c>
      <c r="D1303" s="8" t="n">
        <v>8277.66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>
        <f>IF(COUNT(D1303:U1303)=0,"",MIN(D1303:U1303))</f>
        <v/>
      </c>
      <c r="W1303" s="8">
        <f>IF(COUNT(D1303:U1303)=0,"",MEDIAN(D1303:U1303))</f>
        <v/>
      </c>
      <c r="X1303" s="8">
        <f>IF(COUNT(D1303:U1303)=0,"",MAX(D1303:U1303))</f>
        <v/>
      </c>
      <c r="Y1303" s="9">
        <f>IF(OR(V1303="",V1303=0),"",(X1303-V1303)/V1303)</f>
        <v/>
      </c>
      <c r="Z1303" s="7">
        <f>IF(COUNT(D1303:U1303)=0,"",INDEX($D$1:$U$1,MATCH(MIN(D1303:U1303),D1303:U1303,0)))</f>
        <v/>
      </c>
      <c r="AA1303" s="8" t="n">
        <v>8277.66</v>
      </c>
      <c r="AB1303" s="10" t="n">
        <v>1</v>
      </c>
    </row>
    <row r="1304">
      <c r="A1304" s="7" t="inlineStr">
        <is>
          <t>MAT-28-007</t>
        </is>
      </c>
      <c r="B1304" s="4" t="inlineStr">
        <is>
          <t>Panel de alarma 8 zonas</t>
        </is>
      </c>
      <c r="C1304" s="7" t="inlineStr">
        <is>
          <t>unidad</t>
        </is>
      </c>
      <c r="D1304" s="8" t="n">
        <v>11668.57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>
        <f>IF(COUNT(D1304:U1304)=0,"",MIN(D1304:U1304))</f>
        <v/>
      </c>
      <c r="W1304" s="8">
        <f>IF(COUNT(D1304:U1304)=0,"",MEDIAN(D1304:U1304))</f>
        <v/>
      </c>
      <c r="X1304" s="8">
        <f>IF(COUNT(D1304:U1304)=0,"",MAX(D1304:U1304))</f>
        <v/>
      </c>
      <c r="Y1304" s="9">
        <f>IF(OR(V1304="",V1304=0),"",(X1304-V1304)/V1304)</f>
        <v/>
      </c>
      <c r="Z1304" s="7">
        <f>IF(COUNT(D1304:U1304)=0,"",INDEX($D$1:$U$1,MATCH(MIN(D1304:U1304),D1304:U1304,0)))</f>
        <v/>
      </c>
      <c r="AA1304" s="8" t="n">
        <v>11668.57</v>
      </c>
      <c r="AB1304" s="10" t="n">
        <v>1</v>
      </c>
    </row>
    <row r="1305">
      <c r="A1305" s="7" t="inlineStr">
        <is>
          <t>MAT-28-008</t>
        </is>
      </c>
      <c r="B1305" s="4" t="inlineStr">
        <is>
          <t>Teclado para alarma</t>
        </is>
      </c>
      <c r="C1305" s="7" t="inlineStr">
        <is>
          <t>unidad</t>
        </is>
      </c>
      <c r="D1305" s="8" t="n">
        <v>3449.44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>
        <f>IF(COUNT(D1305:U1305)=0,"",MIN(D1305:U1305))</f>
        <v/>
      </c>
      <c r="W1305" s="8">
        <f>IF(COUNT(D1305:U1305)=0,"",MEDIAN(D1305:U1305))</f>
        <v/>
      </c>
      <c r="X1305" s="8">
        <f>IF(COUNT(D1305:U1305)=0,"",MAX(D1305:U1305))</f>
        <v/>
      </c>
      <c r="Y1305" s="9">
        <f>IF(OR(V1305="",V1305=0),"",(X1305-V1305)/V1305)</f>
        <v/>
      </c>
      <c r="Z1305" s="7">
        <f>IF(COUNT(D1305:U1305)=0,"",INDEX($D$1:$U$1,MATCH(MIN(D1305:U1305),D1305:U1305,0)))</f>
        <v/>
      </c>
      <c r="AA1305" s="8" t="n">
        <v>6879.53</v>
      </c>
      <c r="AB1305" s="10" t="n">
        <v>1</v>
      </c>
    </row>
    <row r="1306">
      <c r="A1306" s="7" t="inlineStr">
        <is>
          <t>MAT-28-009</t>
        </is>
      </c>
      <c r="B1306" s="4" t="inlineStr">
        <is>
          <t>Detector de movimiento</t>
        </is>
      </c>
      <c r="C1306" s="7" t="inlineStr">
        <is>
          <t>unidad</t>
        </is>
      </c>
      <c r="D1306" s="8" t="n">
        <v>266.05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>
        <f>IF(COUNT(D1306:U1306)=0,"",MIN(D1306:U1306))</f>
        <v/>
      </c>
      <c r="W1306" s="8">
        <f>IF(COUNT(D1306:U1306)=0,"",MEDIAN(D1306:U1306))</f>
        <v/>
      </c>
      <c r="X1306" s="8">
        <f>IF(COUNT(D1306:U1306)=0,"",MAX(D1306:U1306))</f>
        <v/>
      </c>
      <c r="Y1306" s="9">
        <f>IF(OR(V1306="",V1306=0),"",(X1306-V1306)/V1306)</f>
        <v/>
      </c>
      <c r="Z1306" s="7">
        <f>IF(COUNT(D1306:U1306)=0,"",INDEX($D$1:$U$1,MATCH(MIN(D1306:U1306),D1306:U1306,0)))</f>
        <v/>
      </c>
      <c r="AA1306" s="8" t="n">
        <v>1486.93</v>
      </c>
      <c r="AB1306" s="10" t="n">
        <v>1</v>
      </c>
    </row>
    <row r="1307">
      <c r="A1307" s="7" t="inlineStr">
        <is>
          <t>MAT-28-010</t>
        </is>
      </c>
      <c r="B1307" s="4" t="inlineStr">
        <is>
          <t>Detector de movimiento alcance 10 m</t>
        </is>
      </c>
      <c r="C1307" s="7" t="inlineStr">
        <is>
          <t>unidad</t>
        </is>
      </c>
      <c r="D1307" s="8" t="n">
        <v>7135.36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>
        <f>IF(COUNT(D1307:U1307)=0,"",MIN(D1307:U1307))</f>
        <v/>
      </c>
      <c r="W1307" s="8">
        <f>IF(COUNT(D1307:U1307)=0,"",MEDIAN(D1307:U1307))</f>
        <v/>
      </c>
      <c r="X1307" s="8">
        <f>IF(COUNT(D1307:U1307)=0,"",MAX(D1307:U1307))</f>
        <v/>
      </c>
      <c r="Y1307" s="9">
        <f>IF(OR(V1307="",V1307=0),"",(X1307-V1307)/V1307)</f>
        <v/>
      </c>
      <c r="Z1307" s="7">
        <f>IF(COUNT(D1307:U1307)=0,"",INDEX($D$1:$U$1,MATCH(MIN(D1307:U1307),D1307:U1307,0)))</f>
        <v/>
      </c>
      <c r="AA1307" s="8" t="n">
        <v>7135.36</v>
      </c>
      <c r="AB1307" s="10" t="n">
        <v>1</v>
      </c>
    </row>
    <row r="1308">
      <c r="A1308" s="7" t="inlineStr">
        <is>
          <t>MAT-28-011</t>
        </is>
      </c>
      <c r="B1308" s="4" t="inlineStr">
        <is>
          <t>Detector de movimiento alcance 11 m</t>
        </is>
      </c>
      <c r="C1308" s="7" t="inlineStr">
        <is>
          <t>unidad</t>
        </is>
      </c>
      <c r="D1308" s="8" t="n">
        <v>5567.22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>
        <f>IF(COUNT(D1308:U1308)=0,"",MIN(D1308:U1308))</f>
        <v/>
      </c>
      <c r="W1308" s="8">
        <f>IF(COUNT(D1308:U1308)=0,"",MEDIAN(D1308:U1308))</f>
        <v/>
      </c>
      <c r="X1308" s="8">
        <f>IF(COUNT(D1308:U1308)=0,"",MAX(D1308:U1308))</f>
        <v/>
      </c>
      <c r="Y1308" s="9">
        <f>IF(OR(V1308="",V1308=0),"",(X1308-V1308)/V1308)</f>
        <v/>
      </c>
      <c r="Z1308" s="7">
        <f>IF(COUNT(D1308:U1308)=0,"",INDEX($D$1:$U$1,MATCH(MIN(D1308:U1308),D1308:U1308,0)))</f>
        <v/>
      </c>
      <c r="AA1308" s="8" t="n">
        <v>5567.22</v>
      </c>
      <c r="AB1308" s="10" t="n">
        <v>1</v>
      </c>
    </row>
    <row r="1309">
      <c r="A1309" s="7" t="inlineStr">
        <is>
          <t>MAT-28-012</t>
        </is>
      </c>
      <c r="B1309" s="4" t="inlineStr">
        <is>
          <t>Detector de movimiento alcance 12 m</t>
        </is>
      </c>
      <c r="C1309" s="7" t="inlineStr">
        <is>
          <t>unidad</t>
        </is>
      </c>
      <c r="D1309" s="8" t="n">
        <v>820.3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>
        <f>IF(COUNT(D1309:U1309)=0,"",MIN(D1309:U1309))</f>
        <v/>
      </c>
      <c r="W1309" s="8">
        <f>IF(COUNT(D1309:U1309)=0,"",MEDIAN(D1309:U1309))</f>
        <v/>
      </c>
      <c r="X1309" s="8">
        <f>IF(COUNT(D1309:U1309)=0,"",MAX(D1309:U1309))</f>
        <v/>
      </c>
      <c r="Y1309" s="9">
        <f>IF(OR(V1309="",V1309=0),"",(X1309-V1309)/V1309)</f>
        <v/>
      </c>
      <c r="Z1309" s="7">
        <f>IF(COUNT(D1309:U1309)=0,"",INDEX($D$1:$U$1,MATCH(MIN(D1309:U1309),D1309:U1309,0)))</f>
        <v/>
      </c>
      <c r="AA1309" s="8" t="n">
        <v>2831.47</v>
      </c>
      <c r="AB1309" s="10" t="n">
        <v>1</v>
      </c>
    </row>
    <row r="1310">
      <c r="A1310" s="7" t="inlineStr">
        <is>
          <t>MAT-28-013</t>
        </is>
      </c>
      <c r="B1310" s="4" t="inlineStr">
        <is>
          <t>Detector de movimiento alcance 15 m</t>
        </is>
      </c>
      <c r="C1310" s="7" t="inlineStr">
        <is>
          <t>unidad</t>
        </is>
      </c>
      <c r="D1310" s="8" t="n">
        <v>2675.69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>
        <f>IF(COUNT(D1310:U1310)=0,"",MIN(D1310:U1310))</f>
        <v/>
      </c>
      <c r="W1310" s="8">
        <f>IF(COUNT(D1310:U1310)=0,"",MEDIAN(D1310:U1310))</f>
        <v/>
      </c>
      <c r="X1310" s="8">
        <f>IF(COUNT(D1310:U1310)=0,"",MAX(D1310:U1310))</f>
        <v/>
      </c>
      <c r="Y1310" s="9">
        <f>IF(OR(V1310="",V1310=0),"",(X1310-V1310)/V1310)</f>
        <v/>
      </c>
      <c r="Z1310" s="7">
        <f>IF(COUNT(D1310:U1310)=0,"",INDEX($D$1:$U$1,MATCH(MIN(D1310:U1310),D1310:U1310,0)))</f>
        <v/>
      </c>
      <c r="AA1310" s="8" t="n">
        <v>2675.69</v>
      </c>
      <c r="AB1310" s="10" t="n">
        <v>1</v>
      </c>
    </row>
    <row r="1311">
      <c r="A1311" s="7" t="inlineStr">
        <is>
          <t>MAT-28-014</t>
        </is>
      </c>
      <c r="B1311" s="4" t="inlineStr">
        <is>
          <t>Detector de movimiento alcance 16 m</t>
        </is>
      </c>
      <c r="C1311" s="7" t="inlineStr">
        <is>
          <t>unidad</t>
        </is>
      </c>
      <c r="D1311" s="8" t="n">
        <v>2944.96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>
        <f>IF(COUNT(D1311:U1311)=0,"",MIN(D1311:U1311))</f>
        <v/>
      </c>
      <c r="W1311" s="8">
        <f>IF(COUNT(D1311:U1311)=0,"",MEDIAN(D1311:U1311))</f>
        <v/>
      </c>
      <c r="X1311" s="8">
        <f>IF(COUNT(D1311:U1311)=0,"",MAX(D1311:U1311))</f>
        <v/>
      </c>
      <c r="Y1311" s="9">
        <f>IF(OR(V1311="",V1311=0),"",(X1311-V1311)/V1311)</f>
        <v/>
      </c>
      <c r="Z1311" s="7">
        <f>IF(COUNT(D1311:U1311)=0,"",INDEX($D$1:$U$1,MATCH(MIN(D1311:U1311),D1311:U1311,0)))</f>
        <v/>
      </c>
      <c r="AA1311" s="8" t="n">
        <v>2944.96</v>
      </c>
      <c r="AB1311" s="10" t="n">
        <v>1</v>
      </c>
    </row>
    <row r="1312">
      <c r="A1312" s="7" t="inlineStr">
        <is>
          <t>MAT-28-015</t>
        </is>
      </c>
      <c r="B1312" s="4" t="inlineStr">
        <is>
          <t>Contacto magnético para puerta o ventana</t>
        </is>
      </c>
      <c r="C1312" s="7" t="inlineStr">
        <is>
          <t>unidad</t>
        </is>
      </c>
      <c r="D1312" s="8" t="n">
        <v>506.24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>
        <f>IF(COUNT(D1312:U1312)=0,"",MIN(D1312:U1312))</f>
        <v/>
      </c>
      <c r="W1312" s="8">
        <f>IF(COUNT(D1312:U1312)=0,"",MEDIAN(D1312:U1312))</f>
        <v/>
      </c>
      <c r="X1312" s="8">
        <f>IF(COUNT(D1312:U1312)=0,"",MAX(D1312:U1312))</f>
        <v/>
      </c>
      <c r="Y1312" s="9">
        <f>IF(OR(V1312="",V1312=0),"",(X1312-V1312)/V1312)</f>
        <v/>
      </c>
      <c r="Z1312" s="7">
        <f>IF(COUNT(D1312:U1312)=0,"",INDEX($D$1:$U$1,MATCH(MIN(D1312:U1312),D1312:U1312,0)))</f>
        <v/>
      </c>
      <c r="AA1312" s="8" t="n">
        <v>1673.26</v>
      </c>
      <c r="AB1312" s="10" t="n">
        <v>1</v>
      </c>
    </row>
    <row r="1313">
      <c r="A1313" s="7" t="inlineStr">
        <is>
          <t>MAT-28-016</t>
        </is>
      </c>
      <c r="B1313" s="4" t="inlineStr">
        <is>
          <t>Sirena de alarma</t>
        </is>
      </c>
      <c r="C1313" s="7" t="inlineStr">
        <is>
          <t>unidad</t>
        </is>
      </c>
      <c r="D1313" s="8" t="n">
        <v>713.99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>
        <f>IF(COUNT(D1313:U1313)=0,"",MIN(D1313:U1313))</f>
        <v/>
      </c>
      <c r="W1313" s="8">
        <f>IF(COUNT(D1313:U1313)=0,"",MEDIAN(D1313:U1313))</f>
        <v/>
      </c>
      <c r="X1313" s="8">
        <f>IF(COUNT(D1313:U1313)=0,"",MAX(D1313:U1313))</f>
        <v/>
      </c>
      <c r="Y1313" s="9">
        <f>IF(OR(V1313="",V1313=0),"",(X1313-V1313)/V1313)</f>
        <v/>
      </c>
      <c r="Z1313" s="7">
        <f>IF(COUNT(D1313:U1313)=0,"",INDEX($D$1:$U$1,MATCH(MIN(D1313:U1313),D1313:U1313,0)))</f>
        <v/>
      </c>
      <c r="AA1313" s="8" t="n">
        <v>12406.5</v>
      </c>
      <c r="AB1313" s="10" t="n">
        <v>1</v>
      </c>
    </row>
    <row r="1314">
      <c r="A1314" s="7" t="inlineStr">
        <is>
          <t>MAT-28-017</t>
        </is>
      </c>
      <c r="B1314" s="4" t="inlineStr">
        <is>
          <t>Sirena de alarma de exterior</t>
        </is>
      </c>
      <c r="C1314" s="7" t="inlineStr">
        <is>
          <t>unidad</t>
        </is>
      </c>
      <c r="D1314" s="8" t="n">
        <v>5053.69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>
        <f>IF(COUNT(D1314:U1314)=0,"",MIN(D1314:U1314))</f>
        <v/>
      </c>
      <c r="W1314" s="8">
        <f>IF(COUNT(D1314:U1314)=0,"",MEDIAN(D1314:U1314))</f>
        <v/>
      </c>
      <c r="X1314" s="8">
        <f>IF(COUNT(D1314:U1314)=0,"",MAX(D1314:U1314))</f>
        <v/>
      </c>
      <c r="Y1314" s="9">
        <f>IF(OR(V1314="",V1314=0),"",(X1314-V1314)/V1314)</f>
        <v/>
      </c>
      <c r="Z1314" s="7">
        <f>IF(COUNT(D1314:U1314)=0,"",INDEX($D$1:$U$1,MATCH(MIN(D1314:U1314),D1314:U1314,0)))</f>
        <v/>
      </c>
      <c r="AA1314" s="8" t="n">
        <v>5053.69</v>
      </c>
      <c r="AB1314" s="10" t="n">
        <v>1</v>
      </c>
    </row>
    <row r="1315">
      <c r="A1315" s="7" t="inlineStr">
        <is>
          <t>MAT-28-018</t>
        </is>
      </c>
      <c r="B1315" s="4" t="inlineStr">
        <is>
          <t>Sirena de alarma de interior</t>
        </is>
      </c>
      <c r="C1315" s="7" t="inlineStr">
        <is>
          <t>unidad</t>
        </is>
      </c>
      <c r="D1315" s="8" t="n">
        <v>3381.4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>
        <f>IF(COUNT(D1315:U1315)=0,"",MIN(D1315:U1315))</f>
        <v/>
      </c>
      <c r="W1315" s="8">
        <f>IF(COUNT(D1315:U1315)=0,"",MEDIAN(D1315:U1315))</f>
        <v/>
      </c>
      <c r="X1315" s="8">
        <f>IF(COUNT(D1315:U1315)=0,"",MAX(D1315:U1315))</f>
        <v/>
      </c>
      <c r="Y1315" s="9">
        <f>IF(OR(V1315="",V1315=0),"",(X1315-V1315)/V1315)</f>
        <v/>
      </c>
      <c r="Z1315" s="7">
        <f>IF(COUNT(D1315:U1315)=0,"",INDEX($D$1:$U$1,MATCH(MIN(D1315:U1315),D1315:U1315,0)))</f>
        <v/>
      </c>
      <c r="AA1315" s="8" t="n">
        <v>3381.4</v>
      </c>
      <c r="AB1315" s="10" t="n">
        <v>1</v>
      </c>
    </row>
    <row r="1316">
      <c r="A1316" s="7" t="inlineStr">
        <is>
          <t>MAT-28-019</t>
        </is>
      </c>
      <c r="B1316" s="4" t="inlineStr">
        <is>
          <t>Control de acceso</t>
        </is>
      </c>
      <c r="C1316" s="7" t="inlineStr">
        <is>
          <t>unidad</t>
        </is>
      </c>
      <c r="D1316" s="8" t="n">
        <v>5063.11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>
        <f>IF(COUNT(D1316:U1316)=0,"",MIN(D1316:U1316))</f>
        <v/>
      </c>
      <c r="W1316" s="8">
        <f>IF(COUNT(D1316:U1316)=0,"",MEDIAN(D1316:U1316))</f>
        <v/>
      </c>
      <c r="X1316" s="8">
        <f>IF(COUNT(D1316:U1316)=0,"",MAX(D1316:U1316))</f>
        <v/>
      </c>
      <c r="Y1316" s="9">
        <f>IF(OR(V1316="",V1316=0),"",(X1316-V1316)/V1316)</f>
        <v/>
      </c>
      <c r="Z1316" s="7">
        <f>IF(COUNT(D1316:U1316)=0,"",INDEX($D$1:$U$1,MATCH(MIN(D1316:U1316),D1316:U1316,0)))</f>
        <v/>
      </c>
      <c r="AA1316" s="8" t="n">
        <v>14529.44</v>
      </c>
      <c r="AB1316" s="10" t="n">
        <v>1</v>
      </c>
    </row>
    <row r="1317">
      <c r="A1317" s="7" t="inlineStr">
        <is>
          <t>MAT-28-020</t>
        </is>
      </c>
      <c r="B1317" s="4" t="inlineStr">
        <is>
          <t>Control de acceso huella</t>
        </is>
      </c>
      <c r="C1317" s="7" t="inlineStr">
        <is>
          <t>unidad</t>
        </is>
      </c>
      <c r="D1317" s="8" t="n">
        <v>10930.42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>
        <f>IF(COUNT(D1317:U1317)=0,"",MIN(D1317:U1317))</f>
        <v/>
      </c>
      <c r="W1317" s="8">
        <f>IF(COUNT(D1317:U1317)=0,"",MEDIAN(D1317:U1317))</f>
        <v/>
      </c>
      <c r="X1317" s="8">
        <f>IF(COUNT(D1317:U1317)=0,"",MAX(D1317:U1317))</f>
        <v/>
      </c>
      <c r="Y1317" s="9">
        <f>IF(OR(V1317="",V1317=0),"",(X1317-V1317)/V1317)</f>
        <v/>
      </c>
      <c r="Z1317" s="7">
        <f>IF(COUNT(D1317:U1317)=0,"",INDEX($D$1:$U$1,MATCH(MIN(D1317:U1317),D1317:U1317,0)))</f>
        <v/>
      </c>
      <c r="AA1317" s="8" t="n">
        <v>16289.94</v>
      </c>
      <c r="AB1317" s="10" t="n">
        <v>1</v>
      </c>
    </row>
    <row r="1318">
      <c r="A1318" s="7" t="inlineStr">
        <is>
          <t>MAT-28-021</t>
        </is>
      </c>
      <c r="B1318" s="4" t="inlineStr">
        <is>
          <t>Control de acceso proximidad</t>
        </is>
      </c>
      <c r="C1318" s="7" t="inlineStr">
        <is>
          <t>unidad</t>
        </is>
      </c>
      <c r="D1318" s="8" t="n">
        <v>8365.110000000001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>
        <f>IF(COUNT(D1318:U1318)=0,"",MIN(D1318:U1318))</f>
        <v/>
      </c>
      <c r="W1318" s="8">
        <f>IF(COUNT(D1318:U1318)=0,"",MEDIAN(D1318:U1318))</f>
        <v/>
      </c>
      <c r="X1318" s="8">
        <f>IF(COUNT(D1318:U1318)=0,"",MAX(D1318:U1318))</f>
        <v/>
      </c>
      <c r="Y1318" s="9">
        <f>IF(OR(V1318="",V1318=0),"",(X1318-V1318)/V1318)</f>
        <v/>
      </c>
      <c r="Z1318" s="7">
        <f>IF(COUNT(D1318:U1318)=0,"",INDEX($D$1:$U$1,MATCH(MIN(D1318:U1318),D1318:U1318,0)))</f>
        <v/>
      </c>
      <c r="AA1318" s="8" t="n">
        <v>9465.780000000001</v>
      </c>
      <c r="AB1318" s="10" t="n">
        <v>1</v>
      </c>
    </row>
    <row r="1319">
      <c r="A1319" s="7" t="inlineStr">
        <is>
          <t>MAT-28-022</t>
        </is>
      </c>
      <c r="B1319" s="4" t="inlineStr">
        <is>
          <t>Control de acceso teclado</t>
        </is>
      </c>
      <c r="C1319" s="7" t="inlineStr">
        <is>
          <t>unidad</t>
        </is>
      </c>
      <c r="D1319" s="8" t="n">
        <v>12767.79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>
        <f>IF(COUNT(D1319:U1319)=0,"",MIN(D1319:U1319))</f>
        <v/>
      </c>
      <c r="W1319" s="8">
        <f>IF(COUNT(D1319:U1319)=0,"",MEDIAN(D1319:U1319))</f>
        <v/>
      </c>
      <c r="X1319" s="8">
        <f>IF(COUNT(D1319:U1319)=0,"",MAX(D1319:U1319))</f>
        <v/>
      </c>
      <c r="Y1319" s="9">
        <f>IF(OR(V1319="",V1319=0),"",(X1319-V1319)/V1319)</f>
        <v/>
      </c>
      <c r="Z1319" s="7">
        <f>IF(COUNT(D1319:U1319)=0,"",INDEX($D$1:$U$1,MATCH(MIN(D1319:U1319),D1319:U1319,0)))</f>
        <v/>
      </c>
      <c r="AA1319" s="8" t="n">
        <v>12767.79</v>
      </c>
      <c r="AB1319" s="10" t="n">
        <v>1</v>
      </c>
    </row>
    <row r="1320">
      <c r="A1320" s="7" t="inlineStr">
        <is>
          <t>MAT-28-024</t>
        </is>
      </c>
      <c r="B1320" s="4" t="inlineStr">
        <is>
          <t>Accesorio de sistema de alarma</t>
        </is>
      </c>
      <c r="C1320" s="7" t="inlineStr">
        <is>
          <t>unidad</t>
        </is>
      </c>
      <c r="D1320" s="8" t="n">
        <v>146.83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>
        <f>IF(COUNT(D1320:U1320)=0,"",MIN(D1320:U1320))</f>
        <v/>
      </c>
      <c r="W1320" s="8">
        <f>IF(COUNT(D1320:U1320)=0,"",MEDIAN(D1320:U1320))</f>
        <v/>
      </c>
      <c r="X1320" s="8">
        <f>IF(COUNT(D1320:U1320)=0,"",MAX(D1320:U1320))</f>
        <v/>
      </c>
      <c r="Y1320" s="9">
        <f>IF(OR(V1320="",V1320=0),"",(X1320-V1320)/V1320)</f>
        <v/>
      </c>
      <c r="Z1320" s="7">
        <f>IF(COUNT(D1320:U1320)=0,"",INDEX($D$1:$U$1,MATCH(MIN(D1320:U1320),D1320:U1320,0)))</f>
        <v/>
      </c>
      <c r="AA1320" s="8" t="n">
        <v>1838.69</v>
      </c>
      <c r="AB1320" s="10" t="n">
        <v>1</v>
      </c>
    </row>
    <row r="1321">
      <c r="A1321" s="7" t="inlineStr">
        <is>
          <t>MAT-29-003</t>
        </is>
      </c>
      <c r="B1321" s="4" t="inlineStr">
        <is>
          <t>Detector para sistema de incendio de calor</t>
        </is>
      </c>
      <c r="C1321" s="7" t="inlineStr">
        <is>
          <t>unidad</t>
        </is>
      </c>
      <c r="D1321" s="8" t="n">
        <v>1508.54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>
        <f>IF(COUNT(D1321:U1321)=0,"",MIN(D1321:U1321))</f>
        <v/>
      </c>
      <c r="W1321" s="8">
        <f>IF(COUNT(D1321:U1321)=0,"",MEDIAN(D1321:U1321))</f>
        <v/>
      </c>
      <c r="X1321" s="8">
        <f>IF(COUNT(D1321:U1321)=0,"",MAX(D1321:U1321))</f>
        <v/>
      </c>
      <c r="Y1321" s="9">
        <f>IF(OR(V1321="",V1321=0),"",(X1321-V1321)/V1321)</f>
        <v/>
      </c>
      <c r="Z1321" s="7">
        <f>IF(COUNT(D1321:U1321)=0,"",INDEX($D$1:$U$1,MATCH(MIN(D1321:U1321),D1321:U1321,0)))</f>
        <v/>
      </c>
      <c r="AA1321" s="8" t="n">
        <v>1780.89</v>
      </c>
      <c r="AB1321" s="10" t="n">
        <v>1</v>
      </c>
    </row>
    <row r="1322">
      <c r="A1322" s="7" t="inlineStr">
        <is>
          <t>MAT-29-004</t>
        </is>
      </c>
      <c r="B1322" s="4" t="inlineStr">
        <is>
          <t>Detector para sistema de incendio de humo</t>
        </is>
      </c>
      <c r="C1322" s="7" t="inlineStr">
        <is>
          <t>unidad</t>
        </is>
      </c>
      <c r="D1322" s="8" t="n">
        <v>1934.03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>
        <f>IF(COUNT(D1322:U1322)=0,"",MIN(D1322:U1322))</f>
        <v/>
      </c>
      <c r="W1322" s="8">
        <f>IF(COUNT(D1322:U1322)=0,"",MEDIAN(D1322:U1322))</f>
        <v/>
      </c>
      <c r="X1322" s="8">
        <f>IF(COUNT(D1322:U1322)=0,"",MAX(D1322:U1322))</f>
        <v/>
      </c>
      <c r="Y1322" s="9">
        <f>IF(OR(V1322="",V1322=0),"",(X1322-V1322)/V1322)</f>
        <v/>
      </c>
      <c r="Z1322" s="7">
        <f>IF(COUNT(D1322:U1322)=0,"",INDEX($D$1:$U$1,MATCH(MIN(D1322:U1322),D1322:U1322,0)))</f>
        <v/>
      </c>
      <c r="AA1322" s="8" t="n">
        <v>2135.37</v>
      </c>
      <c r="AB1322" s="10" t="n">
        <v>1</v>
      </c>
    </row>
    <row r="1323">
      <c r="A1323" s="7" t="inlineStr">
        <is>
          <t>MAT-29-005</t>
        </is>
      </c>
      <c r="B1323" s="4" t="inlineStr">
        <is>
          <t>Detector para sistema de incendio de humo y calor</t>
        </is>
      </c>
      <c r="C1323" s="7" t="inlineStr">
        <is>
          <t>unidad</t>
        </is>
      </c>
      <c r="D1323" s="8" t="n">
        <v>1657.72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>
        <f>IF(COUNT(D1323:U1323)=0,"",MIN(D1323:U1323))</f>
        <v/>
      </c>
      <c r="W1323" s="8">
        <f>IF(COUNT(D1323:U1323)=0,"",MEDIAN(D1323:U1323))</f>
        <v/>
      </c>
      <c r="X1323" s="8">
        <f>IF(COUNT(D1323:U1323)=0,"",MAX(D1323:U1323))</f>
        <v/>
      </c>
      <c r="Y1323" s="9">
        <f>IF(OR(V1323="",V1323=0),"",(X1323-V1323)/V1323)</f>
        <v/>
      </c>
      <c r="Z1323" s="7">
        <f>IF(COUNT(D1323:U1323)=0,"",INDEX($D$1:$U$1,MATCH(MIN(D1323:U1323),D1323:U1323,0)))</f>
        <v/>
      </c>
      <c r="AA1323" s="8" t="n">
        <v>1657.72</v>
      </c>
      <c r="AB1323" s="10" t="n">
        <v>1</v>
      </c>
    </row>
    <row r="1324">
      <c r="A1324" s="7" t="inlineStr">
        <is>
          <t>MAT-29-006</t>
        </is>
      </c>
      <c r="B1324" s="4" t="inlineStr">
        <is>
          <t>Estación manual de incendio</t>
        </is>
      </c>
      <c r="C1324" s="7" t="inlineStr">
        <is>
          <t>unidad</t>
        </is>
      </c>
      <c r="D1324" s="8" t="n">
        <v>870.3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>
        <f>IF(COUNT(D1324:U1324)=0,"",MIN(D1324:U1324))</f>
        <v/>
      </c>
      <c r="W1324" s="8">
        <f>IF(COUNT(D1324:U1324)=0,"",MEDIAN(D1324:U1324))</f>
        <v/>
      </c>
      <c r="X1324" s="8">
        <f>IF(COUNT(D1324:U1324)=0,"",MAX(D1324:U1324))</f>
        <v/>
      </c>
      <c r="Y1324" s="9">
        <f>IF(OR(V1324="",V1324=0),"",(X1324-V1324)/V1324)</f>
        <v/>
      </c>
      <c r="Z1324" s="7">
        <f>IF(COUNT(D1324:U1324)=0,"",INDEX($D$1:$U$1,MATCH(MIN(D1324:U1324),D1324:U1324,0)))</f>
        <v/>
      </c>
      <c r="AA1324" s="8" t="n">
        <v>2358.36</v>
      </c>
      <c r="AB1324" s="10" t="n">
        <v>1</v>
      </c>
    </row>
    <row r="1325">
      <c r="A1325" s="7" t="inlineStr">
        <is>
          <t>MAT-29-007</t>
        </is>
      </c>
      <c r="B1325" s="4" t="inlineStr">
        <is>
          <t>Sirena o estrobo de incendio</t>
        </is>
      </c>
      <c r="C1325" s="7" t="inlineStr">
        <is>
          <t>unidad</t>
        </is>
      </c>
      <c r="D1325" s="8" t="n">
        <v>3502.55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>
        <f>IF(COUNT(D1325:U1325)=0,"",MIN(D1325:U1325))</f>
        <v/>
      </c>
      <c r="W1325" s="8">
        <f>IF(COUNT(D1325:U1325)=0,"",MEDIAN(D1325:U1325))</f>
        <v/>
      </c>
      <c r="X1325" s="8">
        <f>IF(COUNT(D1325:U1325)=0,"",MAX(D1325:U1325))</f>
        <v/>
      </c>
      <c r="Y1325" s="9">
        <f>IF(OR(V1325="",V1325=0),"",(X1325-V1325)/V1325)</f>
        <v/>
      </c>
      <c r="Z1325" s="7">
        <f>IF(COUNT(D1325:U1325)=0,"",INDEX($D$1:$U$1,MATCH(MIN(D1325:U1325),D1325:U1325,0)))</f>
        <v/>
      </c>
      <c r="AA1325" s="8" t="n">
        <v>3502.55</v>
      </c>
      <c r="AB1325" s="10" t="n">
        <v>1</v>
      </c>
    </row>
    <row r="1326">
      <c r="A1326" s="7" t="inlineStr">
        <is>
          <t>MAT-29-008</t>
        </is>
      </c>
      <c r="B1326" s="4" t="inlineStr">
        <is>
          <t>Accesorio de sistema de incendio</t>
        </is>
      </c>
      <c r="C1326" s="7" t="inlineStr">
        <is>
          <t>unidad</t>
        </is>
      </c>
      <c r="D1326" s="8" t="n">
        <v>232.07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>
        <f>IF(COUNT(D1326:U1326)=0,"",MIN(D1326:U1326))</f>
        <v/>
      </c>
      <c r="W1326" s="8">
        <f>IF(COUNT(D1326:U1326)=0,"",MEDIAN(D1326:U1326))</f>
        <v/>
      </c>
      <c r="X1326" s="8">
        <f>IF(COUNT(D1326:U1326)=0,"",MAX(D1326:U1326))</f>
        <v/>
      </c>
      <c r="Y1326" s="9">
        <f>IF(OR(V1326="",V1326=0),"",(X1326-V1326)/V1326)</f>
        <v/>
      </c>
      <c r="Z1326" s="7">
        <f>IF(COUNT(D1326:U1326)=0,"",INDEX($D$1:$U$1,MATCH(MIN(D1326:U1326),D1326:U1326,0)))</f>
        <v/>
      </c>
      <c r="AA1326" s="8" t="n">
        <v>270.76</v>
      </c>
      <c r="AB1326" s="10" t="n">
        <v>1</v>
      </c>
    </row>
    <row r="1327">
      <c r="A1327" s="7" t="inlineStr">
        <is>
          <t>MAT-30-003</t>
        </is>
      </c>
      <c r="B1327" s="4" t="inlineStr">
        <is>
          <t>Cable de red blindado</t>
        </is>
      </c>
      <c r="C1327" s="7" t="inlineStr">
        <is>
          <t>rollo</t>
        </is>
      </c>
      <c r="D1327" s="8" t="n">
        <v>1675.6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>
        <f>IF(COUNT(D1327:U1327)=0,"",MIN(D1327:U1327))</f>
        <v/>
      </c>
      <c r="W1327" s="8">
        <f>IF(COUNT(D1327:U1327)=0,"",MEDIAN(D1327:U1327))</f>
        <v/>
      </c>
      <c r="X1327" s="8">
        <f>IF(COUNT(D1327:U1327)=0,"",MAX(D1327:U1327))</f>
        <v/>
      </c>
      <c r="Y1327" s="9">
        <f>IF(OR(V1327="",V1327=0),"",(X1327-V1327)/V1327)</f>
        <v/>
      </c>
      <c r="Z1327" s="7">
        <f>IF(COUNT(D1327:U1327)=0,"",INDEX($D$1:$U$1,MATCH(MIN(D1327:U1327),D1327:U1327,0)))</f>
        <v/>
      </c>
      <c r="AA1327" s="8" t="n">
        <v>1675.6</v>
      </c>
      <c r="AB1327" s="10" t="n">
        <v>1</v>
      </c>
    </row>
    <row r="1328">
      <c r="A1328" s="7" t="inlineStr">
        <is>
          <t>MAT-30-004</t>
        </is>
      </c>
      <c r="B1328" s="4" t="inlineStr">
        <is>
          <t>Cable de red Cat 5</t>
        </is>
      </c>
      <c r="C1328" s="7" t="inlineStr">
        <is>
          <t>rollo</t>
        </is>
      </c>
      <c r="D1328" s="8" t="n">
        <v>72.59999999999999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>
        <f>IF(COUNT(D1328:U1328)=0,"",MIN(D1328:U1328))</f>
        <v/>
      </c>
      <c r="W1328" s="8">
        <f>IF(COUNT(D1328:U1328)=0,"",MEDIAN(D1328:U1328))</f>
        <v/>
      </c>
      <c r="X1328" s="8">
        <f>IF(COUNT(D1328:U1328)=0,"",MAX(D1328:U1328))</f>
        <v/>
      </c>
      <c r="Y1328" s="9">
        <f>IF(OR(V1328="",V1328=0),"",(X1328-V1328)/V1328)</f>
        <v/>
      </c>
      <c r="Z1328" s="7">
        <f>IF(COUNT(D1328:U1328)=0,"",INDEX($D$1:$U$1,MATCH(MIN(D1328:U1328),D1328:U1328,0)))</f>
        <v/>
      </c>
      <c r="AA1328" s="8" t="n">
        <v>106.6</v>
      </c>
      <c r="AB1328" s="10" t="n">
        <v>1</v>
      </c>
    </row>
    <row r="1329">
      <c r="A1329" s="7" t="inlineStr">
        <is>
          <t>MAT-30-005</t>
        </is>
      </c>
      <c r="B1329" s="4" t="inlineStr">
        <is>
          <t>Cable de red Cat 5 blindado</t>
        </is>
      </c>
      <c r="C1329" s="7" t="inlineStr">
        <is>
          <t>rollo</t>
        </is>
      </c>
      <c r="D1329" s="8" t="n">
        <v>813.6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>
        <f>IF(COUNT(D1329:U1329)=0,"",MIN(D1329:U1329))</f>
        <v/>
      </c>
      <c r="W1329" s="8">
        <f>IF(COUNT(D1329:U1329)=0,"",MEDIAN(D1329:U1329))</f>
        <v/>
      </c>
      <c r="X1329" s="8">
        <f>IF(COUNT(D1329:U1329)=0,"",MAX(D1329:U1329))</f>
        <v/>
      </c>
      <c r="Y1329" s="9">
        <f>IF(OR(V1329="",V1329=0),"",(X1329-V1329)/V1329)</f>
        <v/>
      </c>
      <c r="Z1329" s="7">
        <f>IF(COUNT(D1329:U1329)=0,"",INDEX($D$1:$U$1,MATCH(MIN(D1329:U1329),D1329:U1329,0)))</f>
        <v/>
      </c>
      <c r="AA1329" s="8" t="n">
        <v>813.6</v>
      </c>
      <c r="AB1329" s="10" t="n">
        <v>1</v>
      </c>
    </row>
    <row r="1330">
      <c r="A1330" s="7" t="inlineStr">
        <is>
          <t>MAT-30-007</t>
        </is>
      </c>
      <c r="B1330" s="4" t="inlineStr">
        <is>
          <t>Cable de red Cat 6A</t>
        </is>
      </c>
      <c r="C1330" s="7" t="inlineStr">
        <is>
          <t>rollo</t>
        </is>
      </c>
      <c r="D1330" s="8" t="n">
        <v>215.59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>
        <f>IF(COUNT(D1330:U1330)=0,"",MIN(D1330:U1330))</f>
        <v/>
      </c>
      <c r="W1330" s="8">
        <f>IF(COUNT(D1330:U1330)=0,"",MEDIAN(D1330:U1330))</f>
        <v/>
      </c>
      <c r="X1330" s="8">
        <f>IF(COUNT(D1330:U1330)=0,"",MAX(D1330:U1330))</f>
        <v/>
      </c>
      <c r="Y1330" s="9">
        <f>IF(OR(V1330="",V1330=0),"",(X1330-V1330)/V1330)</f>
        <v/>
      </c>
      <c r="Z1330" s="7">
        <f>IF(COUNT(D1330:U1330)=0,"",INDEX($D$1:$U$1,MATCH(MIN(D1330:U1330),D1330:U1330,0)))</f>
        <v/>
      </c>
      <c r="AA1330" s="8" t="n">
        <v>466.67</v>
      </c>
      <c r="AB1330" s="10" t="n">
        <v>1</v>
      </c>
    </row>
    <row r="1331">
      <c r="A1331" s="7" t="inlineStr">
        <is>
          <t>MAT-30-009</t>
        </is>
      </c>
      <c r="B1331" s="4" t="inlineStr">
        <is>
          <t>Jack RJ45 Cat 5</t>
        </is>
      </c>
      <c r="C1331" s="7" t="inlineStr">
        <is>
          <t>unidad</t>
        </is>
      </c>
      <c r="D1331" s="8" t="n">
        <v>106.97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>
        <f>IF(COUNT(D1331:U1331)=0,"",MIN(D1331:U1331))</f>
        <v/>
      </c>
      <c r="W1331" s="8">
        <f>IF(COUNT(D1331:U1331)=0,"",MEDIAN(D1331:U1331))</f>
        <v/>
      </c>
      <c r="X1331" s="8">
        <f>IF(COUNT(D1331:U1331)=0,"",MAX(D1331:U1331))</f>
        <v/>
      </c>
      <c r="Y1331" s="9">
        <f>IF(OR(V1331="",V1331=0),"",(X1331-V1331)/V1331)</f>
        <v/>
      </c>
      <c r="Z1331" s="7">
        <f>IF(COUNT(D1331:U1331)=0,"",INDEX($D$1:$U$1,MATCH(MIN(D1331:U1331),D1331:U1331,0)))</f>
        <v/>
      </c>
      <c r="AA1331" s="8" t="n">
        <v>106.97</v>
      </c>
      <c r="AB1331" s="10" t="n">
        <v>1</v>
      </c>
    </row>
    <row r="1332">
      <c r="A1332" s="7" t="inlineStr">
        <is>
          <t>MAT-30-010</t>
        </is>
      </c>
      <c r="B1332" s="4" t="inlineStr">
        <is>
          <t>Jack RJ45 Cat 6</t>
        </is>
      </c>
      <c r="C1332" s="7" t="inlineStr">
        <is>
          <t>unidad</t>
        </is>
      </c>
      <c r="D1332" s="8" t="n">
        <v>189.16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>
        <f>IF(COUNT(D1332:U1332)=0,"",MIN(D1332:U1332))</f>
        <v/>
      </c>
      <c r="W1332" s="8">
        <f>IF(COUNT(D1332:U1332)=0,"",MEDIAN(D1332:U1332))</f>
        <v/>
      </c>
      <c r="X1332" s="8">
        <f>IF(COUNT(D1332:U1332)=0,"",MAX(D1332:U1332))</f>
        <v/>
      </c>
      <c r="Y1332" s="9">
        <f>IF(OR(V1332="",V1332=0),"",(X1332-V1332)/V1332)</f>
        <v/>
      </c>
      <c r="Z1332" s="7">
        <f>IF(COUNT(D1332:U1332)=0,"",INDEX($D$1:$U$1,MATCH(MIN(D1332:U1332),D1332:U1332,0)))</f>
        <v/>
      </c>
      <c r="AA1332" s="8" t="n">
        <v>254.97</v>
      </c>
      <c r="AB1332" s="10" t="n">
        <v>1</v>
      </c>
    </row>
    <row r="1333">
      <c r="A1333" s="7" t="inlineStr">
        <is>
          <t>MAT-30-011</t>
        </is>
      </c>
      <c r="B1333" s="4" t="inlineStr">
        <is>
          <t>Jack RJ45 Cat 6A</t>
        </is>
      </c>
      <c r="C1333" s="7" t="inlineStr">
        <is>
          <t>unidad</t>
        </is>
      </c>
      <c r="D1333" s="8" t="n">
        <v>256.97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>
        <f>IF(COUNT(D1333:U1333)=0,"",MIN(D1333:U1333))</f>
        <v/>
      </c>
      <c r="W1333" s="8">
        <f>IF(COUNT(D1333:U1333)=0,"",MEDIAN(D1333:U1333))</f>
        <v/>
      </c>
      <c r="X1333" s="8">
        <f>IF(COUNT(D1333:U1333)=0,"",MAX(D1333:U1333))</f>
        <v/>
      </c>
      <c r="Y1333" s="9">
        <f>IF(OR(V1333="",V1333=0),"",(X1333-V1333)/V1333)</f>
        <v/>
      </c>
      <c r="Z1333" s="7">
        <f>IF(COUNT(D1333:U1333)=0,"",INDEX($D$1:$U$1,MATCH(MIN(D1333:U1333),D1333:U1333,0)))</f>
        <v/>
      </c>
      <c r="AA1333" s="8" t="n">
        <v>256.97</v>
      </c>
      <c r="AB1333" s="10" t="n">
        <v>1</v>
      </c>
    </row>
    <row r="1334">
      <c r="A1334" s="7" t="inlineStr">
        <is>
          <t>MAT-30-012</t>
        </is>
      </c>
      <c r="B1334" s="4" t="inlineStr">
        <is>
          <t>Jack RJ45 Cat 6A blindado</t>
        </is>
      </c>
      <c r="C1334" s="7" t="inlineStr">
        <is>
          <t>unidad</t>
        </is>
      </c>
      <c r="D1334" s="8" t="n">
        <v>275.76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>
        <f>IF(COUNT(D1334:U1334)=0,"",MIN(D1334:U1334))</f>
        <v/>
      </c>
      <c r="W1334" s="8">
        <f>IF(COUNT(D1334:U1334)=0,"",MEDIAN(D1334:U1334))</f>
        <v/>
      </c>
      <c r="X1334" s="8">
        <f>IF(COUNT(D1334:U1334)=0,"",MAX(D1334:U1334))</f>
        <v/>
      </c>
      <c r="Y1334" s="9">
        <f>IF(OR(V1334="",V1334=0),"",(X1334-V1334)/V1334)</f>
        <v/>
      </c>
      <c r="Z1334" s="7">
        <f>IF(COUNT(D1334:U1334)=0,"",INDEX($D$1:$U$1,MATCH(MIN(D1334:U1334),D1334:U1334,0)))</f>
        <v/>
      </c>
      <c r="AA1334" s="8" t="n">
        <v>334.53</v>
      </c>
      <c r="AB1334" s="10" t="n">
        <v>1</v>
      </c>
    </row>
    <row r="1335">
      <c r="A1335" s="7" t="inlineStr">
        <is>
          <t>MAT-30-013</t>
        </is>
      </c>
      <c r="B1335" s="4" t="inlineStr">
        <is>
          <t>Patch panel</t>
        </is>
      </c>
      <c r="C1335" s="7" t="inlineStr">
        <is>
          <t>unidad</t>
        </is>
      </c>
      <c r="D1335" s="8" t="n">
        <v>192.87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>
        <f>IF(COUNT(D1335:U1335)=0,"",MIN(D1335:U1335))</f>
        <v/>
      </c>
      <c r="W1335" s="8">
        <f>IF(COUNT(D1335:U1335)=0,"",MEDIAN(D1335:U1335))</f>
        <v/>
      </c>
      <c r="X1335" s="8">
        <f>IF(COUNT(D1335:U1335)=0,"",MAX(D1335:U1335))</f>
        <v/>
      </c>
      <c r="Y1335" s="9">
        <f>IF(OR(V1335="",V1335=0),"",(X1335-V1335)/V1335)</f>
        <v/>
      </c>
      <c r="Z1335" s="7">
        <f>IF(COUNT(D1335:U1335)=0,"",INDEX($D$1:$U$1,MATCH(MIN(D1335:U1335),D1335:U1335,0)))</f>
        <v/>
      </c>
      <c r="AA1335" s="8" t="n">
        <v>1305.12</v>
      </c>
      <c r="AB1335" s="10" t="n">
        <v>1</v>
      </c>
    </row>
    <row r="1336">
      <c r="A1336" s="7" t="inlineStr">
        <is>
          <t>MAT-30-014</t>
        </is>
      </c>
      <c r="B1336" s="4" t="inlineStr">
        <is>
          <t>Patch panel 24 puertos</t>
        </is>
      </c>
      <c r="C1336" s="7" t="inlineStr">
        <is>
          <t>unidad</t>
        </is>
      </c>
      <c r="D1336" s="8" t="n">
        <v>5568.67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>
        <f>IF(COUNT(D1336:U1336)=0,"",MIN(D1336:U1336))</f>
        <v/>
      </c>
      <c r="W1336" s="8">
        <f>IF(COUNT(D1336:U1336)=0,"",MEDIAN(D1336:U1336))</f>
        <v/>
      </c>
      <c r="X1336" s="8">
        <f>IF(COUNT(D1336:U1336)=0,"",MAX(D1336:U1336))</f>
        <v/>
      </c>
      <c r="Y1336" s="9">
        <f>IF(OR(V1336="",V1336=0),"",(X1336-V1336)/V1336)</f>
        <v/>
      </c>
      <c r="Z1336" s="7">
        <f>IF(COUNT(D1336:U1336)=0,"",INDEX($D$1:$U$1,MATCH(MIN(D1336:U1336),D1336:U1336,0)))</f>
        <v/>
      </c>
      <c r="AA1336" s="8" t="n">
        <v>5568.67</v>
      </c>
      <c r="AB1336" s="10" t="n">
        <v>1</v>
      </c>
    </row>
    <row r="1337">
      <c r="A1337" s="7" t="inlineStr">
        <is>
          <t>MAT-30-015</t>
        </is>
      </c>
      <c r="B1337" s="4" t="inlineStr">
        <is>
          <t>Patch panel 48 puertos</t>
        </is>
      </c>
      <c r="C1337" s="7" t="inlineStr">
        <is>
          <t>unidad</t>
        </is>
      </c>
      <c r="D1337" s="8" t="n">
        <v>1782.28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>
        <f>IF(COUNT(D1337:U1337)=0,"",MIN(D1337:U1337))</f>
        <v/>
      </c>
      <c r="W1337" s="8">
        <f>IF(COUNT(D1337:U1337)=0,"",MEDIAN(D1337:U1337))</f>
        <v/>
      </c>
      <c r="X1337" s="8">
        <f>IF(COUNT(D1337:U1337)=0,"",MAX(D1337:U1337))</f>
        <v/>
      </c>
      <c r="Y1337" s="9">
        <f>IF(OR(V1337="",V1337=0),"",(X1337-V1337)/V1337)</f>
        <v/>
      </c>
      <c r="Z1337" s="7">
        <f>IF(COUNT(D1337:U1337)=0,"",INDEX($D$1:$U$1,MATCH(MIN(D1337:U1337),D1337:U1337,0)))</f>
        <v/>
      </c>
      <c r="AA1337" s="8" t="n">
        <v>1782.28</v>
      </c>
      <c r="AB1337" s="10" t="n">
        <v>1</v>
      </c>
    </row>
    <row r="1338">
      <c r="A1338" s="7" t="inlineStr">
        <is>
          <t>MAT-30-016</t>
        </is>
      </c>
      <c r="B1338" s="4" t="inlineStr">
        <is>
          <t>Placa de pared para datos</t>
        </is>
      </c>
      <c r="C1338" s="7" t="inlineStr">
        <is>
          <t>unidad</t>
        </is>
      </c>
      <c r="D1338" s="8" t="n">
        <v>77.06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>
        <f>IF(COUNT(D1338:U1338)=0,"",MIN(D1338:U1338))</f>
        <v/>
      </c>
      <c r="W1338" s="8">
        <f>IF(COUNT(D1338:U1338)=0,"",MEDIAN(D1338:U1338))</f>
        <v/>
      </c>
      <c r="X1338" s="8">
        <f>IF(COUNT(D1338:U1338)=0,"",MAX(D1338:U1338))</f>
        <v/>
      </c>
      <c r="Y1338" s="9">
        <f>IF(OR(V1338="",V1338=0),"",(X1338-V1338)/V1338)</f>
        <v/>
      </c>
      <c r="Z1338" s="7">
        <f>IF(COUNT(D1338:U1338)=0,"",INDEX($D$1:$U$1,MATCH(MIN(D1338:U1338),D1338:U1338,0)))</f>
        <v/>
      </c>
      <c r="AA1338" s="8" t="n">
        <v>102.17</v>
      </c>
      <c r="AB1338" s="10" t="n">
        <v>1</v>
      </c>
    </row>
    <row r="1339">
      <c r="A1339" s="7" t="inlineStr">
        <is>
          <t>MAT-30-019</t>
        </is>
      </c>
      <c r="B1339" s="4" t="inlineStr">
        <is>
          <t>Placa de pared para datos 3 puertos</t>
        </is>
      </c>
      <c r="C1339" s="7" t="inlineStr">
        <is>
          <t>unidad</t>
        </is>
      </c>
      <c r="D1339" s="8" t="n">
        <v>1196.92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>
        <f>IF(COUNT(D1339:U1339)=0,"",MIN(D1339:U1339))</f>
        <v/>
      </c>
      <c r="W1339" s="8">
        <f>IF(COUNT(D1339:U1339)=0,"",MEDIAN(D1339:U1339))</f>
        <v/>
      </c>
      <c r="X1339" s="8">
        <f>IF(COUNT(D1339:U1339)=0,"",MAX(D1339:U1339))</f>
        <v/>
      </c>
      <c r="Y1339" s="9">
        <f>IF(OR(V1339="",V1339=0),"",(X1339-V1339)/V1339)</f>
        <v/>
      </c>
      <c r="Z1339" s="7">
        <f>IF(COUNT(D1339:U1339)=0,"",INDEX($D$1:$U$1,MATCH(MIN(D1339:U1339),D1339:U1339,0)))</f>
        <v/>
      </c>
      <c r="AA1339" s="8" t="n">
        <v>1196.92</v>
      </c>
      <c r="AB1339" s="10" t="n">
        <v>1</v>
      </c>
    </row>
    <row r="1340">
      <c r="A1340" s="7" t="inlineStr">
        <is>
          <t>MAT-30-021</t>
        </is>
      </c>
      <c r="B1340" s="4" t="inlineStr">
        <is>
          <t>Equipo de red</t>
        </is>
      </c>
      <c r="C1340" s="7" t="inlineStr">
        <is>
          <t>unidad</t>
        </is>
      </c>
      <c r="D1340" s="8" t="n">
        <v>587.39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>
        <f>IF(COUNT(D1340:U1340)=0,"",MIN(D1340:U1340))</f>
        <v/>
      </c>
      <c r="W1340" s="8">
        <f>IF(COUNT(D1340:U1340)=0,"",MEDIAN(D1340:U1340))</f>
        <v/>
      </c>
      <c r="X1340" s="8">
        <f>IF(COUNT(D1340:U1340)=0,"",MAX(D1340:U1340))</f>
        <v/>
      </c>
      <c r="Y1340" s="9">
        <f>IF(OR(V1340="",V1340=0),"",(X1340-V1340)/V1340)</f>
        <v/>
      </c>
      <c r="Z1340" s="7">
        <f>IF(COUNT(D1340:U1340)=0,"",INDEX($D$1:$U$1,MATCH(MIN(D1340:U1340),D1340:U1340,0)))</f>
        <v/>
      </c>
      <c r="AA1340" s="8" t="n">
        <v>4902.12</v>
      </c>
      <c r="AB1340" s="10" t="n">
        <v>1</v>
      </c>
    </row>
    <row r="1341">
      <c r="A1341" s="7" t="inlineStr">
        <is>
          <t>MAT-30-022</t>
        </is>
      </c>
      <c r="B1341" s="4" t="inlineStr">
        <is>
          <t>Equipo de red 24 puertos</t>
        </is>
      </c>
      <c r="C1341" s="7" t="inlineStr">
        <is>
          <t>unidad</t>
        </is>
      </c>
      <c r="D1341" s="8" t="n">
        <v>16692.67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>
        <f>IF(COUNT(D1341:U1341)=0,"",MIN(D1341:U1341))</f>
        <v/>
      </c>
      <c r="W1341" s="8">
        <f>IF(COUNT(D1341:U1341)=0,"",MEDIAN(D1341:U1341))</f>
        <v/>
      </c>
      <c r="X1341" s="8">
        <f>IF(COUNT(D1341:U1341)=0,"",MAX(D1341:U1341))</f>
        <v/>
      </c>
      <c r="Y1341" s="9">
        <f>IF(OR(V1341="",V1341=0),"",(X1341-V1341)/V1341)</f>
        <v/>
      </c>
      <c r="Z1341" s="7">
        <f>IF(COUNT(D1341:U1341)=0,"",INDEX($D$1:$U$1,MATCH(MIN(D1341:U1341),D1341:U1341,0)))</f>
        <v/>
      </c>
      <c r="AA1341" s="8" t="n">
        <v>16692.67</v>
      </c>
      <c r="AB1341" s="10" t="n">
        <v>1</v>
      </c>
    </row>
    <row r="1342">
      <c r="A1342" s="7" t="inlineStr">
        <is>
          <t>MAT-30-027</t>
        </is>
      </c>
      <c r="B1342" s="4" t="inlineStr">
        <is>
          <t>Fuente de alimentación para sistemas 12 V</t>
        </is>
      </c>
      <c r="C1342" s="7" t="inlineStr">
        <is>
          <t>unidad</t>
        </is>
      </c>
      <c r="D1342" s="8" t="n">
        <v>1111.78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>
        <f>IF(COUNT(D1342:U1342)=0,"",MIN(D1342:U1342))</f>
        <v/>
      </c>
      <c r="W1342" s="8">
        <f>IF(COUNT(D1342:U1342)=0,"",MEDIAN(D1342:U1342))</f>
        <v/>
      </c>
      <c r="X1342" s="8">
        <f>IF(COUNT(D1342:U1342)=0,"",MAX(D1342:U1342))</f>
        <v/>
      </c>
      <c r="Y1342" s="9">
        <f>IF(OR(V1342="",V1342=0),"",(X1342-V1342)/V1342)</f>
        <v/>
      </c>
      <c r="Z1342" s="7">
        <f>IF(COUNT(D1342:U1342)=0,"",INDEX($D$1:$U$1,MATCH(MIN(D1342:U1342),D1342:U1342,0)))</f>
        <v/>
      </c>
      <c r="AA1342" s="8" t="n">
        <v>2813.06</v>
      </c>
      <c r="AB1342" s="10" t="n">
        <v>1</v>
      </c>
    </row>
    <row r="1343">
      <c r="A1343" s="7" t="inlineStr">
        <is>
          <t>MAT-30-028</t>
        </is>
      </c>
      <c r="B1343" s="4" t="inlineStr">
        <is>
          <t>Fuente de alimentación para sistemas 120 V</t>
        </is>
      </c>
      <c r="C1343" s="7" t="inlineStr">
        <is>
          <t>unidad</t>
        </is>
      </c>
      <c r="D1343" s="8" t="n">
        <v>906.34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>
        <f>IF(COUNT(D1343:U1343)=0,"",MIN(D1343:U1343))</f>
        <v/>
      </c>
      <c r="W1343" s="8">
        <f>IF(COUNT(D1343:U1343)=0,"",MEDIAN(D1343:U1343))</f>
        <v/>
      </c>
      <c r="X1343" s="8">
        <f>IF(COUNT(D1343:U1343)=0,"",MAX(D1343:U1343))</f>
        <v/>
      </c>
      <c r="Y1343" s="9">
        <f>IF(OR(V1343="",V1343=0),"",(X1343-V1343)/V1343)</f>
        <v/>
      </c>
      <c r="Z1343" s="7">
        <f>IF(COUNT(D1343:U1343)=0,"",INDEX($D$1:$U$1,MATCH(MIN(D1343:U1343),D1343:U1343,0)))</f>
        <v/>
      </c>
      <c r="AA1343" s="8" t="n">
        <v>1031.86</v>
      </c>
      <c r="AB1343" s="10" t="n">
        <v>1</v>
      </c>
    </row>
    <row r="1344">
      <c r="A1344" s="7" t="inlineStr">
        <is>
          <t>MAT-30-029</t>
        </is>
      </c>
      <c r="B1344" s="4" t="inlineStr">
        <is>
          <t>Fuente de alimentación para sistemas 24 V</t>
        </is>
      </c>
      <c r="C1344" s="7" t="inlineStr">
        <is>
          <t>unidad</t>
        </is>
      </c>
      <c r="D1344" s="8" t="n">
        <v>11089.49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>
        <f>IF(COUNT(D1344:U1344)=0,"",MIN(D1344:U1344))</f>
        <v/>
      </c>
      <c r="W1344" s="8">
        <f>IF(COUNT(D1344:U1344)=0,"",MEDIAN(D1344:U1344))</f>
        <v/>
      </c>
      <c r="X1344" s="8">
        <f>IF(COUNT(D1344:U1344)=0,"",MAX(D1344:U1344))</f>
        <v/>
      </c>
      <c r="Y1344" s="9">
        <f>IF(OR(V1344="",V1344=0),"",(X1344-V1344)/V1344)</f>
        <v/>
      </c>
      <c r="Z1344" s="7">
        <f>IF(COUNT(D1344:U1344)=0,"",INDEX($D$1:$U$1,MATCH(MIN(D1344:U1344),D1344:U1344,0)))</f>
        <v/>
      </c>
      <c r="AA1344" s="8" t="n">
        <v>13861.06</v>
      </c>
      <c r="AB1344" s="10" t="n">
        <v>1</v>
      </c>
    </row>
    <row r="1345">
      <c r="A1345" s="7" t="inlineStr">
        <is>
          <t>MAT-30-030</t>
        </is>
      </c>
      <c r="B1345" s="4" t="inlineStr">
        <is>
          <t>Fuente de alimentación para sistemas 275 V</t>
        </is>
      </c>
      <c r="C1345" s="7" t="inlineStr">
        <is>
          <t>unidad</t>
        </is>
      </c>
      <c r="D1345" s="8" t="n">
        <v>28.95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>
        <f>IF(COUNT(D1345:U1345)=0,"",MIN(D1345:U1345))</f>
        <v/>
      </c>
      <c r="W1345" s="8">
        <f>IF(COUNT(D1345:U1345)=0,"",MEDIAN(D1345:U1345))</f>
        <v/>
      </c>
      <c r="X1345" s="8">
        <f>IF(COUNT(D1345:U1345)=0,"",MAX(D1345:U1345))</f>
        <v/>
      </c>
      <c r="Y1345" s="9">
        <f>IF(OR(V1345="",V1345=0),"",(X1345-V1345)/V1345)</f>
        <v/>
      </c>
      <c r="Z1345" s="7">
        <f>IF(COUNT(D1345:U1345)=0,"",INDEX($D$1:$U$1,MATCH(MIN(D1345:U1345),D1345:U1345,0)))</f>
        <v/>
      </c>
      <c r="AA1345" s="8" t="n">
        <v>28.95</v>
      </c>
      <c r="AB1345" s="10" t="n">
        <v>1</v>
      </c>
    </row>
    <row r="1346">
      <c r="A1346" s="7" t="inlineStr">
        <is>
          <t>MAT-30-031</t>
        </is>
      </c>
      <c r="B1346" s="4" t="inlineStr">
        <is>
          <t>Fuente de alimentación para sistemas 277 V</t>
        </is>
      </c>
      <c r="C1346" s="7" t="inlineStr">
        <is>
          <t>unidad</t>
        </is>
      </c>
      <c r="D1346" s="8" t="n">
        <v>2150.5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>
        <f>IF(COUNT(D1346:U1346)=0,"",MIN(D1346:U1346))</f>
        <v/>
      </c>
      <c r="W1346" s="8">
        <f>IF(COUNT(D1346:U1346)=0,"",MEDIAN(D1346:U1346))</f>
        <v/>
      </c>
      <c r="X1346" s="8">
        <f>IF(COUNT(D1346:U1346)=0,"",MAX(D1346:U1346))</f>
        <v/>
      </c>
      <c r="Y1346" s="9">
        <f>IF(OR(V1346="",V1346=0),"",(X1346-V1346)/V1346)</f>
        <v/>
      </c>
      <c r="Z1346" s="7">
        <f>IF(COUNT(D1346:U1346)=0,"",INDEX($D$1:$U$1,MATCH(MIN(D1346:U1346),D1346:U1346,0)))</f>
        <v/>
      </c>
      <c r="AA1346" s="8" t="n">
        <v>2150.5</v>
      </c>
      <c r="AB1346" s="10" t="n">
        <v>1</v>
      </c>
    </row>
    <row r="1347">
      <c r="A1347" s="7" t="inlineStr">
        <is>
          <t>MAT-31-003</t>
        </is>
      </c>
      <c r="B1347" s="4" t="inlineStr">
        <is>
          <t>Interruptor inteligente 1 canales</t>
        </is>
      </c>
      <c r="C1347" s="7" t="inlineStr">
        <is>
          <t>unidad</t>
        </is>
      </c>
      <c r="D1347" s="8" t="n">
        <v>1089.61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>
        <f>IF(COUNT(D1347:U1347)=0,"",MIN(D1347:U1347))</f>
        <v/>
      </c>
      <c r="W1347" s="8">
        <f>IF(COUNT(D1347:U1347)=0,"",MEDIAN(D1347:U1347))</f>
        <v/>
      </c>
      <c r="X1347" s="8">
        <f>IF(COUNT(D1347:U1347)=0,"",MAX(D1347:U1347))</f>
        <v/>
      </c>
      <c r="Y1347" s="9">
        <f>IF(OR(V1347="",V1347=0),"",(X1347-V1347)/V1347)</f>
        <v/>
      </c>
      <c r="Z1347" s="7">
        <f>IF(COUNT(D1347:U1347)=0,"",INDEX($D$1:$U$1,MATCH(MIN(D1347:U1347),D1347:U1347,0)))</f>
        <v/>
      </c>
      <c r="AA1347" s="8" t="n">
        <v>1549.16</v>
      </c>
      <c r="AB1347" s="10" t="n">
        <v>1</v>
      </c>
    </row>
    <row r="1348">
      <c r="A1348" s="7" t="inlineStr">
        <is>
          <t>MAT-31-004</t>
        </is>
      </c>
      <c r="B1348" s="4" t="inlineStr">
        <is>
          <t>Interruptor inteligente 1 canales con neutro</t>
        </is>
      </c>
      <c r="C1348" s="7" t="inlineStr">
        <is>
          <t>unidad</t>
        </is>
      </c>
      <c r="D1348" s="8" t="n">
        <v>2892.27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>
        <f>IF(COUNT(D1348:U1348)=0,"",MIN(D1348:U1348))</f>
        <v/>
      </c>
      <c r="W1348" s="8">
        <f>IF(COUNT(D1348:U1348)=0,"",MEDIAN(D1348:U1348))</f>
        <v/>
      </c>
      <c r="X1348" s="8">
        <f>IF(COUNT(D1348:U1348)=0,"",MAX(D1348:U1348))</f>
        <v/>
      </c>
      <c r="Y1348" s="9">
        <f>IF(OR(V1348="",V1348=0),"",(X1348-V1348)/V1348)</f>
        <v/>
      </c>
      <c r="Z1348" s="7">
        <f>IF(COUNT(D1348:U1348)=0,"",INDEX($D$1:$U$1,MATCH(MIN(D1348:U1348),D1348:U1348,0)))</f>
        <v/>
      </c>
      <c r="AA1348" s="8" t="n">
        <v>2892.27</v>
      </c>
      <c r="AB1348" s="10" t="n">
        <v>1</v>
      </c>
    </row>
    <row r="1349">
      <c r="A1349" s="7" t="inlineStr">
        <is>
          <t>MAT-31-005</t>
        </is>
      </c>
      <c r="B1349" s="4" t="inlineStr">
        <is>
          <t>Interruptor inteligente 1 canales sin neutro</t>
        </is>
      </c>
      <c r="C1349" s="7" t="inlineStr">
        <is>
          <t>unidad</t>
        </is>
      </c>
      <c r="D1349" s="8" t="n">
        <v>2958.46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>
        <f>IF(COUNT(D1349:U1349)=0,"",MIN(D1349:U1349))</f>
        <v/>
      </c>
      <c r="W1349" s="8">
        <f>IF(COUNT(D1349:U1349)=0,"",MEDIAN(D1349:U1349))</f>
        <v/>
      </c>
      <c r="X1349" s="8">
        <f>IF(COUNT(D1349:U1349)=0,"",MAX(D1349:U1349))</f>
        <v/>
      </c>
      <c r="Y1349" s="9">
        <f>IF(OR(V1349="",V1349=0),"",(X1349-V1349)/V1349)</f>
        <v/>
      </c>
      <c r="Z1349" s="7">
        <f>IF(COUNT(D1349:U1349)=0,"",INDEX($D$1:$U$1,MATCH(MIN(D1349:U1349),D1349:U1349,0)))</f>
        <v/>
      </c>
      <c r="AA1349" s="8" t="n">
        <v>2958.46</v>
      </c>
      <c r="AB1349" s="10" t="n">
        <v>1</v>
      </c>
    </row>
    <row r="1350">
      <c r="A1350" s="7" t="inlineStr">
        <is>
          <t>MAT-31-006</t>
        </is>
      </c>
      <c r="B1350" s="4" t="inlineStr">
        <is>
          <t>Interruptor inteligente 2 canales</t>
        </is>
      </c>
      <c r="C1350" s="7" t="inlineStr">
        <is>
          <t>unidad</t>
        </is>
      </c>
      <c r="D1350" s="8" t="n">
        <v>1210.31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>
        <f>IF(COUNT(D1350:U1350)=0,"",MIN(D1350:U1350))</f>
        <v/>
      </c>
      <c r="W1350" s="8">
        <f>IF(COUNT(D1350:U1350)=0,"",MEDIAN(D1350:U1350))</f>
        <v/>
      </c>
      <c r="X1350" s="8">
        <f>IF(COUNT(D1350:U1350)=0,"",MAX(D1350:U1350))</f>
        <v/>
      </c>
      <c r="Y1350" s="9">
        <f>IF(OR(V1350="",V1350=0),"",(X1350-V1350)/V1350)</f>
        <v/>
      </c>
      <c r="Z1350" s="7">
        <f>IF(COUNT(D1350:U1350)=0,"",INDEX($D$1:$U$1,MATCH(MIN(D1350:U1350),D1350:U1350,0)))</f>
        <v/>
      </c>
      <c r="AA1350" s="8" t="n">
        <v>1632.51</v>
      </c>
      <c r="AB1350" s="10" t="n">
        <v>1</v>
      </c>
    </row>
    <row r="1351">
      <c r="A1351" s="7" t="inlineStr">
        <is>
          <t>MAT-31-007</t>
        </is>
      </c>
      <c r="B1351" s="4" t="inlineStr">
        <is>
          <t>Interruptor inteligente 2 canales con neutro</t>
        </is>
      </c>
      <c r="C1351" s="7" t="inlineStr">
        <is>
          <t>unidad</t>
        </is>
      </c>
      <c r="D1351" s="8" t="n">
        <v>2743.31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>
        <f>IF(COUNT(D1351:U1351)=0,"",MIN(D1351:U1351))</f>
        <v/>
      </c>
      <c r="W1351" s="8">
        <f>IF(COUNT(D1351:U1351)=0,"",MEDIAN(D1351:U1351))</f>
        <v/>
      </c>
      <c r="X1351" s="8">
        <f>IF(COUNT(D1351:U1351)=0,"",MAX(D1351:U1351))</f>
        <v/>
      </c>
      <c r="Y1351" s="9">
        <f>IF(OR(V1351="",V1351=0),"",(X1351-V1351)/V1351)</f>
        <v/>
      </c>
      <c r="Z1351" s="7">
        <f>IF(COUNT(D1351:U1351)=0,"",INDEX($D$1:$U$1,MATCH(MIN(D1351:U1351),D1351:U1351,0)))</f>
        <v/>
      </c>
      <c r="AA1351" s="8" t="n">
        <v>2743.31</v>
      </c>
      <c r="AB1351" s="10" t="n">
        <v>1</v>
      </c>
    </row>
    <row r="1352">
      <c r="A1352" s="7" t="inlineStr">
        <is>
          <t>MAT-31-008</t>
        </is>
      </c>
      <c r="B1352" s="4" t="inlineStr">
        <is>
          <t>Interruptor inteligente 2 canales sin neutro</t>
        </is>
      </c>
      <c r="C1352" s="7" t="inlineStr">
        <is>
          <t>unidad</t>
        </is>
      </c>
      <c r="D1352" s="8" t="n">
        <v>2743.31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>
        <f>IF(COUNT(D1352:U1352)=0,"",MIN(D1352:U1352))</f>
        <v/>
      </c>
      <c r="W1352" s="8">
        <f>IF(COUNT(D1352:U1352)=0,"",MEDIAN(D1352:U1352))</f>
        <v/>
      </c>
      <c r="X1352" s="8">
        <f>IF(COUNT(D1352:U1352)=0,"",MAX(D1352:U1352))</f>
        <v/>
      </c>
      <c r="Y1352" s="9">
        <f>IF(OR(V1352="",V1352=0),"",(X1352-V1352)/V1352)</f>
        <v/>
      </c>
      <c r="Z1352" s="7">
        <f>IF(COUNT(D1352:U1352)=0,"",INDEX($D$1:$U$1,MATCH(MIN(D1352:U1352),D1352:U1352,0)))</f>
        <v/>
      </c>
      <c r="AA1352" s="8" t="n">
        <v>2743.31</v>
      </c>
      <c r="AB1352" s="10" t="n">
        <v>1</v>
      </c>
    </row>
    <row r="1353">
      <c r="A1353" s="7" t="inlineStr">
        <is>
          <t>MAT-31-009</t>
        </is>
      </c>
      <c r="B1353" s="4" t="inlineStr">
        <is>
          <t>Interruptor inteligente 3 canales</t>
        </is>
      </c>
      <c r="C1353" s="7" t="inlineStr">
        <is>
          <t>unidad</t>
        </is>
      </c>
      <c r="D1353" s="8" t="n">
        <v>1497.83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>
        <f>IF(COUNT(D1353:U1353)=0,"",MIN(D1353:U1353))</f>
        <v/>
      </c>
      <c r="W1353" s="8">
        <f>IF(COUNT(D1353:U1353)=0,"",MEDIAN(D1353:U1353))</f>
        <v/>
      </c>
      <c r="X1353" s="8">
        <f>IF(COUNT(D1353:U1353)=0,"",MAX(D1353:U1353))</f>
        <v/>
      </c>
      <c r="Y1353" s="9">
        <f>IF(OR(V1353="",V1353=0),"",(X1353-V1353)/V1353)</f>
        <v/>
      </c>
      <c r="Z1353" s="7">
        <f>IF(COUNT(D1353:U1353)=0,"",INDEX($D$1:$U$1,MATCH(MIN(D1353:U1353),D1353:U1353,0)))</f>
        <v/>
      </c>
      <c r="AA1353" s="8" t="n">
        <v>4577.22</v>
      </c>
      <c r="AB1353" s="10" t="n">
        <v>1</v>
      </c>
    </row>
    <row r="1354">
      <c r="A1354" s="7" t="inlineStr">
        <is>
          <t>MAT-31-011</t>
        </is>
      </c>
      <c r="B1354" s="4" t="inlineStr">
        <is>
          <t>Central de domótica</t>
        </is>
      </c>
      <c r="C1354" s="7" t="inlineStr">
        <is>
          <t>unidad</t>
        </is>
      </c>
      <c r="D1354" s="8" t="n">
        <v>1143.26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>
        <f>IF(COUNT(D1354:U1354)=0,"",MIN(D1354:U1354))</f>
        <v/>
      </c>
      <c r="W1354" s="8">
        <f>IF(COUNT(D1354:U1354)=0,"",MEDIAN(D1354:U1354))</f>
        <v/>
      </c>
      <c r="X1354" s="8">
        <f>IF(COUNT(D1354:U1354)=0,"",MAX(D1354:U1354))</f>
        <v/>
      </c>
      <c r="Y1354" s="9">
        <f>IF(OR(V1354="",V1354=0),"",(X1354-V1354)/V1354)</f>
        <v/>
      </c>
      <c r="Z1354" s="7">
        <f>IF(COUNT(D1354:U1354)=0,"",INDEX($D$1:$U$1,MATCH(MIN(D1354:U1354),D1354:U1354,0)))</f>
        <v/>
      </c>
      <c r="AA1354" s="8" t="n">
        <v>5847.29</v>
      </c>
      <c r="AB1354" s="10" t="n">
        <v>1</v>
      </c>
    </row>
    <row r="1355">
      <c r="A1355" s="7" t="inlineStr">
        <is>
          <t>MAT-31-012</t>
        </is>
      </c>
      <c r="B1355" s="4" t="inlineStr">
        <is>
          <t>Kit de intercomunicador 4 apartamentos con video</t>
        </is>
      </c>
      <c r="C1355" s="7" t="inlineStr">
        <is>
          <t>juego</t>
        </is>
      </c>
      <c r="D1355" s="8" t="n">
        <v>32009.7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>
        <f>IF(COUNT(D1355:U1355)=0,"",MIN(D1355:U1355))</f>
        <v/>
      </c>
      <c r="W1355" s="8">
        <f>IF(COUNT(D1355:U1355)=0,"",MEDIAN(D1355:U1355))</f>
        <v/>
      </c>
      <c r="X1355" s="8">
        <f>IF(COUNT(D1355:U1355)=0,"",MAX(D1355:U1355))</f>
        <v/>
      </c>
      <c r="Y1355" s="9">
        <f>IF(OR(V1355="",V1355=0),"",(X1355-V1355)/V1355)</f>
        <v/>
      </c>
      <c r="Z1355" s="7">
        <f>IF(COUNT(D1355:U1355)=0,"",INDEX($D$1:$U$1,MATCH(MIN(D1355:U1355),D1355:U1355,0)))</f>
        <v/>
      </c>
      <c r="AA1355" s="8" t="n">
        <v>32009.7</v>
      </c>
      <c r="AB1355" s="10" t="n">
        <v>1</v>
      </c>
    </row>
    <row r="1356">
      <c r="A1356" s="7" t="inlineStr">
        <is>
          <t>MAT-31-013</t>
        </is>
      </c>
      <c r="B1356" s="4" t="inlineStr">
        <is>
          <t>Kit de intercomunicador 6 apartamentos con video</t>
        </is>
      </c>
      <c r="C1356" s="7" t="inlineStr">
        <is>
          <t>juego</t>
        </is>
      </c>
      <c r="D1356" s="8" t="n">
        <v>41504.58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>
        <f>IF(COUNT(D1356:U1356)=0,"",MIN(D1356:U1356))</f>
        <v/>
      </c>
      <c r="W1356" s="8">
        <f>IF(COUNT(D1356:U1356)=0,"",MEDIAN(D1356:U1356))</f>
        <v/>
      </c>
      <c r="X1356" s="8">
        <f>IF(COUNT(D1356:U1356)=0,"",MAX(D1356:U1356))</f>
        <v/>
      </c>
      <c r="Y1356" s="9">
        <f>IF(OR(V1356="",V1356=0),"",(X1356-V1356)/V1356)</f>
        <v/>
      </c>
      <c r="Z1356" s="7">
        <f>IF(COUNT(D1356:U1356)=0,"",INDEX($D$1:$U$1,MATCH(MIN(D1356:U1356),D1356:U1356,0)))</f>
        <v/>
      </c>
      <c r="AA1356" s="8" t="n">
        <v>41504.58</v>
      </c>
      <c r="AB1356" s="10" t="n">
        <v>1</v>
      </c>
    </row>
    <row r="1357">
      <c r="A1357" s="7" t="inlineStr">
        <is>
          <t>MAT-31-014</t>
        </is>
      </c>
      <c r="B1357" s="4" t="inlineStr">
        <is>
          <t>Kit de intercomunicador 8 apartamentos solo audio</t>
        </is>
      </c>
      <c r="C1357" s="7" t="inlineStr">
        <is>
          <t>juego</t>
        </is>
      </c>
      <c r="D1357" s="8" t="n">
        <v>16951.2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>
        <f>IF(COUNT(D1357:U1357)=0,"",MIN(D1357:U1357))</f>
        <v/>
      </c>
      <c r="W1357" s="8">
        <f>IF(COUNT(D1357:U1357)=0,"",MEDIAN(D1357:U1357))</f>
        <v/>
      </c>
      <c r="X1357" s="8">
        <f>IF(COUNT(D1357:U1357)=0,"",MAX(D1357:U1357))</f>
        <v/>
      </c>
      <c r="Y1357" s="9">
        <f>IF(OR(V1357="",V1357=0),"",(X1357-V1357)/V1357)</f>
        <v/>
      </c>
      <c r="Z1357" s="7">
        <f>IF(COUNT(D1357:U1357)=0,"",INDEX($D$1:$U$1,MATCH(MIN(D1357:U1357),D1357:U1357,0)))</f>
        <v/>
      </c>
      <c r="AA1357" s="8" t="n">
        <v>16951.2</v>
      </c>
      <c r="AB1357" s="10" t="n">
        <v>1</v>
      </c>
    </row>
    <row r="1358">
      <c r="A1358" s="7" t="inlineStr">
        <is>
          <t>MAT-31-015</t>
        </is>
      </c>
      <c r="B1358" s="4" t="inlineStr">
        <is>
          <t>Kit de intercomunicador 8 apartamentos con video</t>
        </is>
      </c>
      <c r="C1358" s="7" t="inlineStr">
        <is>
          <t>juego</t>
        </is>
      </c>
      <c r="D1358" s="8" t="n">
        <v>50715.2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>
        <f>IF(COUNT(D1358:U1358)=0,"",MIN(D1358:U1358))</f>
        <v/>
      </c>
      <c r="W1358" s="8">
        <f>IF(COUNT(D1358:U1358)=0,"",MEDIAN(D1358:U1358))</f>
        <v/>
      </c>
      <c r="X1358" s="8">
        <f>IF(COUNT(D1358:U1358)=0,"",MAX(D1358:U1358))</f>
        <v/>
      </c>
      <c r="Y1358" s="9">
        <f>IF(OR(V1358="",V1358=0),"",(X1358-V1358)/V1358)</f>
        <v/>
      </c>
      <c r="Z1358" s="7">
        <f>IF(COUNT(D1358:U1358)=0,"",INDEX($D$1:$U$1,MATCH(MIN(D1358:U1358),D1358:U1358,0)))</f>
        <v/>
      </c>
      <c r="AA1358" s="8" t="n">
        <v>50715.2</v>
      </c>
      <c r="AB1358" s="10" t="n">
        <v>1</v>
      </c>
    </row>
    <row r="1359">
      <c r="A1359" s="7" t="inlineStr">
        <is>
          <t>MAT-31-016</t>
        </is>
      </c>
      <c r="B1359" s="4" t="inlineStr">
        <is>
          <t>Kit de intercomunicador con video</t>
        </is>
      </c>
      <c r="C1359" s="7" t="inlineStr">
        <is>
          <t>juego</t>
        </is>
      </c>
      <c r="D1359" s="8" t="n">
        <v>8802.870000000001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>
        <f>IF(COUNT(D1359:U1359)=0,"",MIN(D1359:U1359))</f>
        <v/>
      </c>
      <c r="W1359" s="8">
        <f>IF(COUNT(D1359:U1359)=0,"",MEDIAN(D1359:U1359))</f>
        <v/>
      </c>
      <c r="X1359" s="8">
        <f>IF(COUNT(D1359:U1359)=0,"",MAX(D1359:U1359))</f>
        <v/>
      </c>
      <c r="Y1359" s="9">
        <f>IF(OR(V1359="",V1359=0),"",(X1359-V1359)/V1359)</f>
        <v/>
      </c>
      <c r="Z1359" s="7">
        <f>IF(COUNT(D1359:U1359)=0,"",INDEX($D$1:$U$1,MATCH(MIN(D1359:U1359),D1359:U1359,0)))</f>
        <v/>
      </c>
      <c r="AA1359" s="8" t="n">
        <v>12858.25</v>
      </c>
      <c r="AB1359" s="10" t="n">
        <v>1</v>
      </c>
    </row>
    <row r="1360">
      <c r="A1360" s="7" t="inlineStr">
        <is>
          <t>MAT-31-017</t>
        </is>
      </c>
      <c r="B1360" s="4" t="inlineStr">
        <is>
          <t>Estación de intercomunicador</t>
        </is>
      </c>
      <c r="C1360" s="7" t="inlineStr">
        <is>
          <t>unidad</t>
        </is>
      </c>
      <c r="D1360" s="8" t="n">
        <v>9200.34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>
        <f>IF(COUNT(D1360:U1360)=0,"",MIN(D1360:U1360))</f>
        <v/>
      </c>
      <c r="W1360" s="8">
        <f>IF(COUNT(D1360:U1360)=0,"",MEDIAN(D1360:U1360))</f>
        <v/>
      </c>
      <c r="X1360" s="8">
        <f>IF(COUNT(D1360:U1360)=0,"",MAX(D1360:U1360))</f>
        <v/>
      </c>
      <c r="Y1360" s="9">
        <f>IF(OR(V1360="",V1360=0),"",(X1360-V1360)/V1360)</f>
        <v/>
      </c>
      <c r="Z1360" s="7">
        <f>IF(COUNT(D1360:U1360)=0,"",INDEX($D$1:$U$1,MATCH(MIN(D1360:U1360),D1360:U1360,0)))</f>
        <v/>
      </c>
      <c r="AA1360" s="8" t="n">
        <v>9200.34</v>
      </c>
      <c r="AB1360" s="10" t="n">
        <v>1</v>
      </c>
    </row>
    <row r="1361">
      <c r="A1361" s="7" t="inlineStr">
        <is>
          <t>MAT-31-018</t>
        </is>
      </c>
      <c r="B1361" s="4" t="inlineStr">
        <is>
          <t>Estación de intercomunicador 7"</t>
        </is>
      </c>
      <c r="C1361" s="7" t="inlineStr">
        <is>
          <t>unidad</t>
        </is>
      </c>
      <c r="D1361" s="8" t="n">
        <v>14861.01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>
        <f>IF(COUNT(D1361:U1361)=0,"",MIN(D1361:U1361))</f>
        <v/>
      </c>
      <c r="W1361" s="8">
        <f>IF(COUNT(D1361:U1361)=0,"",MEDIAN(D1361:U1361))</f>
        <v/>
      </c>
      <c r="X1361" s="8">
        <f>IF(COUNT(D1361:U1361)=0,"",MAX(D1361:U1361))</f>
        <v/>
      </c>
      <c r="Y1361" s="9">
        <f>IF(OR(V1361="",V1361=0),"",(X1361-V1361)/V1361)</f>
        <v/>
      </c>
      <c r="Z1361" s="7">
        <f>IF(COUNT(D1361:U1361)=0,"",INDEX($D$1:$U$1,MATCH(MIN(D1361:U1361),D1361:U1361,0)))</f>
        <v/>
      </c>
      <c r="AA1361" s="8" t="n">
        <v>14861.01</v>
      </c>
      <c r="AB1361" s="10" t="n">
        <v>1</v>
      </c>
    </row>
    <row r="1362">
      <c r="A1362" s="7" t="inlineStr">
        <is>
          <t>MAT-31-019</t>
        </is>
      </c>
      <c r="B1362" s="4" t="inlineStr">
        <is>
          <t>Accesorio de intercomunicador</t>
        </is>
      </c>
      <c r="C1362" s="7" t="inlineStr">
        <is>
          <t>unidad</t>
        </is>
      </c>
      <c r="D1362" s="8" t="n">
        <v>305.08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>
        <f>IF(COUNT(D1362:U1362)=0,"",MIN(D1362:U1362))</f>
        <v/>
      </c>
      <c r="W1362" s="8">
        <f>IF(COUNT(D1362:U1362)=0,"",MEDIAN(D1362:U1362))</f>
        <v/>
      </c>
      <c r="X1362" s="8">
        <f>IF(COUNT(D1362:U1362)=0,"",MAX(D1362:U1362))</f>
        <v/>
      </c>
      <c r="Y1362" s="9">
        <f>IF(OR(V1362="",V1362=0),"",(X1362-V1362)/V1362)</f>
        <v/>
      </c>
      <c r="Z1362" s="7">
        <f>IF(COUNT(D1362:U1362)=0,"",INDEX($D$1:$U$1,MATCH(MIN(D1362:U1362),D1362:U1362,0)))</f>
        <v/>
      </c>
      <c r="AA1362" s="8" t="n">
        <v>1765.47</v>
      </c>
      <c r="AB1362" s="10" t="n">
        <v>1</v>
      </c>
    </row>
    <row r="1363">
      <c r="A1363" s="7" t="inlineStr">
        <is>
          <t>MAT-32-008</t>
        </is>
      </c>
      <c r="B1363" s="4" t="inlineStr">
        <is>
          <t>Tubo Acero Inoxidable SCH-40 1/2" x 20 pies</t>
        </is>
      </c>
      <c r="C1363" s="7" t="inlineStr">
        <is>
          <t>tubo</t>
        </is>
      </c>
      <c r="D1363" s="8" t="n"/>
      <c r="E1363" s="8" t="n">
        <v>3075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>
        <f>IF(COUNT(D1363:U1363)=0,"",MIN(D1363:U1363))</f>
        <v/>
      </c>
      <c r="W1363" s="8">
        <f>IF(COUNT(D1363:U1363)=0,"",MEDIAN(D1363:U1363))</f>
        <v/>
      </c>
      <c r="X1363" s="8">
        <f>IF(COUNT(D1363:U1363)=0,"",MAX(D1363:U1363))</f>
        <v/>
      </c>
      <c r="Y1363" s="9">
        <f>IF(OR(V1363="",V1363=0),"",(X1363-V1363)/V1363)</f>
        <v/>
      </c>
      <c r="Z1363" s="7">
        <f>IF(COUNT(D1363:U1363)=0,"",INDEX($D$1:$U$1,MATCH(MIN(D1363:U1363),D1363:U1363,0)))</f>
        <v/>
      </c>
      <c r="AA1363" s="8" t="n">
        <v>3075</v>
      </c>
      <c r="AB1363" s="10" t="n">
        <v>1</v>
      </c>
    </row>
    <row r="1364">
      <c r="A1364" s="7" t="inlineStr">
        <is>
          <t>MAT-32-009</t>
        </is>
      </c>
      <c r="B1364" s="4" t="inlineStr">
        <is>
          <t>Tubo CPVC SDR-11 1/2" x 10 pies</t>
        </is>
      </c>
      <c r="C1364" s="7" t="inlineStr">
        <is>
          <t>tubo</t>
        </is>
      </c>
      <c r="D1364" s="8" t="n"/>
      <c r="E1364" s="8" t="n">
        <v>231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>
        <f>IF(COUNT(D1364:U1364)=0,"",MIN(D1364:U1364))</f>
        <v/>
      </c>
      <c r="W1364" s="8">
        <f>IF(COUNT(D1364:U1364)=0,"",MEDIAN(D1364:U1364))</f>
        <v/>
      </c>
      <c r="X1364" s="8">
        <f>IF(COUNT(D1364:U1364)=0,"",MAX(D1364:U1364))</f>
        <v/>
      </c>
      <c r="Y1364" s="9">
        <f>IF(OR(V1364="",V1364=0),"",(X1364-V1364)/V1364)</f>
        <v/>
      </c>
      <c r="Z1364" s="7">
        <f>IF(COUNT(D1364:U1364)=0,"",INDEX($D$1:$U$1,MATCH(MIN(D1364:U1364),D1364:U1364,0)))</f>
        <v/>
      </c>
      <c r="AA1364" s="8" t="n">
        <v>231</v>
      </c>
      <c r="AB1364" s="10" t="n">
        <v>1</v>
      </c>
    </row>
    <row r="1365">
      <c r="A1365" s="7" t="inlineStr">
        <is>
          <t>MAT-32-010</t>
        </is>
      </c>
      <c r="B1365" s="4" t="inlineStr">
        <is>
          <t>Tubo CPVC SDR-11 1" x 10 pies</t>
        </is>
      </c>
      <c r="C1365" s="7" t="inlineStr">
        <is>
          <t>tubo</t>
        </is>
      </c>
      <c r="D1365" s="8" t="n"/>
      <c r="E1365" s="8" t="n">
        <v>650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>
        <f>IF(COUNT(D1365:U1365)=0,"",MIN(D1365:U1365))</f>
        <v/>
      </c>
      <c r="W1365" s="8">
        <f>IF(COUNT(D1365:U1365)=0,"",MEDIAN(D1365:U1365))</f>
        <v/>
      </c>
      <c r="X1365" s="8">
        <f>IF(COUNT(D1365:U1365)=0,"",MAX(D1365:U1365))</f>
        <v/>
      </c>
      <c r="Y1365" s="9">
        <f>IF(OR(V1365="",V1365=0),"",(X1365-V1365)/V1365)</f>
        <v/>
      </c>
      <c r="Z1365" s="7">
        <f>IF(COUNT(D1365:U1365)=0,"",INDEX($D$1:$U$1,MATCH(MIN(D1365:U1365),D1365:U1365,0)))</f>
        <v/>
      </c>
      <c r="AA1365" s="8" t="n">
        <v>650</v>
      </c>
      <c r="AB1365" s="10" t="n">
        <v>1</v>
      </c>
    </row>
    <row r="1366">
      <c r="A1366" s="7" t="inlineStr">
        <is>
          <t>MAT-32-011</t>
        </is>
      </c>
      <c r="B1366" s="4" t="inlineStr">
        <is>
          <t>Tubo CPVC SDR-11 3/4" x 10 pies</t>
        </is>
      </c>
      <c r="C1366" s="7" t="inlineStr">
        <is>
          <t>tubo</t>
        </is>
      </c>
      <c r="D1366" s="8" t="n"/>
      <c r="E1366" s="8" t="n">
        <v>347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>
        <f>IF(COUNT(D1366:U1366)=0,"",MIN(D1366:U1366))</f>
        <v/>
      </c>
      <c r="W1366" s="8">
        <f>IF(COUNT(D1366:U1366)=0,"",MEDIAN(D1366:U1366))</f>
        <v/>
      </c>
      <c r="X1366" s="8">
        <f>IF(COUNT(D1366:U1366)=0,"",MAX(D1366:U1366))</f>
        <v/>
      </c>
      <c r="Y1366" s="9">
        <f>IF(OR(V1366="",V1366=0),"",(X1366-V1366)/V1366)</f>
        <v/>
      </c>
      <c r="Z1366" s="7">
        <f>IF(COUNT(D1366:U1366)=0,"",INDEX($D$1:$U$1,MATCH(MIN(D1366:U1366),D1366:U1366,0)))</f>
        <v/>
      </c>
      <c r="AA1366" s="8" t="n">
        <v>347</v>
      </c>
      <c r="AB1366" s="10" t="n">
        <v>1</v>
      </c>
    </row>
    <row r="1367">
      <c r="A1367" s="7" t="inlineStr">
        <is>
          <t>MAT-32-012</t>
        </is>
      </c>
      <c r="B1367" s="4" t="inlineStr">
        <is>
          <t>Tubo PVC DRENAJE 2" x 19 pies</t>
        </is>
      </c>
      <c r="C1367" s="7" t="inlineStr">
        <is>
          <t>tubo</t>
        </is>
      </c>
      <c r="D1367" s="8" t="n"/>
      <c r="E1367" s="8" t="n">
        <v>267</v>
      </c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>
        <f>IF(COUNT(D1367:U1367)=0,"",MIN(D1367:U1367))</f>
        <v/>
      </c>
      <c r="W1367" s="8">
        <f>IF(COUNT(D1367:U1367)=0,"",MEDIAN(D1367:U1367))</f>
        <v/>
      </c>
      <c r="X1367" s="8">
        <f>IF(COUNT(D1367:U1367)=0,"",MAX(D1367:U1367))</f>
        <v/>
      </c>
      <c r="Y1367" s="9">
        <f>IF(OR(V1367="",V1367=0),"",(X1367-V1367)/V1367)</f>
        <v/>
      </c>
      <c r="Z1367" s="7">
        <f>IF(COUNT(D1367:U1367)=0,"",INDEX($D$1:$U$1,MATCH(MIN(D1367:U1367),D1367:U1367,0)))</f>
        <v/>
      </c>
      <c r="AA1367" s="8" t="n">
        <v>498</v>
      </c>
      <c r="AB1367" s="10" t="n">
        <v>1</v>
      </c>
    </row>
    <row r="1368">
      <c r="A1368" s="7" t="inlineStr">
        <is>
          <t>MAT-32-013</t>
        </is>
      </c>
      <c r="B1368" s="4" t="inlineStr">
        <is>
          <t>Tubo PVC DRENAJE 3" x 19 pies</t>
        </is>
      </c>
      <c r="C1368" s="7" t="inlineStr">
        <is>
          <t>tubo</t>
        </is>
      </c>
      <c r="D1368" s="8" t="n"/>
      <c r="E1368" s="8" t="n">
        <v>784.26</v>
      </c>
      <c r="F1368" s="8" t="n"/>
      <c r="G1368" s="8" t="n">
        <v>967</v>
      </c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>
        <f>IF(COUNT(D1368:U1368)=0,"",MIN(D1368:U1368))</f>
        <v/>
      </c>
      <c r="W1368" s="8">
        <f>IF(COUNT(D1368:U1368)=0,"",MEDIAN(D1368:U1368))</f>
        <v/>
      </c>
      <c r="X1368" s="8">
        <f>IF(COUNT(D1368:U1368)=0,"",MAX(D1368:U1368))</f>
        <v/>
      </c>
      <c r="Y1368" s="9">
        <f>IF(OR(V1368="",V1368=0),"",(X1368-V1368)/V1368)</f>
        <v/>
      </c>
      <c r="Z1368" s="7">
        <f>IF(COUNT(D1368:U1368)=0,"",INDEX($D$1:$U$1,MATCH(MIN(D1368:U1368),D1368:U1368,0)))</f>
        <v/>
      </c>
      <c r="AA1368" s="8" t="n">
        <v>875.63</v>
      </c>
      <c r="AB1368" s="10" t="n">
        <v>2</v>
      </c>
    </row>
    <row r="1369">
      <c r="A1369" s="7" t="inlineStr">
        <is>
          <t>MAT-32-014</t>
        </is>
      </c>
      <c r="B1369" s="4" t="inlineStr">
        <is>
          <t>Tubo PVC DRENAJE 4" x 19 pies</t>
        </is>
      </c>
      <c r="C1369" s="7" t="inlineStr">
        <is>
          <t>tubo</t>
        </is>
      </c>
      <c r="D1369" s="8" t="n"/>
      <c r="E1369" s="8" t="n">
        <v>1041</v>
      </c>
      <c r="F1369" s="8" t="n"/>
      <c r="G1369" s="8" t="n">
        <v>1001</v>
      </c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>
        <f>IF(COUNT(D1369:U1369)=0,"",MIN(D1369:U1369))</f>
        <v/>
      </c>
      <c r="W1369" s="8">
        <f>IF(COUNT(D1369:U1369)=0,"",MEDIAN(D1369:U1369))</f>
        <v/>
      </c>
      <c r="X1369" s="8">
        <f>IF(COUNT(D1369:U1369)=0,"",MAX(D1369:U1369))</f>
        <v/>
      </c>
      <c r="Y1369" s="9">
        <f>IF(OR(V1369="",V1369=0),"",(X1369-V1369)/V1369)</f>
        <v/>
      </c>
      <c r="Z1369" s="7">
        <f>IF(COUNT(D1369:U1369)=0,"",INDEX($D$1:$U$1,MATCH(MIN(D1369:U1369),D1369:U1369,0)))</f>
        <v/>
      </c>
      <c r="AA1369" s="8" t="n">
        <v>1021</v>
      </c>
      <c r="AB1369" s="10" t="n">
        <v>2</v>
      </c>
    </row>
    <row r="1370">
      <c r="A1370" s="7" t="inlineStr">
        <is>
          <t>MAT-32-015</t>
        </is>
      </c>
      <c r="B1370" s="4" t="inlineStr">
        <is>
          <t>Tubo PVC DRENAJE 6" x 19 pies</t>
        </is>
      </c>
      <c r="C1370" s="7" t="inlineStr">
        <is>
          <t>tubo</t>
        </is>
      </c>
      <c r="D1370" s="8" t="n"/>
      <c r="E1370" s="8" t="n">
        <v>3133.17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>
        <f>IF(COUNT(D1370:U1370)=0,"",MIN(D1370:U1370))</f>
        <v/>
      </c>
      <c r="W1370" s="8">
        <f>IF(COUNT(D1370:U1370)=0,"",MEDIAN(D1370:U1370))</f>
        <v/>
      </c>
      <c r="X1370" s="8">
        <f>IF(COUNT(D1370:U1370)=0,"",MAX(D1370:U1370))</f>
        <v/>
      </c>
      <c r="Y1370" s="9">
        <f>IF(OR(V1370="",V1370=0),"",(X1370-V1370)/V1370)</f>
        <v/>
      </c>
      <c r="Z1370" s="7">
        <f>IF(COUNT(D1370:U1370)=0,"",INDEX($D$1:$U$1,MATCH(MIN(D1370:U1370),D1370:U1370,0)))</f>
        <v/>
      </c>
      <c r="AA1370" s="8" t="n">
        <v>3133.17</v>
      </c>
      <c r="AB1370" s="10" t="n">
        <v>1</v>
      </c>
    </row>
    <row r="1371">
      <c r="A1371" s="7" t="inlineStr">
        <is>
          <t>MAT-32-016</t>
        </is>
      </c>
      <c r="B1371" s="4" t="inlineStr">
        <is>
          <t>Tubo PVC DRENAJE 8" x 19 pies</t>
        </is>
      </c>
      <c r="C1371" s="7" t="inlineStr">
        <is>
          <t>tubo</t>
        </is>
      </c>
      <c r="D1371" s="8" t="n"/>
      <c r="E1371" s="8" t="n">
        <v>5301.3</v>
      </c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>
        <f>IF(COUNT(D1371:U1371)=0,"",MIN(D1371:U1371))</f>
        <v/>
      </c>
      <c r="W1371" s="8">
        <f>IF(COUNT(D1371:U1371)=0,"",MEDIAN(D1371:U1371))</f>
        <v/>
      </c>
      <c r="X1371" s="8">
        <f>IF(COUNT(D1371:U1371)=0,"",MAX(D1371:U1371))</f>
        <v/>
      </c>
      <c r="Y1371" s="9">
        <f>IF(OR(V1371="",V1371=0),"",(X1371-V1371)/V1371)</f>
        <v/>
      </c>
      <c r="Z1371" s="7">
        <f>IF(COUNT(D1371:U1371)=0,"",INDEX($D$1:$U$1,MATCH(MIN(D1371:U1371),D1371:U1371,0)))</f>
        <v/>
      </c>
      <c r="AA1371" s="8" t="n">
        <v>5301.3</v>
      </c>
      <c r="AB1371" s="10" t="n">
        <v>1</v>
      </c>
    </row>
    <row r="1372">
      <c r="A1372" s="7" t="inlineStr">
        <is>
          <t>MAT-32-017</t>
        </is>
      </c>
      <c r="B1372" s="4" t="inlineStr">
        <is>
          <t>Tubo PVC SCH-40 1 1/2" x 19 pies</t>
        </is>
      </c>
      <c r="C1372" s="7" t="inlineStr">
        <is>
          <t>tubo</t>
        </is>
      </c>
      <c r="D1372" s="8" t="n"/>
      <c r="E1372" s="8" t="n"/>
      <c r="F1372" s="8" t="n"/>
      <c r="G1372" s="8" t="n">
        <v>944</v>
      </c>
      <c r="H1372" s="8" t="n"/>
      <c r="I1372" s="8" t="n"/>
      <c r="J1372" s="8" t="n"/>
      <c r="K1372" s="8" t="n"/>
      <c r="L1372" s="8" t="n">
        <v>535</v>
      </c>
      <c r="M1372" s="8" t="n"/>
      <c r="N1372" s="8" t="n"/>
      <c r="O1372" s="8" t="n">
        <v>898</v>
      </c>
      <c r="P1372" s="8" t="n"/>
      <c r="Q1372" s="8" t="n"/>
      <c r="R1372" s="8" t="n"/>
      <c r="S1372" s="8" t="n"/>
      <c r="T1372" s="8" t="n"/>
      <c r="U1372" s="8" t="n"/>
      <c r="V1372" s="8">
        <f>IF(COUNT(D1372:U1372)=0,"",MIN(D1372:U1372))</f>
        <v/>
      </c>
      <c r="W1372" s="8">
        <f>IF(COUNT(D1372:U1372)=0,"",MEDIAN(D1372:U1372))</f>
        <v/>
      </c>
      <c r="X1372" s="8">
        <f>IF(COUNT(D1372:U1372)=0,"",MAX(D1372:U1372))</f>
        <v/>
      </c>
      <c r="Y1372" s="9">
        <f>IF(OR(V1372="",V1372=0),"",(X1372-V1372)/V1372)</f>
        <v/>
      </c>
      <c r="Z1372" s="7">
        <f>IF(COUNT(D1372:U1372)=0,"",INDEX($D$1:$U$1,MATCH(MIN(D1372:U1372),D1372:U1372,0)))</f>
        <v/>
      </c>
      <c r="AA1372" s="8" t="n">
        <v>944</v>
      </c>
      <c r="AB1372" s="10" t="n">
        <v>3</v>
      </c>
    </row>
    <row r="1373">
      <c r="A1373" s="7" t="inlineStr">
        <is>
          <t>MAT-32-018</t>
        </is>
      </c>
      <c r="B1373" s="4" t="inlineStr">
        <is>
          <t>Tubo PVC SCH-40 1/2" x 19 pies</t>
        </is>
      </c>
      <c r="C1373" s="7" t="inlineStr">
        <is>
          <t>tubo</t>
        </is>
      </c>
      <c r="D1373" s="8" t="n"/>
      <c r="E1373" s="8" t="n">
        <v>275</v>
      </c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>
        <v>253.2</v>
      </c>
      <c r="P1373" s="8" t="n"/>
      <c r="Q1373" s="8" t="n"/>
      <c r="R1373" s="8" t="n"/>
      <c r="S1373" s="8" t="n"/>
      <c r="T1373" s="8" t="n"/>
      <c r="U1373" s="8" t="n"/>
      <c r="V1373" s="8">
        <f>IF(COUNT(D1373:U1373)=0,"",MIN(D1373:U1373))</f>
        <v/>
      </c>
      <c r="W1373" s="8">
        <f>IF(COUNT(D1373:U1373)=0,"",MEDIAN(D1373:U1373))</f>
        <v/>
      </c>
      <c r="X1373" s="8">
        <f>IF(COUNT(D1373:U1373)=0,"",MAX(D1373:U1373))</f>
        <v/>
      </c>
      <c r="Y1373" s="9">
        <f>IF(OR(V1373="",V1373=0),"",(X1373-V1373)/V1373)</f>
        <v/>
      </c>
      <c r="Z1373" s="7">
        <f>IF(COUNT(D1373:U1373)=0,"",INDEX($D$1:$U$1,MATCH(MIN(D1373:U1373),D1373:U1373,0)))</f>
        <v/>
      </c>
      <c r="AA1373" s="8" t="n">
        <v>298.78</v>
      </c>
      <c r="AB1373" s="10" t="n">
        <v>2</v>
      </c>
    </row>
    <row r="1374">
      <c r="A1374" s="7" t="inlineStr">
        <is>
          <t>MAT-32-019</t>
        </is>
      </c>
      <c r="B1374" s="4" t="inlineStr">
        <is>
          <t>Tubo PVC SCH-40 1" x 19 pies</t>
        </is>
      </c>
      <c r="C1374" s="7" t="inlineStr">
        <is>
          <t>tubo</t>
        </is>
      </c>
      <c r="D1374" s="8" t="n"/>
      <c r="E1374" s="8" t="n">
        <v>623</v>
      </c>
      <c r="F1374" s="8" t="n"/>
      <c r="G1374" s="8" t="n">
        <v>570</v>
      </c>
      <c r="H1374" s="8" t="n"/>
      <c r="I1374" s="8" t="n"/>
      <c r="J1374" s="8" t="n"/>
      <c r="K1374" s="8" t="n"/>
      <c r="L1374" s="8" t="n">
        <v>315</v>
      </c>
      <c r="M1374" s="8" t="n"/>
      <c r="N1374" s="8" t="n"/>
      <c r="O1374" s="8" t="n">
        <v>531.4</v>
      </c>
      <c r="P1374" s="8" t="n"/>
      <c r="Q1374" s="8" t="n"/>
      <c r="R1374" s="8" t="n"/>
      <c r="S1374" s="8" t="n"/>
      <c r="T1374" s="8" t="n"/>
      <c r="U1374" s="8" t="n"/>
      <c r="V1374" s="8">
        <f>IF(COUNT(D1374:U1374)=0,"",MIN(D1374:U1374))</f>
        <v/>
      </c>
      <c r="W1374" s="8">
        <f>IF(COUNT(D1374:U1374)=0,"",MEDIAN(D1374:U1374))</f>
        <v/>
      </c>
      <c r="X1374" s="8">
        <f>IF(COUNT(D1374:U1374)=0,"",MAX(D1374:U1374))</f>
        <v/>
      </c>
      <c r="Y1374" s="9">
        <f>IF(OR(V1374="",V1374=0),"",(X1374-V1374)/V1374)</f>
        <v/>
      </c>
      <c r="Z1374" s="7">
        <f>IF(COUNT(D1374:U1374)=0,"",INDEX($D$1:$U$1,MATCH(MIN(D1374:U1374),D1374:U1374,0)))</f>
        <v/>
      </c>
      <c r="AA1374" s="8" t="n">
        <v>596.5</v>
      </c>
      <c r="AB1374" s="10" t="n">
        <v>4</v>
      </c>
    </row>
    <row r="1375">
      <c r="A1375" s="7" t="inlineStr">
        <is>
          <t>MAT-32-020</t>
        </is>
      </c>
      <c r="B1375" s="4" t="inlineStr">
        <is>
          <t>Tubo PVC SCH-40 2" x 19 pies</t>
        </is>
      </c>
      <c r="C1375" s="7" t="inlineStr">
        <is>
          <t>tubo</t>
        </is>
      </c>
      <c r="D1375" s="8" t="n"/>
      <c r="E1375" s="8" t="n">
        <v>1416</v>
      </c>
      <c r="F1375" s="8" t="n"/>
      <c r="G1375" s="8" t="n"/>
      <c r="H1375" s="8" t="n"/>
      <c r="I1375" s="8" t="n"/>
      <c r="J1375" s="8" t="n"/>
      <c r="K1375" s="8" t="n"/>
      <c r="L1375" s="8" t="n">
        <v>745</v>
      </c>
      <c r="M1375" s="8" t="n"/>
      <c r="N1375" s="8" t="n"/>
      <c r="O1375" s="8" t="n">
        <v>1207.6</v>
      </c>
      <c r="P1375" s="8" t="n"/>
      <c r="Q1375" s="8" t="n"/>
      <c r="R1375" s="8" t="n"/>
      <c r="S1375" s="8" t="n"/>
      <c r="T1375" s="8" t="n"/>
      <c r="U1375" s="8" t="n"/>
      <c r="V1375" s="8">
        <f>IF(COUNT(D1375:U1375)=0,"",MIN(D1375:U1375))</f>
        <v/>
      </c>
      <c r="W1375" s="8">
        <f>IF(COUNT(D1375:U1375)=0,"",MEDIAN(D1375:U1375))</f>
        <v/>
      </c>
      <c r="X1375" s="8">
        <f>IF(COUNT(D1375:U1375)=0,"",MAX(D1375:U1375))</f>
        <v/>
      </c>
      <c r="Y1375" s="9">
        <f>IF(OR(V1375="",V1375=0),"",(X1375-V1375)/V1375)</f>
        <v/>
      </c>
      <c r="Z1375" s="7">
        <f>IF(COUNT(D1375:U1375)=0,"",INDEX($D$1:$U$1,MATCH(MIN(D1375:U1375),D1375:U1375,0)))</f>
        <v/>
      </c>
      <c r="AA1375" s="8" t="n">
        <v>1416</v>
      </c>
      <c r="AB1375" s="10" t="n">
        <v>3</v>
      </c>
    </row>
    <row r="1376">
      <c r="A1376" s="7" t="inlineStr">
        <is>
          <t>MAT-32-021</t>
        </is>
      </c>
      <c r="B1376" s="4" t="inlineStr">
        <is>
          <t>Tubo PVC SCH-40 2" x 9.5 pies</t>
        </is>
      </c>
      <c r="C1376" s="7" t="inlineStr">
        <is>
          <t>tubo</t>
        </is>
      </c>
      <c r="D1376" s="8" t="n"/>
      <c r="E1376" s="8" t="n">
        <v>698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>
        <f>IF(COUNT(D1376:U1376)=0,"",MIN(D1376:U1376))</f>
        <v/>
      </c>
      <c r="W1376" s="8">
        <f>IF(COUNT(D1376:U1376)=0,"",MEDIAN(D1376:U1376))</f>
        <v/>
      </c>
      <c r="X1376" s="8">
        <f>IF(COUNT(D1376:U1376)=0,"",MAX(D1376:U1376))</f>
        <v/>
      </c>
      <c r="Y1376" s="9">
        <f>IF(OR(V1376="",V1376=0),"",(X1376-V1376)/V1376)</f>
        <v/>
      </c>
      <c r="Z1376" s="7">
        <f>IF(COUNT(D1376:U1376)=0,"",INDEX($D$1:$U$1,MATCH(MIN(D1376:U1376),D1376:U1376,0)))</f>
        <v/>
      </c>
      <c r="AA1376" s="8" t="n">
        <v>698</v>
      </c>
      <c r="AB1376" s="10" t="n">
        <v>1</v>
      </c>
    </row>
    <row r="1377">
      <c r="A1377" s="7" t="inlineStr">
        <is>
          <t>MAT-32-022</t>
        </is>
      </c>
      <c r="B1377" s="4" t="inlineStr">
        <is>
          <t>Tubo PVC SCH-40 3/4" x 19 pies</t>
        </is>
      </c>
      <c r="C1377" s="7" t="inlineStr">
        <is>
          <t>tubo</t>
        </is>
      </c>
      <c r="D1377" s="8" t="n"/>
      <c r="E1377" s="8" t="n">
        <v>217</v>
      </c>
      <c r="F1377" s="8" t="n"/>
      <c r="G1377" s="8" t="n">
        <v>388</v>
      </c>
      <c r="H1377" s="8" t="n"/>
      <c r="I1377" s="8" t="n"/>
      <c r="J1377" s="8" t="n"/>
      <c r="K1377" s="8" t="n"/>
      <c r="L1377" s="8" t="n">
        <v>235</v>
      </c>
      <c r="M1377" s="8" t="n"/>
      <c r="N1377" s="8" t="n"/>
      <c r="O1377" s="8" t="n">
        <v>358.9</v>
      </c>
      <c r="P1377" s="8" t="n"/>
      <c r="Q1377" s="8" t="n"/>
      <c r="R1377" s="8" t="n"/>
      <c r="S1377" s="8" t="n"/>
      <c r="T1377" s="8" t="n"/>
      <c r="U1377" s="8" t="n"/>
      <c r="V1377" s="8">
        <f>IF(COUNT(D1377:U1377)=0,"",MIN(D1377:U1377))</f>
        <v/>
      </c>
      <c r="W1377" s="8">
        <f>IF(COUNT(D1377:U1377)=0,"",MEDIAN(D1377:U1377))</f>
        <v/>
      </c>
      <c r="X1377" s="8">
        <f>IF(COUNT(D1377:U1377)=0,"",MAX(D1377:U1377))</f>
        <v/>
      </c>
      <c r="Y1377" s="9">
        <f>IF(OR(V1377="",V1377=0),"",(X1377-V1377)/V1377)</f>
        <v/>
      </c>
      <c r="Z1377" s="7">
        <f>IF(COUNT(D1377:U1377)=0,"",INDEX($D$1:$U$1,MATCH(MIN(D1377:U1377),D1377:U1377,0)))</f>
        <v/>
      </c>
      <c r="AA1377" s="8" t="n">
        <v>388</v>
      </c>
      <c r="AB1377" s="10" t="n">
        <v>4</v>
      </c>
    </row>
    <row r="1378">
      <c r="A1378" s="7" t="inlineStr">
        <is>
          <t>MAT-32-023</t>
        </is>
      </c>
      <c r="B1378" s="4" t="inlineStr">
        <is>
          <t>Tubo PVC SCH-40 3/4" x 9.5 pies</t>
        </is>
      </c>
      <c r="C1378" s="7" t="inlineStr">
        <is>
          <t>tubo</t>
        </is>
      </c>
      <c r="D1378" s="8" t="n"/>
      <c r="E1378" s="8" t="n">
        <v>154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>
        <f>IF(COUNT(D1378:U1378)=0,"",MIN(D1378:U1378))</f>
        <v/>
      </c>
      <c r="W1378" s="8">
        <f>IF(COUNT(D1378:U1378)=0,"",MEDIAN(D1378:U1378))</f>
        <v/>
      </c>
      <c r="X1378" s="8">
        <f>IF(COUNT(D1378:U1378)=0,"",MAX(D1378:U1378))</f>
        <v/>
      </c>
      <c r="Y1378" s="9">
        <f>IF(OR(V1378="",V1378=0),"",(X1378-V1378)/V1378)</f>
        <v/>
      </c>
      <c r="Z1378" s="7">
        <f>IF(COUNT(D1378:U1378)=0,"",INDEX($D$1:$U$1,MATCH(MIN(D1378:U1378),D1378:U1378,0)))</f>
        <v/>
      </c>
      <c r="AA1378" s="8" t="n">
        <v>154</v>
      </c>
      <c r="AB1378" s="10" t="n">
        <v>1</v>
      </c>
    </row>
    <row r="1379">
      <c r="A1379" s="7" t="inlineStr">
        <is>
          <t>MAT-32-024</t>
        </is>
      </c>
      <c r="B1379" s="4" t="inlineStr">
        <is>
          <t>Tubo PVC SCH-40 3" x 19 pies</t>
        </is>
      </c>
      <c r="C1379" s="7" t="inlineStr">
        <is>
          <t>tubo</t>
        </is>
      </c>
      <c r="D1379" s="8" t="n"/>
      <c r="E1379" s="8" t="n">
        <v>2832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>
        <v>2507.1</v>
      </c>
      <c r="P1379" s="8" t="n"/>
      <c r="Q1379" s="8" t="n"/>
      <c r="R1379" s="8" t="n"/>
      <c r="S1379" s="8" t="n"/>
      <c r="T1379" s="8" t="n"/>
      <c r="U1379" s="8" t="n"/>
      <c r="V1379" s="8">
        <f>IF(COUNT(D1379:U1379)=0,"",MIN(D1379:U1379))</f>
        <v/>
      </c>
      <c r="W1379" s="8">
        <f>IF(COUNT(D1379:U1379)=0,"",MEDIAN(D1379:U1379))</f>
        <v/>
      </c>
      <c r="X1379" s="8">
        <f>IF(COUNT(D1379:U1379)=0,"",MAX(D1379:U1379))</f>
        <v/>
      </c>
      <c r="Y1379" s="9">
        <f>IF(OR(V1379="",V1379=0),"",(X1379-V1379)/V1379)</f>
        <v/>
      </c>
      <c r="Z1379" s="7">
        <f>IF(COUNT(D1379:U1379)=0,"",INDEX($D$1:$U$1,MATCH(MIN(D1379:U1379),D1379:U1379,0)))</f>
        <v/>
      </c>
      <c r="AA1379" s="8" t="n">
        <v>2895.19</v>
      </c>
      <c r="AB1379" s="10" t="n">
        <v>2</v>
      </c>
    </row>
    <row r="1380">
      <c r="A1380" s="7" t="inlineStr">
        <is>
          <t>MAT-32-025</t>
        </is>
      </c>
      <c r="B1380" s="4" t="inlineStr">
        <is>
          <t>Tubo PVC SCH-40 4" x 19 pies</t>
        </is>
      </c>
      <c r="C1380" s="7" t="inlineStr">
        <is>
          <t>tubo</t>
        </is>
      </c>
      <c r="D1380" s="8" t="n"/>
      <c r="E1380" s="8" t="n">
        <v>4020.28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>
        <v>3571.1</v>
      </c>
      <c r="P1380" s="8" t="n"/>
      <c r="Q1380" s="8" t="n"/>
      <c r="R1380" s="8" t="n"/>
      <c r="S1380" s="8" t="n"/>
      <c r="T1380" s="8" t="n"/>
      <c r="U1380" s="8" t="n"/>
      <c r="V1380" s="8">
        <f>IF(COUNT(D1380:U1380)=0,"",MIN(D1380:U1380))</f>
        <v/>
      </c>
      <c r="W1380" s="8">
        <f>IF(COUNT(D1380:U1380)=0,"",MEDIAN(D1380:U1380))</f>
        <v/>
      </c>
      <c r="X1380" s="8">
        <f>IF(COUNT(D1380:U1380)=0,"",MAX(D1380:U1380))</f>
        <v/>
      </c>
      <c r="Y1380" s="9">
        <f>IF(OR(V1380="",V1380=0),"",(X1380-V1380)/V1380)</f>
        <v/>
      </c>
      <c r="Z1380" s="7">
        <f>IF(COUNT(D1380:U1380)=0,"",INDEX($D$1:$U$1,MATCH(MIN(D1380:U1380),D1380:U1380,0)))</f>
        <v/>
      </c>
      <c r="AA1380" s="8" t="n">
        <v>4117.09</v>
      </c>
      <c r="AB1380" s="10" t="n">
        <v>2</v>
      </c>
    </row>
    <row r="1381">
      <c r="A1381" s="7" t="inlineStr">
        <is>
          <t>MAT-32-026</t>
        </is>
      </c>
      <c r="B1381" s="4" t="inlineStr">
        <is>
          <t>Tubo PVC SCH-40 6" x 19 pies</t>
        </is>
      </c>
      <c r="C1381" s="7" t="inlineStr">
        <is>
          <t>tubo</t>
        </is>
      </c>
      <c r="D1381" s="8" t="n"/>
      <c r="E1381" s="8" t="n">
        <v>7865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>
        <v>6907.8</v>
      </c>
      <c r="P1381" s="8" t="n"/>
      <c r="Q1381" s="8" t="n"/>
      <c r="R1381" s="8" t="n"/>
      <c r="S1381" s="8" t="n"/>
      <c r="T1381" s="8" t="n"/>
      <c r="U1381" s="8" t="n"/>
      <c r="V1381" s="8">
        <f>IF(COUNT(D1381:U1381)=0,"",MIN(D1381:U1381))</f>
        <v/>
      </c>
      <c r="W1381" s="8">
        <f>IF(COUNT(D1381:U1381)=0,"",MEDIAN(D1381:U1381))</f>
        <v/>
      </c>
      <c r="X1381" s="8">
        <f>IF(COUNT(D1381:U1381)=0,"",MAX(D1381:U1381))</f>
        <v/>
      </c>
      <c r="Y1381" s="9">
        <f>IF(OR(V1381="",V1381=0),"",(X1381-V1381)/V1381)</f>
        <v/>
      </c>
      <c r="Z1381" s="7">
        <f>IF(COUNT(D1381:U1381)=0,"",INDEX($D$1:$U$1,MATCH(MIN(D1381:U1381),D1381:U1381,0)))</f>
        <v/>
      </c>
      <c r="AA1381" s="8" t="n">
        <v>8008.1</v>
      </c>
      <c r="AB1381" s="10" t="n">
        <v>2</v>
      </c>
    </row>
    <row r="1382">
      <c r="A1382" s="7" t="inlineStr">
        <is>
          <t>MAT-32-027</t>
        </is>
      </c>
      <c r="B1382" s="4" t="inlineStr">
        <is>
          <t>Tubo PVC SCH-40 8" x 19 pies</t>
        </is>
      </c>
      <c r="C1382" s="7" t="inlineStr">
        <is>
          <t>tubo</t>
        </is>
      </c>
      <c r="D1382" s="8" t="n"/>
      <c r="E1382" s="8" t="n">
        <v>11841.41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>
        <v>10374.3</v>
      </c>
      <c r="P1382" s="8" t="n"/>
      <c r="Q1382" s="8" t="n"/>
      <c r="R1382" s="8" t="n"/>
      <c r="S1382" s="8" t="n"/>
      <c r="T1382" s="8" t="n"/>
      <c r="U1382" s="8" t="n"/>
      <c r="V1382" s="8">
        <f>IF(COUNT(D1382:U1382)=0,"",MIN(D1382:U1382))</f>
        <v/>
      </c>
      <c r="W1382" s="8">
        <f>IF(COUNT(D1382:U1382)=0,"",MEDIAN(D1382:U1382))</f>
        <v/>
      </c>
      <c r="X1382" s="8">
        <f>IF(COUNT(D1382:U1382)=0,"",MAX(D1382:U1382))</f>
        <v/>
      </c>
      <c r="Y1382" s="9">
        <f>IF(OR(V1382="",V1382=0),"",(X1382-V1382)/V1382)</f>
        <v/>
      </c>
      <c r="Z1382" s="7">
        <f>IF(COUNT(D1382:U1382)=0,"",INDEX($D$1:$U$1,MATCH(MIN(D1382:U1382),D1382:U1382,0)))</f>
        <v/>
      </c>
      <c r="AA1382" s="8" t="n">
        <v>12041.54</v>
      </c>
      <c r="AB1382" s="10" t="n">
        <v>2</v>
      </c>
    </row>
    <row r="1383">
      <c r="A1383" s="7" t="inlineStr">
        <is>
          <t>MAT-32-028</t>
        </is>
      </c>
      <c r="B1383" s="4" t="inlineStr">
        <is>
          <t>Tubo PVC SCH-80 1/2" x 19 pies</t>
        </is>
      </c>
      <c r="C1383" s="7" t="inlineStr">
        <is>
          <t>tubo</t>
        </is>
      </c>
      <c r="D1383" s="8" t="n"/>
      <c r="E1383" s="8" t="n">
        <v>465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>
        <f>IF(COUNT(D1383:U1383)=0,"",MIN(D1383:U1383))</f>
        <v/>
      </c>
      <c r="W1383" s="8">
        <f>IF(COUNT(D1383:U1383)=0,"",MEDIAN(D1383:U1383))</f>
        <v/>
      </c>
      <c r="X1383" s="8">
        <f>IF(COUNT(D1383:U1383)=0,"",MAX(D1383:U1383))</f>
        <v/>
      </c>
      <c r="Y1383" s="9">
        <f>IF(OR(V1383="",V1383=0),"",(X1383-V1383)/V1383)</f>
        <v/>
      </c>
      <c r="Z1383" s="7">
        <f>IF(COUNT(D1383:U1383)=0,"",INDEX($D$1:$U$1,MATCH(MIN(D1383:U1383),D1383:U1383,0)))</f>
        <v/>
      </c>
      <c r="AA1383" s="8" t="n">
        <v>1098.5</v>
      </c>
      <c r="AB1383" s="10" t="n">
        <v>1</v>
      </c>
    </row>
    <row r="1384">
      <c r="A1384" s="7" t="inlineStr">
        <is>
          <t>MAT-32-029</t>
        </is>
      </c>
      <c r="B1384" s="4" t="inlineStr">
        <is>
          <t>Tubo PVC SCH-80 1" x 19 pies</t>
        </is>
      </c>
      <c r="C1384" s="7" t="inlineStr">
        <is>
          <t>tubo</t>
        </is>
      </c>
      <c r="D1384" s="8" t="n"/>
      <c r="E1384" s="8" t="n">
        <v>905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>
        <f>IF(COUNT(D1384:U1384)=0,"",MIN(D1384:U1384))</f>
        <v/>
      </c>
      <c r="W1384" s="8">
        <f>IF(COUNT(D1384:U1384)=0,"",MEDIAN(D1384:U1384))</f>
        <v/>
      </c>
      <c r="X1384" s="8">
        <f>IF(COUNT(D1384:U1384)=0,"",MAX(D1384:U1384))</f>
        <v/>
      </c>
      <c r="Y1384" s="9">
        <f>IF(OR(V1384="",V1384=0),"",(X1384-V1384)/V1384)</f>
        <v/>
      </c>
      <c r="Z1384" s="7">
        <f>IF(COUNT(D1384:U1384)=0,"",INDEX($D$1:$U$1,MATCH(MIN(D1384:U1384),D1384:U1384,0)))</f>
        <v/>
      </c>
      <c r="AA1384" s="8" t="n">
        <v>905</v>
      </c>
      <c r="AB1384" s="10" t="n">
        <v>1</v>
      </c>
    </row>
    <row r="1385">
      <c r="A1385" s="7" t="inlineStr">
        <is>
          <t>MAT-32-030</t>
        </is>
      </c>
      <c r="B1385" s="4" t="inlineStr">
        <is>
          <t>Tubo PVC SCH-80 2" x 19 pies</t>
        </is>
      </c>
      <c r="C1385" s="7" t="inlineStr">
        <is>
          <t>tubo</t>
        </is>
      </c>
      <c r="D1385" s="8" t="n"/>
      <c r="E1385" s="8" t="n">
        <v>2276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>
        <f>IF(COUNT(D1385:U1385)=0,"",MIN(D1385:U1385))</f>
        <v/>
      </c>
      <c r="W1385" s="8">
        <f>IF(COUNT(D1385:U1385)=0,"",MEDIAN(D1385:U1385))</f>
        <v/>
      </c>
      <c r="X1385" s="8">
        <f>IF(COUNT(D1385:U1385)=0,"",MAX(D1385:U1385))</f>
        <v/>
      </c>
      <c r="Y1385" s="9">
        <f>IF(OR(V1385="",V1385=0),"",(X1385-V1385)/V1385)</f>
        <v/>
      </c>
      <c r="Z1385" s="7">
        <f>IF(COUNT(D1385:U1385)=0,"",INDEX($D$1:$U$1,MATCH(MIN(D1385:U1385),D1385:U1385,0)))</f>
        <v/>
      </c>
      <c r="AA1385" s="8" t="n">
        <v>2276</v>
      </c>
      <c r="AB1385" s="10" t="n">
        <v>1</v>
      </c>
    </row>
    <row r="1386">
      <c r="A1386" s="7" t="inlineStr">
        <is>
          <t>MAT-32-031</t>
        </is>
      </c>
      <c r="B1386" s="4" t="inlineStr">
        <is>
          <t>Tubo PVC SCH-80 3/4" x 19 pies</t>
        </is>
      </c>
      <c r="C1386" s="7" t="inlineStr">
        <is>
          <t>tubo</t>
        </is>
      </c>
      <c r="D1386" s="8" t="n"/>
      <c r="E1386" s="8" t="n">
        <v>621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>
        <f>IF(COUNT(D1386:U1386)=0,"",MIN(D1386:U1386))</f>
        <v/>
      </c>
      <c r="W1386" s="8">
        <f>IF(COUNT(D1386:U1386)=0,"",MEDIAN(D1386:U1386))</f>
        <v/>
      </c>
      <c r="X1386" s="8">
        <f>IF(COUNT(D1386:U1386)=0,"",MAX(D1386:U1386))</f>
        <v/>
      </c>
      <c r="Y1386" s="9">
        <f>IF(OR(V1386="",V1386=0),"",(X1386-V1386)/V1386)</f>
        <v/>
      </c>
      <c r="Z1386" s="7">
        <f>IF(COUNT(D1386:U1386)=0,"",INDEX($D$1:$U$1,MATCH(MIN(D1386:U1386),D1386:U1386,0)))</f>
        <v/>
      </c>
      <c r="AA1386" s="8" t="n">
        <v>621</v>
      </c>
      <c r="AB1386" s="10" t="n">
        <v>1</v>
      </c>
    </row>
    <row r="1387">
      <c r="A1387" s="7" t="inlineStr">
        <is>
          <t>MAT-32-032</t>
        </is>
      </c>
      <c r="B1387" s="4" t="inlineStr">
        <is>
          <t>Tubo PVC SCH-80 3" x 19 pies</t>
        </is>
      </c>
      <c r="C1387" s="7" t="inlineStr">
        <is>
          <t>tubo</t>
        </is>
      </c>
      <c r="D1387" s="8" t="n"/>
      <c r="E1387" s="8" t="n">
        <v>4177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>
        <f>IF(COUNT(D1387:U1387)=0,"",MIN(D1387:U1387))</f>
        <v/>
      </c>
      <c r="W1387" s="8">
        <f>IF(COUNT(D1387:U1387)=0,"",MEDIAN(D1387:U1387))</f>
        <v/>
      </c>
      <c r="X1387" s="8">
        <f>IF(COUNT(D1387:U1387)=0,"",MAX(D1387:U1387))</f>
        <v/>
      </c>
      <c r="Y1387" s="9">
        <f>IF(OR(V1387="",V1387=0),"",(X1387-V1387)/V1387)</f>
        <v/>
      </c>
      <c r="Z1387" s="7">
        <f>IF(COUNT(D1387:U1387)=0,"",INDEX($D$1:$U$1,MATCH(MIN(D1387:U1387),D1387:U1387,0)))</f>
        <v/>
      </c>
      <c r="AA1387" s="8" t="n">
        <v>4177</v>
      </c>
      <c r="AB1387" s="10" t="n">
        <v>1</v>
      </c>
    </row>
    <row r="1388">
      <c r="A1388" s="7" t="inlineStr">
        <is>
          <t>MAT-32-033</t>
        </is>
      </c>
      <c r="B1388" s="4" t="inlineStr">
        <is>
          <t>Tubo PVC SDR-13.5 1/2" x 19 pies</t>
        </is>
      </c>
      <c r="C1388" s="7" t="inlineStr">
        <is>
          <t>tubo</t>
        </is>
      </c>
      <c r="D1388" s="8" t="n"/>
      <c r="E1388" s="8" t="n">
        <v>181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>
        <f>IF(COUNT(D1388:U1388)=0,"",MIN(D1388:U1388))</f>
        <v/>
      </c>
      <c r="W1388" s="8">
        <f>IF(COUNT(D1388:U1388)=0,"",MEDIAN(D1388:U1388))</f>
        <v/>
      </c>
      <c r="X1388" s="8">
        <f>IF(COUNT(D1388:U1388)=0,"",MAX(D1388:U1388))</f>
        <v/>
      </c>
      <c r="Y1388" s="9">
        <f>IF(OR(V1388="",V1388=0),"",(X1388-V1388)/V1388)</f>
        <v/>
      </c>
      <c r="Z1388" s="7">
        <f>IF(COUNT(D1388:U1388)=0,"",INDEX($D$1:$U$1,MATCH(MIN(D1388:U1388),D1388:U1388,0)))</f>
        <v/>
      </c>
      <c r="AA1388" s="8" t="n">
        <v>181</v>
      </c>
      <c r="AB1388" s="10" t="n">
        <v>1</v>
      </c>
    </row>
    <row r="1389">
      <c r="A1389" s="7" t="inlineStr">
        <is>
          <t>MAT-32-034</t>
        </is>
      </c>
      <c r="B1389" s="4" t="inlineStr">
        <is>
          <t>Tubo PVC SDR-21 1" x 19 pies</t>
        </is>
      </c>
      <c r="C1389" s="7" t="inlineStr">
        <is>
          <t>tubo</t>
        </is>
      </c>
      <c r="D1389" s="8" t="n"/>
      <c r="E1389" s="8" t="n">
        <v>320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>
        <f>IF(COUNT(D1389:U1389)=0,"",MIN(D1389:U1389))</f>
        <v/>
      </c>
      <c r="W1389" s="8">
        <f>IF(COUNT(D1389:U1389)=0,"",MEDIAN(D1389:U1389))</f>
        <v/>
      </c>
      <c r="X1389" s="8">
        <f>IF(COUNT(D1389:U1389)=0,"",MAX(D1389:U1389))</f>
        <v/>
      </c>
      <c r="Y1389" s="9">
        <f>IF(OR(V1389="",V1389=0),"",(X1389-V1389)/V1389)</f>
        <v/>
      </c>
      <c r="Z1389" s="7">
        <f>IF(COUNT(D1389:U1389)=0,"",INDEX($D$1:$U$1,MATCH(MIN(D1389:U1389),D1389:U1389,0)))</f>
        <v/>
      </c>
      <c r="AA1389" s="8" t="n">
        <v>320</v>
      </c>
      <c r="AB1389" s="10" t="n">
        <v>1</v>
      </c>
    </row>
    <row r="1390">
      <c r="A1390" s="7" t="inlineStr">
        <is>
          <t>MAT-32-035</t>
        </is>
      </c>
      <c r="B1390" s="4" t="inlineStr">
        <is>
          <t>Tubo PVC SDR-21 1" x 9.5 pies</t>
        </is>
      </c>
      <c r="C1390" s="7" t="inlineStr">
        <is>
          <t>tubo</t>
        </is>
      </c>
      <c r="D1390" s="8" t="n"/>
      <c r="E1390" s="8" t="n">
        <v>176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>
        <f>IF(COUNT(D1390:U1390)=0,"",MIN(D1390:U1390))</f>
        <v/>
      </c>
      <c r="W1390" s="8">
        <f>IF(COUNT(D1390:U1390)=0,"",MEDIAN(D1390:U1390))</f>
        <v/>
      </c>
      <c r="X1390" s="8">
        <f>IF(COUNT(D1390:U1390)=0,"",MAX(D1390:U1390))</f>
        <v/>
      </c>
      <c r="Y1390" s="9">
        <f>IF(OR(V1390="",V1390=0),"",(X1390-V1390)/V1390)</f>
        <v/>
      </c>
      <c r="Z1390" s="7">
        <f>IF(COUNT(D1390:U1390)=0,"",INDEX($D$1:$U$1,MATCH(MIN(D1390:U1390),D1390:U1390,0)))</f>
        <v/>
      </c>
      <c r="AA1390" s="8" t="n">
        <v>176</v>
      </c>
      <c r="AB1390" s="10" t="n">
        <v>1</v>
      </c>
    </row>
    <row r="1391">
      <c r="A1391" s="7" t="inlineStr">
        <is>
          <t>MAT-32-036</t>
        </is>
      </c>
      <c r="B1391" s="4" t="inlineStr">
        <is>
          <t>Tubo PVC SDR-21 3/4" x 19 pies</t>
        </is>
      </c>
      <c r="C1391" s="7" t="inlineStr">
        <is>
          <t>tubo</t>
        </is>
      </c>
      <c r="D1391" s="8" t="n"/>
      <c r="E1391" s="8" t="n">
        <v>260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>
        <f>IF(COUNT(D1391:U1391)=0,"",MIN(D1391:U1391))</f>
        <v/>
      </c>
      <c r="W1391" s="8">
        <f>IF(COUNT(D1391:U1391)=0,"",MEDIAN(D1391:U1391))</f>
        <v/>
      </c>
      <c r="X1391" s="8">
        <f>IF(COUNT(D1391:U1391)=0,"",MAX(D1391:U1391))</f>
        <v/>
      </c>
      <c r="Y1391" s="9">
        <f>IF(OR(V1391="",V1391=0),"",(X1391-V1391)/V1391)</f>
        <v/>
      </c>
      <c r="Z1391" s="7">
        <f>IF(COUNT(D1391:U1391)=0,"",INDEX($D$1:$U$1,MATCH(MIN(D1391:U1391),D1391:U1391,0)))</f>
        <v/>
      </c>
      <c r="AA1391" s="8" t="n">
        <v>260</v>
      </c>
      <c r="AB1391" s="10" t="n">
        <v>1</v>
      </c>
    </row>
    <row r="1392">
      <c r="A1392" s="7" t="inlineStr">
        <is>
          <t>MAT-32-037</t>
        </is>
      </c>
      <c r="B1392" s="4" t="inlineStr">
        <is>
          <t>Tubo PVC SDR-21 3/4" x 9.5 pies</t>
        </is>
      </c>
      <c r="C1392" s="7" t="inlineStr">
        <is>
          <t>tubo</t>
        </is>
      </c>
      <c r="D1392" s="8" t="n"/>
      <c r="E1392" s="8" t="n">
        <v>146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>
        <f>IF(COUNT(D1392:U1392)=0,"",MIN(D1392:U1392))</f>
        <v/>
      </c>
      <c r="W1392" s="8">
        <f>IF(COUNT(D1392:U1392)=0,"",MEDIAN(D1392:U1392))</f>
        <v/>
      </c>
      <c r="X1392" s="8">
        <f>IF(COUNT(D1392:U1392)=0,"",MAX(D1392:U1392))</f>
        <v/>
      </c>
      <c r="Y1392" s="9">
        <f>IF(OR(V1392="",V1392=0),"",(X1392-V1392)/V1392)</f>
        <v/>
      </c>
      <c r="Z1392" s="7">
        <f>IF(COUNT(D1392:U1392)=0,"",INDEX($D$1:$U$1,MATCH(MIN(D1392:U1392),D1392:U1392,0)))</f>
        <v/>
      </c>
      <c r="AA1392" s="8" t="n">
        <v>146</v>
      </c>
      <c r="AB1392" s="10" t="n">
        <v>1</v>
      </c>
    </row>
    <row r="1393">
      <c r="A1393" s="7" t="inlineStr">
        <is>
          <t>MAT-32-038</t>
        </is>
      </c>
      <c r="B1393" s="4" t="inlineStr">
        <is>
          <t>Tubo PVC SDR-26 1 1/2" x 19 pies</t>
        </is>
      </c>
      <c r="C1393" s="7" t="inlineStr">
        <is>
          <t>tubo</t>
        </is>
      </c>
      <c r="D1393" s="8" t="n"/>
      <c r="E1393" s="8" t="n"/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>
        <v>496.6</v>
      </c>
      <c r="P1393" s="8" t="n"/>
      <c r="Q1393" s="8" t="n"/>
      <c r="R1393" s="8" t="n"/>
      <c r="S1393" s="8" t="n"/>
      <c r="T1393" s="8" t="n"/>
      <c r="U1393" s="8" t="n"/>
      <c r="V1393" s="8">
        <f>IF(COUNT(D1393:U1393)=0,"",MIN(D1393:U1393))</f>
        <v/>
      </c>
      <c r="W1393" s="8">
        <f>IF(COUNT(D1393:U1393)=0,"",MEDIAN(D1393:U1393))</f>
        <v/>
      </c>
      <c r="X1393" s="8">
        <f>IF(COUNT(D1393:U1393)=0,"",MAX(D1393:U1393))</f>
        <v/>
      </c>
      <c r="Y1393" s="9">
        <f>IF(OR(V1393="",V1393=0),"",(X1393-V1393)/V1393)</f>
        <v/>
      </c>
      <c r="Z1393" s="7">
        <f>IF(COUNT(D1393:U1393)=0,"",INDEX($D$1:$U$1,MATCH(MIN(D1393:U1393),D1393:U1393,0)))</f>
        <v/>
      </c>
      <c r="AA1393" s="8" t="n">
        <v>585.99</v>
      </c>
      <c r="AB1393" s="10" t="n">
        <v>1</v>
      </c>
    </row>
    <row r="1394">
      <c r="A1394" s="7" t="inlineStr">
        <is>
          <t>MAT-32-039</t>
        </is>
      </c>
      <c r="B1394" s="4" t="inlineStr">
        <is>
          <t>Tubo PVC SDR-26 1/2" x 19 pies</t>
        </is>
      </c>
      <c r="C1394" s="7" t="inlineStr">
        <is>
          <t>tubo</t>
        </is>
      </c>
      <c r="D1394" s="8" t="n"/>
      <c r="E1394" s="8" t="n">
        <v>70.78</v>
      </c>
      <c r="F1394" s="8" t="n"/>
      <c r="G1394" s="8" t="n">
        <v>135</v>
      </c>
      <c r="H1394" s="8" t="n"/>
      <c r="I1394" s="8" t="n"/>
      <c r="J1394" s="8" t="n"/>
      <c r="K1394" s="8" t="n"/>
      <c r="L1394" s="8" t="n"/>
      <c r="M1394" s="8" t="n"/>
      <c r="N1394" s="8" t="n"/>
      <c r="O1394" s="8" t="n">
        <v>96.51000000000001</v>
      </c>
      <c r="P1394" s="8" t="n"/>
      <c r="Q1394" s="8" t="n"/>
      <c r="R1394" s="8" t="n"/>
      <c r="S1394" s="8" t="n"/>
      <c r="T1394" s="8" t="n"/>
      <c r="U1394" s="8" t="n"/>
      <c r="V1394" s="8">
        <f>IF(COUNT(D1394:U1394)=0,"",MIN(D1394:U1394))</f>
        <v/>
      </c>
      <c r="W1394" s="8">
        <f>IF(COUNT(D1394:U1394)=0,"",MEDIAN(D1394:U1394))</f>
        <v/>
      </c>
      <c r="X1394" s="8">
        <f>IF(COUNT(D1394:U1394)=0,"",MAX(D1394:U1394))</f>
        <v/>
      </c>
      <c r="Y1394" s="9">
        <f>IF(OR(V1394="",V1394=0),"",(X1394-V1394)/V1394)</f>
        <v/>
      </c>
      <c r="Z1394" s="7">
        <f>IF(COUNT(D1394:U1394)=0,"",INDEX($D$1:$U$1,MATCH(MIN(D1394:U1394),D1394:U1394,0)))</f>
        <v/>
      </c>
      <c r="AA1394" s="8" t="n">
        <v>113.88</v>
      </c>
      <c r="AB1394" s="10" t="n">
        <v>3</v>
      </c>
    </row>
    <row r="1395">
      <c r="A1395" s="7" t="inlineStr">
        <is>
          <t>MAT-32-040</t>
        </is>
      </c>
      <c r="B1395" s="4" t="inlineStr">
        <is>
          <t>Tubo PVC SDR-26 1/2" x 9.5 pies</t>
        </is>
      </c>
      <c r="C1395" s="7" t="inlineStr">
        <is>
          <t>tubo</t>
        </is>
      </c>
      <c r="D1395" s="8" t="n"/>
      <c r="E1395" s="8" t="n">
        <v>293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>
        <f>IF(COUNT(D1395:U1395)=0,"",MIN(D1395:U1395))</f>
        <v/>
      </c>
      <c r="W1395" s="8">
        <f>IF(COUNT(D1395:U1395)=0,"",MEDIAN(D1395:U1395))</f>
        <v/>
      </c>
      <c r="X1395" s="8">
        <f>IF(COUNT(D1395:U1395)=0,"",MAX(D1395:U1395))</f>
        <v/>
      </c>
      <c r="Y1395" s="9">
        <f>IF(OR(V1395="",V1395=0),"",(X1395-V1395)/V1395)</f>
        <v/>
      </c>
      <c r="Z1395" s="7">
        <f>IF(COUNT(D1395:U1395)=0,"",INDEX($D$1:$U$1,MATCH(MIN(D1395:U1395),D1395:U1395,0)))</f>
        <v/>
      </c>
      <c r="AA1395" s="8" t="n">
        <v>293</v>
      </c>
      <c r="AB1395" s="10" t="n">
        <v>1</v>
      </c>
    </row>
    <row r="1396">
      <c r="A1396" s="7" t="inlineStr">
        <is>
          <t>MAT-32-041</t>
        </is>
      </c>
      <c r="B1396" s="4" t="inlineStr">
        <is>
          <t>Tubo PVC SDR-26 1" x 19 pies</t>
        </is>
      </c>
      <c r="C1396" s="7" t="inlineStr">
        <is>
          <t>tubo</t>
        </is>
      </c>
      <c r="D1396" s="8" t="n"/>
      <c r="E1396" s="8" t="n">
        <v>269</v>
      </c>
      <c r="F1396" s="8" t="n"/>
      <c r="G1396" s="8" t="n">
        <v>305</v>
      </c>
      <c r="H1396" s="8" t="n"/>
      <c r="I1396" s="8" t="n"/>
      <c r="J1396" s="8" t="n"/>
      <c r="K1396" s="8" t="n"/>
      <c r="L1396" s="8" t="n"/>
      <c r="M1396" s="8" t="n"/>
      <c r="N1396" s="8" t="n"/>
      <c r="O1396" s="8" t="n">
        <v>249.2</v>
      </c>
      <c r="P1396" s="8" t="n"/>
      <c r="Q1396" s="8" t="n"/>
      <c r="R1396" s="8" t="n"/>
      <c r="S1396" s="8" t="n"/>
      <c r="T1396" s="8" t="n"/>
      <c r="U1396" s="8" t="n"/>
      <c r="V1396" s="8">
        <f>IF(COUNT(D1396:U1396)=0,"",MIN(D1396:U1396))</f>
        <v/>
      </c>
      <c r="W1396" s="8">
        <f>IF(COUNT(D1396:U1396)=0,"",MEDIAN(D1396:U1396))</f>
        <v/>
      </c>
      <c r="X1396" s="8">
        <f>IF(COUNT(D1396:U1396)=0,"",MAX(D1396:U1396))</f>
        <v/>
      </c>
      <c r="Y1396" s="9">
        <f>IF(OR(V1396="",V1396=0),"",(X1396-V1396)/V1396)</f>
        <v/>
      </c>
      <c r="Z1396" s="7">
        <f>IF(COUNT(D1396:U1396)=0,"",INDEX($D$1:$U$1,MATCH(MIN(D1396:U1396),D1396:U1396,0)))</f>
        <v/>
      </c>
      <c r="AA1396" s="8" t="n">
        <v>294.06</v>
      </c>
      <c r="AB1396" s="10" t="n">
        <v>3</v>
      </c>
    </row>
    <row r="1397">
      <c r="A1397" s="7" t="inlineStr">
        <is>
          <t>MAT-32-042</t>
        </is>
      </c>
      <c r="B1397" s="4" t="inlineStr">
        <is>
          <t>Tubo PVC SDR-26 1" x 9.5 pies</t>
        </is>
      </c>
      <c r="C1397" s="7" t="inlineStr">
        <is>
          <t>tubo</t>
        </is>
      </c>
      <c r="D1397" s="8" t="n"/>
      <c r="E1397" s="8" t="n">
        <v>150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>
        <f>IF(COUNT(D1397:U1397)=0,"",MIN(D1397:U1397))</f>
        <v/>
      </c>
      <c r="W1397" s="8">
        <f>IF(COUNT(D1397:U1397)=0,"",MEDIAN(D1397:U1397))</f>
        <v/>
      </c>
      <c r="X1397" s="8">
        <f>IF(COUNT(D1397:U1397)=0,"",MAX(D1397:U1397))</f>
        <v/>
      </c>
      <c r="Y1397" s="9">
        <f>IF(OR(V1397="",V1397=0),"",(X1397-V1397)/V1397)</f>
        <v/>
      </c>
      <c r="Z1397" s="7">
        <f>IF(COUNT(D1397:U1397)=0,"",INDEX($D$1:$U$1,MATCH(MIN(D1397:U1397),D1397:U1397,0)))</f>
        <v/>
      </c>
      <c r="AA1397" s="8" t="n">
        <v>150</v>
      </c>
      <c r="AB1397" s="10" t="n">
        <v>1</v>
      </c>
    </row>
    <row r="1398">
      <c r="A1398" s="7" t="inlineStr">
        <is>
          <t>MAT-32-043</t>
        </is>
      </c>
      <c r="B1398" s="4" t="inlineStr">
        <is>
          <t>Tubo PVC SDR-26 2" x 19 pies</t>
        </is>
      </c>
      <c r="C1398" s="7" t="inlineStr">
        <is>
          <t>tubo</t>
        </is>
      </c>
      <c r="D1398" s="8" t="n"/>
      <c r="E1398" s="8" t="n">
        <v>881.41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>
        <v>774</v>
      </c>
      <c r="P1398" s="8" t="n"/>
      <c r="Q1398" s="8" t="n"/>
      <c r="R1398" s="8" t="n"/>
      <c r="S1398" s="8" t="n"/>
      <c r="T1398" s="8" t="n"/>
      <c r="U1398" s="8" t="n"/>
      <c r="V1398" s="8">
        <f>IF(COUNT(D1398:U1398)=0,"",MIN(D1398:U1398))</f>
        <v/>
      </c>
      <c r="W1398" s="8">
        <f>IF(COUNT(D1398:U1398)=0,"",MEDIAN(D1398:U1398))</f>
        <v/>
      </c>
      <c r="X1398" s="8">
        <f>IF(COUNT(D1398:U1398)=0,"",MAX(D1398:U1398))</f>
        <v/>
      </c>
      <c r="Y1398" s="9">
        <f>IF(OR(V1398="",V1398=0),"",(X1398-V1398)/V1398)</f>
        <v/>
      </c>
      <c r="Z1398" s="7">
        <f>IF(COUNT(D1398:U1398)=0,"",INDEX($D$1:$U$1,MATCH(MIN(D1398:U1398),D1398:U1398,0)))</f>
        <v/>
      </c>
      <c r="AA1398" s="8" t="n">
        <v>897.37</v>
      </c>
      <c r="AB1398" s="10" t="n">
        <v>2</v>
      </c>
    </row>
    <row r="1399">
      <c r="A1399" s="7" t="inlineStr">
        <is>
          <t>MAT-32-044</t>
        </is>
      </c>
      <c r="B1399" s="4" t="inlineStr">
        <is>
          <t>Tubo PVC SDR-26 2" x 9.5 pies</t>
        </is>
      </c>
      <c r="C1399" s="7" t="inlineStr">
        <is>
          <t>tubo</t>
        </is>
      </c>
      <c r="D1399" s="8" t="n"/>
      <c r="E1399" s="8" t="n">
        <v>455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>
        <f>IF(COUNT(D1399:U1399)=0,"",MIN(D1399:U1399))</f>
        <v/>
      </c>
      <c r="W1399" s="8">
        <f>IF(COUNT(D1399:U1399)=0,"",MEDIAN(D1399:U1399))</f>
        <v/>
      </c>
      <c r="X1399" s="8">
        <f>IF(COUNT(D1399:U1399)=0,"",MAX(D1399:U1399))</f>
        <v/>
      </c>
      <c r="Y1399" s="9">
        <f>IF(OR(V1399="",V1399=0),"",(X1399-V1399)/V1399)</f>
        <v/>
      </c>
      <c r="Z1399" s="7">
        <f>IF(COUNT(D1399:U1399)=0,"",INDEX($D$1:$U$1,MATCH(MIN(D1399:U1399),D1399:U1399,0)))</f>
        <v/>
      </c>
      <c r="AA1399" s="8" t="n">
        <v>455</v>
      </c>
      <c r="AB1399" s="10" t="n">
        <v>1</v>
      </c>
    </row>
    <row r="1400">
      <c r="A1400" s="7" t="inlineStr">
        <is>
          <t>MAT-32-045</t>
        </is>
      </c>
      <c r="B1400" s="4" t="inlineStr">
        <is>
          <t>Tubo PVC SDR-26 3/4" x 19 pies</t>
        </is>
      </c>
      <c r="C1400" s="7" t="inlineStr">
        <is>
          <t>tubo</t>
        </is>
      </c>
      <c r="D1400" s="8" t="n"/>
      <c r="E1400" s="8" t="n">
        <v>175</v>
      </c>
      <c r="F1400" s="8" t="n"/>
      <c r="G1400" s="8" t="n">
        <v>175</v>
      </c>
      <c r="H1400" s="8" t="n"/>
      <c r="I1400" s="8" t="n"/>
      <c r="J1400" s="8" t="n"/>
      <c r="K1400" s="8" t="n"/>
      <c r="L1400" s="8" t="n">
        <v>90</v>
      </c>
      <c r="M1400" s="8" t="n"/>
      <c r="N1400" s="8" t="n"/>
      <c r="O1400" s="8" t="n">
        <v>153.5</v>
      </c>
      <c r="P1400" s="8" t="n"/>
      <c r="Q1400" s="8" t="n"/>
      <c r="R1400" s="8" t="n"/>
      <c r="S1400" s="8" t="n"/>
      <c r="T1400" s="8" t="n"/>
      <c r="U1400" s="8" t="n"/>
      <c r="V1400" s="8">
        <f>IF(COUNT(D1400:U1400)=0,"",MIN(D1400:U1400))</f>
        <v/>
      </c>
      <c r="W1400" s="8">
        <f>IF(COUNT(D1400:U1400)=0,"",MEDIAN(D1400:U1400))</f>
        <v/>
      </c>
      <c r="X1400" s="8">
        <f>IF(COUNT(D1400:U1400)=0,"",MAX(D1400:U1400))</f>
        <v/>
      </c>
      <c r="Y1400" s="9">
        <f>IF(OR(V1400="",V1400=0),"",(X1400-V1400)/V1400)</f>
        <v/>
      </c>
      <c r="Z1400" s="7">
        <f>IF(COUNT(D1400:U1400)=0,"",INDEX($D$1:$U$1,MATCH(MIN(D1400:U1400),D1400:U1400,0)))</f>
        <v/>
      </c>
      <c r="AA1400" s="8" t="n">
        <v>175</v>
      </c>
      <c r="AB1400" s="10" t="n">
        <v>4</v>
      </c>
    </row>
    <row r="1401">
      <c r="A1401" s="7" t="inlineStr">
        <is>
          <t>MAT-32-046</t>
        </is>
      </c>
      <c r="B1401" s="4" t="inlineStr">
        <is>
          <t>Tubo PVC SDR-26 3/4" x 9.5 pies</t>
        </is>
      </c>
      <c r="C1401" s="7" t="inlineStr">
        <is>
          <t>tubo</t>
        </is>
      </c>
      <c r="D1401" s="8" t="n"/>
      <c r="E1401" s="8" t="n">
        <v>94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>
        <f>IF(COUNT(D1401:U1401)=0,"",MIN(D1401:U1401))</f>
        <v/>
      </c>
      <c r="W1401" s="8">
        <f>IF(COUNT(D1401:U1401)=0,"",MEDIAN(D1401:U1401))</f>
        <v/>
      </c>
      <c r="X1401" s="8">
        <f>IF(COUNT(D1401:U1401)=0,"",MAX(D1401:U1401))</f>
        <v/>
      </c>
      <c r="Y1401" s="9">
        <f>IF(OR(V1401="",V1401=0),"",(X1401-V1401)/V1401)</f>
        <v/>
      </c>
      <c r="Z1401" s="7">
        <f>IF(COUNT(D1401:U1401)=0,"",INDEX($D$1:$U$1,MATCH(MIN(D1401:U1401),D1401:U1401,0)))</f>
        <v/>
      </c>
      <c r="AA1401" s="8" t="n">
        <v>94</v>
      </c>
      <c r="AB1401" s="10" t="n">
        <v>1</v>
      </c>
    </row>
    <row r="1402">
      <c r="A1402" s="7" t="inlineStr">
        <is>
          <t>MAT-32-047</t>
        </is>
      </c>
      <c r="B1402" s="4" t="inlineStr">
        <is>
          <t>Tubo PVC SDR-26 3" x 19 pies</t>
        </is>
      </c>
      <c r="C1402" s="7" t="inlineStr">
        <is>
          <t>tubo</t>
        </is>
      </c>
      <c r="D1402" s="8" t="n"/>
      <c r="E1402" s="8" t="n">
        <v>1928.2</v>
      </c>
      <c r="F1402" s="8" t="n"/>
      <c r="G1402" s="8" t="n">
        <v>2172</v>
      </c>
      <c r="H1402" s="8" t="n"/>
      <c r="I1402" s="8" t="n"/>
      <c r="J1402" s="8" t="n"/>
      <c r="K1402" s="8" t="n"/>
      <c r="L1402" s="8" t="n"/>
      <c r="M1402" s="8" t="n"/>
      <c r="N1402" s="8" t="n"/>
      <c r="O1402" s="8" t="n">
        <v>1693.3</v>
      </c>
      <c r="P1402" s="8" t="n"/>
      <c r="Q1402" s="8" t="n"/>
      <c r="R1402" s="8" t="n"/>
      <c r="S1402" s="8" t="n"/>
      <c r="T1402" s="8" t="n"/>
      <c r="U1402" s="8" t="n"/>
      <c r="V1402" s="8">
        <f>IF(COUNT(D1402:U1402)=0,"",MIN(D1402:U1402))</f>
        <v/>
      </c>
      <c r="W1402" s="8">
        <f>IF(COUNT(D1402:U1402)=0,"",MEDIAN(D1402:U1402))</f>
        <v/>
      </c>
      <c r="X1402" s="8">
        <f>IF(COUNT(D1402:U1402)=0,"",MAX(D1402:U1402))</f>
        <v/>
      </c>
      <c r="Y1402" s="9">
        <f>IF(OR(V1402="",V1402=0),"",(X1402-V1402)/V1402)</f>
        <v/>
      </c>
      <c r="Z1402" s="7">
        <f>IF(COUNT(D1402:U1402)=0,"",INDEX($D$1:$U$1,MATCH(MIN(D1402:U1402),D1402:U1402,0)))</f>
        <v/>
      </c>
      <c r="AA1402" s="8" t="n">
        <v>1998.09</v>
      </c>
      <c r="AB1402" s="10" t="n">
        <v>3</v>
      </c>
    </row>
    <row r="1403">
      <c r="A1403" s="7" t="inlineStr">
        <is>
          <t>MAT-32-048</t>
        </is>
      </c>
      <c r="B1403" s="4" t="inlineStr">
        <is>
          <t>Tubo PVC SDR-26 3" x 9.5 pies</t>
        </is>
      </c>
      <c r="C1403" s="7" t="inlineStr">
        <is>
          <t>tubo</t>
        </is>
      </c>
      <c r="D1403" s="8" t="n"/>
      <c r="E1403" s="8" t="n">
        <v>988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 t="n"/>
      <c r="R1403" s="8" t="n"/>
      <c r="S1403" s="8" t="n"/>
      <c r="T1403" s="8" t="n"/>
      <c r="U1403" s="8" t="n"/>
      <c r="V1403" s="8">
        <f>IF(COUNT(D1403:U1403)=0,"",MIN(D1403:U1403))</f>
        <v/>
      </c>
      <c r="W1403" s="8">
        <f>IF(COUNT(D1403:U1403)=0,"",MEDIAN(D1403:U1403))</f>
        <v/>
      </c>
      <c r="X1403" s="8">
        <f>IF(COUNT(D1403:U1403)=0,"",MAX(D1403:U1403))</f>
        <v/>
      </c>
      <c r="Y1403" s="9">
        <f>IF(OR(V1403="",V1403=0),"",(X1403-V1403)/V1403)</f>
        <v/>
      </c>
      <c r="Z1403" s="7">
        <f>IF(COUNT(D1403:U1403)=0,"",INDEX($D$1:$U$1,MATCH(MIN(D1403:U1403),D1403:U1403,0)))</f>
        <v/>
      </c>
      <c r="AA1403" s="8" t="n">
        <v>988</v>
      </c>
      <c r="AB1403" s="10" t="n">
        <v>1</v>
      </c>
    </row>
    <row r="1404">
      <c r="A1404" s="7" t="inlineStr">
        <is>
          <t>MAT-32-049</t>
        </is>
      </c>
      <c r="B1404" s="4" t="inlineStr">
        <is>
          <t>Tubo PVC SDR-26 4" x 19 pies</t>
        </is>
      </c>
      <c r="C1404" s="7" t="inlineStr">
        <is>
          <t>tubo</t>
        </is>
      </c>
      <c r="D1404" s="8" t="n"/>
      <c r="E1404" s="8" t="n">
        <v>3133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>
        <v>2781</v>
      </c>
      <c r="P1404" s="8" t="n"/>
      <c r="Q1404" s="8" t="n"/>
      <c r="R1404" s="8" t="n"/>
      <c r="S1404" s="8" t="n"/>
      <c r="T1404" s="8" t="n"/>
      <c r="U1404" s="8" t="n"/>
      <c r="V1404" s="8">
        <f>IF(COUNT(D1404:U1404)=0,"",MIN(D1404:U1404))</f>
        <v/>
      </c>
      <c r="W1404" s="8">
        <f>IF(COUNT(D1404:U1404)=0,"",MEDIAN(D1404:U1404))</f>
        <v/>
      </c>
      <c r="X1404" s="8">
        <f>IF(COUNT(D1404:U1404)=0,"",MAX(D1404:U1404))</f>
        <v/>
      </c>
      <c r="Y1404" s="9">
        <f>IF(OR(V1404="",V1404=0),"",(X1404-V1404)/V1404)</f>
        <v/>
      </c>
      <c r="Z1404" s="7">
        <f>IF(COUNT(D1404:U1404)=0,"",INDEX($D$1:$U$1,MATCH(MIN(D1404:U1404),D1404:U1404,0)))</f>
        <v/>
      </c>
      <c r="AA1404" s="8" t="n">
        <v>3207.29</v>
      </c>
      <c r="AB1404" s="10" t="n">
        <v>2</v>
      </c>
    </row>
    <row r="1405">
      <c r="A1405" s="7" t="inlineStr">
        <is>
          <t>MAT-32-050</t>
        </is>
      </c>
      <c r="B1405" s="4" t="inlineStr">
        <is>
          <t>Tubo PVC SDR-26 6" x 19 pies</t>
        </is>
      </c>
      <c r="C1405" s="7" t="inlineStr">
        <is>
          <t>tubo</t>
        </is>
      </c>
      <c r="D1405" s="8" t="n"/>
      <c r="E1405" s="8" t="n">
        <v>6884.88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>
        <v>6031</v>
      </c>
      <c r="P1405" s="8" t="n"/>
      <c r="Q1405" s="8" t="n"/>
      <c r="R1405" s="8" t="n"/>
      <c r="S1405" s="8" t="n"/>
      <c r="T1405" s="8" t="n"/>
      <c r="U1405" s="8" t="n"/>
      <c r="V1405" s="8">
        <f>IF(COUNT(D1405:U1405)=0,"",MIN(D1405:U1405))</f>
        <v/>
      </c>
      <c r="W1405" s="8">
        <f>IF(COUNT(D1405:U1405)=0,"",MEDIAN(D1405:U1405))</f>
        <v/>
      </c>
      <c r="X1405" s="8">
        <f>IF(COUNT(D1405:U1405)=0,"",MAX(D1405:U1405))</f>
        <v/>
      </c>
      <c r="Y1405" s="9">
        <f>IF(OR(V1405="",V1405=0),"",(X1405-V1405)/V1405)</f>
        <v/>
      </c>
      <c r="Z1405" s="7">
        <f>IF(COUNT(D1405:U1405)=0,"",INDEX($D$1:$U$1,MATCH(MIN(D1405:U1405),D1405:U1405,0)))</f>
        <v/>
      </c>
      <c r="AA1405" s="8" t="n">
        <v>7000.73</v>
      </c>
      <c r="AB1405" s="10" t="n">
        <v>2</v>
      </c>
    </row>
    <row r="1406">
      <c r="A1406" s="7" t="inlineStr">
        <is>
          <t>MAT-32-051</t>
        </is>
      </c>
      <c r="B1406" s="4" t="inlineStr">
        <is>
          <t>Tubo PVC SDR-26 8" x 19 pies</t>
        </is>
      </c>
      <c r="C1406" s="7" t="inlineStr">
        <is>
          <t>tubo</t>
        </is>
      </c>
      <c r="D1406" s="8" t="n"/>
      <c r="E1406" s="8" t="n">
        <v>11666.54</v>
      </c>
      <c r="F1406" s="8" t="n"/>
      <c r="G1406" s="8" t="n"/>
      <c r="H1406" s="8" t="n"/>
      <c r="I1406" s="8" t="n"/>
      <c r="J1406" s="8" t="n"/>
      <c r="K1406" s="8" t="n"/>
      <c r="L1406" s="8" t="n">
        <v>10360</v>
      </c>
      <c r="M1406" s="8" t="n"/>
      <c r="N1406" s="8" t="n"/>
      <c r="O1406" s="8" t="n">
        <v>10110.1</v>
      </c>
      <c r="P1406" s="8" t="n"/>
      <c r="Q1406" s="8" t="n"/>
      <c r="R1406" s="8" t="n"/>
      <c r="S1406" s="8" t="n"/>
      <c r="T1406" s="8" t="n"/>
      <c r="U1406" s="8" t="n"/>
      <c r="V1406" s="8">
        <f>IF(COUNT(D1406:U1406)=0,"",MIN(D1406:U1406))</f>
        <v/>
      </c>
      <c r="W1406" s="8">
        <f>IF(COUNT(D1406:U1406)=0,"",MEDIAN(D1406:U1406))</f>
        <v/>
      </c>
      <c r="X1406" s="8">
        <f>IF(COUNT(D1406:U1406)=0,"",MAX(D1406:U1406))</f>
        <v/>
      </c>
      <c r="Y1406" s="9">
        <f>IF(OR(V1406="",V1406=0),"",(X1406-V1406)/V1406)</f>
        <v/>
      </c>
      <c r="Z1406" s="7">
        <f>IF(COUNT(D1406:U1406)=0,"",INDEX($D$1:$U$1,MATCH(MIN(D1406:U1406),D1406:U1406,0)))</f>
        <v/>
      </c>
      <c r="AA1406" s="8" t="n">
        <v>11666.54</v>
      </c>
      <c r="AB1406" s="10" t="n">
        <v>3</v>
      </c>
    </row>
    <row r="1407">
      <c r="A1407" s="7" t="inlineStr">
        <is>
          <t>MAT-32-052</t>
        </is>
      </c>
      <c r="B1407" s="4" t="inlineStr">
        <is>
          <t>Tubo PVC SDR-32.5 10" x 19 pies</t>
        </is>
      </c>
      <c r="C1407" s="7" t="inlineStr">
        <is>
          <t>tubo</t>
        </is>
      </c>
      <c r="D1407" s="8" t="n"/>
      <c r="E1407" s="8" t="n">
        <v>15540.55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>
        <f>IF(COUNT(D1407:U1407)=0,"",MIN(D1407:U1407))</f>
        <v/>
      </c>
      <c r="W1407" s="8">
        <f>IF(COUNT(D1407:U1407)=0,"",MEDIAN(D1407:U1407))</f>
        <v/>
      </c>
      <c r="X1407" s="8">
        <f>IF(COUNT(D1407:U1407)=0,"",MAX(D1407:U1407))</f>
        <v/>
      </c>
      <c r="Y1407" s="9">
        <f>IF(OR(V1407="",V1407=0),"",(X1407-V1407)/V1407)</f>
        <v/>
      </c>
      <c r="Z1407" s="7">
        <f>IF(COUNT(D1407:U1407)=0,"",INDEX($D$1:$U$1,MATCH(MIN(D1407:U1407),D1407:U1407,0)))</f>
        <v/>
      </c>
      <c r="AA1407" s="8" t="n">
        <v>15540.55</v>
      </c>
      <c r="AB1407" s="10" t="n">
        <v>1</v>
      </c>
    </row>
    <row r="1408">
      <c r="A1408" s="7" t="inlineStr">
        <is>
          <t>MAT-32-053</t>
        </is>
      </c>
      <c r="B1408" s="4" t="inlineStr">
        <is>
          <t>Tubo PVC SDR-32.5 2" x 19 pies</t>
        </is>
      </c>
      <c r="C1408" s="7" t="inlineStr">
        <is>
          <t>tubo</t>
        </is>
      </c>
      <c r="D1408" s="8" t="n"/>
      <c r="E1408" s="8" t="n">
        <v>711.42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>
        <f>IF(COUNT(D1408:U1408)=0,"",MIN(D1408:U1408))</f>
        <v/>
      </c>
      <c r="W1408" s="8">
        <f>IF(COUNT(D1408:U1408)=0,"",MEDIAN(D1408:U1408))</f>
        <v/>
      </c>
      <c r="X1408" s="8">
        <f>IF(COUNT(D1408:U1408)=0,"",MAX(D1408:U1408))</f>
        <v/>
      </c>
      <c r="Y1408" s="9">
        <f>IF(OR(V1408="",V1408=0),"",(X1408-V1408)/V1408)</f>
        <v/>
      </c>
      <c r="Z1408" s="7">
        <f>IF(COUNT(D1408:U1408)=0,"",INDEX($D$1:$U$1,MATCH(MIN(D1408:U1408),D1408:U1408,0)))</f>
        <v/>
      </c>
      <c r="AA1408" s="8" t="n">
        <v>711.42</v>
      </c>
      <c r="AB1408" s="10" t="n">
        <v>1</v>
      </c>
    </row>
    <row r="1409">
      <c r="A1409" s="7" t="inlineStr">
        <is>
          <t>MAT-32-054</t>
        </is>
      </c>
      <c r="B1409" s="4" t="inlineStr">
        <is>
          <t>Tubo PVC SDR-32.5 3" x 19 pies</t>
        </is>
      </c>
      <c r="C1409" s="7" t="inlineStr">
        <is>
          <t>tubo</t>
        </is>
      </c>
      <c r="D1409" s="8" t="n"/>
      <c r="E1409" s="8" t="n">
        <v>1549.5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>
        <f>IF(COUNT(D1409:U1409)=0,"",MIN(D1409:U1409))</f>
        <v/>
      </c>
      <c r="W1409" s="8">
        <f>IF(COUNT(D1409:U1409)=0,"",MEDIAN(D1409:U1409))</f>
        <v/>
      </c>
      <c r="X1409" s="8">
        <f>IF(COUNT(D1409:U1409)=0,"",MAX(D1409:U1409))</f>
        <v/>
      </c>
      <c r="Y1409" s="9">
        <f>IF(OR(V1409="",V1409=0),"",(X1409-V1409)/V1409)</f>
        <v/>
      </c>
      <c r="Z1409" s="7">
        <f>IF(COUNT(D1409:U1409)=0,"",INDEX($D$1:$U$1,MATCH(MIN(D1409:U1409),D1409:U1409,0)))</f>
        <v/>
      </c>
      <c r="AA1409" s="8" t="n">
        <v>1549.5</v>
      </c>
      <c r="AB1409" s="10" t="n">
        <v>1</v>
      </c>
    </row>
    <row r="1410">
      <c r="A1410" s="7" t="inlineStr">
        <is>
          <t>MAT-32-055</t>
        </is>
      </c>
      <c r="B1410" s="4" t="inlineStr">
        <is>
          <t>Tubo PVC SDR-32.5 4" x 19 pies</t>
        </is>
      </c>
      <c r="C1410" s="7" t="inlineStr">
        <is>
          <t>tubo</t>
        </is>
      </c>
      <c r="D1410" s="8" t="n"/>
      <c r="E1410" s="8" t="n">
        <v>2548.33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>
        <f>IF(COUNT(D1410:U1410)=0,"",MIN(D1410:U1410))</f>
        <v/>
      </c>
      <c r="W1410" s="8">
        <f>IF(COUNT(D1410:U1410)=0,"",MEDIAN(D1410:U1410))</f>
        <v/>
      </c>
      <c r="X1410" s="8">
        <f>IF(COUNT(D1410:U1410)=0,"",MAX(D1410:U1410))</f>
        <v/>
      </c>
      <c r="Y1410" s="9">
        <f>IF(OR(V1410="",V1410=0),"",(X1410-V1410)/V1410)</f>
        <v/>
      </c>
      <c r="Z1410" s="7">
        <f>IF(COUNT(D1410:U1410)=0,"",INDEX($D$1:$U$1,MATCH(MIN(D1410:U1410),D1410:U1410,0)))</f>
        <v/>
      </c>
      <c r="AA1410" s="8" t="n">
        <v>2548.33</v>
      </c>
      <c r="AB1410" s="10" t="n">
        <v>1</v>
      </c>
    </row>
    <row r="1411">
      <c r="A1411" s="7" t="inlineStr">
        <is>
          <t>MAT-32-056</t>
        </is>
      </c>
      <c r="B1411" s="4" t="inlineStr">
        <is>
          <t>Tubo PVC SDR-32.5 6" x 19 pies</t>
        </is>
      </c>
      <c r="C1411" s="7" t="inlineStr">
        <is>
          <t>tubo</t>
        </is>
      </c>
      <c r="D1411" s="8" t="n"/>
      <c r="E1411" s="8" t="n">
        <v>9381.73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>
        <f>IF(COUNT(D1411:U1411)=0,"",MIN(D1411:U1411))</f>
        <v/>
      </c>
      <c r="W1411" s="8">
        <f>IF(COUNT(D1411:U1411)=0,"",MEDIAN(D1411:U1411))</f>
        <v/>
      </c>
      <c r="X1411" s="8">
        <f>IF(COUNT(D1411:U1411)=0,"",MAX(D1411:U1411))</f>
        <v/>
      </c>
      <c r="Y1411" s="9">
        <f>IF(OR(V1411="",V1411=0),"",(X1411-V1411)/V1411)</f>
        <v/>
      </c>
      <c r="Z1411" s="7">
        <f>IF(COUNT(D1411:U1411)=0,"",INDEX($D$1:$U$1,MATCH(MIN(D1411:U1411),D1411:U1411,0)))</f>
        <v/>
      </c>
      <c r="AA1411" s="8" t="n">
        <v>9381.73</v>
      </c>
      <c r="AB1411" s="10" t="n">
        <v>1</v>
      </c>
    </row>
    <row r="1412">
      <c r="A1412" s="7" t="inlineStr">
        <is>
          <t>MAT-32-057</t>
        </is>
      </c>
      <c r="B1412" s="4" t="inlineStr">
        <is>
          <t>Tubo PVC SDR-32.5 8" x 19 pies</t>
        </is>
      </c>
      <c r="C1412" s="7" t="inlineStr">
        <is>
          <t>tubo</t>
        </is>
      </c>
      <c r="D1412" s="8" t="n"/>
      <c r="E1412" s="8" t="n">
        <v>9381.73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>
        <f>IF(COUNT(D1412:U1412)=0,"",MIN(D1412:U1412))</f>
        <v/>
      </c>
      <c r="W1412" s="8">
        <f>IF(COUNT(D1412:U1412)=0,"",MEDIAN(D1412:U1412))</f>
        <v/>
      </c>
      <c r="X1412" s="8">
        <f>IF(COUNT(D1412:U1412)=0,"",MAX(D1412:U1412))</f>
        <v/>
      </c>
      <c r="Y1412" s="9">
        <f>IF(OR(V1412="",V1412=0),"",(X1412-V1412)/V1412)</f>
        <v/>
      </c>
      <c r="Z1412" s="7">
        <f>IF(COUNT(D1412:U1412)=0,"",INDEX($D$1:$U$1,MATCH(MIN(D1412:U1412),D1412:U1412,0)))</f>
        <v/>
      </c>
      <c r="AA1412" s="8" t="n">
        <v>9381.73</v>
      </c>
      <c r="AB1412" s="10" t="n">
        <v>1</v>
      </c>
    </row>
    <row r="1413">
      <c r="A1413" s="7" t="inlineStr">
        <is>
          <t>MAT-32-058</t>
        </is>
      </c>
      <c r="B1413" s="4" t="inlineStr">
        <is>
          <t>Tubo PVC SDR-41 1 1/2" x 19 pies</t>
        </is>
      </c>
      <c r="C1413" s="7" t="inlineStr">
        <is>
          <t>tubo</t>
        </is>
      </c>
      <c r="D1413" s="8" t="n"/>
      <c r="E1413" s="8" t="n"/>
      <c r="F1413" s="8" t="n"/>
      <c r="G1413" s="8" t="n">
        <v>453</v>
      </c>
      <c r="H1413" s="8" t="n"/>
      <c r="I1413" s="8" t="n"/>
      <c r="J1413" s="8" t="n"/>
      <c r="K1413" s="8" t="n"/>
      <c r="L1413" s="8" t="n"/>
      <c r="M1413" s="8" t="n"/>
      <c r="N1413" s="8" t="n"/>
      <c r="O1413" s="8" t="n">
        <v>337.8</v>
      </c>
      <c r="P1413" s="8" t="n"/>
      <c r="Q1413" s="8" t="n"/>
      <c r="R1413" s="8" t="n"/>
      <c r="S1413" s="8" t="n"/>
      <c r="T1413" s="8" t="n"/>
      <c r="U1413" s="8" t="n"/>
      <c r="V1413" s="8">
        <f>IF(COUNT(D1413:U1413)=0,"",MIN(D1413:U1413))</f>
        <v/>
      </c>
      <c r="W1413" s="8">
        <f>IF(COUNT(D1413:U1413)=0,"",MEDIAN(D1413:U1413))</f>
        <v/>
      </c>
      <c r="X1413" s="8">
        <f>IF(COUNT(D1413:U1413)=0,"",MAX(D1413:U1413))</f>
        <v/>
      </c>
      <c r="Y1413" s="9">
        <f>IF(OR(V1413="",V1413=0),"",(X1413-V1413)/V1413)</f>
        <v/>
      </c>
      <c r="Z1413" s="7">
        <f>IF(COUNT(D1413:U1413)=0,"",INDEX($D$1:$U$1,MATCH(MIN(D1413:U1413),D1413:U1413,0)))</f>
        <v/>
      </c>
      <c r="AA1413" s="8" t="n">
        <v>425.8</v>
      </c>
      <c r="AB1413" s="10" t="n">
        <v>2</v>
      </c>
    </row>
    <row r="1414">
      <c r="A1414" s="7" t="inlineStr">
        <is>
          <t>MAT-32-059</t>
        </is>
      </c>
      <c r="B1414" s="4" t="inlineStr">
        <is>
          <t>Tubo PVC SDR-41 1/2" x 19 pies</t>
        </is>
      </c>
      <c r="C1414" s="7" t="inlineStr">
        <is>
          <t>tubo</t>
        </is>
      </c>
      <c r="D1414" s="8" t="n"/>
      <c r="E1414" s="8" t="n">
        <v>386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>
        <f>IF(COUNT(D1414:U1414)=0,"",MIN(D1414:U1414))</f>
        <v/>
      </c>
      <c r="W1414" s="8">
        <f>IF(COUNT(D1414:U1414)=0,"",MEDIAN(D1414:U1414))</f>
        <v/>
      </c>
      <c r="X1414" s="8">
        <f>IF(COUNT(D1414:U1414)=0,"",MAX(D1414:U1414))</f>
        <v/>
      </c>
      <c r="Y1414" s="9">
        <f>IF(OR(V1414="",V1414=0),"",(X1414-V1414)/V1414)</f>
        <v/>
      </c>
      <c r="Z1414" s="7">
        <f>IF(COUNT(D1414:U1414)=0,"",INDEX($D$1:$U$1,MATCH(MIN(D1414:U1414),D1414:U1414,0)))</f>
        <v/>
      </c>
      <c r="AA1414" s="8" t="n">
        <v>386</v>
      </c>
      <c r="AB1414" s="10" t="n">
        <v>1</v>
      </c>
    </row>
    <row r="1415">
      <c r="A1415" s="7" t="inlineStr">
        <is>
          <t>MAT-32-060</t>
        </is>
      </c>
      <c r="B1415" s="4" t="inlineStr">
        <is>
          <t>Tubo PVC SDR-41 1/2" x 9.5 pies</t>
        </is>
      </c>
      <c r="C1415" s="7" t="inlineStr">
        <is>
          <t>tubo</t>
        </is>
      </c>
      <c r="D1415" s="8" t="n"/>
      <c r="E1415" s="8" t="n">
        <v>202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>
        <f>IF(COUNT(D1415:U1415)=0,"",MIN(D1415:U1415))</f>
        <v/>
      </c>
      <c r="W1415" s="8">
        <f>IF(COUNT(D1415:U1415)=0,"",MEDIAN(D1415:U1415))</f>
        <v/>
      </c>
      <c r="X1415" s="8">
        <f>IF(COUNT(D1415:U1415)=0,"",MAX(D1415:U1415))</f>
        <v/>
      </c>
      <c r="Y1415" s="9">
        <f>IF(OR(V1415="",V1415=0),"",(X1415-V1415)/V1415)</f>
        <v/>
      </c>
      <c r="Z1415" s="7">
        <f>IF(COUNT(D1415:U1415)=0,"",INDEX($D$1:$U$1,MATCH(MIN(D1415:U1415),D1415:U1415,0)))</f>
        <v/>
      </c>
      <c r="AA1415" s="8" t="n">
        <v>202</v>
      </c>
      <c r="AB1415" s="10" t="n">
        <v>1</v>
      </c>
    </row>
    <row r="1416">
      <c r="A1416" s="7" t="inlineStr">
        <is>
          <t>MAT-32-061</t>
        </is>
      </c>
      <c r="B1416" s="4" t="inlineStr">
        <is>
          <t>Tubo PVC SDR-41 10" x 19 pies</t>
        </is>
      </c>
      <c r="C1416" s="7" t="inlineStr">
        <is>
          <t>tubo</t>
        </is>
      </c>
      <c r="D1416" s="8" t="n"/>
      <c r="E1416" s="8" t="n">
        <v>12736.57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>
        <f>IF(COUNT(D1416:U1416)=0,"",MIN(D1416:U1416))</f>
        <v/>
      </c>
      <c r="W1416" s="8">
        <f>IF(COUNT(D1416:U1416)=0,"",MEDIAN(D1416:U1416))</f>
        <v/>
      </c>
      <c r="X1416" s="8">
        <f>IF(COUNT(D1416:U1416)=0,"",MAX(D1416:U1416))</f>
        <v/>
      </c>
      <c r="Y1416" s="9">
        <f>IF(OR(V1416="",V1416=0),"",(X1416-V1416)/V1416)</f>
        <v/>
      </c>
      <c r="Z1416" s="7">
        <f>IF(COUNT(D1416:U1416)=0,"",INDEX($D$1:$U$1,MATCH(MIN(D1416:U1416),D1416:U1416,0)))</f>
        <v/>
      </c>
      <c r="AA1416" s="8" t="n">
        <v>12736.57</v>
      </c>
      <c r="AB1416" s="10" t="n">
        <v>1</v>
      </c>
    </row>
    <row r="1417">
      <c r="A1417" s="7" t="inlineStr">
        <is>
          <t>MAT-32-062</t>
        </is>
      </c>
      <c r="B1417" s="4" t="inlineStr">
        <is>
          <t>Tubo PVC SDR-41 12" x 19 pies</t>
        </is>
      </c>
      <c r="C1417" s="7" t="inlineStr">
        <is>
          <t>tubo</t>
        </is>
      </c>
      <c r="D1417" s="8" t="n"/>
      <c r="E1417" s="8" t="n">
        <v>17906.86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>
        <f>IF(COUNT(D1417:U1417)=0,"",MIN(D1417:U1417))</f>
        <v/>
      </c>
      <c r="W1417" s="8">
        <f>IF(COUNT(D1417:U1417)=0,"",MEDIAN(D1417:U1417))</f>
        <v/>
      </c>
      <c r="X1417" s="8">
        <f>IF(COUNT(D1417:U1417)=0,"",MAX(D1417:U1417))</f>
        <v/>
      </c>
      <c r="Y1417" s="9">
        <f>IF(OR(V1417="",V1417=0),"",(X1417-V1417)/V1417)</f>
        <v/>
      </c>
      <c r="Z1417" s="7">
        <f>IF(COUNT(D1417:U1417)=0,"",INDEX($D$1:$U$1,MATCH(MIN(D1417:U1417),D1417:U1417,0)))</f>
        <v/>
      </c>
      <c r="AA1417" s="8" t="n">
        <v>17906.86</v>
      </c>
      <c r="AB1417" s="10" t="n">
        <v>1</v>
      </c>
    </row>
    <row r="1418">
      <c r="A1418" s="7" t="inlineStr">
        <is>
          <t>MAT-32-063</t>
        </is>
      </c>
      <c r="B1418" s="4" t="inlineStr">
        <is>
          <t>Tubo PVC SDR-41 2" x 19 pies</t>
        </is>
      </c>
      <c r="C1418" s="7" t="inlineStr">
        <is>
          <t>tubo</t>
        </is>
      </c>
      <c r="D1418" s="8" t="n"/>
      <c r="E1418" s="8" t="n">
        <v>561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>
        <v>496.9</v>
      </c>
      <c r="P1418" s="8" t="n"/>
      <c r="Q1418" s="8" t="n"/>
      <c r="R1418" s="8" t="n"/>
      <c r="S1418" s="8" t="n"/>
      <c r="T1418" s="8" t="n"/>
      <c r="U1418" s="8" t="n"/>
      <c r="V1418" s="8">
        <f>IF(COUNT(D1418:U1418)=0,"",MIN(D1418:U1418))</f>
        <v/>
      </c>
      <c r="W1418" s="8">
        <f>IF(COUNT(D1418:U1418)=0,"",MEDIAN(D1418:U1418))</f>
        <v/>
      </c>
      <c r="X1418" s="8">
        <f>IF(COUNT(D1418:U1418)=0,"",MAX(D1418:U1418))</f>
        <v/>
      </c>
      <c r="Y1418" s="9">
        <f>IF(OR(V1418="",V1418=0),"",(X1418-V1418)/V1418)</f>
        <v/>
      </c>
      <c r="Z1418" s="7">
        <f>IF(COUNT(D1418:U1418)=0,"",INDEX($D$1:$U$1,MATCH(MIN(D1418:U1418),D1418:U1418,0)))</f>
        <v/>
      </c>
      <c r="AA1418" s="8" t="n">
        <v>573.67</v>
      </c>
      <c r="AB1418" s="10" t="n">
        <v>2</v>
      </c>
    </row>
    <row r="1419">
      <c r="A1419" s="7" t="inlineStr">
        <is>
          <t>MAT-32-064</t>
        </is>
      </c>
      <c r="B1419" s="4" t="inlineStr">
        <is>
          <t>Tubo PVC SDR-41 3" x 19 pies</t>
        </is>
      </c>
      <c r="C1419" s="7" t="inlineStr">
        <is>
          <t>tubo</t>
        </is>
      </c>
      <c r="D1419" s="8" t="n"/>
      <c r="E1419" s="8" t="n">
        <v>990</v>
      </c>
      <c r="F1419" s="8" t="n"/>
      <c r="G1419" s="8" t="n">
        <v>1150</v>
      </c>
      <c r="H1419" s="8" t="n"/>
      <c r="I1419" s="8" t="n"/>
      <c r="J1419" s="8" t="n"/>
      <c r="K1419" s="8" t="n"/>
      <c r="L1419" s="8" t="n">
        <v>670</v>
      </c>
      <c r="M1419" s="8" t="n"/>
      <c r="N1419" s="8" t="n"/>
      <c r="O1419" s="8" t="n">
        <v>918.5</v>
      </c>
      <c r="P1419" s="8" t="n"/>
      <c r="Q1419" s="8" t="n"/>
      <c r="R1419" s="8" t="n"/>
      <c r="S1419" s="8" t="n"/>
      <c r="T1419" s="8" t="n"/>
      <c r="U1419" s="8" t="n"/>
      <c r="V1419" s="8">
        <f>IF(COUNT(D1419:U1419)=0,"",MIN(D1419:U1419))</f>
        <v/>
      </c>
      <c r="W1419" s="8">
        <f>IF(COUNT(D1419:U1419)=0,"",MEDIAN(D1419:U1419))</f>
        <v/>
      </c>
      <c r="X1419" s="8">
        <f>IF(COUNT(D1419:U1419)=0,"",MAX(D1419:U1419))</f>
        <v/>
      </c>
      <c r="Y1419" s="9">
        <f>IF(OR(V1419="",V1419=0),"",(X1419-V1419)/V1419)</f>
        <v/>
      </c>
      <c r="Z1419" s="7">
        <f>IF(COUNT(D1419:U1419)=0,"",INDEX($D$1:$U$1,MATCH(MIN(D1419:U1419),D1419:U1419,0)))</f>
        <v/>
      </c>
      <c r="AA1419" s="8" t="n">
        <v>1036.92</v>
      </c>
      <c r="AB1419" s="10" t="n">
        <v>4</v>
      </c>
    </row>
    <row r="1420">
      <c r="A1420" s="7" t="inlineStr">
        <is>
          <t>MAT-32-065</t>
        </is>
      </c>
      <c r="B1420" s="4" t="inlineStr">
        <is>
          <t>Tubo PVC SDR-41 4" x 19 pies</t>
        </is>
      </c>
      <c r="C1420" s="7" t="inlineStr">
        <is>
          <t>tubo</t>
        </is>
      </c>
      <c r="D1420" s="8" t="n"/>
      <c r="E1420" s="8" t="n">
        <v>1738.6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>
        <v>1527</v>
      </c>
      <c r="P1420" s="8" t="n"/>
      <c r="Q1420" s="8" t="n"/>
      <c r="R1420" s="8" t="n"/>
      <c r="S1420" s="8" t="n"/>
      <c r="T1420" s="8" t="n"/>
      <c r="U1420" s="8" t="n"/>
      <c r="V1420" s="8">
        <f>IF(COUNT(D1420:U1420)=0,"",MIN(D1420:U1420))</f>
        <v/>
      </c>
      <c r="W1420" s="8">
        <f>IF(COUNT(D1420:U1420)=0,"",MEDIAN(D1420:U1420))</f>
        <v/>
      </c>
      <c r="X1420" s="8">
        <f>IF(COUNT(D1420:U1420)=0,"",MAX(D1420:U1420))</f>
        <v/>
      </c>
      <c r="Y1420" s="9">
        <f>IF(OR(V1420="",V1420=0),"",(X1420-V1420)/V1420)</f>
        <v/>
      </c>
      <c r="Z1420" s="7">
        <f>IF(COUNT(D1420:U1420)=0,"",INDEX($D$1:$U$1,MATCH(MIN(D1420:U1420),D1420:U1420,0)))</f>
        <v/>
      </c>
      <c r="AA1420" s="8" t="n">
        <v>1770.23</v>
      </c>
      <c r="AB1420" s="10" t="n">
        <v>2</v>
      </c>
    </row>
    <row r="1421">
      <c r="A1421" s="7" t="inlineStr">
        <is>
          <t>MAT-32-066</t>
        </is>
      </c>
      <c r="B1421" s="4" t="inlineStr">
        <is>
          <t>Tubo PVC SDR-41 4" x 9.5 pies</t>
        </is>
      </c>
      <c r="C1421" s="7" t="inlineStr">
        <is>
          <t>tubo</t>
        </is>
      </c>
      <c r="D1421" s="8" t="n"/>
      <c r="E1421" s="8" t="n">
        <v>868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>
        <f>IF(COUNT(D1421:U1421)=0,"",MIN(D1421:U1421))</f>
        <v/>
      </c>
      <c r="W1421" s="8">
        <f>IF(COUNT(D1421:U1421)=0,"",MEDIAN(D1421:U1421))</f>
        <v/>
      </c>
      <c r="X1421" s="8">
        <f>IF(COUNT(D1421:U1421)=0,"",MAX(D1421:U1421))</f>
        <v/>
      </c>
      <c r="Y1421" s="9">
        <f>IF(OR(V1421="",V1421=0),"",(X1421-V1421)/V1421)</f>
        <v/>
      </c>
      <c r="Z1421" s="7">
        <f>IF(COUNT(D1421:U1421)=0,"",INDEX($D$1:$U$1,MATCH(MIN(D1421:U1421),D1421:U1421,0)))</f>
        <v/>
      </c>
      <c r="AA1421" s="8" t="n">
        <v>868</v>
      </c>
      <c r="AB1421" s="10" t="n">
        <v>1</v>
      </c>
    </row>
    <row r="1422">
      <c r="A1422" s="7" t="inlineStr">
        <is>
          <t>MAT-32-067</t>
        </is>
      </c>
      <c r="B1422" s="4" t="inlineStr">
        <is>
          <t>Tubo PVC SDR-41 6" x 19 pies</t>
        </is>
      </c>
      <c r="C1422" s="7" t="inlineStr">
        <is>
          <t>tubo</t>
        </is>
      </c>
      <c r="D1422" s="8" t="n"/>
      <c r="E1422" s="8" t="n">
        <v>4920.87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>
        <v>4322</v>
      </c>
      <c r="P1422" s="8" t="n"/>
      <c r="Q1422" s="8" t="n"/>
      <c r="R1422" s="8" t="n"/>
      <c r="S1422" s="8" t="n"/>
      <c r="T1422" s="8" t="n"/>
      <c r="U1422" s="8" t="n"/>
      <c r="V1422" s="8">
        <f>IF(COUNT(D1422:U1422)=0,"",MIN(D1422:U1422))</f>
        <v/>
      </c>
      <c r="W1422" s="8">
        <f>IF(COUNT(D1422:U1422)=0,"",MEDIAN(D1422:U1422))</f>
        <v/>
      </c>
      <c r="X1422" s="8">
        <f>IF(COUNT(D1422:U1422)=0,"",MAX(D1422:U1422))</f>
        <v/>
      </c>
      <c r="Y1422" s="9">
        <f>IF(OR(V1422="",V1422=0),"",(X1422-V1422)/V1422)</f>
        <v/>
      </c>
      <c r="Z1422" s="7">
        <f>IF(COUNT(D1422:U1422)=0,"",INDEX($D$1:$U$1,MATCH(MIN(D1422:U1422),D1422:U1422,0)))</f>
        <v/>
      </c>
      <c r="AA1422" s="8" t="n">
        <v>5010.42</v>
      </c>
      <c r="AB1422" s="10" t="n">
        <v>2</v>
      </c>
    </row>
    <row r="1423">
      <c r="A1423" s="7" t="inlineStr">
        <is>
          <t>MAT-32-068</t>
        </is>
      </c>
      <c r="B1423" s="4" t="inlineStr">
        <is>
          <t>Tubo PVC SDR-41 8" x 19 pies</t>
        </is>
      </c>
      <c r="C1423" s="7" t="inlineStr">
        <is>
          <t>tubo</t>
        </is>
      </c>
      <c r="D1423" s="8" t="n"/>
      <c r="E1423" s="8" t="n">
        <v>7570</v>
      </c>
      <c r="F1423" s="8" t="n"/>
      <c r="G1423" s="8" t="n"/>
      <c r="H1423" s="8" t="n"/>
      <c r="I1423" s="8" t="n"/>
      <c r="J1423" s="8" t="n"/>
      <c r="K1423" s="8" t="n"/>
      <c r="L1423" s="8" t="n">
        <v>4819.99</v>
      </c>
      <c r="M1423" s="8" t="n"/>
      <c r="N1423" s="8" t="n"/>
      <c r="O1423" s="8" t="n">
        <v>6720.9</v>
      </c>
      <c r="P1423" s="8" t="n"/>
      <c r="Q1423" s="8" t="n"/>
      <c r="R1423" s="8" t="n"/>
      <c r="S1423" s="8" t="n"/>
      <c r="T1423" s="8" t="n"/>
      <c r="U1423" s="8" t="n"/>
      <c r="V1423" s="8">
        <f>IF(COUNT(D1423:U1423)=0,"",MIN(D1423:U1423))</f>
        <v/>
      </c>
      <c r="W1423" s="8">
        <f>IF(COUNT(D1423:U1423)=0,"",MEDIAN(D1423:U1423))</f>
        <v/>
      </c>
      <c r="X1423" s="8">
        <f>IF(COUNT(D1423:U1423)=0,"",MAX(D1423:U1423))</f>
        <v/>
      </c>
      <c r="Y1423" s="9">
        <f>IF(OR(V1423="",V1423=0),"",(X1423-V1423)/V1423)</f>
        <v/>
      </c>
      <c r="Z1423" s="7">
        <f>IF(COUNT(D1423:U1423)=0,"",INDEX($D$1:$U$1,MATCH(MIN(D1423:U1423),D1423:U1423,0)))</f>
        <v/>
      </c>
      <c r="AA1423" s="8" t="n">
        <v>7570</v>
      </c>
      <c r="AB1423" s="10" t="n">
        <v>3</v>
      </c>
    </row>
    <row r="1424">
      <c r="A1424" s="7" t="inlineStr">
        <is>
          <t>MAT-32-069</t>
        </is>
      </c>
      <c r="B1424" s="4" t="inlineStr">
        <is>
          <t>Abrazadera de manguera 1 1/2"</t>
        </is>
      </c>
      <c r="C1424" s="7" t="inlineStr">
        <is>
          <t>unidad</t>
        </is>
      </c>
      <c r="D1424" s="8" t="n"/>
      <c r="E1424" s="8" t="n"/>
      <c r="F1424" s="8" t="n"/>
      <c r="G1424" s="8" t="n">
        <v>39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>
        <f>IF(COUNT(D1424:U1424)=0,"",MIN(D1424:U1424))</f>
        <v/>
      </c>
      <c r="W1424" s="8">
        <f>IF(COUNT(D1424:U1424)=0,"",MEDIAN(D1424:U1424))</f>
        <v/>
      </c>
      <c r="X1424" s="8">
        <f>IF(COUNT(D1424:U1424)=0,"",MAX(D1424:U1424))</f>
        <v/>
      </c>
      <c r="Y1424" s="9">
        <f>IF(OR(V1424="",V1424=0),"",(X1424-V1424)/V1424)</f>
        <v/>
      </c>
      <c r="Z1424" s="7">
        <f>IF(COUNT(D1424:U1424)=0,"",INDEX($D$1:$U$1,MATCH(MIN(D1424:U1424),D1424:U1424,0)))</f>
        <v/>
      </c>
      <c r="AA1424" s="8" t="n">
        <v>53</v>
      </c>
      <c r="AB1424" s="10" t="n">
        <v>1</v>
      </c>
    </row>
    <row r="1425">
      <c r="A1425" s="7" t="inlineStr">
        <is>
          <t>MAT-32-070</t>
        </is>
      </c>
      <c r="B1425" s="4" t="inlineStr">
        <is>
          <t>Abrazadera de manguera 1/2"</t>
        </is>
      </c>
      <c r="C1425" s="7" t="inlineStr">
        <is>
          <t>unidad</t>
        </is>
      </c>
      <c r="D1425" s="8" t="n"/>
      <c r="E1425" s="8" t="n"/>
      <c r="F1425" s="8" t="n"/>
      <c r="G1425" s="8" t="n">
        <v>53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>
        <f>IF(COUNT(D1425:U1425)=0,"",MIN(D1425:U1425))</f>
        <v/>
      </c>
      <c r="W1425" s="8">
        <f>IF(COUNT(D1425:U1425)=0,"",MEDIAN(D1425:U1425))</f>
        <v/>
      </c>
      <c r="X1425" s="8">
        <f>IF(COUNT(D1425:U1425)=0,"",MAX(D1425:U1425))</f>
        <v/>
      </c>
      <c r="Y1425" s="9">
        <f>IF(OR(V1425="",V1425=0),"",(X1425-V1425)/V1425)</f>
        <v/>
      </c>
      <c r="Z1425" s="7">
        <f>IF(COUNT(D1425:U1425)=0,"",INDEX($D$1:$U$1,MATCH(MIN(D1425:U1425),D1425:U1425,0)))</f>
        <v/>
      </c>
      <c r="AA1425" s="8" t="n">
        <v>53</v>
      </c>
      <c r="AB1425" s="10" t="n">
        <v>1</v>
      </c>
    </row>
    <row r="1426">
      <c r="A1426" s="7" t="inlineStr">
        <is>
          <t>MAT-32-071</t>
        </is>
      </c>
      <c r="B1426" s="4" t="inlineStr">
        <is>
          <t>Abrazadera de manguera 1"</t>
        </is>
      </c>
      <c r="C1426" s="7" t="inlineStr">
        <is>
          <t>unidad</t>
        </is>
      </c>
      <c r="D1426" s="8" t="n"/>
      <c r="E1426" s="8" t="n"/>
      <c r="F1426" s="8" t="n"/>
      <c r="G1426" s="8" t="n">
        <v>56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>
        <f>IF(COUNT(D1426:U1426)=0,"",MIN(D1426:U1426))</f>
        <v/>
      </c>
      <c r="W1426" s="8">
        <f>IF(COUNT(D1426:U1426)=0,"",MEDIAN(D1426:U1426))</f>
        <v/>
      </c>
      <c r="X1426" s="8">
        <f>IF(COUNT(D1426:U1426)=0,"",MAX(D1426:U1426))</f>
        <v/>
      </c>
      <c r="Y1426" s="9">
        <f>IF(OR(V1426="",V1426=0),"",(X1426-V1426)/V1426)</f>
        <v/>
      </c>
      <c r="Z1426" s="7">
        <f>IF(COUNT(D1426:U1426)=0,"",INDEX($D$1:$U$1,MATCH(MIN(D1426:U1426),D1426:U1426,0)))</f>
        <v/>
      </c>
      <c r="AA1426" s="8" t="n">
        <v>56</v>
      </c>
      <c r="AB1426" s="10" t="n">
        <v>1</v>
      </c>
    </row>
    <row r="1427">
      <c r="A1427" s="7" t="inlineStr">
        <is>
          <t>MAT-32-072</t>
        </is>
      </c>
      <c r="B1427" s="4" t="inlineStr">
        <is>
          <t>Abrazadera de manguera 2"</t>
        </is>
      </c>
      <c r="C1427" s="7" t="inlineStr">
        <is>
          <t>unidad</t>
        </is>
      </c>
      <c r="D1427" s="8" t="n"/>
      <c r="E1427" s="8" t="n"/>
      <c r="F1427" s="8" t="n"/>
      <c r="G1427" s="8" t="n">
        <v>68</v>
      </c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>
        <f>IF(COUNT(D1427:U1427)=0,"",MIN(D1427:U1427))</f>
        <v/>
      </c>
      <c r="W1427" s="8">
        <f>IF(COUNT(D1427:U1427)=0,"",MEDIAN(D1427:U1427))</f>
        <v/>
      </c>
      <c r="X1427" s="8">
        <f>IF(COUNT(D1427:U1427)=0,"",MAX(D1427:U1427))</f>
        <v/>
      </c>
      <c r="Y1427" s="9">
        <f>IF(OR(V1427="",V1427=0),"",(X1427-V1427)/V1427)</f>
        <v/>
      </c>
      <c r="Z1427" s="7">
        <f>IF(COUNT(D1427:U1427)=0,"",INDEX($D$1:$U$1,MATCH(MIN(D1427:U1427),D1427:U1427,0)))</f>
        <v/>
      </c>
      <c r="AA1427" s="8" t="n">
        <v>68</v>
      </c>
      <c r="AB1427" s="10" t="n">
        <v>1</v>
      </c>
    </row>
    <row r="1428">
      <c r="A1428" s="7" t="inlineStr">
        <is>
          <t>MAT-32-073</t>
        </is>
      </c>
      <c r="B1428" s="4" t="inlineStr">
        <is>
          <t>Abrazadera de manguera 3/4"</t>
        </is>
      </c>
      <c r="C1428" s="7" t="inlineStr">
        <is>
          <t>unidad</t>
        </is>
      </c>
      <c r="D1428" s="8" t="n"/>
      <c r="E1428" s="8" t="n"/>
      <c r="F1428" s="8" t="n"/>
      <c r="G1428" s="8" t="n">
        <v>65</v>
      </c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>
        <f>IF(COUNT(D1428:U1428)=0,"",MIN(D1428:U1428))</f>
        <v/>
      </c>
      <c r="W1428" s="8">
        <f>IF(COUNT(D1428:U1428)=0,"",MEDIAN(D1428:U1428))</f>
        <v/>
      </c>
      <c r="X1428" s="8">
        <f>IF(COUNT(D1428:U1428)=0,"",MAX(D1428:U1428))</f>
        <v/>
      </c>
      <c r="Y1428" s="9">
        <f>IF(OR(V1428="",V1428=0),"",(X1428-V1428)/V1428)</f>
        <v/>
      </c>
      <c r="Z1428" s="7">
        <f>IF(COUNT(D1428:U1428)=0,"",INDEX($D$1:$U$1,MATCH(MIN(D1428:U1428),D1428:U1428,0)))</f>
        <v/>
      </c>
      <c r="AA1428" s="8" t="n">
        <v>65</v>
      </c>
      <c r="AB1428" s="10" t="n">
        <v>1</v>
      </c>
    </row>
    <row r="1429">
      <c r="A1429" s="7" t="inlineStr">
        <is>
          <t>MAT-32-074</t>
        </is>
      </c>
      <c r="B1429" s="4" t="inlineStr">
        <is>
          <t>Adaptador hembra de bronce 12" x 1/2"</t>
        </is>
      </c>
      <c r="C1429" s="7" t="inlineStr">
        <is>
          <t>unidad</t>
        </is>
      </c>
      <c r="D1429" s="8" t="n"/>
      <c r="E1429" s="8" t="n">
        <v>265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>
        <f>IF(COUNT(D1429:U1429)=0,"",MIN(D1429:U1429))</f>
        <v/>
      </c>
      <c r="W1429" s="8">
        <f>IF(COUNT(D1429:U1429)=0,"",MEDIAN(D1429:U1429))</f>
        <v/>
      </c>
      <c r="X1429" s="8">
        <f>IF(COUNT(D1429:U1429)=0,"",MAX(D1429:U1429))</f>
        <v/>
      </c>
      <c r="Y1429" s="9">
        <f>IF(OR(V1429="",V1429=0),"",(X1429-V1429)/V1429)</f>
        <v/>
      </c>
      <c r="Z1429" s="7">
        <f>IF(COUNT(D1429:U1429)=0,"",INDEX($D$1:$U$1,MATCH(MIN(D1429:U1429),D1429:U1429,0)))</f>
        <v/>
      </c>
      <c r="AA1429" s="8" t="n">
        <v>265</v>
      </c>
      <c r="AB1429" s="10" t="n">
        <v>1</v>
      </c>
    </row>
    <row r="1430">
      <c r="A1430" s="7" t="inlineStr">
        <is>
          <t>MAT-32-075</t>
        </is>
      </c>
      <c r="B1430" s="4" t="inlineStr">
        <is>
          <t>Adaptador hembra de bronce 12" x 3/8"</t>
        </is>
      </c>
      <c r="C1430" s="7" t="inlineStr">
        <is>
          <t>unidad</t>
        </is>
      </c>
      <c r="D1430" s="8" t="n"/>
      <c r="E1430" s="8" t="n">
        <v>282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>
        <f>IF(COUNT(D1430:U1430)=0,"",MIN(D1430:U1430))</f>
        <v/>
      </c>
      <c r="W1430" s="8">
        <f>IF(COUNT(D1430:U1430)=0,"",MEDIAN(D1430:U1430))</f>
        <v/>
      </c>
      <c r="X1430" s="8">
        <f>IF(COUNT(D1430:U1430)=0,"",MAX(D1430:U1430))</f>
        <v/>
      </c>
      <c r="Y1430" s="9">
        <f>IF(OR(V1430="",V1430=0),"",(X1430-V1430)/V1430)</f>
        <v/>
      </c>
      <c r="Z1430" s="7">
        <f>IF(COUNT(D1430:U1430)=0,"",INDEX($D$1:$U$1,MATCH(MIN(D1430:U1430),D1430:U1430,0)))</f>
        <v/>
      </c>
      <c r="AA1430" s="8" t="n">
        <v>282</v>
      </c>
      <c r="AB1430" s="10" t="n">
        <v>1</v>
      </c>
    </row>
    <row r="1431">
      <c r="A1431" s="7" t="inlineStr">
        <is>
          <t>MAT-32-076</t>
        </is>
      </c>
      <c r="B1431" s="4" t="inlineStr">
        <is>
          <t>Adaptador hembra de bronce 15" x 1/2"</t>
        </is>
      </c>
      <c r="C1431" s="7" t="inlineStr">
        <is>
          <t>unidad</t>
        </is>
      </c>
      <c r="D1431" s="8" t="n"/>
      <c r="E1431" s="8" t="n">
        <v>204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>
        <f>IF(COUNT(D1431:U1431)=0,"",MIN(D1431:U1431))</f>
        <v/>
      </c>
      <c r="W1431" s="8">
        <f>IF(COUNT(D1431:U1431)=0,"",MEDIAN(D1431:U1431))</f>
        <v/>
      </c>
      <c r="X1431" s="8">
        <f>IF(COUNT(D1431:U1431)=0,"",MAX(D1431:U1431))</f>
        <v/>
      </c>
      <c r="Y1431" s="9">
        <f>IF(OR(V1431="",V1431=0),"",(X1431-V1431)/V1431)</f>
        <v/>
      </c>
      <c r="Z1431" s="7">
        <f>IF(COUNT(D1431:U1431)=0,"",INDEX($D$1:$U$1,MATCH(MIN(D1431:U1431),D1431:U1431,0)))</f>
        <v/>
      </c>
      <c r="AA1431" s="8" t="n">
        <v>204</v>
      </c>
      <c r="AB1431" s="10" t="n">
        <v>1</v>
      </c>
    </row>
    <row r="1432">
      <c r="A1432" s="7" t="inlineStr">
        <is>
          <t>MAT-32-077</t>
        </is>
      </c>
      <c r="B1432" s="4" t="inlineStr">
        <is>
          <t>Adaptador hembra de bronce 15" x 3/4"</t>
        </is>
      </c>
      <c r="C1432" s="7" t="inlineStr">
        <is>
          <t>unidad</t>
        </is>
      </c>
      <c r="D1432" s="8" t="n"/>
      <c r="E1432" s="8" t="n">
        <v>349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>
        <f>IF(COUNT(D1432:U1432)=0,"",MIN(D1432:U1432))</f>
        <v/>
      </c>
      <c r="W1432" s="8">
        <f>IF(COUNT(D1432:U1432)=0,"",MEDIAN(D1432:U1432))</f>
        <v/>
      </c>
      <c r="X1432" s="8">
        <f>IF(COUNT(D1432:U1432)=0,"",MAX(D1432:U1432))</f>
        <v/>
      </c>
      <c r="Y1432" s="9">
        <f>IF(OR(V1432="",V1432=0),"",(X1432-V1432)/V1432)</f>
        <v/>
      </c>
      <c r="Z1432" s="7">
        <f>IF(COUNT(D1432:U1432)=0,"",INDEX($D$1:$U$1,MATCH(MIN(D1432:U1432),D1432:U1432,0)))</f>
        <v/>
      </c>
      <c r="AA1432" s="8" t="n">
        <v>349</v>
      </c>
      <c r="AB1432" s="10" t="n">
        <v>1</v>
      </c>
    </row>
    <row r="1433">
      <c r="A1433" s="7" t="inlineStr">
        <is>
          <t>MAT-32-078</t>
        </is>
      </c>
      <c r="B1433" s="4" t="inlineStr">
        <is>
          <t>Adaptador hembra de bronce 15" x 3/8"</t>
        </is>
      </c>
      <c r="C1433" s="7" t="inlineStr">
        <is>
          <t>unidad</t>
        </is>
      </c>
      <c r="D1433" s="8" t="n"/>
      <c r="E1433" s="8" t="n">
        <v>279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>
        <f>IF(COUNT(D1433:U1433)=0,"",MIN(D1433:U1433))</f>
        <v/>
      </c>
      <c r="W1433" s="8">
        <f>IF(COUNT(D1433:U1433)=0,"",MEDIAN(D1433:U1433))</f>
        <v/>
      </c>
      <c r="X1433" s="8">
        <f>IF(COUNT(D1433:U1433)=0,"",MAX(D1433:U1433))</f>
        <v/>
      </c>
      <c r="Y1433" s="9">
        <f>IF(OR(V1433="",V1433=0),"",(X1433-V1433)/V1433)</f>
        <v/>
      </c>
      <c r="Z1433" s="7">
        <f>IF(COUNT(D1433:U1433)=0,"",INDEX($D$1:$U$1,MATCH(MIN(D1433:U1433),D1433:U1433,0)))</f>
        <v/>
      </c>
      <c r="AA1433" s="8" t="n">
        <v>279</v>
      </c>
      <c r="AB1433" s="10" t="n">
        <v>1</v>
      </c>
    </row>
    <row r="1434">
      <c r="A1434" s="7" t="inlineStr">
        <is>
          <t>MAT-32-079</t>
        </is>
      </c>
      <c r="B1434" s="4" t="inlineStr">
        <is>
          <t>Adaptador hembra de bronce 18" x 1/2"</t>
        </is>
      </c>
      <c r="C1434" s="7" t="inlineStr">
        <is>
          <t>unidad</t>
        </is>
      </c>
      <c r="D1434" s="8" t="n"/>
      <c r="E1434" s="8" t="n">
        <v>253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>
        <f>IF(COUNT(D1434:U1434)=0,"",MIN(D1434:U1434))</f>
        <v/>
      </c>
      <c r="W1434" s="8">
        <f>IF(COUNT(D1434:U1434)=0,"",MEDIAN(D1434:U1434))</f>
        <v/>
      </c>
      <c r="X1434" s="8">
        <f>IF(COUNT(D1434:U1434)=0,"",MAX(D1434:U1434))</f>
        <v/>
      </c>
      <c r="Y1434" s="9">
        <f>IF(OR(V1434="",V1434=0),"",(X1434-V1434)/V1434)</f>
        <v/>
      </c>
      <c r="Z1434" s="7">
        <f>IF(COUNT(D1434:U1434)=0,"",INDEX($D$1:$U$1,MATCH(MIN(D1434:U1434),D1434:U1434,0)))</f>
        <v/>
      </c>
      <c r="AA1434" s="8" t="n">
        <v>253</v>
      </c>
      <c r="AB1434" s="10" t="n">
        <v>1</v>
      </c>
    </row>
    <row r="1435">
      <c r="A1435" s="7" t="inlineStr">
        <is>
          <t>MAT-32-080</t>
        </is>
      </c>
      <c r="B1435" s="4" t="inlineStr">
        <is>
          <t>Adaptador hembra de bronce 18" x 3/4"</t>
        </is>
      </c>
      <c r="C1435" s="7" t="inlineStr">
        <is>
          <t>unidad</t>
        </is>
      </c>
      <c r="D1435" s="8" t="n"/>
      <c r="E1435" s="8" t="n">
        <v>356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>
        <f>IF(COUNT(D1435:U1435)=0,"",MIN(D1435:U1435))</f>
        <v/>
      </c>
      <c r="W1435" s="8">
        <f>IF(COUNT(D1435:U1435)=0,"",MEDIAN(D1435:U1435))</f>
        <v/>
      </c>
      <c r="X1435" s="8">
        <f>IF(COUNT(D1435:U1435)=0,"",MAX(D1435:U1435))</f>
        <v/>
      </c>
      <c r="Y1435" s="9">
        <f>IF(OR(V1435="",V1435=0),"",(X1435-V1435)/V1435)</f>
        <v/>
      </c>
      <c r="Z1435" s="7">
        <f>IF(COUNT(D1435:U1435)=0,"",INDEX($D$1:$U$1,MATCH(MIN(D1435:U1435),D1435:U1435,0)))</f>
        <v/>
      </c>
      <c r="AA1435" s="8" t="n">
        <v>356</v>
      </c>
      <c r="AB1435" s="10" t="n">
        <v>1</v>
      </c>
    </row>
    <row r="1436">
      <c r="A1436" s="7" t="inlineStr">
        <is>
          <t>MAT-32-081</t>
        </is>
      </c>
      <c r="B1436" s="4" t="inlineStr">
        <is>
          <t>Adaptador hembra de bronce 25" x 3/4"</t>
        </is>
      </c>
      <c r="C1436" s="7" t="inlineStr">
        <is>
          <t>unidad</t>
        </is>
      </c>
      <c r="D1436" s="8" t="n"/>
      <c r="E1436" s="8" t="n">
        <v>423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>
        <f>IF(COUNT(D1436:U1436)=0,"",MIN(D1436:U1436))</f>
        <v/>
      </c>
      <c r="W1436" s="8">
        <f>IF(COUNT(D1436:U1436)=0,"",MEDIAN(D1436:U1436))</f>
        <v/>
      </c>
      <c r="X1436" s="8">
        <f>IF(COUNT(D1436:U1436)=0,"",MAX(D1436:U1436))</f>
        <v/>
      </c>
      <c r="Y1436" s="9">
        <f>IF(OR(V1436="",V1436=0),"",(X1436-V1436)/V1436)</f>
        <v/>
      </c>
      <c r="Z1436" s="7">
        <f>IF(COUNT(D1436:U1436)=0,"",INDEX($D$1:$U$1,MATCH(MIN(D1436:U1436),D1436:U1436,0)))</f>
        <v/>
      </c>
      <c r="AA1436" s="8" t="n">
        <v>423</v>
      </c>
      <c r="AB1436" s="10" t="n">
        <v>1</v>
      </c>
    </row>
    <row r="1437">
      <c r="A1437" s="7" t="inlineStr">
        <is>
          <t>MAT-32-082</t>
        </is>
      </c>
      <c r="B1437" s="4" t="inlineStr">
        <is>
          <t>Adaptador hembra de bronce 3/8" x 1/2"</t>
        </is>
      </c>
      <c r="C1437" s="7" t="inlineStr">
        <is>
          <t>unidad</t>
        </is>
      </c>
      <c r="D1437" s="8" t="n"/>
      <c r="E1437" s="8" t="n">
        <v>135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>
        <f>IF(COUNT(D1437:U1437)=0,"",MIN(D1437:U1437))</f>
        <v/>
      </c>
      <c r="W1437" s="8">
        <f>IF(COUNT(D1437:U1437)=0,"",MEDIAN(D1437:U1437))</f>
        <v/>
      </c>
      <c r="X1437" s="8">
        <f>IF(COUNT(D1437:U1437)=0,"",MAX(D1437:U1437))</f>
        <v/>
      </c>
      <c r="Y1437" s="9">
        <f>IF(OR(V1437="",V1437=0),"",(X1437-V1437)/V1437)</f>
        <v/>
      </c>
      <c r="Z1437" s="7">
        <f>IF(COUNT(D1437:U1437)=0,"",INDEX($D$1:$U$1,MATCH(MIN(D1437:U1437),D1437:U1437,0)))</f>
        <v/>
      </c>
      <c r="AA1437" s="8" t="n">
        <v>144.5</v>
      </c>
      <c r="AB1437" s="10" t="n">
        <v>1</v>
      </c>
    </row>
    <row r="1438">
      <c r="A1438" s="7" t="inlineStr">
        <is>
          <t>MAT-32-083</t>
        </is>
      </c>
      <c r="B1438" s="4" t="inlineStr">
        <is>
          <t>Adaptador hembra de bronce 3/8" x 1/4"</t>
        </is>
      </c>
      <c r="C1438" s="7" t="inlineStr">
        <is>
          <t>unidad</t>
        </is>
      </c>
      <c r="D1438" s="8" t="n"/>
      <c r="E1438" s="8" t="n">
        <v>104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>
        <f>IF(COUNT(D1438:U1438)=0,"",MIN(D1438:U1438))</f>
        <v/>
      </c>
      <c r="W1438" s="8">
        <f>IF(COUNT(D1438:U1438)=0,"",MEDIAN(D1438:U1438))</f>
        <v/>
      </c>
      <c r="X1438" s="8">
        <f>IF(COUNT(D1438:U1438)=0,"",MAX(D1438:U1438))</f>
        <v/>
      </c>
      <c r="Y1438" s="9">
        <f>IF(OR(V1438="",V1438=0),"",(X1438-V1438)/V1438)</f>
        <v/>
      </c>
      <c r="Z1438" s="7">
        <f>IF(COUNT(D1438:U1438)=0,"",INDEX($D$1:$U$1,MATCH(MIN(D1438:U1438),D1438:U1438,0)))</f>
        <v/>
      </c>
      <c r="AA1438" s="8" t="n">
        <v>104</v>
      </c>
      <c r="AB1438" s="10" t="n">
        <v>1</v>
      </c>
    </row>
    <row r="1439">
      <c r="A1439" s="7" t="inlineStr">
        <is>
          <t>MAT-32-084</t>
        </is>
      </c>
      <c r="B1439" s="4" t="inlineStr">
        <is>
          <t>Adaptador hembra de bronce 3/8" x 3/4"</t>
        </is>
      </c>
      <c r="C1439" s="7" t="inlineStr">
        <is>
          <t>unidad</t>
        </is>
      </c>
      <c r="D1439" s="8" t="n"/>
      <c r="E1439" s="8" t="n">
        <v>183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>
        <f>IF(COUNT(D1439:U1439)=0,"",MIN(D1439:U1439))</f>
        <v/>
      </c>
      <c r="W1439" s="8">
        <f>IF(COUNT(D1439:U1439)=0,"",MEDIAN(D1439:U1439))</f>
        <v/>
      </c>
      <c r="X1439" s="8">
        <f>IF(COUNT(D1439:U1439)=0,"",MAX(D1439:U1439))</f>
        <v/>
      </c>
      <c r="Y1439" s="9">
        <f>IF(OR(V1439="",V1439=0),"",(X1439-V1439)/V1439)</f>
        <v/>
      </c>
      <c r="Z1439" s="7">
        <f>IF(COUNT(D1439:U1439)=0,"",INDEX($D$1:$U$1,MATCH(MIN(D1439:U1439),D1439:U1439,0)))</f>
        <v/>
      </c>
      <c r="AA1439" s="8" t="n">
        <v>183</v>
      </c>
      <c r="AB1439" s="10" t="n">
        <v>1</v>
      </c>
    </row>
    <row r="1440">
      <c r="A1440" s="7" t="inlineStr">
        <is>
          <t>MAT-32-085</t>
        </is>
      </c>
      <c r="B1440" s="4" t="inlineStr">
        <is>
          <t>Adaptador hembra de bronce 3/8" x 3/8"</t>
        </is>
      </c>
      <c r="C1440" s="7" t="inlineStr">
        <is>
          <t>unidad</t>
        </is>
      </c>
      <c r="D1440" s="8" t="n"/>
      <c r="E1440" s="8" t="n">
        <v>90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>
        <f>IF(COUNT(D1440:U1440)=0,"",MIN(D1440:U1440))</f>
        <v/>
      </c>
      <c r="W1440" s="8">
        <f>IF(COUNT(D1440:U1440)=0,"",MEDIAN(D1440:U1440))</f>
        <v/>
      </c>
      <c r="X1440" s="8">
        <f>IF(COUNT(D1440:U1440)=0,"",MAX(D1440:U1440))</f>
        <v/>
      </c>
      <c r="Y1440" s="9">
        <f>IF(OR(V1440="",V1440=0),"",(X1440-V1440)/V1440)</f>
        <v/>
      </c>
      <c r="Z1440" s="7">
        <f>IF(COUNT(D1440:U1440)=0,"",INDEX($D$1:$U$1,MATCH(MIN(D1440:U1440),D1440:U1440,0)))</f>
        <v/>
      </c>
      <c r="AA1440" s="8" t="n">
        <v>90</v>
      </c>
      <c r="AB1440" s="10" t="n">
        <v>1</v>
      </c>
    </row>
    <row r="1441">
      <c r="A1441" s="7" t="inlineStr">
        <is>
          <t>MAT-32-086</t>
        </is>
      </c>
      <c r="B1441" s="4" t="inlineStr">
        <is>
          <t>Adaptador hembra de bronce 32" x 1"</t>
        </is>
      </c>
      <c r="C1441" s="7" t="inlineStr">
        <is>
          <t>unidad</t>
        </is>
      </c>
      <c r="D1441" s="8" t="n"/>
      <c r="E1441" s="8" t="n">
        <v>535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>
        <f>IF(COUNT(D1441:U1441)=0,"",MIN(D1441:U1441))</f>
        <v/>
      </c>
      <c r="W1441" s="8">
        <f>IF(COUNT(D1441:U1441)=0,"",MEDIAN(D1441:U1441))</f>
        <v/>
      </c>
      <c r="X1441" s="8">
        <f>IF(COUNT(D1441:U1441)=0,"",MAX(D1441:U1441))</f>
        <v/>
      </c>
      <c r="Y1441" s="9">
        <f>IF(OR(V1441="",V1441=0),"",(X1441-V1441)/V1441)</f>
        <v/>
      </c>
      <c r="Z1441" s="7">
        <f>IF(COUNT(D1441:U1441)=0,"",INDEX($D$1:$U$1,MATCH(MIN(D1441:U1441),D1441:U1441,0)))</f>
        <v/>
      </c>
      <c r="AA1441" s="8" t="n">
        <v>535</v>
      </c>
      <c r="AB1441" s="10" t="n">
        <v>1</v>
      </c>
    </row>
    <row r="1442">
      <c r="A1442" s="7" t="inlineStr">
        <is>
          <t>MAT-32-087</t>
        </is>
      </c>
      <c r="B1442" s="4" t="inlineStr">
        <is>
          <t>Adaptador hembra de CPVC 1/2"</t>
        </is>
      </c>
      <c r="C1442" s="7" t="inlineStr">
        <is>
          <t>unidad</t>
        </is>
      </c>
      <c r="D1442" s="8" t="n"/>
      <c r="E1442" s="8" t="n">
        <v>11.01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>
        <f>IF(COUNT(D1442:U1442)=0,"",MIN(D1442:U1442))</f>
        <v/>
      </c>
      <c r="W1442" s="8">
        <f>IF(COUNT(D1442:U1442)=0,"",MEDIAN(D1442:U1442))</f>
        <v/>
      </c>
      <c r="X1442" s="8">
        <f>IF(COUNT(D1442:U1442)=0,"",MAX(D1442:U1442))</f>
        <v/>
      </c>
      <c r="Y1442" s="9">
        <f>IF(OR(V1442="",V1442=0),"",(X1442-V1442)/V1442)</f>
        <v/>
      </c>
      <c r="Z1442" s="7">
        <f>IF(COUNT(D1442:U1442)=0,"",INDEX($D$1:$U$1,MATCH(MIN(D1442:U1442),D1442:U1442,0)))</f>
        <v/>
      </c>
      <c r="AA1442" s="8" t="n">
        <v>11.01</v>
      </c>
      <c r="AB1442" s="10" t="n">
        <v>1</v>
      </c>
    </row>
    <row r="1443">
      <c r="A1443" s="7" t="inlineStr">
        <is>
          <t>MAT-32-088</t>
        </is>
      </c>
      <c r="B1443" s="4" t="inlineStr">
        <is>
          <t>Adaptador hembra de CPVC 1"</t>
        </is>
      </c>
      <c r="C1443" s="7" t="inlineStr">
        <is>
          <t>unidad</t>
        </is>
      </c>
      <c r="D1443" s="8" t="n"/>
      <c r="E1443" s="8" t="n">
        <v>26.25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>
        <f>IF(COUNT(D1443:U1443)=0,"",MIN(D1443:U1443))</f>
        <v/>
      </c>
      <c r="W1443" s="8">
        <f>IF(COUNT(D1443:U1443)=0,"",MEDIAN(D1443:U1443))</f>
        <v/>
      </c>
      <c r="X1443" s="8">
        <f>IF(COUNT(D1443:U1443)=0,"",MAX(D1443:U1443))</f>
        <v/>
      </c>
      <c r="Y1443" s="9">
        <f>IF(OR(V1443="",V1443=0),"",(X1443-V1443)/V1443)</f>
        <v/>
      </c>
      <c r="Z1443" s="7">
        <f>IF(COUNT(D1443:U1443)=0,"",INDEX($D$1:$U$1,MATCH(MIN(D1443:U1443),D1443:U1443,0)))</f>
        <v/>
      </c>
      <c r="AA1443" s="8" t="n">
        <v>26.25</v>
      </c>
      <c r="AB1443" s="10" t="n">
        <v>1</v>
      </c>
    </row>
    <row r="1444">
      <c r="A1444" s="7" t="inlineStr">
        <is>
          <t>MAT-32-089</t>
        </is>
      </c>
      <c r="B1444" s="4" t="inlineStr">
        <is>
          <t>Adaptador hembra de CPVC 3/4"</t>
        </is>
      </c>
      <c r="C1444" s="7" t="inlineStr">
        <is>
          <t>unidad</t>
        </is>
      </c>
      <c r="D1444" s="8" t="n"/>
      <c r="E1444" s="8" t="n">
        <v>27.22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>
        <f>IF(COUNT(D1444:U1444)=0,"",MIN(D1444:U1444))</f>
        <v/>
      </c>
      <c r="W1444" s="8">
        <f>IF(COUNT(D1444:U1444)=0,"",MEDIAN(D1444:U1444))</f>
        <v/>
      </c>
      <c r="X1444" s="8">
        <f>IF(COUNT(D1444:U1444)=0,"",MAX(D1444:U1444))</f>
        <v/>
      </c>
      <c r="Y1444" s="9">
        <f>IF(OR(V1444="",V1444=0),"",(X1444-V1444)/V1444)</f>
        <v/>
      </c>
      <c r="Z1444" s="7">
        <f>IF(COUNT(D1444:U1444)=0,"",INDEX($D$1:$U$1,MATCH(MIN(D1444:U1444),D1444:U1444,0)))</f>
        <v/>
      </c>
      <c r="AA1444" s="8" t="n">
        <v>27.22</v>
      </c>
      <c r="AB1444" s="10" t="n">
        <v>1</v>
      </c>
    </row>
    <row r="1445">
      <c r="A1445" s="7" t="inlineStr">
        <is>
          <t>MAT-32-090</t>
        </is>
      </c>
      <c r="B1445" s="4" t="inlineStr">
        <is>
          <t>Adaptador hembra de plástico 5/8"</t>
        </is>
      </c>
      <c r="C1445" s="7" t="inlineStr">
        <is>
          <t>unidad</t>
        </is>
      </c>
      <c r="D1445" s="8" t="n"/>
      <c r="E1445" s="8" t="n">
        <v>106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>
        <f>IF(COUNT(D1445:U1445)=0,"",MIN(D1445:U1445))</f>
        <v/>
      </c>
      <c r="W1445" s="8">
        <f>IF(COUNT(D1445:U1445)=0,"",MEDIAN(D1445:U1445))</f>
        <v/>
      </c>
      <c r="X1445" s="8">
        <f>IF(COUNT(D1445:U1445)=0,"",MAX(D1445:U1445))</f>
        <v/>
      </c>
      <c r="Y1445" s="9">
        <f>IF(OR(V1445="",V1445=0),"",(X1445-V1445)/V1445)</f>
        <v/>
      </c>
      <c r="Z1445" s="7">
        <f>IF(COUNT(D1445:U1445)=0,"",INDEX($D$1:$U$1,MATCH(MIN(D1445:U1445),D1445:U1445,0)))</f>
        <v/>
      </c>
      <c r="AA1445" s="8" t="n">
        <v>106</v>
      </c>
      <c r="AB1445" s="10" t="n">
        <v>1</v>
      </c>
    </row>
    <row r="1446">
      <c r="A1446" s="7" t="inlineStr">
        <is>
          <t>MAT-32-091</t>
        </is>
      </c>
      <c r="B1446" s="4" t="inlineStr">
        <is>
          <t>Adaptador hembra de PPR 20 mm</t>
        </is>
      </c>
      <c r="C1446" s="7" t="inlineStr">
        <is>
          <t>unidad</t>
        </is>
      </c>
      <c r="D1446" s="8" t="n"/>
      <c r="E1446" s="8" t="n">
        <v>58.58</v>
      </c>
      <c r="F1446" s="8" t="n"/>
      <c r="G1446" s="8" t="n">
        <v>172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>
        <f>IF(COUNT(D1446:U1446)=0,"",MIN(D1446:U1446))</f>
        <v/>
      </c>
      <c r="W1446" s="8">
        <f>IF(COUNT(D1446:U1446)=0,"",MEDIAN(D1446:U1446))</f>
        <v/>
      </c>
      <c r="X1446" s="8">
        <f>IF(COUNT(D1446:U1446)=0,"",MAX(D1446:U1446))</f>
        <v/>
      </c>
      <c r="Y1446" s="9">
        <f>IF(OR(V1446="",V1446=0),"",(X1446-V1446)/V1446)</f>
        <v/>
      </c>
      <c r="Z1446" s="7">
        <f>IF(COUNT(D1446:U1446)=0,"",INDEX($D$1:$U$1,MATCH(MIN(D1446:U1446),D1446:U1446,0)))</f>
        <v/>
      </c>
      <c r="AA1446" s="8" t="n">
        <v>69</v>
      </c>
      <c r="AB1446" s="10" t="n">
        <v>2</v>
      </c>
    </row>
    <row r="1447">
      <c r="A1447" s="7" t="inlineStr">
        <is>
          <t>MAT-32-092</t>
        </is>
      </c>
      <c r="B1447" s="4" t="inlineStr">
        <is>
          <t>Adaptador hembra de PPR 25 mm</t>
        </is>
      </c>
      <c r="C1447" s="7" t="inlineStr">
        <is>
          <t>unidad</t>
        </is>
      </c>
      <c r="D1447" s="8" t="n"/>
      <c r="E1447" s="8" t="n">
        <v>60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>
        <f>IF(COUNT(D1447:U1447)=0,"",MIN(D1447:U1447))</f>
        <v/>
      </c>
      <c r="W1447" s="8">
        <f>IF(COUNT(D1447:U1447)=0,"",MEDIAN(D1447:U1447))</f>
        <v/>
      </c>
      <c r="X1447" s="8">
        <f>IF(COUNT(D1447:U1447)=0,"",MAX(D1447:U1447))</f>
        <v/>
      </c>
      <c r="Y1447" s="9">
        <f>IF(OR(V1447="",V1447=0),"",(X1447-V1447)/V1447)</f>
        <v/>
      </c>
      <c r="Z1447" s="7">
        <f>IF(COUNT(D1447:U1447)=0,"",INDEX($D$1:$U$1,MATCH(MIN(D1447:U1447),D1447:U1447,0)))</f>
        <v/>
      </c>
      <c r="AA1447" s="8" t="n">
        <v>68</v>
      </c>
      <c r="AB1447" s="10" t="n">
        <v>1</v>
      </c>
    </row>
    <row r="1448">
      <c r="A1448" s="7" t="inlineStr">
        <is>
          <t>MAT-32-093</t>
        </is>
      </c>
      <c r="B1448" s="4" t="inlineStr">
        <is>
          <t>Adaptador hembra de PPR 32 mm</t>
        </is>
      </c>
      <c r="C1448" s="7" t="inlineStr">
        <is>
          <t>unidad</t>
        </is>
      </c>
      <c r="D1448" s="8" t="n"/>
      <c r="E1448" s="8" t="n">
        <v>56.64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>
        <f>IF(COUNT(D1448:U1448)=0,"",MIN(D1448:U1448))</f>
        <v/>
      </c>
      <c r="W1448" s="8">
        <f>IF(COUNT(D1448:U1448)=0,"",MEDIAN(D1448:U1448))</f>
        <v/>
      </c>
      <c r="X1448" s="8">
        <f>IF(COUNT(D1448:U1448)=0,"",MAX(D1448:U1448))</f>
        <v/>
      </c>
      <c r="Y1448" s="9">
        <f>IF(OR(V1448="",V1448=0),"",(X1448-V1448)/V1448)</f>
        <v/>
      </c>
      <c r="Z1448" s="7">
        <f>IF(COUNT(D1448:U1448)=0,"",INDEX($D$1:$U$1,MATCH(MIN(D1448:U1448),D1448:U1448,0)))</f>
        <v/>
      </c>
      <c r="AA1448" s="8" t="n">
        <v>80</v>
      </c>
      <c r="AB1448" s="10" t="n">
        <v>1</v>
      </c>
    </row>
    <row r="1449">
      <c r="A1449" s="7" t="inlineStr">
        <is>
          <t>MAT-32-094</t>
        </is>
      </c>
      <c r="B1449" s="4" t="inlineStr">
        <is>
          <t>Adaptador hembra de PPR 50 mm</t>
        </is>
      </c>
      <c r="C1449" s="7" t="inlineStr">
        <is>
          <t>unidad</t>
        </is>
      </c>
      <c r="D1449" s="8" t="n"/>
      <c r="E1449" s="8" t="n">
        <v>270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>
        <f>IF(COUNT(D1449:U1449)=0,"",MIN(D1449:U1449))</f>
        <v/>
      </c>
      <c r="W1449" s="8">
        <f>IF(COUNT(D1449:U1449)=0,"",MEDIAN(D1449:U1449))</f>
        <v/>
      </c>
      <c r="X1449" s="8">
        <f>IF(COUNT(D1449:U1449)=0,"",MAX(D1449:U1449))</f>
        <v/>
      </c>
      <c r="Y1449" s="9">
        <f>IF(OR(V1449="",V1449=0),"",(X1449-V1449)/V1449)</f>
        <v/>
      </c>
      <c r="Z1449" s="7">
        <f>IF(COUNT(D1449:U1449)=0,"",INDEX($D$1:$U$1,MATCH(MIN(D1449:U1449),D1449:U1449,0)))</f>
        <v/>
      </c>
      <c r="AA1449" s="8" t="n">
        <v>270</v>
      </c>
      <c r="AB1449" s="10" t="n">
        <v>1</v>
      </c>
    </row>
    <row r="1450">
      <c r="A1450" s="7" t="inlineStr">
        <is>
          <t>MAT-32-095</t>
        </is>
      </c>
      <c r="B1450" s="4" t="inlineStr">
        <is>
          <t>Adaptador hembra de PVC 1 1/2"</t>
        </is>
      </c>
      <c r="C1450" s="7" t="inlineStr">
        <is>
          <t>unidad</t>
        </is>
      </c>
      <c r="D1450" s="8" t="n"/>
      <c r="E1450" s="8" t="n">
        <v>19.21</v>
      </c>
      <c r="F1450" s="8" t="n"/>
      <c r="G1450" s="8" t="n">
        <v>75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>
        <f>IF(COUNT(D1450:U1450)=0,"",MIN(D1450:U1450))</f>
        <v/>
      </c>
      <c r="W1450" s="8">
        <f>IF(COUNT(D1450:U1450)=0,"",MEDIAN(D1450:U1450))</f>
        <v/>
      </c>
      <c r="X1450" s="8">
        <f>IF(COUNT(D1450:U1450)=0,"",MAX(D1450:U1450))</f>
        <v/>
      </c>
      <c r="Y1450" s="9">
        <f>IF(OR(V1450="",V1450=0),"",(X1450-V1450)/V1450)</f>
        <v/>
      </c>
      <c r="Z1450" s="7">
        <f>IF(COUNT(D1450:U1450)=0,"",INDEX($D$1:$U$1,MATCH(MIN(D1450:U1450),D1450:U1450,0)))</f>
        <v/>
      </c>
      <c r="AA1450" s="8" t="n">
        <v>47.15</v>
      </c>
      <c r="AB1450" s="10" t="n">
        <v>2</v>
      </c>
    </row>
    <row r="1451">
      <c r="A1451" s="7" t="inlineStr">
        <is>
          <t>MAT-32-096</t>
        </is>
      </c>
      <c r="B1451" s="4" t="inlineStr">
        <is>
          <t>Adaptador hembra de PVC 1/2"</t>
        </is>
      </c>
      <c r="C1451" s="7" t="inlineStr">
        <is>
          <t>unidad</t>
        </is>
      </c>
      <c r="D1451" s="8" t="n"/>
      <c r="E1451" s="8" t="n">
        <v>4.73</v>
      </c>
      <c r="F1451" s="8" t="n"/>
      <c r="G1451" s="8" t="n">
        <v>20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>
        <f>IF(COUNT(D1451:U1451)=0,"",MIN(D1451:U1451))</f>
        <v/>
      </c>
      <c r="W1451" s="8">
        <f>IF(COUNT(D1451:U1451)=0,"",MEDIAN(D1451:U1451))</f>
        <v/>
      </c>
      <c r="X1451" s="8">
        <f>IF(COUNT(D1451:U1451)=0,"",MAX(D1451:U1451))</f>
        <v/>
      </c>
      <c r="Y1451" s="9">
        <f>IF(OR(V1451="",V1451=0),"",(X1451-V1451)/V1451)</f>
        <v/>
      </c>
      <c r="Z1451" s="7">
        <f>IF(COUNT(D1451:U1451)=0,"",INDEX($D$1:$U$1,MATCH(MIN(D1451:U1451),D1451:U1451,0)))</f>
        <v/>
      </c>
      <c r="AA1451" s="8" t="n">
        <v>10.51</v>
      </c>
      <c r="AB1451" s="10" t="n">
        <v>2</v>
      </c>
    </row>
    <row r="1452">
      <c r="A1452" s="7" t="inlineStr">
        <is>
          <t>MAT-32-097</t>
        </is>
      </c>
      <c r="B1452" s="4" t="inlineStr">
        <is>
          <t>Adaptador hembra de PVC 1"</t>
        </is>
      </c>
      <c r="C1452" s="7" t="inlineStr">
        <is>
          <t>unidad</t>
        </is>
      </c>
      <c r="D1452" s="8" t="n"/>
      <c r="E1452" s="8" t="n">
        <v>11.28</v>
      </c>
      <c r="F1452" s="8" t="n"/>
      <c r="G1452" s="8" t="n">
        <v>45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>
        <f>IF(COUNT(D1452:U1452)=0,"",MIN(D1452:U1452))</f>
        <v/>
      </c>
      <c r="W1452" s="8">
        <f>IF(COUNT(D1452:U1452)=0,"",MEDIAN(D1452:U1452))</f>
        <v/>
      </c>
      <c r="X1452" s="8">
        <f>IF(COUNT(D1452:U1452)=0,"",MAX(D1452:U1452))</f>
        <v/>
      </c>
      <c r="Y1452" s="9">
        <f>IF(OR(V1452="",V1452=0),"",(X1452-V1452)/V1452)</f>
        <v/>
      </c>
      <c r="Z1452" s="7">
        <f>IF(COUNT(D1452:U1452)=0,"",INDEX($D$1:$U$1,MATCH(MIN(D1452:U1452),D1452:U1452,0)))</f>
        <v/>
      </c>
      <c r="AA1452" s="8" t="n">
        <v>23.63</v>
      </c>
      <c r="AB1452" s="10" t="n">
        <v>2</v>
      </c>
    </row>
    <row r="1453">
      <c r="A1453" s="7" t="inlineStr">
        <is>
          <t>MAT-32-098</t>
        </is>
      </c>
      <c r="B1453" s="4" t="inlineStr">
        <is>
          <t>Adaptador hembra de PVC 2"</t>
        </is>
      </c>
      <c r="C1453" s="7" t="inlineStr">
        <is>
          <t>unidad</t>
        </is>
      </c>
      <c r="D1453" s="8" t="n"/>
      <c r="E1453" s="8" t="n">
        <v>27.15</v>
      </c>
      <c r="F1453" s="8" t="n"/>
      <c r="G1453" s="8" t="n">
        <v>130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>
        <f>IF(COUNT(D1453:U1453)=0,"",MIN(D1453:U1453))</f>
        <v/>
      </c>
      <c r="W1453" s="8">
        <f>IF(COUNT(D1453:U1453)=0,"",MEDIAN(D1453:U1453))</f>
        <v/>
      </c>
      <c r="X1453" s="8">
        <f>IF(COUNT(D1453:U1453)=0,"",MAX(D1453:U1453))</f>
        <v/>
      </c>
      <c r="Y1453" s="9">
        <f>IF(OR(V1453="",V1453=0),"",(X1453-V1453)/V1453)</f>
        <v/>
      </c>
      <c r="Z1453" s="7">
        <f>IF(COUNT(D1453:U1453)=0,"",INDEX($D$1:$U$1,MATCH(MIN(D1453:U1453),D1453:U1453,0)))</f>
        <v/>
      </c>
      <c r="AA1453" s="8" t="n">
        <v>67.28</v>
      </c>
      <c r="AB1453" s="10" t="n">
        <v>2</v>
      </c>
    </row>
    <row r="1454">
      <c r="A1454" s="7" t="inlineStr">
        <is>
          <t>MAT-32-099</t>
        </is>
      </c>
      <c r="B1454" s="4" t="inlineStr">
        <is>
          <t>Adaptador hembra de PVC 3/4"</t>
        </is>
      </c>
      <c r="C1454" s="7" t="inlineStr">
        <is>
          <t>unidad</t>
        </is>
      </c>
      <c r="D1454" s="8" t="n"/>
      <c r="E1454" s="8" t="n">
        <v>6.78</v>
      </c>
      <c r="F1454" s="8" t="n"/>
      <c r="G1454" s="8" t="n">
        <v>26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>
        <f>IF(COUNT(D1454:U1454)=0,"",MIN(D1454:U1454))</f>
        <v/>
      </c>
      <c r="W1454" s="8">
        <f>IF(COUNT(D1454:U1454)=0,"",MEDIAN(D1454:U1454))</f>
        <v/>
      </c>
      <c r="X1454" s="8">
        <f>IF(COUNT(D1454:U1454)=0,"",MAX(D1454:U1454))</f>
        <v/>
      </c>
      <c r="Y1454" s="9">
        <f>IF(OR(V1454="",V1454=0),"",(X1454-V1454)/V1454)</f>
        <v/>
      </c>
      <c r="Z1454" s="7">
        <f>IF(COUNT(D1454:U1454)=0,"",INDEX($D$1:$U$1,MATCH(MIN(D1454:U1454),D1454:U1454,0)))</f>
        <v/>
      </c>
      <c r="AA1454" s="8" t="n">
        <v>25.11</v>
      </c>
      <c r="AB1454" s="10" t="n">
        <v>2</v>
      </c>
    </row>
    <row r="1455">
      <c r="A1455" s="7" t="inlineStr">
        <is>
          <t>MAT-32-100</t>
        </is>
      </c>
      <c r="B1455" s="4" t="inlineStr">
        <is>
          <t>Adaptador hembra de PVC 3"</t>
        </is>
      </c>
      <c r="C1455" s="7" t="inlineStr">
        <is>
          <t>unidad</t>
        </is>
      </c>
      <c r="D1455" s="8" t="n"/>
      <c r="E1455" s="8" t="n">
        <v>70.8</v>
      </c>
      <c r="F1455" s="8" t="n"/>
      <c r="G1455" s="8" t="n">
        <v>177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>
        <f>IF(COUNT(D1455:U1455)=0,"",MIN(D1455:U1455))</f>
        <v/>
      </c>
      <c r="W1455" s="8">
        <f>IF(COUNT(D1455:U1455)=0,"",MEDIAN(D1455:U1455))</f>
        <v/>
      </c>
      <c r="X1455" s="8">
        <f>IF(COUNT(D1455:U1455)=0,"",MAX(D1455:U1455))</f>
        <v/>
      </c>
      <c r="Y1455" s="9">
        <f>IF(OR(V1455="",V1455=0),"",(X1455-V1455)/V1455)</f>
        <v/>
      </c>
      <c r="Z1455" s="7">
        <f>IF(COUNT(D1455:U1455)=0,"",INDEX($D$1:$U$1,MATCH(MIN(D1455:U1455),D1455:U1455,0)))</f>
        <v/>
      </c>
      <c r="AA1455" s="8" t="n">
        <v>81.23</v>
      </c>
      <c r="AB1455" s="10" t="n">
        <v>2</v>
      </c>
    </row>
    <row r="1456">
      <c r="A1456" s="7" t="inlineStr">
        <is>
          <t>MAT-32-101</t>
        </is>
      </c>
      <c r="B1456" s="4" t="inlineStr">
        <is>
          <t>Adaptador hembra de PVC 4"</t>
        </is>
      </c>
      <c r="C1456" s="7" t="inlineStr">
        <is>
          <t>unidad</t>
        </is>
      </c>
      <c r="D1456" s="8" t="n"/>
      <c r="E1456" s="8" t="n">
        <v>94</v>
      </c>
      <c r="F1456" s="8" t="n"/>
      <c r="G1456" s="8" t="n">
        <v>172</v>
      </c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>
        <f>IF(COUNT(D1456:U1456)=0,"",MIN(D1456:U1456))</f>
        <v/>
      </c>
      <c r="W1456" s="8">
        <f>IF(COUNT(D1456:U1456)=0,"",MEDIAN(D1456:U1456))</f>
        <v/>
      </c>
      <c r="X1456" s="8">
        <f>IF(COUNT(D1456:U1456)=0,"",MAX(D1456:U1456))</f>
        <v/>
      </c>
      <c r="Y1456" s="9">
        <f>IF(OR(V1456="",V1456=0),"",(X1456-V1456)/V1456)</f>
        <v/>
      </c>
      <c r="Z1456" s="7">
        <f>IF(COUNT(D1456:U1456)=0,"",INDEX($D$1:$U$1,MATCH(MIN(D1456:U1456),D1456:U1456,0)))</f>
        <v/>
      </c>
      <c r="AA1456" s="8" t="n">
        <v>128.31</v>
      </c>
      <c r="AB1456" s="10" t="n">
        <v>2</v>
      </c>
    </row>
    <row r="1457">
      <c r="A1457" s="7" t="inlineStr">
        <is>
          <t>MAT-32-102</t>
        </is>
      </c>
      <c r="B1457" s="4" t="inlineStr">
        <is>
          <t>Adaptador hembra de PVC 6"</t>
        </is>
      </c>
      <c r="C1457" s="7" t="inlineStr">
        <is>
          <t>unidad</t>
        </is>
      </c>
      <c r="D1457" s="8" t="n"/>
      <c r="E1457" s="8" t="n">
        <v>790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>
        <f>IF(COUNT(D1457:U1457)=0,"",MIN(D1457:U1457))</f>
        <v/>
      </c>
      <c r="W1457" s="8">
        <f>IF(COUNT(D1457:U1457)=0,"",MEDIAN(D1457:U1457))</f>
        <v/>
      </c>
      <c r="X1457" s="8">
        <f>IF(COUNT(D1457:U1457)=0,"",MAX(D1457:U1457))</f>
        <v/>
      </c>
      <c r="Y1457" s="9">
        <f>IF(OR(V1457="",V1457=0),"",(X1457-V1457)/V1457)</f>
        <v/>
      </c>
      <c r="Z1457" s="7">
        <f>IF(COUNT(D1457:U1457)=0,"",INDEX($D$1:$U$1,MATCH(MIN(D1457:U1457),D1457:U1457,0)))</f>
        <v/>
      </c>
      <c r="AA1457" s="8" t="n">
        <v>790</v>
      </c>
      <c r="AB1457" s="10" t="n">
        <v>1</v>
      </c>
    </row>
    <row r="1458">
      <c r="A1458" s="7" t="inlineStr">
        <is>
          <t>MAT-32-103</t>
        </is>
      </c>
      <c r="B1458" s="4" t="inlineStr">
        <is>
          <t>Adaptador macho de bronce 0.31" x 3/8"</t>
        </is>
      </c>
      <c r="C1458" s="7" t="inlineStr">
        <is>
          <t>unidad</t>
        </is>
      </c>
      <c r="D1458" s="8" t="n"/>
      <c r="E1458" s="8" t="n">
        <v>88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>
        <f>IF(COUNT(D1458:U1458)=0,"",MIN(D1458:U1458))</f>
        <v/>
      </c>
      <c r="W1458" s="8">
        <f>IF(COUNT(D1458:U1458)=0,"",MEDIAN(D1458:U1458))</f>
        <v/>
      </c>
      <c r="X1458" s="8">
        <f>IF(COUNT(D1458:U1458)=0,"",MAX(D1458:U1458))</f>
        <v/>
      </c>
      <c r="Y1458" s="9">
        <f>IF(OR(V1458="",V1458=0),"",(X1458-V1458)/V1458)</f>
        <v/>
      </c>
      <c r="Z1458" s="7">
        <f>IF(COUNT(D1458:U1458)=0,"",INDEX($D$1:$U$1,MATCH(MIN(D1458:U1458),D1458:U1458,0)))</f>
        <v/>
      </c>
      <c r="AA1458" s="8" t="n">
        <v>88</v>
      </c>
      <c r="AB1458" s="10" t="n">
        <v>1</v>
      </c>
    </row>
    <row r="1459">
      <c r="A1459" s="7" t="inlineStr">
        <is>
          <t>MAT-32-104</t>
        </is>
      </c>
      <c r="B1459" s="4" t="inlineStr">
        <is>
          <t>Adaptador macho de bronce 1/2" x 1/2"</t>
        </is>
      </c>
      <c r="C1459" s="7" t="inlineStr">
        <is>
          <t>unidad</t>
        </is>
      </c>
      <c r="D1459" s="8" t="n"/>
      <c r="E1459" s="8" t="n">
        <v>111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>
        <f>IF(COUNT(D1459:U1459)=0,"",MIN(D1459:U1459))</f>
        <v/>
      </c>
      <c r="W1459" s="8">
        <f>IF(COUNT(D1459:U1459)=0,"",MEDIAN(D1459:U1459))</f>
        <v/>
      </c>
      <c r="X1459" s="8">
        <f>IF(COUNT(D1459:U1459)=0,"",MAX(D1459:U1459))</f>
        <v/>
      </c>
      <c r="Y1459" s="9">
        <f>IF(OR(V1459="",V1459=0),"",(X1459-V1459)/V1459)</f>
        <v/>
      </c>
      <c r="Z1459" s="7">
        <f>IF(COUNT(D1459:U1459)=0,"",INDEX($D$1:$U$1,MATCH(MIN(D1459:U1459),D1459:U1459,0)))</f>
        <v/>
      </c>
      <c r="AA1459" s="8" t="n">
        <v>154</v>
      </c>
      <c r="AB1459" s="10" t="n">
        <v>1</v>
      </c>
    </row>
    <row r="1460">
      <c r="A1460" s="7" t="inlineStr">
        <is>
          <t>MAT-32-105</t>
        </is>
      </c>
      <c r="B1460" s="4" t="inlineStr">
        <is>
          <t>Adaptador macho de bronce 1/2" x 3/4"</t>
        </is>
      </c>
      <c r="C1460" s="7" t="inlineStr">
        <is>
          <t>unidad</t>
        </is>
      </c>
      <c r="D1460" s="8" t="n"/>
      <c r="E1460" s="8" t="n">
        <v>196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>
        <f>IF(COUNT(D1460:U1460)=0,"",MIN(D1460:U1460))</f>
        <v/>
      </c>
      <c r="W1460" s="8">
        <f>IF(COUNT(D1460:U1460)=0,"",MEDIAN(D1460:U1460))</f>
        <v/>
      </c>
      <c r="X1460" s="8">
        <f>IF(COUNT(D1460:U1460)=0,"",MAX(D1460:U1460))</f>
        <v/>
      </c>
      <c r="Y1460" s="9">
        <f>IF(OR(V1460="",V1460=0),"",(X1460-V1460)/V1460)</f>
        <v/>
      </c>
      <c r="Z1460" s="7">
        <f>IF(COUNT(D1460:U1460)=0,"",INDEX($D$1:$U$1,MATCH(MIN(D1460:U1460),D1460:U1460,0)))</f>
        <v/>
      </c>
      <c r="AA1460" s="8" t="n">
        <v>196</v>
      </c>
      <c r="AB1460" s="10" t="n">
        <v>1</v>
      </c>
    </row>
    <row r="1461">
      <c r="A1461" s="7" t="inlineStr">
        <is>
          <t>MAT-32-106</t>
        </is>
      </c>
      <c r="B1461" s="4" t="inlineStr">
        <is>
          <t>Adaptador macho de bronce 1/2" x 3/8"</t>
        </is>
      </c>
      <c r="C1461" s="7" t="inlineStr">
        <is>
          <t>unidad</t>
        </is>
      </c>
      <c r="D1461" s="8" t="n"/>
      <c r="E1461" s="8" t="n">
        <v>94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>
        <f>IF(COUNT(D1461:U1461)=0,"",MIN(D1461:U1461))</f>
        <v/>
      </c>
      <c r="W1461" s="8">
        <f>IF(COUNT(D1461:U1461)=0,"",MEDIAN(D1461:U1461))</f>
        <v/>
      </c>
      <c r="X1461" s="8">
        <f>IF(COUNT(D1461:U1461)=0,"",MAX(D1461:U1461))</f>
        <v/>
      </c>
      <c r="Y1461" s="9">
        <f>IF(OR(V1461="",V1461=0),"",(X1461-V1461)/V1461)</f>
        <v/>
      </c>
      <c r="Z1461" s="7">
        <f>IF(COUNT(D1461:U1461)=0,"",INDEX($D$1:$U$1,MATCH(MIN(D1461:U1461),D1461:U1461,0)))</f>
        <v/>
      </c>
      <c r="AA1461" s="8" t="n">
        <v>115.5</v>
      </c>
      <c r="AB1461" s="10" t="n">
        <v>1</v>
      </c>
    </row>
    <row r="1462">
      <c r="A1462" s="7" t="inlineStr">
        <is>
          <t>MAT-32-107</t>
        </is>
      </c>
      <c r="B1462" s="4" t="inlineStr">
        <is>
          <t>Adaptador macho de bronce 1/4" x 1/2"</t>
        </is>
      </c>
      <c r="C1462" s="7" t="inlineStr">
        <is>
          <t>unidad</t>
        </is>
      </c>
      <c r="D1462" s="8" t="n"/>
      <c r="E1462" s="8" t="n">
        <v>120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>
        <f>IF(COUNT(D1462:U1462)=0,"",MIN(D1462:U1462))</f>
        <v/>
      </c>
      <c r="W1462" s="8">
        <f>IF(COUNT(D1462:U1462)=0,"",MEDIAN(D1462:U1462))</f>
        <v/>
      </c>
      <c r="X1462" s="8">
        <f>IF(COUNT(D1462:U1462)=0,"",MAX(D1462:U1462))</f>
        <v/>
      </c>
      <c r="Y1462" s="9">
        <f>IF(OR(V1462="",V1462=0),"",(X1462-V1462)/V1462)</f>
        <v/>
      </c>
      <c r="Z1462" s="7">
        <f>IF(COUNT(D1462:U1462)=0,"",INDEX($D$1:$U$1,MATCH(MIN(D1462:U1462),D1462:U1462,0)))</f>
        <v/>
      </c>
      <c r="AA1462" s="8" t="n">
        <v>120</v>
      </c>
      <c r="AB1462" s="10" t="n">
        <v>1</v>
      </c>
    </row>
    <row r="1463">
      <c r="A1463" s="7" t="inlineStr">
        <is>
          <t>MAT-32-108</t>
        </is>
      </c>
      <c r="B1463" s="4" t="inlineStr">
        <is>
          <t>Adaptador macho de bronce 1/4" x 1/4"</t>
        </is>
      </c>
      <c r="C1463" s="7" t="inlineStr">
        <is>
          <t>unidad</t>
        </is>
      </c>
      <c r="D1463" s="8" t="n"/>
      <c r="E1463" s="8" t="n">
        <v>62.17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>
        <f>IF(COUNT(D1463:U1463)=0,"",MIN(D1463:U1463))</f>
        <v/>
      </c>
      <c r="W1463" s="8">
        <f>IF(COUNT(D1463:U1463)=0,"",MEDIAN(D1463:U1463))</f>
        <v/>
      </c>
      <c r="X1463" s="8">
        <f>IF(COUNT(D1463:U1463)=0,"",MAX(D1463:U1463))</f>
        <v/>
      </c>
      <c r="Y1463" s="9">
        <f>IF(OR(V1463="",V1463=0),"",(X1463-V1463)/V1463)</f>
        <v/>
      </c>
      <c r="Z1463" s="7">
        <f>IF(COUNT(D1463:U1463)=0,"",INDEX($D$1:$U$1,MATCH(MIN(D1463:U1463),D1463:U1463,0)))</f>
        <v/>
      </c>
      <c r="AA1463" s="8" t="n">
        <v>75.09</v>
      </c>
      <c r="AB1463" s="10" t="n">
        <v>1</v>
      </c>
    </row>
    <row r="1464">
      <c r="A1464" s="7" t="inlineStr">
        <is>
          <t>MAT-32-109</t>
        </is>
      </c>
      <c r="B1464" s="4" t="inlineStr">
        <is>
          <t>Adaptador macho de bronce 1/4" x 1/8"</t>
        </is>
      </c>
      <c r="C1464" s="7" t="inlineStr">
        <is>
          <t>unidad</t>
        </is>
      </c>
      <c r="D1464" s="8" t="n"/>
      <c r="E1464" s="8" t="n">
        <v>43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>
        <f>IF(COUNT(D1464:U1464)=0,"",MIN(D1464:U1464))</f>
        <v/>
      </c>
      <c r="W1464" s="8">
        <f>IF(COUNT(D1464:U1464)=0,"",MEDIAN(D1464:U1464))</f>
        <v/>
      </c>
      <c r="X1464" s="8">
        <f>IF(COUNT(D1464:U1464)=0,"",MAX(D1464:U1464))</f>
        <v/>
      </c>
      <c r="Y1464" s="9">
        <f>IF(OR(V1464="",V1464=0),"",(X1464-V1464)/V1464)</f>
        <v/>
      </c>
      <c r="Z1464" s="7">
        <f>IF(COUNT(D1464:U1464)=0,"",INDEX($D$1:$U$1,MATCH(MIN(D1464:U1464),D1464:U1464,0)))</f>
        <v/>
      </c>
      <c r="AA1464" s="8" t="n">
        <v>51.5</v>
      </c>
      <c r="AB1464" s="10" t="n">
        <v>1</v>
      </c>
    </row>
    <row r="1465">
      <c r="A1465" s="7" t="inlineStr">
        <is>
          <t>MAT-32-110</t>
        </is>
      </c>
      <c r="B1465" s="4" t="inlineStr">
        <is>
          <t>Adaptador macho de bronce 1/4" x 3/8"</t>
        </is>
      </c>
      <c r="C1465" s="7" t="inlineStr">
        <is>
          <t>unidad</t>
        </is>
      </c>
      <c r="D1465" s="8" t="n"/>
      <c r="E1465" s="8" t="n">
        <v>81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>
        <f>IF(COUNT(D1465:U1465)=0,"",MIN(D1465:U1465))</f>
        <v/>
      </c>
      <c r="W1465" s="8">
        <f>IF(COUNT(D1465:U1465)=0,"",MEDIAN(D1465:U1465))</f>
        <v/>
      </c>
      <c r="X1465" s="8">
        <f>IF(COUNT(D1465:U1465)=0,"",MAX(D1465:U1465))</f>
        <v/>
      </c>
      <c r="Y1465" s="9">
        <f>IF(OR(V1465="",V1465=0),"",(X1465-V1465)/V1465)</f>
        <v/>
      </c>
      <c r="Z1465" s="7">
        <f>IF(COUNT(D1465:U1465)=0,"",INDEX($D$1:$U$1,MATCH(MIN(D1465:U1465),D1465:U1465,0)))</f>
        <v/>
      </c>
      <c r="AA1465" s="8" t="n">
        <v>81</v>
      </c>
      <c r="AB1465" s="10" t="n">
        <v>1</v>
      </c>
    </row>
    <row r="1466">
      <c r="A1466" s="7" t="inlineStr">
        <is>
          <t>MAT-32-111</t>
        </is>
      </c>
      <c r="B1466" s="4" t="inlineStr">
        <is>
          <t>Adaptador macho de bronce 12" x 1/2"</t>
        </is>
      </c>
      <c r="C1466" s="7" t="inlineStr">
        <is>
          <t>unidad</t>
        </is>
      </c>
      <c r="D1466" s="8" t="n"/>
      <c r="E1466" s="8" t="n">
        <v>232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>
        <f>IF(COUNT(D1466:U1466)=0,"",MIN(D1466:U1466))</f>
        <v/>
      </c>
      <c r="W1466" s="8">
        <f>IF(COUNT(D1466:U1466)=0,"",MEDIAN(D1466:U1466))</f>
        <v/>
      </c>
      <c r="X1466" s="8">
        <f>IF(COUNT(D1466:U1466)=0,"",MAX(D1466:U1466))</f>
        <v/>
      </c>
      <c r="Y1466" s="9">
        <f>IF(OR(V1466="",V1466=0),"",(X1466-V1466)/V1466)</f>
        <v/>
      </c>
      <c r="Z1466" s="7">
        <f>IF(COUNT(D1466:U1466)=0,"",INDEX($D$1:$U$1,MATCH(MIN(D1466:U1466),D1466:U1466,0)))</f>
        <v/>
      </c>
      <c r="AA1466" s="8" t="n">
        <v>232</v>
      </c>
      <c r="AB1466" s="10" t="n">
        <v>1</v>
      </c>
    </row>
    <row r="1467">
      <c r="A1467" s="7" t="inlineStr">
        <is>
          <t>MAT-32-112</t>
        </is>
      </c>
      <c r="B1467" s="4" t="inlineStr">
        <is>
          <t>Adaptador macho de bronce 12" x 3/8"</t>
        </is>
      </c>
      <c r="C1467" s="7" t="inlineStr">
        <is>
          <t>unidad</t>
        </is>
      </c>
      <c r="D1467" s="8" t="n"/>
      <c r="E1467" s="8" t="n">
        <v>326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>
        <f>IF(COUNT(D1467:U1467)=0,"",MIN(D1467:U1467))</f>
        <v/>
      </c>
      <c r="W1467" s="8">
        <f>IF(COUNT(D1467:U1467)=0,"",MEDIAN(D1467:U1467))</f>
        <v/>
      </c>
      <c r="X1467" s="8">
        <f>IF(COUNT(D1467:U1467)=0,"",MAX(D1467:U1467))</f>
        <v/>
      </c>
      <c r="Y1467" s="9">
        <f>IF(OR(V1467="",V1467=0),"",(X1467-V1467)/V1467)</f>
        <v/>
      </c>
      <c r="Z1467" s="7">
        <f>IF(COUNT(D1467:U1467)=0,"",INDEX($D$1:$U$1,MATCH(MIN(D1467:U1467),D1467:U1467,0)))</f>
        <v/>
      </c>
      <c r="AA1467" s="8" t="n">
        <v>326</v>
      </c>
      <c r="AB1467" s="10" t="n">
        <v>1</v>
      </c>
    </row>
    <row r="1468">
      <c r="A1468" s="7" t="inlineStr">
        <is>
          <t>MAT-32-113</t>
        </is>
      </c>
      <c r="B1468" s="4" t="inlineStr">
        <is>
          <t>Adaptador macho de bronce 15" x 1/2"</t>
        </is>
      </c>
      <c r="C1468" s="7" t="inlineStr">
        <is>
          <t>unidad</t>
        </is>
      </c>
      <c r="D1468" s="8" t="n"/>
      <c r="E1468" s="8" t="n">
        <v>205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>
        <f>IF(COUNT(D1468:U1468)=0,"",MIN(D1468:U1468))</f>
        <v/>
      </c>
      <c r="W1468" s="8">
        <f>IF(COUNT(D1468:U1468)=0,"",MEDIAN(D1468:U1468))</f>
        <v/>
      </c>
      <c r="X1468" s="8">
        <f>IF(COUNT(D1468:U1468)=0,"",MAX(D1468:U1468))</f>
        <v/>
      </c>
      <c r="Y1468" s="9">
        <f>IF(OR(V1468="",V1468=0),"",(X1468-V1468)/V1468)</f>
        <v/>
      </c>
      <c r="Z1468" s="7">
        <f>IF(COUNT(D1468:U1468)=0,"",INDEX($D$1:$U$1,MATCH(MIN(D1468:U1468),D1468:U1468,0)))</f>
        <v/>
      </c>
      <c r="AA1468" s="8" t="n">
        <v>205</v>
      </c>
      <c r="AB1468" s="10" t="n">
        <v>1</v>
      </c>
    </row>
    <row r="1469">
      <c r="A1469" s="7" t="inlineStr">
        <is>
          <t>MAT-32-114</t>
        </is>
      </c>
      <c r="B1469" s="4" t="inlineStr">
        <is>
          <t>Adaptador macho de bronce 15" x 3/4"</t>
        </is>
      </c>
      <c r="C1469" s="7" t="inlineStr">
        <is>
          <t>unidad</t>
        </is>
      </c>
      <c r="D1469" s="8" t="n"/>
      <c r="E1469" s="8" t="n">
        <v>377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>
        <f>IF(COUNT(D1469:U1469)=0,"",MIN(D1469:U1469))</f>
        <v/>
      </c>
      <c r="W1469" s="8">
        <f>IF(COUNT(D1469:U1469)=0,"",MEDIAN(D1469:U1469))</f>
        <v/>
      </c>
      <c r="X1469" s="8">
        <f>IF(COUNT(D1469:U1469)=0,"",MAX(D1469:U1469))</f>
        <v/>
      </c>
      <c r="Y1469" s="9">
        <f>IF(OR(V1469="",V1469=0),"",(X1469-V1469)/V1469)</f>
        <v/>
      </c>
      <c r="Z1469" s="7">
        <f>IF(COUNT(D1469:U1469)=0,"",INDEX($D$1:$U$1,MATCH(MIN(D1469:U1469),D1469:U1469,0)))</f>
        <v/>
      </c>
      <c r="AA1469" s="8" t="n">
        <v>377</v>
      </c>
      <c r="AB1469" s="10" t="n">
        <v>1</v>
      </c>
    </row>
    <row r="1470">
      <c r="A1470" s="7" t="inlineStr">
        <is>
          <t>MAT-32-115</t>
        </is>
      </c>
      <c r="B1470" s="4" t="inlineStr">
        <is>
          <t>Adaptador macho de bronce 15" x 3/8"</t>
        </is>
      </c>
      <c r="C1470" s="7" t="inlineStr">
        <is>
          <t>unidad</t>
        </is>
      </c>
      <c r="D1470" s="8" t="n"/>
      <c r="E1470" s="8" t="n">
        <v>309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>
        <f>IF(COUNT(D1470:U1470)=0,"",MIN(D1470:U1470))</f>
        <v/>
      </c>
      <c r="W1470" s="8">
        <f>IF(COUNT(D1470:U1470)=0,"",MEDIAN(D1470:U1470))</f>
        <v/>
      </c>
      <c r="X1470" s="8">
        <f>IF(COUNT(D1470:U1470)=0,"",MAX(D1470:U1470))</f>
        <v/>
      </c>
      <c r="Y1470" s="9">
        <f>IF(OR(V1470="",V1470=0),"",(X1470-V1470)/V1470)</f>
        <v/>
      </c>
      <c r="Z1470" s="7">
        <f>IF(COUNT(D1470:U1470)=0,"",INDEX($D$1:$U$1,MATCH(MIN(D1470:U1470),D1470:U1470,0)))</f>
        <v/>
      </c>
      <c r="AA1470" s="8" t="n">
        <v>309</v>
      </c>
      <c r="AB1470" s="10" t="n">
        <v>1</v>
      </c>
    </row>
    <row r="1471">
      <c r="A1471" s="7" t="inlineStr">
        <is>
          <t>MAT-32-116</t>
        </is>
      </c>
      <c r="B1471" s="4" t="inlineStr">
        <is>
          <t>Adaptador macho de bronce 18" x 1/2"</t>
        </is>
      </c>
      <c r="C1471" s="7" t="inlineStr">
        <is>
          <t>unidad</t>
        </is>
      </c>
      <c r="D1471" s="8" t="n"/>
      <c r="E1471" s="8" t="n">
        <v>232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>
        <f>IF(COUNT(D1471:U1471)=0,"",MIN(D1471:U1471))</f>
        <v/>
      </c>
      <c r="W1471" s="8">
        <f>IF(COUNT(D1471:U1471)=0,"",MEDIAN(D1471:U1471))</f>
        <v/>
      </c>
      <c r="X1471" s="8">
        <f>IF(COUNT(D1471:U1471)=0,"",MAX(D1471:U1471))</f>
        <v/>
      </c>
      <c r="Y1471" s="9">
        <f>IF(OR(V1471="",V1471=0),"",(X1471-V1471)/V1471)</f>
        <v/>
      </c>
      <c r="Z1471" s="7">
        <f>IF(COUNT(D1471:U1471)=0,"",INDEX($D$1:$U$1,MATCH(MIN(D1471:U1471),D1471:U1471,0)))</f>
        <v/>
      </c>
      <c r="AA1471" s="8" t="n">
        <v>232</v>
      </c>
      <c r="AB1471" s="10" t="n">
        <v>1</v>
      </c>
    </row>
    <row r="1472">
      <c r="A1472" s="7" t="inlineStr">
        <is>
          <t>MAT-32-117</t>
        </is>
      </c>
      <c r="B1472" s="4" t="inlineStr">
        <is>
          <t>Adaptador macho de bronce 18" x 3/4"</t>
        </is>
      </c>
      <c r="C1472" s="7" t="inlineStr">
        <is>
          <t>unidad</t>
        </is>
      </c>
      <c r="D1472" s="8" t="n"/>
      <c r="E1472" s="8" t="n">
        <v>315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>
        <f>IF(COUNT(D1472:U1472)=0,"",MIN(D1472:U1472))</f>
        <v/>
      </c>
      <c r="W1472" s="8">
        <f>IF(COUNT(D1472:U1472)=0,"",MEDIAN(D1472:U1472))</f>
        <v/>
      </c>
      <c r="X1472" s="8">
        <f>IF(COUNT(D1472:U1472)=0,"",MAX(D1472:U1472))</f>
        <v/>
      </c>
      <c r="Y1472" s="9">
        <f>IF(OR(V1472="",V1472=0),"",(X1472-V1472)/V1472)</f>
        <v/>
      </c>
      <c r="Z1472" s="7">
        <f>IF(COUNT(D1472:U1472)=0,"",INDEX($D$1:$U$1,MATCH(MIN(D1472:U1472),D1472:U1472,0)))</f>
        <v/>
      </c>
      <c r="AA1472" s="8" t="n">
        <v>315</v>
      </c>
      <c r="AB1472" s="10" t="n">
        <v>1</v>
      </c>
    </row>
    <row r="1473">
      <c r="A1473" s="7" t="inlineStr">
        <is>
          <t>MAT-32-118</t>
        </is>
      </c>
      <c r="B1473" s="4" t="inlineStr">
        <is>
          <t>Adaptador macho de bronce 25" x 3/4"</t>
        </is>
      </c>
      <c r="C1473" s="7" t="inlineStr">
        <is>
          <t>unidad</t>
        </is>
      </c>
      <c r="D1473" s="8" t="n"/>
      <c r="E1473" s="8" t="n">
        <v>390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>
        <f>IF(COUNT(D1473:U1473)=0,"",MIN(D1473:U1473))</f>
        <v/>
      </c>
      <c r="W1473" s="8">
        <f>IF(COUNT(D1473:U1473)=0,"",MEDIAN(D1473:U1473))</f>
        <v/>
      </c>
      <c r="X1473" s="8">
        <f>IF(COUNT(D1473:U1473)=0,"",MAX(D1473:U1473))</f>
        <v/>
      </c>
      <c r="Y1473" s="9">
        <f>IF(OR(V1473="",V1473=0),"",(X1473-V1473)/V1473)</f>
        <v/>
      </c>
      <c r="Z1473" s="7">
        <f>IF(COUNT(D1473:U1473)=0,"",INDEX($D$1:$U$1,MATCH(MIN(D1473:U1473),D1473:U1473,0)))</f>
        <v/>
      </c>
      <c r="AA1473" s="8" t="n">
        <v>390</v>
      </c>
      <c r="AB1473" s="10" t="n">
        <v>1</v>
      </c>
    </row>
    <row r="1474">
      <c r="A1474" s="7" t="inlineStr">
        <is>
          <t>MAT-32-119</t>
        </is>
      </c>
      <c r="B1474" s="4" t="inlineStr">
        <is>
          <t>Adaptador macho de bronce 3/8" x 1/2"</t>
        </is>
      </c>
      <c r="C1474" s="7" t="inlineStr">
        <is>
          <t>unidad</t>
        </is>
      </c>
      <c r="D1474" s="8" t="n"/>
      <c r="E1474" s="8" t="n">
        <v>149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>
        <f>IF(COUNT(D1474:U1474)=0,"",MIN(D1474:U1474))</f>
        <v/>
      </c>
      <c r="W1474" s="8">
        <f>IF(COUNT(D1474:U1474)=0,"",MEDIAN(D1474:U1474))</f>
        <v/>
      </c>
      <c r="X1474" s="8">
        <f>IF(COUNT(D1474:U1474)=0,"",MAX(D1474:U1474))</f>
        <v/>
      </c>
      <c r="Y1474" s="9">
        <f>IF(OR(V1474="",V1474=0),"",(X1474-V1474)/V1474)</f>
        <v/>
      </c>
      <c r="Z1474" s="7">
        <f>IF(COUNT(D1474:U1474)=0,"",INDEX($D$1:$U$1,MATCH(MIN(D1474:U1474),D1474:U1474,0)))</f>
        <v/>
      </c>
      <c r="AA1474" s="8" t="n">
        <v>149</v>
      </c>
      <c r="AB1474" s="10" t="n">
        <v>1</v>
      </c>
    </row>
    <row r="1475">
      <c r="A1475" s="7" t="inlineStr">
        <is>
          <t>MAT-32-120</t>
        </is>
      </c>
      <c r="B1475" s="4" t="inlineStr">
        <is>
          <t>Adaptador macho de bronce 3/8" x 3/8"</t>
        </is>
      </c>
      <c r="C1475" s="7" t="inlineStr">
        <is>
          <t>unidad</t>
        </is>
      </c>
      <c r="D1475" s="8" t="n"/>
      <c r="E1475" s="8" t="n">
        <v>68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>
        <f>IF(COUNT(D1475:U1475)=0,"",MIN(D1475:U1475))</f>
        <v/>
      </c>
      <c r="W1475" s="8">
        <f>IF(COUNT(D1475:U1475)=0,"",MEDIAN(D1475:U1475))</f>
        <v/>
      </c>
      <c r="X1475" s="8">
        <f>IF(COUNT(D1475:U1475)=0,"",MAX(D1475:U1475))</f>
        <v/>
      </c>
      <c r="Y1475" s="9">
        <f>IF(OR(V1475="",V1475=0),"",(X1475-V1475)/V1475)</f>
        <v/>
      </c>
      <c r="Z1475" s="7">
        <f>IF(COUNT(D1475:U1475)=0,"",INDEX($D$1:$U$1,MATCH(MIN(D1475:U1475),D1475:U1475,0)))</f>
        <v/>
      </c>
      <c r="AA1475" s="8" t="n">
        <v>78</v>
      </c>
      <c r="AB1475" s="10" t="n">
        <v>1</v>
      </c>
    </row>
    <row r="1476">
      <c r="A1476" s="7" t="inlineStr">
        <is>
          <t>MAT-32-121</t>
        </is>
      </c>
      <c r="B1476" s="4" t="inlineStr">
        <is>
          <t>Adaptador macho de bronce 32" x 1"</t>
        </is>
      </c>
      <c r="C1476" s="7" t="inlineStr">
        <is>
          <t>unidad</t>
        </is>
      </c>
      <c r="D1476" s="8" t="n"/>
      <c r="E1476" s="8" t="n">
        <v>597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>
        <f>IF(COUNT(D1476:U1476)=0,"",MIN(D1476:U1476))</f>
        <v/>
      </c>
      <c r="W1476" s="8">
        <f>IF(COUNT(D1476:U1476)=0,"",MEDIAN(D1476:U1476))</f>
        <v/>
      </c>
      <c r="X1476" s="8">
        <f>IF(COUNT(D1476:U1476)=0,"",MAX(D1476:U1476))</f>
        <v/>
      </c>
      <c r="Y1476" s="9">
        <f>IF(OR(V1476="",V1476=0),"",(X1476-V1476)/V1476)</f>
        <v/>
      </c>
      <c r="Z1476" s="7">
        <f>IF(COUNT(D1476:U1476)=0,"",INDEX($D$1:$U$1,MATCH(MIN(D1476:U1476),D1476:U1476,0)))</f>
        <v/>
      </c>
      <c r="AA1476" s="8" t="n">
        <v>597</v>
      </c>
      <c r="AB1476" s="10" t="n">
        <v>1</v>
      </c>
    </row>
    <row r="1477">
      <c r="A1477" s="7" t="inlineStr">
        <is>
          <t>MAT-32-122</t>
        </is>
      </c>
      <c r="B1477" s="4" t="inlineStr">
        <is>
          <t>Adaptador macho de bronce 5/8" x 1/2"</t>
        </is>
      </c>
      <c r="C1477" s="7" t="inlineStr">
        <is>
          <t>unidad</t>
        </is>
      </c>
      <c r="D1477" s="8" t="n"/>
      <c r="E1477" s="8" t="n">
        <v>152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>
        <f>IF(COUNT(D1477:U1477)=0,"",MIN(D1477:U1477))</f>
        <v/>
      </c>
      <c r="W1477" s="8">
        <f>IF(COUNT(D1477:U1477)=0,"",MEDIAN(D1477:U1477))</f>
        <v/>
      </c>
      <c r="X1477" s="8">
        <f>IF(COUNT(D1477:U1477)=0,"",MAX(D1477:U1477))</f>
        <v/>
      </c>
      <c r="Y1477" s="9">
        <f>IF(OR(V1477="",V1477=0),"",(X1477-V1477)/V1477)</f>
        <v/>
      </c>
      <c r="Z1477" s="7">
        <f>IF(COUNT(D1477:U1477)=0,"",INDEX($D$1:$U$1,MATCH(MIN(D1477:U1477),D1477:U1477,0)))</f>
        <v/>
      </c>
      <c r="AA1477" s="8" t="n">
        <v>152</v>
      </c>
      <c r="AB1477" s="10" t="n">
        <v>1</v>
      </c>
    </row>
    <row r="1478">
      <c r="A1478" s="7" t="inlineStr">
        <is>
          <t>MAT-32-123</t>
        </is>
      </c>
      <c r="B1478" s="4" t="inlineStr">
        <is>
          <t>Adaptador macho de cobre 1" x 1 1/8"</t>
        </is>
      </c>
      <c r="C1478" s="7" t="inlineStr">
        <is>
          <t>unidad</t>
        </is>
      </c>
      <c r="D1478" s="8" t="n"/>
      <c r="E1478" s="8" t="n">
        <v>119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>
        <f>IF(COUNT(D1478:U1478)=0,"",MIN(D1478:U1478))</f>
        <v/>
      </c>
      <c r="W1478" s="8">
        <f>IF(COUNT(D1478:U1478)=0,"",MEDIAN(D1478:U1478))</f>
        <v/>
      </c>
      <c r="X1478" s="8">
        <f>IF(COUNT(D1478:U1478)=0,"",MAX(D1478:U1478))</f>
        <v/>
      </c>
      <c r="Y1478" s="9">
        <f>IF(OR(V1478="",V1478=0),"",(X1478-V1478)/V1478)</f>
        <v/>
      </c>
      <c r="Z1478" s="7">
        <f>IF(COUNT(D1478:U1478)=0,"",INDEX($D$1:$U$1,MATCH(MIN(D1478:U1478),D1478:U1478,0)))</f>
        <v/>
      </c>
      <c r="AA1478" s="8" t="n">
        <v>119</v>
      </c>
      <c r="AB1478" s="10" t="n">
        <v>1</v>
      </c>
    </row>
    <row r="1479">
      <c r="A1479" s="7" t="inlineStr">
        <is>
          <t>MAT-32-124</t>
        </is>
      </c>
      <c r="B1479" s="4" t="inlineStr">
        <is>
          <t>Adaptador macho de CPVC 1/2"</t>
        </is>
      </c>
      <c r="C1479" s="7" t="inlineStr">
        <is>
          <t>unidad</t>
        </is>
      </c>
      <c r="D1479" s="8" t="n"/>
      <c r="E1479" s="8" t="n">
        <v>13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>
        <f>IF(COUNT(D1479:U1479)=0,"",MIN(D1479:U1479))</f>
        <v/>
      </c>
      <c r="W1479" s="8">
        <f>IF(COUNT(D1479:U1479)=0,"",MEDIAN(D1479:U1479))</f>
        <v/>
      </c>
      <c r="X1479" s="8">
        <f>IF(COUNT(D1479:U1479)=0,"",MAX(D1479:U1479))</f>
        <v/>
      </c>
      <c r="Y1479" s="9">
        <f>IF(OR(V1479="",V1479=0),"",(X1479-V1479)/V1479)</f>
        <v/>
      </c>
      <c r="Z1479" s="7">
        <f>IF(COUNT(D1479:U1479)=0,"",INDEX($D$1:$U$1,MATCH(MIN(D1479:U1479),D1479:U1479,0)))</f>
        <v/>
      </c>
      <c r="AA1479" s="8" t="n">
        <v>13</v>
      </c>
      <c r="AB1479" s="10" t="n">
        <v>1</v>
      </c>
    </row>
    <row r="1480">
      <c r="A1480" s="7" t="inlineStr">
        <is>
          <t>MAT-32-125</t>
        </is>
      </c>
      <c r="B1480" s="4" t="inlineStr">
        <is>
          <t>Adaptador macho de CPVC 1"</t>
        </is>
      </c>
      <c r="C1480" s="7" t="inlineStr">
        <is>
          <t>unidad</t>
        </is>
      </c>
      <c r="D1480" s="8" t="n"/>
      <c r="E1480" s="8" t="n">
        <v>32.71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>
        <f>IF(COUNT(D1480:U1480)=0,"",MIN(D1480:U1480))</f>
        <v/>
      </c>
      <c r="W1480" s="8">
        <f>IF(COUNT(D1480:U1480)=0,"",MEDIAN(D1480:U1480))</f>
        <v/>
      </c>
      <c r="X1480" s="8">
        <f>IF(COUNT(D1480:U1480)=0,"",MAX(D1480:U1480))</f>
        <v/>
      </c>
      <c r="Y1480" s="9">
        <f>IF(OR(V1480="",V1480=0),"",(X1480-V1480)/V1480)</f>
        <v/>
      </c>
      <c r="Z1480" s="7">
        <f>IF(COUNT(D1480:U1480)=0,"",INDEX($D$1:$U$1,MATCH(MIN(D1480:U1480),D1480:U1480,0)))</f>
        <v/>
      </c>
      <c r="AA1480" s="8" t="n">
        <v>32.71</v>
      </c>
      <c r="AB1480" s="10" t="n">
        <v>1</v>
      </c>
    </row>
    <row r="1481">
      <c r="A1481" s="7" t="inlineStr">
        <is>
          <t>MAT-32-126</t>
        </is>
      </c>
      <c r="B1481" s="4" t="inlineStr">
        <is>
          <t>Adaptador macho de CPVC 3/4"</t>
        </is>
      </c>
      <c r="C1481" s="7" t="inlineStr">
        <is>
          <t>unidad</t>
        </is>
      </c>
      <c r="D1481" s="8" t="n"/>
      <c r="E1481" s="8" t="n">
        <v>18.22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>
        <f>IF(COUNT(D1481:U1481)=0,"",MIN(D1481:U1481))</f>
        <v/>
      </c>
      <c r="W1481" s="8">
        <f>IF(COUNT(D1481:U1481)=0,"",MEDIAN(D1481:U1481))</f>
        <v/>
      </c>
      <c r="X1481" s="8">
        <f>IF(COUNT(D1481:U1481)=0,"",MAX(D1481:U1481))</f>
        <v/>
      </c>
      <c r="Y1481" s="9">
        <f>IF(OR(V1481="",V1481=0),"",(X1481-V1481)/V1481)</f>
        <v/>
      </c>
      <c r="Z1481" s="7">
        <f>IF(COUNT(D1481:U1481)=0,"",INDEX($D$1:$U$1,MATCH(MIN(D1481:U1481),D1481:U1481,0)))</f>
        <v/>
      </c>
      <c r="AA1481" s="8" t="n">
        <v>18.22</v>
      </c>
      <c r="AB1481" s="10" t="n">
        <v>1</v>
      </c>
    </row>
    <row r="1482">
      <c r="A1482" s="7" t="inlineStr">
        <is>
          <t>MAT-32-127</t>
        </is>
      </c>
      <c r="B1482" s="4" t="inlineStr">
        <is>
          <t>Adaptador macho de plástico 1/2"</t>
        </is>
      </c>
      <c r="C1482" s="7" t="inlineStr">
        <is>
          <t>unidad</t>
        </is>
      </c>
      <c r="D1482" s="8" t="n"/>
      <c r="E1482" s="8" t="n">
        <v>155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>
        <f>IF(COUNT(D1482:U1482)=0,"",MIN(D1482:U1482))</f>
        <v/>
      </c>
      <c r="W1482" s="8">
        <f>IF(COUNT(D1482:U1482)=0,"",MEDIAN(D1482:U1482))</f>
        <v/>
      </c>
      <c r="X1482" s="8">
        <f>IF(COUNT(D1482:U1482)=0,"",MAX(D1482:U1482))</f>
        <v/>
      </c>
      <c r="Y1482" s="9">
        <f>IF(OR(V1482="",V1482=0),"",(X1482-V1482)/V1482)</f>
        <v/>
      </c>
      <c r="Z1482" s="7">
        <f>IF(COUNT(D1482:U1482)=0,"",INDEX($D$1:$U$1,MATCH(MIN(D1482:U1482),D1482:U1482,0)))</f>
        <v/>
      </c>
      <c r="AA1482" s="8" t="n">
        <v>155</v>
      </c>
      <c r="AB1482" s="10" t="n">
        <v>1</v>
      </c>
    </row>
    <row r="1483">
      <c r="A1483" s="7" t="inlineStr">
        <is>
          <t>MAT-32-128</t>
        </is>
      </c>
      <c r="B1483" s="4" t="inlineStr">
        <is>
          <t>Adaptador macho de plástico 1"</t>
        </is>
      </c>
      <c r="C1483" s="7" t="inlineStr">
        <is>
          <t>unidad</t>
        </is>
      </c>
      <c r="D1483" s="8" t="n"/>
      <c r="E1483" s="8" t="n">
        <v>190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>
        <f>IF(COUNT(D1483:U1483)=0,"",MIN(D1483:U1483))</f>
        <v/>
      </c>
      <c r="W1483" s="8">
        <f>IF(COUNT(D1483:U1483)=0,"",MEDIAN(D1483:U1483))</f>
        <v/>
      </c>
      <c r="X1483" s="8">
        <f>IF(COUNT(D1483:U1483)=0,"",MAX(D1483:U1483))</f>
        <v/>
      </c>
      <c r="Y1483" s="9">
        <f>IF(OR(V1483="",V1483=0),"",(X1483-V1483)/V1483)</f>
        <v/>
      </c>
      <c r="Z1483" s="7">
        <f>IF(COUNT(D1483:U1483)=0,"",INDEX($D$1:$U$1,MATCH(MIN(D1483:U1483),D1483:U1483,0)))</f>
        <v/>
      </c>
      <c r="AA1483" s="8" t="n">
        <v>190</v>
      </c>
      <c r="AB1483" s="10" t="n">
        <v>1</v>
      </c>
    </row>
    <row r="1484">
      <c r="A1484" s="7" t="inlineStr">
        <is>
          <t>MAT-32-129</t>
        </is>
      </c>
      <c r="B1484" s="4" t="inlineStr">
        <is>
          <t>Adaptador macho de plástico 2"</t>
        </is>
      </c>
      <c r="C1484" s="7" t="inlineStr">
        <is>
          <t>unidad</t>
        </is>
      </c>
      <c r="D1484" s="8" t="n"/>
      <c r="E1484" s="8" t="n">
        <v>285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>
        <f>IF(COUNT(D1484:U1484)=0,"",MIN(D1484:U1484))</f>
        <v/>
      </c>
      <c r="W1484" s="8">
        <f>IF(COUNT(D1484:U1484)=0,"",MEDIAN(D1484:U1484))</f>
        <v/>
      </c>
      <c r="X1484" s="8">
        <f>IF(COUNT(D1484:U1484)=0,"",MAX(D1484:U1484))</f>
        <v/>
      </c>
      <c r="Y1484" s="9">
        <f>IF(OR(V1484="",V1484=0),"",(X1484-V1484)/V1484)</f>
        <v/>
      </c>
      <c r="Z1484" s="7">
        <f>IF(COUNT(D1484:U1484)=0,"",INDEX($D$1:$U$1,MATCH(MIN(D1484:U1484),D1484:U1484,0)))</f>
        <v/>
      </c>
      <c r="AA1484" s="8" t="n">
        <v>285</v>
      </c>
      <c r="AB1484" s="10" t="n">
        <v>1</v>
      </c>
    </row>
    <row r="1485">
      <c r="A1485" s="7" t="inlineStr">
        <is>
          <t>MAT-32-130</t>
        </is>
      </c>
      <c r="B1485" s="4" t="inlineStr">
        <is>
          <t>Adaptador macho de plástico 3/4" x 0"</t>
        </is>
      </c>
      <c r="C1485" s="7" t="inlineStr">
        <is>
          <t>unidad</t>
        </is>
      </c>
      <c r="D1485" s="8" t="n"/>
      <c r="E1485" s="8" t="n">
        <v>187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>
        <f>IF(COUNT(D1485:U1485)=0,"",MIN(D1485:U1485))</f>
        <v/>
      </c>
      <c r="W1485" s="8">
        <f>IF(COUNT(D1485:U1485)=0,"",MEDIAN(D1485:U1485))</f>
        <v/>
      </c>
      <c r="X1485" s="8">
        <f>IF(COUNT(D1485:U1485)=0,"",MAX(D1485:U1485))</f>
        <v/>
      </c>
      <c r="Y1485" s="9">
        <f>IF(OR(V1485="",V1485=0),"",(X1485-V1485)/V1485)</f>
        <v/>
      </c>
      <c r="Z1485" s="7">
        <f>IF(COUNT(D1485:U1485)=0,"",INDEX($D$1:$U$1,MATCH(MIN(D1485:U1485),D1485:U1485,0)))</f>
        <v/>
      </c>
      <c r="AA1485" s="8" t="n">
        <v>187</v>
      </c>
      <c r="AB1485" s="10" t="n">
        <v>1</v>
      </c>
    </row>
    <row r="1486">
      <c r="A1486" s="7" t="inlineStr">
        <is>
          <t>MAT-32-131</t>
        </is>
      </c>
      <c r="B1486" s="4" t="inlineStr">
        <is>
          <t>Adaptador macho de PPR 20 mm</t>
        </is>
      </c>
      <c r="C1486" s="7" t="inlineStr">
        <is>
          <t>unidad</t>
        </is>
      </c>
      <c r="D1486" s="8" t="n"/>
      <c r="E1486" s="8" t="n">
        <v>63.5</v>
      </c>
      <c r="F1486" s="8" t="n"/>
      <c r="G1486" s="8" t="n">
        <v>188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>
        <f>IF(COUNT(D1486:U1486)=0,"",MIN(D1486:U1486))</f>
        <v/>
      </c>
      <c r="W1486" s="8">
        <f>IF(COUNT(D1486:U1486)=0,"",MEDIAN(D1486:U1486))</f>
        <v/>
      </c>
      <c r="X1486" s="8">
        <f>IF(COUNT(D1486:U1486)=0,"",MAX(D1486:U1486))</f>
        <v/>
      </c>
      <c r="Y1486" s="9">
        <f>IF(OR(V1486="",V1486=0),"",(X1486-V1486)/V1486)</f>
        <v/>
      </c>
      <c r="Z1486" s="7">
        <f>IF(COUNT(D1486:U1486)=0,"",INDEX($D$1:$U$1,MATCH(MIN(D1486:U1486),D1486:U1486,0)))</f>
        <v/>
      </c>
      <c r="AA1486" s="8" t="n">
        <v>136.06</v>
      </c>
      <c r="AB1486" s="10" t="n">
        <v>2</v>
      </c>
    </row>
    <row r="1487">
      <c r="A1487" s="7" t="inlineStr">
        <is>
          <t>MAT-32-132</t>
        </is>
      </c>
      <c r="B1487" s="4" t="inlineStr">
        <is>
          <t>Adaptador macho de PPR 25 mm</t>
        </is>
      </c>
      <c r="C1487" s="7" t="inlineStr">
        <is>
          <t>unidad</t>
        </is>
      </c>
      <c r="D1487" s="8" t="n"/>
      <c r="E1487" s="8" t="n">
        <v>74.16</v>
      </c>
      <c r="F1487" s="8" t="n"/>
      <c r="G1487" s="8" t="n">
        <v>253</v>
      </c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>
        <f>IF(COUNT(D1487:U1487)=0,"",MIN(D1487:U1487))</f>
        <v/>
      </c>
      <c r="W1487" s="8">
        <f>IF(COUNT(D1487:U1487)=0,"",MEDIAN(D1487:U1487))</f>
        <v/>
      </c>
      <c r="X1487" s="8">
        <f>IF(COUNT(D1487:U1487)=0,"",MAX(D1487:U1487))</f>
        <v/>
      </c>
      <c r="Y1487" s="9">
        <f>IF(OR(V1487="",V1487=0),"",(X1487-V1487)/V1487)</f>
        <v/>
      </c>
      <c r="Z1487" s="7">
        <f>IF(COUNT(D1487:U1487)=0,"",INDEX($D$1:$U$1,MATCH(MIN(D1487:U1487),D1487:U1487,0)))</f>
        <v/>
      </c>
      <c r="AA1487" s="8" t="n">
        <v>91</v>
      </c>
      <c r="AB1487" s="10" t="n">
        <v>2</v>
      </c>
    </row>
    <row r="1488">
      <c r="A1488" s="7" t="inlineStr">
        <is>
          <t>MAT-32-133</t>
        </is>
      </c>
      <c r="B1488" s="4" t="inlineStr">
        <is>
          <t>Adaptador macho de PPR 32 mm</t>
        </is>
      </c>
      <c r="C1488" s="7" t="inlineStr">
        <is>
          <t>unidad</t>
        </is>
      </c>
      <c r="D1488" s="8" t="n"/>
      <c r="E1488" s="8" t="n">
        <v>78.15000000000001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>
        <f>IF(COUNT(D1488:U1488)=0,"",MIN(D1488:U1488))</f>
        <v/>
      </c>
      <c r="W1488" s="8">
        <f>IF(COUNT(D1488:U1488)=0,"",MEDIAN(D1488:U1488))</f>
        <v/>
      </c>
      <c r="X1488" s="8">
        <f>IF(COUNT(D1488:U1488)=0,"",MAX(D1488:U1488))</f>
        <v/>
      </c>
      <c r="Y1488" s="9">
        <f>IF(OR(V1488="",V1488=0),"",(X1488-V1488)/V1488)</f>
        <v/>
      </c>
      <c r="Z1488" s="7">
        <f>IF(COUNT(D1488:U1488)=0,"",INDEX($D$1:$U$1,MATCH(MIN(D1488:U1488),D1488:U1488,0)))</f>
        <v/>
      </c>
      <c r="AA1488" s="8" t="n">
        <v>83.45</v>
      </c>
      <c r="AB1488" s="10" t="n">
        <v>1</v>
      </c>
    </row>
    <row r="1489">
      <c r="A1489" s="7" t="inlineStr">
        <is>
          <t>MAT-32-134</t>
        </is>
      </c>
      <c r="B1489" s="4" t="inlineStr">
        <is>
          <t>Adaptador macho de PPR 50 mm</t>
        </is>
      </c>
      <c r="C1489" s="7" t="inlineStr">
        <is>
          <t>unidad</t>
        </is>
      </c>
      <c r="D1489" s="8" t="n"/>
      <c r="E1489" s="8" t="n">
        <v>310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>
        <f>IF(COUNT(D1489:U1489)=0,"",MIN(D1489:U1489))</f>
        <v/>
      </c>
      <c r="W1489" s="8">
        <f>IF(COUNT(D1489:U1489)=0,"",MEDIAN(D1489:U1489))</f>
        <v/>
      </c>
      <c r="X1489" s="8">
        <f>IF(COUNT(D1489:U1489)=0,"",MAX(D1489:U1489))</f>
        <v/>
      </c>
      <c r="Y1489" s="9">
        <f>IF(OR(V1489="",V1489=0),"",(X1489-V1489)/V1489)</f>
        <v/>
      </c>
      <c r="Z1489" s="7">
        <f>IF(COUNT(D1489:U1489)=0,"",INDEX($D$1:$U$1,MATCH(MIN(D1489:U1489),D1489:U1489,0)))</f>
        <v/>
      </c>
      <c r="AA1489" s="8" t="n">
        <v>310</v>
      </c>
      <c r="AB1489" s="10" t="n">
        <v>1</v>
      </c>
    </row>
    <row r="1490">
      <c r="A1490" s="7" t="inlineStr">
        <is>
          <t>MAT-32-135</t>
        </is>
      </c>
      <c r="B1490" s="4" t="inlineStr">
        <is>
          <t>Adaptador macho de PVC 1 1/2"</t>
        </is>
      </c>
      <c r="C1490" s="7" t="inlineStr">
        <is>
          <t>unidad</t>
        </is>
      </c>
      <c r="D1490" s="8" t="n"/>
      <c r="E1490" s="8" t="n">
        <v>19.31</v>
      </c>
      <c r="F1490" s="8" t="n"/>
      <c r="G1490" s="8" t="n">
        <v>95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>
        <f>IF(COUNT(D1490:U1490)=0,"",MIN(D1490:U1490))</f>
        <v/>
      </c>
      <c r="W1490" s="8">
        <f>IF(COUNT(D1490:U1490)=0,"",MEDIAN(D1490:U1490))</f>
        <v/>
      </c>
      <c r="X1490" s="8">
        <f>IF(COUNT(D1490:U1490)=0,"",MAX(D1490:U1490))</f>
        <v/>
      </c>
      <c r="Y1490" s="9">
        <f>IF(OR(V1490="",V1490=0),"",(X1490-V1490)/V1490)</f>
        <v/>
      </c>
      <c r="Z1490" s="7">
        <f>IF(COUNT(D1490:U1490)=0,"",INDEX($D$1:$U$1,MATCH(MIN(D1490:U1490),D1490:U1490,0)))</f>
        <v/>
      </c>
      <c r="AA1490" s="8" t="n">
        <v>34.5</v>
      </c>
      <c r="AB1490" s="10" t="n">
        <v>2</v>
      </c>
    </row>
    <row r="1491">
      <c r="A1491" s="7" t="inlineStr">
        <is>
          <t>MAT-32-136</t>
        </is>
      </c>
      <c r="B1491" s="4" t="inlineStr">
        <is>
          <t>Adaptador macho de PVC 1/2"</t>
        </is>
      </c>
      <c r="C1491" s="7" t="inlineStr">
        <is>
          <t>unidad</t>
        </is>
      </c>
      <c r="D1491" s="8" t="n"/>
      <c r="E1491" s="8" t="n">
        <v>4.08</v>
      </c>
      <c r="F1491" s="8" t="n"/>
      <c r="G1491" s="8" t="n">
        <v>26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>
        <f>IF(COUNT(D1491:U1491)=0,"",MIN(D1491:U1491))</f>
        <v/>
      </c>
      <c r="W1491" s="8">
        <f>IF(COUNT(D1491:U1491)=0,"",MEDIAN(D1491:U1491))</f>
        <v/>
      </c>
      <c r="X1491" s="8">
        <f>IF(COUNT(D1491:U1491)=0,"",MAX(D1491:U1491))</f>
        <v/>
      </c>
      <c r="Y1491" s="9">
        <f>IF(OR(V1491="",V1491=0),"",(X1491-V1491)/V1491)</f>
        <v/>
      </c>
      <c r="Z1491" s="7">
        <f>IF(COUNT(D1491:U1491)=0,"",INDEX($D$1:$U$1,MATCH(MIN(D1491:U1491),D1491:U1491,0)))</f>
        <v/>
      </c>
      <c r="AA1491" s="8" t="n">
        <v>5.36</v>
      </c>
      <c r="AB1491" s="10" t="n">
        <v>2</v>
      </c>
    </row>
    <row r="1492">
      <c r="A1492" s="7" t="inlineStr">
        <is>
          <t>MAT-32-137</t>
        </is>
      </c>
      <c r="B1492" s="4" t="inlineStr">
        <is>
          <t>Adaptador macho de PVC 1"</t>
        </is>
      </c>
      <c r="C1492" s="7" t="inlineStr">
        <is>
          <t>unidad</t>
        </is>
      </c>
      <c r="D1492" s="8" t="n"/>
      <c r="E1492" s="8" t="n">
        <v>8.73</v>
      </c>
      <c r="F1492" s="8" t="n"/>
      <c r="G1492" s="8" t="n">
        <v>40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>
        <f>IF(COUNT(D1492:U1492)=0,"",MIN(D1492:U1492))</f>
        <v/>
      </c>
      <c r="W1492" s="8">
        <f>IF(COUNT(D1492:U1492)=0,"",MEDIAN(D1492:U1492))</f>
        <v/>
      </c>
      <c r="X1492" s="8">
        <f>IF(COUNT(D1492:U1492)=0,"",MAX(D1492:U1492))</f>
        <v/>
      </c>
      <c r="Y1492" s="9">
        <f>IF(OR(V1492="",V1492=0),"",(X1492-V1492)/V1492)</f>
        <v/>
      </c>
      <c r="Z1492" s="7">
        <f>IF(COUNT(D1492:U1492)=0,"",INDEX($D$1:$U$1,MATCH(MIN(D1492:U1492),D1492:U1492,0)))</f>
        <v/>
      </c>
      <c r="AA1492" s="8" t="n">
        <v>18.2</v>
      </c>
      <c r="AB1492" s="10" t="n">
        <v>2</v>
      </c>
    </row>
    <row r="1493">
      <c r="A1493" s="7" t="inlineStr">
        <is>
          <t>MAT-32-138</t>
        </is>
      </c>
      <c r="B1493" s="4" t="inlineStr">
        <is>
          <t>Adaptador macho de PVC 2"</t>
        </is>
      </c>
      <c r="C1493" s="7" t="inlineStr">
        <is>
          <t>unidad</t>
        </is>
      </c>
      <c r="D1493" s="8" t="n"/>
      <c r="E1493" s="8" t="n">
        <v>28.05</v>
      </c>
      <c r="F1493" s="8" t="n"/>
      <c r="G1493" s="8" t="n">
        <v>105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>
        <f>IF(COUNT(D1493:U1493)=0,"",MIN(D1493:U1493))</f>
        <v/>
      </c>
      <c r="W1493" s="8">
        <f>IF(COUNT(D1493:U1493)=0,"",MEDIAN(D1493:U1493))</f>
        <v/>
      </c>
      <c r="X1493" s="8">
        <f>IF(COUNT(D1493:U1493)=0,"",MAX(D1493:U1493))</f>
        <v/>
      </c>
      <c r="Y1493" s="9">
        <f>IF(OR(V1493="",V1493=0),"",(X1493-V1493)/V1493)</f>
        <v/>
      </c>
      <c r="Z1493" s="7">
        <f>IF(COUNT(D1493:U1493)=0,"",INDEX($D$1:$U$1,MATCH(MIN(D1493:U1493),D1493:U1493,0)))</f>
        <v/>
      </c>
      <c r="AA1493" s="8" t="n">
        <v>60.76</v>
      </c>
      <c r="AB1493" s="10" t="n">
        <v>2</v>
      </c>
    </row>
    <row r="1494">
      <c r="A1494" s="7" t="inlineStr">
        <is>
          <t>MAT-32-139</t>
        </is>
      </c>
      <c r="B1494" s="4" t="inlineStr">
        <is>
          <t>Adaptador macho de PVC 3/4"</t>
        </is>
      </c>
      <c r="C1494" s="7" t="inlineStr">
        <is>
          <t>unidad</t>
        </is>
      </c>
      <c r="D1494" s="8" t="n"/>
      <c r="E1494" s="8" t="n">
        <v>5.62</v>
      </c>
      <c r="F1494" s="8" t="n"/>
      <c r="G1494" s="8" t="n">
        <v>26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>
        <f>IF(COUNT(D1494:U1494)=0,"",MIN(D1494:U1494))</f>
        <v/>
      </c>
      <c r="W1494" s="8">
        <f>IF(COUNT(D1494:U1494)=0,"",MEDIAN(D1494:U1494))</f>
        <v/>
      </c>
      <c r="X1494" s="8">
        <f>IF(COUNT(D1494:U1494)=0,"",MAX(D1494:U1494))</f>
        <v/>
      </c>
      <c r="Y1494" s="9">
        <f>IF(OR(V1494="",V1494=0),"",(X1494-V1494)/V1494)</f>
        <v/>
      </c>
      <c r="Z1494" s="7">
        <f>IF(COUNT(D1494:U1494)=0,"",INDEX($D$1:$U$1,MATCH(MIN(D1494:U1494),D1494:U1494,0)))</f>
        <v/>
      </c>
      <c r="AA1494" s="8" t="n">
        <v>10.75</v>
      </c>
      <c r="AB1494" s="10" t="n">
        <v>2</v>
      </c>
    </row>
    <row r="1495">
      <c r="A1495" s="7" t="inlineStr">
        <is>
          <t>MAT-32-140</t>
        </is>
      </c>
      <c r="B1495" s="4" t="inlineStr">
        <is>
          <t>Adaptador macho de PVC 3"</t>
        </is>
      </c>
      <c r="C1495" s="7" t="inlineStr">
        <is>
          <t>unidad</t>
        </is>
      </c>
      <c r="D1495" s="8" t="n"/>
      <c r="E1495" s="8" t="n">
        <v>85</v>
      </c>
      <c r="F1495" s="8" t="n"/>
      <c r="G1495" s="8" t="n">
        <v>271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>
        <f>IF(COUNT(D1495:U1495)=0,"",MIN(D1495:U1495))</f>
        <v/>
      </c>
      <c r="W1495" s="8">
        <f>IF(COUNT(D1495:U1495)=0,"",MEDIAN(D1495:U1495))</f>
        <v/>
      </c>
      <c r="X1495" s="8">
        <f>IF(COUNT(D1495:U1495)=0,"",MAX(D1495:U1495))</f>
        <v/>
      </c>
      <c r="Y1495" s="9">
        <f>IF(OR(V1495="",V1495=0),"",(X1495-V1495)/V1495)</f>
        <v/>
      </c>
      <c r="Z1495" s="7">
        <f>IF(COUNT(D1495:U1495)=0,"",INDEX($D$1:$U$1,MATCH(MIN(D1495:U1495),D1495:U1495,0)))</f>
        <v/>
      </c>
      <c r="AA1495" s="8" t="n">
        <v>157</v>
      </c>
      <c r="AB1495" s="10" t="n">
        <v>2</v>
      </c>
    </row>
    <row r="1496">
      <c r="A1496" s="7" t="inlineStr">
        <is>
          <t>MAT-32-141</t>
        </is>
      </c>
      <c r="B1496" s="4" t="inlineStr">
        <is>
          <t>Adaptador macho de PVC 4"</t>
        </is>
      </c>
      <c r="C1496" s="7" t="inlineStr">
        <is>
          <t>unidad</t>
        </is>
      </c>
      <c r="D1496" s="8" t="n"/>
      <c r="E1496" s="8" t="n">
        <v>120</v>
      </c>
      <c r="F1496" s="8" t="n"/>
      <c r="G1496" s="8" t="n">
        <v>291</v>
      </c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>
        <f>IF(COUNT(D1496:U1496)=0,"",MIN(D1496:U1496))</f>
        <v/>
      </c>
      <c r="W1496" s="8">
        <f>IF(COUNT(D1496:U1496)=0,"",MEDIAN(D1496:U1496))</f>
        <v/>
      </c>
      <c r="X1496" s="8">
        <f>IF(COUNT(D1496:U1496)=0,"",MAX(D1496:U1496))</f>
        <v/>
      </c>
      <c r="Y1496" s="9">
        <f>IF(OR(V1496="",V1496=0),"",(X1496-V1496)/V1496)</f>
        <v/>
      </c>
      <c r="Z1496" s="7">
        <f>IF(COUNT(D1496:U1496)=0,"",INDEX($D$1:$U$1,MATCH(MIN(D1496:U1496),D1496:U1496,0)))</f>
        <v/>
      </c>
      <c r="AA1496" s="8" t="n">
        <v>234.99</v>
      </c>
      <c r="AB1496" s="10" t="n">
        <v>2</v>
      </c>
    </row>
    <row r="1497">
      <c r="A1497" s="7" t="inlineStr">
        <is>
          <t>MAT-32-142</t>
        </is>
      </c>
      <c r="B1497" s="4" t="inlineStr">
        <is>
          <t>Adaptador macho de PVC 6"</t>
        </is>
      </c>
      <c r="C1497" s="7" t="inlineStr">
        <is>
          <t>unidad</t>
        </is>
      </c>
      <c r="D1497" s="8" t="n"/>
      <c r="E1497" s="8" t="n">
        <v>567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>
        <f>IF(COUNT(D1497:U1497)=0,"",MIN(D1497:U1497))</f>
        <v/>
      </c>
      <c r="W1497" s="8">
        <f>IF(COUNT(D1497:U1497)=0,"",MEDIAN(D1497:U1497))</f>
        <v/>
      </c>
      <c r="X1497" s="8">
        <f>IF(COUNT(D1497:U1497)=0,"",MAX(D1497:U1497))</f>
        <v/>
      </c>
      <c r="Y1497" s="9">
        <f>IF(OR(V1497="",V1497=0),"",(X1497-V1497)/V1497)</f>
        <v/>
      </c>
      <c r="Z1497" s="7">
        <f>IF(COUNT(D1497:U1497)=0,"",INDEX($D$1:$U$1,MATCH(MIN(D1497:U1497),D1497:U1497,0)))</f>
        <v/>
      </c>
      <c r="AA1497" s="8" t="n">
        <v>567</v>
      </c>
      <c r="AB1497" s="10" t="n">
        <v>1</v>
      </c>
    </row>
    <row r="1498">
      <c r="A1498" s="7" t="inlineStr">
        <is>
          <t>MAT-32-143</t>
        </is>
      </c>
      <c r="B1498" s="4" t="inlineStr">
        <is>
          <t>Adaptador de bronce 7/8" x 1/2"</t>
        </is>
      </c>
      <c r="C1498" s="7" t="inlineStr">
        <is>
          <t>unidad</t>
        </is>
      </c>
      <c r="D1498" s="8" t="n"/>
      <c r="E1498" s="8" t="n">
        <v>176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>
        <f>IF(COUNT(D1498:U1498)=0,"",MIN(D1498:U1498))</f>
        <v/>
      </c>
      <c r="W1498" s="8">
        <f>IF(COUNT(D1498:U1498)=0,"",MEDIAN(D1498:U1498))</f>
        <v/>
      </c>
      <c r="X1498" s="8">
        <f>IF(COUNT(D1498:U1498)=0,"",MAX(D1498:U1498))</f>
        <v/>
      </c>
      <c r="Y1498" s="9">
        <f>IF(OR(V1498="",V1498=0),"",(X1498-V1498)/V1498)</f>
        <v/>
      </c>
      <c r="Z1498" s="7">
        <f>IF(COUNT(D1498:U1498)=0,"",INDEX($D$1:$U$1,MATCH(MIN(D1498:U1498),D1498:U1498,0)))</f>
        <v/>
      </c>
      <c r="AA1498" s="8" t="n">
        <v>176</v>
      </c>
      <c r="AB1498" s="10" t="n">
        <v>1</v>
      </c>
    </row>
    <row r="1499">
      <c r="A1499" s="7" t="inlineStr">
        <is>
          <t>MAT-32-144</t>
        </is>
      </c>
      <c r="B1499" s="4" t="inlineStr">
        <is>
          <t>Anilla de cobre 0.19"</t>
        </is>
      </c>
      <c r="C1499" s="7" t="inlineStr">
        <is>
          <t>unidad</t>
        </is>
      </c>
      <c r="D1499" s="8" t="n"/>
      <c r="E1499" s="8" t="n"/>
      <c r="F1499" s="8" t="n"/>
      <c r="G1499" s="8" t="n">
        <v>31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>
        <f>IF(COUNT(D1499:U1499)=0,"",MIN(D1499:U1499))</f>
        <v/>
      </c>
      <c r="W1499" s="8">
        <f>IF(COUNT(D1499:U1499)=0,"",MEDIAN(D1499:U1499))</f>
        <v/>
      </c>
      <c r="X1499" s="8">
        <f>IF(COUNT(D1499:U1499)=0,"",MAX(D1499:U1499))</f>
        <v/>
      </c>
      <c r="Y1499" s="9">
        <f>IF(OR(V1499="",V1499=0),"",(X1499-V1499)/V1499)</f>
        <v/>
      </c>
      <c r="Z1499" s="7">
        <f>IF(COUNT(D1499:U1499)=0,"",INDEX($D$1:$U$1,MATCH(MIN(D1499:U1499),D1499:U1499,0)))</f>
        <v/>
      </c>
      <c r="AA1499" s="8" t="n">
        <v>31</v>
      </c>
      <c r="AB1499" s="10" t="n">
        <v>1</v>
      </c>
    </row>
    <row r="1500">
      <c r="A1500" s="7" t="inlineStr">
        <is>
          <t>MAT-32-145</t>
        </is>
      </c>
      <c r="B1500" s="4" t="inlineStr">
        <is>
          <t>Anilla de cobre 0.31"</t>
        </is>
      </c>
      <c r="C1500" s="7" t="inlineStr">
        <is>
          <t>unidad</t>
        </is>
      </c>
      <c r="D1500" s="8" t="n"/>
      <c r="E1500" s="8" t="n"/>
      <c r="F1500" s="8" t="n"/>
      <c r="G1500" s="8" t="n">
        <v>19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>
        <f>IF(COUNT(D1500:U1500)=0,"",MIN(D1500:U1500))</f>
        <v/>
      </c>
      <c r="W1500" s="8">
        <f>IF(COUNT(D1500:U1500)=0,"",MEDIAN(D1500:U1500))</f>
        <v/>
      </c>
      <c r="X1500" s="8">
        <f>IF(COUNT(D1500:U1500)=0,"",MAX(D1500:U1500))</f>
        <v/>
      </c>
      <c r="Y1500" s="9">
        <f>IF(OR(V1500="",V1500=0),"",(X1500-V1500)/V1500)</f>
        <v/>
      </c>
      <c r="Z1500" s="7">
        <f>IF(COUNT(D1500:U1500)=0,"",INDEX($D$1:$U$1,MATCH(MIN(D1500:U1500),D1500:U1500,0)))</f>
        <v/>
      </c>
      <c r="AA1500" s="8" t="n">
        <v>19</v>
      </c>
      <c r="AB1500" s="10" t="n">
        <v>1</v>
      </c>
    </row>
    <row r="1501">
      <c r="A1501" s="7" t="inlineStr">
        <is>
          <t>MAT-32-146</t>
        </is>
      </c>
      <c r="B1501" s="4" t="inlineStr">
        <is>
          <t>Anilla de cobre 1/2"</t>
        </is>
      </c>
      <c r="C1501" s="7" t="inlineStr">
        <is>
          <t>unidad</t>
        </is>
      </c>
      <c r="D1501" s="8" t="n"/>
      <c r="E1501" s="8" t="n"/>
      <c r="F1501" s="8" t="n"/>
      <c r="G1501" s="8" t="n">
        <v>32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>
        <f>IF(COUNT(D1501:U1501)=0,"",MIN(D1501:U1501))</f>
        <v/>
      </c>
      <c r="W1501" s="8">
        <f>IF(COUNT(D1501:U1501)=0,"",MEDIAN(D1501:U1501))</f>
        <v/>
      </c>
      <c r="X1501" s="8">
        <f>IF(COUNT(D1501:U1501)=0,"",MAX(D1501:U1501))</f>
        <v/>
      </c>
      <c r="Y1501" s="9">
        <f>IF(OR(V1501="",V1501=0),"",(X1501-V1501)/V1501)</f>
        <v/>
      </c>
      <c r="Z1501" s="7">
        <f>IF(COUNT(D1501:U1501)=0,"",INDEX($D$1:$U$1,MATCH(MIN(D1501:U1501),D1501:U1501,0)))</f>
        <v/>
      </c>
      <c r="AA1501" s="8" t="n">
        <v>32</v>
      </c>
      <c r="AB1501" s="10" t="n">
        <v>1</v>
      </c>
    </row>
    <row r="1502">
      <c r="A1502" s="7" t="inlineStr">
        <is>
          <t>MAT-32-147</t>
        </is>
      </c>
      <c r="B1502" s="4" t="inlineStr">
        <is>
          <t>Anilla de cobre 1/4"</t>
        </is>
      </c>
      <c r="C1502" s="7" t="inlineStr">
        <is>
          <t>unidad</t>
        </is>
      </c>
      <c r="D1502" s="8" t="n"/>
      <c r="E1502" s="8" t="n"/>
      <c r="F1502" s="8" t="n"/>
      <c r="G1502" s="8" t="n">
        <v>31</v>
      </c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>
        <f>IF(COUNT(D1502:U1502)=0,"",MIN(D1502:U1502))</f>
        <v/>
      </c>
      <c r="W1502" s="8">
        <f>IF(COUNT(D1502:U1502)=0,"",MEDIAN(D1502:U1502))</f>
        <v/>
      </c>
      <c r="X1502" s="8">
        <f>IF(COUNT(D1502:U1502)=0,"",MAX(D1502:U1502))</f>
        <v/>
      </c>
      <c r="Y1502" s="9">
        <f>IF(OR(V1502="",V1502=0),"",(X1502-V1502)/V1502)</f>
        <v/>
      </c>
      <c r="Z1502" s="7">
        <f>IF(COUNT(D1502:U1502)=0,"",INDEX($D$1:$U$1,MATCH(MIN(D1502:U1502),D1502:U1502,0)))</f>
        <v/>
      </c>
      <c r="AA1502" s="8" t="n">
        <v>31</v>
      </c>
      <c r="AB1502" s="10" t="n">
        <v>1</v>
      </c>
    </row>
    <row r="1503">
      <c r="A1503" s="7" t="inlineStr">
        <is>
          <t>MAT-32-148</t>
        </is>
      </c>
      <c r="B1503" s="4" t="inlineStr">
        <is>
          <t>Anilla de cobre 3/8"</t>
        </is>
      </c>
      <c r="C1503" s="7" t="inlineStr">
        <is>
          <t>unidad</t>
        </is>
      </c>
      <c r="D1503" s="8" t="n"/>
      <c r="E1503" s="8" t="n"/>
      <c r="F1503" s="8" t="n"/>
      <c r="G1503" s="8" t="n">
        <v>31</v>
      </c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>
        <f>IF(COUNT(D1503:U1503)=0,"",MIN(D1503:U1503))</f>
        <v/>
      </c>
      <c r="W1503" s="8">
        <f>IF(COUNT(D1503:U1503)=0,"",MEDIAN(D1503:U1503))</f>
        <v/>
      </c>
      <c r="X1503" s="8">
        <f>IF(COUNT(D1503:U1503)=0,"",MAX(D1503:U1503))</f>
        <v/>
      </c>
      <c r="Y1503" s="9">
        <f>IF(OR(V1503="",V1503=0),"",(X1503-V1503)/V1503)</f>
        <v/>
      </c>
      <c r="Z1503" s="7">
        <f>IF(COUNT(D1503:U1503)=0,"",INDEX($D$1:$U$1,MATCH(MIN(D1503:U1503),D1503:U1503,0)))</f>
        <v/>
      </c>
      <c r="AA1503" s="8" t="n">
        <v>31</v>
      </c>
      <c r="AB1503" s="10" t="n">
        <v>1</v>
      </c>
    </row>
    <row r="1504">
      <c r="A1504" s="7" t="inlineStr">
        <is>
          <t>MAT-32-149</t>
        </is>
      </c>
      <c r="B1504" s="4" t="inlineStr">
        <is>
          <t>Codo de 45° de CPVC 1/2"</t>
        </is>
      </c>
      <c r="C1504" s="7" t="inlineStr">
        <is>
          <t>unidad</t>
        </is>
      </c>
      <c r="D1504" s="8" t="n"/>
      <c r="E1504" s="8" t="n">
        <v>10.5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>
        <f>IF(COUNT(D1504:U1504)=0,"",MIN(D1504:U1504))</f>
        <v/>
      </c>
      <c r="W1504" s="8">
        <f>IF(COUNT(D1504:U1504)=0,"",MEDIAN(D1504:U1504))</f>
        <v/>
      </c>
      <c r="X1504" s="8">
        <f>IF(COUNT(D1504:U1504)=0,"",MAX(D1504:U1504))</f>
        <v/>
      </c>
      <c r="Y1504" s="9">
        <f>IF(OR(V1504="",V1504=0),"",(X1504-V1504)/V1504)</f>
        <v/>
      </c>
      <c r="Z1504" s="7">
        <f>IF(COUNT(D1504:U1504)=0,"",INDEX($D$1:$U$1,MATCH(MIN(D1504:U1504),D1504:U1504,0)))</f>
        <v/>
      </c>
      <c r="AA1504" s="8" t="n">
        <v>10.5</v>
      </c>
      <c r="AB1504" s="10" t="n">
        <v>1</v>
      </c>
    </row>
    <row r="1505">
      <c r="A1505" s="7" t="inlineStr">
        <is>
          <t>MAT-32-150</t>
        </is>
      </c>
      <c r="B1505" s="4" t="inlineStr">
        <is>
          <t>Codo de 45° de CPVC 1"</t>
        </is>
      </c>
      <c r="C1505" s="7" t="inlineStr">
        <is>
          <t>unidad</t>
        </is>
      </c>
      <c r="D1505" s="8" t="n"/>
      <c r="E1505" s="8" t="n">
        <v>33.39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>
        <f>IF(COUNT(D1505:U1505)=0,"",MIN(D1505:U1505))</f>
        <v/>
      </c>
      <c r="W1505" s="8">
        <f>IF(COUNT(D1505:U1505)=0,"",MEDIAN(D1505:U1505))</f>
        <v/>
      </c>
      <c r="X1505" s="8">
        <f>IF(COUNT(D1505:U1505)=0,"",MAX(D1505:U1505))</f>
        <v/>
      </c>
      <c r="Y1505" s="9">
        <f>IF(OR(V1505="",V1505=0),"",(X1505-V1505)/V1505)</f>
        <v/>
      </c>
      <c r="Z1505" s="7">
        <f>IF(COUNT(D1505:U1505)=0,"",INDEX($D$1:$U$1,MATCH(MIN(D1505:U1505),D1505:U1505,0)))</f>
        <v/>
      </c>
      <c r="AA1505" s="8" t="n">
        <v>33.39</v>
      </c>
      <c r="AB1505" s="10" t="n">
        <v>1</v>
      </c>
    </row>
    <row r="1506">
      <c r="A1506" s="7" t="inlineStr">
        <is>
          <t>MAT-32-151</t>
        </is>
      </c>
      <c r="B1506" s="4" t="inlineStr">
        <is>
          <t>Codo de 45° de CPVC 3/4"</t>
        </is>
      </c>
      <c r="C1506" s="7" t="inlineStr">
        <is>
          <t>unidad</t>
        </is>
      </c>
      <c r="D1506" s="8" t="n"/>
      <c r="E1506" s="8" t="n">
        <v>25.61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>
        <f>IF(COUNT(D1506:U1506)=0,"",MIN(D1506:U1506))</f>
        <v/>
      </c>
      <c r="W1506" s="8">
        <f>IF(COUNT(D1506:U1506)=0,"",MEDIAN(D1506:U1506))</f>
        <v/>
      </c>
      <c r="X1506" s="8">
        <f>IF(COUNT(D1506:U1506)=0,"",MAX(D1506:U1506))</f>
        <v/>
      </c>
      <c r="Y1506" s="9">
        <f>IF(OR(V1506="",V1506=0),"",(X1506-V1506)/V1506)</f>
        <v/>
      </c>
      <c r="Z1506" s="7">
        <f>IF(COUNT(D1506:U1506)=0,"",INDEX($D$1:$U$1,MATCH(MIN(D1506:U1506),D1506:U1506,0)))</f>
        <v/>
      </c>
      <c r="AA1506" s="8" t="n">
        <v>25.61</v>
      </c>
      <c r="AB1506" s="10" t="n">
        <v>1</v>
      </c>
    </row>
    <row r="1507">
      <c r="A1507" s="7" t="inlineStr">
        <is>
          <t>MAT-32-152</t>
        </is>
      </c>
      <c r="B1507" s="4" t="inlineStr">
        <is>
          <t>Codo de 45° de HG 1 1/2"</t>
        </is>
      </c>
      <c r="C1507" s="7" t="inlineStr">
        <is>
          <t>unidad</t>
        </is>
      </c>
      <c r="D1507" s="8" t="n"/>
      <c r="E1507" s="8" t="n">
        <v>120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>
        <f>IF(COUNT(D1507:U1507)=0,"",MIN(D1507:U1507))</f>
        <v/>
      </c>
      <c r="W1507" s="8">
        <f>IF(COUNT(D1507:U1507)=0,"",MEDIAN(D1507:U1507))</f>
        <v/>
      </c>
      <c r="X1507" s="8">
        <f>IF(COUNT(D1507:U1507)=0,"",MAX(D1507:U1507))</f>
        <v/>
      </c>
      <c r="Y1507" s="9">
        <f>IF(OR(V1507="",V1507=0),"",(X1507-V1507)/V1507)</f>
        <v/>
      </c>
      <c r="Z1507" s="7">
        <f>IF(COUNT(D1507:U1507)=0,"",INDEX($D$1:$U$1,MATCH(MIN(D1507:U1507),D1507:U1507,0)))</f>
        <v/>
      </c>
      <c r="AA1507" s="8" t="n">
        <v>120</v>
      </c>
      <c r="AB1507" s="10" t="n">
        <v>1</v>
      </c>
    </row>
    <row r="1508">
      <c r="A1508" s="7" t="inlineStr">
        <is>
          <t>MAT-32-153</t>
        </is>
      </c>
      <c r="B1508" s="4" t="inlineStr">
        <is>
          <t>Codo de 45° de HG 1/2"</t>
        </is>
      </c>
      <c r="C1508" s="7" t="inlineStr">
        <is>
          <t>unidad</t>
        </is>
      </c>
      <c r="D1508" s="8" t="n"/>
      <c r="E1508" s="8" t="n">
        <v>25.82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>
        <f>IF(COUNT(D1508:U1508)=0,"",MIN(D1508:U1508))</f>
        <v/>
      </c>
      <c r="W1508" s="8">
        <f>IF(COUNT(D1508:U1508)=0,"",MEDIAN(D1508:U1508))</f>
        <v/>
      </c>
      <c r="X1508" s="8">
        <f>IF(COUNT(D1508:U1508)=0,"",MAX(D1508:U1508))</f>
        <v/>
      </c>
      <c r="Y1508" s="9">
        <f>IF(OR(V1508="",V1508=0),"",(X1508-V1508)/V1508)</f>
        <v/>
      </c>
      <c r="Z1508" s="7">
        <f>IF(COUNT(D1508:U1508)=0,"",INDEX($D$1:$U$1,MATCH(MIN(D1508:U1508),D1508:U1508,0)))</f>
        <v/>
      </c>
      <c r="AA1508" s="8" t="n">
        <v>25.82</v>
      </c>
      <c r="AB1508" s="10" t="n">
        <v>1</v>
      </c>
    </row>
    <row r="1509">
      <c r="A1509" s="7" t="inlineStr">
        <is>
          <t>MAT-32-154</t>
        </is>
      </c>
      <c r="B1509" s="4" t="inlineStr">
        <is>
          <t>Codo de 45° de HG 1/4"</t>
        </is>
      </c>
      <c r="C1509" s="7" t="inlineStr">
        <is>
          <t>unidad</t>
        </is>
      </c>
      <c r="D1509" s="8" t="n"/>
      <c r="E1509" s="8" t="n">
        <v>35.9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>
        <f>IF(COUNT(D1509:U1509)=0,"",MIN(D1509:U1509))</f>
        <v/>
      </c>
      <c r="W1509" s="8">
        <f>IF(COUNT(D1509:U1509)=0,"",MEDIAN(D1509:U1509))</f>
        <v/>
      </c>
      <c r="X1509" s="8">
        <f>IF(COUNT(D1509:U1509)=0,"",MAX(D1509:U1509))</f>
        <v/>
      </c>
      <c r="Y1509" s="9">
        <f>IF(OR(V1509="",V1509=0),"",(X1509-V1509)/V1509)</f>
        <v/>
      </c>
      <c r="Z1509" s="7">
        <f>IF(COUNT(D1509:U1509)=0,"",INDEX($D$1:$U$1,MATCH(MIN(D1509:U1509),D1509:U1509,0)))</f>
        <v/>
      </c>
      <c r="AA1509" s="8" t="n">
        <v>35.9</v>
      </c>
      <c r="AB1509" s="10" t="n">
        <v>1</v>
      </c>
    </row>
    <row r="1510">
      <c r="A1510" s="7" t="inlineStr">
        <is>
          <t>MAT-32-155</t>
        </is>
      </c>
      <c r="B1510" s="4" t="inlineStr">
        <is>
          <t>Codo de 45° de HG 1"</t>
        </is>
      </c>
      <c r="C1510" s="7" t="inlineStr">
        <is>
          <t>unidad</t>
        </is>
      </c>
      <c r="D1510" s="8" t="n"/>
      <c r="E1510" s="8" t="n">
        <v>57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>
        <f>IF(COUNT(D1510:U1510)=0,"",MIN(D1510:U1510))</f>
        <v/>
      </c>
      <c r="W1510" s="8">
        <f>IF(COUNT(D1510:U1510)=0,"",MEDIAN(D1510:U1510))</f>
        <v/>
      </c>
      <c r="X1510" s="8">
        <f>IF(COUNT(D1510:U1510)=0,"",MAX(D1510:U1510))</f>
        <v/>
      </c>
      <c r="Y1510" s="9">
        <f>IF(OR(V1510="",V1510=0),"",(X1510-V1510)/V1510)</f>
        <v/>
      </c>
      <c r="Z1510" s="7">
        <f>IF(COUNT(D1510:U1510)=0,"",INDEX($D$1:$U$1,MATCH(MIN(D1510:U1510),D1510:U1510,0)))</f>
        <v/>
      </c>
      <c r="AA1510" s="8" t="n">
        <v>57</v>
      </c>
      <c r="AB1510" s="10" t="n">
        <v>1</v>
      </c>
    </row>
    <row r="1511">
      <c r="A1511" s="7" t="inlineStr">
        <is>
          <t>MAT-32-156</t>
        </is>
      </c>
      <c r="B1511" s="4" t="inlineStr">
        <is>
          <t>Codo de 45° de HG 2"</t>
        </is>
      </c>
      <c r="C1511" s="7" t="inlineStr">
        <is>
          <t>unidad</t>
        </is>
      </c>
      <c r="D1511" s="8" t="n"/>
      <c r="E1511" s="8" t="n">
        <v>181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>
        <f>IF(COUNT(D1511:U1511)=0,"",MIN(D1511:U1511))</f>
        <v/>
      </c>
      <c r="W1511" s="8">
        <f>IF(COUNT(D1511:U1511)=0,"",MEDIAN(D1511:U1511))</f>
        <v/>
      </c>
      <c r="X1511" s="8">
        <f>IF(COUNT(D1511:U1511)=0,"",MAX(D1511:U1511))</f>
        <v/>
      </c>
      <c r="Y1511" s="9">
        <f>IF(OR(V1511="",V1511=0),"",(X1511-V1511)/V1511)</f>
        <v/>
      </c>
      <c r="Z1511" s="7">
        <f>IF(COUNT(D1511:U1511)=0,"",INDEX($D$1:$U$1,MATCH(MIN(D1511:U1511),D1511:U1511,0)))</f>
        <v/>
      </c>
      <c r="AA1511" s="8" t="n">
        <v>181</v>
      </c>
      <c r="AB1511" s="10" t="n">
        <v>1</v>
      </c>
    </row>
    <row r="1512">
      <c r="A1512" s="7" t="inlineStr">
        <is>
          <t>MAT-32-157</t>
        </is>
      </c>
      <c r="B1512" s="4" t="inlineStr">
        <is>
          <t>Codo de 45° de HG 3/8"</t>
        </is>
      </c>
      <c r="C1512" s="7" t="inlineStr">
        <is>
          <t>unidad</t>
        </is>
      </c>
      <c r="D1512" s="8" t="n"/>
      <c r="E1512" s="8" t="n">
        <v>4.27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>
        <f>IF(COUNT(D1512:U1512)=0,"",MIN(D1512:U1512))</f>
        <v/>
      </c>
      <c r="W1512" s="8">
        <f>IF(COUNT(D1512:U1512)=0,"",MEDIAN(D1512:U1512))</f>
        <v/>
      </c>
      <c r="X1512" s="8">
        <f>IF(COUNT(D1512:U1512)=0,"",MAX(D1512:U1512))</f>
        <v/>
      </c>
      <c r="Y1512" s="9">
        <f>IF(OR(V1512="",V1512=0),"",(X1512-V1512)/V1512)</f>
        <v/>
      </c>
      <c r="Z1512" s="7">
        <f>IF(COUNT(D1512:U1512)=0,"",INDEX($D$1:$U$1,MATCH(MIN(D1512:U1512),D1512:U1512,0)))</f>
        <v/>
      </c>
      <c r="AA1512" s="8" t="n">
        <v>4.27</v>
      </c>
      <c r="AB1512" s="10" t="n">
        <v>1</v>
      </c>
    </row>
    <row r="1513">
      <c r="A1513" s="7" t="inlineStr">
        <is>
          <t>MAT-32-158</t>
        </is>
      </c>
      <c r="B1513" s="4" t="inlineStr">
        <is>
          <t>Codo de 45° de PPR 20 mm</t>
        </is>
      </c>
      <c r="C1513" s="7" t="inlineStr">
        <is>
          <t>unidad</t>
        </is>
      </c>
      <c r="D1513" s="8" t="n"/>
      <c r="E1513" s="8" t="n">
        <v>5.85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>
        <f>IF(COUNT(D1513:U1513)=0,"",MIN(D1513:U1513))</f>
        <v/>
      </c>
      <c r="W1513" s="8">
        <f>IF(COUNT(D1513:U1513)=0,"",MEDIAN(D1513:U1513))</f>
        <v/>
      </c>
      <c r="X1513" s="8">
        <f>IF(COUNT(D1513:U1513)=0,"",MAX(D1513:U1513))</f>
        <v/>
      </c>
      <c r="Y1513" s="9">
        <f>IF(OR(V1513="",V1513=0),"",(X1513-V1513)/V1513)</f>
        <v/>
      </c>
      <c r="Z1513" s="7">
        <f>IF(COUNT(D1513:U1513)=0,"",INDEX($D$1:$U$1,MATCH(MIN(D1513:U1513),D1513:U1513,0)))</f>
        <v/>
      </c>
      <c r="AA1513" s="8" t="n">
        <v>5.85</v>
      </c>
      <c r="AB1513" s="10" t="n">
        <v>1</v>
      </c>
    </row>
    <row r="1514">
      <c r="A1514" s="7" t="inlineStr">
        <is>
          <t>MAT-32-159</t>
        </is>
      </c>
      <c r="B1514" s="4" t="inlineStr">
        <is>
          <t>Codo de 45° de PPR 25 mm</t>
        </is>
      </c>
      <c r="C1514" s="7" t="inlineStr">
        <is>
          <t>unidad</t>
        </is>
      </c>
      <c r="D1514" s="8" t="n"/>
      <c r="E1514" s="8" t="n">
        <v>8.08</v>
      </c>
      <c r="F1514" s="8" t="n"/>
      <c r="G1514" s="8" t="n">
        <v>37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>
        <f>IF(COUNT(D1514:U1514)=0,"",MIN(D1514:U1514))</f>
        <v/>
      </c>
      <c r="W1514" s="8">
        <f>IF(COUNT(D1514:U1514)=0,"",MEDIAN(D1514:U1514))</f>
        <v/>
      </c>
      <c r="X1514" s="8">
        <f>IF(COUNT(D1514:U1514)=0,"",MAX(D1514:U1514))</f>
        <v/>
      </c>
      <c r="Y1514" s="9">
        <f>IF(OR(V1514="",V1514=0),"",(X1514-V1514)/V1514)</f>
        <v/>
      </c>
      <c r="Z1514" s="7">
        <f>IF(COUNT(D1514:U1514)=0,"",INDEX($D$1:$U$1,MATCH(MIN(D1514:U1514),D1514:U1514,0)))</f>
        <v/>
      </c>
      <c r="AA1514" s="8" t="n">
        <v>22.54</v>
      </c>
      <c r="AB1514" s="10" t="n">
        <v>2</v>
      </c>
    </row>
    <row r="1515">
      <c r="A1515" s="7" t="inlineStr">
        <is>
          <t>MAT-32-160</t>
        </is>
      </c>
      <c r="B1515" s="4" t="inlineStr">
        <is>
          <t>Codo de 45° de PPR 32 mm</t>
        </is>
      </c>
      <c r="C1515" s="7" t="inlineStr">
        <is>
          <t>unidad</t>
        </is>
      </c>
      <c r="D1515" s="8" t="n"/>
      <c r="E1515" s="8" t="n">
        <v>14.42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>
        <f>IF(COUNT(D1515:U1515)=0,"",MIN(D1515:U1515))</f>
        <v/>
      </c>
      <c r="W1515" s="8">
        <f>IF(COUNT(D1515:U1515)=0,"",MEDIAN(D1515:U1515))</f>
        <v/>
      </c>
      <c r="X1515" s="8">
        <f>IF(COUNT(D1515:U1515)=0,"",MAX(D1515:U1515))</f>
        <v/>
      </c>
      <c r="Y1515" s="9">
        <f>IF(OR(V1515="",V1515=0),"",(X1515-V1515)/V1515)</f>
        <v/>
      </c>
      <c r="Z1515" s="7">
        <f>IF(COUNT(D1515:U1515)=0,"",INDEX($D$1:$U$1,MATCH(MIN(D1515:U1515),D1515:U1515,0)))</f>
        <v/>
      </c>
      <c r="AA1515" s="8" t="n">
        <v>14.42</v>
      </c>
      <c r="AB1515" s="10" t="n">
        <v>1</v>
      </c>
    </row>
    <row r="1516">
      <c r="A1516" s="7" t="inlineStr">
        <is>
          <t>MAT-32-161</t>
        </is>
      </c>
      <c r="B1516" s="4" t="inlineStr">
        <is>
          <t>Codo de 45° de PPR 50 mm</t>
        </is>
      </c>
      <c r="C1516" s="7" t="inlineStr">
        <is>
          <t>unidad</t>
        </is>
      </c>
      <c r="D1516" s="8" t="n"/>
      <c r="E1516" s="8" t="n">
        <v>46.63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>
        <f>IF(COUNT(D1516:U1516)=0,"",MIN(D1516:U1516))</f>
        <v/>
      </c>
      <c r="W1516" s="8">
        <f>IF(COUNT(D1516:U1516)=0,"",MEDIAN(D1516:U1516))</f>
        <v/>
      </c>
      <c r="X1516" s="8">
        <f>IF(COUNT(D1516:U1516)=0,"",MAX(D1516:U1516))</f>
        <v/>
      </c>
      <c r="Y1516" s="9">
        <f>IF(OR(V1516="",V1516=0),"",(X1516-V1516)/V1516)</f>
        <v/>
      </c>
      <c r="Z1516" s="7">
        <f>IF(COUNT(D1516:U1516)=0,"",INDEX($D$1:$U$1,MATCH(MIN(D1516:U1516),D1516:U1516,0)))</f>
        <v/>
      </c>
      <c r="AA1516" s="8" t="n">
        <v>46.63</v>
      </c>
      <c r="AB1516" s="10" t="n">
        <v>1</v>
      </c>
    </row>
    <row r="1517">
      <c r="A1517" s="7" t="inlineStr">
        <is>
          <t>MAT-32-162</t>
        </is>
      </c>
      <c r="B1517" s="4" t="inlineStr">
        <is>
          <t>Codo de 45° de PVC drenaje 1 1/2"</t>
        </is>
      </c>
      <c r="C1517" s="7" t="inlineStr">
        <is>
          <t>unidad</t>
        </is>
      </c>
      <c r="D1517" s="8" t="n"/>
      <c r="E1517" s="8" t="n">
        <v>11</v>
      </c>
      <c r="F1517" s="8" t="n"/>
      <c r="G1517" s="8" t="n">
        <v>45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>
        <f>IF(COUNT(D1517:U1517)=0,"",MIN(D1517:U1517))</f>
        <v/>
      </c>
      <c r="W1517" s="8">
        <f>IF(COUNT(D1517:U1517)=0,"",MEDIAN(D1517:U1517))</f>
        <v/>
      </c>
      <c r="X1517" s="8">
        <f>IF(COUNT(D1517:U1517)=0,"",MAX(D1517:U1517))</f>
        <v/>
      </c>
      <c r="Y1517" s="9">
        <f>IF(OR(V1517="",V1517=0),"",(X1517-V1517)/V1517)</f>
        <v/>
      </c>
      <c r="Z1517" s="7">
        <f>IF(COUNT(D1517:U1517)=0,"",INDEX($D$1:$U$1,MATCH(MIN(D1517:U1517),D1517:U1517,0)))</f>
        <v/>
      </c>
      <c r="AA1517" s="8" t="n">
        <v>14.84</v>
      </c>
      <c r="AB1517" s="10" t="n">
        <v>2</v>
      </c>
    </row>
    <row r="1518">
      <c r="A1518" s="7" t="inlineStr">
        <is>
          <t>MAT-32-163</t>
        </is>
      </c>
      <c r="B1518" s="4" t="inlineStr">
        <is>
          <t>Codo de 45° de PVC drenaje 2"</t>
        </is>
      </c>
      <c r="C1518" s="7" t="inlineStr">
        <is>
          <t>unidad</t>
        </is>
      </c>
      <c r="D1518" s="8" t="n"/>
      <c r="E1518" s="8" t="n">
        <v>15.6</v>
      </c>
      <c r="F1518" s="8" t="n"/>
      <c r="G1518" s="8" t="n">
        <v>55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>
        <f>IF(COUNT(D1518:U1518)=0,"",MIN(D1518:U1518))</f>
        <v/>
      </c>
      <c r="W1518" s="8">
        <f>IF(COUNT(D1518:U1518)=0,"",MEDIAN(D1518:U1518))</f>
        <v/>
      </c>
      <c r="X1518" s="8">
        <f>IF(COUNT(D1518:U1518)=0,"",MAX(D1518:U1518))</f>
        <v/>
      </c>
      <c r="Y1518" s="9">
        <f>IF(OR(V1518="",V1518=0),"",(X1518-V1518)/V1518)</f>
        <v/>
      </c>
      <c r="Z1518" s="7">
        <f>IF(COUNT(D1518:U1518)=0,"",INDEX($D$1:$U$1,MATCH(MIN(D1518:U1518),D1518:U1518,0)))</f>
        <v/>
      </c>
      <c r="AA1518" s="8" t="n">
        <v>20.33</v>
      </c>
      <c r="AB1518" s="10" t="n">
        <v>2</v>
      </c>
    </row>
    <row r="1519">
      <c r="A1519" s="7" t="inlineStr">
        <is>
          <t>MAT-32-164</t>
        </is>
      </c>
      <c r="B1519" s="4" t="inlineStr">
        <is>
          <t>Codo de 45° de PVC drenaje 3"</t>
        </is>
      </c>
      <c r="C1519" s="7" t="inlineStr">
        <is>
          <t>unidad</t>
        </is>
      </c>
      <c r="D1519" s="8" t="n"/>
      <c r="E1519" s="8" t="n">
        <v>41</v>
      </c>
      <c r="F1519" s="8" t="n"/>
      <c r="G1519" s="8" t="n">
        <v>85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>
        <f>IF(COUNT(D1519:U1519)=0,"",MIN(D1519:U1519))</f>
        <v/>
      </c>
      <c r="W1519" s="8">
        <f>IF(COUNT(D1519:U1519)=0,"",MEDIAN(D1519:U1519))</f>
        <v/>
      </c>
      <c r="X1519" s="8">
        <f>IF(COUNT(D1519:U1519)=0,"",MAX(D1519:U1519))</f>
        <v/>
      </c>
      <c r="Y1519" s="9">
        <f>IF(OR(V1519="",V1519=0),"",(X1519-V1519)/V1519)</f>
        <v/>
      </c>
      <c r="Z1519" s="7">
        <f>IF(COUNT(D1519:U1519)=0,"",INDEX($D$1:$U$1,MATCH(MIN(D1519:U1519),D1519:U1519,0)))</f>
        <v/>
      </c>
      <c r="AA1519" s="8" t="n">
        <v>55.48</v>
      </c>
      <c r="AB1519" s="10" t="n">
        <v>2</v>
      </c>
    </row>
    <row r="1520">
      <c r="A1520" s="7" t="inlineStr">
        <is>
          <t>MAT-32-165</t>
        </is>
      </c>
      <c r="B1520" s="4" t="inlineStr">
        <is>
          <t>Codo de 45° de PVC drenaje 4"</t>
        </is>
      </c>
      <c r="C1520" s="7" t="inlineStr">
        <is>
          <t>unidad</t>
        </is>
      </c>
      <c r="D1520" s="8" t="n"/>
      <c r="E1520" s="8" t="n">
        <v>66</v>
      </c>
      <c r="F1520" s="8" t="n"/>
      <c r="G1520" s="8" t="n">
        <v>135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>
        <f>IF(COUNT(D1520:U1520)=0,"",MIN(D1520:U1520))</f>
        <v/>
      </c>
      <c r="W1520" s="8">
        <f>IF(COUNT(D1520:U1520)=0,"",MEDIAN(D1520:U1520))</f>
        <v/>
      </c>
      <c r="X1520" s="8">
        <f>IF(COUNT(D1520:U1520)=0,"",MAX(D1520:U1520))</f>
        <v/>
      </c>
      <c r="Y1520" s="9">
        <f>IF(OR(V1520="",V1520=0),"",(X1520-V1520)/V1520)</f>
        <v/>
      </c>
      <c r="Z1520" s="7">
        <f>IF(COUNT(D1520:U1520)=0,"",INDEX($D$1:$U$1,MATCH(MIN(D1520:U1520),D1520:U1520,0)))</f>
        <v/>
      </c>
      <c r="AA1520" s="8" t="n">
        <v>90.86</v>
      </c>
      <c r="AB1520" s="10" t="n">
        <v>2</v>
      </c>
    </row>
    <row r="1521">
      <c r="A1521" s="7" t="inlineStr">
        <is>
          <t>MAT-32-166</t>
        </is>
      </c>
      <c r="B1521" s="4" t="inlineStr">
        <is>
          <t>Codo de 45° de PVC drenaje 6"</t>
        </is>
      </c>
      <c r="C1521" s="7" t="inlineStr">
        <is>
          <t>unidad</t>
        </is>
      </c>
      <c r="D1521" s="8" t="n"/>
      <c r="E1521" s="8" t="n">
        <v>445</v>
      </c>
      <c r="F1521" s="8" t="n"/>
      <c r="G1521" s="8" t="n">
        <v>612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>
        <f>IF(COUNT(D1521:U1521)=0,"",MIN(D1521:U1521))</f>
        <v/>
      </c>
      <c r="W1521" s="8">
        <f>IF(COUNT(D1521:U1521)=0,"",MEDIAN(D1521:U1521))</f>
        <v/>
      </c>
      <c r="X1521" s="8">
        <f>IF(COUNT(D1521:U1521)=0,"",MAX(D1521:U1521))</f>
        <v/>
      </c>
      <c r="Y1521" s="9">
        <f>IF(OR(V1521="",V1521=0),"",(X1521-V1521)/V1521)</f>
        <v/>
      </c>
      <c r="Z1521" s="7">
        <f>IF(COUNT(D1521:U1521)=0,"",INDEX($D$1:$U$1,MATCH(MIN(D1521:U1521),D1521:U1521,0)))</f>
        <v/>
      </c>
      <c r="AA1521" s="8" t="n">
        <v>528.5</v>
      </c>
      <c r="AB1521" s="10" t="n">
        <v>2</v>
      </c>
    </row>
    <row r="1522">
      <c r="A1522" s="7" t="inlineStr">
        <is>
          <t>MAT-32-167</t>
        </is>
      </c>
      <c r="B1522" s="4" t="inlineStr">
        <is>
          <t>Codo de 45° de PVC 1 1/2"</t>
        </is>
      </c>
      <c r="C1522" s="7" t="inlineStr">
        <is>
          <t>unidad</t>
        </is>
      </c>
      <c r="D1522" s="8" t="n"/>
      <c r="E1522" s="8" t="n">
        <v>101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>
        <f>IF(COUNT(D1522:U1522)=0,"",MIN(D1522:U1522))</f>
        <v/>
      </c>
      <c r="W1522" s="8">
        <f>IF(COUNT(D1522:U1522)=0,"",MEDIAN(D1522:U1522))</f>
        <v/>
      </c>
      <c r="X1522" s="8">
        <f>IF(COUNT(D1522:U1522)=0,"",MAX(D1522:U1522))</f>
        <v/>
      </c>
      <c r="Y1522" s="9">
        <f>IF(OR(V1522="",V1522=0),"",(X1522-V1522)/V1522)</f>
        <v/>
      </c>
      <c r="Z1522" s="7">
        <f>IF(COUNT(D1522:U1522)=0,"",INDEX($D$1:$U$1,MATCH(MIN(D1522:U1522),D1522:U1522,0)))</f>
        <v/>
      </c>
      <c r="AA1522" s="8" t="n">
        <v>101</v>
      </c>
      <c r="AB1522" s="10" t="n">
        <v>1</v>
      </c>
    </row>
    <row r="1523">
      <c r="A1523" s="7" t="inlineStr">
        <is>
          <t>MAT-32-168</t>
        </is>
      </c>
      <c r="B1523" s="4" t="inlineStr">
        <is>
          <t>Codo de 45° de PVC 1/2"</t>
        </is>
      </c>
      <c r="C1523" s="7" t="inlineStr">
        <is>
          <t>unidad</t>
        </is>
      </c>
      <c r="D1523" s="8" t="n"/>
      <c r="E1523" s="8" t="n">
        <v>12.69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>
        <f>IF(COUNT(D1523:U1523)=0,"",MIN(D1523:U1523))</f>
        <v/>
      </c>
      <c r="W1523" s="8">
        <f>IF(COUNT(D1523:U1523)=0,"",MEDIAN(D1523:U1523))</f>
        <v/>
      </c>
      <c r="X1523" s="8">
        <f>IF(COUNT(D1523:U1523)=0,"",MAX(D1523:U1523))</f>
        <v/>
      </c>
      <c r="Y1523" s="9">
        <f>IF(OR(V1523="",V1523=0),"",(X1523-V1523)/V1523)</f>
        <v/>
      </c>
      <c r="Z1523" s="7">
        <f>IF(COUNT(D1523:U1523)=0,"",INDEX($D$1:$U$1,MATCH(MIN(D1523:U1523),D1523:U1523,0)))</f>
        <v/>
      </c>
      <c r="AA1523" s="8" t="n">
        <v>12.69</v>
      </c>
      <c r="AB1523" s="10" t="n">
        <v>1</v>
      </c>
    </row>
    <row r="1524">
      <c r="A1524" s="7" t="inlineStr">
        <is>
          <t>MAT-32-169</t>
        </is>
      </c>
      <c r="B1524" s="4" t="inlineStr">
        <is>
          <t>Codo de 45° de PVC 1"</t>
        </is>
      </c>
      <c r="C1524" s="7" t="inlineStr">
        <is>
          <t>unidad</t>
        </is>
      </c>
      <c r="D1524" s="8" t="n"/>
      <c r="E1524" s="8" t="n">
        <v>33.87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>
        <f>IF(COUNT(D1524:U1524)=0,"",MIN(D1524:U1524))</f>
        <v/>
      </c>
      <c r="W1524" s="8">
        <f>IF(COUNT(D1524:U1524)=0,"",MEDIAN(D1524:U1524))</f>
        <v/>
      </c>
      <c r="X1524" s="8">
        <f>IF(COUNT(D1524:U1524)=0,"",MAX(D1524:U1524))</f>
        <v/>
      </c>
      <c r="Y1524" s="9">
        <f>IF(OR(V1524="",V1524=0),"",(X1524-V1524)/V1524)</f>
        <v/>
      </c>
      <c r="Z1524" s="7">
        <f>IF(COUNT(D1524:U1524)=0,"",INDEX($D$1:$U$1,MATCH(MIN(D1524:U1524),D1524:U1524,0)))</f>
        <v/>
      </c>
      <c r="AA1524" s="8" t="n">
        <v>33.87</v>
      </c>
      <c r="AB1524" s="10" t="n">
        <v>1</v>
      </c>
    </row>
    <row r="1525">
      <c r="A1525" s="7" t="inlineStr">
        <is>
          <t>MAT-32-170</t>
        </is>
      </c>
      <c r="B1525" s="4" t="inlineStr">
        <is>
          <t>Codo de 45° de PVC 2"</t>
        </is>
      </c>
      <c r="C1525" s="7" t="inlineStr">
        <is>
          <t>unidad</t>
        </is>
      </c>
      <c r="D1525" s="8" t="n"/>
      <c r="E1525" s="8" t="n">
        <v>85.05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>
        <f>IF(COUNT(D1525:U1525)=0,"",MIN(D1525:U1525))</f>
        <v/>
      </c>
      <c r="W1525" s="8">
        <f>IF(COUNT(D1525:U1525)=0,"",MEDIAN(D1525:U1525))</f>
        <v/>
      </c>
      <c r="X1525" s="8">
        <f>IF(COUNT(D1525:U1525)=0,"",MAX(D1525:U1525))</f>
        <v/>
      </c>
      <c r="Y1525" s="9">
        <f>IF(OR(V1525="",V1525=0),"",(X1525-V1525)/V1525)</f>
        <v/>
      </c>
      <c r="Z1525" s="7">
        <f>IF(COUNT(D1525:U1525)=0,"",INDEX($D$1:$U$1,MATCH(MIN(D1525:U1525),D1525:U1525,0)))</f>
        <v/>
      </c>
      <c r="AA1525" s="8" t="n">
        <v>85.05</v>
      </c>
      <c r="AB1525" s="10" t="n">
        <v>1</v>
      </c>
    </row>
    <row r="1526">
      <c r="A1526" s="7" t="inlineStr">
        <is>
          <t>MAT-32-171</t>
        </is>
      </c>
      <c r="B1526" s="4" t="inlineStr">
        <is>
          <t>Codo de 45° de PVC 3/4"</t>
        </is>
      </c>
      <c r="C1526" s="7" t="inlineStr">
        <is>
          <t>unidad</t>
        </is>
      </c>
      <c r="D1526" s="8" t="n"/>
      <c r="E1526" s="8" t="n">
        <v>20.29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>
        <f>IF(COUNT(D1526:U1526)=0,"",MIN(D1526:U1526))</f>
        <v/>
      </c>
      <c r="W1526" s="8">
        <f>IF(COUNT(D1526:U1526)=0,"",MEDIAN(D1526:U1526))</f>
        <v/>
      </c>
      <c r="X1526" s="8">
        <f>IF(COUNT(D1526:U1526)=0,"",MAX(D1526:U1526))</f>
        <v/>
      </c>
      <c r="Y1526" s="9">
        <f>IF(OR(V1526="",V1526=0),"",(X1526-V1526)/V1526)</f>
        <v/>
      </c>
      <c r="Z1526" s="7">
        <f>IF(COUNT(D1526:U1526)=0,"",INDEX($D$1:$U$1,MATCH(MIN(D1526:U1526),D1526:U1526,0)))</f>
        <v/>
      </c>
      <c r="AA1526" s="8" t="n">
        <v>20.29</v>
      </c>
      <c r="AB1526" s="10" t="n">
        <v>1</v>
      </c>
    </row>
    <row r="1527">
      <c r="A1527" s="7" t="inlineStr">
        <is>
          <t>MAT-32-172</t>
        </is>
      </c>
      <c r="B1527" s="4" t="inlineStr">
        <is>
          <t>Codo de 45° de PVC presión 1 1/2"</t>
        </is>
      </c>
      <c r="C1527" s="7" t="inlineStr">
        <is>
          <t>unidad</t>
        </is>
      </c>
      <c r="D1527" s="8" t="n"/>
      <c r="E1527" s="8" t="n">
        <v>29.55</v>
      </c>
      <c r="F1527" s="8" t="n"/>
      <c r="G1527" s="8" t="n">
        <v>65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>
        <f>IF(COUNT(D1527:U1527)=0,"",MIN(D1527:U1527))</f>
        <v/>
      </c>
      <c r="W1527" s="8">
        <f>IF(COUNT(D1527:U1527)=0,"",MEDIAN(D1527:U1527))</f>
        <v/>
      </c>
      <c r="X1527" s="8">
        <f>IF(COUNT(D1527:U1527)=0,"",MAX(D1527:U1527))</f>
        <v/>
      </c>
      <c r="Y1527" s="9">
        <f>IF(OR(V1527="",V1527=0),"",(X1527-V1527)/V1527)</f>
        <v/>
      </c>
      <c r="Z1527" s="7">
        <f>IF(COUNT(D1527:U1527)=0,"",INDEX($D$1:$U$1,MATCH(MIN(D1527:U1527),D1527:U1527,0)))</f>
        <v/>
      </c>
      <c r="AA1527" s="8" t="n">
        <v>47.28</v>
      </c>
      <c r="AB1527" s="10" t="n">
        <v>2</v>
      </c>
    </row>
    <row r="1528">
      <c r="A1528" s="7" t="inlineStr">
        <is>
          <t>MAT-32-173</t>
        </is>
      </c>
      <c r="B1528" s="4" t="inlineStr">
        <is>
          <t>Codo de 45° de PVC presión 1/2"</t>
        </is>
      </c>
      <c r="C1528" s="7" t="inlineStr">
        <is>
          <t>unidad</t>
        </is>
      </c>
      <c r="D1528" s="8" t="n"/>
      <c r="E1528" s="8" t="n">
        <v>4.75</v>
      </c>
      <c r="F1528" s="8" t="n"/>
      <c r="G1528" s="8" t="n">
        <v>35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>
        <f>IF(COUNT(D1528:U1528)=0,"",MIN(D1528:U1528))</f>
        <v/>
      </c>
      <c r="W1528" s="8">
        <f>IF(COUNT(D1528:U1528)=0,"",MEDIAN(D1528:U1528))</f>
        <v/>
      </c>
      <c r="X1528" s="8">
        <f>IF(COUNT(D1528:U1528)=0,"",MAX(D1528:U1528))</f>
        <v/>
      </c>
      <c r="Y1528" s="9">
        <f>IF(OR(V1528="",V1528=0),"",(X1528-V1528)/V1528)</f>
        <v/>
      </c>
      <c r="Z1528" s="7">
        <f>IF(COUNT(D1528:U1528)=0,"",INDEX($D$1:$U$1,MATCH(MIN(D1528:U1528),D1528:U1528,0)))</f>
        <v/>
      </c>
      <c r="AA1528" s="8" t="n">
        <v>7.08</v>
      </c>
      <c r="AB1528" s="10" t="n">
        <v>2</v>
      </c>
    </row>
    <row r="1529">
      <c r="A1529" s="7" t="inlineStr">
        <is>
          <t>MAT-32-174</t>
        </is>
      </c>
      <c r="B1529" s="4" t="inlineStr">
        <is>
          <t>Codo de 45° de PVC presión 1"</t>
        </is>
      </c>
      <c r="C1529" s="7" t="inlineStr">
        <is>
          <t>unidad</t>
        </is>
      </c>
      <c r="D1529" s="8" t="n"/>
      <c r="E1529" s="8" t="n">
        <v>14.1</v>
      </c>
      <c r="F1529" s="8" t="n"/>
      <c r="G1529" s="8" t="n">
        <v>90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>
        <f>IF(COUNT(D1529:U1529)=0,"",MIN(D1529:U1529))</f>
        <v/>
      </c>
      <c r="W1529" s="8">
        <f>IF(COUNT(D1529:U1529)=0,"",MEDIAN(D1529:U1529))</f>
        <v/>
      </c>
      <c r="X1529" s="8">
        <f>IF(COUNT(D1529:U1529)=0,"",MAX(D1529:U1529))</f>
        <v/>
      </c>
      <c r="Y1529" s="9">
        <f>IF(OR(V1529="",V1529=0),"",(X1529-V1529)/V1529)</f>
        <v/>
      </c>
      <c r="Z1529" s="7">
        <f>IF(COUNT(D1529:U1529)=0,"",INDEX($D$1:$U$1,MATCH(MIN(D1529:U1529),D1529:U1529,0)))</f>
        <v/>
      </c>
      <c r="AA1529" s="8" t="n">
        <v>22.03</v>
      </c>
      <c r="AB1529" s="10" t="n">
        <v>2</v>
      </c>
    </row>
    <row r="1530">
      <c r="A1530" s="7" t="inlineStr">
        <is>
          <t>MAT-32-175</t>
        </is>
      </c>
      <c r="B1530" s="4" t="inlineStr">
        <is>
          <t>Codo de 45° de PVC presión 2"</t>
        </is>
      </c>
      <c r="C1530" s="7" t="inlineStr">
        <is>
          <t>unidad</t>
        </is>
      </c>
      <c r="D1530" s="8" t="n"/>
      <c r="E1530" s="8" t="n">
        <v>33.12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>
        <f>IF(COUNT(D1530:U1530)=0,"",MIN(D1530:U1530))</f>
        <v/>
      </c>
      <c r="W1530" s="8">
        <f>IF(COUNT(D1530:U1530)=0,"",MEDIAN(D1530:U1530))</f>
        <v/>
      </c>
      <c r="X1530" s="8">
        <f>IF(COUNT(D1530:U1530)=0,"",MAX(D1530:U1530))</f>
        <v/>
      </c>
      <c r="Y1530" s="9">
        <f>IF(OR(V1530="",V1530=0),"",(X1530-V1530)/V1530)</f>
        <v/>
      </c>
      <c r="Z1530" s="7">
        <f>IF(COUNT(D1530:U1530)=0,"",INDEX($D$1:$U$1,MATCH(MIN(D1530:U1530),D1530:U1530,0)))</f>
        <v/>
      </c>
      <c r="AA1530" s="8" t="n">
        <v>40.63</v>
      </c>
      <c r="AB1530" s="10" t="n">
        <v>1</v>
      </c>
    </row>
    <row r="1531">
      <c r="A1531" s="7" t="inlineStr">
        <is>
          <t>MAT-32-176</t>
        </is>
      </c>
      <c r="B1531" s="4" t="inlineStr">
        <is>
          <t>Codo de 45° de PVC presión 3/4"</t>
        </is>
      </c>
      <c r="C1531" s="7" t="inlineStr">
        <is>
          <t>unidad</t>
        </is>
      </c>
      <c r="D1531" s="8" t="n"/>
      <c r="E1531" s="8" t="n">
        <v>9.050000000000001</v>
      </c>
      <c r="F1531" s="8" t="n"/>
      <c r="G1531" s="8" t="n">
        <v>25</v>
      </c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>
        <f>IF(COUNT(D1531:U1531)=0,"",MIN(D1531:U1531))</f>
        <v/>
      </c>
      <c r="W1531" s="8">
        <f>IF(COUNT(D1531:U1531)=0,"",MEDIAN(D1531:U1531))</f>
        <v/>
      </c>
      <c r="X1531" s="8">
        <f>IF(COUNT(D1531:U1531)=0,"",MAX(D1531:U1531))</f>
        <v/>
      </c>
      <c r="Y1531" s="9">
        <f>IF(OR(V1531="",V1531=0),"",(X1531-V1531)/V1531)</f>
        <v/>
      </c>
      <c r="Z1531" s="7">
        <f>IF(COUNT(D1531:U1531)=0,"",INDEX($D$1:$U$1,MATCH(MIN(D1531:U1531),D1531:U1531,0)))</f>
        <v/>
      </c>
      <c r="AA1531" s="8" t="n">
        <v>12.38</v>
      </c>
      <c r="AB1531" s="10" t="n">
        <v>2</v>
      </c>
    </row>
    <row r="1532">
      <c r="A1532" s="7" t="inlineStr">
        <is>
          <t>MAT-32-177</t>
        </is>
      </c>
      <c r="B1532" s="4" t="inlineStr">
        <is>
          <t>Codo de 45° de PVC presión 3"</t>
        </is>
      </c>
      <c r="C1532" s="7" t="inlineStr">
        <is>
          <t>unidad</t>
        </is>
      </c>
      <c r="D1532" s="8" t="n"/>
      <c r="E1532" s="8" t="n">
        <v>142.32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>
        <f>IF(COUNT(D1532:U1532)=0,"",MIN(D1532:U1532))</f>
        <v/>
      </c>
      <c r="W1532" s="8">
        <f>IF(COUNT(D1532:U1532)=0,"",MEDIAN(D1532:U1532))</f>
        <v/>
      </c>
      <c r="X1532" s="8">
        <f>IF(COUNT(D1532:U1532)=0,"",MAX(D1532:U1532))</f>
        <v/>
      </c>
      <c r="Y1532" s="9">
        <f>IF(OR(V1532="",V1532=0),"",(X1532-V1532)/V1532)</f>
        <v/>
      </c>
      <c r="Z1532" s="7">
        <f>IF(COUNT(D1532:U1532)=0,"",INDEX($D$1:$U$1,MATCH(MIN(D1532:U1532),D1532:U1532,0)))</f>
        <v/>
      </c>
      <c r="AA1532" s="8" t="n">
        <v>142.32</v>
      </c>
      <c r="AB1532" s="10" t="n">
        <v>1</v>
      </c>
    </row>
    <row r="1533">
      <c r="A1533" s="7" t="inlineStr">
        <is>
          <t>MAT-32-178</t>
        </is>
      </c>
      <c r="B1533" s="4" t="inlineStr">
        <is>
          <t>Codo de 45° de PVC presión 4"</t>
        </is>
      </c>
      <c r="C1533" s="7" t="inlineStr">
        <is>
          <t>unidad</t>
        </is>
      </c>
      <c r="D1533" s="8" t="n"/>
      <c r="E1533" s="8" t="n">
        <v>273.86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>
        <f>IF(COUNT(D1533:U1533)=0,"",MIN(D1533:U1533))</f>
        <v/>
      </c>
      <c r="W1533" s="8">
        <f>IF(COUNT(D1533:U1533)=0,"",MEDIAN(D1533:U1533))</f>
        <v/>
      </c>
      <c r="X1533" s="8">
        <f>IF(COUNT(D1533:U1533)=0,"",MAX(D1533:U1533))</f>
        <v/>
      </c>
      <c r="Y1533" s="9">
        <f>IF(OR(V1533="",V1533=0),"",(X1533-V1533)/V1533)</f>
        <v/>
      </c>
      <c r="Z1533" s="7">
        <f>IF(COUNT(D1533:U1533)=0,"",INDEX($D$1:$U$1,MATCH(MIN(D1533:U1533),D1533:U1533,0)))</f>
        <v/>
      </c>
      <c r="AA1533" s="8" t="n">
        <v>273.86</v>
      </c>
      <c r="AB1533" s="10" t="n">
        <v>1</v>
      </c>
    </row>
    <row r="1534">
      <c r="A1534" s="7" t="inlineStr">
        <is>
          <t>MAT-32-179</t>
        </is>
      </c>
      <c r="B1534" s="4" t="inlineStr">
        <is>
          <t>Codo de 45° de PVC presión 6"</t>
        </is>
      </c>
      <c r="C1534" s="7" t="inlineStr">
        <is>
          <t>unidad</t>
        </is>
      </c>
      <c r="D1534" s="8" t="n"/>
      <c r="E1534" s="8" t="n">
        <v>576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>
        <f>IF(COUNT(D1534:U1534)=0,"",MIN(D1534:U1534))</f>
        <v/>
      </c>
      <c r="W1534" s="8">
        <f>IF(COUNT(D1534:U1534)=0,"",MEDIAN(D1534:U1534))</f>
        <v/>
      </c>
      <c r="X1534" s="8">
        <f>IF(COUNT(D1534:U1534)=0,"",MAX(D1534:U1534))</f>
        <v/>
      </c>
      <c r="Y1534" s="9">
        <f>IF(OR(V1534="",V1534=0),"",(X1534-V1534)/V1534)</f>
        <v/>
      </c>
      <c r="Z1534" s="7">
        <f>IF(COUNT(D1534:U1534)=0,"",INDEX($D$1:$U$1,MATCH(MIN(D1534:U1534),D1534:U1534,0)))</f>
        <v/>
      </c>
      <c r="AA1534" s="8" t="n">
        <v>745.5</v>
      </c>
      <c r="AB1534" s="10" t="n">
        <v>1</v>
      </c>
    </row>
    <row r="1535">
      <c r="A1535" s="7" t="inlineStr">
        <is>
          <t>MAT-32-180</t>
        </is>
      </c>
      <c r="B1535" s="4" t="inlineStr">
        <is>
          <t>Codo de 45° de PVC presión 8"</t>
        </is>
      </c>
      <c r="C1535" s="7" t="inlineStr">
        <is>
          <t>unidad</t>
        </is>
      </c>
      <c r="D1535" s="8" t="n"/>
      <c r="E1535" s="8" t="n">
        <v>4409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>
        <f>IF(COUNT(D1535:U1535)=0,"",MIN(D1535:U1535))</f>
        <v/>
      </c>
      <c r="W1535" s="8">
        <f>IF(COUNT(D1535:U1535)=0,"",MEDIAN(D1535:U1535))</f>
        <v/>
      </c>
      <c r="X1535" s="8">
        <f>IF(COUNT(D1535:U1535)=0,"",MAX(D1535:U1535))</f>
        <v/>
      </c>
      <c r="Y1535" s="9">
        <f>IF(OR(V1535="",V1535=0),"",(X1535-V1535)/V1535)</f>
        <v/>
      </c>
      <c r="Z1535" s="7">
        <f>IF(COUNT(D1535:U1535)=0,"",INDEX($D$1:$U$1,MATCH(MIN(D1535:U1535),D1535:U1535,0)))</f>
        <v/>
      </c>
      <c r="AA1535" s="8" t="n">
        <v>4409</v>
      </c>
      <c r="AB1535" s="10" t="n">
        <v>1</v>
      </c>
    </row>
    <row r="1536">
      <c r="A1536" s="7" t="inlineStr">
        <is>
          <t>MAT-32-181</t>
        </is>
      </c>
      <c r="B1536" s="4" t="inlineStr">
        <is>
          <t>Codo de 90° de cobre 1 1/8"</t>
        </is>
      </c>
      <c r="C1536" s="7" t="inlineStr">
        <is>
          <t>unidad</t>
        </is>
      </c>
      <c r="D1536" s="8" t="n"/>
      <c r="E1536" s="8" t="n">
        <v>380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>
        <f>IF(COUNT(D1536:U1536)=0,"",MIN(D1536:U1536))</f>
        <v/>
      </c>
      <c r="W1536" s="8">
        <f>IF(COUNT(D1536:U1536)=0,"",MEDIAN(D1536:U1536))</f>
        <v/>
      </c>
      <c r="X1536" s="8">
        <f>IF(COUNT(D1536:U1536)=0,"",MAX(D1536:U1536))</f>
        <v/>
      </c>
      <c r="Y1536" s="9">
        <f>IF(OR(V1536="",V1536=0),"",(X1536-V1536)/V1536)</f>
        <v/>
      </c>
      <c r="Z1536" s="7">
        <f>IF(COUNT(D1536:U1536)=0,"",INDEX($D$1:$U$1,MATCH(MIN(D1536:U1536),D1536:U1536,0)))</f>
        <v/>
      </c>
      <c r="AA1536" s="8" t="n">
        <v>380</v>
      </c>
      <c r="AB1536" s="10" t="n">
        <v>1</v>
      </c>
    </row>
    <row r="1537">
      <c r="A1537" s="7" t="inlineStr">
        <is>
          <t>MAT-32-182</t>
        </is>
      </c>
      <c r="B1537" s="4" t="inlineStr">
        <is>
          <t>Codo de 90° de cobre 1/2"</t>
        </is>
      </c>
      <c r="C1537" s="7" t="inlineStr">
        <is>
          <t>unidad</t>
        </is>
      </c>
      <c r="D1537" s="8" t="n"/>
      <c r="E1537" s="8" t="n">
        <v>49.82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>
        <f>IF(COUNT(D1537:U1537)=0,"",MIN(D1537:U1537))</f>
        <v/>
      </c>
      <c r="W1537" s="8">
        <f>IF(COUNT(D1537:U1537)=0,"",MEDIAN(D1537:U1537))</f>
        <v/>
      </c>
      <c r="X1537" s="8">
        <f>IF(COUNT(D1537:U1537)=0,"",MAX(D1537:U1537))</f>
        <v/>
      </c>
      <c r="Y1537" s="9">
        <f>IF(OR(V1537="",V1537=0),"",(X1537-V1537)/V1537)</f>
        <v/>
      </c>
      <c r="Z1537" s="7">
        <f>IF(COUNT(D1537:U1537)=0,"",INDEX($D$1:$U$1,MATCH(MIN(D1537:U1537),D1537:U1537,0)))</f>
        <v/>
      </c>
      <c r="AA1537" s="8" t="n">
        <v>49.82</v>
      </c>
      <c r="AB1537" s="10" t="n">
        <v>1</v>
      </c>
    </row>
    <row r="1538">
      <c r="A1538" s="7" t="inlineStr">
        <is>
          <t>MAT-32-183</t>
        </is>
      </c>
      <c r="B1538" s="4" t="inlineStr">
        <is>
          <t>Codo de 90° de cobre 3/4"</t>
        </is>
      </c>
      <c r="C1538" s="7" t="inlineStr">
        <is>
          <t>unidad</t>
        </is>
      </c>
      <c r="D1538" s="8" t="n"/>
      <c r="E1538" s="8" t="n">
        <v>107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>
        <f>IF(COUNT(D1538:U1538)=0,"",MIN(D1538:U1538))</f>
        <v/>
      </c>
      <c r="W1538" s="8">
        <f>IF(COUNT(D1538:U1538)=0,"",MEDIAN(D1538:U1538))</f>
        <v/>
      </c>
      <c r="X1538" s="8">
        <f>IF(COUNT(D1538:U1538)=0,"",MAX(D1538:U1538))</f>
        <v/>
      </c>
      <c r="Y1538" s="9">
        <f>IF(OR(V1538="",V1538=0),"",(X1538-V1538)/V1538)</f>
        <v/>
      </c>
      <c r="Z1538" s="7">
        <f>IF(COUNT(D1538:U1538)=0,"",INDEX($D$1:$U$1,MATCH(MIN(D1538:U1538),D1538:U1538,0)))</f>
        <v/>
      </c>
      <c r="AA1538" s="8" t="n">
        <v>107</v>
      </c>
      <c r="AB1538" s="10" t="n">
        <v>1</v>
      </c>
    </row>
    <row r="1539">
      <c r="A1539" s="7" t="inlineStr">
        <is>
          <t>MAT-32-184</t>
        </is>
      </c>
      <c r="B1539" s="4" t="inlineStr">
        <is>
          <t>Codo de 90° de cobre 3/8"</t>
        </is>
      </c>
      <c r="C1539" s="7" t="inlineStr">
        <is>
          <t>unidad</t>
        </is>
      </c>
      <c r="D1539" s="8" t="n"/>
      <c r="E1539" s="8" t="n">
        <v>46.98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>
        <f>IF(COUNT(D1539:U1539)=0,"",MIN(D1539:U1539))</f>
        <v/>
      </c>
      <c r="W1539" s="8">
        <f>IF(COUNT(D1539:U1539)=0,"",MEDIAN(D1539:U1539))</f>
        <v/>
      </c>
      <c r="X1539" s="8">
        <f>IF(COUNT(D1539:U1539)=0,"",MAX(D1539:U1539))</f>
        <v/>
      </c>
      <c r="Y1539" s="9">
        <f>IF(OR(V1539="",V1539=0),"",(X1539-V1539)/V1539)</f>
        <v/>
      </c>
      <c r="Z1539" s="7">
        <f>IF(COUNT(D1539:U1539)=0,"",INDEX($D$1:$U$1,MATCH(MIN(D1539:U1539),D1539:U1539,0)))</f>
        <v/>
      </c>
      <c r="AA1539" s="8" t="n">
        <v>46.98</v>
      </c>
      <c r="AB1539" s="10" t="n">
        <v>1</v>
      </c>
    </row>
    <row r="1540">
      <c r="A1540" s="7" t="inlineStr">
        <is>
          <t>MAT-32-185</t>
        </is>
      </c>
      <c r="B1540" s="4" t="inlineStr">
        <is>
          <t>Codo de 90° de cobre 5/8"</t>
        </is>
      </c>
      <c r="C1540" s="7" t="inlineStr">
        <is>
          <t>unidad</t>
        </is>
      </c>
      <c r="D1540" s="8" t="n"/>
      <c r="E1540" s="8" t="n">
        <v>80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>
        <f>IF(COUNT(D1540:U1540)=0,"",MIN(D1540:U1540))</f>
        <v/>
      </c>
      <c r="W1540" s="8">
        <f>IF(COUNT(D1540:U1540)=0,"",MEDIAN(D1540:U1540))</f>
        <v/>
      </c>
      <c r="X1540" s="8">
        <f>IF(COUNT(D1540:U1540)=0,"",MAX(D1540:U1540))</f>
        <v/>
      </c>
      <c r="Y1540" s="9">
        <f>IF(OR(V1540="",V1540=0),"",(X1540-V1540)/V1540)</f>
        <v/>
      </c>
      <c r="Z1540" s="7">
        <f>IF(COUNT(D1540:U1540)=0,"",INDEX($D$1:$U$1,MATCH(MIN(D1540:U1540),D1540:U1540,0)))</f>
        <v/>
      </c>
      <c r="AA1540" s="8" t="n">
        <v>80</v>
      </c>
      <c r="AB1540" s="10" t="n">
        <v>1</v>
      </c>
    </row>
    <row r="1541">
      <c r="A1541" s="7" t="inlineStr">
        <is>
          <t>MAT-32-186</t>
        </is>
      </c>
      <c r="B1541" s="4" t="inlineStr">
        <is>
          <t>Codo de 90° de cobre 7/8"</t>
        </is>
      </c>
      <c r="C1541" s="7" t="inlineStr">
        <is>
          <t>unidad</t>
        </is>
      </c>
      <c r="D1541" s="8" t="n"/>
      <c r="E1541" s="8" t="n">
        <v>159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>
        <f>IF(COUNT(D1541:U1541)=0,"",MIN(D1541:U1541))</f>
        <v/>
      </c>
      <c r="W1541" s="8">
        <f>IF(COUNT(D1541:U1541)=0,"",MEDIAN(D1541:U1541))</f>
        <v/>
      </c>
      <c r="X1541" s="8">
        <f>IF(COUNT(D1541:U1541)=0,"",MAX(D1541:U1541))</f>
        <v/>
      </c>
      <c r="Y1541" s="9">
        <f>IF(OR(V1541="",V1541=0),"",(X1541-V1541)/V1541)</f>
        <v/>
      </c>
      <c r="Z1541" s="7">
        <f>IF(COUNT(D1541:U1541)=0,"",INDEX($D$1:$U$1,MATCH(MIN(D1541:U1541),D1541:U1541,0)))</f>
        <v/>
      </c>
      <c r="AA1541" s="8" t="n">
        <v>159</v>
      </c>
      <c r="AB1541" s="10" t="n">
        <v>1</v>
      </c>
    </row>
    <row r="1542">
      <c r="A1542" s="7" t="inlineStr">
        <is>
          <t>MAT-32-187</t>
        </is>
      </c>
      <c r="B1542" s="4" t="inlineStr">
        <is>
          <t>Codo de 90° de CPVC 1/2"</t>
        </is>
      </c>
      <c r="C1542" s="7" t="inlineStr">
        <is>
          <t>unidad</t>
        </is>
      </c>
      <c r="D1542" s="8" t="n"/>
      <c r="E1542" s="8" t="n">
        <v>10.61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>
        <f>IF(COUNT(D1542:U1542)=0,"",MIN(D1542:U1542))</f>
        <v/>
      </c>
      <c r="W1542" s="8">
        <f>IF(COUNT(D1542:U1542)=0,"",MEDIAN(D1542:U1542))</f>
        <v/>
      </c>
      <c r="X1542" s="8">
        <f>IF(COUNT(D1542:U1542)=0,"",MAX(D1542:U1542))</f>
        <v/>
      </c>
      <c r="Y1542" s="9">
        <f>IF(OR(V1542="",V1542=0),"",(X1542-V1542)/V1542)</f>
        <v/>
      </c>
      <c r="Z1542" s="7">
        <f>IF(COUNT(D1542:U1542)=0,"",INDEX($D$1:$U$1,MATCH(MIN(D1542:U1542),D1542:U1542,0)))</f>
        <v/>
      </c>
      <c r="AA1542" s="8" t="n">
        <v>10.61</v>
      </c>
      <c r="AB1542" s="10" t="n">
        <v>1</v>
      </c>
    </row>
    <row r="1543">
      <c r="A1543" s="7" t="inlineStr">
        <is>
          <t>MAT-32-188</t>
        </is>
      </c>
      <c r="B1543" s="4" t="inlineStr">
        <is>
          <t>Codo de 90° de CPVC 1"</t>
        </is>
      </c>
      <c r="C1543" s="7" t="inlineStr">
        <is>
          <t>unidad</t>
        </is>
      </c>
      <c r="D1543" s="8" t="n"/>
      <c r="E1543" s="8" t="n">
        <v>45.15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>
        <f>IF(COUNT(D1543:U1543)=0,"",MIN(D1543:U1543))</f>
        <v/>
      </c>
      <c r="W1543" s="8">
        <f>IF(COUNT(D1543:U1543)=0,"",MEDIAN(D1543:U1543))</f>
        <v/>
      </c>
      <c r="X1543" s="8">
        <f>IF(COUNT(D1543:U1543)=0,"",MAX(D1543:U1543))</f>
        <v/>
      </c>
      <c r="Y1543" s="9">
        <f>IF(OR(V1543="",V1543=0),"",(X1543-V1543)/V1543)</f>
        <v/>
      </c>
      <c r="Z1543" s="7">
        <f>IF(COUNT(D1543:U1543)=0,"",INDEX($D$1:$U$1,MATCH(MIN(D1543:U1543),D1543:U1543,0)))</f>
        <v/>
      </c>
      <c r="AA1543" s="8" t="n">
        <v>45.15</v>
      </c>
      <c r="AB1543" s="10" t="n">
        <v>1</v>
      </c>
    </row>
    <row r="1544">
      <c r="A1544" s="7" t="inlineStr">
        <is>
          <t>MAT-32-189</t>
        </is>
      </c>
      <c r="B1544" s="4" t="inlineStr">
        <is>
          <t>Codo de 90° de CPVC 3/4"</t>
        </is>
      </c>
      <c r="C1544" s="7" t="inlineStr">
        <is>
          <t>unidad</t>
        </is>
      </c>
      <c r="D1544" s="8" t="n"/>
      <c r="E1544" s="8" t="n">
        <v>15.75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>
        <f>IF(COUNT(D1544:U1544)=0,"",MIN(D1544:U1544))</f>
        <v/>
      </c>
      <c r="W1544" s="8">
        <f>IF(COUNT(D1544:U1544)=0,"",MEDIAN(D1544:U1544))</f>
        <v/>
      </c>
      <c r="X1544" s="8">
        <f>IF(COUNT(D1544:U1544)=0,"",MAX(D1544:U1544))</f>
        <v/>
      </c>
      <c r="Y1544" s="9">
        <f>IF(OR(V1544="",V1544=0),"",(X1544-V1544)/V1544)</f>
        <v/>
      </c>
      <c r="Z1544" s="7">
        <f>IF(COUNT(D1544:U1544)=0,"",INDEX($D$1:$U$1,MATCH(MIN(D1544:U1544),D1544:U1544,0)))</f>
        <v/>
      </c>
      <c r="AA1544" s="8" t="n">
        <v>15.75</v>
      </c>
      <c r="AB1544" s="10" t="n">
        <v>1</v>
      </c>
    </row>
    <row r="1545">
      <c r="A1545" s="7" t="inlineStr">
        <is>
          <t>MAT-32-190</t>
        </is>
      </c>
      <c r="B1545" s="4" t="inlineStr">
        <is>
          <t>Codo de 90° de HG 1 1/2"</t>
        </is>
      </c>
      <c r="C1545" s="7" t="inlineStr">
        <is>
          <t>unidad</t>
        </is>
      </c>
      <c r="D1545" s="8" t="n"/>
      <c r="E1545" s="8" t="n">
        <v>106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>
        <f>IF(COUNT(D1545:U1545)=0,"",MIN(D1545:U1545))</f>
        <v/>
      </c>
      <c r="W1545" s="8">
        <f>IF(COUNT(D1545:U1545)=0,"",MEDIAN(D1545:U1545))</f>
        <v/>
      </c>
      <c r="X1545" s="8">
        <f>IF(COUNT(D1545:U1545)=0,"",MAX(D1545:U1545))</f>
        <v/>
      </c>
      <c r="Y1545" s="9">
        <f>IF(OR(V1545="",V1545=0),"",(X1545-V1545)/V1545)</f>
        <v/>
      </c>
      <c r="Z1545" s="7">
        <f>IF(COUNT(D1545:U1545)=0,"",INDEX($D$1:$U$1,MATCH(MIN(D1545:U1545),D1545:U1545,0)))</f>
        <v/>
      </c>
      <c r="AA1545" s="8" t="n">
        <v>106</v>
      </c>
      <c r="AB1545" s="10" t="n">
        <v>1</v>
      </c>
    </row>
    <row r="1546">
      <c r="A1546" s="7" t="inlineStr">
        <is>
          <t>MAT-32-191</t>
        </is>
      </c>
      <c r="B1546" s="4" t="inlineStr">
        <is>
          <t>Codo de 90° de HG 1 1/4"</t>
        </is>
      </c>
      <c r="C1546" s="7" t="inlineStr">
        <is>
          <t>unidad</t>
        </is>
      </c>
      <c r="D1546" s="8" t="n"/>
      <c r="E1546" s="8" t="n">
        <v>87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>
        <f>IF(COUNT(D1546:U1546)=0,"",MIN(D1546:U1546))</f>
        <v/>
      </c>
      <c r="W1546" s="8">
        <f>IF(COUNT(D1546:U1546)=0,"",MEDIAN(D1546:U1546))</f>
        <v/>
      </c>
      <c r="X1546" s="8">
        <f>IF(COUNT(D1546:U1546)=0,"",MAX(D1546:U1546))</f>
        <v/>
      </c>
      <c r="Y1546" s="9">
        <f>IF(OR(V1546="",V1546=0),"",(X1546-V1546)/V1546)</f>
        <v/>
      </c>
      <c r="Z1546" s="7">
        <f>IF(COUNT(D1546:U1546)=0,"",INDEX($D$1:$U$1,MATCH(MIN(D1546:U1546),D1546:U1546,0)))</f>
        <v/>
      </c>
      <c r="AA1546" s="8" t="n">
        <v>87</v>
      </c>
      <c r="AB1546" s="10" t="n">
        <v>1</v>
      </c>
    </row>
    <row r="1547">
      <c r="A1547" s="7" t="inlineStr">
        <is>
          <t>MAT-32-192</t>
        </is>
      </c>
      <c r="B1547" s="4" t="inlineStr">
        <is>
          <t>Codo de 90° de HG 1/2"</t>
        </is>
      </c>
      <c r="C1547" s="7" t="inlineStr">
        <is>
          <t>unidad</t>
        </is>
      </c>
      <c r="D1547" s="8" t="n"/>
      <c r="E1547" s="8" t="n">
        <v>24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>
        <f>IF(COUNT(D1547:U1547)=0,"",MIN(D1547:U1547))</f>
        <v/>
      </c>
      <c r="W1547" s="8">
        <f>IF(COUNT(D1547:U1547)=0,"",MEDIAN(D1547:U1547))</f>
        <v/>
      </c>
      <c r="X1547" s="8">
        <f>IF(COUNT(D1547:U1547)=0,"",MAX(D1547:U1547))</f>
        <v/>
      </c>
      <c r="Y1547" s="9">
        <f>IF(OR(V1547="",V1547=0),"",(X1547-V1547)/V1547)</f>
        <v/>
      </c>
      <c r="Z1547" s="7">
        <f>IF(COUNT(D1547:U1547)=0,"",INDEX($D$1:$U$1,MATCH(MIN(D1547:U1547),D1547:U1547,0)))</f>
        <v/>
      </c>
      <c r="AA1547" s="8" t="n">
        <v>24</v>
      </c>
      <c r="AB1547" s="10" t="n">
        <v>1</v>
      </c>
    </row>
    <row r="1548">
      <c r="A1548" s="7" t="inlineStr">
        <is>
          <t>MAT-32-193</t>
        </is>
      </c>
      <c r="B1548" s="4" t="inlineStr">
        <is>
          <t>Codo de 90° de HG 1/4"</t>
        </is>
      </c>
      <c r="C1548" s="7" t="inlineStr">
        <is>
          <t>unidad</t>
        </is>
      </c>
      <c r="D1548" s="8" t="n"/>
      <c r="E1548" s="8" t="n">
        <v>38.35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>
        <f>IF(COUNT(D1548:U1548)=0,"",MIN(D1548:U1548))</f>
        <v/>
      </c>
      <c r="W1548" s="8">
        <f>IF(COUNT(D1548:U1548)=0,"",MEDIAN(D1548:U1548))</f>
        <v/>
      </c>
      <c r="X1548" s="8">
        <f>IF(COUNT(D1548:U1548)=0,"",MAX(D1548:U1548))</f>
        <v/>
      </c>
      <c r="Y1548" s="9">
        <f>IF(OR(V1548="",V1548=0),"",(X1548-V1548)/V1548)</f>
        <v/>
      </c>
      <c r="Z1548" s="7">
        <f>IF(COUNT(D1548:U1548)=0,"",INDEX($D$1:$U$1,MATCH(MIN(D1548:U1548),D1548:U1548,0)))</f>
        <v/>
      </c>
      <c r="AA1548" s="8" t="n">
        <v>38.35</v>
      </c>
      <c r="AB1548" s="10" t="n">
        <v>1</v>
      </c>
    </row>
    <row r="1549">
      <c r="A1549" s="7" t="inlineStr">
        <is>
          <t>MAT-32-194</t>
        </is>
      </c>
      <c r="B1549" s="4" t="inlineStr">
        <is>
          <t>Codo de 90° de HG 1"</t>
        </is>
      </c>
      <c r="C1549" s="7" t="inlineStr">
        <is>
          <t>unidad</t>
        </is>
      </c>
      <c r="D1549" s="8" t="n"/>
      <c r="E1549" s="8" t="n">
        <v>51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>
        <f>IF(COUNT(D1549:U1549)=0,"",MIN(D1549:U1549))</f>
        <v/>
      </c>
      <c r="W1549" s="8">
        <f>IF(COUNT(D1549:U1549)=0,"",MEDIAN(D1549:U1549))</f>
        <v/>
      </c>
      <c r="X1549" s="8">
        <f>IF(COUNT(D1549:U1549)=0,"",MAX(D1549:U1549))</f>
        <v/>
      </c>
      <c r="Y1549" s="9">
        <f>IF(OR(V1549="",V1549=0),"",(X1549-V1549)/V1549)</f>
        <v/>
      </c>
      <c r="Z1549" s="7">
        <f>IF(COUNT(D1549:U1549)=0,"",INDEX($D$1:$U$1,MATCH(MIN(D1549:U1549),D1549:U1549,0)))</f>
        <v/>
      </c>
      <c r="AA1549" s="8" t="n">
        <v>51</v>
      </c>
      <c r="AB1549" s="10" t="n">
        <v>1</v>
      </c>
    </row>
    <row r="1550">
      <c r="A1550" s="7" t="inlineStr">
        <is>
          <t>MAT-32-195</t>
        </is>
      </c>
      <c r="B1550" s="4" t="inlineStr">
        <is>
          <t>Codo de 90° de HG 2"</t>
        </is>
      </c>
      <c r="C1550" s="7" t="inlineStr">
        <is>
          <t>unidad</t>
        </is>
      </c>
      <c r="D1550" s="8" t="n"/>
      <c r="E1550" s="8" t="n">
        <v>170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>
        <f>IF(COUNT(D1550:U1550)=0,"",MIN(D1550:U1550))</f>
        <v/>
      </c>
      <c r="W1550" s="8">
        <f>IF(COUNT(D1550:U1550)=0,"",MEDIAN(D1550:U1550))</f>
        <v/>
      </c>
      <c r="X1550" s="8">
        <f>IF(COUNT(D1550:U1550)=0,"",MAX(D1550:U1550))</f>
        <v/>
      </c>
      <c r="Y1550" s="9">
        <f>IF(OR(V1550="",V1550=0),"",(X1550-V1550)/V1550)</f>
        <v/>
      </c>
      <c r="Z1550" s="7">
        <f>IF(COUNT(D1550:U1550)=0,"",INDEX($D$1:$U$1,MATCH(MIN(D1550:U1550),D1550:U1550,0)))</f>
        <v/>
      </c>
      <c r="AA1550" s="8" t="n">
        <v>170</v>
      </c>
      <c r="AB1550" s="10" t="n">
        <v>1</v>
      </c>
    </row>
    <row r="1551">
      <c r="A1551" s="7" t="inlineStr">
        <is>
          <t>MAT-32-196</t>
        </is>
      </c>
      <c r="B1551" s="4" t="inlineStr">
        <is>
          <t>Codo de 90° de HG 3/4"</t>
        </is>
      </c>
      <c r="C1551" s="7" t="inlineStr">
        <is>
          <t>unidad</t>
        </is>
      </c>
      <c r="D1551" s="8" t="n"/>
      <c r="E1551" s="8" t="n">
        <v>34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>
        <f>IF(COUNT(D1551:U1551)=0,"",MIN(D1551:U1551))</f>
        <v/>
      </c>
      <c r="W1551" s="8">
        <f>IF(COUNT(D1551:U1551)=0,"",MEDIAN(D1551:U1551))</f>
        <v/>
      </c>
      <c r="X1551" s="8">
        <f>IF(COUNT(D1551:U1551)=0,"",MAX(D1551:U1551))</f>
        <v/>
      </c>
      <c r="Y1551" s="9">
        <f>IF(OR(V1551="",V1551=0),"",(X1551-V1551)/V1551)</f>
        <v/>
      </c>
      <c r="Z1551" s="7">
        <f>IF(COUNT(D1551:U1551)=0,"",INDEX($D$1:$U$1,MATCH(MIN(D1551:U1551),D1551:U1551,0)))</f>
        <v/>
      </c>
      <c r="AA1551" s="8" t="n">
        <v>34</v>
      </c>
      <c r="AB1551" s="10" t="n">
        <v>1</v>
      </c>
    </row>
    <row r="1552">
      <c r="A1552" s="7" t="inlineStr">
        <is>
          <t>MAT-32-197</t>
        </is>
      </c>
      <c r="B1552" s="4" t="inlineStr">
        <is>
          <t>Codo de 90° de HG 3/8"</t>
        </is>
      </c>
      <c r="C1552" s="7" t="inlineStr">
        <is>
          <t>unidad</t>
        </is>
      </c>
      <c r="D1552" s="8" t="n"/>
      <c r="E1552" s="8" t="n">
        <v>51.55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>
        <f>IF(COUNT(D1552:U1552)=0,"",MIN(D1552:U1552))</f>
        <v/>
      </c>
      <c r="W1552" s="8">
        <f>IF(COUNT(D1552:U1552)=0,"",MEDIAN(D1552:U1552))</f>
        <v/>
      </c>
      <c r="X1552" s="8">
        <f>IF(COUNT(D1552:U1552)=0,"",MAX(D1552:U1552))</f>
        <v/>
      </c>
      <c r="Y1552" s="9">
        <f>IF(OR(V1552="",V1552=0),"",(X1552-V1552)/V1552)</f>
        <v/>
      </c>
      <c r="Z1552" s="7">
        <f>IF(COUNT(D1552:U1552)=0,"",INDEX($D$1:$U$1,MATCH(MIN(D1552:U1552),D1552:U1552,0)))</f>
        <v/>
      </c>
      <c r="AA1552" s="8" t="n">
        <v>51.55</v>
      </c>
      <c r="AB1552" s="10" t="n">
        <v>1</v>
      </c>
    </row>
    <row r="1553">
      <c r="A1553" s="7" t="inlineStr">
        <is>
          <t>MAT-32-198</t>
        </is>
      </c>
      <c r="B1553" s="4" t="inlineStr">
        <is>
          <t>Codo de 90° de HG 3"</t>
        </is>
      </c>
      <c r="C1553" s="7" t="inlineStr">
        <is>
          <t>unidad</t>
        </is>
      </c>
      <c r="D1553" s="8" t="n"/>
      <c r="E1553" s="8" t="n">
        <v>464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>
        <f>IF(COUNT(D1553:U1553)=0,"",MIN(D1553:U1553))</f>
        <v/>
      </c>
      <c r="W1553" s="8">
        <f>IF(COUNT(D1553:U1553)=0,"",MEDIAN(D1553:U1553))</f>
        <v/>
      </c>
      <c r="X1553" s="8">
        <f>IF(COUNT(D1553:U1553)=0,"",MAX(D1553:U1553))</f>
        <v/>
      </c>
      <c r="Y1553" s="9">
        <f>IF(OR(V1553="",V1553=0),"",(X1553-V1553)/V1553)</f>
        <v/>
      </c>
      <c r="Z1553" s="7">
        <f>IF(COUNT(D1553:U1553)=0,"",INDEX($D$1:$U$1,MATCH(MIN(D1553:U1553),D1553:U1553,0)))</f>
        <v/>
      </c>
      <c r="AA1553" s="8" t="n">
        <v>464</v>
      </c>
      <c r="AB1553" s="10" t="n">
        <v>1</v>
      </c>
    </row>
    <row r="1554">
      <c r="A1554" s="7" t="inlineStr">
        <is>
          <t>MAT-32-199</t>
        </is>
      </c>
      <c r="B1554" s="4" t="inlineStr">
        <is>
          <t>Codo de 90° de HG 4"</t>
        </is>
      </c>
      <c r="C1554" s="7" t="inlineStr">
        <is>
          <t>unidad</t>
        </is>
      </c>
      <c r="D1554" s="8" t="n"/>
      <c r="E1554" s="8" t="n">
        <v>840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>
        <f>IF(COUNT(D1554:U1554)=0,"",MIN(D1554:U1554))</f>
        <v/>
      </c>
      <c r="W1554" s="8">
        <f>IF(COUNT(D1554:U1554)=0,"",MEDIAN(D1554:U1554))</f>
        <v/>
      </c>
      <c r="X1554" s="8">
        <f>IF(COUNT(D1554:U1554)=0,"",MAX(D1554:U1554))</f>
        <v/>
      </c>
      <c r="Y1554" s="9">
        <f>IF(OR(V1554="",V1554=0),"",(X1554-V1554)/V1554)</f>
        <v/>
      </c>
      <c r="Z1554" s="7">
        <f>IF(COUNT(D1554:U1554)=0,"",INDEX($D$1:$U$1,MATCH(MIN(D1554:U1554),D1554:U1554,0)))</f>
        <v/>
      </c>
      <c r="AA1554" s="8" t="n">
        <v>840</v>
      </c>
      <c r="AB1554" s="10" t="n">
        <v>1</v>
      </c>
    </row>
    <row r="1555">
      <c r="A1555" s="7" t="inlineStr">
        <is>
          <t>MAT-32-200</t>
        </is>
      </c>
      <c r="B1555" s="4" t="inlineStr">
        <is>
          <t>Codo de 90° de plástico 50"</t>
        </is>
      </c>
      <c r="C1555" s="7" t="inlineStr">
        <is>
          <t>unidad</t>
        </is>
      </c>
      <c r="D1555" s="8" t="n"/>
      <c r="E1555" s="8" t="n">
        <v>315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>
        <f>IF(COUNT(D1555:U1555)=0,"",MIN(D1555:U1555))</f>
        <v/>
      </c>
      <c r="W1555" s="8">
        <f>IF(COUNT(D1555:U1555)=0,"",MEDIAN(D1555:U1555))</f>
        <v/>
      </c>
      <c r="X1555" s="8">
        <f>IF(COUNT(D1555:U1555)=0,"",MAX(D1555:U1555))</f>
        <v/>
      </c>
      <c r="Y1555" s="9">
        <f>IF(OR(V1555="",V1555=0),"",(X1555-V1555)/V1555)</f>
        <v/>
      </c>
      <c r="Z1555" s="7">
        <f>IF(COUNT(D1555:U1555)=0,"",INDEX($D$1:$U$1,MATCH(MIN(D1555:U1555),D1555:U1555,0)))</f>
        <v/>
      </c>
      <c r="AA1555" s="8" t="n">
        <v>315</v>
      </c>
      <c r="AB1555" s="10" t="n">
        <v>1</v>
      </c>
    </row>
    <row r="1556">
      <c r="A1556" s="7" t="inlineStr">
        <is>
          <t>MAT-32-201</t>
        </is>
      </c>
      <c r="B1556" s="4" t="inlineStr">
        <is>
          <t>Codo de 90° de plástico 63"</t>
        </is>
      </c>
      <c r="C1556" s="7" t="inlineStr">
        <is>
          <t>unidad</t>
        </is>
      </c>
      <c r="D1556" s="8" t="n"/>
      <c r="E1556" s="8" t="n">
        <v>370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>
        <f>IF(COUNT(D1556:U1556)=0,"",MIN(D1556:U1556))</f>
        <v/>
      </c>
      <c r="W1556" s="8">
        <f>IF(COUNT(D1556:U1556)=0,"",MEDIAN(D1556:U1556))</f>
        <v/>
      </c>
      <c r="X1556" s="8">
        <f>IF(COUNT(D1556:U1556)=0,"",MAX(D1556:U1556))</f>
        <v/>
      </c>
      <c r="Y1556" s="9">
        <f>IF(OR(V1556="",V1556=0),"",(X1556-V1556)/V1556)</f>
        <v/>
      </c>
      <c r="Z1556" s="7">
        <f>IF(COUNT(D1556:U1556)=0,"",INDEX($D$1:$U$1,MATCH(MIN(D1556:U1556),D1556:U1556,0)))</f>
        <v/>
      </c>
      <c r="AA1556" s="8" t="n">
        <v>415</v>
      </c>
      <c r="AB1556" s="10" t="n">
        <v>1</v>
      </c>
    </row>
    <row r="1557">
      <c r="A1557" s="7" t="inlineStr">
        <is>
          <t>MAT-32-202</t>
        </is>
      </c>
      <c r="B1557" s="4" t="inlineStr">
        <is>
          <t>Codo de 90° de PPR 20 mm</t>
        </is>
      </c>
      <c r="C1557" s="7" t="inlineStr">
        <is>
          <t>unidad</t>
        </is>
      </c>
      <c r="D1557" s="8" t="n"/>
      <c r="E1557" s="8" t="n">
        <v>6.25</v>
      </c>
      <c r="F1557" s="8" t="n"/>
      <c r="G1557" s="8" t="n">
        <v>33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>
        <f>IF(COUNT(D1557:U1557)=0,"",MIN(D1557:U1557))</f>
        <v/>
      </c>
      <c r="W1557" s="8">
        <f>IF(COUNT(D1557:U1557)=0,"",MEDIAN(D1557:U1557))</f>
        <v/>
      </c>
      <c r="X1557" s="8">
        <f>IF(COUNT(D1557:U1557)=0,"",MAX(D1557:U1557))</f>
        <v/>
      </c>
      <c r="Y1557" s="9">
        <f>IF(OR(V1557="",V1557=0),"",(X1557-V1557)/V1557)</f>
        <v/>
      </c>
      <c r="Z1557" s="7">
        <f>IF(COUNT(D1557:U1557)=0,"",INDEX($D$1:$U$1,MATCH(MIN(D1557:U1557),D1557:U1557,0)))</f>
        <v/>
      </c>
      <c r="AA1557" s="8" t="n">
        <v>19.63</v>
      </c>
      <c r="AB1557" s="10" t="n">
        <v>2</v>
      </c>
    </row>
    <row r="1558">
      <c r="A1558" s="7" t="inlineStr">
        <is>
          <t>MAT-32-203</t>
        </is>
      </c>
      <c r="B1558" s="4" t="inlineStr">
        <is>
          <t>Codo de 90° de PPR 25 mm</t>
        </is>
      </c>
      <c r="C1558" s="7" t="inlineStr">
        <is>
          <t>unidad</t>
        </is>
      </c>
      <c r="D1558" s="8" t="n"/>
      <c r="E1558" s="8" t="n">
        <v>9.92</v>
      </c>
      <c r="F1558" s="8" t="n"/>
      <c r="G1558" s="8" t="n">
        <v>40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>
        <f>IF(COUNT(D1558:U1558)=0,"",MIN(D1558:U1558))</f>
        <v/>
      </c>
      <c r="W1558" s="8">
        <f>IF(COUNT(D1558:U1558)=0,"",MEDIAN(D1558:U1558))</f>
        <v/>
      </c>
      <c r="X1558" s="8">
        <f>IF(COUNT(D1558:U1558)=0,"",MAX(D1558:U1558))</f>
        <v/>
      </c>
      <c r="Y1558" s="9">
        <f>IF(OR(V1558="",V1558=0),"",(X1558-V1558)/V1558)</f>
        <v/>
      </c>
      <c r="Z1558" s="7">
        <f>IF(COUNT(D1558:U1558)=0,"",INDEX($D$1:$U$1,MATCH(MIN(D1558:U1558),D1558:U1558,0)))</f>
        <v/>
      </c>
      <c r="AA1558" s="8" t="n">
        <v>24.96</v>
      </c>
      <c r="AB1558" s="10" t="n">
        <v>2</v>
      </c>
    </row>
    <row r="1559">
      <c r="A1559" s="7" t="inlineStr">
        <is>
          <t>MAT-32-204</t>
        </is>
      </c>
      <c r="B1559" s="4" t="inlineStr">
        <is>
          <t>Codo de 90° de PPR 32 mm</t>
        </is>
      </c>
      <c r="C1559" s="7" t="inlineStr">
        <is>
          <t>unidad</t>
        </is>
      </c>
      <c r="D1559" s="8" t="n"/>
      <c r="E1559" s="8" t="n">
        <v>17.67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>
        <f>IF(COUNT(D1559:U1559)=0,"",MIN(D1559:U1559))</f>
        <v/>
      </c>
      <c r="W1559" s="8">
        <f>IF(COUNT(D1559:U1559)=0,"",MEDIAN(D1559:U1559))</f>
        <v/>
      </c>
      <c r="X1559" s="8">
        <f>IF(COUNT(D1559:U1559)=0,"",MAX(D1559:U1559))</f>
        <v/>
      </c>
      <c r="Y1559" s="9">
        <f>IF(OR(V1559="",V1559=0),"",(X1559-V1559)/V1559)</f>
        <v/>
      </c>
      <c r="Z1559" s="7">
        <f>IF(COUNT(D1559:U1559)=0,"",INDEX($D$1:$U$1,MATCH(MIN(D1559:U1559),D1559:U1559,0)))</f>
        <v/>
      </c>
      <c r="AA1559" s="8" t="n">
        <v>17.67</v>
      </c>
      <c r="AB1559" s="10" t="n">
        <v>1</v>
      </c>
    </row>
    <row r="1560">
      <c r="A1560" s="7" t="inlineStr">
        <is>
          <t>MAT-32-205</t>
        </is>
      </c>
      <c r="B1560" s="4" t="inlineStr">
        <is>
          <t>Codo de 90° de PPR 50 mm</t>
        </is>
      </c>
      <c r="C1560" s="7" t="inlineStr">
        <is>
          <t>unidad</t>
        </is>
      </c>
      <c r="D1560" s="8" t="n"/>
      <c r="E1560" s="8" t="n">
        <v>60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>
        <f>IF(COUNT(D1560:U1560)=0,"",MIN(D1560:U1560))</f>
        <v/>
      </c>
      <c r="W1560" s="8">
        <f>IF(COUNT(D1560:U1560)=0,"",MEDIAN(D1560:U1560))</f>
        <v/>
      </c>
      <c r="X1560" s="8">
        <f>IF(COUNT(D1560:U1560)=0,"",MAX(D1560:U1560))</f>
        <v/>
      </c>
      <c r="Y1560" s="9">
        <f>IF(OR(V1560="",V1560=0),"",(X1560-V1560)/V1560)</f>
        <v/>
      </c>
      <c r="Z1560" s="7">
        <f>IF(COUNT(D1560:U1560)=0,"",INDEX($D$1:$U$1,MATCH(MIN(D1560:U1560),D1560:U1560,0)))</f>
        <v/>
      </c>
      <c r="AA1560" s="8" t="n">
        <v>60</v>
      </c>
      <c r="AB1560" s="10" t="n">
        <v>1</v>
      </c>
    </row>
    <row r="1561">
      <c r="A1561" s="7" t="inlineStr">
        <is>
          <t>MAT-32-206</t>
        </is>
      </c>
      <c r="B1561" s="4" t="inlineStr">
        <is>
          <t>Codo de 90° de PVC drenaje 1 1/2"</t>
        </is>
      </c>
      <c r="C1561" s="7" t="inlineStr">
        <is>
          <t>unidad</t>
        </is>
      </c>
      <c r="D1561" s="8" t="n"/>
      <c r="E1561" s="8" t="n">
        <v>17.32</v>
      </c>
      <c r="F1561" s="8" t="n"/>
      <c r="G1561" s="8" t="n">
        <v>30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>
        <f>IF(COUNT(D1561:U1561)=0,"",MIN(D1561:U1561))</f>
        <v/>
      </c>
      <c r="W1561" s="8">
        <f>IF(COUNT(D1561:U1561)=0,"",MEDIAN(D1561:U1561))</f>
        <v/>
      </c>
      <c r="X1561" s="8">
        <f>IF(COUNT(D1561:U1561)=0,"",MAX(D1561:U1561))</f>
        <v/>
      </c>
      <c r="Y1561" s="9">
        <f>IF(OR(V1561="",V1561=0),"",(X1561-V1561)/V1561)</f>
        <v/>
      </c>
      <c r="Z1561" s="7">
        <f>IF(COUNT(D1561:U1561)=0,"",INDEX($D$1:$U$1,MATCH(MIN(D1561:U1561),D1561:U1561,0)))</f>
        <v/>
      </c>
      <c r="AA1561" s="8" t="n">
        <v>23.66</v>
      </c>
      <c r="AB1561" s="10" t="n">
        <v>2</v>
      </c>
    </row>
    <row r="1562">
      <c r="A1562" s="7" t="inlineStr">
        <is>
          <t>MAT-32-207</t>
        </is>
      </c>
      <c r="B1562" s="4" t="inlineStr">
        <is>
          <t>Codo de 90° de PVC drenaje 2"</t>
        </is>
      </c>
      <c r="C1562" s="7" t="inlineStr">
        <is>
          <t>unidad</t>
        </is>
      </c>
      <c r="D1562" s="8" t="n"/>
      <c r="E1562" s="8" t="n">
        <v>16.01</v>
      </c>
      <c r="F1562" s="8" t="n"/>
      <c r="G1562" s="8" t="n">
        <v>35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>
        <f>IF(COUNT(D1562:U1562)=0,"",MIN(D1562:U1562))</f>
        <v/>
      </c>
      <c r="W1562" s="8">
        <f>IF(COUNT(D1562:U1562)=0,"",MEDIAN(D1562:U1562))</f>
        <v/>
      </c>
      <c r="X1562" s="8">
        <f>IF(COUNT(D1562:U1562)=0,"",MAX(D1562:U1562))</f>
        <v/>
      </c>
      <c r="Y1562" s="9">
        <f>IF(OR(V1562="",V1562=0),"",(X1562-V1562)/V1562)</f>
        <v/>
      </c>
      <c r="Z1562" s="7">
        <f>IF(COUNT(D1562:U1562)=0,"",INDEX($D$1:$U$1,MATCH(MIN(D1562:U1562),D1562:U1562,0)))</f>
        <v/>
      </c>
      <c r="AA1562" s="8" t="n">
        <v>26.8</v>
      </c>
      <c r="AB1562" s="10" t="n">
        <v>2</v>
      </c>
    </row>
    <row r="1563">
      <c r="A1563" s="7" t="inlineStr">
        <is>
          <t>MAT-32-208</t>
        </is>
      </c>
      <c r="B1563" s="4" t="inlineStr">
        <is>
          <t>Codo de 90° de PVC drenaje 3"</t>
        </is>
      </c>
      <c r="C1563" s="7" t="inlineStr">
        <is>
          <t>unidad</t>
        </is>
      </c>
      <c r="D1563" s="8" t="n"/>
      <c r="E1563" s="8" t="n">
        <v>54.53</v>
      </c>
      <c r="F1563" s="8" t="n"/>
      <c r="G1563" s="8" t="n">
        <v>95</v>
      </c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>
        <f>IF(COUNT(D1563:U1563)=0,"",MIN(D1563:U1563))</f>
        <v/>
      </c>
      <c r="W1563" s="8">
        <f>IF(COUNT(D1563:U1563)=0,"",MEDIAN(D1563:U1563))</f>
        <v/>
      </c>
      <c r="X1563" s="8">
        <f>IF(COUNT(D1563:U1563)=0,"",MAX(D1563:U1563))</f>
        <v/>
      </c>
      <c r="Y1563" s="9">
        <f>IF(OR(V1563="",V1563=0),"",(X1563-V1563)/V1563)</f>
        <v/>
      </c>
      <c r="Z1563" s="7">
        <f>IF(COUNT(D1563:U1563)=0,"",INDEX($D$1:$U$1,MATCH(MIN(D1563:U1563),D1563:U1563,0)))</f>
        <v/>
      </c>
      <c r="AA1563" s="8" t="n">
        <v>75.16</v>
      </c>
      <c r="AB1563" s="10" t="n">
        <v>2</v>
      </c>
    </row>
    <row r="1564">
      <c r="A1564" s="7" t="inlineStr">
        <is>
          <t>MAT-32-209</t>
        </is>
      </c>
      <c r="B1564" s="4" t="inlineStr">
        <is>
          <t>Codo de 90° de PVC drenaje 4"</t>
        </is>
      </c>
      <c r="C1564" s="7" t="inlineStr">
        <is>
          <t>unidad</t>
        </is>
      </c>
      <c r="D1564" s="8" t="n"/>
      <c r="E1564" s="8" t="n">
        <v>89.5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>
        <f>IF(COUNT(D1564:U1564)=0,"",MIN(D1564:U1564))</f>
        <v/>
      </c>
      <c r="W1564" s="8">
        <f>IF(COUNT(D1564:U1564)=0,"",MEDIAN(D1564:U1564))</f>
        <v/>
      </c>
      <c r="X1564" s="8">
        <f>IF(COUNT(D1564:U1564)=0,"",MAX(D1564:U1564))</f>
        <v/>
      </c>
      <c r="Y1564" s="9">
        <f>IF(OR(V1564="",V1564=0),"",(X1564-V1564)/V1564)</f>
        <v/>
      </c>
      <c r="Z1564" s="7">
        <f>IF(COUNT(D1564:U1564)=0,"",INDEX($D$1:$U$1,MATCH(MIN(D1564:U1564),D1564:U1564,0)))</f>
        <v/>
      </c>
      <c r="AA1564" s="8" t="n">
        <v>113.88</v>
      </c>
      <c r="AB1564" s="10" t="n">
        <v>1</v>
      </c>
    </row>
    <row r="1565">
      <c r="A1565" s="7" t="inlineStr">
        <is>
          <t>MAT-32-210</t>
        </is>
      </c>
      <c r="B1565" s="4" t="inlineStr">
        <is>
          <t>Codo de 90° de PVC drenaje 6"</t>
        </is>
      </c>
      <c r="C1565" s="7" t="inlineStr">
        <is>
          <t>unidad</t>
        </is>
      </c>
      <c r="D1565" s="8" t="n"/>
      <c r="E1565" s="8" t="n">
        <v>256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>
        <f>IF(COUNT(D1565:U1565)=0,"",MIN(D1565:U1565))</f>
        <v/>
      </c>
      <c r="W1565" s="8">
        <f>IF(COUNT(D1565:U1565)=0,"",MEDIAN(D1565:U1565))</f>
        <v/>
      </c>
      <c r="X1565" s="8">
        <f>IF(COUNT(D1565:U1565)=0,"",MAX(D1565:U1565))</f>
        <v/>
      </c>
      <c r="Y1565" s="9">
        <f>IF(OR(V1565="",V1565=0),"",(X1565-V1565)/V1565)</f>
        <v/>
      </c>
      <c r="Z1565" s="7">
        <f>IF(COUNT(D1565:U1565)=0,"",INDEX($D$1:$U$1,MATCH(MIN(D1565:U1565),D1565:U1565,0)))</f>
        <v/>
      </c>
      <c r="AA1565" s="8" t="n">
        <v>360.5</v>
      </c>
      <c r="AB1565" s="10" t="n">
        <v>1</v>
      </c>
    </row>
    <row r="1566">
      <c r="A1566" s="7" t="inlineStr">
        <is>
          <t>MAT-32-211</t>
        </is>
      </c>
      <c r="B1566" s="4" t="inlineStr">
        <is>
          <t>Codo de 90° de PVC 1 1/2"</t>
        </is>
      </c>
      <c r="C1566" s="7" t="inlineStr">
        <is>
          <t>unidad</t>
        </is>
      </c>
      <c r="D1566" s="8" t="n"/>
      <c r="E1566" s="8" t="n">
        <v>70.2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>
        <f>IF(COUNT(D1566:U1566)=0,"",MIN(D1566:U1566))</f>
        <v/>
      </c>
      <c r="W1566" s="8">
        <f>IF(COUNT(D1566:U1566)=0,"",MEDIAN(D1566:U1566))</f>
        <v/>
      </c>
      <c r="X1566" s="8">
        <f>IF(COUNT(D1566:U1566)=0,"",MAX(D1566:U1566))</f>
        <v/>
      </c>
      <c r="Y1566" s="9">
        <f>IF(OR(V1566="",V1566=0),"",(X1566-V1566)/V1566)</f>
        <v/>
      </c>
      <c r="Z1566" s="7">
        <f>IF(COUNT(D1566:U1566)=0,"",INDEX($D$1:$U$1,MATCH(MIN(D1566:U1566),D1566:U1566,0)))</f>
        <v/>
      </c>
      <c r="AA1566" s="8" t="n">
        <v>70.2</v>
      </c>
      <c r="AB1566" s="10" t="n">
        <v>1</v>
      </c>
    </row>
    <row r="1567">
      <c r="A1567" s="7" t="inlineStr">
        <is>
          <t>MAT-32-212</t>
        </is>
      </c>
      <c r="B1567" s="4" t="inlineStr">
        <is>
          <t>Codo de 90° de PVC 1"</t>
        </is>
      </c>
      <c r="C1567" s="7" t="inlineStr">
        <is>
          <t>unidad</t>
        </is>
      </c>
      <c r="D1567" s="8" t="n"/>
      <c r="E1567" s="8" t="n">
        <v>40.38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>
        <f>IF(COUNT(D1567:U1567)=0,"",MIN(D1567:U1567))</f>
        <v/>
      </c>
      <c r="W1567" s="8">
        <f>IF(COUNT(D1567:U1567)=0,"",MEDIAN(D1567:U1567))</f>
        <v/>
      </c>
      <c r="X1567" s="8">
        <f>IF(COUNT(D1567:U1567)=0,"",MAX(D1567:U1567))</f>
        <v/>
      </c>
      <c r="Y1567" s="9">
        <f>IF(OR(V1567="",V1567=0),"",(X1567-V1567)/V1567)</f>
        <v/>
      </c>
      <c r="Z1567" s="7">
        <f>IF(COUNT(D1567:U1567)=0,"",INDEX($D$1:$U$1,MATCH(MIN(D1567:U1567),D1567:U1567,0)))</f>
        <v/>
      </c>
      <c r="AA1567" s="8" t="n">
        <v>40.38</v>
      </c>
      <c r="AB1567" s="10" t="n">
        <v>1</v>
      </c>
    </row>
    <row r="1568">
      <c r="A1568" s="7" t="inlineStr">
        <is>
          <t>MAT-32-213</t>
        </is>
      </c>
      <c r="B1568" s="4" t="inlineStr">
        <is>
          <t>Codo de 90° de PVC 2"</t>
        </is>
      </c>
      <c r="C1568" s="7" t="inlineStr">
        <is>
          <t>unidad</t>
        </is>
      </c>
      <c r="D1568" s="8" t="n"/>
      <c r="E1568" s="8" t="n">
        <v>120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>
        <f>IF(COUNT(D1568:U1568)=0,"",MIN(D1568:U1568))</f>
        <v/>
      </c>
      <c r="W1568" s="8">
        <f>IF(COUNT(D1568:U1568)=0,"",MEDIAN(D1568:U1568))</f>
        <v/>
      </c>
      <c r="X1568" s="8">
        <f>IF(COUNT(D1568:U1568)=0,"",MAX(D1568:U1568))</f>
        <v/>
      </c>
      <c r="Y1568" s="9">
        <f>IF(OR(V1568="",V1568=0),"",(X1568-V1568)/V1568)</f>
        <v/>
      </c>
      <c r="Z1568" s="7">
        <f>IF(COUNT(D1568:U1568)=0,"",INDEX($D$1:$U$1,MATCH(MIN(D1568:U1568),D1568:U1568,0)))</f>
        <v/>
      </c>
      <c r="AA1568" s="8" t="n">
        <v>120</v>
      </c>
      <c r="AB1568" s="10" t="n">
        <v>1</v>
      </c>
    </row>
    <row r="1569">
      <c r="A1569" s="7" t="inlineStr">
        <is>
          <t>MAT-32-214</t>
        </is>
      </c>
      <c r="B1569" s="4" t="inlineStr">
        <is>
          <t>Codo de 90° de PVC 3/4"</t>
        </is>
      </c>
      <c r="C1569" s="7" t="inlineStr">
        <is>
          <t>unidad</t>
        </is>
      </c>
      <c r="D1569" s="8" t="n"/>
      <c r="E1569" s="8" t="n">
        <v>22.22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>
        <f>IF(COUNT(D1569:U1569)=0,"",MIN(D1569:U1569))</f>
        <v/>
      </c>
      <c r="W1569" s="8">
        <f>IF(COUNT(D1569:U1569)=0,"",MEDIAN(D1569:U1569))</f>
        <v/>
      </c>
      <c r="X1569" s="8">
        <f>IF(COUNT(D1569:U1569)=0,"",MAX(D1569:U1569))</f>
        <v/>
      </c>
      <c r="Y1569" s="9">
        <f>IF(OR(V1569="",V1569=0),"",(X1569-V1569)/V1569)</f>
        <v/>
      </c>
      <c r="Z1569" s="7">
        <f>IF(COUNT(D1569:U1569)=0,"",INDEX($D$1:$U$1,MATCH(MIN(D1569:U1569),D1569:U1569,0)))</f>
        <v/>
      </c>
      <c r="AA1569" s="8" t="n">
        <v>22.22</v>
      </c>
      <c r="AB1569" s="10" t="n">
        <v>1</v>
      </c>
    </row>
    <row r="1570">
      <c r="A1570" s="7" t="inlineStr">
        <is>
          <t>MAT-32-215</t>
        </is>
      </c>
      <c r="B1570" s="4" t="inlineStr">
        <is>
          <t>Codo de 90° de PVC presión 1 1/2"</t>
        </is>
      </c>
      <c r="C1570" s="7" t="inlineStr">
        <is>
          <t>unidad</t>
        </is>
      </c>
      <c r="D1570" s="8" t="n"/>
      <c r="E1570" s="8" t="n">
        <v>28.52</v>
      </c>
      <c r="F1570" s="8" t="n"/>
      <c r="G1570" s="8" t="n">
        <v>55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>
        <f>IF(COUNT(D1570:U1570)=0,"",MIN(D1570:U1570))</f>
        <v/>
      </c>
      <c r="W1570" s="8">
        <f>IF(COUNT(D1570:U1570)=0,"",MEDIAN(D1570:U1570))</f>
        <v/>
      </c>
      <c r="X1570" s="8">
        <f>IF(COUNT(D1570:U1570)=0,"",MAX(D1570:U1570))</f>
        <v/>
      </c>
      <c r="Y1570" s="9">
        <f>IF(OR(V1570="",V1570=0),"",(X1570-V1570)/V1570)</f>
        <v/>
      </c>
      <c r="Z1570" s="7">
        <f>IF(COUNT(D1570:U1570)=0,"",INDEX($D$1:$U$1,MATCH(MIN(D1570:U1570),D1570:U1570,0)))</f>
        <v/>
      </c>
      <c r="AA1570" s="8" t="n">
        <v>44.53</v>
      </c>
      <c r="AB1570" s="10" t="n">
        <v>2</v>
      </c>
    </row>
    <row r="1571">
      <c r="A1571" s="7" t="inlineStr">
        <is>
          <t>MAT-32-216</t>
        </is>
      </c>
      <c r="B1571" s="4" t="inlineStr">
        <is>
          <t>Codo de 90° de PVC presión 1/2"</t>
        </is>
      </c>
      <c r="C1571" s="7" t="inlineStr">
        <is>
          <t>unidad</t>
        </is>
      </c>
      <c r="D1571" s="8" t="n"/>
      <c r="E1571" s="8" t="n">
        <v>5.75</v>
      </c>
      <c r="F1571" s="8" t="n"/>
      <c r="G1571" s="8" t="n">
        <v>15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>
        <f>IF(COUNT(D1571:U1571)=0,"",MIN(D1571:U1571))</f>
        <v/>
      </c>
      <c r="W1571" s="8">
        <f>IF(COUNT(D1571:U1571)=0,"",MEDIAN(D1571:U1571))</f>
        <v/>
      </c>
      <c r="X1571" s="8">
        <f>IF(COUNT(D1571:U1571)=0,"",MAX(D1571:U1571))</f>
        <v/>
      </c>
      <c r="Y1571" s="9">
        <f>IF(OR(V1571="",V1571=0),"",(X1571-V1571)/V1571)</f>
        <v/>
      </c>
      <c r="Z1571" s="7">
        <f>IF(COUNT(D1571:U1571)=0,"",INDEX($D$1:$U$1,MATCH(MIN(D1571:U1571),D1571:U1571,0)))</f>
        <v/>
      </c>
      <c r="AA1571" s="8" t="n">
        <v>10</v>
      </c>
      <c r="AB1571" s="10" t="n">
        <v>2</v>
      </c>
    </row>
    <row r="1572">
      <c r="A1572" s="7" t="inlineStr">
        <is>
          <t>MAT-32-217</t>
        </is>
      </c>
      <c r="B1572" s="4" t="inlineStr">
        <is>
          <t>Codo de 90° de PVC presión 1"</t>
        </is>
      </c>
      <c r="C1572" s="7" t="inlineStr">
        <is>
          <t>unidad</t>
        </is>
      </c>
      <c r="D1572" s="8" t="n"/>
      <c r="E1572" s="8" t="n">
        <v>11.38</v>
      </c>
      <c r="F1572" s="8" t="n"/>
      <c r="G1572" s="8" t="n">
        <v>27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>
        <f>IF(COUNT(D1572:U1572)=0,"",MIN(D1572:U1572))</f>
        <v/>
      </c>
      <c r="W1572" s="8">
        <f>IF(COUNT(D1572:U1572)=0,"",MEDIAN(D1572:U1572))</f>
        <v/>
      </c>
      <c r="X1572" s="8">
        <f>IF(COUNT(D1572:U1572)=0,"",MAX(D1572:U1572))</f>
        <v/>
      </c>
      <c r="Y1572" s="9">
        <f>IF(OR(V1572="",V1572=0),"",(X1572-V1572)/V1572)</f>
        <v/>
      </c>
      <c r="Z1572" s="7">
        <f>IF(COUNT(D1572:U1572)=0,"",INDEX($D$1:$U$1,MATCH(MIN(D1572:U1572),D1572:U1572,0)))</f>
        <v/>
      </c>
      <c r="AA1572" s="8" t="n">
        <v>20.05</v>
      </c>
      <c r="AB1572" s="10" t="n">
        <v>2</v>
      </c>
    </row>
    <row r="1573">
      <c r="A1573" s="7" t="inlineStr">
        <is>
          <t>MAT-32-218</t>
        </is>
      </c>
      <c r="B1573" s="4" t="inlineStr">
        <is>
          <t>Codo de 90° de PVC presión 2"</t>
        </is>
      </c>
      <c r="C1573" s="7" t="inlineStr">
        <is>
          <t>unidad</t>
        </is>
      </c>
      <c r="D1573" s="8" t="n"/>
      <c r="E1573" s="8" t="n">
        <v>46.28</v>
      </c>
      <c r="F1573" s="8" t="n"/>
      <c r="G1573" s="8" t="n">
        <v>145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>
        <f>IF(COUNT(D1573:U1573)=0,"",MIN(D1573:U1573))</f>
        <v/>
      </c>
      <c r="W1573" s="8">
        <f>IF(COUNT(D1573:U1573)=0,"",MEDIAN(D1573:U1573))</f>
        <v/>
      </c>
      <c r="X1573" s="8">
        <f>IF(COUNT(D1573:U1573)=0,"",MAX(D1573:U1573))</f>
        <v/>
      </c>
      <c r="Y1573" s="9">
        <f>IF(OR(V1573="",V1573=0),"",(X1573-V1573)/V1573)</f>
        <v/>
      </c>
      <c r="Z1573" s="7">
        <f>IF(COUNT(D1573:U1573)=0,"",INDEX($D$1:$U$1,MATCH(MIN(D1573:U1573),D1573:U1573,0)))</f>
        <v/>
      </c>
      <c r="AA1573" s="8" t="n">
        <v>67.15000000000001</v>
      </c>
      <c r="AB1573" s="10" t="n">
        <v>2</v>
      </c>
    </row>
    <row r="1574">
      <c r="A1574" s="7" t="inlineStr">
        <is>
          <t>MAT-32-219</t>
        </is>
      </c>
      <c r="B1574" s="4" t="inlineStr">
        <is>
          <t>Codo de 90° de PVC presión 3/4"</t>
        </is>
      </c>
      <c r="C1574" s="7" t="inlineStr">
        <is>
          <t>unidad</t>
        </is>
      </c>
      <c r="D1574" s="8" t="n"/>
      <c r="E1574" s="8" t="n">
        <v>8.42</v>
      </c>
      <c r="F1574" s="8" t="n"/>
      <c r="G1574" s="8" t="n">
        <v>15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>
        <f>IF(COUNT(D1574:U1574)=0,"",MIN(D1574:U1574))</f>
        <v/>
      </c>
      <c r="W1574" s="8">
        <f>IF(COUNT(D1574:U1574)=0,"",MEDIAN(D1574:U1574))</f>
        <v/>
      </c>
      <c r="X1574" s="8">
        <f>IF(COUNT(D1574:U1574)=0,"",MAX(D1574:U1574))</f>
        <v/>
      </c>
      <c r="Y1574" s="9">
        <f>IF(OR(V1574="",V1574=0),"",(X1574-V1574)/V1574)</f>
        <v/>
      </c>
      <c r="Z1574" s="7">
        <f>IF(COUNT(D1574:U1574)=0,"",INDEX($D$1:$U$1,MATCH(MIN(D1574:U1574),D1574:U1574,0)))</f>
        <v/>
      </c>
      <c r="AA1574" s="8" t="n">
        <v>12.15</v>
      </c>
      <c r="AB1574" s="10" t="n">
        <v>2</v>
      </c>
    </row>
    <row r="1575">
      <c r="A1575" s="7" t="inlineStr">
        <is>
          <t>MAT-32-220</t>
        </is>
      </c>
      <c r="B1575" s="4" t="inlineStr">
        <is>
          <t>Codo de 90° de PVC presión 3"</t>
        </is>
      </c>
      <c r="C1575" s="7" t="inlineStr">
        <is>
          <t>unidad</t>
        </is>
      </c>
      <c r="D1575" s="8" t="n"/>
      <c r="E1575" s="8" t="n">
        <v>126</v>
      </c>
      <c r="F1575" s="8" t="n"/>
      <c r="G1575" s="8" t="n">
        <v>233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>
        <f>IF(COUNT(D1575:U1575)=0,"",MIN(D1575:U1575))</f>
        <v/>
      </c>
      <c r="W1575" s="8">
        <f>IF(COUNT(D1575:U1575)=0,"",MEDIAN(D1575:U1575))</f>
        <v/>
      </c>
      <c r="X1575" s="8">
        <f>IF(COUNT(D1575:U1575)=0,"",MAX(D1575:U1575))</f>
        <v/>
      </c>
      <c r="Y1575" s="9">
        <f>IF(OR(V1575="",V1575=0),"",(X1575-V1575)/V1575)</f>
        <v/>
      </c>
      <c r="Z1575" s="7">
        <f>IF(COUNT(D1575:U1575)=0,"",INDEX($D$1:$U$1,MATCH(MIN(D1575:U1575),D1575:U1575,0)))</f>
        <v/>
      </c>
      <c r="AA1575" s="8" t="n">
        <v>187.35</v>
      </c>
      <c r="AB1575" s="10" t="n">
        <v>2</v>
      </c>
    </row>
    <row r="1576">
      <c r="A1576" s="7" t="inlineStr">
        <is>
          <t>MAT-32-221</t>
        </is>
      </c>
      <c r="B1576" s="4" t="inlineStr">
        <is>
          <t>Codo de 90° de PVC presión 4"</t>
        </is>
      </c>
      <c r="C1576" s="7" t="inlineStr">
        <is>
          <t>unidad</t>
        </is>
      </c>
      <c r="D1576" s="8" t="n"/>
      <c r="E1576" s="8" t="n">
        <v>206</v>
      </c>
      <c r="F1576" s="8" t="n"/>
      <c r="G1576" s="8" t="n">
        <v>370</v>
      </c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>
        <f>IF(COUNT(D1576:U1576)=0,"",MIN(D1576:U1576))</f>
        <v/>
      </c>
      <c r="W1576" s="8">
        <f>IF(COUNT(D1576:U1576)=0,"",MEDIAN(D1576:U1576))</f>
        <v/>
      </c>
      <c r="X1576" s="8">
        <f>IF(COUNT(D1576:U1576)=0,"",MAX(D1576:U1576))</f>
        <v/>
      </c>
      <c r="Y1576" s="9">
        <f>IF(OR(V1576="",V1576=0),"",(X1576-V1576)/V1576)</f>
        <v/>
      </c>
      <c r="Z1576" s="7">
        <f>IF(COUNT(D1576:U1576)=0,"",INDEX($D$1:$U$1,MATCH(MIN(D1576:U1576),D1576:U1576,0)))</f>
        <v/>
      </c>
      <c r="AA1576" s="8" t="n">
        <v>309.43</v>
      </c>
      <c r="AB1576" s="10" t="n">
        <v>2</v>
      </c>
    </row>
    <row r="1577">
      <c r="A1577" s="7" t="inlineStr">
        <is>
          <t>MAT-32-222</t>
        </is>
      </c>
      <c r="B1577" s="4" t="inlineStr">
        <is>
          <t>Codo de 90° de PVC presión 6"</t>
        </is>
      </c>
      <c r="C1577" s="7" t="inlineStr">
        <is>
          <t>unidad</t>
        </is>
      </c>
      <c r="D1577" s="8" t="n"/>
      <c r="E1577" s="8" t="n">
        <v>710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>
        <f>IF(COUNT(D1577:U1577)=0,"",MIN(D1577:U1577))</f>
        <v/>
      </c>
      <c r="W1577" s="8">
        <f>IF(COUNT(D1577:U1577)=0,"",MEDIAN(D1577:U1577))</f>
        <v/>
      </c>
      <c r="X1577" s="8">
        <f>IF(COUNT(D1577:U1577)=0,"",MAX(D1577:U1577))</f>
        <v/>
      </c>
      <c r="Y1577" s="9">
        <f>IF(OR(V1577="",V1577=0),"",(X1577-V1577)/V1577)</f>
        <v/>
      </c>
      <c r="Z1577" s="7">
        <f>IF(COUNT(D1577:U1577)=0,"",INDEX($D$1:$U$1,MATCH(MIN(D1577:U1577),D1577:U1577,0)))</f>
        <v/>
      </c>
      <c r="AA1577" s="8" t="n">
        <v>787.5</v>
      </c>
      <c r="AB1577" s="10" t="n">
        <v>1</v>
      </c>
    </row>
    <row r="1578">
      <c r="A1578" s="7" t="inlineStr">
        <is>
          <t>MAT-32-223</t>
        </is>
      </c>
      <c r="B1578" s="4" t="inlineStr">
        <is>
          <t>Codo de 90° de PVC presión 8"</t>
        </is>
      </c>
      <c r="C1578" s="7" t="inlineStr">
        <is>
          <t>unidad</t>
        </is>
      </c>
      <c r="D1578" s="8" t="n"/>
      <c r="E1578" s="8" t="n">
        <v>4205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>
        <f>IF(COUNT(D1578:U1578)=0,"",MIN(D1578:U1578))</f>
        <v/>
      </c>
      <c r="W1578" s="8">
        <f>IF(COUNT(D1578:U1578)=0,"",MEDIAN(D1578:U1578))</f>
        <v/>
      </c>
      <c r="X1578" s="8">
        <f>IF(COUNT(D1578:U1578)=0,"",MAX(D1578:U1578))</f>
        <v/>
      </c>
      <c r="Y1578" s="9">
        <f>IF(OR(V1578="",V1578=0),"",(X1578-V1578)/V1578)</f>
        <v/>
      </c>
      <c r="Z1578" s="7">
        <f>IF(COUNT(D1578:U1578)=0,"",INDEX($D$1:$U$1,MATCH(MIN(D1578:U1578),D1578:U1578,0)))</f>
        <v/>
      </c>
      <c r="AA1578" s="8" t="n">
        <v>4205</v>
      </c>
      <c r="AB1578" s="10" t="n">
        <v>1</v>
      </c>
    </row>
    <row r="1579">
      <c r="A1579" s="7" t="inlineStr">
        <is>
          <t>MAT-32-224</t>
        </is>
      </c>
      <c r="B1579" s="4" t="inlineStr">
        <is>
          <t>Codo de bronce 1/2"</t>
        </is>
      </c>
      <c r="C1579" s="7" t="inlineStr">
        <is>
          <t>unidad</t>
        </is>
      </c>
      <c r="D1579" s="8" t="n"/>
      <c r="E1579" s="8" t="n">
        <v>195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>
        <f>IF(COUNT(D1579:U1579)=0,"",MIN(D1579:U1579))</f>
        <v/>
      </c>
      <c r="W1579" s="8">
        <f>IF(COUNT(D1579:U1579)=0,"",MEDIAN(D1579:U1579))</f>
        <v/>
      </c>
      <c r="X1579" s="8">
        <f>IF(COUNT(D1579:U1579)=0,"",MAX(D1579:U1579))</f>
        <v/>
      </c>
      <c r="Y1579" s="9">
        <f>IF(OR(V1579="",V1579=0),"",(X1579-V1579)/V1579)</f>
        <v/>
      </c>
      <c r="Z1579" s="7">
        <f>IF(COUNT(D1579:U1579)=0,"",INDEX($D$1:$U$1,MATCH(MIN(D1579:U1579),D1579:U1579,0)))</f>
        <v/>
      </c>
      <c r="AA1579" s="8" t="n">
        <v>195</v>
      </c>
      <c r="AB1579" s="10" t="n">
        <v>1</v>
      </c>
    </row>
    <row r="1580">
      <c r="A1580" s="7" t="inlineStr">
        <is>
          <t>MAT-32-225</t>
        </is>
      </c>
      <c r="B1580" s="4" t="inlineStr">
        <is>
          <t>Codo de bronce 1/4"</t>
        </is>
      </c>
      <c r="C1580" s="7" t="inlineStr">
        <is>
          <t>unidad</t>
        </is>
      </c>
      <c r="D1580" s="8" t="n"/>
      <c r="E1580" s="8" t="n">
        <v>60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>
        <f>IF(COUNT(D1580:U1580)=0,"",MIN(D1580:U1580))</f>
        <v/>
      </c>
      <c r="W1580" s="8">
        <f>IF(COUNT(D1580:U1580)=0,"",MEDIAN(D1580:U1580))</f>
        <v/>
      </c>
      <c r="X1580" s="8">
        <f>IF(COUNT(D1580:U1580)=0,"",MAX(D1580:U1580))</f>
        <v/>
      </c>
      <c r="Y1580" s="9">
        <f>IF(OR(V1580="",V1580=0),"",(X1580-V1580)/V1580)</f>
        <v/>
      </c>
      <c r="Z1580" s="7">
        <f>IF(COUNT(D1580:U1580)=0,"",INDEX($D$1:$U$1,MATCH(MIN(D1580:U1580),D1580:U1580,0)))</f>
        <v/>
      </c>
      <c r="AA1580" s="8" t="n">
        <v>65</v>
      </c>
      <c r="AB1580" s="10" t="n">
        <v>1</v>
      </c>
    </row>
    <row r="1581">
      <c r="A1581" s="7" t="inlineStr">
        <is>
          <t>MAT-32-226</t>
        </is>
      </c>
      <c r="B1581" s="4" t="inlineStr">
        <is>
          <t>Codo de bronce 12"</t>
        </is>
      </c>
      <c r="C1581" s="7" t="inlineStr">
        <is>
          <t>unidad</t>
        </is>
      </c>
      <c r="D1581" s="8" t="n"/>
      <c r="E1581" s="8" t="n">
        <v>407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>
        <f>IF(COUNT(D1581:U1581)=0,"",MIN(D1581:U1581))</f>
        <v/>
      </c>
      <c r="W1581" s="8">
        <f>IF(COUNT(D1581:U1581)=0,"",MEDIAN(D1581:U1581))</f>
        <v/>
      </c>
      <c r="X1581" s="8">
        <f>IF(COUNT(D1581:U1581)=0,"",MAX(D1581:U1581))</f>
        <v/>
      </c>
      <c r="Y1581" s="9">
        <f>IF(OR(V1581="",V1581=0),"",(X1581-V1581)/V1581)</f>
        <v/>
      </c>
      <c r="Z1581" s="7">
        <f>IF(COUNT(D1581:U1581)=0,"",INDEX($D$1:$U$1,MATCH(MIN(D1581:U1581),D1581:U1581,0)))</f>
        <v/>
      </c>
      <c r="AA1581" s="8" t="n">
        <v>407</v>
      </c>
      <c r="AB1581" s="10" t="n">
        <v>1</v>
      </c>
    </row>
    <row r="1582">
      <c r="A1582" s="7" t="inlineStr">
        <is>
          <t>MAT-32-227</t>
        </is>
      </c>
      <c r="B1582" s="4" t="inlineStr">
        <is>
          <t>Codo de bronce 12" x 1/2"</t>
        </is>
      </c>
      <c r="C1582" s="7" t="inlineStr">
        <is>
          <t>unidad</t>
        </is>
      </c>
      <c r="D1582" s="8" t="n"/>
      <c r="E1582" s="8" t="n">
        <v>279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>
        <f>IF(COUNT(D1582:U1582)=0,"",MIN(D1582:U1582))</f>
        <v/>
      </c>
      <c r="W1582" s="8">
        <f>IF(COUNT(D1582:U1582)=0,"",MEDIAN(D1582:U1582))</f>
        <v/>
      </c>
      <c r="X1582" s="8">
        <f>IF(COUNT(D1582:U1582)=0,"",MAX(D1582:U1582))</f>
        <v/>
      </c>
      <c r="Y1582" s="9">
        <f>IF(OR(V1582="",V1582=0),"",(X1582-V1582)/V1582)</f>
        <v/>
      </c>
      <c r="Z1582" s="7">
        <f>IF(COUNT(D1582:U1582)=0,"",INDEX($D$1:$U$1,MATCH(MIN(D1582:U1582),D1582:U1582,0)))</f>
        <v/>
      </c>
      <c r="AA1582" s="8" t="n">
        <v>287</v>
      </c>
      <c r="AB1582" s="10" t="n">
        <v>1</v>
      </c>
    </row>
    <row r="1583">
      <c r="A1583" s="7" t="inlineStr">
        <is>
          <t>MAT-32-228</t>
        </is>
      </c>
      <c r="B1583" s="4" t="inlineStr">
        <is>
          <t>Codo de bronce 15"</t>
        </is>
      </c>
      <c r="C1583" s="7" t="inlineStr">
        <is>
          <t>unidad</t>
        </is>
      </c>
      <c r="D1583" s="8" t="n"/>
      <c r="E1583" s="8" t="n">
        <v>422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>
        <f>IF(COUNT(D1583:U1583)=0,"",MIN(D1583:U1583))</f>
        <v/>
      </c>
      <c r="W1583" s="8">
        <f>IF(COUNT(D1583:U1583)=0,"",MEDIAN(D1583:U1583))</f>
        <v/>
      </c>
      <c r="X1583" s="8">
        <f>IF(COUNT(D1583:U1583)=0,"",MAX(D1583:U1583))</f>
        <v/>
      </c>
      <c r="Y1583" s="9">
        <f>IF(OR(V1583="",V1583=0),"",(X1583-V1583)/V1583)</f>
        <v/>
      </c>
      <c r="Z1583" s="7">
        <f>IF(COUNT(D1583:U1583)=0,"",INDEX($D$1:$U$1,MATCH(MIN(D1583:U1583),D1583:U1583,0)))</f>
        <v/>
      </c>
      <c r="AA1583" s="8" t="n">
        <v>432</v>
      </c>
      <c r="AB1583" s="10" t="n">
        <v>1</v>
      </c>
    </row>
    <row r="1584">
      <c r="A1584" s="7" t="inlineStr">
        <is>
          <t>MAT-32-229</t>
        </is>
      </c>
      <c r="B1584" s="4" t="inlineStr">
        <is>
          <t>Codo de bronce 15" x 1/2"</t>
        </is>
      </c>
      <c r="C1584" s="7" t="inlineStr">
        <is>
          <t>unidad</t>
        </is>
      </c>
      <c r="D1584" s="8" t="n"/>
      <c r="E1584" s="8" t="n">
        <v>269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>
        <f>IF(COUNT(D1584:U1584)=0,"",MIN(D1584:U1584))</f>
        <v/>
      </c>
      <c r="W1584" s="8">
        <f>IF(COUNT(D1584:U1584)=0,"",MEDIAN(D1584:U1584))</f>
        <v/>
      </c>
      <c r="X1584" s="8">
        <f>IF(COUNT(D1584:U1584)=0,"",MAX(D1584:U1584))</f>
        <v/>
      </c>
      <c r="Y1584" s="9">
        <f>IF(OR(V1584="",V1584=0),"",(X1584-V1584)/V1584)</f>
        <v/>
      </c>
      <c r="Z1584" s="7">
        <f>IF(COUNT(D1584:U1584)=0,"",INDEX($D$1:$U$1,MATCH(MIN(D1584:U1584),D1584:U1584,0)))</f>
        <v/>
      </c>
      <c r="AA1584" s="8" t="n">
        <v>294.5</v>
      </c>
      <c r="AB1584" s="10" t="n">
        <v>1</v>
      </c>
    </row>
    <row r="1585">
      <c r="A1585" s="7" t="inlineStr">
        <is>
          <t>MAT-32-230</t>
        </is>
      </c>
      <c r="B1585" s="4" t="inlineStr">
        <is>
          <t>Codo de bronce 15" x 3/4"</t>
        </is>
      </c>
      <c r="C1585" s="7" t="inlineStr">
        <is>
          <t>unidad</t>
        </is>
      </c>
      <c r="D1585" s="8" t="n"/>
      <c r="E1585" s="8" t="n">
        <v>430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>
        <f>IF(COUNT(D1585:U1585)=0,"",MIN(D1585:U1585))</f>
        <v/>
      </c>
      <c r="W1585" s="8">
        <f>IF(COUNT(D1585:U1585)=0,"",MEDIAN(D1585:U1585))</f>
        <v/>
      </c>
      <c r="X1585" s="8">
        <f>IF(COUNT(D1585:U1585)=0,"",MAX(D1585:U1585))</f>
        <v/>
      </c>
      <c r="Y1585" s="9">
        <f>IF(OR(V1585="",V1585=0),"",(X1585-V1585)/V1585)</f>
        <v/>
      </c>
      <c r="Z1585" s="7">
        <f>IF(COUNT(D1585:U1585)=0,"",INDEX($D$1:$U$1,MATCH(MIN(D1585:U1585),D1585:U1585,0)))</f>
        <v/>
      </c>
      <c r="AA1585" s="8" t="n">
        <v>430</v>
      </c>
      <c r="AB1585" s="10" t="n">
        <v>1</v>
      </c>
    </row>
    <row r="1586">
      <c r="A1586" s="7" t="inlineStr">
        <is>
          <t>MAT-32-231</t>
        </is>
      </c>
      <c r="B1586" s="4" t="inlineStr">
        <is>
          <t>Codo de bronce 18"</t>
        </is>
      </c>
      <c r="C1586" s="7" t="inlineStr">
        <is>
          <t>unidad</t>
        </is>
      </c>
      <c r="D1586" s="8" t="n"/>
      <c r="E1586" s="8" t="n">
        <v>592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>
        <f>IF(COUNT(D1586:U1586)=0,"",MIN(D1586:U1586))</f>
        <v/>
      </c>
      <c r="W1586" s="8">
        <f>IF(COUNT(D1586:U1586)=0,"",MEDIAN(D1586:U1586))</f>
        <v/>
      </c>
      <c r="X1586" s="8">
        <f>IF(COUNT(D1586:U1586)=0,"",MAX(D1586:U1586))</f>
        <v/>
      </c>
      <c r="Y1586" s="9">
        <f>IF(OR(V1586="",V1586=0),"",(X1586-V1586)/V1586)</f>
        <v/>
      </c>
      <c r="Z1586" s="7">
        <f>IF(COUNT(D1586:U1586)=0,"",INDEX($D$1:$U$1,MATCH(MIN(D1586:U1586),D1586:U1586,0)))</f>
        <v/>
      </c>
      <c r="AA1586" s="8" t="n">
        <v>592</v>
      </c>
      <c r="AB1586" s="10" t="n">
        <v>1</v>
      </c>
    </row>
    <row r="1587">
      <c r="A1587" s="7" t="inlineStr">
        <is>
          <t>MAT-32-232</t>
        </is>
      </c>
      <c r="B1587" s="4" t="inlineStr">
        <is>
          <t>Codo de bronce 18" x 1/2"</t>
        </is>
      </c>
      <c r="C1587" s="7" t="inlineStr">
        <is>
          <t>unidad</t>
        </is>
      </c>
      <c r="D1587" s="8" t="n"/>
      <c r="E1587" s="8" t="n">
        <v>370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>
        <f>IF(COUNT(D1587:U1587)=0,"",MIN(D1587:U1587))</f>
        <v/>
      </c>
      <c r="W1587" s="8">
        <f>IF(COUNT(D1587:U1587)=0,"",MEDIAN(D1587:U1587))</f>
        <v/>
      </c>
      <c r="X1587" s="8">
        <f>IF(COUNT(D1587:U1587)=0,"",MAX(D1587:U1587))</f>
        <v/>
      </c>
      <c r="Y1587" s="9">
        <f>IF(OR(V1587="",V1587=0),"",(X1587-V1587)/V1587)</f>
        <v/>
      </c>
      <c r="Z1587" s="7">
        <f>IF(COUNT(D1587:U1587)=0,"",INDEX($D$1:$U$1,MATCH(MIN(D1587:U1587),D1587:U1587,0)))</f>
        <v/>
      </c>
      <c r="AA1587" s="8" t="n">
        <v>421</v>
      </c>
      <c r="AB1587" s="10" t="n">
        <v>1</v>
      </c>
    </row>
    <row r="1588">
      <c r="A1588" s="7" t="inlineStr">
        <is>
          <t>MAT-32-233</t>
        </is>
      </c>
      <c r="B1588" s="4" t="inlineStr">
        <is>
          <t>Codo de bronce 18" x 3/4"</t>
        </is>
      </c>
      <c r="C1588" s="7" t="inlineStr">
        <is>
          <t>unidad</t>
        </is>
      </c>
      <c r="D1588" s="8" t="n"/>
      <c r="E1588" s="8" t="n">
        <v>415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>
        <f>IF(COUNT(D1588:U1588)=0,"",MIN(D1588:U1588))</f>
        <v/>
      </c>
      <c r="W1588" s="8">
        <f>IF(COUNT(D1588:U1588)=0,"",MEDIAN(D1588:U1588))</f>
        <v/>
      </c>
      <c r="X1588" s="8">
        <f>IF(COUNT(D1588:U1588)=0,"",MAX(D1588:U1588))</f>
        <v/>
      </c>
      <c r="Y1588" s="9">
        <f>IF(OR(V1588="",V1588=0),"",(X1588-V1588)/V1588)</f>
        <v/>
      </c>
      <c r="Z1588" s="7">
        <f>IF(COUNT(D1588:U1588)=0,"",INDEX($D$1:$U$1,MATCH(MIN(D1588:U1588),D1588:U1588,0)))</f>
        <v/>
      </c>
      <c r="AA1588" s="8" t="n">
        <v>499</v>
      </c>
      <c r="AB1588" s="10" t="n">
        <v>1</v>
      </c>
    </row>
    <row r="1589">
      <c r="A1589" s="7" t="inlineStr">
        <is>
          <t>MAT-32-234</t>
        </is>
      </c>
      <c r="B1589" s="4" t="inlineStr">
        <is>
          <t>Codo de bronce 25 mm</t>
        </is>
      </c>
      <c r="C1589" s="7" t="inlineStr">
        <is>
          <t>unidad</t>
        </is>
      </c>
      <c r="D1589" s="8" t="n"/>
      <c r="E1589" s="8" t="n">
        <v>724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>
        <f>IF(COUNT(D1589:U1589)=0,"",MIN(D1589:U1589))</f>
        <v/>
      </c>
      <c r="W1589" s="8">
        <f>IF(COUNT(D1589:U1589)=0,"",MEDIAN(D1589:U1589))</f>
        <v/>
      </c>
      <c r="X1589" s="8">
        <f>IF(COUNT(D1589:U1589)=0,"",MAX(D1589:U1589))</f>
        <v/>
      </c>
      <c r="Y1589" s="9">
        <f>IF(OR(V1589="",V1589=0),"",(X1589-V1589)/V1589)</f>
        <v/>
      </c>
      <c r="Z1589" s="7">
        <f>IF(COUNT(D1589:U1589)=0,"",INDEX($D$1:$U$1,MATCH(MIN(D1589:U1589),D1589:U1589,0)))</f>
        <v/>
      </c>
      <c r="AA1589" s="8" t="n">
        <v>724</v>
      </c>
      <c r="AB1589" s="10" t="n">
        <v>1</v>
      </c>
    </row>
    <row r="1590">
      <c r="A1590" s="7" t="inlineStr">
        <is>
          <t>MAT-32-235</t>
        </is>
      </c>
      <c r="B1590" s="4" t="inlineStr">
        <is>
          <t>Codo de bronce 25"</t>
        </is>
      </c>
      <c r="C1590" s="7" t="inlineStr">
        <is>
          <t>unidad</t>
        </is>
      </c>
      <c r="D1590" s="8" t="n"/>
      <c r="E1590" s="8" t="n">
        <v>500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>
        <f>IF(COUNT(D1590:U1590)=0,"",MIN(D1590:U1590))</f>
        <v/>
      </c>
      <c r="W1590" s="8">
        <f>IF(COUNT(D1590:U1590)=0,"",MEDIAN(D1590:U1590))</f>
        <v/>
      </c>
      <c r="X1590" s="8">
        <f>IF(COUNT(D1590:U1590)=0,"",MAX(D1590:U1590))</f>
        <v/>
      </c>
      <c r="Y1590" s="9">
        <f>IF(OR(V1590="",V1590=0),"",(X1590-V1590)/V1590)</f>
        <v/>
      </c>
      <c r="Z1590" s="7">
        <f>IF(COUNT(D1590:U1590)=0,"",INDEX($D$1:$U$1,MATCH(MIN(D1590:U1590),D1590:U1590,0)))</f>
        <v/>
      </c>
      <c r="AA1590" s="8" t="n">
        <v>500</v>
      </c>
      <c r="AB1590" s="10" t="n">
        <v>1</v>
      </c>
    </row>
    <row r="1591">
      <c r="A1591" s="7" t="inlineStr">
        <is>
          <t>MAT-32-236</t>
        </is>
      </c>
      <c r="B1591" s="4" t="inlineStr">
        <is>
          <t>Codo de bronce 3/8"</t>
        </is>
      </c>
      <c r="C1591" s="7" t="inlineStr">
        <is>
          <t>unidad</t>
        </is>
      </c>
      <c r="D1591" s="8" t="n"/>
      <c r="E1591" s="8" t="n">
        <v>99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>
        <f>IF(COUNT(D1591:U1591)=0,"",MIN(D1591:U1591))</f>
        <v/>
      </c>
      <c r="W1591" s="8">
        <f>IF(COUNT(D1591:U1591)=0,"",MEDIAN(D1591:U1591))</f>
        <v/>
      </c>
      <c r="X1591" s="8">
        <f>IF(COUNT(D1591:U1591)=0,"",MAX(D1591:U1591))</f>
        <v/>
      </c>
      <c r="Y1591" s="9">
        <f>IF(OR(V1591="",V1591=0),"",(X1591-V1591)/V1591)</f>
        <v/>
      </c>
      <c r="Z1591" s="7">
        <f>IF(COUNT(D1591:U1591)=0,"",INDEX($D$1:$U$1,MATCH(MIN(D1591:U1591),D1591:U1591,0)))</f>
        <v/>
      </c>
      <c r="AA1591" s="8" t="n">
        <v>147</v>
      </c>
      <c r="AB1591" s="10" t="n">
        <v>1</v>
      </c>
    </row>
    <row r="1592">
      <c r="A1592" s="7" t="inlineStr">
        <is>
          <t>MAT-32-237</t>
        </is>
      </c>
      <c r="B1592" s="4" t="inlineStr">
        <is>
          <t>Codo de bronce 32 mm</t>
        </is>
      </c>
      <c r="C1592" s="7" t="inlineStr">
        <is>
          <t>unidad</t>
        </is>
      </c>
      <c r="D1592" s="8" t="n"/>
      <c r="E1592" s="8" t="n">
        <v>1429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>
        <f>IF(COUNT(D1592:U1592)=0,"",MIN(D1592:U1592))</f>
        <v/>
      </c>
      <c r="W1592" s="8">
        <f>IF(COUNT(D1592:U1592)=0,"",MEDIAN(D1592:U1592))</f>
        <v/>
      </c>
      <c r="X1592" s="8">
        <f>IF(COUNT(D1592:U1592)=0,"",MAX(D1592:U1592))</f>
        <v/>
      </c>
      <c r="Y1592" s="9">
        <f>IF(OR(V1592="",V1592=0),"",(X1592-V1592)/V1592)</f>
        <v/>
      </c>
      <c r="Z1592" s="7">
        <f>IF(COUNT(D1592:U1592)=0,"",INDEX($D$1:$U$1,MATCH(MIN(D1592:U1592),D1592:U1592,0)))</f>
        <v/>
      </c>
      <c r="AA1592" s="8" t="n">
        <v>1429</v>
      </c>
      <c r="AB1592" s="10" t="n">
        <v>1</v>
      </c>
    </row>
    <row r="1593">
      <c r="A1593" s="7" t="inlineStr">
        <is>
          <t>MAT-32-238</t>
        </is>
      </c>
      <c r="B1593" s="4" t="inlineStr">
        <is>
          <t>Codo de bronce 32"</t>
        </is>
      </c>
      <c r="C1593" s="7" t="inlineStr">
        <is>
          <t>unidad</t>
        </is>
      </c>
      <c r="D1593" s="8" t="n"/>
      <c r="E1593" s="8" t="n">
        <v>882</v>
      </c>
      <c r="F1593" s="8" t="n"/>
      <c r="G1593" s="8" t="n"/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>
        <f>IF(COUNT(D1593:U1593)=0,"",MIN(D1593:U1593))</f>
        <v/>
      </c>
      <c r="W1593" s="8">
        <f>IF(COUNT(D1593:U1593)=0,"",MEDIAN(D1593:U1593))</f>
        <v/>
      </c>
      <c r="X1593" s="8">
        <f>IF(COUNT(D1593:U1593)=0,"",MAX(D1593:U1593))</f>
        <v/>
      </c>
      <c r="Y1593" s="9">
        <f>IF(OR(V1593="",V1593=0),"",(X1593-V1593)/V1593)</f>
        <v/>
      </c>
      <c r="Z1593" s="7">
        <f>IF(COUNT(D1593:U1593)=0,"",INDEX($D$1:$U$1,MATCH(MIN(D1593:U1593),D1593:U1593,0)))</f>
        <v/>
      </c>
      <c r="AA1593" s="8" t="n">
        <v>882</v>
      </c>
      <c r="AB1593" s="10" t="n">
        <v>1</v>
      </c>
    </row>
    <row r="1594">
      <c r="A1594" s="7" t="inlineStr">
        <is>
          <t>MAT-32-239</t>
        </is>
      </c>
      <c r="B1594" s="4" t="inlineStr">
        <is>
          <t>Codo de HG 1 1/2"</t>
        </is>
      </c>
      <c r="C1594" s="7" t="inlineStr">
        <is>
          <t>unidad</t>
        </is>
      </c>
      <c r="D1594" s="8" t="n"/>
      <c r="E1594" s="8" t="n">
        <v>134</v>
      </c>
      <c r="F1594" s="8" t="n"/>
      <c r="G1594" s="8" t="n">
        <v>234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>
        <f>IF(COUNT(D1594:U1594)=0,"",MIN(D1594:U1594))</f>
        <v/>
      </c>
      <c r="W1594" s="8">
        <f>IF(COUNT(D1594:U1594)=0,"",MEDIAN(D1594:U1594))</f>
        <v/>
      </c>
      <c r="X1594" s="8">
        <f>IF(COUNT(D1594:U1594)=0,"",MAX(D1594:U1594))</f>
        <v/>
      </c>
      <c r="Y1594" s="9">
        <f>IF(OR(V1594="",V1594=0),"",(X1594-V1594)/V1594)</f>
        <v/>
      </c>
      <c r="Z1594" s="7">
        <f>IF(COUNT(D1594:U1594)=0,"",INDEX($D$1:$U$1,MATCH(MIN(D1594:U1594),D1594:U1594,0)))</f>
        <v/>
      </c>
      <c r="AA1594" s="8" t="n">
        <v>184</v>
      </c>
      <c r="AB1594" s="10" t="n">
        <v>2</v>
      </c>
    </row>
    <row r="1595">
      <c r="A1595" s="7" t="inlineStr">
        <is>
          <t>MAT-32-240</t>
        </is>
      </c>
      <c r="B1595" s="4" t="inlineStr">
        <is>
          <t>Codo de HG 1 1/4"</t>
        </is>
      </c>
      <c r="C1595" s="7" t="inlineStr">
        <is>
          <t>unidad</t>
        </is>
      </c>
      <c r="D1595" s="8" t="n"/>
      <c r="E1595" s="8" t="n"/>
      <c r="F1595" s="8" t="n"/>
      <c r="G1595" s="8" t="n">
        <v>130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>
        <f>IF(COUNT(D1595:U1595)=0,"",MIN(D1595:U1595))</f>
        <v/>
      </c>
      <c r="W1595" s="8">
        <f>IF(COUNT(D1595:U1595)=0,"",MEDIAN(D1595:U1595))</f>
        <v/>
      </c>
      <c r="X1595" s="8">
        <f>IF(COUNT(D1595:U1595)=0,"",MAX(D1595:U1595))</f>
        <v/>
      </c>
      <c r="Y1595" s="9">
        <f>IF(OR(V1595="",V1595=0),"",(X1595-V1595)/V1595)</f>
        <v/>
      </c>
      <c r="Z1595" s="7">
        <f>IF(COUNT(D1595:U1595)=0,"",INDEX($D$1:$U$1,MATCH(MIN(D1595:U1595),D1595:U1595,0)))</f>
        <v/>
      </c>
      <c r="AA1595" s="8" t="n">
        <v>130</v>
      </c>
      <c r="AB1595" s="10" t="n">
        <v>1</v>
      </c>
    </row>
    <row r="1596">
      <c r="A1596" s="7" t="inlineStr">
        <is>
          <t>MAT-32-241</t>
        </is>
      </c>
      <c r="B1596" s="4" t="inlineStr">
        <is>
          <t>Codo de HG 1/2"</t>
        </is>
      </c>
      <c r="C1596" s="7" t="inlineStr">
        <is>
          <t>unidad</t>
        </is>
      </c>
      <c r="D1596" s="8" t="n"/>
      <c r="E1596" s="8" t="n">
        <v>26</v>
      </c>
      <c r="F1596" s="8" t="n"/>
      <c r="G1596" s="8" t="n">
        <v>30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>
        <f>IF(COUNT(D1596:U1596)=0,"",MIN(D1596:U1596))</f>
        <v/>
      </c>
      <c r="W1596" s="8">
        <f>IF(COUNT(D1596:U1596)=0,"",MEDIAN(D1596:U1596))</f>
        <v/>
      </c>
      <c r="X1596" s="8">
        <f>IF(COUNT(D1596:U1596)=0,"",MAX(D1596:U1596))</f>
        <v/>
      </c>
      <c r="Y1596" s="9">
        <f>IF(OR(V1596="",V1596=0),"",(X1596-V1596)/V1596)</f>
        <v/>
      </c>
      <c r="Z1596" s="7">
        <f>IF(COUNT(D1596:U1596)=0,"",INDEX($D$1:$U$1,MATCH(MIN(D1596:U1596),D1596:U1596,0)))</f>
        <v/>
      </c>
      <c r="AA1596" s="8" t="n">
        <v>28</v>
      </c>
      <c r="AB1596" s="10" t="n">
        <v>2</v>
      </c>
    </row>
    <row r="1597">
      <c r="A1597" s="7" t="inlineStr">
        <is>
          <t>MAT-32-242</t>
        </is>
      </c>
      <c r="B1597" s="4" t="inlineStr">
        <is>
          <t>Codo de HG 1/4"</t>
        </is>
      </c>
      <c r="C1597" s="7" t="inlineStr">
        <is>
          <t>unidad</t>
        </is>
      </c>
      <c r="D1597" s="8" t="n"/>
      <c r="E1597" s="8" t="n"/>
      <c r="F1597" s="8" t="n"/>
      <c r="G1597" s="8" t="n">
        <v>75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>
        <f>IF(COUNT(D1597:U1597)=0,"",MIN(D1597:U1597))</f>
        <v/>
      </c>
      <c r="W1597" s="8">
        <f>IF(COUNT(D1597:U1597)=0,"",MEDIAN(D1597:U1597))</f>
        <v/>
      </c>
      <c r="X1597" s="8">
        <f>IF(COUNT(D1597:U1597)=0,"",MAX(D1597:U1597))</f>
        <v/>
      </c>
      <c r="Y1597" s="9">
        <f>IF(OR(V1597="",V1597=0),"",(X1597-V1597)/V1597)</f>
        <v/>
      </c>
      <c r="Z1597" s="7">
        <f>IF(COUNT(D1597:U1597)=0,"",INDEX($D$1:$U$1,MATCH(MIN(D1597:U1597),D1597:U1597,0)))</f>
        <v/>
      </c>
      <c r="AA1597" s="8" t="n">
        <v>75</v>
      </c>
      <c r="AB1597" s="10" t="n">
        <v>1</v>
      </c>
    </row>
    <row r="1598">
      <c r="A1598" s="7" t="inlineStr">
        <is>
          <t>MAT-32-243</t>
        </is>
      </c>
      <c r="B1598" s="4" t="inlineStr">
        <is>
          <t>Codo de HG 1"</t>
        </is>
      </c>
      <c r="C1598" s="7" t="inlineStr">
        <is>
          <t>unidad</t>
        </is>
      </c>
      <c r="D1598" s="8" t="n"/>
      <c r="E1598" s="8" t="n"/>
      <c r="F1598" s="8" t="n"/>
      <c r="G1598" s="8" t="n">
        <v>65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>
        <f>IF(COUNT(D1598:U1598)=0,"",MIN(D1598:U1598))</f>
        <v/>
      </c>
      <c r="W1598" s="8">
        <f>IF(COUNT(D1598:U1598)=0,"",MEDIAN(D1598:U1598))</f>
        <v/>
      </c>
      <c r="X1598" s="8">
        <f>IF(COUNT(D1598:U1598)=0,"",MAX(D1598:U1598))</f>
        <v/>
      </c>
      <c r="Y1598" s="9">
        <f>IF(OR(V1598="",V1598=0),"",(X1598-V1598)/V1598)</f>
        <v/>
      </c>
      <c r="Z1598" s="7">
        <f>IF(COUNT(D1598:U1598)=0,"",INDEX($D$1:$U$1,MATCH(MIN(D1598:U1598),D1598:U1598,0)))</f>
        <v/>
      </c>
      <c r="AA1598" s="8" t="n">
        <v>65</v>
      </c>
      <c r="AB1598" s="10" t="n">
        <v>1</v>
      </c>
    </row>
    <row r="1599">
      <c r="A1599" s="7" t="inlineStr">
        <is>
          <t>MAT-32-244</t>
        </is>
      </c>
      <c r="B1599" s="4" t="inlineStr">
        <is>
          <t>Codo de HG 2"</t>
        </is>
      </c>
      <c r="C1599" s="7" t="inlineStr">
        <is>
          <t>unidad</t>
        </is>
      </c>
      <c r="D1599" s="8" t="n"/>
      <c r="E1599" s="8" t="n">
        <v>191</v>
      </c>
      <c r="F1599" s="8" t="n"/>
      <c r="G1599" s="8" t="n">
        <v>291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>
        <f>IF(COUNT(D1599:U1599)=0,"",MIN(D1599:U1599))</f>
        <v/>
      </c>
      <c r="W1599" s="8">
        <f>IF(COUNT(D1599:U1599)=0,"",MEDIAN(D1599:U1599))</f>
        <v/>
      </c>
      <c r="X1599" s="8">
        <f>IF(COUNT(D1599:U1599)=0,"",MAX(D1599:U1599))</f>
        <v/>
      </c>
      <c r="Y1599" s="9">
        <f>IF(OR(V1599="",V1599=0),"",(X1599-V1599)/V1599)</f>
        <v/>
      </c>
      <c r="Z1599" s="7">
        <f>IF(COUNT(D1599:U1599)=0,"",INDEX($D$1:$U$1,MATCH(MIN(D1599:U1599),D1599:U1599,0)))</f>
        <v/>
      </c>
      <c r="AA1599" s="8" t="n">
        <v>241</v>
      </c>
      <c r="AB1599" s="10" t="n">
        <v>2</v>
      </c>
    </row>
    <row r="1600">
      <c r="A1600" s="7" t="inlineStr">
        <is>
          <t>MAT-32-245</t>
        </is>
      </c>
      <c r="B1600" s="4" t="inlineStr">
        <is>
          <t>Codo de HG 3/4"</t>
        </is>
      </c>
      <c r="C1600" s="7" t="inlineStr">
        <is>
          <t>unidad</t>
        </is>
      </c>
      <c r="D1600" s="8" t="n"/>
      <c r="E1600" s="8" t="n"/>
      <c r="F1600" s="8" t="n"/>
      <c r="G1600" s="8" t="n">
        <v>51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>
        <f>IF(COUNT(D1600:U1600)=0,"",MIN(D1600:U1600))</f>
        <v/>
      </c>
      <c r="W1600" s="8">
        <f>IF(COUNT(D1600:U1600)=0,"",MEDIAN(D1600:U1600))</f>
        <v/>
      </c>
      <c r="X1600" s="8">
        <f>IF(COUNT(D1600:U1600)=0,"",MAX(D1600:U1600))</f>
        <v/>
      </c>
      <c r="Y1600" s="9">
        <f>IF(OR(V1600="",V1600=0),"",(X1600-V1600)/V1600)</f>
        <v/>
      </c>
      <c r="Z1600" s="7">
        <f>IF(COUNT(D1600:U1600)=0,"",INDEX($D$1:$U$1,MATCH(MIN(D1600:U1600),D1600:U1600,0)))</f>
        <v/>
      </c>
      <c r="AA1600" s="8" t="n">
        <v>51</v>
      </c>
      <c r="AB1600" s="10" t="n">
        <v>1</v>
      </c>
    </row>
    <row r="1601">
      <c r="A1601" s="7" t="inlineStr">
        <is>
          <t>MAT-32-246</t>
        </is>
      </c>
      <c r="B1601" s="4" t="inlineStr">
        <is>
          <t>Codo de HG 3/8"</t>
        </is>
      </c>
      <c r="C1601" s="7" t="inlineStr">
        <is>
          <t>unidad</t>
        </is>
      </c>
      <c r="D1601" s="8" t="n"/>
      <c r="E1601" s="8" t="n"/>
      <c r="F1601" s="8" t="n"/>
      <c r="G1601" s="8" t="n">
        <v>50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>
        <f>IF(COUNT(D1601:U1601)=0,"",MIN(D1601:U1601))</f>
        <v/>
      </c>
      <c r="W1601" s="8">
        <f>IF(COUNT(D1601:U1601)=0,"",MEDIAN(D1601:U1601))</f>
        <v/>
      </c>
      <c r="X1601" s="8">
        <f>IF(COUNT(D1601:U1601)=0,"",MAX(D1601:U1601))</f>
        <v/>
      </c>
      <c r="Y1601" s="9">
        <f>IF(OR(V1601="",V1601=0),"",(X1601-V1601)/V1601)</f>
        <v/>
      </c>
      <c r="Z1601" s="7">
        <f>IF(COUNT(D1601:U1601)=0,"",INDEX($D$1:$U$1,MATCH(MIN(D1601:U1601),D1601:U1601,0)))</f>
        <v/>
      </c>
      <c r="AA1601" s="8" t="n">
        <v>50</v>
      </c>
      <c r="AB1601" s="10" t="n">
        <v>1</v>
      </c>
    </row>
    <row r="1602">
      <c r="A1602" s="7" t="inlineStr">
        <is>
          <t>MAT-32-247</t>
        </is>
      </c>
      <c r="B1602" s="4" t="inlineStr">
        <is>
          <t>Codo de niquelado 1/2"</t>
        </is>
      </c>
      <c r="C1602" s="7" t="inlineStr">
        <is>
          <t>unidad</t>
        </is>
      </c>
      <c r="D1602" s="8" t="n"/>
      <c r="E1602" s="8" t="n"/>
      <c r="F1602" s="8" t="n"/>
      <c r="G1602" s="8" t="n">
        <v>363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>
        <f>IF(COUNT(D1602:U1602)=0,"",MIN(D1602:U1602))</f>
        <v/>
      </c>
      <c r="W1602" s="8">
        <f>IF(COUNT(D1602:U1602)=0,"",MEDIAN(D1602:U1602))</f>
        <v/>
      </c>
      <c r="X1602" s="8">
        <f>IF(COUNT(D1602:U1602)=0,"",MAX(D1602:U1602))</f>
        <v/>
      </c>
      <c r="Y1602" s="9">
        <f>IF(OR(V1602="",V1602=0),"",(X1602-V1602)/V1602)</f>
        <v/>
      </c>
      <c r="Z1602" s="7">
        <f>IF(COUNT(D1602:U1602)=0,"",INDEX($D$1:$U$1,MATCH(MIN(D1602:U1602),D1602:U1602,0)))</f>
        <v/>
      </c>
      <c r="AA1602" s="8" t="n">
        <v>363</v>
      </c>
      <c r="AB1602" s="10" t="n">
        <v>1</v>
      </c>
    </row>
    <row r="1603">
      <c r="A1603" s="7" t="inlineStr">
        <is>
          <t>MAT-32-248</t>
        </is>
      </c>
      <c r="B1603" s="4" t="inlineStr">
        <is>
          <t>Codo de plástico 16 mm</t>
        </is>
      </c>
      <c r="C1603" s="7" t="inlineStr">
        <is>
          <t>unidad</t>
        </is>
      </c>
      <c r="D1603" s="8" t="n"/>
      <c r="E1603" s="8" t="n">
        <v>28.58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>
        <f>IF(COUNT(D1603:U1603)=0,"",MIN(D1603:U1603))</f>
        <v/>
      </c>
      <c r="W1603" s="8">
        <f>IF(COUNT(D1603:U1603)=0,"",MEDIAN(D1603:U1603))</f>
        <v/>
      </c>
      <c r="X1603" s="8">
        <f>IF(COUNT(D1603:U1603)=0,"",MAX(D1603:U1603))</f>
        <v/>
      </c>
      <c r="Y1603" s="9">
        <f>IF(OR(V1603="",V1603=0),"",(X1603-V1603)/V1603)</f>
        <v/>
      </c>
      <c r="Z1603" s="7">
        <f>IF(COUNT(D1603:U1603)=0,"",INDEX($D$1:$U$1,MATCH(MIN(D1603:U1603),D1603:U1603,0)))</f>
        <v/>
      </c>
      <c r="AA1603" s="8" t="n">
        <v>28.58</v>
      </c>
      <c r="AB1603" s="10" t="n">
        <v>1</v>
      </c>
    </row>
    <row r="1604">
      <c r="A1604" s="7" t="inlineStr">
        <is>
          <t>MAT-32-249</t>
        </is>
      </c>
      <c r="B1604" s="4" t="inlineStr">
        <is>
          <t>Codo de PPR 20 mm</t>
        </is>
      </c>
      <c r="C1604" s="7" t="inlineStr">
        <is>
          <t>unidad</t>
        </is>
      </c>
      <c r="D1604" s="8" t="n"/>
      <c r="E1604" s="8" t="n">
        <v>8.59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>
        <f>IF(COUNT(D1604:U1604)=0,"",MIN(D1604:U1604))</f>
        <v/>
      </c>
      <c r="W1604" s="8">
        <f>IF(COUNT(D1604:U1604)=0,"",MEDIAN(D1604:U1604))</f>
        <v/>
      </c>
      <c r="X1604" s="8">
        <f>IF(COUNT(D1604:U1604)=0,"",MAX(D1604:U1604))</f>
        <v/>
      </c>
      <c r="Y1604" s="9">
        <f>IF(OR(V1604="",V1604=0),"",(X1604-V1604)/V1604)</f>
        <v/>
      </c>
      <c r="Z1604" s="7">
        <f>IF(COUNT(D1604:U1604)=0,"",INDEX($D$1:$U$1,MATCH(MIN(D1604:U1604),D1604:U1604,0)))</f>
        <v/>
      </c>
      <c r="AA1604" s="8" t="n">
        <v>65.56999999999999</v>
      </c>
      <c r="AB1604" s="10" t="n">
        <v>1</v>
      </c>
    </row>
    <row r="1605">
      <c r="A1605" s="7" t="inlineStr">
        <is>
          <t>MAT-32-250</t>
        </is>
      </c>
      <c r="B1605" s="4" t="inlineStr">
        <is>
          <t>Codo de PPR 25 mm</t>
        </is>
      </c>
      <c r="C1605" s="7" t="inlineStr">
        <is>
          <t>unidad</t>
        </is>
      </c>
      <c r="D1605" s="8" t="n"/>
      <c r="E1605" s="8" t="n">
        <v>15.37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>
        <f>IF(COUNT(D1605:U1605)=0,"",MIN(D1605:U1605))</f>
        <v/>
      </c>
      <c r="W1605" s="8">
        <f>IF(COUNT(D1605:U1605)=0,"",MEDIAN(D1605:U1605))</f>
        <v/>
      </c>
      <c r="X1605" s="8">
        <f>IF(COUNT(D1605:U1605)=0,"",MAX(D1605:U1605))</f>
        <v/>
      </c>
      <c r="Y1605" s="9">
        <f>IF(OR(V1605="",V1605=0),"",(X1605-V1605)/V1605)</f>
        <v/>
      </c>
      <c r="Z1605" s="7">
        <f>IF(COUNT(D1605:U1605)=0,"",INDEX($D$1:$U$1,MATCH(MIN(D1605:U1605),D1605:U1605,0)))</f>
        <v/>
      </c>
      <c r="AA1605" s="8" t="n">
        <v>80</v>
      </c>
      <c r="AB1605" s="10" t="n">
        <v>1</v>
      </c>
    </row>
    <row r="1606">
      <c r="A1606" s="7" t="inlineStr">
        <is>
          <t>MAT-32-251</t>
        </is>
      </c>
      <c r="B1606" s="4" t="inlineStr">
        <is>
          <t>Codo de PPR 32 mm</t>
        </is>
      </c>
      <c r="C1606" s="7" t="inlineStr">
        <is>
          <t>unidad</t>
        </is>
      </c>
      <c r="D1606" s="8" t="n"/>
      <c r="E1606" s="8" t="n">
        <v>87.15000000000001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>
        <f>IF(COUNT(D1606:U1606)=0,"",MIN(D1606:U1606))</f>
        <v/>
      </c>
      <c r="W1606" s="8">
        <f>IF(COUNT(D1606:U1606)=0,"",MEDIAN(D1606:U1606))</f>
        <v/>
      </c>
      <c r="X1606" s="8">
        <f>IF(COUNT(D1606:U1606)=0,"",MAX(D1606:U1606))</f>
        <v/>
      </c>
      <c r="Y1606" s="9">
        <f>IF(OR(V1606="",V1606=0),"",(X1606-V1606)/V1606)</f>
        <v/>
      </c>
      <c r="Z1606" s="7">
        <f>IF(COUNT(D1606:U1606)=0,"",INDEX($D$1:$U$1,MATCH(MIN(D1606:U1606),D1606:U1606,0)))</f>
        <v/>
      </c>
      <c r="AA1606" s="8" t="n">
        <v>92.89</v>
      </c>
      <c r="AB1606" s="10" t="n">
        <v>1</v>
      </c>
    </row>
    <row r="1607">
      <c r="A1607" s="7" t="inlineStr">
        <is>
          <t>MAT-32-252</t>
        </is>
      </c>
      <c r="B1607" s="4" t="inlineStr">
        <is>
          <t>Codo de PVC 1" x 1"</t>
        </is>
      </c>
      <c r="C1607" s="7" t="inlineStr">
        <is>
          <t>unidad</t>
        </is>
      </c>
      <c r="D1607" s="8" t="n"/>
      <c r="E1607" s="8" t="n">
        <v>47.12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>
        <f>IF(COUNT(D1607:U1607)=0,"",MIN(D1607:U1607))</f>
        <v/>
      </c>
      <c r="W1607" s="8">
        <f>IF(COUNT(D1607:U1607)=0,"",MEDIAN(D1607:U1607))</f>
        <v/>
      </c>
      <c r="X1607" s="8">
        <f>IF(COUNT(D1607:U1607)=0,"",MAX(D1607:U1607))</f>
        <v/>
      </c>
      <c r="Y1607" s="9">
        <f>IF(OR(V1607="",V1607=0),"",(X1607-V1607)/V1607)</f>
        <v/>
      </c>
      <c r="Z1607" s="7">
        <f>IF(COUNT(D1607:U1607)=0,"",INDEX($D$1:$U$1,MATCH(MIN(D1607:U1607),D1607:U1607,0)))</f>
        <v/>
      </c>
      <c r="AA1607" s="8" t="n">
        <v>47.12</v>
      </c>
      <c r="AB1607" s="10" t="n">
        <v>1</v>
      </c>
    </row>
    <row r="1608">
      <c r="A1608" s="7" t="inlineStr">
        <is>
          <t>MAT-32-253</t>
        </is>
      </c>
      <c r="B1608" s="4" t="inlineStr">
        <is>
          <t>Codo de PVC 3/4"</t>
        </is>
      </c>
      <c r="C1608" s="7" t="inlineStr">
        <is>
          <t>unidad</t>
        </is>
      </c>
      <c r="D1608" s="8" t="n"/>
      <c r="E1608" s="8" t="n">
        <v>40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>
        <f>IF(COUNT(D1608:U1608)=0,"",MIN(D1608:U1608))</f>
        <v/>
      </c>
      <c r="W1608" s="8">
        <f>IF(COUNT(D1608:U1608)=0,"",MEDIAN(D1608:U1608))</f>
        <v/>
      </c>
      <c r="X1608" s="8">
        <f>IF(COUNT(D1608:U1608)=0,"",MAX(D1608:U1608))</f>
        <v/>
      </c>
      <c r="Y1608" s="9">
        <f>IF(OR(V1608="",V1608=0),"",(X1608-V1608)/V1608)</f>
        <v/>
      </c>
      <c r="Z1608" s="7">
        <f>IF(COUNT(D1608:U1608)=0,"",INDEX($D$1:$U$1,MATCH(MIN(D1608:U1608),D1608:U1608,0)))</f>
        <v/>
      </c>
      <c r="AA1608" s="8" t="n">
        <v>40</v>
      </c>
      <c r="AB1608" s="10" t="n">
        <v>1</v>
      </c>
    </row>
    <row r="1609">
      <c r="A1609" s="7" t="inlineStr">
        <is>
          <t>MAT-32-254</t>
        </is>
      </c>
      <c r="B1609" s="4" t="inlineStr">
        <is>
          <t>Codo niple de bronce 3/8"</t>
        </is>
      </c>
      <c r="C1609" s="7" t="inlineStr">
        <is>
          <t>unidad</t>
        </is>
      </c>
      <c r="D1609" s="8" t="n"/>
      <c r="E1609" s="8" t="n"/>
      <c r="F1609" s="8" t="n"/>
      <c r="G1609" s="8" t="n">
        <v>179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>
        <f>IF(COUNT(D1609:U1609)=0,"",MIN(D1609:U1609))</f>
        <v/>
      </c>
      <c r="W1609" s="8">
        <f>IF(COUNT(D1609:U1609)=0,"",MEDIAN(D1609:U1609))</f>
        <v/>
      </c>
      <c r="X1609" s="8">
        <f>IF(COUNT(D1609:U1609)=0,"",MAX(D1609:U1609))</f>
        <v/>
      </c>
      <c r="Y1609" s="9">
        <f>IF(OR(V1609="",V1609=0),"",(X1609-V1609)/V1609)</f>
        <v/>
      </c>
      <c r="Z1609" s="7">
        <f>IF(COUNT(D1609:U1609)=0,"",INDEX($D$1:$U$1,MATCH(MIN(D1609:U1609),D1609:U1609,0)))</f>
        <v/>
      </c>
      <c r="AA1609" s="8" t="n">
        <v>179</v>
      </c>
      <c r="AB1609" s="10" t="n">
        <v>1</v>
      </c>
    </row>
    <row r="1610">
      <c r="A1610" s="7" t="inlineStr">
        <is>
          <t>MAT-32-255</t>
        </is>
      </c>
      <c r="B1610" s="4" t="inlineStr">
        <is>
          <t>Codo niple de HG 1 1/2"</t>
        </is>
      </c>
      <c r="C1610" s="7" t="inlineStr">
        <is>
          <t>unidad</t>
        </is>
      </c>
      <c r="D1610" s="8" t="n"/>
      <c r="E1610" s="8" t="n"/>
      <c r="F1610" s="8" t="n"/>
      <c r="G1610" s="8" t="n">
        <v>215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>
        <f>IF(COUNT(D1610:U1610)=0,"",MIN(D1610:U1610))</f>
        <v/>
      </c>
      <c r="W1610" s="8">
        <f>IF(COUNT(D1610:U1610)=0,"",MEDIAN(D1610:U1610))</f>
        <v/>
      </c>
      <c r="X1610" s="8">
        <f>IF(COUNT(D1610:U1610)=0,"",MAX(D1610:U1610))</f>
        <v/>
      </c>
      <c r="Y1610" s="9">
        <f>IF(OR(V1610="",V1610=0),"",(X1610-V1610)/V1610)</f>
        <v/>
      </c>
      <c r="Z1610" s="7">
        <f>IF(COUNT(D1610:U1610)=0,"",INDEX($D$1:$U$1,MATCH(MIN(D1610:U1610),D1610:U1610,0)))</f>
        <v/>
      </c>
      <c r="AA1610" s="8" t="n">
        <v>215</v>
      </c>
      <c r="AB1610" s="10" t="n">
        <v>1</v>
      </c>
    </row>
    <row r="1611">
      <c r="A1611" s="7" t="inlineStr">
        <is>
          <t>MAT-32-256</t>
        </is>
      </c>
      <c r="B1611" s="4" t="inlineStr">
        <is>
          <t>Codo niple de HG 1 1/4"</t>
        </is>
      </c>
      <c r="C1611" s="7" t="inlineStr">
        <is>
          <t>unidad</t>
        </is>
      </c>
      <c r="D1611" s="8" t="n"/>
      <c r="E1611" s="8" t="n"/>
      <c r="F1611" s="8" t="n"/>
      <c r="G1611" s="8" t="n">
        <v>160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>
        <f>IF(COUNT(D1611:U1611)=0,"",MIN(D1611:U1611))</f>
        <v/>
      </c>
      <c r="W1611" s="8">
        <f>IF(COUNT(D1611:U1611)=0,"",MEDIAN(D1611:U1611))</f>
        <v/>
      </c>
      <c r="X1611" s="8">
        <f>IF(COUNT(D1611:U1611)=0,"",MAX(D1611:U1611))</f>
        <v/>
      </c>
      <c r="Y1611" s="9">
        <f>IF(OR(V1611="",V1611=0),"",(X1611-V1611)/V1611)</f>
        <v/>
      </c>
      <c r="Z1611" s="7">
        <f>IF(COUNT(D1611:U1611)=0,"",INDEX($D$1:$U$1,MATCH(MIN(D1611:U1611),D1611:U1611,0)))</f>
        <v/>
      </c>
      <c r="AA1611" s="8" t="n">
        <v>160</v>
      </c>
      <c r="AB1611" s="10" t="n">
        <v>1</v>
      </c>
    </row>
    <row r="1612">
      <c r="A1612" s="7" t="inlineStr">
        <is>
          <t>MAT-32-257</t>
        </is>
      </c>
      <c r="B1612" s="4" t="inlineStr">
        <is>
          <t>Codo niple de HG 1/2"</t>
        </is>
      </c>
      <c r="C1612" s="7" t="inlineStr">
        <is>
          <t>unidad</t>
        </is>
      </c>
      <c r="D1612" s="8" t="n"/>
      <c r="E1612" s="8" t="n"/>
      <c r="F1612" s="8" t="n"/>
      <c r="G1612" s="8" t="n">
        <v>45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>
        <f>IF(COUNT(D1612:U1612)=0,"",MIN(D1612:U1612))</f>
        <v/>
      </c>
      <c r="W1612" s="8">
        <f>IF(COUNT(D1612:U1612)=0,"",MEDIAN(D1612:U1612))</f>
        <v/>
      </c>
      <c r="X1612" s="8">
        <f>IF(COUNT(D1612:U1612)=0,"",MAX(D1612:U1612))</f>
        <v/>
      </c>
      <c r="Y1612" s="9">
        <f>IF(OR(V1612="",V1612=0),"",(X1612-V1612)/V1612)</f>
        <v/>
      </c>
      <c r="Z1612" s="7">
        <f>IF(COUNT(D1612:U1612)=0,"",INDEX($D$1:$U$1,MATCH(MIN(D1612:U1612),D1612:U1612,0)))</f>
        <v/>
      </c>
      <c r="AA1612" s="8" t="n">
        <v>45</v>
      </c>
      <c r="AB1612" s="10" t="n">
        <v>1</v>
      </c>
    </row>
    <row r="1613">
      <c r="A1613" s="7" t="inlineStr">
        <is>
          <t>MAT-32-258</t>
        </is>
      </c>
      <c r="B1613" s="4" t="inlineStr">
        <is>
          <t>Codo niple de HG 1/4"</t>
        </is>
      </c>
      <c r="C1613" s="7" t="inlineStr">
        <is>
          <t>unidad</t>
        </is>
      </c>
      <c r="D1613" s="8" t="n"/>
      <c r="E1613" s="8" t="n"/>
      <c r="F1613" s="8" t="n"/>
      <c r="G1613" s="8" t="n">
        <v>39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>
        <f>IF(COUNT(D1613:U1613)=0,"",MIN(D1613:U1613))</f>
        <v/>
      </c>
      <c r="W1613" s="8">
        <f>IF(COUNT(D1613:U1613)=0,"",MEDIAN(D1613:U1613))</f>
        <v/>
      </c>
      <c r="X1613" s="8">
        <f>IF(COUNT(D1613:U1613)=0,"",MAX(D1613:U1613))</f>
        <v/>
      </c>
      <c r="Y1613" s="9">
        <f>IF(OR(V1613="",V1613=0),"",(X1613-V1613)/V1613)</f>
        <v/>
      </c>
      <c r="Z1613" s="7">
        <f>IF(COUNT(D1613:U1613)=0,"",INDEX($D$1:$U$1,MATCH(MIN(D1613:U1613),D1613:U1613,0)))</f>
        <v/>
      </c>
      <c r="AA1613" s="8" t="n">
        <v>39</v>
      </c>
      <c r="AB1613" s="10" t="n">
        <v>1</v>
      </c>
    </row>
    <row r="1614">
      <c r="A1614" s="7" t="inlineStr">
        <is>
          <t>MAT-32-259</t>
        </is>
      </c>
      <c r="B1614" s="4" t="inlineStr">
        <is>
          <t>Codo niple de HG 1"</t>
        </is>
      </c>
      <c r="C1614" s="7" t="inlineStr">
        <is>
          <t>unidad</t>
        </is>
      </c>
      <c r="D1614" s="8" t="n"/>
      <c r="E1614" s="8" t="n"/>
      <c r="F1614" s="8" t="n"/>
      <c r="G1614" s="8" t="n">
        <v>149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>
        <f>IF(COUNT(D1614:U1614)=0,"",MIN(D1614:U1614))</f>
        <v/>
      </c>
      <c r="W1614" s="8">
        <f>IF(COUNT(D1614:U1614)=0,"",MEDIAN(D1614:U1614))</f>
        <v/>
      </c>
      <c r="X1614" s="8">
        <f>IF(COUNT(D1614:U1614)=0,"",MAX(D1614:U1614))</f>
        <v/>
      </c>
      <c r="Y1614" s="9">
        <f>IF(OR(V1614="",V1614=0),"",(X1614-V1614)/V1614)</f>
        <v/>
      </c>
      <c r="Z1614" s="7">
        <f>IF(COUNT(D1614:U1614)=0,"",INDEX($D$1:$U$1,MATCH(MIN(D1614:U1614),D1614:U1614,0)))</f>
        <v/>
      </c>
      <c r="AA1614" s="8" t="n">
        <v>149</v>
      </c>
      <c r="AB1614" s="10" t="n">
        <v>1</v>
      </c>
    </row>
    <row r="1615">
      <c r="A1615" s="7" t="inlineStr">
        <is>
          <t>MAT-32-260</t>
        </is>
      </c>
      <c r="B1615" s="4" t="inlineStr">
        <is>
          <t>Codo niple de HG 2"</t>
        </is>
      </c>
      <c r="C1615" s="7" t="inlineStr">
        <is>
          <t>unidad</t>
        </is>
      </c>
      <c r="D1615" s="8" t="n"/>
      <c r="E1615" s="8" t="n"/>
      <c r="F1615" s="8" t="n"/>
      <c r="G1615" s="8" t="n">
        <v>266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>
        <f>IF(COUNT(D1615:U1615)=0,"",MIN(D1615:U1615))</f>
        <v/>
      </c>
      <c r="W1615" s="8">
        <f>IF(COUNT(D1615:U1615)=0,"",MEDIAN(D1615:U1615))</f>
        <v/>
      </c>
      <c r="X1615" s="8">
        <f>IF(COUNT(D1615:U1615)=0,"",MAX(D1615:U1615))</f>
        <v/>
      </c>
      <c r="Y1615" s="9">
        <f>IF(OR(V1615="",V1615=0),"",(X1615-V1615)/V1615)</f>
        <v/>
      </c>
      <c r="Z1615" s="7">
        <f>IF(COUNT(D1615:U1615)=0,"",INDEX($D$1:$U$1,MATCH(MIN(D1615:U1615),D1615:U1615,0)))</f>
        <v/>
      </c>
      <c r="AA1615" s="8" t="n">
        <v>266</v>
      </c>
      <c r="AB1615" s="10" t="n">
        <v>1</v>
      </c>
    </row>
    <row r="1616">
      <c r="A1616" s="7" t="inlineStr">
        <is>
          <t>MAT-32-261</t>
        </is>
      </c>
      <c r="B1616" s="4" t="inlineStr">
        <is>
          <t>Codo niple de HG 3/4"</t>
        </is>
      </c>
      <c r="C1616" s="7" t="inlineStr">
        <is>
          <t>unidad</t>
        </is>
      </c>
      <c r="D1616" s="8" t="n"/>
      <c r="E1616" s="8" t="n"/>
      <c r="F1616" s="8" t="n"/>
      <c r="G1616" s="8" t="n">
        <v>92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>
        <f>IF(COUNT(D1616:U1616)=0,"",MIN(D1616:U1616))</f>
        <v/>
      </c>
      <c r="W1616" s="8">
        <f>IF(COUNT(D1616:U1616)=0,"",MEDIAN(D1616:U1616))</f>
        <v/>
      </c>
      <c r="X1616" s="8">
        <f>IF(COUNT(D1616:U1616)=0,"",MAX(D1616:U1616))</f>
        <v/>
      </c>
      <c r="Y1616" s="9">
        <f>IF(OR(V1616="",V1616=0),"",(X1616-V1616)/V1616)</f>
        <v/>
      </c>
      <c r="Z1616" s="7">
        <f>IF(COUNT(D1616:U1616)=0,"",INDEX($D$1:$U$1,MATCH(MIN(D1616:U1616),D1616:U1616,0)))</f>
        <v/>
      </c>
      <c r="AA1616" s="8" t="n">
        <v>92</v>
      </c>
      <c r="AB1616" s="10" t="n">
        <v>1</v>
      </c>
    </row>
    <row r="1617">
      <c r="A1617" s="7" t="inlineStr">
        <is>
          <t>MAT-32-262</t>
        </is>
      </c>
      <c r="B1617" s="4" t="inlineStr">
        <is>
          <t>Codo niple de niquelado 1/2"</t>
        </is>
      </c>
      <c r="C1617" s="7" t="inlineStr">
        <is>
          <t>unidad</t>
        </is>
      </c>
      <c r="D1617" s="8" t="n"/>
      <c r="E1617" s="8" t="n"/>
      <c r="F1617" s="8" t="n"/>
      <c r="G1617" s="8" t="n">
        <v>333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>
        <f>IF(COUNT(D1617:U1617)=0,"",MIN(D1617:U1617))</f>
        <v/>
      </c>
      <c r="W1617" s="8">
        <f>IF(COUNT(D1617:U1617)=0,"",MEDIAN(D1617:U1617))</f>
        <v/>
      </c>
      <c r="X1617" s="8">
        <f>IF(COUNT(D1617:U1617)=0,"",MAX(D1617:U1617))</f>
        <v/>
      </c>
      <c r="Y1617" s="9">
        <f>IF(OR(V1617="",V1617=0),"",(X1617-V1617)/V1617)</f>
        <v/>
      </c>
      <c r="Z1617" s="7">
        <f>IF(COUNT(D1617:U1617)=0,"",INDEX($D$1:$U$1,MATCH(MIN(D1617:U1617),D1617:U1617,0)))</f>
        <v/>
      </c>
      <c r="AA1617" s="8" t="n">
        <v>333</v>
      </c>
      <c r="AB1617" s="10" t="n">
        <v>1</v>
      </c>
    </row>
    <row r="1618">
      <c r="A1618" s="7" t="inlineStr">
        <is>
          <t>MAT-32-263</t>
        </is>
      </c>
      <c r="B1618" s="4" t="inlineStr">
        <is>
          <t>Coupling de HG 1 1/2"</t>
        </is>
      </c>
      <c r="C1618" s="7" t="inlineStr">
        <is>
          <t>unidad</t>
        </is>
      </c>
      <c r="D1618" s="8" t="n"/>
      <c r="E1618" s="8" t="n"/>
      <c r="F1618" s="8" t="n"/>
      <c r="G1618" s="8" t="n">
        <v>199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>
        <f>IF(COUNT(D1618:U1618)=0,"",MIN(D1618:U1618))</f>
        <v/>
      </c>
      <c r="W1618" s="8">
        <f>IF(COUNT(D1618:U1618)=0,"",MEDIAN(D1618:U1618))</f>
        <v/>
      </c>
      <c r="X1618" s="8">
        <f>IF(COUNT(D1618:U1618)=0,"",MAX(D1618:U1618))</f>
        <v/>
      </c>
      <c r="Y1618" s="9">
        <f>IF(OR(V1618="",V1618=0),"",(X1618-V1618)/V1618)</f>
        <v/>
      </c>
      <c r="Z1618" s="7">
        <f>IF(COUNT(D1618:U1618)=0,"",INDEX($D$1:$U$1,MATCH(MIN(D1618:U1618),D1618:U1618,0)))</f>
        <v/>
      </c>
      <c r="AA1618" s="8" t="n">
        <v>199</v>
      </c>
      <c r="AB1618" s="10" t="n">
        <v>1</v>
      </c>
    </row>
    <row r="1619">
      <c r="A1619" s="7" t="inlineStr">
        <is>
          <t>MAT-32-264</t>
        </is>
      </c>
      <c r="B1619" s="4" t="inlineStr">
        <is>
          <t>Coupling de HG 1 1/4"</t>
        </is>
      </c>
      <c r="C1619" s="7" t="inlineStr">
        <is>
          <t>unidad</t>
        </is>
      </c>
      <c r="D1619" s="8" t="n"/>
      <c r="E1619" s="8" t="n"/>
      <c r="F1619" s="8" t="n"/>
      <c r="G1619" s="8" t="n">
        <v>141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>
        <f>IF(COUNT(D1619:U1619)=0,"",MIN(D1619:U1619))</f>
        <v/>
      </c>
      <c r="W1619" s="8">
        <f>IF(COUNT(D1619:U1619)=0,"",MEDIAN(D1619:U1619))</f>
        <v/>
      </c>
      <c r="X1619" s="8">
        <f>IF(COUNT(D1619:U1619)=0,"",MAX(D1619:U1619))</f>
        <v/>
      </c>
      <c r="Y1619" s="9">
        <f>IF(OR(V1619="",V1619=0),"",(X1619-V1619)/V1619)</f>
        <v/>
      </c>
      <c r="Z1619" s="7">
        <f>IF(COUNT(D1619:U1619)=0,"",INDEX($D$1:$U$1,MATCH(MIN(D1619:U1619),D1619:U1619,0)))</f>
        <v/>
      </c>
      <c r="AA1619" s="8" t="n">
        <v>141</v>
      </c>
      <c r="AB1619" s="10" t="n">
        <v>1</v>
      </c>
    </row>
    <row r="1620">
      <c r="A1620" s="7" t="inlineStr">
        <is>
          <t>MAT-32-265</t>
        </is>
      </c>
      <c r="B1620" s="4" t="inlineStr">
        <is>
          <t>Coupling de HG 1/2"</t>
        </is>
      </c>
      <c r="C1620" s="7" t="inlineStr">
        <is>
          <t>unidad</t>
        </is>
      </c>
      <c r="D1620" s="8" t="n"/>
      <c r="E1620" s="8" t="n"/>
      <c r="F1620" s="8" t="n"/>
      <c r="G1620" s="8" t="n">
        <v>25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>
        <f>IF(COUNT(D1620:U1620)=0,"",MIN(D1620:U1620))</f>
        <v/>
      </c>
      <c r="W1620" s="8">
        <f>IF(COUNT(D1620:U1620)=0,"",MEDIAN(D1620:U1620))</f>
        <v/>
      </c>
      <c r="X1620" s="8">
        <f>IF(COUNT(D1620:U1620)=0,"",MAX(D1620:U1620))</f>
        <v/>
      </c>
      <c r="Y1620" s="9">
        <f>IF(OR(V1620="",V1620=0),"",(X1620-V1620)/V1620)</f>
        <v/>
      </c>
      <c r="Z1620" s="7">
        <f>IF(COUNT(D1620:U1620)=0,"",INDEX($D$1:$U$1,MATCH(MIN(D1620:U1620),D1620:U1620,0)))</f>
        <v/>
      </c>
      <c r="AA1620" s="8" t="n">
        <v>25</v>
      </c>
      <c r="AB1620" s="10" t="n">
        <v>1</v>
      </c>
    </row>
    <row r="1621">
      <c r="A1621" s="7" t="inlineStr">
        <is>
          <t>MAT-32-266</t>
        </is>
      </c>
      <c r="B1621" s="4" t="inlineStr">
        <is>
          <t>Coupling de HG 1"</t>
        </is>
      </c>
      <c r="C1621" s="7" t="inlineStr">
        <is>
          <t>unidad</t>
        </is>
      </c>
      <c r="D1621" s="8" t="n"/>
      <c r="E1621" s="8" t="n"/>
      <c r="F1621" s="8" t="n"/>
      <c r="G1621" s="8" t="n">
        <v>65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>
        <f>IF(COUNT(D1621:U1621)=0,"",MIN(D1621:U1621))</f>
        <v/>
      </c>
      <c r="W1621" s="8">
        <f>IF(COUNT(D1621:U1621)=0,"",MEDIAN(D1621:U1621))</f>
        <v/>
      </c>
      <c r="X1621" s="8">
        <f>IF(COUNT(D1621:U1621)=0,"",MAX(D1621:U1621))</f>
        <v/>
      </c>
      <c r="Y1621" s="9">
        <f>IF(OR(V1621="",V1621=0),"",(X1621-V1621)/V1621)</f>
        <v/>
      </c>
      <c r="Z1621" s="7">
        <f>IF(COUNT(D1621:U1621)=0,"",INDEX($D$1:$U$1,MATCH(MIN(D1621:U1621),D1621:U1621,0)))</f>
        <v/>
      </c>
      <c r="AA1621" s="8" t="n">
        <v>65</v>
      </c>
      <c r="AB1621" s="10" t="n">
        <v>1</v>
      </c>
    </row>
    <row r="1622">
      <c r="A1622" s="7" t="inlineStr">
        <is>
          <t>MAT-32-267</t>
        </is>
      </c>
      <c r="B1622" s="4" t="inlineStr">
        <is>
          <t>Coupling de HG 2"</t>
        </is>
      </c>
      <c r="C1622" s="7" t="inlineStr">
        <is>
          <t>unidad</t>
        </is>
      </c>
      <c r="D1622" s="8" t="n"/>
      <c r="E1622" s="8" t="n"/>
      <c r="F1622" s="8" t="n"/>
      <c r="G1622" s="8" t="n">
        <v>237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>
        <f>IF(COUNT(D1622:U1622)=0,"",MIN(D1622:U1622))</f>
        <v/>
      </c>
      <c r="W1622" s="8">
        <f>IF(COUNT(D1622:U1622)=0,"",MEDIAN(D1622:U1622))</f>
        <v/>
      </c>
      <c r="X1622" s="8">
        <f>IF(COUNT(D1622:U1622)=0,"",MAX(D1622:U1622))</f>
        <v/>
      </c>
      <c r="Y1622" s="9">
        <f>IF(OR(V1622="",V1622=0),"",(X1622-V1622)/V1622)</f>
        <v/>
      </c>
      <c r="Z1622" s="7">
        <f>IF(COUNT(D1622:U1622)=0,"",INDEX($D$1:$U$1,MATCH(MIN(D1622:U1622),D1622:U1622,0)))</f>
        <v/>
      </c>
      <c r="AA1622" s="8" t="n">
        <v>237</v>
      </c>
      <c r="AB1622" s="10" t="n">
        <v>1</v>
      </c>
    </row>
    <row r="1623">
      <c r="A1623" s="7" t="inlineStr">
        <is>
          <t>MAT-32-268</t>
        </is>
      </c>
      <c r="B1623" s="4" t="inlineStr">
        <is>
          <t>Coupling de HG 3/4"</t>
        </is>
      </c>
      <c r="C1623" s="7" t="inlineStr">
        <is>
          <t>unidad</t>
        </is>
      </c>
      <c r="D1623" s="8" t="n"/>
      <c r="E1623" s="8" t="n"/>
      <c r="F1623" s="8" t="n"/>
      <c r="G1623" s="8" t="n">
        <v>35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>
        <f>IF(COUNT(D1623:U1623)=0,"",MIN(D1623:U1623))</f>
        <v/>
      </c>
      <c r="W1623" s="8">
        <f>IF(COUNT(D1623:U1623)=0,"",MEDIAN(D1623:U1623))</f>
        <v/>
      </c>
      <c r="X1623" s="8">
        <f>IF(COUNT(D1623:U1623)=0,"",MAX(D1623:U1623))</f>
        <v/>
      </c>
      <c r="Y1623" s="9">
        <f>IF(OR(V1623="",V1623=0),"",(X1623-V1623)/V1623)</f>
        <v/>
      </c>
      <c r="Z1623" s="7">
        <f>IF(COUNT(D1623:U1623)=0,"",INDEX($D$1:$U$1,MATCH(MIN(D1623:U1623),D1623:U1623,0)))</f>
        <v/>
      </c>
      <c r="AA1623" s="8" t="n">
        <v>35</v>
      </c>
      <c r="AB1623" s="10" t="n">
        <v>1</v>
      </c>
    </row>
    <row r="1624">
      <c r="A1624" s="7" t="inlineStr">
        <is>
          <t>MAT-32-269</t>
        </is>
      </c>
      <c r="B1624" s="4" t="inlineStr">
        <is>
          <t>Coupling de HG 3/8"</t>
        </is>
      </c>
      <c r="C1624" s="7" t="inlineStr">
        <is>
          <t>unidad</t>
        </is>
      </c>
      <c r="D1624" s="8" t="n"/>
      <c r="E1624" s="8" t="n"/>
      <c r="F1624" s="8" t="n"/>
      <c r="G1624" s="8" t="n">
        <v>42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>
        <f>IF(COUNT(D1624:U1624)=0,"",MIN(D1624:U1624))</f>
        <v/>
      </c>
      <c r="W1624" s="8">
        <f>IF(COUNT(D1624:U1624)=0,"",MEDIAN(D1624:U1624))</f>
        <v/>
      </c>
      <c r="X1624" s="8">
        <f>IF(COUNT(D1624:U1624)=0,"",MAX(D1624:U1624))</f>
        <v/>
      </c>
      <c r="Y1624" s="9">
        <f>IF(OR(V1624="",V1624=0),"",(X1624-V1624)/V1624)</f>
        <v/>
      </c>
      <c r="Z1624" s="7">
        <f>IF(COUNT(D1624:U1624)=0,"",INDEX($D$1:$U$1,MATCH(MIN(D1624:U1624),D1624:U1624,0)))</f>
        <v/>
      </c>
      <c r="AA1624" s="8" t="n">
        <v>42</v>
      </c>
      <c r="AB1624" s="10" t="n">
        <v>1</v>
      </c>
    </row>
    <row r="1625">
      <c r="A1625" s="7" t="inlineStr">
        <is>
          <t>MAT-32-270</t>
        </is>
      </c>
      <c r="B1625" s="4" t="inlineStr">
        <is>
          <t>Coupling de niquelado 1/2"</t>
        </is>
      </c>
      <c r="C1625" s="7" t="inlineStr">
        <is>
          <t>unidad</t>
        </is>
      </c>
      <c r="D1625" s="8" t="n"/>
      <c r="E1625" s="8" t="n"/>
      <c r="F1625" s="8" t="n"/>
      <c r="G1625" s="8" t="n">
        <v>247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>
        <f>IF(COUNT(D1625:U1625)=0,"",MIN(D1625:U1625))</f>
        <v/>
      </c>
      <c r="W1625" s="8">
        <f>IF(COUNT(D1625:U1625)=0,"",MEDIAN(D1625:U1625))</f>
        <v/>
      </c>
      <c r="X1625" s="8">
        <f>IF(COUNT(D1625:U1625)=0,"",MAX(D1625:U1625))</f>
        <v/>
      </c>
      <c r="Y1625" s="9">
        <f>IF(OR(V1625="",V1625=0),"",(X1625-V1625)/V1625)</f>
        <v/>
      </c>
      <c r="Z1625" s="7">
        <f>IF(COUNT(D1625:U1625)=0,"",INDEX($D$1:$U$1,MATCH(MIN(D1625:U1625),D1625:U1625,0)))</f>
        <v/>
      </c>
      <c r="AA1625" s="8" t="n">
        <v>247</v>
      </c>
      <c r="AB1625" s="10" t="n">
        <v>1</v>
      </c>
    </row>
    <row r="1626">
      <c r="A1626" s="7" t="inlineStr">
        <is>
          <t>MAT-32-271</t>
        </is>
      </c>
      <c r="B1626" s="4" t="inlineStr">
        <is>
          <t>Coupling de PPR 25 mm</t>
        </is>
      </c>
      <c r="C1626" s="7" t="inlineStr">
        <is>
          <t>unidad</t>
        </is>
      </c>
      <c r="D1626" s="8" t="n"/>
      <c r="E1626" s="8" t="n"/>
      <c r="F1626" s="8" t="n"/>
      <c r="G1626" s="8" t="n">
        <v>40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>
        <f>IF(COUNT(D1626:U1626)=0,"",MIN(D1626:U1626))</f>
        <v/>
      </c>
      <c r="W1626" s="8">
        <f>IF(COUNT(D1626:U1626)=0,"",MEDIAN(D1626:U1626))</f>
        <v/>
      </c>
      <c r="X1626" s="8">
        <f>IF(COUNT(D1626:U1626)=0,"",MAX(D1626:U1626))</f>
        <v/>
      </c>
      <c r="Y1626" s="9">
        <f>IF(OR(V1626="",V1626=0),"",(X1626-V1626)/V1626)</f>
        <v/>
      </c>
      <c r="Z1626" s="7">
        <f>IF(COUNT(D1626:U1626)=0,"",INDEX($D$1:$U$1,MATCH(MIN(D1626:U1626),D1626:U1626,0)))</f>
        <v/>
      </c>
      <c r="AA1626" s="8" t="n">
        <v>40</v>
      </c>
      <c r="AB1626" s="10" t="n">
        <v>1</v>
      </c>
    </row>
    <row r="1627">
      <c r="A1627" s="7" t="inlineStr">
        <is>
          <t>MAT-32-272</t>
        </is>
      </c>
      <c r="B1627" s="4" t="inlineStr">
        <is>
          <t>Coupling de PPR 32 mm</t>
        </is>
      </c>
      <c r="C1627" s="7" t="inlineStr">
        <is>
          <t>unidad</t>
        </is>
      </c>
      <c r="D1627" s="8" t="n"/>
      <c r="E1627" s="8" t="n"/>
      <c r="F1627" s="8" t="n"/>
      <c r="G1627" s="8" t="n">
        <v>35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>
        <f>IF(COUNT(D1627:U1627)=0,"",MIN(D1627:U1627))</f>
        <v/>
      </c>
      <c r="W1627" s="8">
        <f>IF(COUNT(D1627:U1627)=0,"",MEDIAN(D1627:U1627))</f>
        <v/>
      </c>
      <c r="X1627" s="8">
        <f>IF(COUNT(D1627:U1627)=0,"",MAX(D1627:U1627))</f>
        <v/>
      </c>
      <c r="Y1627" s="9">
        <f>IF(OR(V1627="",V1627=0),"",(X1627-V1627)/V1627)</f>
        <v/>
      </c>
      <c r="Z1627" s="7">
        <f>IF(COUNT(D1627:U1627)=0,"",INDEX($D$1:$U$1,MATCH(MIN(D1627:U1627),D1627:U1627,0)))</f>
        <v/>
      </c>
      <c r="AA1627" s="8" t="n">
        <v>35</v>
      </c>
      <c r="AB1627" s="10" t="n">
        <v>1</v>
      </c>
    </row>
    <row r="1628">
      <c r="A1628" s="7" t="inlineStr">
        <is>
          <t>MAT-32-273</t>
        </is>
      </c>
      <c r="B1628" s="4" t="inlineStr">
        <is>
          <t>Coupling de PVC presión 1 1/2"</t>
        </is>
      </c>
      <c r="C1628" s="7" t="inlineStr">
        <is>
          <t>unidad</t>
        </is>
      </c>
      <c r="D1628" s="8" t="n"/>
      <c r="E1628" s="8" t="n"/>
      <c r="F1628" s="8" t="n"/>
      <c r="G1628" s="8" t="n">
        <v>65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>
        <f>IF(COUNT(D1628:U1628)=0,"",MIN(D1628:U1628))</f>
        <v/>
      </c>
      <c r="W1628" s="8">
        <f>IF(COUNT(D1628:U1628)=0,"",MEDIAN(D1628:U1628))</f>
        <v/>
      </c>
      <c r="X1628" s="8">
        <f>IF(COUNT(D1628:U1628)=0,"",MAX(D1628:U1628))</f>
        <v/>
      </c>
      <c r="Y1628" s="9">
        <f>IF(OR(V1628="",V1628=0),"",(X1628-V1628)/V1628)</f>
        <v/>
      </c>
      <c r="Z1628" s="7">
        <f>IF(COUNT(D1628:U1628)=0,"",INDEX($D$1:$U$1,MATCH(MIN(D1628:U1628),D1628:U1628,0)))</f>
        <v/>
      </c>
      <c r="AA1628" s="8" t="n">
        <v>65</v>
      </c>
      <c r="AB1628" s="10" t="n">
        <v>1</v>
      </c>
    </row>
    <row r="1629">
      <c r="A1629" s="7" t="inlineStr">
        <is>
          <t>MAT-32-274</t>
        </is>
      </c>
      <c r="B1629" s="4" t="inlineStr">
        <is>
          <t>Coupling de PVC presión 1/2"</t>
        </is>
      </c>
      <c r="C1629" s="7" t="inlineStr">
        <is>
          <t>unidad</t>
        </is>
      </c>
      <c r="D1629" s="8" t="n"/>
      <c r="E1629" s="8" t="n"/>
      <c r="F1629" s="8" t="n"/>
      <c r="G1629" s="8" t="n">
        <v>27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>
        <f>IF(COUNT(D1629:U1629)=0,"",MIN(D1629:U1629))</f>
        <v/>
      </c>
      <c r="W1629" s="8">
        <f>IF(COUNT(D1629:U1629)=0,"",MEDIAN(D1629:U1629))</f>
        <v/>
      </c>
      <c r="X1629" s="8">
        <f>IF(COUNT(D1629:U1629)=0,"",MAX(D1629:U1629))</f>
        <v/>
      </c>
      <c r="Y1629" s="9">
        <f>IF(OR(V1629="",V1629=0),"",(X1629-V1629)/V1629)</f>
        <v/>
      </c>
      <c r="Z1629" s="7">
        <f>IF(COUNT(D1629:U1629)=0,"",INDEX($D$1:$U$1,MATCH(MIN(D1629:U1629),D1629:U1629,0)))</f>
        <v/>
      </c>
      <c r="AA1629" s="8" t="n">
        <v>27</v>
      </c>
      <c r="AB1629" s="10" t="n">
        <v>1</v>
      </c>
    </row>
    <row r="1630">
      <c r="A1630" s="7" t="inlineStr">
        <is>
          <t>MAT-32-275</t>
        </is>
      </c>
      <c r="B1630" s="4" t="inlineStr">
        <is>
          <t>Coupling de PVC presión 1"</t>
        </is>
      </c>
      <c r="C1630" s="7" t="inlineStr">
        <is>
          <t>unidad</t>
        </is>
      </c>
      <c r="D1630" s="8" t="n"/>
      <c r="E1630" s="8" t="n"/>
      <c r="F1630" s="8" t="n"/>
      <c r="G1630" s="8" t="n">
        <v>41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>
        <f>IF(COUNT(D1630:U1630)=0,"",MIN(D1630:U1630))</f>
        <v/>
      </c>
      <c r="W1630" s="8">
        <f>IF(COUNT(D1630:U1630)=0,"",MEDIAN(D1630:U1630))</f>
        <v/>
      </c>
      <c r="X1630" s="8">
        <f>IF(COUNT(D1630:U1630)=0,"",MAX(D1630:U1630))</f>
        <v/>
      </c>
      <c r="Y1630" s="9">
        <f>IF(OR(V1630="",V1630=0),"",(X1630-V1630)/V1630)</f>
        <v/>
      </c>
      <c r="Z1630" s="7">
        <f>IF(COUNT(D1630:U1630)=0,"",INDEX($D$1:$U$1,MATCH(MIN(D1630:U1630),D1630:U1630,0)))</f>
        <v/>
      </c>
      <c r="AA1630" s="8" t="n">
        <v>41</v>
      </c>
      <c r="AB1630" s="10" t="n">
        <v>1</v>
      </c>
    </row>
    <row r="1631">
      <c r="A1631" s="7" t="inlineStr">
        <is>
          <t>MAT-32-276</t>
        </is>
      </c>
      <c r="B1631" s="4" t="inlineStr">
        <is>
          <t>Coupling de PVC presión 2"</t>
        </is>
      </c>
      <c r="C1631" s="7" t="inlineStr">
        <is>
          <t>unidad</t>
        </is>
      </c>
      <c r="D1631" s="8" t="n"/>
      <c r="E1631" s="8" t="n"/>
      <c r="F1631" s="8" t="n"/>
      <c r="G1631" s="8" t="n">
        <v>95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>
        <f>IF(COUNT(D1631:U1631)=0,"",MIN(D1631:U1631))</f>
        <v/>
      </c>
      <c r="W1631" s="8">
        <f>IF(COUNT(D1631:U1631)=0,"",MEDIAN(D1631:U1631))</f>
        <v/>
      </c>
      <c r="X1631" s="8">
        <f>IF(COUNT(D1631:U1631)=0,"",MAX(D1631:U1631))</f>
        <v/>
      </c>
      <c r="Y1631" s="9">
        <f>IF(OR(V1631="",V1631=0),"",(X1631-V1631)/V1631)</f>
        <v/>
      </c>
      <c r="Z1631" s="7">
        <f>IF(COUNT(D1631:U1631)=0,"",INDEX($D$1:$U$1,MATCH(MIN(D1631:U1631),D1631:U1631,0)))</f>
        <v/>
      </c>
      <c r="AA1631" s="8" t="n">
        <v>95</v>
      </c>
      <c r="AB1631" s="10" t="n">
        <v>1</v>
      </c>
    </row>
    <row r="1632">
      <c r="A1632" s="7" t="inlineStr">
        <is>
          <t>MAT-32-277</t>
        </is>
      </c>
      <c r="B1632" s="4" t="inlineStr">
        <is>
          <t>Coupling de PVC presión 3/4"</t>
        </is>
      </c>
      <c r="C1632" s="7" t="inlineStr">
        <is>
          <t>unidad</t>
        </is>
      </c>
      <c r="D1632" s="8" t="n"/>
      <c r="E1632" s="8" t="n"/>
      <c r="F1632" s="8" t="n"/>
      <c r="G1632" s="8" t="n">
        <v>26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>
        <f>IF(COUNT(D1632:U1632)=0,"",MIN(D1632:U1632))</f>
        <v/>
      </c>
      <c r="W1632" s="8">
        <f>IF(COUNT(D1632:U1632)=0,"",MEDIAN(D1632:U1632))</f>
        <v/>
      </c>
      <c r="X1632" s="8">
        <f>IF(COUNT(D1632:U1632)=0,"",MAX(D1632:U1632))</f>
        <v/>
      </c>
      <c r="Y1632" s="9">
        <f>IF(OR(V1632="",V1632=0),"",(X1632-V1632)/V1632)</f>
        <v/>
      </c>
      <c r="Z1632" s="7">
        <f>IF(COUNT(D1632:U1632)=0,"",INDEX($D$1:$U$1,MATCH(MIN(D1632:U1632),D1632:U1632,0)))</f>
        <v/>
      </c>
      <c r="AA1632" s="8" t="n">
        <v>26</v>
      </c>
      <c r="AB1632" s="10" t="n">
        <v>1</v>
      </c>
    </row>
    <row r="1633">
      <c r="A1633" s="7" t="inlineStr">
        <is>
          <t>MAT-32-278</t>
        </is>
      </c>
      <c r="B1633" s="4" t="inlineStr">
        <is>
          <t>Coupling de PVC presión 3"</t>
        </is>
      </c>
      <c r="C1633" s="7" t="inlineStr">
        <is>
          <t>unidad</t>
        </is>
      </c>
      <c r="D1633" s="8" t="n"/>
      <c r="E1633" s="8" t="n"/>
      <c r="F1633" s="8" t="n"/>
      <c r="G1633" s="8" t="n">
        <v>215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>
        <f>IF(COUNT(D1633:U1633)=0,"",MIN(D1633:U1633))</f>
        <v/>
      </c>
      <c r="W1633" s="8">
        <f>IF(COUNT(D1633:U1633)=0,"",MEDIAN(D1633:U1633))</f>
        <v/>
      </c>
      <c r="X1633" s="8">
        <f>IF(COUNT(D1633:U1633)=0,"",MAX(D1633:U1633))</f>
        <v/>
      </c>
      <c r="Y1633" s="9">
        <f>IF(OR(V1633="",V1633=0),"",(X1633-V1633)/V1633)</f>
        <v/>
      </c>
      <c r="Z1633" s="7">
        <f>IF(COUNT(D1633:U1633)=0,"",INDEX($D$1:$U$1,MATCH(MIN(D1633:U1633),D1633:U1633,0)))</f>
        <v/>
      </c>
      <c r="AA1633" s="8" t="n">
        <v>215</v>
      </c>
      <c r="AB1633" s="10" t="n">
        <v>1</v>
      </c>
    </row>
    <row r="1634">
      <c r="A1634" s="7" t="inlineStr">
        <is>
          <t>MAT-32-279</t>
        </is>
      </c>
      <c r="B1634" s="4" t="inlineStr">
        <is>
          <t>Coupling de PVC presión 4"</t>
        </is>
      </c>
      <c r="C1634" s="7" t="inlineStr">
        <is>
          <t>unidad</t>
        </is>
      </c>
      <c r="D1634" s="8" t="n"/>
      <c r="E1634" s="8" t="n"/>
      <c r="F1634" s="8" t="n"/>
      <c r="G1634" s="8" t="n">
        <v>335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>
        <f>IF(COUNT(D1634:U1634)=0,"",MIN(D1634:U1634))</f>
        <v/>
      </c>
      <c r="W1634" s="8">
        <f>IF(COUNT(D1634:U1634)=0,"",MEDIAN(D1634:U1634))</f>
        <v/>
      </c>
      <c r="X1634" s="8">
        <f>IF(COUNT(D1634:U1634)=0,"",MAX(D1634:U1634))</f>
        <v/>
      </c>
      <c r="Y1634" s="9">
        <f>IF(OR(V1634="",V1634=0),"",(X1634-V1634)/V1634)</f>
        <v/>
      </c>
      <c r="Z1634" s="7">
        <f>IF(COUNT(D1634:U1634)=0,"",INDEX($D$1:$U$1,MATCH(MIN(D1634:U1634),D1634:U1634,0)))</f>
        <v/>
      </c>
      <c r="AA1634" s="8" t="n">
        <v>335</v>
      </c>
      <c r="AB1634" s="10" t="n">
        <v>1</v>
      </c>
    </row>
    <row r="1635">
      <c r="A1635" s="7" t="inlineStr">
        <is>
          <t>MAT-32-280</t>
        </is>
      </c>
      <c r="B1635" s="4" t="inlineStr">
        <is>
          <t>Cruz de PVC presión 1"</t>
        </is>
      </c>
      <c r="C1635" s="7" t="inlineStr">
        <is>
          <t>unidad</t>
        </is>
      </c>
      <c r="D1635" s="8" t="n"/>
      <c r="E1635" s="8" t="n"/>
      <c r="F1635" s="8" t="n"/>
      <c r="G1635" s="8" t="n">
        <v>136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>
        <f>IF(COUNT(D1635:U1635)=0,"",MIN(D1635:U1635))</f>
        <v/>
      </c>
      <c r="W1635" s="8">
        <f>IF(COUNT(D1635:U1635)=0,"",MEDIAN(D1635:U1635))</f>
        <v/>
      </c>
      <c r="X1635" s="8">
        <f>IF(COUNT(D1635:U1635)=0,"",MAX(D1635:U1635))</f>
        <v/>
      </c>
      <c r="Y1635" s="9">
        <f>IF(OR(V1635="",V1635=0),"",(X1635-V1635)/V1635)</f>
        <v/>
      </c>
      <c r="Z1635" s="7">
        <f>IF(COUNT(D1635:U1635)=0,"",INDEX($D$1:$U$1,MATCH(MIN(D1635:U1635),D1635:U1635,0)))</f>
        <v/>
      </c>
      <c r="AA1635" s="8" t="n">
        <v>136</v>
      </c>
      <c r="AB1635" s="10" t="n">
        <v>1</v>
      </c>
    </row>
    <row r="1636">
      <c r="A1636" s="7" t="inlineStr">
        <is>
          <t>MAT-32-281</t>
        </is>
      </c>
      <c r="B1636" s="4" t="inlineStr">
        <is>
          <t>Fitting de manguera 1/2" x 1/4"</t>
        </is>
      </c>
      <c r="C1636" s="7" t="inlineStr">
        <is>
          <t>unidad</t>
        </is>
      </c>
      <c r="D1636" s="8" t="n"/>
      <c r="E1636" s="8" t="n"/>
      <c r="F1636" s="8" t="n"/>
      <c r="G1636" s="8" t="n">
        <v>165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>
        <f>IF(COUNT(D1636:U1636)=0,"",MIN(D1636:U1636))</f>
        <v/>
      </c>
      <c r="W1636" s="8">
        <f>IF(COUNT(D1636:U1636)=0,"",MEDIAN(D1636:U1636))</f>
        <v/>
      </c>
      <c r="X1636" s="8">
        <f>IF(COUNT(D1636:U1636)=0,"",MAX(D1636:U1636))</f>
        <v/>
      </c>
      <c r="Y1636" s="9">
        <f>IF(OR(V1636="",V1636=0),"",(X1636-V1636)/V1636)</f>
        <v/>
      </c>
      <c r="Z1636" s="7">
        <f>IF(COUNT(D1636:U1636)=0,"",INDEX($D$1:$U$1,MATCH(MIN(D1636:U1636),D1636:U1636,0)))</f>
        <v/>
      </c>
      <c r="AA1636" s="8" t="n">
        <v>165</v>
      </c>
      <c r="AB1636" s="10" t="n">
        <v>1</v>
      </c>
    </row>
    <row r="1637">
      <c r="A1637" s="7" t="inlineStr">
        <is>
          <t>MAT-32-282</t>
        </is>
      </c>
      <c r="B1637" s="4" t="inlineStr">
        <is>
          <t>Fitting de manguera 1/2" x 3/8"</t>
        </is>
      </c>
      <c r="C1637" s="7" t="inlineStr">
        <is>
          <t>unidad</t>
        </is>
      </c>
      <c r="D1637" s="8" t="n"/>
      <c r="E1637" s="8" t="n"/>
      <c r="F1637" s="8" t="n"/>
      <c r="G1637" s="8" t="n">
        <v>205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>
        <f>IF(COUNT(D1637:U1637)=0,"",MIN(D1637:U1637))</f>
        <v/>
      </c>
      <c r="W1637" s="8">
        <f>IF(COUNT(D1637:U1637)=0,"",MEDIAN(D1637:U1637))</f>
        <v/>
      </c>
      <c r="X1637" s="8">
        <f>IF(COUNT(D1637:U1637)=0,"",MAX(D1637:U1637))</f>
        <v/>
      </c>
      <c r="Y1637" s="9">
        <f>IF(OR(V1637="",V1637=0),"",(X1637-V1637)/V1637)</f>
        <v/>
      </c>
      <c r="Z1637" s="7">
        <f>IF(COUNT(D1637:U1637)=0,"",INDEX($D$1:$U$1,MATCH(MIN(D1637:U1637),D1637:U1637,0)))</f>
        <v/>
      </c>
      <c r="AA1637" s="8" t="n">
        <v>205</v>
      </c>
      <c r="AB1637" s="10" t="n">
        <v>1</v>
      </c>
    </row>
    <row r="1638">
      <c r="A1638" s="7" t="inlineStr">
        <is>
          <t>MAT-32-283</t>
        </is>
      </c>
      <c r="B1638" s="4" t="inlineStr">
        <is>
          <t>Fitting de manguera 1/4" x 3/8"</t>
        </is>
      </c>
      <c r="C1638" s="7" t="inlineStr">
        <is>
          <t>unidad</t>
        </is>
      </c>
      <c r="D1638" s="8" t="n"/>
      <c r="E1638" s="8" t="n"/>
      <c r="F1638" s="8" t="n"/>
      <c r="G1638" s="8" t="n">
        <v>122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>
        <f>IF(COUNT(D1638:U1638)=0,"",MIN(D1638:U1638))</f>
        <v/>
      </c>
      <c r="W1638" s="8">
        <f>IF(COUNT(D1638:U1638)=0,"",MEDIAN(D1638:U1638))</f>
        <v/>
      </c>
      <c r="X1638" s="8">
        <f>IF(COUNT(D1638:U1638)=0,"",MAX(D1638:U1638))</f>
        <v/>
      </c>
      <c r="Y1638" s="9">
        <f>IF(OR(V1638="",V1638=0),"",(X1638-V1638)/V1638)</f>
        <v/>
      </c>
      <c r="Z1638" s="7">
        <f>IF(COUNT(D1638:U1638)=0,"",INDEX($D$1:$U$1,MATCH(MIN(D1638:U1638),D1638:U1638,0)))</f>
        <v/>
      </c>
      <c r="AA1638" s="8" t="n">
        <v>122</v>
      </c>
      <c r="AB1638" s="10" t="n">
        <v>1</v>
      </c>
    </row>
    <row r="1639">
      <c r="A1639" s="7" t="inlineStr">
        <is>
          <t>MAT-32-284</t>
        </is>
      </c>
      <c r="B1639" s="4" t="inlineStr">
        <is>
          <t>Fitting de manguera 3/8" x 1/4"</t>
        </is>
      </c>
      <c r="C1639" s="7" t="inlineStr">
        <is>
          <t>unidad</t>
        </is>
      </c>
      <c r="D1639" s="8" t="n"/>
      <c r="E1639" s="8" t="n"/>
      <c r="F1639" s="8" t="n"/>
      <c r="G1639" s="8" t="n">
        <v>102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>
        <f>IF(COUNT(D1639:U1639)=0,"",MIN(D1639:U1639))</f>
        <v/>
      </c>
      <c r="W1639" s="8">
        <f>IF(COUNT(D1639:U1639)=0,"",MEDIAN(D1639:U1639))</f>
        <v/>
      </c>
      <c r="X1639" s="8">
        <f>IF(COUNT(D1639:U1639)=0,"",MAX(D1639:U1639))</f>
        <v/>
      </c>
      <c r="Y1639" s="9">
        <f>IF(OR(V1639="",V1639=0),"",(X1639-V1639)/V1639)</f>
        <v/>
      </c>
      <c r="Z1639" s="7">
        <f>IF(COUNT(D1639:U1639)=0,"",INDEX($D$1:$U$1,MATCH(MIN(D1639:U1639),D1639:U1639,0)))</f>
        <v/>
      </c>
      <c r="AA1639" s="8" t="n">
        <v>102</v>
      </c>
      <c r="AB1639" s="10" t="n">
        <v>1</v>
      </c>
    </row>
    <row r="1640">
      <c r="A1640" s="7" t="inlineStr">
        <is>
          <t>MAT-32-285</t>
        </is>
      </c>
      <c r="B1640" s="4" t="inlineStr">
        <is>
          <t>Junta de PVC 1 1/2"</t>
        </is>
      </c>
      <c r="C1640" s="7" t="inlineStr">
        <is>
          <t>unidad</t>
        </is>
      </c>
      <c r="D1640" s="8" t="n"/>
      <c r="E1640" s="8" t="n"/>
      <c r="F1640" s="8" t="n"/>
      <c r="G1640" s="8" t="n">
        <v>308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>
        <f>IF(COUNT(D1640:U1640)=0,"",MIN(D1640:U1640))</f>
        <v/>
      </c>
      <c r="W1640" s="8">
        <f>IF(COUNT(D1640:U1640)=0,"",MEDIAN(D1640:U1640))</f>
        <v/>
      </c>
      <c r="X1640" s="8">
        <f>IF(COUNT(D1640:U1640)=0,"",MAX(D1640:U1640))</f>
        <v/>
      </c>
      <c r="Y1640" s="9">
        <f>IF(OR(V1640="",V1640=0),"",(X1640-V1640)/V1640)</f>
        <v/>
      </c>
      <c r="Z1640" s="7">
        <f>IF(COUNT(D1640:U1640)=0,"",INDEX($D$1:$U$1,MATCH(MIN(D1640:U1640),D1640:U1640,0)))</f>
        <v/>
      </c>
      <c r="AA1640" s="8" t="n">
        <v>308</v>
      </c>
      <c r="AB1640" s="10" t="n">
        <v>1</v>
      </c>
    </row>
    <row r="1641">
      <c r="A1641" s="7" t="inlineStr">
        <is>
          <t>MAT-32-286</t>
        </is>
      </c>
      <c r="B1641" s="4" t="inlineStr">
        <is>
          <t>Junta de PVC 1/2"</t>
        </is>
      </c>
      <c r="C1641" s="7" t="inlineStr">
        <is>
          <t>unidad</t>
        </is>
      </c>
      <c r="D1641" s="8" t="n"/>
      <c r="E1641" s="8" t="n"/>
      <c r="F1641" s="8" t="n"/>
      <c r="G1641" s="8" t="n">
        <v>86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>
        <f>IF(COUNT(D1641:U1641)=0,"",MIN(D1641:U1641))</f>
        <v/>
      </c>
      <c r="W1641" s="8">
        <f>IF(COUNT(D1641:U1641)=0,"",MEDIAN(D1641:U1641))</f>
        <v/>
      </c>
      <c r="X1641" s="8">
        <f>IF(COUNT(D1641:U1641)=0,"",MAX(D1641:U1641))</f>
        <v/>
      </c>
      <c r="Y1641" s="9">
        <f>IF(OR(V1641="",V1641=0),"",(X1641-V1641)/V1641)</f>
        <v/>
      </c>
      <c r="Z1641" s="7">
        <f>IF(COUNT(D1641:U1641)=0,"",INDEX($D$1:$U$1,MATCH(MIN(D1641:U1641),D1641:U1641,0)))</f>
        <v/>
      </c>
      <c r="AA1641" s="8" t="n">
        <v>86</v>
      </c>
      <c r="AB1641" s="10" t="n">
        <v>1</v>
      </c>
    </row>
    <row r="1642">
      <c r="A1642" s="7" t="inlineStr">
        <is>
          <t>MAT-32-287</t>
        </is>
      </c>
      <c r="B1642" s="4" t="inlineStr">
        <is>
          <t>Junta de PVC 1"</t>
        </is>
      </c>
      <c r="C1642" s="7" t="inlineStr">
        <is>
          <t>unidad</t>
        </is>
      </c>
      <c r="D1642" s="8" t="n"/>
      <c r="E1642" s="8" t="n"/>
      <c r="F1642" s="8" t="n"/>
      <c r="G1642" s="8" t="n">
        <v>160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>
        <f>IF(COUNT(D1642:U1642)=0,"",MIN(D1642:U1642))</f>
        <v/>
      </c>
      <c r="W1642" s="8">
        <f>IF(COUNT(D1642:U1642)=0,"",MEDIAN(D1642:U1642))</f>
        <v/>
      </c>
      <c r="X1642" s="8">
        <f>IF(COUNT(D1642:U1642)=0,"",MAX(D1642:U1642))</f>
        <v/>
      </c>
      <c r="Y1642" s="9">
        <f>IF(OR(V1642="",V1642=0),"",(X1642-V1642)/V1642)</f>
        <v/>
      </c>
      <c r="Z1642" s="7">
        <f>IF(COUNT(D1642:U1642)=0,"",INDEX($D$1:$U$1,MATCH(MIN(D1642:U1642),D1642:U1642,0)))</f>
        <v/>
      </c>
      <c r="AA1642" s="8" t="n">
        <v>160</v>
      </c>
      <c r="AB1642" s="10" t="n">
        <v>1</v>
      </c>
    </row>
    <row r="1643">
      <c r="A1643" s="7" t="inlineStr">
        <is>
          <t>MAT-32-288</t>
        </is>
      </c>
      <c r="B1643" s="4" t="inlineStr">
        <is>
          <t>Junta de PVC 3/4"</t>
        </is>
      </c>
      <c r="C1643" s="7" t="inlineStr">
        <is>
          <t>unidad</t>
        </is>
      </c>
      <c r="D1643" s="8" t="n"/>
      <c r="E1643" s="8" t="n"/>
      <c r="F1643" s="8" t="n"/>
      <c r="G1643" s="8" t="n">
        <v>135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>
        <f>IF(COUNT(D1643:U1643)=0,"",MIN(D1643:U1643))</f>
        <v/>
      </c>
      <c r="W1643" s="8">
        <f>IF(COUNT(D1643:U1643)=0,"",MEDIAN(D1643:U1643))</f>
        <v/>
      </c>
      <c r="X1643" s="8">
        <f>IF(COUNT(D1643:U1643)=0,"",MAX(D1643:U1643))</f>
        <v/>
      </c>
      <c r="Y1643" s="9">
        <f>IF(OR(V1643="",V1643=0),"",(X1643-V1643)/V1643)</f>
        <v/>
      </c>
      <c r="Z1643" s="7">
        <f>IF(COUNT(D1643:U1643)=0,"",INDEX($D$1:$U$1,MATCH(MIN(D1643:U1643),D1643:U1643,0)))</f>
        <v/>
      </c>
      <c r="AA1643" s="8" t="n">
        <v>135</v>
      </c>
      <c r="AB1643" s="10" t="n">
        <v>1</v>
      </c>
    </row>
    <row r="1644">
      <c r="A1644" s="7" t="inlineStr">
        <is>
          <t>MAT-32-289</t>
        </is>
      </c>
      <c r="B1644" s="4" t="inlineStr">
        <is>
          <t>Niple de bronce 1/2" x 2"</t>
        </is>
      </c>
      <c r="C1644" s="7" t="inlineStr">
        <is>
          <t>unidad</t>
        </is>
      </c>
      <c r="D1644" s="8" t="n"/>
      <c r="E1644" s="8" t="n">
        <v>133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>
        <f>IF(COUNT(D1644:U1644)=0,"",MIN(D1644:U1644))</f>
        <v/>
      </c>
      <c r="W1644" s="8">
        <f>IF(COUNT(D1644:U1644)=0,"",MEDIAN(D1644:U1644))</f>
        <v/>
      </c>
      <c r="X1644" s="8">
        <f>IF(COUNT(D1644:U1644)=0,"",MAX(D1644:U1644))</f>
        <v/>
      </c>
      <c r="Y1644" s="9">
        <f>IF(OR(V1644="",V1644=0),"",(X1644-V1644)/V1644)</f>
        <v/>
      </c>
      <c r="Z1644" s="7">
        <f>IF(COUNT(D1644:U1644)=0,"",INDEX($D$1:$U$1,MATCH(MIN(D1644:U1644),D1644:U1644,0)))</f>
        <v/>
      </c>
      <c r="AA1644" s="8" t="n">
        <v>133</v>
      </c>
      <c r="AB1644" s="10" t="n">
        <v>1</v>
      </c>
    </row>
    <row r="1645">
      <c r="A1645" s="7" t="inlineStr">
        <is>
          <t>MAT-32-290</t>
        </is>
      </c>
      <c r="B1645" s="4" t="inlineStr">
        <is>
          <t>Niple de bronce 1/2" x 3"</t>
        </is>
      </c>
      <c r="C1645" s="7" t="inlineStr">
        <is>
          <t>unidad</t>
        </is>
      </c>
      <c r="D1645" s="8" t="n"/>
      <c r="E1645" s="8" t="n">
        <v>192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>
        <f>IF(COUNT(D1645:U1645)=0,"",MIN(D1645:U1645))</f>
        <v/>
      </c>
      <c r="W1645" s="8">
        <f>IF(COUNT(D1645:U1645)=0,"",MEDIAN(D1645:U1645))</f>
        <v/>
      </c>
      <c r="X1645" s="8">
        <f>IF(COUNT(D1645:U1645)=0,"",MAX(D1645:U1645))</f>
        <v/>
      </c>
      <c r="Y1645" s="9">
        <f>IF(OR(V1645="",V1645=0),"",(X1645-V1645)/V1645)</f>
        <v/>
      </c>
      <c r="Z1645" s="7">
        <f>IF(COUNT(D1645:U1645)=0,"",INDEX($D$1:$U$1,MATCH(MIN(D1645:U1645),D1645:U1645,0)))</f>
        <v/>
      </c>
      <c r="AA1645" s="8" t="n">
        <v>192</v>
      </c>
      <c r="AB1645" s="10" t="n">
        <v>1</v>
      </c>
    </row>
    <row r="1646">
      <c r="A1646" s="7" t="inlineStr">
        <is>
          <t>MAT-32-291</t>
        </is>
      </c>
      <c r="B1646" s="4" t="inlineStr">
        <is>
          <t>Niple de bronce 1/4" x 1 1/2"</t>
        </is>
      </c>
      <c r="C1646" s="7" t="inlineStr">
        <is>
          <t>unidad</t>
        </is>
      </c>
      <c r="D1646" s="8" t="n"/>
      <c r="E1646" s="8" t="n">
        <v>66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>
        <f>IF(COUNT(D1646:U1646)=0,"",MIN(D1646:U1646))</f>
        <v/>
      </c>
      <c r="W1646" s="8">
        <f>IF(COUNT(D1646:U1646)=0,"",MEDIAN(D1646:U1646))</f>
        <v/>
      </c>
      <c r="X1646" s="8">
        <f>IF(COUNT(D1646:U1646)=0,"",MAX(D1646:U1646))</f>
        <v/>
      </c>
      <c r="Y1646" s="9">
        <f>IF(OR(V1646="",V1646=0),"",(X1646-V1646)/V1646)</f>
        <v/>
      </c>
      <c r="Z1646" s="7">
        <f>IF(COUNT(D1646:U1646)=0,"",INDEX($D$1:$U$1,MATCH(MIN(D1646:U1646),D1646:U1646,0)))</f>
        <v/>
      </c>
      <c r="AA1646" s="8" t="n">
        <v>66</v>
      </c>
      <c r="AB1646" s="10" t="n">
        <v>1</v>
      </c>
    </row>
    <row r="1647">
      <c r="A1647" s="7" t="inlineStr">
        <is>
          <t>MAT-32-292</t>
        </is>
      </c>
      <c r="B1647" s="4" t="inlineStr">
        <is>
          <t>Niple de bronce 1/4" x 3"</t>
        </is>
      </c>
      <c r="C1647" s="7" t="inlineStr">
        <is>
          <t>unidad</t>
        </is>
      </c>
      <c r="D1647" s="8" t="n"/>
      <c r="E1647" s="8" t="n">
        <v>165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>
        <f>IF(COUNT(D1647:U1647)=0,"",MIN(D1647:U1647))</f>
        <v/>
      </c>
      <c r="W1647" s="8">
        <f>IF(COUNT(D1647:U1647)=0,"",MEDIAN(D1647:U1647))</f>
        <v/>
      </c>
      <c r="X1647" s="8">
        <f>IF(COUNT(D1647:U1647)=0,"",MAX(D1647:U1647))</f>
        <v/>
      </c>
      <c r="Y1647" s="9">
        <f>IF(OR(V1647="",V1647=0),"",(X1647-V1647)/V1647)</f>
        <v/>
      </c>
      <c r="Z1647" s="7">
        <f>IF(COUNT(D1647:U1647)=0,"",INDEX($D$1:$U$1,MATCH(MIN(D1647:U1647),D1647:U1647,0)))</f>
        <v/>
      </c>
      <c r="AA1647" s="8" t="n">
        <v>165</v>
      </c>
      <c r="AB1647" s="10" t="n">
        <v>1</v>
      </c>
    </row>
    <row r="1648">
      <c r="A1648" s="7" t="inlineStr">
        <is>
          <t>MAT-32-293</t>
        </is>
      </c>
      <c r="B1648" s="4" t="inlineStr">
        <is>
          <t>Niple de bronce 1/8" x 1 1/2"</t>
        </is>
      </c>
      <c r="C1648" s="7" t="inlineStr">
        <is>
          <t>unidad</t>
        </is>
      </c>
      <c r="D1648" s="8" t="n"/>
      <c r="E1648" s="8" t="n">
        <v>51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>
        <f>IF(COUNT(D1648:U1648)=0,"",MIN(D1648:U1648))</f>
        <v/>
      </c>
      <c r="W1648" s="8">
        <f>IF(COUNT(D1648:U1648)=0,"",MEDIAN(D1648:U1648))</f>
        <v/>
      </c>
      <c r="X1648" s="8">
        <f>IF(COUNT(D1648:U1648)=0,"",MAX(D1648:U1648))</f>
        <v/>
      </c>
      <c r="Y1648" s="9">
        <f>IF(OR(V1648="",V1648=0),"",(X1648-V1648)/V1648)</f>
        <v/>
      </c>
      <c r="Z1648" s="7">
        <f>IF(COUNT(D1648:U1648)=0,"",INDEX($D$1:$U$1,MATCH(MIN(D1648:U1648),D1648:U1648,0)))</f>
        <v/>
      </c>
      <c r="AA1648" s="8" t="n">
        <v>51</v>
      </c>
      <c r="AB1648" s="10" t="n">
        <v>1</v>
      </c>
    </row>
    <row r="1649">
      <c r="A1649" s="7" t="inlineStr">
        <is>
          <t>MAT-32-294</t>
        </is>
      </c>
      <c r="B1649" s="4" t="inlineStr">
        <is>
          <t>Niple de bronce 3/8" x 1 1/2"</t>
        </is>
      </c>
      <c r="C1649" s="7" t="inlineStr">
        <is>
          <t>unidad</t>
        </is>
      </c>
      <c r="D1649" s="8" t="n"/>
      <c r="E1649" s="8" t="n">
        <v>87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>
        <f>IF(COUNT(D1649:U1649)=0,"",MIN(D1649:U1649))</f>
        <v/>
      </c>
      <c r="W1649" s="8">
        <f>IF(COUNT(D1649:U1649)=0,"",MEDIAN(D1649:U1649))</f>
        <v/>
      </c>
      <c r="X1649" s="8">
        <f>IF(COUNT(D1649:U1649)=0,"",MAX(D1649:U1649))</f>
        <v/>
      </c>
      <c r="Y1649" s="9">
        <f>IF(OR(V1649="",V1649=0),"",(X1649-V1649)/V1649)</f>
        <v/>
      </c>
      <c r="Z1649" s="7">
        <f>IF(COUNT(D1649:U1649)=0,"",INDEX($D$1:$U$1,MATCH(MIN(D1649:U1649),D1649:U1649,0)))</f>
        <v/>
      </c>
      <c r="AA1649" s="8" t="n">
        <v>87</v>
      </c>
      <c r="AB1649" s="10" t="n">
        <v>1</v>
      </c>
    </row>
    <row r="1650">
      <c r="A1650" s="7" t="inlineStr">
        <is>
          <t>MAT-32-295</t>
        </is>
      </c>
      <c r="B1650" s="4" t="inlineStr">
        <is>
          <t>Niple de bronce 3/8" x 2"</t>
        </is>
      </c>
      <c r="C1650" s="7" t="inlineStr">
        <is>
          <t>unidad</t>
        </is>
      </c>
      <c r="D1650" s="8" t="n"/>
      <c r="E1650" s="8" t="n">
        <v>90</v>
      </c>
      <c r="F1650" s="8" t="n"/>
      <c r="G1650" s="8" t="n"/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>
        <f>IF(COUNT(D1650:U1650)=0,"",MIN(D1650:U1650))</f>
        <v/>
      </c>
      <c r="W1650" s="8">
        <f>IF(COUNT(D1650:U1650)=0,"",MEDIAN(D1650:U1650))</f>
        <v/>
      </c>
      <c r="X1650" s="8">
        <f>IF(COUNT(D1650:U1650)=0,"",MAX(D1650:U1650))</f>
        <v/>
      </c>
      <c r="Y1650" s="9">
        <f>IF(OR(V1650="",V1650=0),"",(X1650-V1650)/V1650)</f>
        <v/>
      </c>
      <c r="Z1650" s="7">
        <f>IF(COUNT(D1650:U1650)=0,"",INDEX($D$1:$U$1,MATCH(MIN(D1650:U1650),D1650:U1650,0)))</f>
        <v/>
      </c>
      <c r="AA1650" s="8" t="n">
        <v>90</v>
      </c>
      <c r="AB1650" s="10" t="n">
        <v>1</v>
      </c>
    </row>
    <row r="1651">
      <c r="A1651" s="7" t="inlineStr">
        <is>
          <t>MAT-32-296</t>
        </is>
      </c>
      <c r="B1651" s="4" t="inlineStr">
        <is>
          <t>Niple de cobre 1/4" x 1 1/2"</t>
        </is>
      </c>
      <c r="C1651" s="7" t="inlineStr">
        <is>
          <t>unidad</t>
        </is>
      </c>
      <c r="D1651" s="8" t="n"/>
      <c r="E1651" s="8" t="n"/>
      <c r="F1651" s="8" t="n"/>
      <c r="G1651" s="8" t="n">
        <v>121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>
        <f>IF(COUNT(D1651:U1651)=0,"",MIN(D1651:U1651))</f>
        <v/>
      </c>
      <c r="W1651" s="8">
        <f>IF(COUNT(D1651:U1651)=0,"",MEDIAN(D1651:U1651))</f>
        <v/>
      </c>
      <c r="X1651" s="8">
        <f>IF(COUNT(D1651:U1651)=0,"",MAX(D1651:U1651))</f>
        <v/>
      </c>
      <c r="Y1651" s="9">
        <f>IF(OR(V1651="",V1651=0),"",(X1651-V1651)/V1651)</f>
        <v/>
      </c>
      <c r="Z1651" s="7">
        <f>IF(COUNT(D1651:U1651)=0,"",INDEX($D$1:$U$1,MATCH(MIN(D1651:U1651),D1651:U1651,0)))</f>
        <v/>
      </c>
      <c r="AA1651" s="8" t="n">
        <v>121</v>
      </c>
      <c r="AB1651" s="10" t="n">
        <v>1</v>
      </c>
    </row>
    <row r="1652">
      <c r="A1652" s="7" t="inlineStr">
        <is>
          <t>MAT-32-297</t>
        </is>
      </c>
      <c r="B1652" s="4" t="inlineStr">
        <is>
          <t>Niple de cobre 3/4" x 3"</t>
        </is>
      </c>
      <c r="C1652" s="7" t="inlineStr">
        <is>
          <t>unidad</t>
        </is>
      </c>
      <c r="D1652" s="8" t="n"/>
      <c r="E1652" s="8" t="n"/>
      <c r="F1652" s="8" t="n"/>
      <c r="G1652" s="8" t="n">
        <v>230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>
        <f>IF(COUNT(D1652:U1652)=0,"",MIN(D1652:U1652))</f>
        <v/>
      </c>
      <c r="W1652" s="8">
        <f>IF(COUNT(D1652:U1652)=0,"",MEDIAN(D1652:U1652))</f>
        <v/>
      </c>
      <c r="X1652" s="8">
        <f>IF(COUNT(D1652:U1652)=0,"",MAX(D1652:U1652))</f>
        <v/>
      </c>
      <c r="Y1652" s="9">
        <f>IF(OR(V1652="",V1652=0),"",(X1652-V1652)/V1652)</f>
        <v/>
      </c>
      <c r="Z1652" s="7">
        <f>IF(COUNT(D1652:U1652)=0,"",INDEX($D$1:$U$1,MATCH(MIN(D1652:U1652),D1652:U1652,0)))</f>
        <v/>
      </c>
      <c r="AA1652" s="8" t="n">
        <v>230</v>
      </c>
      <c r="AB1652" s="10" t="n">
        <v>1</v>
      </c>
    </row>
    <row r="1653">
      <c r="A1653" s="7" t="inlineStr">
        <is>
          <t>MAT-32-298</t>
        </is>
      </c>
      <c r="B1653" s="4" t="inlineStr">
        <is>
          <t>Niple de cobre 3/8" x 1 1/2"</t>
        </is>
      </c>
      <c r="C1653" s="7" t="inlineStr">
        <is>
          <t>unidad</t>
        </is>
      </c>
      <c r="D1653" s="8" t="n"/>
      <c r="E1653" s="8" t="n"/>
      <c r="F1653" s="8" t="n"/>
      <c r="G1653" s="8" t="n">
        <v>193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>
        <f>IF(COUNT(D1653:U1653)=0,"",MIN(D1653:U1653))</f>
        <v/>
      </c>
      <c r="W1653" s="8">
        <f>IF(COUNT(D1653:U1653)=0,"",MEDIAN(D1653:U1653))</f>
        <v/>
      </c>
      <c r="X1653" s="8">
        <f>IF(COUNT(D1653:U1653)=0,"",MAX(D1653:U1653))</f>
        <v/>
      </c>
      <c r="Y1653" s="9">
        <f>IF(OR(V1653="",V1653=0),"",(X1653-V1653)/V1653)</f>
        <v/>
      </c>
      <c r="Z1653" s="7">
        <f>IF(COUNT(D1653:U1653)=0,"",INDEX($D$1:$U$1,MATCH(MIN(D1653:U1653),D1653:U1653,0)))</f>
        <v/>
      </c>
      <c r="AA1653" s="8" t="n">
        <v>193</v>
      </c>
      <c r="AB1653" s="10" t="n">
        <v>1</v>
      </c>
    </row>
    <row r="1654">
      <c r="A1654" s="7" t="inlineStr">
        <is>
          <t>MAT-32-299</t>
        </is>
      </c>
      <c r="B1654" s="4" t="inlineStr">
        <is>
          <t>Niple de cobre 3/8" x 1"</t>
        </is>
      </c>
      <c r="C1654" s="7" t="inlineStr">
        <is>
          <t>unidad</t>
        </is>
      </c>
      <c r="D1654" s="8" t="n"/>
      <c r="E1654" s="8" t="n"/>
      <c r="F1654" s="8" t="n"/>
      <c r="G1654" s="8" t="n">
        <v>177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>
        <f>IF(COUNT(D1654:U1654)=0,"",MIN(D1654:U1654))</f>
        <v/>
      </c>
      <c r="W1654" s="8">
        <f>IF(COUNT(D1654:U1654)=0,"",MEDIAN(D1654:U1654))</f>
        <v/>
      </c>
      <c r="X1654" s="8">
        <f>IF(COUNT(D1654:U1654)=0,"",MAX(D1654:U1654))</f>
        <v/>
      </c>
      <c r="Y1654" s="9">
        <f>IF(OR(V1654="",V1654=0),"",(X1654-V1654)/V1654)</f>
        <v/>
      </c>
      <c r="Z1654" s="7">
        <f>IF(COUNT(D1654:U1654)=0,"",INDEX($D$1:$U$1,MATCH(MIN(D1654:U1654),D1654:U1654,0)))</f>
        <v/>
      </c>
      <c r="AA1654" s="8" t="n">
        <v>177</v>
      </c>
      <c r="AB1654" s="10" t="n">
        <v>1</v>
      </c>
    </row>
    <row r="1655">
      <c r="A1655" s="7" t="inlineStr">
        <is>
          <t>MAT-32-300</t>
        </is>
      </c>
      <c r="B1655" s="4" t="inlineStr">
        <is>
          <t>Niple de cobre 3/8" x 2"</t>
        </is>
      </c>
      <c r="C1655" s="7" t="inlineStr">
        <is>
          <t>unidad</t>
        </is>
      </c>
      <c r="D1655" s="8" t="n"/>
      <c r="E1655" s="8" t="n"/>
      <c r="F1655" s="8" t="n"/>
      <c r="G1655" s="8" t="n">
        <v>189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>
        <f>IF(COUNT(D1655:U1655)=0,"",MIN(D1655:U1655))</f>
        <v/>
      </c>
      <c r="W1655" s="8">
        <f>IF(COUNT(D1655:U1655)=0,"",MEDIAN(D1655:U1655))</f>
        <v/>
      </c>
      <c r="X1655" s="8">
        <f>IF(COUNT(D1655:U1655)=0,"",MAX(D1655:U1655))</f>
        <v/>
      </c>
      <c r="Y1655" s="9">
        <f>IF(OR(V1655="",V1655=0),"",(X1655-V1655)/V1655)</f>
        <v/>
      </c>
      <c r="Z1655" s="7">
        <f>IF(COUNT(D1655:U1655)=0,"",INDEX($D$1:$U$1,MATCH(MIN(D1655:U1655),D1655:U1655,0)))</f>
        <v/>
      </c>
      <c r="AA1655" s="8" t="n">
        <v>189</v>
      </c>
      <c r="AB1655" s="10" t="n">
        <v>1</v>
      </c>
    </row>
    <row r="1656">
      <c r="A1656" s="7" t="inlineStr">
        <is>
          <t>MAT-32-301</t>
        </is>
      </c>
      <c r="B1656" s="4" t="inlineStr">
        <is>
          <t>Niple de HG 1 1/2" x 10"</t>
        </is>
      </c>
      <c r="C1656" s="7" t="inlineStr">
        <is>
          <t>unidad</t>
        </is>
      </c>
      <c r="D1656" s="8" t="n"/>
      <c r="E1656" s="8" t="n"/>
      <c r="F1656" s="8" t="n"/>
      <c r="G1656" s="8" t="n">
        <v>372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>
        <f>IF(COUNT(D1656:U1656)=0,"",MIN(D1656:U1656))</f>
        <v/>
      </c>
      <c r="W1656" s="8">
        <f>IF(COUNT(D1656:U1656)=0,"",MEDIAN(D1656:U1656))</f>
        <v/>
      </c>
      <c r="X1656" s="8">
        <f>IF(COUNT(D1656:U1656)=0,"",MAX(D1656:U1656))</f>
        <v/>
      </c>
      <c r="Y1656" s="9">
        <f>IF(OR(V1656="",V1656=0),"",(X1656-V1656)/V1656)</f>
        <v/>
      </c>
      <c r="Z1656" s="7">
        <f>IF(COUNT(D1656:U1656)=0,"",INDEX($D$1:$U$1,MATCH(MIN(D1656:U1656),D1656:U1656,0)))</f>
        <v/>
      </c>
      <c r="AA1656" s="8" t="n">
        <v>372</v>
      </c>
      <c r="AB1656" s="10" t="n">
        <v>1</v>
      </c>
    </row>
    <row r="1657">
      <c r="A1657" s="7" t="inlineStr">
        <is>
          <t>MAT-32-302</t>
        </is>
      </c>
      <c r="B1657" s="4" t="inlineStr">
        <is>
          <t>Niple de HG 1 1/2" x 2 1/2"</t>
        </is>
      </c>
      <c r="C1657" s="7" t="inlineStr">
        <is>
          <t>unidad</t>
        </is>
      </c>
      <c r="D1657" s="8" t="n"/>
      <c r="E1657" s="8" t="n">
        <v>82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>
        <f>IF(COUNT(D1657:U1657)=0,"",MIN(D1657:U1657))</f>
        <v/>
      </c>
      <c r="W1657" s="8">
        <f>IF(COUNT(D1657:U1657)=0,"",MEDIAN(D1657:U1657))</f>
        <v/>
      </c>
      <c r="X1657" s="8">
        <f>IF(COUNT(D1657:U1657)=0,"",MAX(D1657:U1657))</f>
        <v/>
      </c>
      <c r="Y1657" s="9">
        <f>IF(OR(V1657="",V1657=0),"",(X1657-V1657)/V1657)</f>
        <v/>
      </c>
      <c r="Z1657" s="7">
        <f>IF(COUNT(D1657:U1657)=0,"",INDEX($D$1:$U$1,MATCH(MIN(D1657:U1657),D1657:U1657,0)))</f>
        <v/>
      </c>
      <c r="AA1657" s="8" t="n">
        <v>82</v>
      </c>
      <c r="AB1657" s="10" t="n">
        <v>1</v>
      </c>
    </row>
    <row r="1658">
      <c r="A1658" s="7" t="inlineStr">
        <is>
          <t>MAT-32-303</t>
        </is>
      </c>
      <c r="B1658" s="4" t="inlineStr">
        <is>
          <t>Niple de HG 1 1/2" x 2"</t>
        </is>
      </c>
      <c r="C1658" s="7" t="inlineStr">
        <is>
          <t>unidad</t>
        </is>
      </c>
      <c r="D1658" s="8" t="n"/>
      <c r="E1658" s="8" t="n">
        <v>85</v>
      </c>
      <c r="F1658" s="8" t="n"/>
      <c r="G1658" s="8" t="n"/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>
        <f>IF(COUNT(D1658:U1658)=0,"",MIN(D1658:U1658))</f>
        <v/>
      </c>
      <c r="W1658" s="8">
        <f>IF(COUNT(D1658:U1658)=0,"",MEDIAN(D1658:U1658))</f>
        <v/>
      </c>
      <c r="X1658" s="8">
        <f>IF(COUNT(D1658:U1658)=0,"",MAX(D1658:U1658))</f>
        <v/>
      </c>
      <c r="Y1658" s="9">
        <f>IF(OR(V1658="",V1658=0),"",(X1658-V1658)/V1658)</f>
        <v/>
      </c>
      <c r="Z1658" s="7">
        <f>IF(COUNT(D1658:U1658)=0,"",INDEX($D$1:$U$1,MATCH(MIN(D1658:U1658),D1658:U1658,0)))</f>
        <v/>
      </c>
      <c r="AA1658" s="8" t="n">
        <v>85</v>
      </c>
      <c r="AB1658" s="10" t="n">
        <v>1</v>
      </c>
    </row>
    <row r="1659">
      <c r="A1659" s="7" t="inlineStr">
        <is>
          <t>MAT-32-304</t>
        </is>
      </c>
      <c r="B1659" s="4" t="inlineStr">
        <is>
          <t>Niple de HG 1 1/2" x 3"</t>
        </is>
      </c>
      <c r="C1659" s="7" t="inlineStr">
        <is>
          <t>unidad</t>
        </is>
      </c>
      <c r="D1659" s="8" t="n"/>
      <c r="E1659" s="8" t="n">
        <v>102</v>
      </c>
      <c r="F1659" s="8" t="n"/>
      <c r="G1659" s="8" t="n">
        <v>187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>
        <f>IF(COUNT(D1659:U1659)=0,"",MIN(D1659:U1659))</f>
        <v/>
      </c>
      <c r="W1659" s="8">
        <f>IF(COUNT(D1659:U1659)=0,"",MEDIAN(D1659:U1659))</f>
        <v/>
      </c>
      <c r="X1659" s="8">
        <f>IF(COUNT(D1659:U1659)=0,"",MAX(D1659:U1659))</f>
        <v/>
      </c>
      <c r="Y1659" s="9">
        <f>IF(OR(V1659="",V1659=0),"",(X1659-V1659)/V1659)</f>
        <v/>
      </c>
      <c r="Z1659" s="7">
        <f>IF(COUNT(D1659:U1659)=0,"",INDEX($D$1:$U$1,MATCH(MIN(D1659:U1659),D1659:U1659,0)))</f>
        <v/>
      </c>
      <c r="AA1659" s="8" t="n">
        <v>144.5</v>
      </c>
      <c r="AB1659" s="10" t="n">
        <v>2</v>
      </c>
    </row>
    <row r="1660">
      <c r="A1660" s="7" t="inlineStr">
        <is>
          <t>MAT-32-305</t>
        </is>
      </c>
      <c r="B1660" s="4" t="inlineStr">
        <is>
          <t>Niple de HG 1 1/2" x 4"</t>
        </is>
      </c>
      <c r="C1660" s="7" t="inlineStr">
        <is>
          <t>unidad</t>
        </is>
      </c>
      <c r="D1660" s="8" t="n"/>
      <c r="E1660" s="8" t="n">
        <v>104</v>
      </c>
      <c r="F1660" s="8" t="n"/>
      <c r="G1660" s="8" t="n">
        <v>257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>
        <f>IF(COUNT(D1660:U1660)=0,"",MIN(D1660:U1660))</f>
        <v/>
      </c>
      <c r="W1660" s="8">
        <f>IF(COUNT(D1660:U1660)=0,"",MEDIAN(D1660:U1660))</f>
        <v/>
      </c>
      <c r="X1660" s="8">
        <f>IF(COUNT(D1660:U1660)=0,"",MAX(D1660:U1660))</f>
        <v/>
      </c>
      <c r="Y1660" s="9">
        <f>IF(OR(V1660="",V1660=0),"",(X1660-V1660)/V1660)</f>
        <v/>
      </c>
      <c r="Z1660" s="7">
        <f>IF(COUNT(D1660:U1660)=0,"",INDEX($D$1:$U$1,MATCH(MIN(D1660:U1660),D1660:U1660,0)))</f>
        <v/>
      </c>
      <c r="AA1660" s="8" t="n">
        <v>180.5</v>
      </c>
      <c r="AB1660" s="10" t="n">
        <v>2</v>
      </c>
    </row>
    <row r="1661">
      <c r="A1661" s="7" t="inlineStr">
        <is>
          <t>MAT-32-306</t>
        </is>
      </c>
      <c r="B1661" s="4" t="inlineStr">
        <is>
          <t>Niple de HG 1 1/2" x 5"</t>
        </is>
      </c>
      <c r="C1661" s="7" t="inlineStr">
        <is>
          <t>unidad</t>
        </is>
      </c>
      <c r="D1661" s="8" t="n"/>
      <c r="E1661" s="8" t="n">
        <v>150</v>
      </c>
      <c r="F1661" s="8" t="n"/>
      <c r="G1661" s="8" t="n"/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>
        <f>IF(COUNT(D1661:U1661)=0,"",MIN(D1661:U1661))</f>
        <v/>
      </c>
      <c r="W1661" s="8">
        <f>IF(COUNT(D1661:U1661)=0,"",MEDIAN(D1661:U1661))</f>
        <v/>
      </c>
      <c r="X1661" s="8">
        <f>IF(COUNT(D1661:U1661)=0,"",MAX(D1661:U1661))</f>
        <v/>
      </c>
      <c r="Y1661" s="9">
        <f>IF(OR(V1661="",V1661=0),"",(X1661-V1661)/V1661)</f>
        <v/>
      </c>
      <c r="Z1661" s="7">
        <f>IF(COUNT(D1661:U1661)=0,"",INDEX($D$1:$U$1,MATCH(MIN(D1661:U1661),D1661:U1661,0)))</f>
        <v/>
      </c>
      <c r="AA1661" s="8" t="n">
        <v>150</v>
      </c>
      <c r="AB1661" s="10" t="n">
        <v>1</v>
      </c>
    </row>
    <row r="1662">
      <c r="A1662" s="7" t="inlineStr">
        <is>
          <t>MAT-32-307</t>
        </is>
      </c>
      <c r="B1662" s="4" t="inlineStr">
        <is>
          <t>Niple de HG 1 1/2" x 6"</t>
        </is>
      </c>
      <c r="C1662" s="7" t="inlineStr">
        <is>
          <t>unidad</t>
        </is>
      </c>
      <c r="D1662" s="8" t="n"/>
      <c r="E1662" s="8" t="n">
        <v>141</v>
      </c>
      <c r="F1662" s="8" t="n"/>
      <c r="G1662" s="8" t="n">
        <v>379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>
        <f>IF(COUNT(D1662:U1662)=0,"",MIN(D1662:U1662))</f>
        <v/>
      </c>
      <c r="W1662" s="8">
        <f>IF(COUNT(D1662:U1662)=0,"",MEDIAN(D1662:U1662))</f>
        <v/>
      </c>
      <c r="X1662" s="8">
        <f>IF(COUNT(D1662:U1662)=0,"",MAX(D1662:U1662))</f>
        <v/>
      </c>
      <c r="Y1662" s="9">
        <f>IF(OR(V1662="",V1662=0),"",(X1662-V1662)/V1662)</f>
        <v/>
      </c>
      <c r="Z1662" s="7">
        <f>IF(COUNT(D1662:U1662)=0,"",INDEX($D$1:$U$1,MATCH(MIN(D1662:U1662),D1662:U1662,0)))</f>
        <v/>
      </c>
      <c r="AA1662" s="8" t="n">
        <v>260</v>
      </c>
      <c r="AB1662" s="10" t="n">
        <v>2</v>
      </c>
    </row>
    <row r="1663">
      <c r="A1663" s="7" t="inlineStr">
        <is>
          <t>MAT-32-308</t>
        </is>
      </c>
      <c r="B1663" s="4" t="inlineStr">
        <is>
          <t>Niple de HG 1 1/4" x 2"</t>
        </is>
      </c>
      <c r="C1663" s="7" t="inlineStr">
        <is>
          <t>unidad</t>
        </is>
      </c>
      <c r="D1663" s="8" t="n"/>
      <c r="E1663" s="8" t="n"/>
      <c r="F1663" s="8" t="n"/>
      <c r="G1663" s="8" t="n">
        <v>170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>
        <f>IF(COUNT(D1663:U1663)=0,"",MIN(D1663:U1663))</f>
        <v/>
      </c>
      <c r="W1663" s="8">
        <f>IF(COUNT(D1663:U1663)=0,"",MEDIAN(D1663:U1663))</f>
        <v/>
      </c>
      <c r="X1663" s="8">
        <f>IF(COUNT(D1663:U1663)=0,"",MAX(D1663:U1663))</f>
        <v/>
      </c>
      <c r="Y1663" s="9">
        <f>IF(OR(V1663="",V1663=0),"",(X1663-V1663)/V1663)</f>
        <v/>
      </c>
      <c r="Z1663" s="7">
        <f>IF(COUNT(D1663:U1663)=0,"",INDEX($D$1:$U$1,MATCH(MIN(D1663:U1663),D1663:U1663,0)))</f>
        <v/>
      </c>
      <c r="AA1663" s="8" t="n">
        <v>170</v>
      </c>
      <c r="AB1663" s="10" t="n">
        <v>1</v>
      </c>
    </row>
    <row r="1664">
      <c r="A1664" s="7" t="inlineStr">
        <is>
          <t>MAT-32-309</t>
        </is>
      </c>
      <c r="B1664" s="4" t="inlineStr">
        <is>
          <t>Niple de HG 1 1/4" x 3"</t>
        </is>
      </c>
      <c r="C1664" s="7" t="inlineStr">
        <is>
          <t>unidad</t>
        </is>
      </c>
      <c r="D1664" s="8" t="n"/>
      <c r="E1664" s="8" t="n">
        <v>78</v>
      </c>
      <c r="F1664" s="8" t="n"/>
      <c r="G1664" s="8" t="n">
        <v>174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>
        <f>IF(COUNT(D1664:U1664)=0,"",MIN(D1664:U1664))</f>
        <v/>
      </c>
      <c r="W1664" s="8">
        <f>IF(COUNT(D1664:U1664)=0,"",MEDIAN(D1664:U1664))</f>
        <v/>
      </c>
      <c r="X1664" s="8">
        <f>IF(COUNT(D1664:U1664)=0,"",MAX(D1664:U1664))</f>
        <v/>
      </c>
      <c r="Y1664" s="9">
        <f>IF(OR(V1664="",V1664=0),"",(X1664-V1664)/V1664)</f>
        <v/>
      </c>
      <c r="Z1664" s="7">
        <f>IF(COUNT(D1664:U1664)=0,"",INDEX($D$1:$U$1,MATCH(MIN(D1664:U1664),D1664:U1664,0)))</f>
        <v/>
      </c>
      <c r="AA1664" s="8" t="n">
        <v>126</v>
      </c>
      <c r="AB1664" s="10" t="n">
        <v>2</v>
      </c>
    </row>
    <row r="1665">
      <c r="A1665" s="7" t="inlineStr">
        <is>
          <t>MAT-32-310</t>
        </is>
      </c>
      <c r="B1665" s="4" t="inlineStr">
        <is>
          <t>Niple de HG 1 1/4" x 4"</t>
        </is>
      </c>
      <c r="C1665" s="7" t="inlineStr">
        <is>
          <t>unidad</t>
        </is>
      </c>
      <c r="D1665" s="8" t="n"/>
      <c r="E1665" s="8" t="n">
        <v>101</v>
      </c>
      <c r="F1665" s="8" t="n"/>
      <c r="G1665" s="8" t="n">
        <v>191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>
        <f>IF(COUNT(D1665:U1665)=0,"",MIN(D1665:U1665))</f>
        <v/>
      </c>
      <c r="W1665" s="8">
        <f>IF(COUNT(D1665:U1665)=0,"",MEDIAN(D1665:U1665))</f>
        <v/>
      </c>
      <c r="X1665" s="8">
        <f>IF(COUNT(D1665:U1665)=0,"",MAX(D1665:U1665))</f>
        <v/>
      </c>
      <c r="Y1665" s="9">
        <f>IF(OR(V1665="",V1665=0),"",(X1665-V1665)/V1665)</f>
        <v/>
      </c>
      <c r="Z1665" s="7">
        <f>IF(COUNT(D1665:U1665)=0,"",INDEX($D$1:$U$1,MATCH(MIN(D1665:U1665),D1665:U1665,0)))</f>
        <v/>
      </c>
      <c r="AA1665" s="8" t="n">
        <v>146</v>
      </c>
      <c r="AB1665" s="10" t="n">
        <v>2</v>
      </c>
    </row>
    <row r="1666">
      <c r="A1666" s="7" t="inlineStr">
        <is>
          <t>MAT-32-311</t>
        </is>
      </c>
      <c r="B1666" s="4" t="inlineStr">
        <is>
          <t>Niple de HG 1 1/4" x 5"</t>
        </is>
      </c>
      <c r="C1666" s="7" t="inlineStr">
        <is>
          <t>unidad</t>
        </is>
      </c>
      <c r="D1666" s="8" t="n"/>
      <c r="E1666" s="8" t="n">
        <v>98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>
        <f>IF(COUNT(D1666:U1666)=0,"",MIN(D1666:U1666))</f>
        <v/>
      </c>
      <c r="W1666" s="8">
        <f>IF(COUNT(D1666:U1666)=0,"",MEDIAN(D1666:U1666))</f>
        <v/>
      </c>
      <c r="X1666" s="8">
        <f>IF(COUNT(D1666:U1666)=0,"",MAX(D1666:U1666))</f>
        <v/>
      </c>
      <c r="Y1666" s="9">
        <f>IF(OR(V1666="",V1666=0),"",(X1666-V1666)/V1666)</f>
        <v/>
      </c>
      <c r="Z1666" s="7">
        <f>IF(COUNT(D1666:U1666)=0,"",INDEX($D$1:$U$1,MATCH(MIN(D1666:U1666),D1666:U1666,0)))</f>
        <v/>
      </c>
      <c r="AA1666" s="8" t="n">
        <v>98</v>
      </c>
      <c r="AB1666" s="10" t="n">
        <v>1</v>
      </c>
    </row>
    <row r="1667">
      <c r="A1667" s="7" t="inlineStr">
        <is>
          <t>MAT-32-312</t>
        </is>
      </c>
      <c r="B1667" s="4" t="inlineStr">
        <is>
          <t>Niple de HG 1 1/4" x 6"</t>
        </is>
      </c>
      <c r="C1667" s="7" t="inlineStr">
        <is>
          <t>unidad</t>
        </is>
      </c>
      <c r="D1667" s="8" t="n"/>
      <c r="E1667" s="8" t="n">
        <v>118</v>
      </c>
      <c r="F1667" s="8" t="n"/>
      <c r="G1667" s="8" t="n">
        <v>236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>
        <f>IF(COUNT(D1667:U1667)=0,"",MIN(D1667:U1667))</f>
        <v/>
      </c>
      <c r="W1667" s="8">
        <f>IF(COUNT(D1667:U1667)=0,"",MEDIAN(D1667:U1667))</f>
        <v/>
      </c>
      <c r="X1667" s="8">
        <f>IF(COUNT(D1667:U1667)=0,"",MAX(D1667:U1667))</f>
        <v/>
      </c>
      <c r="Y1667" s="9">
        <f>IF(OR(V1667="",V1667=0),"",(X1667-V1667)/V1667)</f>
        <v/>
      </c>
      <c r="Z1667" s="7">
        <f>IF(COUNT(D1667:U1667)=0,"",INDEX($D$1:$U$1,MATCH(MIN(D1667:U1667),D1667:U1667,0)))</f>
        <v/>
      </c>
      <c r="AA1667" s="8" t="n">
        <v>177</v>
      </c>
      <c r="AB1667" s="10" t="n">
        <v>2</v>
      </c>
    </row>
    <row r="1668">
      <c r="A1668" s="7" t="inlineStr">
        <is>
          <t>MAT-32-313</t>
        </is>
      </c>
      <c r="B1668" s="4" t="inlineStr">
        <is>
          <t>Niple de HG 1/2" x 1 1/2"</t>
        </is>
      </c>
      <c r="C1668" s="7" t="inlineStr">
        <is>
          <t>unidad</t>
        </is>
      </c>
      <c r="D1668" s="8" t="n"/>
      <c r="E1668" s="8" t="n">
        <v>17.47</v>
      </c>
      <c r="F1668" s="8" t="n"/>
      <c r="G1668" s="8" t="n">
        <v>75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>
        <f>IF(COUNT(D1668:U1668)=0,"",MIN(D1668:U1668))</f>
        <v/>
      </c>
      <c r="W1668" s="8">
        <f>IF(COUNT(D1668:U1668)=0,"",MEDIAN(D1668:U1668))</f>
        <v/>
      </c>
      <c r="X1668" s="8">
        <f>IF(COUNT(D1668:U1668)=0,"",MAX(D1668:U1668))</f>
        <v/>
      </c>
      <c r="Y1668" s="9">
        <f>IF(OR(V1668="",V1668=0),"",(X1668-V1668)/V1668)</f>
        <v/>
      </c>
      <c r="Z1668" s="7">
        <f>IF(COUNT(D1668:U1668)=0,"",INDEX($D$1:$U$1,MATCH(MIN(D1668:U1668),D1668:U1668,0)))</f>
        <v/>
      </c>
      <c r="AA1668" s="8" t="n">
        <v>46.24</v>
      </c>
      <c r="AB1668" s="10" t="n">
        <v>2</v>
      </c>
    </row>
    <row r="1669">
      <c r="A1669" s="7" t="inlineStr">
        <is>
          <t>MAT-32-314</t>
        </is>
      </c>
      <c r="B1669" s="4" t="inlineStr">
        <is>
          <t>Niple de HG 1/2" x 10"</t>
        </is>
      </c>
      <c r="C1669" s="7" t="inlineStr">
        <is>
          <t>unidad</t>
        </is>
      </c>
      <c r="D1669" s="8" t="n"/>
      <c r="E1669" s="8" t="n">
        <v>115</v>
      </c>
      <c r="F1669" s="8" t="n"/>
      <c r="G1669" s="8" t="n">
        <v>199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>
        <f>IF(COUNT(D1669:U1669)=0,"",MIN(D1669:U1669))</f>
        <v/>
      </c>
      <c r="W1669" s="8">
        <f>IF(COUNT(D1669:U1669)=0,"",MEDIAN(D1669:U1669))</f>
        <v/>
      </c>
      <c r="X1669" s="8">
        <f>IF(COUNT(D1669:U1669)=0,"",MAX(D1669:U1669))</f>
        <v/>
      </c>
      <c r="Y1669" s="9">
        <f>IF(OR(V1669="",V1669=0),"",(X1669-V1669)/V1669)</f>
        <v/>
      </c>
      <c r="Z1669" s="7">
        <f>IF(COUNT(D1669:U1669)=0,"",INDEX($D$1:$U$1,MATCH(MIN(D1669:U1669),D1669:U1669,0)))</f>
        <v/>
      </c>
      <c r="AA1669" s="8" t="n">
        <v>157</v>
      </c>
      <c r="AB1669" s="10" t="n">
        <v>2</v>
      </c>
    </row>
    <row r="1670">
      <c r="A1670" s="7" t="inlineStr">
        <is>
          <t>MAT-32-315</t>
        </is>
      </c>
      <c r="B1670" s="4" t="inlineStr">
        <is>
          <t>Niple de HG 1/2" x 12"</t>
        </is>
      </c>
      <c r="C1670" s="7" t="inlineStr">
        <is>
          <t>unidad</t>
        </is>
      </c>
      <c r="D1670" s="8" t="n"/>
      <c r="E1670" s="8" t="n">
        <v>119</v>
      </c>
      <c r="F1670" s="8" t="n"/>
      <c r="G1670" s="8" t="n">
        <v>259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>
        <f>IF(COUNT(D1670:U1670)=0,"",MIN(D1670:U1670))</f>
        <v/>
      </c>
      <c r="W1670" s="8">
        <f>IF(COUNT(D1670:U1670)=0,"",MEDIAN(D1670:U1670))</f>
        <v/>
      </c>
      <c r="X1670" s="8">
        <f>IF(COUNT(D1670:U1670)=0,"",MAX(D1670:U1670))</f>
        <v/>
      </c>
      <c r="Y1670" s="9">
        <f>IF(OR(V1670="",V1670=0),"",(X1670-V1670)/V1670)</f>
        <v/>
      </c>
      <c r="Z1670" s="7">
        <f>IF(COUNT(D1670:U1670)=0,"",INDEX($D$1:$U$1,MATCH(MIN(D1670:U1670),D1670:U1670,0)))</f>
        <v/>
      </c>
      <c r="AA1670" s="8" t="n">
        <v>189</v>
      </c>
      <c r="AB1670" s="10" t="n">
        <v>2</v>
      </c>
    </row>
    <row r="1671">
      <c r="A1671" s="7" t="inlineStr">
        <is>
          <t>MAT-32-316</t>
        </is>
      </c>
      <c r="B1671" s="4" t="inlineStr">
        <is>
          <t>Niple de HG 1/2" x 1"</t>
        </is>
      </c>
      <c r="C1671" s="7" t="inlineStr">
        <is>
          <t>unidad</t>
        </is>
      </c>
      <c r="D1671" s="8" t="n"/>
      <c r="E1671" s="8" t="n">
        <v>16.38</v>
      </c>
      <c r="F1671" s="8" t="n"/>
      <c r="G1671" s="8" t="n">
        <v>67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>
        <f>IF(COUNT(D1671:U1671)=0,"",MIN(D1671:U1671))</f>
        <v/>
      </c>
      <c r="W1671" s="8">
        <f>IF(COUNT(D1671:U1671)=0,"",MEDIAN(D1671:U1671))</f>
        <v/>
      </c>
      <c r="X1671" s="8">
        <f>IF(COUNT(D1671:U1671)=0,"",MAX(D1671:U1671))</f>
        <v/>
      </c>
      <c r="Y1671" s="9">
        <f>IF(OR(V1671="",V1671=0),"",(X1671-V1671)/V1671)</f>
        <v/>
      </c>
      <c r="Z1671" s="7">
        <f>IF(COUNT(D1671:U1671)=0,"",INDEX($D$1:$U$1,MATCH(MIN(D1671:U1671),D1671:U1671,0)))</f>
        <v/>
      </c>
      <c r="AA1671" s="8" t="n">
        <v>41.69</v>
      </c>
      <c r="AB1671" s="10" t="n">
        <v>2</v>
      </c>
    </row>
    <row r="1672">
      <c r="A1672" s="7" t="inlineStr">
        <is>
          <t>MAT-32-317</t>
        </is>
      </c>
      <c r="B1672" s="4" t="inlineStr">
        <is>
          <t>Niple de HG 1/2" x 2 1/2"</t>
        </is>
      </c>
      <c r="C1672" s="7" t="inlineStr">
        <is>
          <t>unidad</t>
        </is>
      </c>
      <c r="D1672" s="8" t="n"/>
      <c r="E1672" s="8" t="n">
        <v>24.02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>
        <f>IF(COUNT(D1672:U1672)=0,"",MIN(D1672:U1672))</f>
        <v/>
      </c>
      <c r="W1672" s="8">
        <f>IF(COUNT(D1672:U1672)=0,"",MEDIAN(D1672:U1672))</f>
        <v/>
      </c>
      <c r="X1672" s="8">
        <f>IF(COUNT(D1672:U1672)=0,"",MAX(D1672:U1672))</f>
        <v/>
      </c>
      <c r="Y1672" s="9">
        <f>IF(OR(V1672="",V1672=0),"",(X1672-V1672)/V1672)</f>
        <v/>
      </c>
      <c r="Z1672" s="7">
        <f>IF(COUNT(D1672:U1672)=0,"",INDEX($D$1:$U$1,MATCH(MIN(D1672:U1672),D1672:U1672,0)))</f>
        <v/>
      </c>
      <c r="AA1672" s="8" t="n">
        <v>44.51</v>
      </c>
      <c r="AB1672" s="10" t="n">
        <v>2</v>
      </c>
    </row>
    <row r="1673">
      <c r="A1673" s="7" t="inlineStr">
        <is>
          <t>MAT-32-318</t>
        </is>
      </c>
      <c r="B1673" s="4" t="inlineStr">
        <is>
          <t>Niple de HG 1/2" x 2"</t>
        </is>
      </c>
      <c r="C1673" s="7" t="inlineStr">
        <is>
          <t>unidad</t>
        </is>
      </c>
      <c r="D1673" s="8" t="n"/>
      <c r="E1673" s="8" t="n">
        <v>19.66</v>
      </c>
      <c r="F1673" s="8" t="n"/>
      <c r="G1673" s="8" t="n">
        <v>65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>
        <f>IF(COUNT(D1673:U1673)=0,"",MIN(D1673:U1673))</f>
        <v/>
      </c>
      <c r="W1673" s="8">
        <f>IF(COUNT(D1673:U1673)=0,"",MEDIAN(D1673:U1673))</f>
        <v/>
      </c>
      <c r="X1673" s="8">
        <f>IF(COUNT(D1673:U1673)=0,"",MAX(D1673:U1673))</f>
        <v/>
      </c>
      <c r="Y1673" s="9">
        <f>IF(OR(V1673="",V1673=0),"",(X1673-V1673)/V1673)</f>
        <v/>
      </c>
      <c r="Z1673" s="7">
        <f>IF(COUNT(D1673:U1673)=0,"",INDEX($D$1:$U$1,MATCH(MIN(D1673:U1673),D1673:U1673,0)))</f>
        <v/>
      </c>
      <c r="AA1673" s="8" t="n">
        <v>42.33</v>
      </c>
      <c r="AB1673" s="10" t="n">
        <v>2</v>
      </c>
    </row>
    <row r="1674">
      <c r="A1674" s="7" t="inlineStr">
        <is>
          <t>MAT-32-319</t>
        </is>
      </c>
      <c r="B1674" s="4" t="inlineStr">
        <is>
          <t>Niple de HG 1/2" x 3"</t>
        </is>
      </c>
      <c r="C1674" s="7" t="inlineStr">
        <is>
          <t>unidad</t>
        </is>
      </c>
      <c r="D1674" s="8" t="n"/>
      <c r="E1674" s="8" t="n">
        <v>27.3</v>
      </c>
      <c r="F1674" s="8" t="n"/>
      <c r="G1674" s="8" t="n">
        <v>65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>
        <f>IF(COUNT(D1674:U1674)=0,"",MIN(D1674:U1674))</f>
        <v/>
      </c>
      <c r="W1674" s="8">
        <f>IF(COUNT(D1674:U1674)=0,"",MEDIAN(D1674:U1674))</f>
        <v/>
      </c>
      <c r="X1674" s="8">
        <f>IF(COUNT(D1674:U1674)=0,"",MAX(D1674:U1674))</f>
        <v/>
      </c>
      <c r="Y1674" s="9">
        <f>IF(OR(V1674="",V1674=0),"",(X1674-V1674)/V1674)</f>
        <v/>
      </c>
      <c r="Z1674" s="7">
        <f>IF(COUNT(D1674:U1674)=0,"",INDEX($D$1:$U$1,MATCH(MIN(D1674:U1674),D1674:U1674,0)))</f>
        <v/>
      </c>
      <c r="AA1674" s="8" t="n">
        <v>46.15</v>
      </c>
      <c r="AB1674" s="10" t="n">
        <v>2</v>
      </c>
    </row>
    <row r="1675">
      <c r="A1675" s="7" t="inlineStr">
        <is>
          <t>MAT-32-320</t>
        </is>
      </c>
      <c r="B1675" s="4" t="inlineStr">
        <is>
          <t>Niple de HG 1/2" x 4"</t>
        </is>
      </c>
      <c r="C1675" s="7" t="inlineStr">
        <is>
          <t>unidad</t>
        </is>
      </c>
      <c r="D1675" s="8" t="n"/>
      <c r="E1675" s="8" t="n">
        <v>34.5</v>
      </c>
      <c r="F1675" s="8" t="n"/>
      <c r="G1675" s="8" t="n">
        <v>155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>
        <f>IF(COUNT(D1675:U1675)=0,"",MIN(D1675:U1675))</f>
        <v/>
      </c>
      <c r="W1675" s="8">
        <f>IF(COUNT(D1675:U1675)=0,"",MEDIAN(D1675:U1675))</f>
        <v/>
      </c>
      <c r="X1675" s="8">
        <f>IF(COUNT(D1675:U1675)=0,"",MAX(D1675:U1675))</f>
        <v/>
      </c>
      <c r="Y1675" s="9">
        <f>IF(OR(V1675="",V1675=0),"",(X1675-V1675)/V1675)</f>
        <v/>
      </c>
      <c r="Z1675" s="7">
        <f>IF(COUNT(D1675:U1675)=0,"",INDEX($D$1:$U$1,MATCH(MIN(D1675:U1675),D1675:U1675,0)))</f>
        <v/>
      </c>
      <c r="AA1675" s="8" t="n">
        <v>94.75</v>
      </c>
      <c r="AB1675" s="10" t="n">
        <v>2</v>
      </c>
    </row>
    <row r="1676">
      <c r="A1676" s="7" t="inlineStr">
        <is>
          <t>MAT-32-321</t>
        </is>
      </c>
      <c r="B1676" s="4" t="inlineStr">
        <is>
          <t>Niple de HG 1/2" x 5"</t>
        </is>
      </c>
      <c r="C1676" s="7" t="inlineStr">
        <is>
          <t>unidad</t>
        </is>
      </c>
      <c r="D1676" s="8" t="n"/>
      <c r="E1676" s="8" t="n">
        <v>41.5</v>
      </c>
      <c r="F1676" s="8" t="n"/>
      <c r="G1676" s="8" t="n">
        <v>182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>
        <f>IF(COUNT(D1676:U1676)=0,"",MIN(D1676:U1676))</f>
        <v/>
      </c>
      <c r="W1676" s="8">
        <f>IF(COUNT(D1676:U1676)=0,"",MEDIAN(D1676:U1676))</f>
        <v/>
      </c>
      <c r="X1676" s="8">
        <f>IF(COUNT(D1676:U1676)=0,"",MAX(D1676:U1676))</f>
        <v/>
      </c>
      <c r="Y1676" s="9">
        <f>IF(OR(V1676="",V1676=0),"",(X1676-V1676)/V1676)</f>
        <v/>
      </c>
      <c r="Z1676" s="7">
        <f>IF(COUNT(D1676:U1676)=0,"",INDEX($D$1:$U$1,MATCH(MIN(D1676:U1676),D1676:U1676,0)))</f>
        <v/>
      </c>
      <c r="AA1676" s="8" t="n">
        <v>111.75</v>
      </c>
      <c r="AB1676" s="10" t="n">
        <v>2</v>
      </c>
    </row>
    <row r="1677">
      <c r="A1677" s="7" t="inlineStr">
        <is>
          <t>MAT-32-322</t>
        </is>
      </c>
      <c r="B1677" s="4" t="inlineStr">
        <is>
          <t>Niple de HG 1/2" x 6"</t>
        </is>
      </c>
      <c r="C1677" s="7" t="inlineStr">
        <is>
          <t>unidad</t>
        </is>
      </c>
      <c r="D1677" s="8" t="n"/>
      <c r="E1677" s="8" t="n">
        <v>70</v>
      </c>
      <c r="F1677" s="8" t="n"/>
      <c r="G1677" s="8" t="n">
        <v>49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>
        <f>IF(COUNT(D1677:U1677)=0,"",MIN(D1677:U1677))</f>
        <v/>
      </c>
      <c r="W1677" s="8">
        <f>IF(COUNT(D1677:U1677)=0,"",MEDIAN(D1677:U1677))</f>
        <v/>
      </c>
      <c r="X1677" s="8">
        <f>IF(COUNT(D1677:U1677)=0,"",MAX(D1677:U1677))</f>
        <v/>
      </c>
      <c r="Y1677" s="9">
        <f>IF(OR(V1677="",V1677=0),"",(X1677-V1677)/V1677)</f>
        <v/>
      </c>
      <c r="Z1677" s="7">
        <f>IF(COUNT(D1677:U1677)=0,"",INDEX($D$1:$U$1,MATCH(MIN(D1677:U1677),D1677:U1677,0)))</f>
        <v/>
      </c>
      <c r="AA1677" s="8" t="n">
        <v>59.5</v>
      </c>
      <c r="AB1677" s="10" t="n">
        <v>2</v>
      </c>
    </row>
    <row r="1678">
      <c r="A1678" s="7" t="inlineStr">
        <is>
          <t>MAT-32-323</t>
        </is>
      </c>
      <c r="B1678" s="4" t="inlineStr">
        <is>
          <t>Niple de HG 1/2" x 8"</t>
        </is>
      </c>
      <c r="C1678" s="7" t="inlineStr">
        <is>
          <t>unidad</t>
        </is>
      </c>
      <c r="D1678" s="8" t="n"/>
      <c r="E1678" s="8" t="n">
        <v>77</v>
      </c>
      <c r="F1678" s="8" t="n"/>
      <c r="G1678" s="8" t="n">
        <v>187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>
        <f>IF(COUNT(D1678:U1678)=0,"",MIN(D1678:U1678))</f>
        <v/>
      </c>
      <c r="W1678" s="8">
        <f>IF(COUNT(D1678:U1678)=0,"",MEDIAN(D1678:U1678))</f>
        <v/>
      </c>
      <c r="X1678" s="8">
        <f>IF(COUNT(D1678:U1678)=0,"",MAX(D1678:U1678))</f>
        <v/>
      </c>
      <c r="Y1678" s="9">
        <f>IF(OR(V1678="",V1678=0),"",(X1678-V1678)/V1678)</f>
        <v/>
      </c>
      <c r="Z1678" s="7">
        <f>IF(COUNT(D1678:U1678)=0,"",INDEX($D$1:$U$1,MATCH(MIN(D1678:U1678),D1678:U1678,0)))</f>
        <v/>
      </c>
      <c r="AA1678" s="8" t="n">
        <v>132</v>
      </c>
      <c r="AB1678" s="10" t="n">
        <v>2</v>
      </c>
    </row>
    <row r="1679">
      <c r="A1679" s="7" t="inlineStr">
        <is>
          <t>MAT-32-324</t>
        </is>
      </c>
      <c r="B1679" s="4" t="inlineStr">
        <is>
          <t>Niple de HG 1/4" x 1 1/2"</t>
        </is>
      </c>
      <c r="C1679" s="7" t="inlineStr">
        <is>
          <t>unidad</t>
        </is>
      </c>
      <c r="D1679" s="8" t="n"/>
      <c r="E1679" s="8" t="n">
        <v>27.3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>
        <f>IF(COUNT(D1679:U1679)=0,"",MIN(D1679:U1679))</f>
        <v/>
      </c>
      <c r="W1679" s="8">
        <f>IF(COUNT(D1679:U1679)=0,"",MEDIAN(D1679:U1679))</f>
        <v/>
      </c>
      <c r="X1679" s="8">
        <f>IF(COUNT(D1679:U1679)=0,"",MAX(D1679:U1679))</f>
        <v/>
      </c>
      <c r="Y1679" s="9">
        <f>IF(OR(V1679="",V1679=0),"",(X1679-V1679)/V1679)</f>
        <v/>
      </c>
      <c r="Z1679" s="7">
        <f>IF(COUNT(D1679:U1679)=0,"",INDEX($D$1:$U$1,MATCH(MIN(D1679:U1679),D1679:U1679,0)))</f>
        <v/>
      </c>
      <c r="AA1679" s="8" t="n">
        <v>27.3</v>
      </c>
      <c r="AB1679" s="10" t="n">
        <v>1</v>
      </c>
    </row>
    <row r="1680">
      <c r="A1680" s="7" t="inlineStr">
        <is>
          <t>MAT-32-325</t>
        </is>
      </c>
      <c r="B1680" s="4" t="inlineStr">
        <is>
          <t>Niple de HG 1/4" x 2"</t>
        </is>
      </c>
      <c r="C1680" s="7" t="inlineStr">
        <is>
          <t>unidad</t>
        </is>
      </c>
      <c r="D1680" s="8" t="n"/>
      <c r="E1680" s="8" t="n">
        <v>29.45</v>
      </c>
      <c r="F1680" s="8" t="n"/>
      <c r="G1680" s="8" t="n">
        <v>170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>
        <f>IF(COUNT(D1680:U1680)=0,"",MIN(D1680:U1680))</f>
        <v/>
      </c>
      <c r="W1680" s="8">
        <f>IF(COUNT(D1680:U1680)=0,"",MEDIAN(D1680:U1680))</f>
        <v/>
      </c>
      <c r="X1680" s="8">
        <f>IF(COUNT(D1680:U1680)=0,"",MAX(D1680:U1680))</f>
        <v/>
      </c>
      <c r="Y1680" s="9">
        <f>IF(OR(V1680="",V1680=0),"",(X1680-V1680)/V1680)</f>
        <v/>
      </c>
      <c r="Z1680" s="7">
        <f>IF(COUNT(D1680:U1680)=0,"",INDEX($D$1:$U$1,MATCH(MIN(D1680:U1680),D1680:U1680,0)))</f>
        <v/>
      </c>
      <c r="AA1680" s="8" t="n">
        <v>99.73</v>
      </c>
      <c r="AB1680" s="10" t="n">
        <v>2</v>
      </c>
    </row>
    <row r="1681">
      <c r="A1681" s="7" t="inlineStr">
        <is>
          <t>MAT-32-326</t>
        </is>
      </c>
      <c r="B1681" s="4" t="inlineStr">
        <is>
          <t>Niple de HG 1/4" x 3"</t>
        </is>
      </c>
      <c r="C1681" s="7" t="inlineStr">
        <is>
          <t>unidad</t>
        </is>
      </c>
      <c r="D1681" s="8" t="n"/>
      <c r="E1681" s="8" t="n">
        <v>26.76</v>
      </c>
      <c r="F1681" s="8" t="n"/>
      <c r="G1681" s="8" t="n"/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>
        <f>IF(COUNT(D1681:U1681)=0,"",MIN(D1681:U1681))</f>
        <v/>
      </c>
      <c r="W1681" s="8">
        <f>IF(COUNT(D1681:U1681)=0,"",MEDIAN(D1681:U1681))</f>
        <v/>
      </c>
      <c r="X1681" s="8">
        <f>IF(COUNT(D1681:U1681)=0,"",MAX(D1681:U1681))</f>
        <v/>
      </c>
      <c r="Y1681" s="9">
        <f>IF(OR(V1681="",V1681=0),"",(X1681-V1681)/V1681)</f>
        <v/>
      </c>
      <c r="Z1681" s="7">
        <f>IF(COUNT(D1681:U1681)=0,"",INDEX($D$1:$U$1,MATCH(MIN(D1681:U1681),D1681:U1681,0)))</f>
        <v/>
      </c>
      <c r="AA1681" s="8" t="n">
        <v>26.76</v>
      </c>
      <c r="AB1681" s="10" t="n">
        <v>1</v>
      </c>
    </row>
    <row r="1682">
      <c r="A1682" s="7" t="inlineStr">
        <is>
          <t>MAT-32-327</t>
        </is>
      </c>
      <c r="B1682" s="4" t="inlineStr">
        <is>
          <t>Niple de HG 1/4" x 4"</t>
        </is>
      </c>
      <c r="C1682" s="7" t="inlineStr">
        <is>
          <t>unidad</t>
        </is>
      </c>
      <c r="D1682" s="8" t="n"/>
      <c r="E1682" s="8" t="n">
        <v>35.88</v>
      </c>
      <c r="F1682" s="8" t="n"/>
      <c r="G1682" s="8" t="n">
        <v>204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>
        <f>IF(COUNT(D1682:U1682)=0,"",MIN(D1682:U1682))</f>
        <v/>
      </c>
      <c r="W1682" s="8">
        <f>IF(COUNT(D1682:U1682)=0,"",MEDIAN(D1682:U1682))</f>
        <v/>
      </c>
      <c r="X1682" s="8">
        <f>IF(COUNT(D1682:U1682)=0,"",MAX(D1682:U1682))</f>
        <v/>
      </c>
      <c r="Y1682" s="9">
        <f>IF(OR(V1682="",V1682=0),"",(X1682-V1682)/V1682)</f>
        <v/>
      </c>
      <c r="Z1682" s="7">
        <f>IF(COUNT(D1682:U1682)=0,"",INDEX($D$1:$U$1,MATCH(MIN(D1682:U1682),D1682:U1682,0)))</f>
        <v/>
      </c>
      <c r="AA1682" s="8" t="n">
        <v>119.94</v>
      </c>
      <c r="AB1682" s="10" t="n">
        <v>2</v>
      </c>
    </row>
    <row r="1683">
      <c r="A1683" s="7" t="inlineStr">
        <is>
          <t>MAT-32-328</t>
        </is>
      </c>
      <c r="B1683" s="4" t="inlineStr">
        <is>
          <t>Niple de HG 1" x 1 1/2"</t>
        </is>
      </c>
      <c r="C1683" s="7" t="inlineStr">
        <is>
          <t>unidad</t>
        </is>
      </c>
      <c r="D1683" s="8" t="n"/>
      <c r="E1683" s="8" t="n">
        <v>38.22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>
        <f>IF(COUNT(D1683:U1683)=0,"",MIN(D1683:U1683))</f>
        <v/>
      </c>
      <c r="W1683" s="8">
        <f>IF(COUNT(D1683:U1683)=0,"",MEDIAN(D1683:U1683))</f>
        <v/>
      </c>
      <c r="X1683" s="8">
        <f>IF(COUNT(D1683:U1683)=0,"",MAX(D1683:U1683))</f>
        <v/>
      </c>
      <c r="Y1683" s="9">
        <f>IF(OR(V1683="",V1683=0),"",(X1683-V1683)/V1683)</f>
        <v/>
      </c>
      <c r="Z1683" s="7">
        <f>IF(COUNT(D1683:U1683)=0,"",INDEX($D$1:$U$1,MATCH(MIN(D1683:U1683),D1683:U1683,0)))</f>
        <v/>
      </c>
      <c r="AA1683" s="8" t="n">
        <v>38.22</v>
      </c>
      <c r="AB1683" s="10" t="n">
        <v>1</v>
      </c>
    </row>
    <row r="1684">
      <c r="A1684" s="7" t="inlineStr">
        <is>
          <t>MAT-32-329</t>
        </is>
      </c>
      <c r="B1684" s="4" t="inlineStr">
        <is>
          <t>Niple de HG 1" x 10"</t>
        </is>
      </c>
      <c r="C1684" s="7" t="inlineStr">
        <is>
          <t>unidad</t>
        </is>
      </c>
      <c r="D1684" s="8" t="n"/>
      <c r="E1684" s="8" t="n"/>
      <c r="F1684" s="8" t="n"/>
      <c r="G1684" s="8" t="n">
        <v>344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>
        <f>IF(COUNT(D1684:U1684)=0,"",MIN(D1684:U1684))</f>
        <v/>
      </c>
      <c r="W1684" s="8">
        <f>IF(COUNT(D1684:U1684)=0,"",MEDIAN(D1684:U1684))</f>
        <v/>
      </c>
      <c r="X1684" s="8">
        <f>IF(COUNT(D1684:U1684)=0,"",MAX(D1684:U1684))</f>
        <v/>
      </c>
      <c r="Y1684" s="9">
        <f>IF(OR(V1684="",V1684=0),"",(X1684-V1684)/V1684)</f>
        <v/>
      </c>
      <c r="Z1684" s="7">
        <f>IF(COUNT(D1684:U1684)=0,"",INDEX($D$1:$U$1,MATCH(MIN(D1684:U1684),D1684:U1684,0)))</f>
        <v/>
      </c>
      <c r="AA1684" s="8" t="n">
        <v>344</v>
      </c>
      <c r="AB1684" s="10" t="n">
        <v>1</v>
      </c>
    </row>
    <row r="1685">
      <c r="A1685" s="7" t="inlineStr">
        <is>
          <t>MAT-32-330</t>
        </is>
      </c>
      <c r="B1685" s="4" t="inlineStr">
        <is>
          <t>Niple de HG 1" x 2 1/2"</t>
        </is>
      </c>
      <c r="C1685" s="7" t="inlineStr">
        <is>
          <t>unidad</t>
        </is>
      </c>
      <c r="D1685" s="8" t="n"/>
      <c r="E1685" s="8" t="n">
        <v>45.86</v>
      </c>
      <c r="F1685" s="8" t="n"/>
      <c r="G1685" s="8" t="n">
        <v>130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>
        <f>IF(COUNT(D1685:U1685)=0,"",MIN(D1685:U1685))</f>
        <v/>
      </c>
      <c r="W1685" s="8">
        <f>IF(COUNT(D1685:U1685)=0,"",MEDIAN(D1685:U1685))</f>
        <v/>
      </c>
      <c r="X1685" s="8">
        <f>IF(COUNT(D1685:U1685)=0,"",MAX(D1685:U1685))</f>
        <v/>
      </c>
      <c r="Y1685" s="9">
        <f>IF(OR(V1685="",V1685=0),"",(X1685-V1685)/V1685)</f>
        <v/>
      </c>
      <c r="Z1685" s="7">
        <f>IF(COUNT(D1685:U1685)=0,"",INDEX($D$1:$U$1,MATCH(MIN(D1685:U1685),D1685:U1685,0)))</f>
        <v/>
      </c>
      <c r="AA1685" s="8" t="n">
        <v>87.93000000000001</v>
      </c>
      <c r="AB1685" s="10" t="n">
        <v>2</v>
      </c>
    </row>
    <row r="1686">
      <c r="A1686" s="7" t="inlineStr">
        <is>
          <t>MAT-32-331</t>
        </is>
      </c>
      <c r="B1686" s="4" t="inlineStr">
        <is>
          <t>Niple de HG 1" x 2"</t>
        </is>
      </c>
      <c r="C1686" s="7" t="inlineStr">
        <is>
          <t>unidad</t>
        </is>
      </c>
      <c r="D1686" s="8" t="n"/>
      <c r="E1686" s="8" t="n">
        <v>48.61</v>
      </c>
      <c r="F1686" s="8" t="n"/>
      <c r="G1686" s="8" t="n">
        <v>53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>
        <f>IF(COUNT(D1686:U1686)=0,"",MIN(D1686:U1686))</f>
        <v/>
      </c>
      <c r="W1686" s="8">
        <f>IF(COUNT(D1686:U1686)=0,"",MEDIAN(D1686:U1686))</f>
        <v/>
      </c>
      <c r="X1686" s="8">
        <f>IF(COUNT(D1686:U1686)=0,"",MAX(D1686:U1686))</f>
        <v/>
      </c>
      <c r="Y1686" s="9">
        <f>IF(OR(V1686="",V1686=0),"",(X1686-V1686)/V1686)</f>
        <v/>
      </c>
      <c r="Z1686" s="7">
        <f>IF(COUNT(D1686:U1686)=0,"",INDEX($D$1:$U$1,MATCH(MIN(D1686:U1686),D1686:U1686,0)))</f>
        <v/>
      </c>
      <c r="AA1686" s="8" t="n">
        <v>50.81</v>
      </c>
      <c r="AB1686" s="10" t="n">
        <v>2</v>
      </c>
    </row>
    <row r="1687">
      <c r="A1687" s="7" t="inlineStr">
        <is>
          <t>MAT-32-332</t>
        </is>
      </c>
      <c r="B1687" s="4" t="inlineStr">
        <is>
          <t>Niple de HG 1" x 3"</t>
        </is>
      </c>
      <c r="C1687" s="7" t="inlineStr">
        <is>
          <t>unidad</t>
        </is>
      </c>
      <c r="D1687" s="8" t="n"/>
      <c r="E1687" s="8" t="n"/>
      <c r="F1687" s="8" t="n"/>
      <c r="G1687" s="8" t="n">
        <v>63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>
        <f>IF(COUNT(D1687:U1687)=0,"",MIN(D1687:U1687))</f>
        <v/>
      </c>
      <c r="W1687" s="8">
        <f>IF(COUNT(D1687:U1687)=0,"",MEDIAN(D1687:U1687))</f>
        <v/>
      </c>
      <c r="X1687" s="8">
        <f>IF(COUNT(D1687:U1687)=0,"",MAX(D1687:U1687))</f>
        <v/>
      </c>
      <c r="Y1687" s="9">
        <f>IF(OR(V1687="",V1687=0),"",(X1687-V1687)/V1687)</f>
        <v/>
      </c>
      <c r="Z1687" s="7">
        <f>IF(COUNT(D1687:U1687)=0,"",INDEX($D$1:$U$1,MATCH(MIN(D1687:U1687),D1687:U1687,0)))</f>
        <v/>
      </c>
      <c r="AA1687" s="8" t="n">
        <v>63</v>
      </c>
      <c r="AB1687" s="10" t="n">
        <v>1</v>
      </c>
    </row>
    <row r="1688">
      <c r="A1688" s="7" t="inlineStr">
        <is>
          <t>MAT-32-333</t>
        </is>
      </c>
      <c r="B1688" s="4" t="inlineStr">
        <is>
          <t>Niple de HG 1" x 4"</t>
        </is>
      </c>
      <c r="C1688" s="7" t="inlineStr">
        <is>
          <t>unidad</t>
        </is>
      </c>
      <c r="D1688" s="8" t="n"/>
      <c r="E1688" s="8" t="n">
        <v>88</v>
      </c>
      <c r="F1688" s="8" t="n"/>
      <c r="G1688" s="8" t="n">
        <v>65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>
        <f>IF(COUNT(D1688:U1688)=0,"",MIN(D1688:U1688))</f>
        <v/>
      </c>
      <c r="W1688" s="8">
        <f>IF(COUNT(D1688:U1688)=0,"",MEDIAN(D1688:U1688))</f>
        <v/>
      </c>
      <c r="X1688" s="8">
        <f>IF(COUNT(D1688:U1688)=0,"",MAX(D1688:U1688))</f>
        <v/>
      </c>
      <c r="Y1688" s="9">
        <f>IF(OR(V1688="",V1688=0),"",(X1688-V1688)/V1688)</f>
        <v/>
      </c>
      <c r="Z1688" s="7">
        <f>IF(COUNT(D1688:U1688)=0,"",INDEX($D$1:$U$1,MATCH(MIN(D1688:U1688),D1688:U1688,0)))</f>
        <v/>
      </c>
      <c r="AA1688" s="8" t="n">
        <v>76.5</v>
      </c>
      <c r="AB1688" s="10" t="n">
        <v>2</v>
      </c>
    </row>
    <row r="1689">
      <c r="A1689" s="7" t="inlineStr">
        <is>
          <t>MAT-32-334</t>
        </is>
      </c>
      <c r="B1689" s="4" t="inlineStr">
        <is>
          <t>Niple de HG 1" x 5"</t>
        </is>
      </c>
      <c r="C1689" s="7" t="inlineStr">
        <is>
          <t>unidad</t>
        </is>
      </c>
      <c r="D1689" s="8" t="n"/>
      <c r="E1689" s="8" t="n">
        <v>108</v>
      </c>
      <c r="F1689" s="8" t="n"/>
      <c r="G1689" s="8" t="n">
        <v>31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>
        <f>IF(COUNT(D1689:U1689)=0,"",MIN(D1689:U1689))</f>
        <v/>
      </c>
      <c r="W1689" s="8">
        <f>IF(COUNT(D1689:U1689)=0,"",MEDIAN(D1689:U1689))</f>
        <v/>
      </c>
      <c r="X1689" s="8">
        <f>IF(COUNT(D1689:U1689)=0,"",MAX(D1689:U1689))</f>
        <v/>
      </c>
      <c r="Y1689" s="9">
        <f>IF(OR(V1689="",V1689=0),"",(X1689-V1689)/V1689)</f>
        <v/>
      </c>
      <c r="Z1689" s="7">
        <f>IF(COUNT(D1689:U1689)=0,"",INDEX($D$1:$U$1,MATCH(MIN(D1689:U1689),D1689:U1689,0)))</f>
        <v/>
      </c>
      <c r="AA1689" s="8" t="n">
        <v>69.5</v>
      </c>
      <c r="AB1689" s="10" t="n">
        <v>2</v>
      </c>
    </row>
    <row r="1690">
      <c r="A1690" s="7" t="inlineStr">
        <is>
          <t>MAT-32-335</t>
        </is>
      </c>
      <c r="B1690" s="4" t="inlineStr">
        <is>
          <t>Niple de HG 1" x 6"</t>
        </is>
      </c>
      <c r="C1690" s="7" t="inlineStr">
        <is>
          <t>unidad</t>
        </is>
      </c>
      <c r="D1690" s="8" t="n"/>
      <c r="E1690" s="8" t="n">
        <v>91</v>
      </c>
      <c r="F1690" s="8" t="n"/>
      <c r="G1690" s="8" t="n">
        <v>86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>
        <f>IF(COUNT(D1690:U1690)=0,"",MIN(D1690:U1690))</f>
        <v/>
      </c>
      <c r="W1690" s="8">
        <f>IF(COUNT(D1690:U1690)=0,"",MEDIAN(D1690:U1690))</f>
        <v/>
      </c>
      <c r="X1690" s="8">
        <f>IF(COUNT(D1690:U1690)=0,"",MAX(D1690:U1690))</f>
        <v/>
      </c>
      <c r="Y1690" s="9">
        <f>IF(OR(V1690="",V1690=0),"",(X1690-V1690)/V1690)</f>
        <v/>
      </c>
      <c r="Z1690" s="7">
        <f>IF(COUNT(D1690:U1690)=0,"",INDEX($D$1:$U$1,MATCH(MIN(D1690:U1690),D1690:U1690,0)))</f>
        <v/>
      </c>
      <c r="AA1690" s="8" t="n">
        <v>88.5</v>
      </c>
      <c r="AB1690" s="10" t="n">
        <v>2</v>
      </c>
    </row>
    <row r="1691">
      <c r="A1691" s="7" t="inlineStr">
        <is>
          <t>MAT-32-336</t>
        </is>
      </c>
      <c r="B1691" s="4" t="inlineStr">
        <is>
          <t>Niple de HG 2" x 2"</t>
        </is>
      </c>
      <c r="C1691" s="7" t="inlineStr">
        <is>
          <t>unidad</t>
        </is>
      </c>
      <c r="D1691" s="8" t="n"/>
      <c r="E1691" s="8" t="n">
        <v>78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>
        <f>IF(COUNT(D1691:U1691)=0,"",MIN(D1691:U1691))</f>
        <v/>
      </c>
      <c r="W1691" s="8">
        <f>IF(COUNT(D1691:U1691)=0,"",MEDIAN(D1691:U1691))</f>
        <v/>
      </c>
      <c r="X1691" s="8">
        <f>IF(COUNT(D1691:U1691)=0,"",MAX(D1691:U1691))</f>
        <v/>
      </c>
      <c r="Y1691" s="9">
        <f>IF(OR(V1691="",V1691=0),"",(X1691-V1691)/V1691)</f>
        <v/>
      </c>
      <c r="Z1691" s="7">
        <f>IF(COUNT(D1691:U1691)=0,"",INDEX($D$1:$U$1,MATCH(MIN(D1691:U1691),D1691:U1691,0)))</f>
        <v/>
      </c>
      <c r="AA1691" s="8" t="n">
        <v>78</v>
      </c>
      <c r="AB1691" s="10" t="n">
        <v>1</v>
      </c>
    </row>
    <row r="1692">
      <c r="A1692" s="7" t="inlineStr">
        <is>
          <t>MAT-32-337</t>
        </is>
      </c>
      <c r="B1692" s="4" t="inlineStr">
        <is>
          <t>Niple de HG 2" x 3"</t>
        </is>
      </c>
      <c r="C1692" s="7" t="inlineStr">
        <is>
          <t>unidad</t>
        </is>
      </c>
      <c r="D1692" s="8" t="n"/>
      <c r="E1692" s="8" t="n">
        <v>99</v>
      </c>
      <c r="F1692" s="8" t="n"/>
      <c r="G1692" s="8" t="n">
        <v>338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>
        <f>IF(COUNT(D1692:U1692)=0,"",MIN(D1692:U1692))</f>
        <v/>
      </c>
      <c r="W1692" s="8">
        <f>IF(COUNT(D1692:U1692)=0,"",MEDIAN(D1692:U1692))</f>
        <v/>
      </c>
      <c r="X1692" s="8">
        <f>IF(COUNT(D1692:U1692)=0,"",MAX(D1692:U1692))</f>
        <v/>
      </c>
      <c r="Y1692" s="9">
        <f>IF(OR(V1692="",V1692=0),"",(X1692-V1692)/V1692)</f>
        <v/>
      </c>
      <c r="Z1692" s="7">
        <f>IF(COUNT(D1692:U1692)=0,"",INDEX($D$1:$U$1,MATCH(MIN(D1692:U1692),D1692:U1692,0)))</f>
        <v/>
      </c>
      <c r="AA1692" s="8" t="n">
        <v>218.5</v>
      </c>
      <c r="AB1692" s="10" t="n">
        <v>2</v>
      </c>
    </row>
    <row r="1693">
      <c r="A1693" s="7" t="inlineStr">
        <is>
          <t>MAT-32-338</t>
        </is>
      </c>
      <c r="B1693" s="4" t="inlineStr">
        <is>
          <t>Niple de HG 2" x 4"</t>
        </is>
      </c>
      <c r="C1693" s="7" t="inlineStr">
        <is>
          <t>unidad</t>
        </is>
      </c>
      <c r="D1693" s="8" t="n"/>
      <c r="E1693" s="8" t="n">
        <v>123</v>
      </c>
      <c r="F1693" s="8" t="n"/>
      <c r="G1693" s="8" t="n">
        <v>368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>
        <f>IF(COUNT(D1693:U1693)=0,"",MIN(D1693:U1693))</f>
        <v/>
      </c>
      <c r="W1693" s="8">
        <f>IF(COUNT(D1693:U1693)=0,"",MEDIAN(D1693:U1693))</f>
        <v/>
      </c>
      <c r="X1693" s="8">
        <f>IF(COUNT(D1693:U1693)=0,"",MAX(D1693:U1693))</f>
        <v/>
      </c>
      <c r="Y1693" s="9">
        <f>IF(OR(V1693="",V1693=0),"",(X1693-V1693)/V1693)</f>
        <v/>
      </c>
      <c r="Z1693" s="7">
        <f>IF(COUNT(D1693:U1693)=0,"",INDEX($D$1:$U$1,MATCH(MIN(D1693:U1693),D1693:U1693,0)))</f>
        <v/>
      </c>
      <c r="AA1693" s="8" t="n">
        <v>245.5</v>
      </c>
      <c r="AB1693" s="10" t="n">
        <v>2</v>
      </c>
    </row>
    <row r="1694">
      <c r="A1694" s="7" t="inlineStr">
        <is>
          <t>MAT-32-339</t>
        </is>
      </c>
      <c r="B1694" s="4" t="inlineStr">
        <is>
          <t>Niple de HG 2" x 5"</t>
        </is>
      </c>
      <c r="C1694" s="7" t="inlineStr">
        <is>
          <t>unidad</t>
        </is>
      </c>
      <c r="D1694" s="8" t="n"/>
      <c r="E1694" s="8" t="n">
        <v>188</v>
      </c>
      <c r="F1694" s="8" t="n"/>
      <c r="G1694" s="8" t="n">
        <v>257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>
        <f>IF(COUNT(D1694:U1694)=0,"",MIN(D1694:U1694))</f>
        <v/>
      </c>
      <c r="W1694" s="8">
        <f>IF(COUNT(D1694:U1694)=0,"",MEDIAN(D1694:U1694))</f>
        <v/>
      </c>
      <c r="X1694" s="8">
        <f>IF(COUNT(D1694:U1694)=0,"",MAX(D1694:U1694))</f>
        <v/>
      </c>
      <c r="Y1694" s="9">
        <f>IF(OR(V1694="",V1694=0),"",(X1694-V1694)/V1694)</f>
        <v/>
      </c>
      <c r="Z1694" s="7">
        <f>IF(COUNT(D1694:U1694)=0,"",INDEX($D$1:$U$1,MATCH(MIN(D1694:U1694),D1694:U1694,0)))</f>
        <v/>
      </c>
      <c r="AA1694" s="8" t="n">
        <v>222.5</v>
      </c>
      <c r="AB1694" s="10" t="n">
        <v>2</v>
      </c>
    </row>
    <row r="1695">
      <c r="A1695" s="7" t="inlineStr">
        <is>
          <t>MAT-32-340</t>
        </is>
      </c>
      <c r="B1695" s="4" t="inlineStr">
        <is>
          <t>Niple de HG 2" x 6"</t>
        </is>
      </c>
      <c r="C1695" s="7" t="inlineStr">
        <is>
          <t>unidad</t>
        </is>
      </c>
      <c r="D1695" s="8" t="n"/>
      <c r="E1695" s="8" t="n">
        <v>234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>
        <f>IF(COUNT(D1695:U1695)=0,"",MIN(D1695:U1695))</f>
        <v/>
      </c>
      <c r="W1695" s="8">
        <f>IF(COUNT(D1695:U1695)=0,"",MEDIAN(D1695:U1695))</f>
        <v/>
      </c>
      <c r="X1695" s="8">
        <f>IF(COUNT(D1695:U1695)=0,"",MAX(D1695:U1695))</f>
        <v/>
      </c>
      <c r="Y1695" s="9">
        <f>IF(OR(V1695="",V1695=0),"",(X1695-V1695)/V1695)</f>
        <v/>
      </c>
      <c r="Z1695" s="7">
        <f>IF(COUNT(D1695:U1695)=0,"",INDEX($D$1:$U$1,MATCH(MIN(D1695:U1695),D1695:U1695,0)))</f>
        <v/>
      </c>
      <c r="AA1695" s="8" t="n">
        <v>234</v>
      </c>
      <c r="AB1695" s="10" t="n">
        <v>1</v>
      </c>
    </row>
    <row r="1696">
      <c r="A1696" s="7" t="inlineStr">
        <is>
          <t>MAT-32-341</t>
        </is>
      </c>
      <c r="B1696" s="4" t="inlineStr">
        <is>
          <t>Niple de HG 3/4" x 1 1/2"</t>
        </is>
      </c>
      <c r="C1696" s="7" t="inlineStr">
        <is>
          <t>unidad</t>
        </is>
      </c>
      <c r="D1696" s="8" t="n"/>
      <c r="E1696" s="8" t="n">
        <v>25.12</v>
      </c>
      <c r="F1696" s="8" t="n"/>
      <c r="G1696" s="8" t="n">
        <v>77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>
        <f>IF(COUNT(D1696:U1696)=0,"",MIN(D1696:U1696))</f>
        <v/>
      </c>
      <c r="W1696" s="8">
        <f>IF(COUNT(D1696:U1696)=0,"",MEDIAN(D1696:U1696))</f>
        <v/>
      </c>
      <c r="X1696" s="8">
        <f>IF(COUNT(D1696:U1696)=0,"",MAX(D1696:U1696))</f>
        <v/>
      </c>
      <c r="Y1696" s="9">
        <f>IF(OR(V1696="",V1696=0),"",(X1696-V1696)/V1696)</f>
        <v/>
      </c>
      <c r="Z1696" s="7">
        <f>IF(COUNT(D1696:U1696)=0,"",INDEX($D$1:$U$1,MATCH(MIN(D1696:U1696),D1696:U1696,0)))</f>
        <v/>
      </c>
      <c r="AA1696" s="8" t="n">
        <v>51.06</v>
      </c>
      <c r="AB1696" s="10" t="n">
        <v>2</v>
      </c>
    </row>
    <row r="1697">
      <c r="A1697" s="7" t="inlineStr">
        <is>
          <t>MAT-32-342</t>
        </is>
      </c>
      <c r="B1697" s="4" t="inlineStr">
        <is>
          <t>Niple de HG 3/4" x 10"</t>
        </is>
      </c>
      <c r="C1697" s="7" t="inlineStr">
        <is>
          <t>unidad</t>
        </is>
      </c>
      <c r="D1697" s="8" t="n"/>
      <c r="E1697" s="8" t="n">
        <v>88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>
        <f>IF(COUNT(D1697:U1697)=0,"",MIN(D1697:U1697))</f>
        <v/>
      </c>
      <c r="W1697" s="8">
        <f>IF(COUNT(D1697:U1697)=0,"",MEDIAN(D1697:U1697))</f>
        <v/>
      </c>
      <c r="X1697" s="8">
        <f>IF(COUNT(D1697:U1697)=0,"",MAX(D1697:U1697))</f>
        <v/>
      </c>
      <c r="Y1697" s="9">
        <f>IF(OR(V1697="",V1697=0),"",(X1697-V1697)/V1697)</f>
        <v/>
      </c>
      <c r="Z1697" s="7">
        <f>IF(COUNT(D1697:U1697)=0,"",INDEX($D$1:$U$1,MATCH(MIN(D1697:U1697),D1697:U1697,0)))</f>
        <v/>
      </c>
      <c r="AA1697" s="8" t="n">
        <v>88</v>
      </c>
      <c r="AB1697" s="10" t="n">
        <v>1</v>
      </c>
    </row>
    <row r="1698">
      <c r="A1698" s="7" t="inlineStr">
        <is>
          <t>MAT-32-343</t>
        </is>
      </c>
      <c r="B1698" s="4" t="inlineStr">
        <is>
          <t>Niple de HG 3/4" x 12"</t>
        </is>
      </c>
      <c r="C1698" s="7" t="inlineStr">
        <is>
          <t>unidad</t>
        </is>
      </c>
      <c r="D1698" s="8" t="n"/>
      <c r="E1698" s="8" t="n">
        <v>109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>
        <f>IF(COUNT(D1698:U1698)=0,"",MIN(D1698:U1698))</f>
        <v/>
      </c>
      <c r="W1698" s="8">
        <f>IF(COUNT(D1698:U1698)=0,"",MEDIAN(D1698:U1698))</f>
        <v/>
      </c>
      <c r="X1698" s="8">
        <f>IF(COUNT(D1698:U1698)=0,"",MAX(D1698:U1698))</f>
        <v/>
      </c>
      <c r="Y1698" s="9">
        <f>IF(OR(V1698="",V1698=0),"",(X1698-V1698)/V1698)</f>
        <v/>
      </c>
      <c r="Z1698" s="7">
        <f>IF(COUNT(D1698:U1698)=0,"",INDEX($D$1:$U$1,MATCH(MIN(D1698:U1698),D1698:U1698,0)))</f>
        <v/>
      </c>
      <c r="AA1698" s="8" t="n">
        <v>109</v>
      </c>
      <c r="AB1698" s="10" t="n">
        <v>1</v>
      </c>
    </row>
    <row r="1699">
      <c r="A1699" s="7" t="inlineStr">
        <is>
          <t>MAT-32-344</t>
        </is>
      </c>
      <c r="B1699" s="4" t="inlineStr">
        <is>
          <t>Niple de HG 3/4" x 1"</t>
        </is>
      </c>
      <c r="C1699" s="7" t="inlineStr">
        <is>
          <t>unidad</t>
        </is>
      </c>
      <c r="D1699" s="8" t="n"/>
      <c r="E1699" s="8" t="n">
        <v>21.54</v>
      </c>
      <c r="F1699" s="8" t="n"/>
      <c r="G1699" s="8" t="n">
        <v>62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>
        <f>IF(COUNT(D1699:U1699)=0,"",MIN(D1699:U1699))</f>
        <v/>
      </c>
      <c r="W1699" s="8">
        <f>IF(COUNT(D1699:U1699)=0,"",MEDIAN(D1699:U1699))</f>
        <v/>
      </c>
      <c r="X1699" s="8">
        <f>IF(COUNT(D1699:U1699)=0,"",MAX(D1699:U1699))</f>
        <v/>
      </c>
      <c r="Y1699" s="9">
        <f>IF(OR(V1699="",V1699=0),"",(X1699-V1699)/V1699)</f>
        <v/>
      </c>
      <c r="Z1699" s="7">
        <f>IF(COUNT(D1699:U1699)=0,"",INDEX($D$1:$U$1,MATCH(MIN(D1699:U1699),D1699:U1699,0)))</f>
        <v/>
      </c>
      <c r="AA1699" s="8" t="n">
        <v>41.77</v>
      </c>
      <c r="AB1699" s="10" t="n">
        <v>2</v>
      </c>
    </row>
    <row r="1700">
      <c r="A1700" s="7" t="inlineStr">
        <is>
          <t>MAT-32-345</t>
        </is>
      </c>
      <c r="B1700" s="4" t="inlineStr">
        <is>
          <t>Niple de HG 3/4" x 2 1/2"</t>
        </is>
      </c>
      <c r="C1700" s="7" t="inlineStr">
        <is>
          <t>unidad</t>
        </is>
      </c>
      <c r="D1700" s="8" t="n"/>
      <c r="E1700" s="8" t="n">
        <v>27.3</v>
      </c>
      <c r="F1700" s="8" t="n"/>
      <c r="G1700" s="8" t="n">
        <v>131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>
        <f>IF(COUNT(D1700:U1700)=0,"",MIN(D1700:U1700))</f>
        <v/>
      </c>
      <c r="W1700" s="8">
        <f>IF(COUNT(D1700:U1700)=0,"",MEDIAN(D1700:U1700))</f>
        <v/>
      </c>
      <c r="X1700" s="8">
        <f>IF(COUNT(D1700:U1700)=0,"",MAX(D1700:U1700))</f>
        <v/>
      </c>
      <c r="Y1700" s="9">
        <f>IF(OR(V1700="",V1700=0),"",(X1700-V1700)/V1700)</f>
        <v/>
      </c>
      <c r="Z1700" s="7">
        <f>IF(COUNT(D1700:U1700)=0,"",INDEX($D$1:$U$1,MATCH(MIN(D1700:U1700),D1700:U1700,0)))</f>
        <v/>
      </c>
      <c r="AA1700" s="8" t="n">
        <v>79.15000000000001</v>
      </c>
      <c r="AB1700" s="10" t="n">
        <v>2</v>
      </c>
    </row>
    <row r="1701">
      <c r="A1701" s="7" t="inlineStr">
        <is>
          <t>MAT-32-346</t>
        </is>
      </c>
      <c r="B1701" s="4" t="inlineStr">
        <is>
          <t>Niple de HG 3/4" x 2"</t>
        </is>
      </c>
      <c r="C1701" s="7" t="inlineStr">
        <is>
          <t>unidad</t>
        </is>
      </c>
      <c r="D1701" s="8" t="n"/>
      <c r="E1701" s="8" t="n">
        <v>21.84</v>
      </c>
      <c r="F1701" s="8" t="n"/>
      <c r="G1701" s="8" t="n">
        <v>120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>
        <f>IF(COUNT(D1701:U1701)=0,"",MIN(D1701:U1701))</f>
        <v/>
      </c>
      <c r="W1701" s="8">
        <f>IF(COUNT(D1701:U1701)=0,"",MEDIAN(D1701:U1701))</f>
        <v/>
      </c>
      <c r="X1701" s="8">
        <f>IF(COUNT(D1701:U1701)=0,"",MAX(D1701:U1701))</f>
        <v/>
      </c>
      <c r="Y1701" s="9">
        <f>IF(OR(V1701="",V1701=0),"",(X1701-V1701)/V1701)</f>
        <v/>
      </c>
      <c r="Z1701" s="7">
        <f>IF(COUNT(D1701:U1701)=0,"",INDEX($D$1:$U$1,MATCH(MIN(D1701:U1701),D1701:U1701,0)))</f>
        <v/>
      </c>
      <c r="AA1701" s="8" t="n">
        <v>70.92</v>
      </c>
      <c r="AB1701" s="10" t="n">
        <v>2</v>
      </c>
    </row>
    <row r="1702">
      <c r="A1702" s="7" t="inlineStr">
        <is>
          <t>MAT-32-347</t>
        </is>
      </c>
      <c r="B1702" s="4" t="inlineStr">
        <is>
          <t>Niple de HG 3/4" x 3 1/2"</t>
        </is>
      </c>
      <c r="C1702" s="7" t="inlineStr">
        <is>
          <t>unidad</t>
        </is>
      </c>
      <c r="D1702" s="8" t="n"/>
      <c r="E1702" s="8" t="n">
        <v>35.35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>
        <f>IF(COUNT(D1702:U1702)=0,"",MIN(D1702:U1702))</f>
        <v/>
      </c>
      <c r="W1702" s="8">
        <f>IF(COUNT(D1702:U1702)=0,"",MEDIAN(D1702:U1702))</f>
        <v/>
      </c>
      <c r="X1702" s="8">
        <f>IF(COUNT(D1702:U1702)=0,"",MAX(D1702:U1702))</f>
        <v/>
      </c>
      <c r="Y1702" s="9">
        <f>IF(OR(V1702="",V1702=0),"",(X1702-V1702)/V1702)</f>
        <v/>
      </c>
      <c r="Z1702" s="7">
        <f>IF(COUNT(D1702:U1702)=0,"",INDEX($D$1:$U$1,MATCH(MIN(D1702:U1702),D1702:U1702,0)))</f>
        <v/>
      </c>
      <c r="AA1702" s="8" t="n">
        <v>35.35</v>
      </c>
      <c r="AB1702" s="10" t="n">
        <v>1</v>
      </c>
    </row>
    <row r="1703">
      <c r="A1703" s="7" t="inlineStr">
        <is>
          <t>MAT-32-348</t>
        </is>
      </c>
      <c r="B1703" s="4" t="inlineStr">
        <is>
          <t>Niple de HG 3/4" x 3"</t>
        </is>
      </c>
      <c r="C1703" s="7" t="inlineStr">
        <is>
          <t>unidad</t>
        </is>
      </c>
      <c r="D1703" s="8" t="n"/>
      <c r="E1703" s="8" t="n">
        <v>33.77</v>
      </c>
      <c r="F1703" s="8" t="n"/>
      <c r="G1703" s="8" t="n">
        <v>149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>
        <f>IF(COUNT(D1703:U1703)=0,"",MIN(D1703:U1703))</f>
        <v/>
      </c>
      <c r="W1703" s="8">
        <f>IF(COUNT(D1703:U1703)=0,"",MEDIAN(D1703:U1703))</f>
        <v/>
      </c>
      <c r="X1703" s="8">
        <f>IF(COUNT(D1703:U1703)=0,"",MAX(D1703:U1703))</f>
        <v/>
      </c>
      <c r="Y1703" s="9">
        <f>IF(OR(V1703="",V1703=0),"",(X1703-V1703)/V1703)</f>
        <v/>
      </c>
      <c r="Z1703" s="7">
        <f>IF(COUNT(D1703:U1703)=0,"",INDEX($D$1:$U$1,MATCH(MIN(D1703:U1703),D1703:U1703,0)))</f>
        <v/>
      </c>
      <c r="AA1703" s="8" t="n">
        <v>91.39</v>
      </c>
      <c r="AB1703" s="10" t="n">
        <v>2</v>
      </c>
    </row>
    <row r="1704">
      <c r="A1704" s="7" t="inlineStr">
        <is>
          <t>MAT-32-349</t>
        </is>
      </c>
      <c r="B1704" s="4" t="inlineStr">
        <is>
          <t>Niple de HG 3/4" x 4"</t>
        </is>
      </c>
      <c r="C1704" s="7" t="inlineStr">
        <is>
          <t>unidad</t>
        </is>
      </c>
      <c r="D1704" s="8" t="n"/>
      <c r="E1704" s="8" t="n">
        <v>51</v>
      </c>
      <c r="F1704" s="8" t="n"/>
      <c r="G1704" s="8" t="n">
        <v>160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>
        <f>IF(COUNT(D1704:U1704)=0,"",MIN(D1704:U1704))</f>
        <v/>
      </c>
      <c r="W1704" s="8">
        <f>IF(COUNT(D1704:U1704)=0,"",MEDIAN(D1704:U1704))</f>
        <v/>
      </c>
      <c r="X1704" s="8">
        <f>IF(COUNT(D1704:U1704)=0,"",MAX(D1704:U1704))</f>
        <v/>
      </c>
      <c r="Y1704" s="9">
        <f>IF(OR(V1704="",V1704=0),"",(X1704-V1704)/V1704)</f>
        <v/>
      </c>
      <c r="Z1704" s="7">
        <f>IF(COUNT(D1704:U1704)=0,"",INDEX($D$1:$U$1,MATCH(MIN(D1704:U1704),D1704:U1704,0)))</f>
        <v/>
      </c>
      <c r="AA1704" s="8" t="n">
        <v>105.5</v>
      </c>
      <c r="AB1704" s="10" t="n">
        <v>2</v>
      </c>
    </row>
    <row r="1705">
      <c r="A1705" s="7" t="inlineStr">
        <is>
          <t>MAT-32-350</t>
        </is>
      </c>
      <c r="B1705" s="4" t="inlineStr">
        <is>
          <t>Niple de HG 3/4" x 5"</t>
        </is>
      </c>
      <c r="C1705" s="7" t="inlineStr">
        <is>
          <t>unidad</t>
        </is>
      </c>
      <c r="D1705" s="8" t="n"/>
      <c r="E1705" s="8" t="n">
        <v>54</v>
      </c>
      <c r="F1705" s="8" t="n"/>
      <c r="G1705" s="8" t="n">
        <v>194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>
        <f>IF(COUNT(D1705:U1705)=0,"",MIN(D1705:U1705))</f>
        <v/>
      </c>
      <c r="W1705" s="8">
        <f>IF(COUNT(D1705:U1705)=0,"",MEDIAN(D1705:U1705))</f>
        <v/>
      </c>
      <c r="X1705" s="8">
        <f>IF(COUNT(D1705:U1705)=0,"",MAX(D1705:U1705))</f>
        <v/>
      </c>
      <c r="Y1705" s="9">
        <f>IF(OR(V1705="",V1705=0),"",(X1705-V1705)/V1705)</f>
        <v/>
      </c>
      <c r="Z1705" s="7">
        <f>IF(COUNT(D1705:U1705)=0,"",INDEX($D$1:$U$1,MATCH(MIN(D1705:U1705),D1705:U1705,0)))</f>
        <v/>
      </c>
      <c r="AA1705" s="8" t="n">
        <v>124</v>
      </c>
      <c r="AB1705" s="10" t="n">
        <v>2</v>
      </c>
    </row>
    <row r="1706">
      <c r="A1706" s="7" t="inlineStr">
        <is>
          <t>MAT-32-351</t>
        </is>
      </c>
      <c r="B1706" s="4" t="inlineStr">
        <is>
          <t>Niple de HG 3/4" x 6"</t>
        </is>
      </c>
      <c r="C1706" s="7" t="inlineStr">
        <is>
          <t>unidad</t>
        </is>
      </c>
      <c r="D1706" s="8" t="n"/>
      <c r="E1706" s="8" t="n">
        <v>87</v>
      </c>
      <c r="F1706" s="8" t="n"/>
      <c r="G1706" s="8" t="n">
        <v>248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>
        <f>IF(COUNT(D1706:U1706)=0,"",MIN(D1706:U1706))</f>
        <v/>
      </c>
      <c r="W1706" s="8">
        <f>IF(COUNT(D1706:U1706)=0,"",MEDIAN(D1706:U1706))</f>
        <v/>
      </c>
      <c r="X1706" s="8">
        <f>IF(COUNT(D1706:U1706)=0,"",MAX(D1706:U1706))</f>
        <v/>
      </c>
      <c r="Y1706" s="9">
        <f>IF(OR(V1706="",V1706=0),"",(X1706-V1706)/V1706)</f>
        <v/>
      </c>
      <c r="Z1706" s="7">
        <f>IF(COUNT(D1706:U1706)=0,"",INDEX($D$1:$U$1,MATCH(MIN(D1706:U1706),D1706:U1706,0)))</f>
        <v/>
      </c>
      <c r="AA1706" s="8" t="n">
        <v>167.5</v>
      </c>
      <c r="AB1706" s="10" t="n">
        <v>2</v>
      </c>
    </row>
    <row r="1707">
      <c r="A1707" s="7" t="inlineStr">
        <is>
          <t>MAT-32-352</t>
        </is>
      </c>
      <c r="B1707" s="4" t="inlineStr">
        <is>
          <t>Niple de HG 3/4" x 8"</t>
        </is>
      </c>
      <c r="C1707" s="7" t="inlineStr">
        <is>
          <t>unidad</t>
        </is>
      </c>
      <c r="D1707" s="8" t="n"/>
      <c r="E1707" s="8" t="n">
        <v>81</v>
      </c>
      <c r="F1707" s="8" t="n"/>
      <c r="G1707" s="8" t="n"/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>
        <f>IF(COUNT(D1707:U1707)=0,"",MIN(D1707:U1707))</f>
        <v/>
      </c>
      <c r="W1707" s="8">
        <f>IF(COUNT(D1707:U1707)=0,"",MEDIAN(D1707:U1707))</f>
        <v/>
      </c>
      <c r="X1707" s="8">
        <f>IF(COUNT(D1707:U1707)=0,"",MAX(D1707:U1707))</f>
        <v/>
      </c>
      <c r="Y1707" s="9">
        <f>IF(OR(V1707="",V1707=0),"",(X1707-V1707)/V1707)</f>
        <v/>
      </c>
      <c r="Z1707" s="7">
        <f>IF(COUNT(D1707:U1707)=0,"",INDEX($D$1:$U$1,MATCH(MIN(D1707:U1707),D1707:U1707,0)))</f>
        <v/>
      </c>
      <c r="AA1707" s="8" t="n">
        <v>81</v>
      </c>
      <c r="AB1707" s="10" t="n">
        <v>1</v>
      </c>
    </row>
    <row r="1708">
      <c r="A1708" s="7" t="inlineStr">
        <is>
          <t>MAT-32-353</t>
        </is>
      </c>
      <c r="B1708" s="4" t="inlineStr">
        <is>
          <t>Niple de HG 3/8" x 2 1/2"</t>
        </is>
      </c>
      <c r="C1708" s="7" t="inlineStr">
        <is>
          <t>unidad</t>
        </is>
      </c>
      <c r="D1708" s="8" t="n"/>
      <c r="E1708" s="8" t="n">
        <v>24.74</v>
      </c>
      <c r="F1708" s="8" t="n"/>
      <c r="G1708" s="8" t="n">
        <v>155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>
        <f>IF(COUNT(D1708:U1708)=0,"",MIN(D1708:U1708))</f>
        <v/>
      </c>
      <c r="W1708" s="8">
        <f>IF(COUNT(D1708:U1708)=0,"",MEDIAN(D1708:U1708))</f>
        <v/>
      </c>
      <c r="X1708" s="8">
        <f>IF(COUNT(D1708:U1708)=0,"",MAX(D1708:U1708))</f>
        <v/>
      </c>
      <c r="Y1708" s="9">
        <f>IF(OR(V1708="",V1708=0),"",(X1708-V1708)/V1708)</f>
        <v/>
      </c>
      <c r="Z1708" s="7">
        <f>IF(COUNT(D1708:U1708)=0,"",INDEX($D$1:$U$1,MATCH(MIN(D1708:U1708),D1708:U1708,0)))</f>
        <v/>
      </c>
      <c r="AA1708" s="8" t="n">
        <v>89.87</v>
      </c>
      <c r="AB1708" s="10" t="n">
        <v>2</v>
      </c>
    </row>
    <row r="1709">
      <c r="A1709" s="7" t="inlineStr">
        <is>
          <t>MAT-32-354</t>
        </is>
      </c>
      <c r="B1709" s="4" t="inlineStr">
        <is>
          <t>Niple de HG 3/8" x 2"</t>
        </is>
      </c>
      <c r="C1709" s="7" t="inlineStr">
        <is>
          <t>unidad</t>
        </is>
      </c>
      <c r="D1709" s="8" t="n"/>
      <c r="E1709" s="8" t="n">
        <v>61.6</v>
      </c>
      <c r="F1709" s="8" t="n"/>
      <c r="G1709" s="8" t="n">
        <v>160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>
        <f>IF(COUNT(D1709:U1709)=0,"",MIN(D1709:U1709))</f>
        <v/>
      </c>
      <c r="W1709" s="8">
        <f>IF(COUNT(D1709:U1709)=0,"",MEDIAN(D1709:U1709))</f>
        <v/>
      </c>
      <c r="X1709" s="8">
        <f>IF(COUNT(D1709:U1709)=0,"",MAX(D1709:U1709))</f>
        <v/>
      </c>
      <c r="Y1709" s="9">
        <f>IF(OR(V1709="",V1709=0),"",(X1709-V1709)/V1709)</f>
        <v/>
      </c>
      <c r="Z1709" s="7">
        <f>IF(COUNT(D1709:U1709)=0,"",INDEX($D$1:$U$1,MATCH(MIN(D1709:U1709),D1709:U1709,0)))</f>
        <v/>
      </c>
      <c r="AA1709" s="8" t="n">
        <v>110.8</v>
      </c>
      <c r="AB1709" s="10" t="n">
        <v>2</v>
      </c>
    </row>
    <row r="1710">
      <c r="A1710" s="7" t="inlineStr">
        <is>
          <t>MAT-32-355</t>
        </is>
      </c>
      <c r="B1710" s="4" t="inlineStr">
        <is>
          <t>Niple de HG 3/8" x 3 1/2"</t>
        </is>
      </c>
      <c r="C1710" s="7" t="inlineStr">
        <is>
          <t>unidad</t>
        </is>
      </c>
      <c r="D1710" s="8" t="n"/>
      <c r="E1710" s="8" t="n"/>
      <c r="F1710" s="8" t="n"/>
      <c r="G1710" s="8" t="n">
        <v>194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>
        <f>IF(COUNT(D1710:U1710)=0,"",MIN(D1710:U1710))</f>
        <v/>
      </c>
      <c r="W1710" s="8">
        <f>IF(COUNT(D1710:U1710)=0,"",MEDIAN(D1710:U1710))</f>
        <v/>
      </c>
      <c r="X1710" s="8">
        <f>IF(COUNT(D1710:U1710)=0,"",MAX(D1710:U1710))</f>
        <v/>
      </c>
      <c r="Y1710" s="9">
        <f>IF(OR(V1710="",V1710=0),"",(X1710-V1710)/V1710)</f>
        <v/>
      </c>
      <c r="Z1710" s="7">
        <f>IF(COUNT(D1710:U1710)=0,"",INDEX($D$1:$U$1,MATCH(MIN(D1710:U1710),D1710:U1710,0)))</f>
        <v/>
      </c>
      <c r="AA1710" s="8" t="n">
        <v>194</v>
      </c>
      <c r="AB1710" s="10" t="n">
        <v>1</v>
      </c>
    </row>
    <row r="1711">
      <c r="A1711" s="7" t="inlineStr">
        <is>
          <t>MAT-32-356</t>
        </is>
      </c>
      <c r="B1711" s="4" t="inlineStr">
        <is>
          <t>Niple de HG 3/8" x 3"</t>
        </is>
      </c>
      <c r="C1711" s="7" t="inlineStr">
        <is>
          <t>unidad</t>
        </is>
      </c>
      <c r="D1711" s="8" t="n"/>
      <c r="E1711" s="8" t="n">
        <v>27.3</v>
      </c>
      <c r="F1711" s="8" t="n"/>
      <c r="G1711" s="8" t="n">
        <v>185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>
        <f>IF(COUNT(D1711:U1711)=0,"",MIN(D1711:U1711))</f>
        <v/>
      </c>
      <c r="W1711" s="8">
        <f>IF(COUNT(D1711:U1711)=0,"",MEDIAN(D1711:U1711))</f>
        <v/>
      </c>
      <c r="X1711" s="8">
        <f>IF(COUNT(D1711:U1711)=0,"",MAX(D1711:U1711))</f>
        <v/>
      </c>
      <c r="Y1711" s="9">
        <f>IF(OR(V1711="",V1711=0),"",(X1711-V1711)/V1711)</f>
        <v/>
      </c>
      <c r="Z1711" s="7">
        <f>IF(COUNT(D1711:U1711)=0,"",INDEX($D$1:$U$1,MATCH(MIN(D1711:U1711),D1711:U1711,0)))</f>
        <v/>
      </c>
      <c r="AA1711" s="8" t="n">
        <v>106.15</v>
      </c>
      <c r="AB1711" s="10" t="n">
        <v>2</v>
      </c>
    </row>
    <row r="1712">
      <c r="A1712" s="7" t="inlineStr">
        <is>
          <t>MAT-32-357</t>
        </is>
      </c>
      <c r="B1712" s="4" t="inlineStr">
        <is>
          <t>Niple de HG 3/8" x 4 1/2"</t>
        </is>
      </c>
      <c r="C1712" s="7" t="inlineStr">
        <is>
          <t>unidad</t>
        </is>
      </c>
      <c r="D1712" s="8" t="n"/>
      <c r="E1712" s="8" t="n"/>
      <c r="F1712" s="8" t="n"/>
      <c r="G1712" s="8" t="n">
        <v>194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>
        <f>IF(COUNT(D1712:U1712)=0,"",MIN(D1712:U1712))</f>
        <v/>
      </c>
      <c r="W1712" s="8">
        <f>IF(COUNT(D1712:U1712)=0,"",MEDIAN(D1712:U1712))</f>
        <v/>
      </c>
      <c r="X1712" s="8">
        <f>IF(COUNT(D1712:U1712)=0,"",MAX(D1712:U1712))</f>
        <v/>
      </c>
      <c r="Y1712" s="9">
        <f>IF(OR(V1712="",V1712=0),"",(X1712-V1712)/V1712)</f>
        <v/>
      </c>
      <c r="Z1712" s="7">
        <f>IF(COUNT(D1712:U1712)=0,"",INDEX($D$1:$U$1,MATCH(MIN(D1712:U1712),D1712:U1712,0)))</f>
        <v/>
      </c>
      <c r="AA1712" s="8" t="n">
        <v>194</v>
      </c>
      <c r="AB1712" s="10" t="n">
        <v>1</v>
      </c>
    </row>
    <row r="1713">
      <c r="A1713" s="7" t="inlineStr">
        <is>
          <t>MAT-32-359</t>
        </is>
      </c>
      <c r="B1713" s="4" t="inlineStr">
        <is>
          <t>Niple de HG 3/8" x 5 1/2"</t>
        </is>
      </c>
      <c r="C1713" s="7" t="inlineStr">
        <is>
          <t>unidad</t>
        </is>
      </c>
      <c r="D1713" s="8" t="n"/>
      <c r="E1713" s="8" t="n"/>
      <c r="F1713" s="8" t="n"/>
      <c r="G1713" s="8" t="n">
        <v>229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>
        <f>IF(COUNT(D1713:U1713)=0,"",MIN(D1713:U1713))</f>
        <v/>
      </c>
      <c r="W1713" s="8">
        <f>IF(COUNT(D1713:U1713)=0,"",MEDIAN(D1713:U1713))</f>
        <v/>
      </c>
      <c r="X1713" s="8">
        <f>IF(COUNT(D1713:U1713)=0,"",MAX(D1713:U1713))</f>
        <v/>
      </c>
      <c r="Y1713" s="9">
        <f>IF(OR(V1713="",V1713=0),"",(X1713-V1713)/V1713)</f>
        <v/>
      </c>
      <c r="Z1713" s="7">
        <f>IF(COUNT(D1713:U1713)=0,"",INDEX($D$1:$U$1,MATCH(MIN(D1713:U1713),D1713:U1713,0)))</f>
        <v/>
      </c>
      <c r="AA1713" s="8" t="n">
        <v>229</v>
      </c>
      <c r="AB1713" s="10" t="n">
        <v>1</v>
      </c>
    </row>
    <row r="1714">
      <c r="A1714" s="7" t="inlineStr">
        <is>
          <t>MAT-32-360</t>
        </is>
      </c>
      <c r="B1714" s="4" t="inlineStr">
        <is>
          <t>Niple de HG 3/8" x 5"</t>
        </is>
      </c>
      <c r="C1714" s="7" t="inlineStr">
        <is>
          <t>unidad</t>
        </is>
      </c>
      <c r="D1714" s="8" t="n"/>
      <c r="E1714" s="8" t="n"/>
      <c r="F1714" s="8" t="n"/>
      <c r="G1714" s="8" t="n">
        <v>255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>
        <f>IF(COUNT(D1714:U1714)=0,"",MIN(D1714:U1714))</f>
        <v/>
      </c>
      <c r="W1714" s="8">
        <f>IF(COUNT(D1714:U1714)=0,"",MEDIAN(D1714:U1714))</f>
        <v/>
      </c>
      <c r="X1714" s="8">
        <f>IF(COUNT(D1714:U1714)=0,"",MAX(D1714:U1714))</f>
        <v/>
      </c>
      <c r="Y1714" s="9">
        <f>IF(OR(V1714="",V1714=0),"",(X1714-V1714)/V1714)</f>
        <v/>
      </c>
      <c r="Z1714" s="7">
        <f>IF(COUNT(D1714:U1714)=0,"",INDEX($D$1:$U$1,MATCH(MIN(D1714:U1714),D1714:U1714,0)))</f>
        <v/>
      </c>
      <c r="AA1714" s="8" t="n">
        <v>255</v>
      </c>
      <c r="AB1714" s="10" t="n">
        <v>1</v>
      </c>
    </row>
    <row r="1715">
      <c r="A1715" s="7" t="inlineStr">
        <is>
          <t>MAT-32-361</t>
        </is>
      </c>
      <c r="B1715" s="4" t="inlineStr">
        <is>
          <t>Niple de HG 3/8" x 6"</t>
        </is>
      </c>
      <c r="C1715" s="7" t="inlineStr">
        <is>
          <t>unidad</t>
        </is>
      </c>
      <c r="D1715" s="8" t="n"/>
      <c r="E1715" s="8" t="n"/>
      <c r="F1715" s="8" t="n"/>
      <c r="G1715" s="8" t="n">
        <v>327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>
        <f>IF(COUNT(D1715:U1715)=0,"",MIN(D1715:U1715))</f>
        <v/>
      </c>
      <c r="W1715" s="8">
        <f>IF(COUNT(D1715:U1715)=0,"",MEDIAN(D1715:U1715))</f>
        <v/>
      </c>
      <c r="X1715" s="8">
        <f>IF(COUNT(D1715:U1715)=0,"",MAX(D1715:U1715))</f>
        <v/>
      </c>
      <c r="Y1715" s="9">
        <f>IF(OR(V1715="",V1715=0),"",(X1715-V1715)/V1715)</f>
        <v/>
      </c>
      <c r="Z1715" s="7">
        <f>IF(COUNT(D1715:U1715)=0,"",INDEX($D$1:$U$1,MATCH(MIN(D1715:U1715),D1715:U1715,0)))</f>
        <v/>
      </c>
      <c r="AA1715" s="8" t="n">
        <v>327</v>
      </c>
      <c r="AB1715" s="10" t="n">
        <v>1</v>
      </c>
    </row>
    <row r="1716">
      <c r="A1716" s="7" t="inlineStr">
        <is>
          <t>MAT-32-362</t>
        </is>
      </c>
      <c r="B1716" s="4" t="inlineStr">
        <is>
          <t>Niple de HG 3" x 4"</t>
        </is>
      </c>
      <c r="C1716" s="7" t="inlineStr">
        <is>
          <t>unidad</t>
        </is>
      </c>
      <c r="D1716" s="8" t="n"/>
      <c r="E1716" s="8" t="n">
        <v>277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>
        <f>IF(COUNT(D1716:U1716)=0,"",MIN(D1716:U1716))</f>
        <v/>
      </c>
      <c r="W1716" s="8">
        <f>IF(COUNT(D1716:U1716)=0,"",MEDIAN(D1716:U1716))</f>
        <v/>
      </c>
      <c r="X1716" s="8">
        <f>IF(COUNT(D1716:U1716)=0,"",MAX(D1716:U1716))</f>
        <v/>
      </c>
      <c r="Y1716" s="9">
        <f>IF(OR(V1716="",V1716=0),"",(X1716-V1716)/V1716)</f>
        <v/>
      </c>
      <c r="Z1716" s="7">
        <f>IF(COUNT(D1716:U1716)=0,"",INDEX($D$1:$U$1,MATCH(MIN(D1716:U1716),D1716:U1716,0)))</f>
        <v/>
      </c>
      <c r="AA1716" s="8" t="n">
        <v>277</v>
      </c>
      <c r="AB1716" s="10" t="n">
        <v>1</v>
      </c>
    </row>
    <row r="1717">
      <c r="A1717" s="7" t="inlineStr">
        <is>
          <t>MAT-32-363</t>
        </is>
      </c>
      <c r="B1717" s="4" t="inlineStr">
        <is>
          <t>Niple de niquelado 1/2" x 1 1/2"</t>
        </is>
      </c>
      <c r="C1717" s="7" t="inlineStr">
        <is>
          <t>unidad</t>
        </is>
      </c>
      <c r="D1717" s="8" t="n"/>
      <c r="E1717" s="8" t="n">
        <v>17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>
        <f>IF(COUNT(D1717:U1717)=0,"",MIN(D1717:U1717))</f>
        <v/>
      </c>
      <c r="W1717" s="8">
        <f>IF(COUNT(D1717:U1717)=0,"",MEDIAN(D1717:U1717))</f>
        <v/>
      </c>
      <c r="X1717" s="8">
        <f>IF(COUNT(D1717:U1717)=0,"",MAX(D1717:U1717))</f>
        <v/>
      </c>
      <c r="Y1717" s="9">
        <f>IF(OR(V1717="",V1717=0),"",(X1717-V1717)/V1717)</f>
        <v/>
      </c>
      <c r="Z1717" s="7">
        <f>IF(COUNT(D1717:U1717)=0,"",INDEX($D$1:$U$1,MATCH(MIN(D1717:U1717),D1717:U1717,0)))</f>
        <v/>
      </c>
      <c r="AA1717" s="8" t="n">
        <v>17</v>
      </c>
      <c r="AB1717" s="10" t="n">
        <v>1</v>
      </c>
    </row>
    <row r="1718">
      <c r="A1718" s="7" t="inlineStr">
        <is>
          <t>MAT-32-364</t>
        </is>
      </c>
      <c r="B1718" s="4" t="inlineStr">
        <is>
          <t>Niple de niquelado 1/2" x 2 1/2"</t>
        </is>
      </c>
      <c r="C1718" s="7" t="inlineStr">
        <is>
          <t>unidad</t>
        </is>
      </c>
      <c r="D1718" s="8" t="n"/>
      <c r="E1718" s="8" t="n">
        <v>24</v>
      </c>
      <c r="F1718" s="8" t="n"/>
      <c r="G1718" s="8" t="n">
        <v>59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>
        <f>IF(COUNT(D1718:U1718)=0,"",MIN(D1718:U1718))</f>
        <v/>
      </c>
      <c r="W1718" s="8">
        <f>IF(COUNT(D1718:U1718)=0,"",MEDIAN(D1718:U1718))</f>
        <v/>
      </c>
      <c r="X1718" s="8">
        <f>IF(COUNT(D1718:U1718)=0,"",MAX(D1718:U1718))</f>
        <v/>
      </c>
      <c r="Y1718" s="9">
        <f>IF(OR(V1718="",V1718=0),"",(X1718-V1718)/V1718)</f>
        <v/>
      </c>
      <c r="Z1718" s="7">
        <f>IF(COUNT(D1718:U1718)=0,"",INDEX($D$1:$U$1,MATCH(MIN(D1718:U1718),D1718:U1718,0)))</f>
        <v/>
      </c>
      <c r="AA1718" s="8" t="n">
        <v>144.5</v>
      </c>
      <c r="AB1718" s="10" t="n">
        <v>2</v>
      </c>
    </row>
    <row r="1719">
      <c r="A1719" s="7" t="inlineStr">
        <is>
          <t>MAT-32-365</t>
        </is>
      </c>
      <c r="B1719" s="4" t="inlineStr">
        <is>
          <t>Niple de niquelado 1/2" x 2"</t>
        </is>
      </c>
      <c r="C1719" s="7" t="inlineStr">
        <is>
          <t>unidad</t>
        </is>
      </c>
      <c r="D1719" s="8" t="n"/>
      <c r="E1719" s="8" t="n">
        <v>15.75</v>
      </c>
      <c r="F1719" s="8" t="n"/>
      <c r="G1719" s="8" t="n">
        <v>52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>
        <f>IF(COUNT(D1719:U1719)=0,"",MIN(D1719:U1719))</f>
        <v/>
      </c>
      <c r="W1719" s="8">
        <f>IF(COUNT(D1719:U1719)=0,"",MEDIAN(D1719:U1719))</f>
        <v/>
      </c>
      <c r="X1719" s="8">
        <f>IF(COUNT(D1719:U1719)=0,"",MAX(D1719:U1719))</f>
        <v/>
      </c>
      <c r="Y1719" s="9">
        <f>IF(OR(V1719="",V1719=0),"",(X1719-V1719)/V1719)</f>
        <v/>
      </c>
      <c r="Z1719" s="7">
        <f>IF(COUNT(D1719:U1719)=0,"",INDEX($D$1:$U$1,MATCH(MIN(D1719:U1719),D1719:U1719,0)))</f>
        <v/>
      </c>
      <c r="AA1719" s="8" t="n">
        <v>101</v>
      </c>
      <c r="AB1719" s="10" t="n">
        <v>2</v>
      </c>
    </row>
    <row r="1720">
      <c r="A1720" s="7" t="inlineStr">
        <is>
          <t>MAT-32-368</t>
        </is>
      </c>
      <c r="B1720" s="4" t="inlineStr">
        <is>
          <t>Niple de niquelado 3/8" x 2 1/2"</t>
        </is>
      </c>
      <c r="C1720" s="7" t="inlineStr">
        <is>
          <t>unidad</t>
        </is>
      </c>
      <c r="D1720" s="8" t="n"/>
      <c r="E1720" s="8" t="n">
        <v>24.04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>
        <f>IF(COUNT(D1720:U1720)=0,"",MIN(D1720:U1720))</f>
        <v/>
      </c>
      <c r="W1720" s="8">
        <f>IF(COUNT(D1720:U1720)=0,"",MEDIAN(D1720:U1720))</f>
        <v/>
      </c>
      <c r="X1720" s="8">
        <f>IF(COUNT(D1720:U1720)=0,"",MAX(D1720:U1720))</f>
        <v/>
      </c>
      <c r="Y1720" s="9">
        <f>IF(OR(V1720="",V1720=0),"",(X1720-V1720)/V1720)</f>
        <v/>
      </c>
      <c r="Z1720" s="7">
        <f>IF(COUNT(D1720:U1720)=0,"",INDEX($D$1:$U$1,MATCH(MIN(D1720:U1720),D1720:U1720,0)))</f>
        <v/>
      </c>
      <c r="AA1720" s="8" t="n">
        <v>24.04</v>
      </c>
      <c r="AB1720" s="10" t="n">
        <v>1</v>
      </c>
    </row>
    <row r="1721">
      <c r="A1721" s="7" t="inlineStr">
        <is>
          <t>MAT-32-369</t>
        </is>
      </c>
      <c r="B1721" s="4" t="inlineStr">
        <is>
          <t>Niple de niquelado 3/8" x 2"</t>
        </is>
      </c>
      <c r="C1721" s="7" t="inlineStr">
        <is>
          <t>unidad</t>
        </is>
      </c>
      <c r="D1721" s="8" t="n"/>
      <c r="E1721" s="8" t="n"/>
      <c r="F1721" s="8" t="n"/>
      <c r="G1721" s="8" t="n">
        <v>47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>
        <f>IF(COUNT(D1721:U1721)=0,"",MIN(D1721:U1721))</f>
        <v/>
      </c>
      <c r="W1721" s="8">
        <f>IF(COUNT(D1721:U1721)=0,"",MEDIAN(D1721:U1721))</f>
        <v/>
      </c>
      <c r="X1721" s="8">
        <f>IF(COUNT(D1721:U1721)=0,"",MAX(D1721:U1721))</f>
        <v/>
      </c>
      <c r="Y1721" s="9">
        <f>IF(OR(V1721="",V1721=0),"",(X1721-V1721)/V1721)</f>
        <v/>
      </c>
      <c r="Z1721" s="7">
        <f>IF(COUNT(D1721:U1721)=0,"",INDEX($D$1:$U$1,MATCH(MIN(D1721:U1721),D1721:U1721,0)))</f>
        <v/>
      </c>
      <c r="AA1721" s="8" t="n">
        <v>47</v>
      </c>
      <c r="AB1721" s="10" t="n">
        <v>1</v>
      </c>
    </row>
    <row r="1722">
      <c r="A1722" s="7" t="inlineStr">
        <is>
          <t>MAT-32-370</t>
        </is>
      </c>
      <c r="B1722" s="4" t="inlineStr">
        <is>
          <t>Niple de niquelado 3/8" x 3"</t>
        </is>
      </c>
      <c r="C1722" s="7" t="inlineStr">
        <is>
          <t>unidad</t>
        </is>
      </c>
      <c r="D1722" s="8" t="n"/>
      <c r="E1722" s="8" t="n">
        <v>26.25</v>
      </c>
      <c r="F1722" s="8" t="n"/>
      <c r="G1722" s="8" t="n">
        <v>59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>
        <f>IF(COUNT(D1722:U1722)=0,"",MIN(D1722:U1722))</f>
        <v/>
      </c>
      <c r="W1722" s="8">
        <f>IF(COUNT(D1722:U1722)=0,"",MEDIAN(D1722:U1722))</f>
        <v/>
      </c>
      <c r="X1722" s="8">
        <f>IF(COUNT(D1722:U1722)=0,"",MAX(D1722:U1722))</f>
        <v/>
      </c>
      <c r="Y1722" s="9">
        <f>IF(OR(V1722="",V1722=0),"",(X1722-V1722)/V1722)</f>
        <v/>
      </c>
      <c r="Z1722" s="7">
        <f>IF(COUNT(D1722:U1722)=0,"",INDEX($D$1:$U$1,MATCH(MIN(D1722:U1722),D1722:U1722,0)))</f>
        <v/>
      </c>
      <c r="AA1722" s="8" t="n">
        <v>42.63</v>
      </c>
      <c r="AB1722" s="10" t="n">
        <v>2</v>
      </c>
    </row>
    <row r="1723">
      <c r="A1723" s="7" t="inlineStr">
        <is>
          <t>MAT-32-371</t>
        </is>
      </c>
      <c r="B1723" s="4" t="inlineStr">
        <is>
          <t>Reducción bushing de bronce 1/2" x 1/4"</t>
        </is>
      </c>
      <c r="C1723" s="7" t="inlineStr">
        <is>
          <t>unidad</t>
        </is>
      </c>
      <c r="D1723" s="8" t="n"/>
      <c r="E1723" s="8" t="n">
        <v>90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>
        <f>IF(COUNT(D1723:U1723)=0,"",MIN(D1723:U1723))</f>
        <v/>
      </c>
      <c r="W1723" s="8">
        <f>IF(COUNT(D1723:U1723)=0,"",MEDIAN(D1723:U1723))</f>
        <v/>
      </c>
      <c r="X1723" s="8">
        <f>IF(COUNT(D1723:U1723)=0,"",MAX(D1723:U1723))</f>
        <v/>
      </c>
      <c r="Y1723" s="9">
        <f>IF(OR(V1723="",V1723=0),"",(X1723-V1723)/V1723)</f>
        <v/>
      </c>
      <c r="Z1723" s="7">
        <f>IF(COUNT(D1723:U1723)=0,"",INDEX($D$1:$U$1,MATCH(MIN(D1723:U1723),D1723:U1723,0)))</f>
        <v/>
      </c>
      <c r="AA1723" s="8" t="n">
        <v>90</v>
      </c>
      <c r="AB1723" s="10" t="n">
        <v>1</v>
      </c>
    </row>
    <row r="1724">
      <c r="A1724" s="7" t="inlineStr">
        <is>
          <t>MAT-32-372</t>
        </is>
      </c>
      <c r="B1724" s="4" t="inlineStr">
        <is>
          <t>Reducción bushing de bronce 1/2" x 1/8"</t>
        </is>
      </c>
      <c r="C1724" s="7" t="inlineStr">
        <is>
          <t>unidad</t>
        </is>
      </c>
      <c r="D1724" s="8" t="n"/>
      <c r="E1724" s="8" t="n">
        <v>102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>
        <f>IF(COUNT(D1724:U1724)=0,"",MIN(D1724:U1724))</f>
        <v/>
      </c>
      <c r="W1724" s="8">
        <f>IF(COUNT(D1724:U1724)=0,"",MEDIAN(D1724:U1724))</f>
        <v/>
      </c>
      <c r="X1724" s="8">
        <f>IF(COUNT(D1724:U1724)=0,"",MAX(D1724:U1724))</f>
        <v/>
      </c>
      <c r="Y1724" s="9">
        <f>IF(OR(V1724="",V1724=0),"",(X1724-V1724)/V1724)</f>
        <v/>
      </c>
      <c r="Z1724" s="7">
        <f>IF(COUNT(D1724:U1724)=0,"",INDEX($D$1:$U$1,MATCH(MIN(D1724:U1724),D1724:U1724,0)))</f>
        <v/>
      </c>
      <c r="AA1724" s="8" t="n">
        <v>102</v>
      </c>
      <c r="AB1724" s="10" t="n">
        <v>1</v>
      </c>
    </row>
    <row r="1725">
      <c r="A1725" s="7" t="inlineStr">
        <is>
          <t>MAT-32-373</t>
        </is>
      </c>
      <c r="B1725" s="4" t="inlineStr">
        <is>
          <t>Reducción bushing de bronce 1/2" x 3/8"</t>
        </is>
      </c>
      <c r="C1725" s="7" t="inlineStr">
        <is>
          <t>unidad</t>
        </is>
      </c>
      <c r="D1725" s="8" t="n"/>
      <c r="E1725" s="8" t="n">
        <v>81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>
        <f>IF(COUNT(D1725:U1725)=0,"",MIN(D1725:U1725))</f>
        <v/>
      </c>
      <c r="W1725" s="8">
        <f>IF(COUNT(D1725:U1725)=0,"",MEDIAN(D1725:U1725))</f>
        <v/>
      </c>
      <c r="X1725" s="8">
        <f>IF(COUNT(D1725:U1725)=0,"",MAX(D1725:U1725))</f>
        <v/>
      </c>
      <c r="Y1725" s="9">
        <f>IF(OR(V1725="",V1725=0),"",(X1725-V1725)/V1725)</f>
        <v/>
      </c>
      <c r="Z1725" s="7">
        <f>IF(COUNT(D1725:U1725)=0,"",INDEX($D$1:$U$1,MATCH(MIN(D1725:U1725),D1725:U1725,0)))</f>
        <v/>
      </c>
      <c r="AA1725" s="8" t="n">
        <v>81</v>
      </c>
      <c r="AB1725" s="10" t="n">
        <v>1</v>
      </c>
    </row>
    <row r="1726">
      <c r="A1726" s="7" t="inlineStr">
        <is>
          <t>MAT-32-374</t>
        </is>
      </c>
      <c r="B1726" s="4" t="inlineStr">
        <is>
          <t>Reducción bushing de bronce 1/4" x 1/8"</t>
        </is>
      </c>
      <c r="C1726" s="7" t="inlineStr">
        <is>
          <t>unidad</t>
        </is>
      </c>
      <c r="D1726" s="8" t="n"/>
      <c r="E1726" s="8" t="n">
        <v>27.47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>
        <f>IF(COUNT(D1726:U1726)=0,"",MIN(D1726:U1726))</f>
        <v/>
      </c>
      <c r="W1726" s="8">
        <f>IF(COUNT(D1726:U1726)=0,"",MEDIAN(D1726:U1726))</f>
        <v/>
      </c>
      <c r="X1726" s="8">
        <f>IF(COUNT(D1726:U1726)=0,"",MAX(D1726:U1726))</f>
        <v/>
      </c>
      <c r="Y1726" s="9">
        <f>IF(OR(V1726="",V1726=0),"",(X1726-V1726)/V1726)</f>
        <v/>
      </c>
      <c r="Z1726" s="7">
        <f>IF(COUNT(D1726:U1726)=0,"",INDEX($D$1:$U$1,MATCH(MIN(D1726:U1726),D1726:U1726,0)))</f>
        <v/>
      </c>
      <c r="AA1726" s="8" t="n">
        <v>27.47</v>
      </c>
      <c r="AB1726" s="10" t="n">
        <v>1</v>
      </c>
    </row>
    <row r="1727">
      <c r="A1727" s="7" t="inlineStr">
        <is>
          <t>MAT-32-375</t>
        </is>
      </c>
      <c r="B1727" s="4" t="inlineStr">
        <is>
          <t>Reducción bushing de bronce 1/4" x 3/8"</t>
        </is>
      </c>
      <c r="C1727" s="7" t="inlineStr">
        <is>
          <t>unidad</t>
        </is>
      </c>
      <c r="D1727" s="8" t="n"/>
      <c r="E1727" s="8" t="n"/>
      <c r="F1727" s="8" t="n"/>
      <c r="G1727" s="8" t="n">
        <v>132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>
        <f>IF(COUNT(D1727:U1727)=0,"",MIN(D1727:U1727))</f>
        <v/>
      </c>
      <c r="W1727" s="8">
        <f>IF(COUNT(D1727:U1727)=0,"",MEDIAN(D1727:U1727))</f>
        <v/>
      </c>
      <c r="X1727" s="8">
        <f>IF(COUNT(D1727:U1727)=0,"",MAX(D1727:U1727))</f>
        <v/>
      </c>
      <c r="Y1727" s="9">
        <f>IF(OR(V1727="",V1727=0),"",(X1727-V1727)/V1727)</f>
        <v/>
      </c>
      <c r="Z1727" s="7">
        <f>IF(COUNT(D1727:U1727)=0,"",INDEX($D$1:$U$1,MATCH(MIN(D1727:U1727),D1727:U1727,0)))</f>
        <v/>
      </c>
      <c r="AA1727" s="8" t="n">
        <v>132</v>
      </c>
      <c r="AB1727" s="10" t="n">
        <v>1</v>
      </c>
    </row>
    <row r="1728">
      <c r="A1728" s="7" t="inlineStr">
        <is>
          <t>MAT-32-376</t>
        </is>
      </c>
      <c r="B1728" s="4" t="inlineStr">
        <is>
          <t>Reducción bushing de bronce 1/8" x 1/4"</t>
        </is>
      </c>
      <c r="C1728" s="7" t="inlineStr">
        <is>
          <t>unidad</t>
        </is>
      </c>
      <c r="D1728" s="8" t="n"/>
      <c r="E1728" s="8" t="n"/>
      <c r="F1728" s="8" t="n"/>
      <c r="G1728" s="8" t="n">
        <v>101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>
        <f>IF(COUNT(D1728:U1728)=0,"",MIN(D1728:U1728))</f>
        <v/>
      </c>
      <c r="W1728" s="8">
        <f>IF(COUNT(D1728:U1728)=0,"",MEDIAN(D1728:U1728))</f>
        <v/>
      </c>
      <c r="X1728" s="8">
        <f>IF(COUNT(D1728:U1728)=0,"",MAX(D1728:U1728))</f>
        <v/>
      </c>
      <c r="Y1728" s="9">
        <f>IF(OR(V1728="",V1728=0),"",(X1728-V1728)/V1728)</f>
        <v/>
      </c>
      <c r="Z1728" s="7">
        <f>IF(COUNT(D1728:U1728)=0,"",INDEX($D$1:$U$1,MATCH(MIN(D1728:U1728),D1728:U1728,0)))</f>
        <v/>
      </c>
      <c r="AA1728" s="8" t="n">
        <v>101</v>
      </c>
      <c r="AB1728" s="10" t="n">
        <v>1</v>
      </c>
    </row>
    <row r="1729">
      <c r="A1729" s="7" t="inlineStr">
        <is>
          <t>MAT-32-377</t>
        </is>
      </c>
      <c r="B1729" s="4" t="inlineStr">
        <is>
          <t>Reducción bushing de bronce 1/8" x 3/8"</t>
        </is>
      </c>
      <c r="C1729" s="7" t="inlineStr">
        <is>
          <t>unidad</t>
        </is>
      </c>
      <c r="D1729" s="8" t="n"/>
      <c r="E1729" s="8" t="n"/>
      <c r="F1729" s="8" t="n"/>
      <c r="G1729" s="8" t="n">
        <v>77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>
        <f>IF(COUNT(D1729:U1729)=0,"",MIN(D1729:U1729))</f>
        <v/>
      </c>
      <c r="W1729" s="8">
        <f>IF(COUNT(D1729:U1729)=0,"",MEDIAN(D1729:U1729))</f>
        <v/>
      </c>
      <c r="X1729" s="8">
        <f>IF(COUNT(D1729:U1729)=0,"",MAX(D1729:U1729))</f>
        <v/>
      </c>
      <c r="Y1729" s="9">
        <f>IF(OR(V1729="",V1729=0),"",(X1729-V1729)/V1729)</f>
        <v/>
      </c>
      <c r="Z1729" s="7">
        <f>IF(COUNT(D1729:U1729)=0,"",INDEX($D$1:$U$1,MATCH(MIN(D1729:U1729),D1729:U1729,0)))</f>
        <v/>
      </c>
      <c r="AA1729" s="8" t="n">
        <v>77</v>
      </c>
      <c r="AB1729" s="10" t="n">
        <v>1</v>
      </c>
    </row>
    <row r="1730">
      <c r="A1730" s="7" t="inlineStr">
        <is>
          <t>MAT-32-378</t>
        </is>
      </c>
      <c r="B1730" s="4" t="inlineStr">
        <is>
          <t>Reducción bushing de bronce 1" x 3/4"</t>
        </is>
      </c>
      <c r="C1730" s="7" t="inlineStr">
        <is>
          <t>unidad</t>
        </is>
      </c>
      <c r="D1730" s="8" t="n"/>
      <c r="E1730" s="8" t="n">
        <v>202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>
        <f>IF(COUNT(D1730:U1730)=0,"",MIN(D1730:U1730))</f>
        <v/>
      </c>
      <c r="W1730" s="8">
        <f>IF(COUNT(D1730:U1730)=0,"",MEDIAN(D1730:U1730))</f>
        <v/>
      </c>
      <c r="X1730" s="8">
        <f>IF(COUNT(D1730:U1730)=0,"",MAX(D1730:U1730))</f>
        <v/>
      </c>
      <c r="Y1730" s="9">
        <f>IF(OR(V1730="",V1730=0),"",(X1730-V1730)/V1730)</f>
        <v/>
      </c>
      <c r="Z1730" s="7">
        <f>IF(COUNT(D1730:U1730)=0,"",INDEX($D$1:$U$1,MATCH(MIN(D1730:U1730),D1730:U1730,0)))</f>
        <v/>
      </c>
      <c r="AA1730" s="8" t="n">
        <v>202</v>
      </c>
      <c r="AB1730" s="10" t="n">
        <v>1</v>
      </c>
    </row>
    <row r="1731">
      <c r="A1731" s="7" t="inlineStr">
        <is>
          <t>MAT-32-379</t>
        </is>
      </c>
      <c r="B1731" s="4" t="inlineStr">
        <is>
          <t>Reducción bushing de bronce 3/4" x 1/2"</t>
        </is>
      </c>
      <c r="C1731" s="7" t="inlineStr">
        <is>
          <t>unidad</t>
        </is>
      </c>
      <c r="D1731" s="8" t="n"/>
      <c r="E1731" s="8" t="n">
        <v>97.88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>
        <f>IF(COUNT(D1731:U1731)=0,"",MIN(D1731:U1731))</f>
        <v/>
      </c>
      <c r="W1731" s="8">
        <f>IF(COUNT(D1731:U1731)=0,"",MEDIAN(D1731:U1731))</f>
        <v/>
      </c>
      <c r="X1731" s="8">
        <f>IF(COUNT(D1731:U1731)=0,"",MAX(D1731:U1731))</f>
        <v/>
      </c>
      <c r="Y1731" s="9">
        <f>IF(OR(V1731="",V1731=0),"",(X1731-V1731)/V1731)</f>
        <v/>
      </c>
      <c r="Z1731" s="7">
        <f>IF(COUNT(D1731:U1731)=0,"",INDEX($D$1:$U$1,MATCH(MIN(D1731:U1731),D1731:U1731,0)))</f>
        <v/>
      </c>
      <c r="AA1731" s="8" t="n">
        <v>97.88</v>
      </c>
      <c r="AB1731" s="10" t="n">
        <v>1</v>
      </c>
    </row>
    <row r="1732">
      <c r="A1732" s="7" t="inlineStr">
        <is>
          <t>MAT-32-380</t>
        </is>
      </c>
      <c r="B1732" s="4" t="inlineStr">
        <is>
          <t>Reducción bushing de bronce 3/4" x 3/8"</t>
        </is>
      </c>
      <c r="C1732" s="7" t="inlineStr">
        <is>
          <t>unidad</t>
        </is>
      </c>
      <c r="D1732" s="8" t="n"/>
      <c r="E1732" s="8" t="n">
        <v>137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>
        <f>IF(COUNT(D1732:U1732)=0,"",MIN(D1732:U1732))</f>
        <v/>
      </c>
      <c r="W1732" s="8">
        <f>IF(COUNT(D1732:U1732)=0,"",MEDIAN(D1732:U1732))</f>
        <v/>
      </c>
      <c r="X1732" s="8">
        <f>IF(COUNT(D1732:U1732)=0,"",MAX(D1732:U1732))</f>
        <v/>
      </c>
      <c r="Y1732" s="9">
        <f>IF(OR(V1732="",V1732=0),"",(X1732-V1732)/V1732)</f>
        <v/>
      </c>
      <c r="Z1732" s="7">
        <f>IF(COUNT(D1732:U1732)=0,"",INDEX($D$1:$U$1,MATCH(MIN(D1732:U1732),D1732:U1732,0)))</f>
        <v/>
      </c>
      <c r="AA1732" s="8" t="n">
        <v>137</v>
      </c>
      <c r="AB1732" s="10" t="n">
        <v>1</v>
      </c>
    </row>
    <row r="1733">
      <c r="A1733" s="7" t="inlineStr">
        <is>
          <t>MAT-32-381</t>
        </is>
      </c>
      <c r="B1733" s="4" t="inlineStr">
        <is>
          <t>Reducción bushing de bronce 3/8"</t>
        </is>
      </c>
      <c r="C1733" s="7" t="inlineStr">
        <is>
          <t>unidad</t>
        </is>
      </c>
      <c r="D1733" s="8" t="n"/>
      <c r="E1733" s="8" t="n">
        <v>78.73999999999999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>
        <f>IF(COUNT(D1733:U1733)=0,"",MIN(D1733:U1733))</f>
        <v/>
      </c>
      <c r="W1733" s="8">
        <f>IF(COUNT(D1733:U1733)=0,"",MEDIAN(D1733:U1733))</f>
        <v/>
      </c>
      <c r="X1733" s="8">
        <f>IF(COUNT(D1733:U1733)=0,"",MAX(D1733:U1733))</f>
        <v/>
      </c>
      <c r="Y1733" s="9">
        <f>IF(OR(V1733="",V1733=0),"",(X1733-V1733)/V1733)</f>
        <v/>
      </c>
      <c r="Z1733" s="7">
        <f>IF(COUNT(D1733:U1733)=0,"",INDEX($D$1:$U$1,MATCH(MIN(D1733:U1733),D1733:U1733,0)))</f>
        <v/>
      </c>
      <c r="AA1733" s="8" t="n">
        <v>78.73999999999999</v>
      </c>
      <c r="AB1733" s="10" t="n">
        <v>1</v>
      </c>
    </row>
    <row r="1734">
      <c r="A1734" s="7" t="inlineStr">
        <is>
          <t>MAT-32-382</t>
        </is>
      </c>
      <c r="B1734" s="4" t="inlineStr">
        <is>
          <t>Reducción bushing de bronce 3/8" x 1/8"</t>
        </is>
      </c>
      <c r="C1734" s="7" t="inlineStr">
        <is>
          <t>unidad</t>
        </is>
      </c>
      <c r="D1734" s="8" t="n"/>
      <c r="E1734" s="8" t="n">
        <v>57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>
        <f>IF(COUNT(D1734:U1734)=0,"",MIN(D1734:U1734))</f>
        <v/>
      </c>
      <c r="W1734" s="8">
        <f>IF(COUNT(D1734:U1734)=0,"",MEDIAN(D1734:U1734))</f>
        <v/>
      </c>
      <c r="X1734" s="8">
        <f>IF(COUNT(D1734:U1734)=0,"",MAX(D1734:U1734))</f>
        <v/>
      </c>
      <c r="Y1734" s="9">
        <f>IF(OR(V1734="",V1734=0),"",(X1734-V1734)/V1734)</f>
        <v/>
      </c>
      <c r="Z1734" s="7">
        <f>IF(COUNT(D1734:U1734)=0,"",INDEX($D$1:$U$1,MATCH(MIN(D1734:U1734),D1734:U1734,0)))</f>
        <v/>
      </c>
      <c r="AA1734" s="8" t="n">
        <v>57</v>
      </c>
      <c r="AB1734" s="10" t="n">
        <v>1</v>
      </c>
    </row>
    <row r="1735">
      <c r="A1735" s="7" t="inlineStr">
        <is>
          <t>MAT-32-383</t>
        </is>
      </c>
      <c r="B1735" s="4" t="inlineStr">
        <is>
          <t>Reducción bushing de CPVC 1" x 1/2"</t>
        </is>
      </c>
      <c r="C1735" s="7" t="inlineStr">
        <is>
          <t>unidad</t>
        </is>
      </c>
      <c r="D1735" s="8" t="n"/>
      <c r="E1735" s="8" t="n">
        <v>45.68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>
        <f>IF(COUNT(D1735:U1735)=0,"",MIN(D1735:U1735))</f>
        <v/>
      </c>
      <c r="W1735" s="8">
        <f>IF(COUNT(D1735:U1735)=0,"",MEDIAN(D1735:U1735))</f>
        <v/>
      </c>
      <c r="X1735" s="8">
        <f>IF(COUNT(D1735:U1735)=0,"",MAX(D1735:U1735))</f>
        <v/>
      </c>
      <c r="Y1735" s="9">
        <f>IF(OR(V1735="",V1735=0),"",(X1735-V1735)/V1735)</f>
        <v/>
      </c>
      <c r="Z1735" s="7">
        <f>IF(COUNT(D1735:U1735)=0,"",INDEX($D$1:$U$1,MATCH(MIN(D1735:U1735),D1735:U1735,0)))</f>
        <v/>
      </c>
      <c r="AA1735" s="8" t="n">
        <v>45.68</v>
      </c>
      <c r="AB1735" s="10" t="n">
        <v>1</v>
      </c>
    </row>
    <row r="1736">
      <c r="A1736" s="7" t="inlineStr">
        <is>
          <t>MAT-32-384</t>
        </is>
      </c>
      <c r="B1736" s="4" t="inlineStr">
        <is>
          <t>Reducción bushing de CPVC 1" x 3/4"</t>
        </is>
      </c>
      <c r="C1736" s="7" t="inlineStr">
        <is>
          <t>unidad</t>
        </is>
      </c>
      <c r="D1736" s="8" t="n"/>
      <c r="E1736" s="8" t="n">
        <v>13.97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>
        <f>IF(COUNT(D1736:U1736)=0,"",MIN(D1736:U1736))</f>
        <v/>
      </c>
      <c r="W1736" s="8">
        <f>IF(COUNT(D1736:U1736)=0,"",MEDIAN(D1736:U1736))</f>
        <v/>
      </c>
      <c r="X1736" s="8">
        <f>IF(COUNT(D1736:U1736)=0,"",MAX(D1736:U1736))</f>
        <v/>
      </c>
      <c r="Y1736" s="9">
        <f>IF(OR(V1736="",V1736=0),"",(X1736-V1736)/V1736)</f>
        <v/>
      </c>
      <c r="Z1736" s="7">
        <f>IF(COUNT(D1736:U1736)=0,"",INDEX($D$1:$U$1,MATCH(MIN(D1736:U1736),D1736:U1736,0)))</f>
        <v/>
      </c>
      <c r="AA1736" s="8" t="n">
        <v>13.97</v>
      </c>
      <c r="AB1736" s="10" t="n">
        <v>1</v>
      </c>
    </row>
    <row r="1737">
      <c r="A1737" s="7" t="inlineStr">
        <is>
          <t>MAT-32-385</t>
        </is>
      </c>
      <c r="B1737" s="4" t="inlineStr">
        <is>
          <t>Reducción bushing de CPVC 2" x 1"</t>
        </is>
      </c>
      <c r="C1737" s="7" t="inlineStr">
        <is>
          <t>unidad</t>
        </is>
      </c>
      <c r="D1737" s="8" t="n"/>
      <c r="E1737" s="8" t="n">
        <v>322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>
        <f>IF(COUNT(D1737:U1737)=0,"",MIN(D1737:U1737))</f>
        <v/>
      </c>
      <c r="W1737" s="8">
        <f>IF(COUNT(D1737:U1737)=0,"",MEDIAN(D1737:U1737))</f>
        <v/>
      </c>
      <c r="X1737" s="8">
        <f>IF(COUNT(D1737:U1737)=0,"",MAX(D1737:U1737))</f>
        <v/>
      </c>
      <c r="Y1737" s="9">
        <f>IF(OR(V1737="",V1737=0),"",(X1737-V1737)/V1737)</f>
        <v/>
      </c>
      <c r="Z1737" s="7">
        <f>IF(COUNT(D1737:U1737)=0,"",INDEX($D$1:$U$1,MATCH(MIN(D1737:U1737),D1737:U1737,0)))</f>
        <v/>
      </c>
      <c r="AA1737" s="8" t="n">
        <v>322</v>
      </c>
      <c r="AB1737" s="10" t="n">
        <v>1</v>
      </c>
    </row>
    <row r="1738">
      <c r="A1738" s="7" t="inlineStr">
        <is>
          <t>MAT-32-386</t>
        </is>
      </c>
      <c r="B1738" s="4" t="inlineStr">
        <is>
          <t>Reducción bushing de CPVC 3/4" x 1/2"</t>
        </is>
      </c>
      <c r="C1738" s="7" t="inlineStr">
        <is>
          <t>unidad</t>
        </is>
      </c>
      <c r="D1738" s="8" t="n"/>
      <c r="E1738" s="8" t="n">
        <v>10.62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>
        <f>IF(COUNT(D1738:U1738)=0,"",MIN(D1738:U1738))</f>
        <v/>
      </c>
      <c r="W1738" s="8">
        <f>IF(COUNT(D1738:U1738)=0,"",MEDIAN(D1738:U1738))</f>
        <v/>
      </c>
      <c r="X1738" s="8">
        <f>IF(COUNT(D1738:U1738)=0,"",MAX(D1738:U1738))</f>
        <v/>
      </c>
      <c r="Y1738" s="9">
        <f>IF(OR(V1738="",V1738=0),"",(X1738-V1738)/V1738)</f>
        <v/>
      </c>
      <c r="Z1738" s="7">
        <f>IF(COUNT(D1738:U1738)=0,"",INDEX($D$1:$U$1,MATCH(MIN(D1738:U1738),D1738:U1738,0)))</f>
        <v/>
      </c>
      <c r="AA1738" s="8" t="n">
        <v>10.62</v>
      </c>
      <c r="AB1738" s="10" t="n">
        <v>1</v>
      </c>
    </row>
    <row r="1739">
      <c r="A1739" s="7" t="inlineStr">
        <is>
          <t>MAT-32-387</t>
        </is>
      </c>
      <c r="B1739" s="4" t="inlineStr">
        <is>
          <t>Reducción bushing de HG 1 1/2" x 1 1/4"</t>
        </is>
      </c>
      <c r="C1739" s="7" t="inlineStr">
        <is>
          <t>unidad</t>
        </is>
      </c>
      <c r="D1739" s="8" t="n"/>
      <c r="E1739" s="8" t="n">
        <v>125</v>
      </c>
      <c r="F1739" s="8" t="n"/>
      <c r="G1739" s="8" t="n">
        <v>247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>
        <f>IF(COUNT(D1739:U1739)=0,"",MIN(D1739:U1739))</f>
        <v/>
      </c>
      <c r="W1739" s="8">
        <f>IF(COUNT(D1739:U1739)=0,"",MEDIAN(D1739:U1739))</f>
        <v/>
      </c>
      <c r="X1739" s="8">
        <f>IF(COUNT(D1739:U1739)=0,"",MAX(D1739:U1739))</f>
        <v/>
      </c>
      <c r="Y1739" s="9">
        <f>IF(OR(V1739="",V1739=0),"",(X1739-V1739)/V1739)</f>
        <v/>
      </c>
      <c r="Z1739" s="7">
        <f>IF(COUNT(D1739:U1739)=0,"",INDEX($D$1:$U$1,MATCH(MIN(D1739:U1739),D1739:U1739,0)))</f>
        <v/>
      </c>
      <c r="AA1739" s="8" t="n">
        <v>186</v>
      </c>
      <c r="AB1739" s="10" t="n">
        <v>2</v>
      </c>
    </row>
    <row r="1740">
      <c r="A1740" s="7" t="inlineStr">
        <is>
          <t>MAT-32-388</t>
        </is>
      </c>
      <c r="B1740" s="4" t="inlineStr">
        <is>
          <t>Reducción bushing de HG 1 1/2" x 1/2"</t>
        </is>
      </c>
      <c r="C1740" s="7" t="inlineStr">
        <is>
          <t>unidad</t>
        </is>
      </c>
      <c r="D1740" s="8" t="n"/>
      <c r="E1740" s="8" t="n">
        <v>76</v>
      </c>
      <c r="F1740" s="8" t="n"/>
      <c r="G1740" s="8" t="n">
        <v>103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>
        <f>IF(COUNT(D1740:U1740)=0,"",MIN(D1740:U1740))</f>
        <v/>
      </c>
      <c r="W1740" s="8">
        <f>IF(COUNT(D1740:U1740)=0,"",MEDIAN(D1740:U1740))</f>
        <v/>
      </c>
      <c r="X1740" s="8">
        <f>IF(COUNT(D1740:U1740)=0,"",MAX(D1740:U1740))</f>
        <v/>
      </c>
      <c r="Y1740" s="9">
        <f>IF(OR(V1740="",V1740=0),"",(X1740-V1740)/V1740)</f>
        <v/>
      </c>
      <c r="Z1740" s="7">
        <f>IF(COUNT(D1740:U1740)=0,"",INDEX($D$1:$U$1,MATCH(MIN(D1740:U1740),D1740:U1740,0)))</f>
        <v/>
      </c>
      <c r="AA1740" s="8" t="n">
        <v>89.5</v>
      </c>
      <c r="AB1740" s="10" t="n">
        <v>2</v>
      </c>
    </row>
    <row r="1741">
      <c r="A1741" s="7" t="inlineStr">
        <is>
          <t>MAT-32-389</t>
        </is>
      </c>
      <c r="B1741" s="4" t="inlineStr">
        <is>
          <t>Reducción bushing de HG 1 1/2" x 1"</t>
        </is>
      </c>
      <c r="C1741" s="7" t="inlineStr">
        <is>
          <t>unidad</t>
        </is>
      </c>
      <c r="D1741" s="8" t="n"/>
      <c r="E1741" s="8" t="n">
        <v>67</v>
      </c>
      <c r="F1741" s="8" t="n"/>
      <c r="G1741" s="8" t="n">
        <v>214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>
        <f>IF(COUNT(D1741:U1741)=0,"",MIN(D1741:U1741))</f>
        <v/>
      </c>
      <c r="W1741" s="8">
        <f>IF(COUNT(D1741:U1741)=0,"",MEDIAN(D1741:U1741))</f>
        <v/>
      </c>
      <c r="X1741" s="8">
        <f>IF(COUNT(D1741:U1741)=0,"",MAX(D1741:U1741))</f>
        <v/>
      </c>
      <c r="Y1741" s="9">
        <f>IF(OR(V1741="",V1741=0),"",(X1741-V1741)/V1741)</f>
        <v/>
      </c>
      <c r="Z1741" s="7">
        <f>IF(COUNT(D1741:U1741)=0,"",INDEX($D$1:$U$1,MATCH(MIN(D1741:U1741),D1741:U1741,0)))</f>
        <v/>
      </c>
      <c r="AA1741" s="8" t="n">
        <v>140.5</v>
      </c>
      <c r="AB1741" s="10" t="n">
        <v>2</v>
      </c>
    </row>
    <row r="1742">
      <c r="A1742" s="7" t="inlineStr">
        <is>
          <t>MAT-32-390</t>
        </is>
      </c>
      <c r="B1742" s="4" t="inlineStr">
        <is>
          <t>Reducción bushing de HG 1 1/2" x 3/4"</t>
        </is>
      </c>
      <c r="C1742" s="7" t="inlineStr">
        <is>
          <t>unidad</t>
        </is>
      </c>
      <c r="D1742" s="8" t="n"/>
      <c r="E1742" s="8" t="n">
        <v>110</v>
      </c>
      <c r="F1742" s="8" t="n"/>
      <c r="G1742" s="8" t="n">
        <v>87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>
        <f>IF(COUNT(D1742:U1742)=0,"",MIN(D1742:U1742))</f>
        <v/>
      </c>
      <c r="W1742" s="8">
        <f>IF(COUNT(D1742:U1742)=0,"",MEDIAN(D1742:U1742))</f>
        <v/>
      </c>
      <c r="X1742" s="8">
        <f>IF(COUNT(D1742:U1742)=0,"",MAX(D1742:U1742))</f>
        <v/>
      </c>
      <c r="Y1742" s="9">
        <f>IF(OR(V1742="",V1742=0),"",(X1742-V1742)/V1742)</f>
        <v/>
      </c>
      <c r="Z1742" s="7">
        <f>IF(COUNT(D1742:U1742)=0,"",INDEX($D$1:$U$1,MATCH(MIN(D1742:U1742),D1742:U1742,0)))</f>
        <v/>
      </c>
      <c r="AA1742" s="8" t="n">
        <v>98.5</v>
      </c>
      <c r="AB1742" s="10" t="n">
        <v>2</v>
      </c>
    </row>
    <row r="1743">
      <c r="A1743" s="7" t="inlineStr">
        <is>
          <t>MAT-32-391</t>
        </is>
      </c>
      <c r="B1743" s="4" t="inlineStr">
        <is>
          <t>Reducción bushing de HG 1 1/4" x 1/2"</t>
        </is>
      </c>
      <c r="C1743" s="7" t="inlineStr">
        <is>
          <t>unidad</t>
        </is>
      </c>
      <c r="D1743" s="8" t="n"/>
      <c r="E1743" s="8" t="n">
        <v>87</v>
      </c>
      <c r="F1743" s="8" t="n"/>
      <c r="G1743" s="8" t="n">
        <v>61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>
        <f>IF(COUNT(D1743:U1743)=0,"",MIN(D1743:U1743))</f>
        <v/>
      </c>
      <c r="W1743" s="8">
        <f>IF(COUNT(D1743:U1743)=0,"",MEDIAN(D1743:U1743))</f>
        <v/>
      </c>
      <c r="X1743" s="8">
        <f>IF(COUNT(D1743:U1743)=0,"",MAX(D1743:U1743))</f>
        <v/>
      </c>
      <c r="Y1743" s="9">
        <f>IF(OR(V1743="",V1743=0),"",(X1743-V1743)/V1743)</f>
        <v/>
      </c>
      <c r="Z1743" s="7">
        <f>IF(COUNT(D1743:U1743)=0,"",INDEX($D$1:$U$1,MATCH(MIN(D1743:U1743),D1743:U1743,0)))</f>
        <v/>
      </c>
      <c r="AA1743" s="8" t="n">
        <v>74</v>
      </c>
      <c r="AB1743" s="10" t="n">
        <v>2</v>
      </c>
    </row>
    <row r="1744">
      <c r="A1744" s="7" t="inlineStr">
        <is>
          <t>MAT-32-392</t>
        </is>
      </c>
      <c r="B1744" s="4" t="inlineStr">
        <is>
          <t>Reducción bushing de HG 1 1/4" x 1"</t>
        </is>
      </c>
      <c r="C1744" s="7" t="inlineStr">
        <is>
          <t>unidad</t>
        </is>
      </c>
      <c r="D1744" s="8" t="n"/>
      <c r="E1744" s="8" t="n">
        <v>51</v>
      </c>
      <c r="F1744" s="8" t="n"/>
      <c r="G1744" s="8" t="n">
        <v>198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>
        <f>IF(COUNT(D1744:U1744)=0,"",MIN(D1744:U1744))</f>
        <v/>
      </c>
      <c r="W1744" s="8">
        <f>IF(COUNT(D1744:U1744)=0,"",MEDIAN(D1744:U1744))</f>
        <v/>
      </c>
      <c r="X1744" s="8">
        <f>IF(COUNT(D1744:U1744)=0,"",MAX(D1744:U1744))</f>
        <v/>
      </c>
      <c r="Y1744" s="9">
        <f>IF(OR(V1744="",V1744=0),"",(X1744-V1744)/V1744)</f>
        <v/>
      </c>
      <c r="Z1744" s="7">
        <f>IF(COUNT(D1744:U1744)=0,"",INDEX($D$1:$U$1,MATCH(MIN(D1744:U1744),D1744:U1744,0)))</f>
        <v/>
      </c>
      <c r="AA1744" s="8" t="n">
        <v>124.5</v>
      </c>
      <c r="AB1744" s="10" t="n">
        <v>2</v>
      </c>
    </row>
    <row r="1745">
      <c r="A1745" s="7" t="inlineStr">
        <is>
          <t>MAT-32-393</t>
        </is>
      </c>
      <c r="B1745" s="4" t="inlineStr">
        <is>
          <t>Reducción bushing de HG 1 1/4" x 3/4"</t>
        </is>
      </c>
      <c r="C1745" s="7" t="inlineStr">
        <is>
          <t>unidad</t>
        </is>
      </c>
      <c r="D1745" s="8" t="n"/>
      <c r="E1745" s="8" t="n">
        <v>50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>
        <f>IF(COUNT(D1745:U1745)=0,"",MIN(D1745:U1745))</f>
        <v/>
      </c>
      <c r="W1745" s="8">
        <f>IF(COUNT(D1745:U1745)=0,"",MEDIAN(D1745:U1745))</f>
        <v/>
      </c>
      <c r="X1745" s="8">
        <f>IF(COUNT(D1745:U1745)=0,"",MAX(D1745:U1745))</f>
        <v/>
      </c>
      <c r="Y1745" s="9">
        <f>IF(OR(V1745="",V1745=0),"",(X1745-V1745)/V1745)</f>
        <v/>
      </c>
      <c r="Z1745" s="7">
        <f>IF(COUNT(D1745:U1745)=0,"",INDEX($D$1:$U$1,MATCH(MIN(D1745:U1745),D1745:U1745,0)))</f>
        <v/>
      </c>
      <c r="AA1745" s="8" t="n">
        <v>50</v>
      </c>
      <c r="AB1745" s="10" t="n">
        <v>1</v>
      </c>
    </row>
    <row r="1746">
      <c r="A1746" s="7" t="inlineStr">
        <is>
          <t>MAT-32-394</t>
        </is>
      </c>
      <c r="B1746" s="4" t="inlineStr">
        <is>
          <t>Reducción bushing de HG 1/2" x 1/4"</t>
        </is>
      </c>
      <c r="C1746" s="7" t="inlineStr">
        <is>
          <t>unidad</t>
        </is>
      </c>
      <c r="D1746" s="8" t="n"/>
      <c r="E1746" s="8" t="n"/>
      <c r="F1746" s="8" t="n"/>
      <c r="G1746" s="8" t="n">
        <v>80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>
        <f>IF(COUNT(D1746:U1746)=0,"",MIN(D1746:U1746))</f>
        <v/>
      </c>
      <c r="W1746" s="8">
        <f>IF(COUNT(D1746:U1746)=0,"",MEDIAN(D1746:U1746))</f>
        <v/>
      </c>
      <c r="X1746" s="8">
        <f>IF(COUNT(D1746:U1746)=0,"",MAX(D1746:U1746))</f>
        <v/>
      </c>
      <c r="Y1746" s="9">
        <f>IF(OR(V1746="",V1746=0),"",(X1746-V1746)/V1746)</f>
        <v/>
      </c>
      <c r="Z1746" s="7">
        <f>IF(COUNT(D1746:U1746)=0,"",INDEX($D$1:$U$1,MATCH(MIN(D1746:U1746),D1746:U1746,0)))</f>
        <v/>
      </c>
      <c r="AA1746" s="8" t="n">
        <v>80</v>
      </c>
      <c r="AB1746" s="10" t="n">
        <v>1</v>
      </c>
    </row>
    <row r="1747">
      <c r="A1747" s="7" t="inlineStr">
        <is>
          <t>MAT-32-395</t>
        </is>
      </c>
      <c r="B1747" s="4" t="inlineStr">
        <is>
          <t>Reducción bushing de HG 1/2" x 3/8"</t>
        </is>
      </c>
      <c r="C1747" s="7" t="inlineStr">
        <is>
          <t>unidad</t>
        </is>
      </c>
      <c r="D1747" s="8" t="n"/>
      <c r="E1747" s="8" t="n">
        <v>25</v>
      </c>
      <c r="F1747" s="8" t="n"/>
      <c r="G1747" s="8" t="n">
        <v>65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>
        <f>IF(COUNT(D1747:U1747)=0,"",MIN(D1747:U1747))</f>
        <v/>
      </c>
      <c r="W1747" s="8">
        <f>IF(COUNT(D1747:U1747)=0,"",MEDIAN(D1747:U1747))</f>
        <v/>
      </c>
      <c r="X1747" s="8">
        <f>IF(COUNT(D1747:U1747)=0,"",MAX(D1747:U1747))</f>
        <v/>
      </c>
      <c r="Y1747" s="9">
        <f>IF(OR(V1747="",V1747=0),"",(X1747-V1747)/V1747)</f>
        <v/>
      </c>
      <c r="Z1747" s="7">
        <f>IF(COUNT(D1747:U1747)=0,"",INDEX($D$1:$U$1,MATCH(MIN(D1747:U1747),D1747:U1747,0)))</f>
        <v/>
      </c>
      <c r="AA1747" s="8" t="n">
        <v>45</v>
      </c>
      <c r="AB1747" s="10" t="n">
        <v>2</v>
      </c>
    </row>
    <row r="1748">
      <c r="A1748" s="7" t="inlineStr">
        <is>
          <t>MAT-32-396</t>
        </is>
      </c>
      <c r="B1748" s="4" t="inlineStr">
        <is>
          <t>Reducción bushing de HG 1" x 1/2"</t>
        </is>
      </c>
      <c r="C1748" s="7" t="inlineStr">
        <is>
          <t>unidad</t>
        </is>
      </c>
      <c r="D1748" s="8" t="n"/>
      <c r="E1748" s="8" t="n">
        <v>40</v>
      </c>
      <c r="F1748" s="8" t="n"/>
      <c r="G1748" s="8" t="n">
        <v>92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>
        <f>IF(COUNT(D1748:U1748)=0,"",MIN(D1748:U1748))</f>
        <v/>
      </c>
      <c r="W1748" s="8">
        <f>IF(COUNT(D1748:U1748)=0,"",MEDIAN(D1748:U1748))</f>
        <v/>
      </c>
      <c r="X1748" s="8">
        <f>IF(COUNT(D1748:U1748)=0,"",MAX(D1748:U1748))</f>
        <v/>
      </c>
      <c r="Y1748" s="9">
        <f>IF(OR(V1748="",V1748=0),"",(X1748-V1748)/V1748)</f>
        <v/>
      </c>
      <c r="Z1748" s="7">
        <f>IF(COUNT(D1748:U1748)=0,"",INDEX($D$1:$U$1,MATCH(MIN(D1748:U1748),D1748:U1748,0)))</f>
        <v/>
      </c>
      <c r="AA1748" s="8" t="n">
        <v>66</v>
      </c>
      <c r="AB1748" s="10" t="n">
        <v>2</v>
      </c>
    </row>
    <row r="1749">
      <c r="A1749" s="7" t="inlineStr">
        <is>
          <t>MAT-32-397</t>
        </is>
      </c>
      <c r="B1749" s="4" t="inlineStr">
        <is>
          <t>Reducción bushing de HG 1" x 1/4"</t>
        </is>
      </c>
      <c r="C1749" s="7" t="inlineStr">
        <is>
          <t>unidad</t>
        </is>
      </c>
      <c r="D1749" s="8" t="n"/>
      <c r="E1749" s="8" t="n">
        <v>58.94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>
        <f>IF(COUNT(D1749:U1749)=0,"",MIN(D1749:U1749))</f>
        <v/>
      </c>
      <c r="W1749" s="8">
        <f>IF(COUNT(D1749:U1749)=0,"",MEDIAN(D1749:U1749))</f>
        <v/>
      </c>
      <c r="X1749" s="8">
        <f>IF(COUNT(D1749:U1749)=0,"",MAX(D1749:U1749))</f>
        <v/>
      </c>
      <c r="Y1749" s="9">
        <f>IF(OR(V1749="",V1749=0),"",(X1749-V1749)/V1749)</f>
        <v/>
      </c>
      <c r="Z1749" s="7">
        <f>IF(COUNT(D1749:U1749)=0,"",INDEX($D$1:$U$1,MATCH(MIN(D1749:U1749),D1749:U1749,0)))</f>
        <v/>
      </c>
      <c r="AA1749" s="8" t="n">
        <v>58.94</v>
      </c>
      <c r="AB1749" s="10" t="n">
        <v>1</v>
      </c>
    </row>
    <row r="1750">
      <c r="A1750" s="7" t="inlineStr">
        <is>
          <t>MAT-32-398</t>
        </is>
      </c>
      <c r="B1750" s="4" t="inlineStr">
        <is>
          <t>Reducción bushing de HG 1" x 3/4"</t>
        </is>
      </c>
      <c r="C1750" s="7" t="inlineStr">
        <is>
          <t>unidad</t>
        </is>
      </c>
      <c r="D1750" s="8" t="n"/>
      <c r="E1750" s="8" t="n">
        <v>31</v>
      </c>
      <c r="F1750" s="8" t="n"/>
      <c r="G1750" s="8" t="n">
        <v>97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>
        <f>IF(COUNT(D1750:U1750)=0,"",MIN(D1750:U1750))</f>
        <v/>
      </c>
      <c r="W1750" s="8">
        <f>IF(COUNT(D1750:U1750)=0,"",MEDIAN(D1750:U1750))</f>
        <v/>
      </c>
      <c r="X1750" s="8">
        <f>IF(COUNT(D1750:U1750)=0,"",MAX(D1750:U1750))</f>
        <v/>
      </c>
      <c r="Y1750" s="9">
        <f>IF(OR(V1750="",V1750=0),"",(X1750-V1750)/V1750)</f>
        <v/>
      </c>
      <c r="Z1750" s="7">
        <f>IF(COUNT(D1750:U1750)=0,"",INDEX($D$1:$U$1,MATCH(MIN(D1750:U1750),D1750:U1750,0)))</f>
        <v/>
      </c>
      <c r="AA1750" s="8" t="n">
        <v>64</v>
      </c>
      <c r="AB1750" s="10" t="n">
        <v>2</v>
      </c>
    </row>
    <row r="1751">
      <c r="A1751" s="7" t="inlineStr">
        <is>
          <t>MAT-32-399</t>
        </is>
      </c>
      <c r="B1751" s="4" t="inlineStr">
        <is>
          <t>Reducción bushing de HG 2 1/2" x 2"</t>
        </is>
      </c>
      <c r="C1751" s="7" t="inlineStr">
        <is>
          <t>unidad</t>
        </is>
      </c>
      <c r="D1751" s="8" t="n"/>
      <c r="E1751" s="8" t="n">
        <v>52.64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>
        <f>IF(COUNT(D1751:U1751)=0,"",MIN(D1751:U1751))</f>
        <v/>
      </c>
      <c r="W1751" s="8">
        <f>IF(COUNT(D1751:U1751)=0,"",MEDIAN(D1751:U1751))</f>
        <v/>
      </c>
      <c r="X1751" s="8">
        <f>IF(COUNT(D1751:U1751)=0,"",MAX(D1751:U1751))</f>
        <v/>
      </c>
      <c r="Y1751" s="9">
        <f>IF(OR(V1751="",V1751=0),"",(X1751-V1751)/V1751)</f>
        <v/>
      </c>
      <c r="Z1751" s="7">
        <f>IF(COUNT(D1751:U1751)=0,"",INDEX($D$1:$U$1,MATCH(MIN(D1751:U1751),D1751:U1751,0)))</f>
        <v/>
      </c>
      <c r="AA1751" s="8" t="n">
        <v>52.64</v>
      </c>
      <c r="AB1751" s="10" t="n">
        <v>1</v>
      </c>
    </row>
    <row r="1752">
      <c r="A1752" s="7" t="inlineStr">
        <is>
          <t>MAT-32-400</t>
        </is>
      </c>
      <c r="B1752" s="4" t="inlineStr">
        <is>
          <t>Reducción bushing de HG 2" x 1 1/2"</t>
        </is>
      </c>
      <c r="C1752" s="7" t="inlineStr">
        <is>
          <t>unidad</t>
        </is>
      </c>
      <c r="D1752" s="8" t="n"/>
      <c r="E1752" s="8" t="n">
        <v>94</v>
      </c>
      <c r="F1752" s="8" t="n"/>
      <c r="G1752" s="8" t="n">
        <v>189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>
        <f>IF(COUNT(D1752:U1752)=0,"",MIN(D1752:U1752))</f>
        <v/>
      </c>
      <c r="W1752" s="8">
        <f>IF(COUNT(D1752:U1752)=0,"",MEDIAN(D1752:U1752))</f>
        <v/>
      </c>
      <c r="X1752" s="8">
        <f>IF(COUNT(D1752:U1752)=0,"",MAX(D1752:U1752))</f>
        <v/>
      </c>
      <c r="Y1752" s="9">
        <f>IF(OR(V1752="",V1752=0),"",(X1752-V1752)/V1752)</f>
        <v/>
      </c>
      <c r="Z1752" s="7">
        <f>IF(COUNT(D1752:U1752)=0,"",INDEX($D$1:$U$1,MATCH(MIN(D1752:U1752),D1752:U1752,0)))</f>
        <v/>
      </c>
      <c r="AA1752" s="8" t="n">
        <v>141.5</v>
      </c>
      <c r="AB1752" s="10" t="n">
        <v>2</v>
      </c>
    </row>
    <row r="1753">
      <c r="A1753" s="7" t="inlineStr">
        <is>
          <t>MAT-32-401</t>
        </is>
      </c>
      <c r="B1753" s="4" t="inlineStr">
        <is>
          <t>Reducción bushing de HG 2" x 1 1/4"</t>
        </is>
      </c>
      <c r="C1753" s="7" t="inlineStr">
        <is>
          <t>unidad</t>
        </is>
      </c>
      <c r="D1753" s="8" t="n"/>
      <c r="E1753" s="8" t="n">
        <v>95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>
        <f>IF(COUNT(D1753:U1753)=0,"",MIN(D1753:U1753))</f>
        <v/>
      </c>
      <c r="W1753" s="8">
        <f>IF(COUNT(D1753:U1753)=0,"",MEDIAN(D1753:U1753))</f>
        <v/>
      </c>
      <c r="X1753" s="8">
        <f>IF(COUNT(D1753:U1753)=0,"",MAX(D1753:U1753))</f>
        <v/>
      </c>
      <c r="Y1753" s="9">
        <f>IF(OR(V1753="",V1753=0),"",(X1753-V1753)/V1753)</f>
        <v/>
      </c>
      <c r="Z1753" s="7">
        <f>IF(COUNT(D1753:U1753)=0,"",INDEX($D$1:$U$1,MATCH(MIN(D1753:U1753),D1753:U1753,0)))</f>
        <v/>
      </c>
      <c r="AA1753" s="8" t="n">
        <v>95</v>
      </c>
      <c r="AB1753" s="10" t="n">
        <v>1</v>
      </c>
    </row>
    <row r="1754">
      <c r="A1754" s="7" t="inlineStr">
        <is>
          <t>MAT-32-402</t>
        </is>
      </c>
      <c r="B1754" s="4" t="inlineStr">
        <is>
          <t>Reducción bushing de HG 2" x 1/2"</t>
        </is>
      </c>
      <c r="C1754" s="7" t="inlineStr">
        <is>
          <t>unidad</t>
        </is>
      </c>
      <c r="D1754" s="8" t="n"/>
      <c r="E1754" s="8" t="n">
        <v>140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>
        <f>IF(COUNT(D1754:U1754)=0,"",MIN(D1754:U1754))</f>
        <v/>
      </c>
      <c r="W1754" s="8">
        <f>IF(COUNT(D1754:U1754)=0,"",MEDIAN(D1754:U1754))</f>
        <v/>
      </c>
      <c r="X1754" s="8">
        <f>IF(COUNT(D1754:U1754)=0,"",MAX(D1754:U1754))</f>
        <v/>
      </c>
      <c r="Y1754" s="9">
        <f>IF(OR(V1754="",V1754=0),"",(X1754-V1754)/V1754)</f>
        <v/>
      </c>
      <c r="Z1754" s="7">
        <f>IF(COUNT(D1754:U1754)=0,"",INDEX($D$1:$U$1,MATCH(MIN(D1754:U1754),D1754:U1754,0)))</f>
        <v/>
      </c>
      <c r="AA1754" s="8" t="n">
        <v>140</v>
      </c>
      <c r="AB1754" s="10" t="n">
        <v>1</v>
      </c>
    </row>
    <row r="1755">
      <c r="A1755" s="7" t="inlineStr">
        <is>
          <t>MAT-32-403</t>
        </is>
      </c>
      <c r="B1755" s="4" t="inlineStr">
        <is>
          <t>Reducción bushing de HG 2" x 1"</t>
        </is>
      </c>
      <c r="C1755" s="7" t="inlineStr">
        <is>
          <t>unidad</t>
        </is>
      </c>
      <c r="D1755" s="8" t="n"/>
      <c r="E1755" s="8" t="n">
        <v>95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>
        <f>IF(COUNT(D1755:U1755)=0,"",MIN(D1755:U1755))</f>
        <v/>
      </c>
      <c r="W1755" s="8">
        <f>IF(COUNT(D1755:U1755)=0,"",MEDIAN(D1755:U1755))</f>
        <v/>
      </c>
      <c r="X1755" s="8">
        <f>IF(COUNT(D1755:U1755)=0,"",MAX(D1755:U1755))</f>
        <v/>
      </c>
      <c r="Y1755" s="9">
        <f>IF(OR(V1755="",V1755=0),"",(X1755-V1755)/V1755)</f>
        <v/>
      </c>
      <c r="Z1755" s="7">
        <f>IF(COUNT(D1755:U1755)=0,"",INDEX($D$1:$U$1,MATCH(MIN(D1755:U1755),D1755:U1755,0)))</f>
        <v/>
      </c>
      <c r="AA1755" s="8" t="n">
        <v>95</v>
      </c>
      <c r="AB1755" s="10" t="n">
        <v>1</v>
      </c>
    </row>
    <row r="1756">
      <c r="A1756" s="7" t="inlineStr">
        <is>
          <t>MAT-32-404</t>
        </is>
      </c>
      <c r="B1756" s="4" t="inlineStr">
        <is>
          <t>Reducción bushing de HG 3/4" x 1/2"</t>
        </is>
      </c>
      <c r="C1756" s="7" t="inlineStr">
        <is>
          <t>unidad</t>
        </is>
      </c>
      <c r="D1756" s="8" t="n"/>
      <c r="E1756" s="8" t="n">
        <v>25</v>
      </c>
      <c r="F1756" s="8" t="n"/>
      <c r="G1756" s="8" t="n">
        <v>75</v>
      </c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>
        <f>IF(COUNT(D1756:U1756)=0,"",MIN(D1756:U1756))</f>
        <v/>
      </c>
      <c r="W1756" s="8">
        <f>IF(COUNT(D1756:U1756)=0,"",MEDIAN(D1756:U1756))</f>
        <v/>
      </c>
      <c r="X1756" s="8">
        <f>IF(COUNT(D1756:U1756)=0,"",MAX(D1756:U1756))</f>
        <v/>
      </c>
      <c r="Y1756" s="9">
        <f>IF(OR(V1756="",V1756=0),"",(X1756-V1756)/V1756)</f>
        <v/>
      </c>
      <c r="Z1756" s="7">
        <f>IF(COUNT(D1756:U1756)=0,"",INDEX($D$1:$U$1,MATCH(MIN(D1756:U1756),D1756:U1756,0)))</f>
        <v/>
      </c>
      <c r="AA1756" s="8" t="n">
        <v>50</v>
      </c>
      <c r="AB1756" s="10" t="n">
        <v>2</v>
      </c>
    </row>
    <row r="1757">
      <c r="A1757" s="7" t="inlineStr">
        <is>
          <t>MAT-32-405</t>
        </is>
      </c>
      <c r="B1757" s="4" t="inlineStr">
        <is>
          <t>Reducción bushing de HG 3/4" x 1/4"</t>
        </is>
      </c>
      <c r="C1757" s="7" t="inlineStr">
        <is>
          <t>unidad</t>
        </is>
      </c>
      <c r="D1757" s="8" t="n"/>
      <c r="E1757" s="8" t="n">
        <v>25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>
        <f>IF(COUNT(D1757:U1757)=0,"",MIN(D1757:U1757))</f>
        <v/>
      </c>
      <c r="W1757" s="8">
        <f>IF(COUNT(D1757:U1757)=0,"",MEDIAN(D1757:U1757))</f>
        <v/>
      </c>
      <c r="X1757" s="8">
        <f>IF(COUNT(D1757:U1757)=0,"",MAX(D1757:U1757))</f>
        <v/>
      </c>
      <c r="Y1757" s="9">
        <f>IF(OR(V1757="",V1757=0),"",(X1757-V1757)/V1757)</f>
        <v/>
      </c>
      <c r="Z1757" s="7">
        <f>IF(COUNT(D1757:U1757)=0,"",INDEX($D$1:$U$1,MATCH(MIN(D1757:U1757),D1757:U1757,0)))</f>
        <v/>
      </c>
      <c r="AA1757" s="8" t="n">
        <v>25</v>
      </c>
      <c r="AB1757" s="10" t="n">
        <v>1</v>
      </c>
    </row>
    <row r="1758">
      <c r="A1758" s="7" t="inlineStr">
        <is>
          <t>MAT-32-406</t>
        </is>
      </c>
      <c r="B1758" s="4" t="inlineStr">
        <is>
          <t>Reducción bushing de HG 3/4" x 3/8"</t>
        </is>
      </c>
      <c r="C1758" s="7" t="inlineStr">
        <is>
          <t>unidad</t>
        </is>
      </c>
      <c r="D1758" s="8" t="n"/>
      <c r="E1758" s="8" t="n">
        <v>67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>
        <f>IF(COUNT(D1758:U1758)=0,"",MIN(D1758:U1758))</f>
        <v/>
      </c>
      <c r="W1758" s="8">
        <f>IF(COUNT(D1758:U1758)=0,"",MEDIAN(D1758:U1758))</f>
        <v/>
      </c>
      <c r="X1758" s="8">
        <f>IF(COUNT(D1758:U1758)=0,"",MAX(D1758:U1758))</f>
        <v/>
      </c>
      <c r="Y1758" s="9">
        <f>IF(OR(V1758="",V1758=0),"",(X1758-V1758)/V1758)</f>
        <v/>
      </c>
      <c r="Z1758" s="7">
        <f>IF(COUNT(D1758:U1758)=0,"",INDEX($D$1:$U$1,MATCH(MIN(D1758:U1758),D1758:U1758,0)))</f>
        <v/>
      </c>
      <c r="AA1758" s="8" t="n">
        <v>67</v>
      </c>
      <c r="AB1758" s="10" t="n">
        <v>1</v>
      </c>
    </row>
    <row r="1759">
      <c r="A1759" s="7" t="inlineStr">
        <is>
          <t>MAT-32-407</t>
        </is>
      </c>
      <c r="B1759" s="4" t="inlineStr">
        <is>
          <t>Reducción bushing de HG 3/8" x 1/4"</t>
        </is>
      </c>
      <c r="C1759" s="7" t="inlineStr">
        <is>
          <t>unidad</t>
        </is>
      </c>
      <c r="D1759" s="8" t="n"/>
      <c r="E1759" s="8" t="n">
        <v>34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>
        <f>IF(COUNT(D1759:U1759)=0,"",MIN(D1759:U1759))</f>
        <v/>
      </c>
      <c r="W1759" s="8">
        <f>IF(COUNT(D1759:U1759)=0,"",MEDIAN(D1759:U1759))</f>
        <v/>
      </c>
      <c r="X1759" s="8">
        <f>IF(COUNT(D1759:U1759)=0,"",MAX(D1759:U1759))</f>
        <v/>
      </c>
      <c r="Y1759" s="9">
        <f>IF(OR(V1759="",V1759=0),"",(X1759-V1759)/V1759)</f>
        <v/>
      </c>
      <c r="Z1759" s="7">
        <f>IF(COUNT(D1759:U1759)=0,"",INDEX($D$1:$U$1,MATCH(MIN(D1759:U1759),D1759:U1759,0)))</f>
        <v/>
      </c>
      <c r="AA1759" s="8" t="n">
        <v>34</v>
      </c>
      <c r="AB1759" s="10" t="n">
        <v>1</v>
      </c>
    </row>
    <row r="1760">
      <c r="A1760" s="7" t="inlineStr">
        <is>
          <t>MAT-32-408</t>
        </is>
      </c>
      <c r="B1760" s="4" t="inlineStr">
        <is>
          <t>Reducción bushing de HG 3" x 2"</t>
        </is>
      </c>
      <c r="C1760" s="7" t="inlineStr">
        <is>
          <t>unidad</t>
        </is>
      </c>
      <c r="D1760" s="8" t="n"/>
      <c r="E1760" s="8" t="n">
        <v>261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>
        <f>IF(COUNT(D1760:U1760)=0,"",MIN(D1760:U1760))</f>
        <v/>
      </c>
      <c r="W1760" s="8">
        <f>IF(COUNT(D1760:U1760)=0,"",MEDIAN(D1760:U1760))</f>
        <v/>
      </c>
      <c r="X1760" s="8">
        <f>IF(COUNT(D1760:U1760)=0,"",MAX(D1760:U1760))</f>
        <v/>
      </c>
      <c r="Y1760" s="9">
        <f>IF(OR(V1760="",V1760=0),"",(X1760-V1760)/V1760)</f>
        <v/>
      </c>
      <c r="Z1760" s="7">
        <f>IF(COUNT(D1760:U1760)=0,"",INDEX($D$1:$U$1,MATCH(MIN(D1760:U1760),D1760:U1760,0)))</f>
        <v/>
      </c>
      <c r="AA1760" s="8" t="n">
        <v>261</v>
      </c>
      <c r="AB1760" s="10" t="n">
        <v>1</v>
      </c>
    </row>
    <row r="1761">
      <c r="A1761" s="7" t="inlineStr">
        <is>
          <t>MAT-32-409</t>
        </is>
      </c>
      <c r="B1761" s="4" t="inlineStr">
        <is>
          <t>Reducción bushing de HG 4" x 3"</t>
        </is>
      </c>
      <c r="C1761" s="7" t="inlineStr">
        <is>
          <t>unidad</t>
        </is>
      </c>
      <c r="D1761" s="8" t="n"/>
      <c r="E1761" s="8" t="n">
        <v>454</v>
      </c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>
        <f>IF(COUNT(D1761:U1761)=0,"",MIN(D1761:U1761))</f>
        <v/>
      </c>
      <c r="W1761" s="8">
        <f>IF(COUNT(D1761:U1761)=0,"",MEDIAN(D1761:U1761))</f>
        <v/>
      </c>
      <c r="X1761" s="8">
        <f>IF(COUNT(D1761:U1761)=0,"",MAX(D1761:U1761))</f>
        <v/>
      </c>
      <c r="Y1761" s="9">
        <f>IF(OR(V1761="",V1761=0),"",(X1761-V1761)/V1761)</f>
        <v/>
      </c>
      <c r="Z1761" s="7">
        <f>IF(COUNT(D1761:U1761)=0,"",INDEX($D$1:$U$1,MATCH(MIN(D1761:U1761),D1761:U1761,0)))</f>
        <v/>
      </c>
      <c r="AA1761" s="8" t="n">
        <v>454</v>
      </c>
      <c r="AB1761" s="10" t="n">
        <v>1</v>
      </c>
    </row>
    <row r="1762">
      <c r="A1762" s="7" t="inlineStr">
        <is>
          <t>MAT-32-410</t>
        </is>
      </c>
      <c r="B1762" s="4" t="inlineStr">
        <is>
          <t>Reducción bushing de PVC drenaje 2" x 1/2"</t>
        </is>
      </c>
      <c r="C1762" s="7" t="inlineStr">
        <is>
          <t>unidad</t>
        </is>
      </c>
      <c r="D1762" s="8" t="n"/>
      <c r="E1762" s="8" t="n"/>
      <c r="F1762" s="8" t="n"/>
      <c r="G1762" s="8" t="n">
        <v>64</v>
      </c>
      <c r="H1762" s="8" t="n"/>
      <c r="I1762" s="8" t="n"/>
      <c r="J1762" s="8" t="n"/>
      <c r="K1762" s="8" t="n"/>
      <c r="L1762" s="8" t="n"/>
      <c r="M1762" s="8" t="n"/>
      <c r="N1762" s="8" t="n"/>
      <c r="O1762" s="8" t="n">
        <v>12.26</v>
      </c>
      <c r="P1762" s="8" t="n"/>
      <c r="Q1762" s="8" t="n"/>
      <c r="R1762" s="8" t="n"/>
      <c r="S1762" s="8" t="n"/>
      <c r="T1762" s="8" t="n"/>
      <c r="U1762" s="8" t="n"/>
      <c r="V1762" s="8">
        <f>IF(COUNT(D1762:U1762)=0,"",MIN(D1762:U1762))</f>
        <v/>
      </c>
      <c r="W1762" s="8">
        <f>IF(COUNT(D1762:U1762)=0,"",MEDIAN(D1762:U1762))</f>
        <v/>
      </c>
      <c r="X1762" s="8">
        <f>IF(COUNT(D1762:U1762)=0,"",MAX(D1762:U1762))</f>
        <v/>
      </c>
      <c r="Y1762" s="9">
        <f>IF(OR(V1762="",V1762=0),"",(X1762-V1762)/V1762)</f>
        <v/>
      </c>
      <c r="Z1762" s="7">
        <f>IF(COUNT(D1762:U1762)=0,"",INDEX($D$1:$U$1,MATCH(MIN(D1762:U1762),D1762:U1762,0)))</f>
        <v/>
      </c>
      <c r="AA1762" s="8" t="n">
        <v>39.23</v>
      </c>
      <c r="AB1762" s="10" t="n">
        <v>2</v>
      </c>
    </row>
    <row r="1763">
      <c r="A1763" s="7" t="inlineStr">
        <is>
          <t>MAT-32-411</t>
        </is>
      </c>
      <c r="B1763" s="4" t="inlineStr">
        <is>
          <t>Reducción bushing de PVC drenaje 2" x 1"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>
        <v>14.24</v>
      </c>
      <c r="P1763" s="8" t="n"/>
      <c r="Q1763" s="8" t="n"/>
      <c r="R1763" s="8" t="n"/>
      <c r="S1763" s="8" t="n"/>
      <c r="T1763" s="8" t="n"/>
      <c r="U1763" s="8" t="n"/>
      <c r="V1763" s="8">
        <f>IF(COUNT(D1763:U1763)=0,"",MIN(D1763:U1763))</f>
        <v/>
      </c>
      <c r="W1763" s="8">
        <f>IF(COUNT(D1763:U1763)=0,"",MEDIAN(D1763:U1763))</f>
        <v/>
      </c>
      <c r="X1763" s="8">
        <f>IF(COUNT(D1763:U1763)=0,"",MAX(D1763:U1763))</f>
        <v/>
      </c>
      <c r="Y1763" s="9">
        <f>IF(OR(V1763="",V1763=0),"",(X1763-V1763)/V1763)</f>
        <v/>
      </c>
      <c r="Z1763" s="7">
        <f>IF(COUNT(D1763:U1763)=0,"",INDEX($D$1:$U$1,MATCH(MIN(D1763:U1763),D1763:U1763,0)))</f>
        <v/>
      </c>
      <c r="AA1763" s="8" t="n">
        <v>16.8</v>
      </c>
      <c r="AB1763" s="10" t="n">
        <v>1</v>
      </c>
    </row>
    <row r="1764">
      <c r="A1764" s="7" t="inlineStr">
        <is>
          <t>MAT-32-412</t>
        </is>
      </c>
      <c r="B1764" s="4" t="inlineStr">
        <is>
          <t>Reducción bushing de PVC drenaje 2" x 3/4"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>
        <v>13.83</v>
      </c>
      <c r="P1764" s="8" t="n"/>
      <c r="Q1764" s="8" t="n"/>
      <c r="R1764" s="8" t="n"/>
      <c r="S1764" s="8" t="n"/>
      <c r="T1764" s="8" t="n"/>
      <c r="U1764" s="8" t="n"/>
      <c r="V1764" s="8">
        <f>IF(COUNT(D1764:U1764)=0,"",MIN(D1764:U1764))</f>
        <v/>
      </c>
      <c r="W1764" s="8">
        <f>IF(COUNT(D1764:U1764)=0,"",MEDIAN(D1764:U1764))</f>
        <v/>
      </c>
      <c r="X1764" s="8">
        <f>IF(COUNT(D1764:U1764)=0,"",MAX(D1764:U1764))</f>
        <v/>
      </c>
      <c r="Y1764" s="9">
        <f>IF(OR(V1764="",V1764=0),"",(X1764-V1764)/V1764)</f>
        <v/>
      </c>
      <c r="Z1764" s="7">
        <f>IF(COUNT(D1764:U1764)=0,"",INDEX($D$1:$U$1,MATCH(MIN(D1764:U1764),D1764:U1764,0)))</f>
        <v/>
      </c>
      <c r="AA1764" s="8" t="n">
        <v>16.32</v>
      </c>
      <c r="AB1764" s="10" t="n">
        <v>1</v>
      </c>
    </row>
    <row r="1765">
      <c r="A1765" s="7" t="inlineStr">
        <is>
          <t>MAT-32-413</t>
        </is>
      </c>
      <c r="B1765" s="4" t="inlineStr">
        <is>
          <t>Reducción bushing de PVC drenaje 3" x 2"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>
        <v>33.21</v>
      </c>
      <c r="P1765" s="8" t="n"/>
      <c r="Q1765" s="8" t="n"/>
      <c r="R1765" s="8" t="n"/>
      <c r="S1765" s="8" t="n"/>
      <c r="T1765" s="8" t="n"/>
      <c r="U1765" s="8" t="n"/>
      <c r="V1765" s="8">
        <f>IF(COUNT(D1765:U1765)=0,"",MIN(D1765:U1765))</f>
        <v/>
      </c>
      <c r="W1765" s="8">
        <f>IF(COUNT(D1765:U1765)=0,"",MEDIAN(D1765:U1765))</f>
        <v/>
      </c>
      <c r="X1765" s="8">
        <f>IF(COUNT(D1765:U1765)=0,"",MAX(D1765:U1765))</f>
        <v/>
      </c>
      <c r="Y1765" s="9">
        <f>IF(OR(V1765="",V1765=0),"",(X1765-V1765)/V1765)</f>
        <v/>
      </c>
      <c r="Z1765" s="7">
        <f>IF(COUNT(D1765:U1765)=0,"",INDEX($D$1:$U$1,MATCH(MIN(D1765:U1765),D1765:U1765,0)))</f>
        <v/>
      </c>
      <c r="AA1765" s="8" t="n">
        <v>39.19</v>
      </c>
      <c r="AB1765" s="10" t="n">
        <v>1</v>
      </c>
    </row>
    <row r="1766">
      <c r="A1766" s="7" t="inlineStr">
        <is>
          <t>MAT-32-414</t>
        </is>
      </c>
      <c r="B1766" s="4" t="inlineStr">
        <is>
          <t>Reducción bushing de PVC drenaje 4" x 2"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>
        <v>64.3</v>
      </c>
      <c r="P1766" s="8" t="n"/>
      <c r="Q1766" s="8" t="n"/>
      <c r="R1766" s="8" t="n"/>
      <c r="S1766" s="8" t="n"/>
      <c r="T1766" s="8" t="n"/>
      <c r="U1766" s="8" t="n"/>
      <c r="V1766" s="8">
        <f>IF(COUNT(D1766:U1766)=0,"",MIN(D1766:U1766))</f>
        <v/>
      </c>
      <c r="W1766" s="8">
        <f>IF(COUNT(D1766:U1766)=0,"",MEDIAN(D1766:U1766))</f>
        <v/>
      </c>
      <c r="X1766" s="8">
        <f>IF(COUNT(D1766:U1766)=0,"",MAX(D1766:U1766))</f>
        <v/>
      </c>
      <c r="Y1766" s="9">
        <f>IF(OR(V1766="",V1766=0),"",(X1766-V1766)/V1766)</f>
        <v/>
      </c>
      <c r="Z1766" s="7">
        <f>IF(COUNT(D1766:U1766)=0,"",INDEX($D$1:$U$1,MATCH(MIN(D1766:U1766),D1766:U1766,0)))</f>
        <v/>
      </c>
      <c r="AA1766" s="8" t="n">
        <v>75.87</v>
      </c>
      <c r="AB1766" s="10" t="n">
        <v>1</v>
      </c>
    </row>
    <row r="1767">
      <c r="A1767" s="7" t="inlineStr">
        <is>
          <t>MAT-32-415</t>
        </is>
      </c>
      <c r="B1767" s="4" t="inlineStr">
        <is>
          <t>Reducción bushing de PVC drenaje 4" x 3"</t>
        </is>
      </c>
      <c r="C1767" s="7" t="inlineStr">
        <is>
          <t>unidad</t>
        </is>
      </c>
      <c r="D1767" s="8" t="n"/>
      <c r="E1767" s="8" t="n"/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>
        <v>63.9</v>
      </c>
      <c r="P1767" s="8" t="n"/>
      <c r="Q1767" s="8" t="n"/>
      <c r="R1767" s="8" t="n"/>
      <c r="S1767" s="8" t="n"/>
      <c r="T1767" s="8" t="n"/>
      <c r="U1767" s="8" t="n"/>
      <c r="V1767" s="8">
        <f>IF(COUNT(D1767:U1767)=0,"",MIN(D1767:U1767))</f>
        <v/>
      </c>
      <c r="W1767" s="8">
        <f>IF(COUNT(D1767:U1767)=0,"",MEDIAN(D1767:U1767))</f>
        <v/>
      </c>
      <c r="X1767" s="8">
        <f>IF(COUNT(D1767:U1767)=0,"",MAX(D1767:U1767))</f>
        <v/>
      </c>
      <c r="Y1767" s="9">
        <f>IF(OR(V1767="",V1767=0),"",(X1767-V1767)/V1767)</f>
        <v/>
      </c>
      <c r="Z1767" s="7">
        <f>IF(COUNT(D1767:U1767)=0,"",INDEX($D$1:$U$1,MATCH(MIN(D1767:U1767),D1767:U1767,0)))</f>
        <v/>
      </c>
      <c r="AA1767" s="8" t="n">
        <v>75.40000000000001</v>
      </c>
      <c r="AB1767" s="10" t="n">
        <v>1</v>
      </c>
    </row>
    <row r="1768">
      <c r="A1768" s="7" t="inlineStr">
        <is>
          <t>MAT-32-416</t>
        </is>
      </c>
      <c r="B1768" s="4" t="inlineStr">
        <is>
          <t>Reducción bushing de PVC drenaje 6" x 4"</t>
        </is>
      </c>
      <c r="C1768" s="7" t="inlineStr">
        <is>
          <t>unidad</t>
        </is>
      </c>
      <c r="D1768" s="8" t="n"/>
      <c r="E1768" s="8" t="n">
        <v>132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>
        <v>237.3</v>
      </c>
      <c r="P1768" s="8" t="n"/>
      <c r="Q1768" s="8" t="n"/>
      <c r="R1768" s="8" t="n"/>
      <c r="S1768" s="8" t="n"/>
      <c r="T1768" s="8" t="n"/>
      <c r="U1768" s="8" t="n"/>
      <c r="V1768" s="8">
        <f>IF(COUNT(D1768:U1768)=0,"",MIN(D1768:U1768))</f>
        <v/>
      </c>
      <c r="W1768" s="8">
        <f>IF(COUNT(D1768:U1768)=0,"",MEDIAN(D1768:U1768))</f>
        <v/>
      </c>
      <c r="X1768" s="8">
        <f>IF(COUNT(D1768:U1768)=0,"",MAX(D1768:U1768))</f>
        <v/>
      </c>
      <c r="Y1768" s="9">
        <f>IF(OR(V1768="",V1768=0),"",(X1768-V1768)/V1768)</f>
        <v/>
      </c>
      <c r="Z1768" s="7">
        <f>IF(COUNT(D1768:U1768)=0,"",INDEX($D$1:$U$1,MATCH(MIN(D1768:U1768),D1768:U1768,0)))</f>
        <v/>
      </c>
      <c r="AA1768" s="8" t="n">
        <v>280.01</v>
      </c>
      <c r="AB1768" s="10" t="n">
        <v>2</v>
      </c>
    </row>
    <row r="1769">
      <c r="A1769" s="7" t="inlineStr">
        <is>
          <t>MAT-32-417</t>
        </is>
      </c>
      <c r="B1769" s="4" t="inlineStr">
        <is>
          <t>Reducción bushing de PVC drenaje 8" x 4"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/>
      <c r="N1769" s="8" t="n"/>
      <c r="O1769" s="8" t="n">
        <v>2126.7</v>
      </c>
      <c r="P1769" s="8" t="n"/>
      <c r="Q1769" s="8" t="n"/>
      <c r="R1769" s="8" t="n"/>
      <c r="S1769" s="8" t="n"/>
      <c r="T1769" s="8" t="n"/>
      <c r="U1769" s="8" t="n"/>
      <c r="V1769" s="8">
        <f>IF(COUNT(D1769:U1769)=0,"",MIN(D1769:U1769))</f>
        <v/>
      </c>
      <c r="W1769" s="8">
        <f>IF(COUNT(D1769:U1769)=0,"",MEDIAN(D1769:U1769))</f>
        <v/>
      </c>
      <c r="X1769" s="8">
        <f>IF(COUNT(D1769:U1769)=0,"",MAX(D1769:U1769))</f>
        <v/>
      </c>
      <c r="Y1769" s="9">
        <f>IF(OR(V1769="",V1769=0),"",(X1769-V1769)/V1769)</f>
        <v/>
      </c>
      <c r="Z1769" s="7">
        <f>IF(COUNT(D1769:U1769)=0,"",INDEX($D$1:$U$1,MATCH(MIN(D1769:U1769),D1769:U1769,0)))</f>
        <v/>
      </c>
      <c r="AA1769" s="8" t="n">
        <v>2509.51</v>
      </c>
      <c r="AB1769" s="10" t="n">
        <v>1</v>
      </c>
    </row>
    <row r="1770">
      <c r="A1770" s="7" t="inlineStr">
        <is>
          <t>MAT-32-418</t>
        </is>
      </c>
      <c r="B1770" s="4" t="inlineStr">
        <is>
          <t>Reducción bushing de PVC drenaje 8" x 6"</t>
        </is>
      </c>
      <c r="C1770" s="7" t="inlineStr">
        <is>
          <t>unidad</t>
        </is>
      </c>
      <c r="D1770" s="8" t="n"/>
      <c r="E1770" s="8" t="n"/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>
        <v>1626</v>
      </c>
      <c r="P1770" s="8" t="n"/>
      <c r="Q1770" s="8" t="n"/>
      <c r="R1770" s="8" t="n"/>
      <c r="S1770" s="8" t="n"/>
      <c r="T1770" s="8" t="n"/>
      <c r="U1770" s="8" t="n"/>
      <c r="V1770" s="8">
        <f>IF(COUNT(D1770:U1770)=0,"",MIN(D1770:U1770))</f>
        <v/>
      </c>
      <c r="W1770" s="8">
        <f>IF(COUNT(D1770:U1770)=0,"",MEDIAN(D1770:U1770))</f>
        <v/>
      </c>
      <c r="X1770" s="8">
        <f>IF(COUNT(D1770:U1770)=0,"",MAX(D1770:U1770))</f>
        <v/>
      </c>
      <c r="Y1770" s="9">
        <f>IF(OR(V1770="",V1770=0),"",(X1770-V1770)/V1770)</f>
        <v/>
      </c>
      <c r="Z1770" s="7">
        <f>IF(COUNT(D1770:U1770)=0,"",INDEX($D$1:$U$1,MATCH(MIN(D1770:U1770),D1770:U1770,0)))</f>
        <v/>
      </c>
      <c r="AA1770" s="8" t="n">
        <v>1918.68</v>
      </c>
      <c r="AB1770" s="10" t="n">
        <v>1</v>
      </c>
    </row>
    <row r="1771">
      <c r="A1771" s="7" t="inlineStr">
        <is>
          <t>MAT-32-419</t>
        </is>
      </c>
      <c r="B1771" s="4" t="inlineStr">
        <is>
          <t>Reducción bushing de PVC 1 1/2" x 1"</t>
        </is>
      </c>
      <c r="C1771" s="7" t="inlineStr">
        <is>
          <t>unidad</t>
        </is>
      </c>
      <c r="D1771" s="8" t="n"/>
      <c r="E1771" s="8" t="n"/>
      <c r="F1771" s="8" t="n"/>
      <c r="G1771" s="8" t="n">
        <v>87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>
        <f>IF(COUNT(D1771:U1771)=0,"",MIN(D1771:U1771))</f>
        <v/>
      </c>
      <c r="W1771" s="8">
        <f>IF(COUNT(D1771:U1771)=0,"",MEDIAN(D1771:U1771))</f>
        <v/>
      </c>
      <c r="X1771" s="8">
        <f>IF(COUNT(D1771:U1771)=0,"",MAX(D1771:U1771))</f>
        <v/>
      </c>
      <c r="Y1771" s="9">
        <f>IF(OR(V1771="",V1771=0),"",(X1771-V1771)/V1771)</f>
        <v/>
      </c>
      <c r="Z1771" s="7">
        <f>IF(COUNT(D1771:U1771)=0,"",INDEX($D$1:$U$1,MATCH(MIN(D1771:U1771),D1771:U1771,0)))</f>
        <v/>
      </c>
      <c r="AA1771" s="8" t="n">
        <v>87</v>
      </c>
      <c r="AB1771" s="10" t="n">
        <v>1</v>
      </c>
    </row>
    <row r="1772">
      <c r="A1772" s="7" t="inlineStr">
        <is>
          <t>MAT-32-420</t>
        </is>
      </c>
      <c r="B1772" s="4" t="inlineStr">
        <is>
          <t>Reducción bushing de PVC 1 1/2" x 3/4"</t>
        </is>
      </c>
      <c r="C1772" s="7" t="inlineStr">
        <is>
          <t>unidad</t>
        </is>
      </c>
      <c r="D1772" s="8" t="n"/>
      <c r="E1772" s="8" t="n">
        <v>30</v>
      </c>
      <c r="F1772" s="8" t="n"/>
      <c r="G1772" s="8" t="n">
        <v>85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>
        <f>IF(COUNT(D1772:U1772)=0,"",MIN(D1772:U1772))</f>
        <v/>
      </c>
      <c r="W1772" s="8">
        <f>IF(COUNT(D1772:U1772)=0,"",MEDIAN(D1772:U1772))</f>
        <v/>
      </c>
      <c r="X1772" s="8">
        <f>IF(COUNT(D1772:U1772)=0,"",MAX(D1772:U1772))</f>
        <v/>
      </c>
      <c r="Y1772" s="9">
        <f>IF(OR(V1772="",V1772=0),"",(X1772-V1772)/V1772)</f>
        <v/>
      </c>
      <c r="Z1772" s="7">
        <f>IF(COUNT(D1772:U1772)=0,"",INDEX($D$1:$U$1,MATCH(MIN(D1772:U1772),D1772:U1772,0)))</f>
        <v/>
      </c>
      <c r="AA1772" s="8" t="n">
        <v>57.5</v>
      </c>
      <c r="AB1772" s="10" t="n">
        <v>2</v>
      </c>
    </row>
    <row r="1773">
      <c r="A1773" s="7" t="inlineStr">
        <is>
          <t>MAT-32-421</t>
        </is>
      </c>
      <c r="B1773" s="4" t="inlineStr">
        <is>
          <t>Reducción bushing de PVC 1" x 1/2"</t>
        </is>
      </c>
      <c r="C1773" s="7" t="inlineStr">
        <is>
          <t>unidad</t>
        </is>
      </c>
      <c r="D1773" s="8" t="n"/>
      <c r="E1773" s="8" t="n"/>
      <c r="F1773" s="8" t="n"/>
      <c r="G1773" s="8" t="n">
        <v>35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>
        <f>IF(COUNT(D1773:U1773)=0,"",MIN(D1773:U1773))</f>
        <v/>
      </c>
      <c r="W1773" s="8">
        <f>IF(COUNT(D1773:U1773)=0,"",MEDIAN(D1773:U1773))</f>
        <v/>
      </c>
      <c r="X1773" s="8">
        <f>IF(COUNT(D1773:U1773)=0,"",MAX(D1773:U1773))</f>
        <v/>
      </c>
      <c r="Y1773" s="9">
        <f>IF(OR(V1773="",V1773=0),"",(X1773-V1773)/V1773)</f>
        <v/>
      </c>
      <c r="Z1773" s="7">
        <f>IF(COUNT(D1773:U1773)=0,"",INDEX($D$1:$U$1,MATCH(MIN(D1773:U1773),D1773:U1773,0)))</f>
        <v/>
      </c>
      <c r="AA1773" s="8" t="n">
        <v>35</v>
      </c>
      <c r="AB1773" s="10" t="n">
        <v>1</v>
      </c>
    </row>
    <row r="1774">
      <c r="A1774" s="7" t="inlineStr">
        <is>
          <t>MAT-32-422</t>
        </is>
      </c>
      <c r="B1774" s="4" t="inlineStr">
        <is>
          <t>Reducción bushing de PVC 1" x 3/4"</t>
        </is>
      </c>
      <c r="C1774" s="7" t="inlineStr">
        <is>
          <t>unidad</t>
        </is>
      </c>
      <c r="D1774" s="8" t="n"/>
      <c r="E1774" s="8" t="n">
        <v>12.88</v>
      </c>
      <c r="F1774" s="8" t="n"/>
      <c r="G1774" s="8" t="n">
        <v>26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>
        <f>IF(COUNT(D1774:U1774)=0,"",MIN(D1774:U1774))</f>
        <v/>
      </c>
      <c r="W1774" s="8">
        <f>IF(COUNT(D1774:U1774)=0,"",MEDIAN(D1774:U1774))</f>
        <v/>
      </c>
      <c r="X1774" s="8">
        <f>IF(COUNT(D1774:U1774)=0,"",MAX(D1774:U1774))</f>
        <v/>
      </c>
      <c r="Y1774" s="9">
        <f>IF(OR(V1774="",V1774=0),"",(X1774-V1774)/V1774)</f>
        <v/>
      </c>
      <c r="Z1774" s="7">
        <f>IF(COUNT(D1774:U1774)=0,"",INDEX($D$1:$U$1,MATCH(MIN(D1774:U1774),D1774:U1774,0)))</f>
        <v/>
      </c>
      <c r="AA1774" s="8" t="n">
        <v>19.44</v>
      </c>
      <c r="AB1774" s="10" t="n">
        <v>2</v>
      </c>
    </row>
    <row r="1775">
      <c r="A1775" s="7" t="inlineStr">
        <is>
          <t>MAT-32-423</t>
        </is>
      </c>
      <c r="B1775" s="4" t="inlineStr">
        <is>
          <t>Reducción bushing de PVC 2" x 1 1/2"</t>
        </is>
      </c>
      <c r="C1775" s="7" t="inlineStr">
        <is>
          <t>unidad</t>
        </is>
      </c>
      <c r="D1775" s="8" t="n"/>
      <c r="E1775" s="8" t="n">
        <v>53</v>
      </c>
      <c r="F1775" s="8" t="n"/>
      <c r="G1775" s="8" t="n">
        <v>65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>
        <f>IF(COUNT(D1775:U1775)=0,"",MIN(D1775:U1775))</f>
        <v/>
      </c>
      <c r="W1775" s="8">
        <f>IF(COUNT(D1775:U1775)=0,"",MEDIAN(D1775:U1775))</f>
        <v/>
      </c>
      <c r="X1775" s="8">
        <f>IF(COUNT(D1775:U1775)=0,"",MAX(D1775:U1775))</f>
        <v/>
      </c>
      <c r="Y1775" s="9">
        <f>IF(OR(V1775="",V1775=0),"",(X1775-V1775)/V1775)</f>
        <v/>
      </c>
      <c r="Z1775" s="7">
        <f>IF(COUNT(D1775:U1775)=0,"",INDEX($D$1:$U$1,MATCH(MIN(D1775:U1775),D1775:U1775,0)))</f>
        <v/>
      </c>
      <c r="AA1775" s="8" t="n">
        <v>59</v>
      </c>
      <c r="AB1775" s="10" t="n">
        <v>2</v>
      </c>
    </row>
    <row r="1776">
      <c r="A1776" s="7" t="inlineStr">
        <is>
          <t>MAT-32-424</t>
        </is>
      </c>
      <c r="B1776" s="4" t="inlineStr">
        <is>
          <t>Reducción bushing de PVC 2" x 1"</t>
        </is>
      </c>
      <c r="C1776" s="7" t="inlineStr">
        <is>
          <t>unidad</t>
        </is>
      </c>
      <c r="D1776" s="8" t="n"/>
      <c r="E1776" s="8" t="n"/>
      <c r="F1776" s="8" t="n"/>
      <c r="G1776" s="8" t="n">
        <v>64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>
        <f>IF(COUNT(D1776:U1776)=0,"",MIN(D1776:U1776))</f>
        <v/>
      </c>
      <c r="W1776" s="8">
        <f>IF(COUNT(D1776:U1776)=0,"",MEDIAN(D1776:U1776))</f>
        <v/>
      </c>
      <c r="X1776" s="8">
        <f>IF(COUNT(D1776:U1776)=0,"",MAX(D1776:U1776))</f>
        <v/>
      </c>
      <c r="Y1776" s="9">
        <f>IF(OR(V1776="",V1776=0),"",(X1776-V1776)/V1776)</f>
        <v/>
      </c>
      <c r="Z1776" s="7">
        <f>IF(COUNT(D1776:U1776)=0,"",INDEX($D$1:$U$1,MATCH(MIN(D1776:U1776),D1776:U1776,0)))</f>
        <v/>
      </c>
      <c r="AA1776" s="8" t="n">
        <v>64</v>
      </c>
      <c r="AB1776" s="10" t="n">
        <v>1</v>
      </c>
    </row>
    <row r="1777">
      <c r="A1777" s="7" t="inlineStr">
        <is>
          <t>MAT-32-425</t>
        </is>
      </c>
      <c r="B1777" s="4" t="inlineStr">
        <is>
          <t>Reducción bushing de PVC 2" x 3/4"</t>
        </is>
      </c>
      <c r="C1777" s="7" t="inlineStr">
        <is>
          <t>unidad</t>
        </is>
      </c>
      <c r="D1777" s="8" t="n"/>
      <c r="E1777" s="8" t="n"/>
      <c r="F1777" s="8" t="n"/>
      <c r="G1777" s="8" t="n">
        <v>41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>
        <f>IF(COUNT(D1777:U1777)=0,"",MIN(D1777:U1777))</f>
        <v/>
      </c>
      <c r="W1777" s="8">
        <f>IF(COUNT(D1777:U1777)=0,"",MEDIAN(D1777:U1777))</f>
        <v/>
      </c>
      <c r="X1777" s="8">
        <f>IF(COUNT(D1777:U1777)=0,"",MAX(D1777:U1777))</f>
        <v/>
      </c>
      <c r="Y1777" s="9">
        <f>IF(OR(V1777="",V1777=0),"",(X1777-V1777)/V1777)</f>
        <v/>
      </c>
      <c r="Z1777" s="7">
        <f>IF(COUNT(D1777:U1777)=0,"",INDEX($D$1:$U$1,MATCH(MIN(D1777:U1777),D1777:U1777,0)))</f>
        <v/>
      </c>
      <c r="AA1777" s="8" t="n">
        <v>41</v>
      </c>
      <c r="AB1777" s="10" t="n">
        <v>1</v>
      </c>
    </row>
    <row r="1778">
      <c r="A1778" s="7" t="inlineStr">
        <is>
          <t>MAT-32-426</t>
        </is>
      </c>
      <c r="B1778" s="4" t="inlineStr">
        <is>
          <t>Reducción bushing de PVC 3/4" x 1/2"</t>
        </is>
      </c>
      <c r="C1778" s="7" t="inlineStr">
        <is>
          <t>unidad</t>
        </is>
      </c>
      <c r="D1778" s="8" t="n"/>
      <c r="E1778" s="8" t="n"/>
      <c r="F1778" s="8" t="n"/>
      <c r="G1778" s="8" t="n">
        <v>20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>
        <f>IF(COUNT(D1778:U1778)=0,"",MIN(D1778:U1778))</f>
        <v/>
      </c>
      <c r="W1778" s="8">
        <f>IF(COUNT(D1778:U1778)=0,"",MEDIAN(D1778:U1778))</f>
        <v/>
      </c>
      <c r="X1778" s="8">
        <f>IF(COUNT(D1778:U1778)=0,"",MAX(D1778:U1778))</f>
        <v/>
      </c>
      <c r="Y1778" s="9">
        <f>IF(OR(V1778="",V1778=0),"",(X1778-V1778)/V1778)</f>
        <v/>
      </c>
      <c r="Z1778" s="7">
        <f>IF(COUNT(D1778:U1778)=0,"",INDEX($D$1:$U$1,MATCH(MIN(D1778:U1778),D1778:U1778,0)))</f>
        <v/>
      </c>
      <c r="AA1778" s="8" t="n">
        <v>20</v>
      </c>
      <c r="AB1778" s="10" t="n">
        <v>1</v>
      </c>
    </row>
    <row r="1779">
      <c r="A1779" s="7" t="inlineStr">
        <is>
          <t>MAT-32-427</t>
        </is>
      </c>
      <c r="B1779" s="4" t="inlineStr">
        <is>
          <t>Reducción bushing de PVC 3" x 2"</t>
        </is>
      </c>
      <c r="C1779" s="7" t="inlineStr">
        <is>
          <t>unidad</t>
        </is>
      </c>
      <c r="D1779" s="8" t="n"/>
      <c r="E1779" s="8" t="n"/>
      <c r="F1779" s="8" t="n"/>
      <c r="G1779" s="8" t="n">
        <v>210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>
        <f>IF(COUNT(D1779:U1779)=0,"",MIN(D1779:U1779))</f>
        <v/>
      </c>
      <c r="W1779" s="8">
        <f>IF(COUNT(D1779:U1779)=0,"",MEDIAN(D1779:U1779))</f>
        <v/>
      </c>
      <c r="X1779" s="8">
        <f>IF(COUNT(D1779:U1779)=0,"",MAX(D1779:U1779))</f>
        <v/>
      </c>
      <c r="Y1779" s="9">
        <f>IF(OR(V1779="",V1779=0),"",(X1779-V1779)/V1779)</f>
        <v/>
      </c>
      <c r="Z1779" s="7">
        <f>IF(COUNT(D1779:U1779)=0,"",INDEX($D$1:$U$1,MATCH(MIN(D1779:U1779),D1779:U1779,0)))</f>
        <v/>
      </c>
      <c r="AA1779" s="8" t="n">
        <v>210</v>
      </c>
      <c r="AB1779" s="10" t="n">
        <v>1</v>
      </c>
    </row>
    <row r="1780">
      <c r="A1780" s="7" t="inlineStr">
        <is>
          <t>MAT-32-428</t>
        </is>
      </c>
      <c r="B1780" s="4" t="inlineStr">
        <is>
          <t>Reducción bushing de PVC 4" x 2"</t>
        </is>
      </c>
      <c r="C1780" s="7" t="inlineStr">
        <is>
          <t>unidad</t>
        </is>
      </c>
      <c r="D1780" s="8" t="n"/>
      <c r="E1780" s="8" t="n"/>
      <c r="F1780" s="8" t="n"/>
      <c r="G1780" s="8" t="n">
        <v>175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>
        <f>IF(COUNT(D1780:U1780)=0,"",MIN(D1780:U1780))</f>
        <v/>
      </c>
      <c r="W1780" s="8">
        <f>IF(COUNT(D1780:U1780)=0,"",MEDIAN(D1780:U1780))</f>
        <v/>
      </c>
      <c r="X1780" s="8">
        <f>IF(COUNT(D1780:U1780)=0,"",MAX(D1780:U1780))</f>
        <v/>
      </c>
      <c r="Y1780" s="9">
        <f>IF(OR(V1780="",V1780=0),"",(X1780-V1780)/V1780)</f>
        <v/>
      </c>
      <c r="Z1780" s="7">
        <f>IF(COUNT(D1780:U1780)=0,"",INDEX($D$1:$U$1,MATCH(MIN(D1780:U1780),D1780:U1780,0)))</f>
        <v/>
      </c>
      <c r="AA1780" s="8" t="n">
        <v>175</v>
      </c>
      <c r="AB1780" s="10" t="n">
        <v>1</v>
      </c>
    </row>
    <row r="1781">
      <c r="A1781" s="7" t="inlineStr">
        <is>
          <t>MAT-32-429</t>
        </is>
      </c>
      <c r="B1781" s="4" t="inlineStr">
        <is>
          <t>Reducción bushing de PVC 4" x 3"</t>
        </is>
      </c>
      <c r="C1781" s="7" t="inlineStr">
        <is>
          <t>unidad</t>
        </is>
      </c>
      <c r="D1781" s="8" t="n"/>
      <c r="E1781" s="8" t="n"/>
      <c r="F1781" s="8" t="n"/>
      <c r="G1781" s="8" t="n">
        <v>195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>
        <f>IF(COUNT(D1781:U1781)=0,"",MIN(D1781:U1781))</f>
        <v/>
      </c>
      <c r="W1781" s="8">
        <f>IF(COUNT(D1781:U1781)=0,"",MEDIAN(D1781:U1781))</f>
        <v/>
      </c>
      <c r="X1781" s="8">
        <f>IF(COUNT(D1781:U1781)=0,"",MAX(D1781:U1781))</f>
        <v/>
      </c>
      <c r="Y1781" s="9">
        <f>IF(OR(V1781="",V1781=0),"",(X1781-V1781)/V1781)</f>
        <v/>
      </c>
      <c r="Z1781" s="7">
        <f>IF(COUNT(D1781:U1781)=0,"",INDEX($D$1:$U$1,MATCH(MIN(D1781:U1781),D1781:U1781,0)))</f>
        <v/>
      </c>
      <c r="AA1781" s="8" t="n">
        <v>195</v>
      </c>
      <c r="AB1781" s="10" t="n">
        <v>1</v>
      </c>
    </row>
    <row r="1782">
      <c r="A1782" s="7" t="inlineStr">
        <is>
          <t>MAT-32-430</t>
        </is>
      </c>
      <c r="B1782" s="4" t="inlineStr">
        <is>
          <t>Reducción bushing de PVC 6" x 3"</t>
        </is>
      </c>
      <c r="C1782" s="7" t="inlineStr">
        <is>
          <t>unidad</t>
        </is>
      </c>
      <c r="D1782" s="8" t="n"/>
      <c r="E1782" s="8" t="n">
        <v>1430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>
        <f>IF(COUNT(D1782:U1782)=0,"",MIN(D1782:U1782))</f>
        <v/>
      </c>
      <c r="W1782" s="8">
        <f>IF(COUNT(D1782:U1782)=0,"",MEDIAN(D1782:U1782))</f>
        <v/>
      </c>
      <c r="X1782" s="8">
        <f>IF(COUNT(D1782:U1782)=0,"",MAX(D1782:U1782))</f>
        <v/>
      </c>
      <c r="Y1782" s="9">
        <f>IF(OR(V1782="",V1782=0),"",(X1782-V1782)/V1782)</f>
        <v/>
      </c>
      <c r="Z1782" s="7">
        <f>IF(COUNT(D1782:U1782)=0,"",INDEX($D$1:$U$1,MATCH(MIN(D1782:U1782),D1782:U1782,0)))</f>
        <v/>
      </c>
      <c r="AA1782" s="8" t="n">
        <v>1430</v>
      </c>
      <c r="AB1782" s="10" t="n">
        <v>1</v>
      </c>
    </row>
    <row r="1783">
      <c r="A1783" s="7" t="inlineStr">
        <is>
          <t>MAT-32-431</t>
        </is>
      </c>
      <c r="B1783" s="4" t="inlineStr">
        <is>
          <t>Reducción bushing de PVC 6" x 4"</t>
        </is>
      </c>
      <c r="C1783" s="7" t="inlineStr">
        <is>
          <t>unidad</t>
        </is>
      </c>
      <c r="D1783" s="8" t="n"/>
      <c r="E1783" s="8" t="n"/>
      <c r="F1783" s="8" t="n"/>
      <c r="G1783" s="8" t="n">
        <v>702</v>
      </c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>
        <f>IF(COUNT(D1783:U1783)=0,"",MIN(D1783:U1783))</f>
        <v/>
      </c>
      <c r="W1783" s="8">
        <f>IF(COUNT(D1783:U1783)=0,"",MEDIAN(D1783:U1783))</f>
        <v/>
      </c>
      <c r="X1783" s="8">
        <f>IF(COUNT(D1783:U1783)=0,"",MAX(D1783:U1783))</f>
        <v/>
      </c>
      <c r="Y1783" s="9">
        <f>IF(OR(V1783="",V1783=0),"",(X1783-V1783)/V1783)</f>
        <v/>
      </c>
      <c r="Z1783" s="7">
        <f>IF(COUNT(D1783:U1783)=0,"",INDEX($D$1:$U$1,MATCH(MIN(D1783:U1783),D1783:U1783,0)))</f>
        <v/>
      </c>
      <c r="AA1783" s="8" t="n">
        <v>702</v>
      </c>
      <c r="AB1783" s="10" t="n">
        <v>1</v>
      </c>
    </row>
    <row r="1784">
      <c r="A1784" s="7" t="inlineStr">
        <is>
          <t>MAT-32-432</t>
        </is>
      </c>
      <c r="B1784" s="4" t="inlineStr">
        <is>
          <t>Reducción bushing de PVC presión 1 1/2" x 1/2"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>
        <v>22.75</v>
      </c>
      <c r="P1784" s="8" t="n"/>
      <c r="Q1784" s="8" t="n"/>
      <c r="R1784" s="8" t="n"/>
      <c r="S1784" s="8" t="n"/>
      <c r="T1784" s="8" t="n"/>
      <c r="U1784" s="8" t="n"/>
      <c r="V1784" s="8">
        <f>IF(COUNT(D1784:U1784)=0,"",MIN(D1784:U1784))</f>
        <v/>
      </c>
      <c r="W1784" s="8">
        <f>IF(COUNT(D1784:U1784)=0,"",MEDIAN(D1784:U1784))</f>
        <v/>
      </c>
      <c r="X1784" s="8">
        <f>IF(COUNT(D1784:U1784)=0,"",MAX(D1784:U1784))</f>
        <v/>
      </c>
      <c r="Y1784" s="9">
        <f>IF(OR(V1784="",V1784=0),"",(X1784-V1784)/V1784)</f>
        <v/>
      </c>
      <c r="Z1784" s="7">
        <f>IF(COUNT(D1784:U1784)=0,"",INDEX($D$1:$U$1,MATCH(MIN(D1784:U1784),D1784:U1784,0)))</f>
        <v/>
      </c>
      <c r="AA1784" s="8" t="n">
        <v>26.85</v>
      </c>
      <c r="AB1784" s="10" t="n">
        <v>1</v>
      </c>
    </row>
    <row r="1785">
      <c r="A1785" s="7" t="inlineStr">
        <is>
          <t>MAT-32-433</t>
        </is>
      </c>
      <c r="B1785" s="4" t="inlineStr">
        <is>
          <t>Reducción bushing de PVC presión 1 1/2" x 1"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>
        <v>22.38</v>
      </c>
      <c r="P1785" s="8" t="n"/>
      <c r="Q1785" s="8" t="n"/>
      <c r="R1785" s="8" t="n"/>
      <c r="S1785" s="8" t="n"/>
      <c r="T1785" s="8" t="n"/>
      <c r="U1785" s="8" t="n"/>
      <c r="V1785" s="8">
        <f>IF(COUNT(D1785:U1785)=0,"",MIN(D1785:U1785))</f>
        <v/>
      </c>
      <c r="W1785" s="8">
        <f>IF(COUNT(D1785:U1785)=0,"",MEDIAN(D1785:U1785))</f>
        <v/>
      </c>
      <c r="X1785" s="8">
        <f>IF(COUNT(D1785:U1785)=0,"",MAX(D1785:U1785))</f>
        <v/>
      </c>
      <c r="Y1785" s="9">
        <f>IF(OR(V1785="",V1785=0),"",(X1785-V1785)/V1785)</f>
        <v/>
      </c>
      <c r="Z1785" s="7">
        <f>IF(COUNT(D1785:U1785)=0,"",INDEX($D$1:$U$1,MATCH(MIN(D1785:U1785),D1785:U1785,0)))</f>
        <v/>
      </c>
      <c r="AA1785" s="8" t="n">
        <v>26.41</v>
      </c>
      <c r="AB1785" s="10" t="n">
        <v>1</v>
      </c>
    </row>
    <row r="1786">
      <c r="A1786" s="7" t="inlineStr">
        <is>
          <t>MAT-32-434</t>
        </is>
      </c>
      <c r="B1786" s="4" t="inlineStr">
        <is>
          <t>Reducción bushing de PVC presión 1 1/2" x 3/4"</t>
        </is>
      </c>
      <c r="C1786" s="7" t="inlineStr">
        <is>
          <t>unidad</t>
        </is>
      </c>
      <c r="D1786" s="8" t="n"/>
      <c r="E1786" s="8" t="n">
        <v>10.48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18.1</v>
      </c>
      <c r="P1786" s="8" t="n"/>
      <c r="Q1786" s="8" t="n"/>
      <c r="R1786" s="8" t="n"/>
      <c r="S1786" s="8" t="n"/>
      <c r="T1786" s="8" t="n"/>
      <c r="U1786" s="8" t="n"/>
      <c r="V1786" s="8">
        <f>IF(COUNT(D1786:U1786)=0,"",MIN(D1786:U1786))</f>
        <v/>
      </c>
      <c r="W1786" s="8">
        <f>IF(COUNT(D1786:U1786)=0,"",MEDIAN(D1786:U1786))</f>
        <v/>
      </c>
      <c r="X1786" s="8">
        <f>IF(COUNT(D1786:U1786)=0,"",MAX(D1786:U1786))</f>
        <v/>
      </c>
      <c r="Y1786" s="9">
        <f>IF(OR(V1786="",V1786=0),"",(X1786-V1786)/V1786)</f>
        <v/>
      </c>
      <c r="Z1786" s="7">
        <f>IF(COUNT(D1786:U1786)=0,"",INDEX($D$1:$U$1,MATCH(MIN(D1786:U1786),D1786:U1786,0)))</f>
        <v/>
      </c>
      <c r="AA1786" s="8" t="n">
        <v>21.36</v>
      </c>
      <c r="AB1786" s="10" t="n">
        <v>2</v>
      </c>
    </row>
    <row r="1787">
      <c r="A1787" s="7" t="inlineStr">
        <is>
          <t>MAT-32-435</t>
        </is>
      </c>
      <c r="B1787" s="4" t="inlineStr">
        <is>
          <t>Reducción bushing de PVC presión 12" x 8"</t>
        </is>
      </c>
      <c r="C1787" s="7" t="inlineStr">
        <is>
          <t>unidad</t>
        </is>
      </c>
      <c r="D1787" s="8" t="n"/>
      <c r="E1787" s="8" t="n">
        <v>15891.21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>
        <f>IF(COUNT(D1787:U1787)=0,"",MIN(D1787:U1787))</f>
        <v/>
      </c>
      <c r="W1787" s="8">
        <f>IF(COUNT(D1787:U1787)=0,"",MEDIAN(D1787:U1787))</f>
        <v/>
      </c>
      <c r="X1787" s="8">
        <f>IF(COUNT(D1787:U1787)=0,"",MAX(D1787:U1787))</f>
        <v/>
      </c>
      <c r="Y1787" s="9">
        <f>IF(OR(V1787="",V1787=0),"",(X1787-V1787)/V1787)</f>
        <v/>
      </c>
      <c r="Z1787" s="7">
        <f>IF(COUNT(D1787:U1787)=0,"",INDEX($D$1:$U$1,MATCH(MIN(D1787:U1787),D1787:U1787,0)))</f>
        <v/>
      </c>
      <c r="AA1787" s="8" t="n">
        <v>15891.21</v>
      </c>
      <c r="AB1787" s="10" t="n">
        <v>1</v>
      </c>
    </row>
    <row r="1788">
      <c r="A1788" s="7" t="inlineStr">
        <is>
          <t>MAT-32-436</t>
        </is>
      </c>
      <c r="B1788" s="4" t="inlineStr">
        <is>
          <t>Reducción bushing de PVC presión 1" x 1/2"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8.949999999999999</v>
      </c>
      <c r="P1788" s="8" t="n"/>
      <c r="Q1788" s="8" t="n"/>
      <c r="R1788" s="8" t="n"/>
      <c r="S1788" s="8" t="n"/>
      <c r="T1788" s="8" t="n"/>
      <c r="U1788" s="8" t="n"/>
      <c r="V1788" s="8">
        <f>IF(COUNT(D1788:U1788)=0,"",MIN(D1788:U1788))</f>
        <v/>
      </c>
      <c r="W1788" s="8">
        <f>IF(COUNT(D1788:U1788)=0,"",MEDIAN(D1788:U1788))</f>
        <v/>
      </c>
      <c r="X1788" s="8">
        <f>IF(COUNT(D1788:U1788)=0,"",MAX(D1788:U1788))</f>
        <v/>
      </c>
      <c r="Y1788" s="9">
        <f>IF(OR(V1788="",V1788=0),"",(X1788-V1788)/V1788)</f>
        <v/>
      </c>
      <c r="Z1788" s="7">
        <f>IF(COUNT(D1788:U1788)=0,"",INDEX($D$1:$U$1,MATCH(MIN(D1788:U1788),D1788:U1788,0)))</f>
        <v/>
      </c>
      <c r="AA1788" s="8" t="n">
        <v>10.56</v>
      </c>
      <c r="AB1788" s="10" t="n">
        <v>1</v>
      </c>
    </row>
    <row r="1789">
      <c r="A1789" s="7" t="inlineStr">
        <is>
          <t>MAT-32-437</t>
        </is>
      </c>
      <c r="B1789" s="4" t="inlineStr">
        <is>
          <t>Reducción bushing de PVC presión 1" x 3/4"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7.03</v>
      </c>
      <c r="P1789" s="8" t="n"/>
      <c r="Q1789" s="8" t="n"/>
      <c r="R1789" s="8" t="n"/>
      <c r="S1789" s="8" t="n"/>
      <c r="T1789" s="8" t="n"/>
      <c r="U1789" s="8" t="n"/>
      <c r="V1789" s="8">
        <f>IF(COUNT(D1789:U1789)=0,"",MIN(D1789:U1789))</f>
        <v/>
      </c>
      <c r="W1789" s="8">
        <f>IF(COUNT(D1789:U1789)=0,"",MEDIAN(D1789:U1789))</f>
        <v/>
      </c>
      <c r="X1789" s="8">
        <f>IF(COUNT(D1789:U1789)=0,"",MAX(D1789:U1789))</f>
        <v/>
      </c>
      <c r="Y1789" s="9">
        <f>IF(OR(V1789="",V1789=0),"",(X1789-V1789)/V1789)</f>
        <v/>
      </c>
      <c r="Z1789" s="7">
        <f>IF(COUNT(D1789:U1789)=0,"",INDEX($D$1:$U$1,MATCH(MIN(D1789:U1789),D1789:U1789,0)))</f>
        <v/>
      </c>
      <c r="AA1789" s="8" t="n">
        <v>8.300000000000001</v>
      </c>
      <c r="AB1789" s="10" t="n">
        <v>1</v>
      </c>
    </row>
    <row r="1790">
      <c r="A1790" s="7" t="inlineStr">
        <is>
          <t>MAT-32-438</t>
        </is>
      </c>
      <c r="B1790" s="4" t="inlineStr">
        <is>
          <t>Reducción bushing de PVC presión 2" x 1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19.43</v>
      </c>
      <c r="P1790" s="8" t="n"/>
      <c r="Q1790" s="8" t="n"/>
      <c r="R1790" s="8" t="n"/>
      <c r="S1790" s="8" t="n"/>
      <c r="T1790" s="8" t="n"/>
      <c r="U1790" s="8" t="n"/>
      <c r="V1790" s="8">
        <f>IF(COUNT(D1790:U1790)=0,"",MIN(D1790:U1790))</f>
        <v/>
      </c>
      <c r="W1790" s="8">
        <f>IF(COUNT(D1790:U1790)=0,"",MEDIAN(D1790:U1790))</f>
        <v/>
      </c>
      <c r="X1790" s="8">
        <f>IF(COUNT(D1790:U1790)=0,"",MAX(D1790:U1790))</f>
        <v/>
      </c>
      <c r="Y1790" s="9">
        <f>IF(OR(V1790="",V1790=0),"",(X1790-V1790)/V1790)</f>
        <v/>
      </c>
      <c r="Z1790" s="7">
        <f>IF(COUNT(D1790:U1790)=0,"",INDEX($D$1:$U$1,MATCH(MIN(D1790:U1790),D1790:U1790,0)))</f>
        <v/>
      </c>
      <c r="AA1790" s="8" t="n">
        <v>22.93</v>
      </c>
      <c r="AB1790" s="10" t="n">
        <v>1</v>
      </c>
    </row>
    <row r="1791">
      <c r="A1791" s="7" t="inlineStr">
        <is>
          <t>MAT-32-439</t>
        </is>
      </c>
      <c r="B1791" s="4" t="inlineStr">
        <is>
          <t>Reducción bushing de PVC presión 2" x 1/2"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26.14</v>
      </c>
      <c r="P1791" s="8" t="n"/>
      <c r="Q1791" s="8" t="n"/>
      <c r="R1791" s="8" t="n"/>
      <c r="S1791" s="8" t="n"/>
      <c r="T1791" s="8" t="n"/>
      <c r="U1791" s="8" t="n"/>
      <c r="V1791" s="8">
        <f>IF(COUNT(D1791:U1791)=0,"",MIN(D1791:U1791))</f>
        <v/>
      </c>
      <c r="W1791" s="8">
        <f>IF(COUNT(D1791:U1791)=0,"",MEDIAN(D1791:U1791))</f>
        <v/>
      </c>
      <c r="X1791" s="8">
        <f>IF(COUNT(D1791:U1791)=0,"",MAX(D1791:U1791))</f>
        <v/>
      </c>
      <c r="Y1791" s="9">
        <f>IF(OR(V1791="",V1791=0),"",(X1791-V1791)/V1791)</f>
        <v/>
      </c>
      <c r="Z1791" s="7">
        <f>IF(COUNT(D1791:U1791)=0,"",INDEX($D$1:$U$1,MATCH(MIN(D1791:U1791),D1791:U1791,0)))</f>
        <v/>
      </c>
      <c r="AA1791" s="8" t="n">
        <v>30.85</v>
      </c>
      <c r="AB1791" s="10" t="n">
        <v>1</v>
      </c>
    </row>
    <row r="1792">
      <c r="A1792" s="7" t="inlineStr">
        <is>
          <t>MAT-32-440</t>
        </is>
      </c>
      <c r="B1792" s="4" t="inlineStr">
        <is>
          <t>Reducción bushing de PVC presión 2" x 1"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>
        <v>28.15</v>
      </c>
      <c r="P1792" s="8" t="n"/>
      <c r="Q1792" s="8" t="n"/>
      <c r="R1792" s="8" t="n"/>
      <c r="S1792" s="8" t="n"/>
      <c r="T1792" s="8" t="n"/>
      <c r="U1792" s="8" t="n"/>
      <c r="V1792" s="8">
        <f>IF(COUNT(D1792:U1792)=0,"",MIN(D1792:U1792))</f>
        <v/>
      </c>
      <c r="W1792" s="8">
        <f>IF(COUNT(D1792:U1792)=0,"",MEDIAN(D1792:U1792))</f>
        <v/>
      </c>
      <c r="X1792" s="8">
        <f>IF(COUNT(D1792:U1792)=0,"",MAX(D1792:U1792))</f>
        <v/>
      </c>
      <c r="Y1792" s="9">
        <f>IF(OR(V1792="",V1792=0),"",(X1792-V1792)/V1792)</f>
        <v/>
      </c>
      <c r="Z1792" s="7">
        <f>IF(COUNT(D1792:U1792)=0,"",INDEX($D$1:$U$1,MATCH(MIN(D1792:U1792),D1792:U1792,0)))</f>
        <v/>
      </c>
      <c r="AA1792" s="8" t="n">
        <v>33.22</v>
      </c>
      <c r="AB1792" s="10" t="n">
        <v>1</v>
      </c>
    </row>
    <row r="1793">
      <c r="A1793" s="7" t="inlineStr">
        <is>
          <t>MAT-32-441</t>
        </is>
      </c>
      <c r="B1793" s="4" t="inlineStr">
        <is>
          <t>Reducción bushing de PVC presión 2" x 3/4"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>
        <v>34.19</v>
      </c>
      <c r="P1793" s="8" t="n"/>
      <c r="Q1793" s="8" t="n"/>
      <c r="R1793" s="8" t="n"/>
      <c r="S1793" s="8" t="n"/>
      <c r="T1793" s="8" t="n"/>
      <c r="U1793" s="8" t="n"/>
      <c r="V1793" s="8">
        <f>IF(COUNT(D1793:U1793)=0,"",MIN(D1793:U1793))</f>
        <v/>
      </c>
      <c r="W1793" s="8">
        <f>IF(COUNT(D1793:U1793)=0,"",MEDIAN(D1793:U1793))</f>
        <v/>
      </c>
      <c r="X1793" s="8">
        <f>IF(COUNT(D1793:U1793)=0,"",MAX(D1793:U1793))</f>
        <v/>
      </c>
      <c r="Y1793" s="9">
        <f>IF(OR(V1793="",V1793=0),"",(X1793-V1793)/V1793)</f>
        <v/>
      </c>
      <c r="Z1793" s="7">
        <f>IF(COUNT(D1793:U1793)=0,"",INDEX($D$1:$U$1,MATCH(MIN(D1793:U1793),D1793:U1793,0)))</f>
        <v/>
      </c>
      <c r="AA1793" s="8" t="n">
        <v>40.34</v>
      </c>
      <c r="AB1793" s="10" t="n">
        <v>1</v>
      </c>
    </row>
    <row r="1794">
      <c r="A1794" s="7" t="inlineStr">
        <is>
          <t>MAT-32-442</t>
        </is>
      </c>
      <c r="B1794" s="4" t="inlineStr">
        <is>
          <t>Reducción bushing de PVC presión 3/4" x 1/2"</t>
        </is>
      </c>
      <c r="C1794" s="7" t="inlineStr">
        <is>
          <t>unidad</t>
        </is>
      </c>
      <c r="D1794" s="8" t="n"/>
      <c r="E1794" s="8" t="n"/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>
        <v>4.2</v>
      </c>
      <c r="P1794" s="8" t="n"/>
      <c r="Q1794" s="8" t="n"/>
      <c r="R1794" s="8" t="n"/>
      <c r="S1794" s="8" t="n"/>
      <c r="T1794" s="8" t="n"/>
      <c r="U1794" s="8" t="n"/>
      <c r="V1794" s="8">
        <f>IF(COUNT(D1794:U1794)=0,"",MIN(D1794:U1794))</f>
        <v/>
      </c>
      <c r="W1794" s="8">
        <f>IF(COUNT(D1794:U1794)=0,"",MEDIAN(D1794:U1794))</f>
        <v/>
      </c>
      <c r="X1794" s="8">
        <f>IF(COUNT(D1794:U1794)=0,"",MAX(D1794:U1794))</f>
        <v/>
      </c>
      <c r="Y1794" s="9">
        <f>IF(OR(V1794="",V1794=0),"",(X1794-V1794)/V1794)</f>
        <v/>
      </c>
      <c r="Z1794" s="7">
        <f>IF(COUNT(D1794:U1794)=0,"",INDEX($D$1:$U$1,MATCH(MIN(D1794:U1794),D1794:U1794,0)))</f>
        <v/>
      </c>
      <c r="AA1794" s="8" t="n">
        <v>4.96</v>
      </c>
      <c r="AB1794" s="10" t="n">
        <v>1</v>
      </c>
    </row>
    <row r="1795">
      <c r="A1795" s="7" t="inlineStr">
        <is>
          <t>MAT-32-443</t>
        </is>
      </c>
      <c r="B1795" s="4" t="inlineStr">
        <is>
          <t>Reducción bushing de PVC presión 3" x 1 1/2"</t>
        </is>
      </c>
      <c r="C1795" s="7" t="inlineStr">
        <is>
          <t>unidad</t>
        </is>
      </c>
      <c r="D1795" s="8" t="n"/>
      <c r="E1795" s="8" t="n">
        <v>61.64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>
        <f>IF(COUNT(D1795:U1795)=0,"",MIN(D1795:U1795))</f>
        <v/>
      </c>
      <c r="W1795" s="8">
        <f>IF(COUNT(D1795:U1795)=0,"",MEDIAN(D1795:U1795))</f>
        <v/>
      </c>
      <c r="X1795" s="8">
        <f>IF(COUNT(D1795:U1795)=0,"",MAX(D1795:U1795))</f>
        <v/>
      </c>
      <c r="Y1795" s="9">
        <f>IF(OR(V1795="",V1795=0),"",(X1795-V1795)/V1795)</f>
        <v/>
      </c>
      <c r="Z1795" s="7">
        <f>IF(COUNT(D1795:U1795)=0,"",INDEX($D$1:$U$1,MATCH(MIN(D1795:U1795),D1795:U1795,0)))</f>
        <v/>
      </c>
      <c r="AA1795" s="8" t="n">
        <v>205.82</v>
      </c>
      <c r="AB1795" s="10" t="n">
        <v>1</v>
      </c>
    </row>
    <row r="1796">
      <c r="A1796" s="7" t="inlineStr">
        <is>
          <t>MAT-32-444</t>
        </is>
      </c>
      <c r="B1796" s="4" t="inlineStr">
        <is>
          <t>Reducción bushing de PVC presión 3" x 1"</t>
        </is>
      </c>
      <c r="C1796" s="7" t="inlineStr">
        <is>
          <t>unidad</t>
        </is>
      </c>
      <c r="D1796" s="8" t="n"/>
      <c r="E1796" s="8" t="n">
        <v>350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>
        <f>IF(COUNT(D1796:U1796)=0,"",MIN(D1796:U1796))</f>
        <v/>
      </c>
      <c r="W1796" s="8">
        <f>IF(COUNT(D1796:U1796)=0,"",MEDIAN(D1796:U1796))</f>
        <v/>
      </c>
      <c r="X1796" s="8">
        <f>IF(COUNT(D1796:U1796)=0,"",MAX(D1796:U1796))</f>
        <v/>
      </c>
      <c r="Y1796" s="9">
        <f>IF(OR(V1796="",V1796=0),"",(X1796-V1796)/V1796)</f>
        <v/>
      </c>
      <c r="Z1796" s="7">
        <f>IF(COUNT(D1796:U1796)=0,"",INDEX($D$1:$U$1,MATCH(MIN(D1796:U1796),D1796:U1796,0)))</f>
        <v/>
      </c>
      <c r="AA1796" s="8" t="n">
        <v>350</v>
      </c>
      <c r="AB1796" s="10" t="n">
        <v>1</v>
      </c>
    </row>
    <row r="1797">
      <c r="A1797" s="7" t="inlineStr">
        <is>
          <t>MAT-32-445</t>
        </is>
      </c>
      <c r="B1797" s="4" t="inlineStr">
        <is>
          <t>Reducción bushing de PVC presión 4" x 2"</t>
        </is>
      </c>
      <c r="C1797" s="7" t="inlineStr">
        <is>
          <t>unidad</t>
        </is>
      </c>
      <c r="D1797" s="8" t="n"/>
      <c r="E1797" s="8" t="n">
        <v>195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>
        <f>IF(COUNT(D1797:U1797)=0,"",MIN(D1797:U1797))</f>
        <v/>
      </c>
      <c r="W1797" s="8">
        <f>IF(COUNT(D1797:U1797)=0,"",MEDIAN(D1797:U1797))</f>
        <v/>
      </c>
      <c r="X1797" s="8">
        <f>IF(COUNT(D1797:U1797)=0,"",MAX(D1797:U1797))</f>
        <v/>
      </c>
      <c r="Y1797" s="9">
        <f>IF(OR(V1797="",V1797=0),"",(X1797-V1797)/V1797)</f>
        <v/>
      </c>
      <c r="Z1797" s="7">
        <f>IF(COUNT(D1797:U1797)=0,"",INDEX($D$1:$U$1,MATCH(MIN(D1797:U1797),D1797:U1797,0)))</f>
        <v/>
      </c>
      <c r="AA1797" s="8" t="n">
        <v>195</v>
      </c>
      <c r="AB1797" s="10" t="n">
        <v>1</v>
      </c>
    </row>
    <row r="1798">
      <c r="A1798" s="7" t="inlineStr">
        <is>
          <t>MAT-32-446</t>
        </is>
      </c>
      <c r="B1798" s="4" t="inlineStr">
        <is>
          <t>Reducción bushing de PVC presión 6" x 4"</t>
        </is>
      </c>
      <c r="C1798" s="7" t="inlineStr">
        <is>
          <t>unidad</t>
        </is>
      </c>
      <c r="D1798" s="8" t="n"/>
      <c r="E1798" s="8" t="n">
        <v>136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>
        <f>IF(COUNT(D1798:U1798)=0,"",MIN(D1798:U1798))</f>
        <v/>
      </c>
      <c r="W1798" s="8">
        <f>IF(COUNT(D1798:U1798)=0,"",MEDIAN(D1798:U1798))</f>
        <v/>
      </c>
      <c r="X1798" s="8">
        <f>IF(COUNT(D1798:U1798)=0,"",MAX(D1798:U1798))</f>
        <v/>
      </c>
      <c r="Y1798" s="9">
        <f>IF(OR(V1798="",V1798=0),"",(X1798-V1798)/V1798)</f>
        <v/>
      </c>
      <c r="Z1798" s="7">
        <f>IF(COUNT(D1798:U1798)=0,"",INDEX($D$1:$U$1,MATCH(MIN(D1798:U1798),D1798:U1798,0)))</f>
        <v/>
      </c>
      <c r="AA1798" s="8" t="n">
        <v>435.5</v>
      </c>
      <c r="AB1798" s="10" t="n">
        <v>1</v>
      </c>
    </row>
    <row r="1799">
      <c r="A1799" s="7" t="inlineStr">
        <is>
          <t>MAT-32-447</t>
        </is>
      </c>
      <c r="B1799" s="4" t="inlineStr">
        <is>
          <t>Reducción bushing de PVC presión 8" x 6"</t>
        </is>
      </c>
      <c r="C1799" s="7" t="inlineStr">
        <is>
          <t>unidad</t>
        </is>
      </c>
      <c r="D1799" s="8" t="n"/>
      <c r="E1799" s="8" t="n">
        <v>3880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>
        <f>IF(COUNT(D1799:U1799)=0,"",MIN(D1799:U1799))</f>
        <v/>
      </c>
      <c r="W1799" s="8">
        <f>IF(COUNT(D1799:U1799)=0,"",MEDIAN(D1799:U1799))</f>
        <v/>
      </c>
      <c r="X1799" s="8">
        <f>IF(COUNT(D1799:U1799)=0,"",MAX(D1799:U1799))</f>
        <v/>
      </c>
      <c r="Y1799" s="9">
        <f>IF(OR(V1799="",V1799=0),"",(X1799-V1799)/V1799)</f>
        <v/>
      </c>
      <c r="Z1799" s="7">
        <f>IF(COUNT(D1799:U1799)=0,"",INDEX($D$1:$U$1,MATCH(MIN(D1799:U1799),D1799:U1799,0)))</f>
        <v/>
      </c>
      <c r="AA1799" s="8" t="n">
        <v>3880</v>
      </c>
      <c r="AB1799" s="10" t="n">
        <v>1</v>
      </c>
    </row>
    <row r="1800">
      <c r="A1800" s="7" t="inlineStr">
        <is>
          <t>MAT-32-448</t>
        </is>
      </c>
      <c r="B1800" s="4" t="inlineStr">
        <is>
          <t>Reducción de cobre 1 3/8" x 5/8"</t>
        </is>
      </c>
      <c r="C1800" s="7" t="inlineStr">
        <is>
          <t>unidad</t>
        </is>
      </c>
      <c r="D1800" s="8" t="n"/>
      <c r="E1800" s="8" t="n">
        <v>121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>
        <f>IF(COUNT(D1800:U1800)=0,"",MIN(D1800:U1800))</f>
        <v/>
      </c>
      <c r="W1800" s="8">
        <f>IF(COUNT(D1800:U1800)=0,"",MEDIAN(D1800:U1800))</f>
        <v/>
      </c>
      <c r="X1800" s="8">
        <f>IF(COUNT(D1800:U1800)=0,"",MAX(D1800:U1800))</f>
        <v/>
      </c>
      <c r="Y1800" s="9">
        <f>IF(OR(V1800="",V1800=0),"",(X1800-V1800)/V1800)</f>
        <v/>
      </c>
      <c r="Z1800" s="7">
        <f>IF(COUNT(D1800:U1800)=0,"",INDEX($D$1:$U$1,MATCH(MIN(D1800:U1800),D1800:U1800,0)))</f>
        <v/>
      </c>
      <c r="AA1800" s="8" t="n">
        <v>121</v>
      </c>
      <c r="AB1800" s="10" t="n">
        <v>1</v>
      </c>
    </row>
    <row r="1801">
      <c r="A1801" s="7" t="inlineStr">
        <is>
          <t>MAT-32-449</t>
        </is>
      </c>
      <c r="B1801" s="4" t="inlineStr">
        <is>
          <t>Reducción de cobre 1 5/8" x 1 1/8"</t>
        </is>
      </c>
      <c r="C1801" s="7" t="inlineStr">
        <is>
          <t>unidad</t>
        </is>
      </c>
      <c r="D1801" s="8" t="n"/>
      <c r="E1801" s="8" t="n">
        <v>159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>
        <f>IF(COUNT(D1801:U1801)=0,"",MIN(D1801:U1801))</f>
        <v/>
      </c>
      <c r="W1801" s="8">
        <f>IF(COUNT(D1801:U1801)=0,"",MEDIAN(D1801:U1801))</f>
        <v/>
      </c>
      <c r="X1801" s="8">
        <f>IF(COUNT(D1801:U1801)=0,"",MAX(D1801:U1801))</f>
        <v/>
      </c>
      <c r="Y1801" s="9">
        <f>IF(OR(V1801="",V1801=0),"",(X1801-V1801)/V1801)</f>
        <v/>
      </c>
      <c r="Z1801" s="7">
        <f>IF(COUNT(D1801:U1801)=0,"",INDEX($D$1:$U$1,MATCH(MIN(D1801:U1801),D1801:U1801,0)))</f>
        <v/>
      </c>
      <c r="AA1801" s="8" t="n">
        <v>159</v>
      </c>
      <c r="AB1801" s="10" t="n">
        <v>1</v>
      </c>
    </row>
    <row r="1802">
      <c r="A1802" s="7" t="inlineStr">
        <is>
          <t>MAT-32-450</t>
        </is>
      </c>
      <c r="B1802" s="4" t="inlineStr">
        <is>
          <t>Reducción de cobre 7/8" x 5/8"</t>
        </is>
      </c>
      <c r="C1802" s="7" t="inlineStr">
        <is>
          <t>unidad</t>
        </is>
      </c>
      <c r="D1802" s="8" t="n"/>
      <c r="E1802" s="8" t="n">
        <v>48.07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>
        <f>IF(COUNT(D1802:U1802)=0,"",MIN(D1802:U1802))</f>
        <v/>
      </c>
      <c r="W1802" s="8">
        <f>IF(COUNT(D1802:U1802)=0,"",MEDIAN(D1802:U1802))</f>
        <v/>
      </c>
      <c r="X1802" s="8">
        <f>IF(COUNT(D1802:U1802)=0,"",MAX(D1802:U1802))</f>
        <v/>
      </c>
      <c r="Y1802" s="9">
        <f>IF(OR(V1802="",V1802=0),"",(X1802-V1802)/V1802)</f>
        <v/>
      </c>
      <c r="Z1802" s="7">
        <f>IF(COUNT(D1802:U1802)=0,"",INDEX($D$1:$U$1,MATCH(MIN(D1802:U1802),D1802:U1802,0)))</f>
        <v/>
      </c>
      <c r="AA1802" s="8" t="n">
        <v>48.07</v>
      </c>
      <c r="AB1802" s="10" t="n">
        <v>1</v>
      </c>
    </row>
    <row r="1803">
      <c r="A1803" s="7" t="inlineStr">
        <is>
          <t>MAT-32-451</t>
        </is>
      </c>
      <c r="B1803" s="4" t="inlineStr">
        <is>
          <t>Reducción de HG 1 1/2" x 1 1/4"</t>
        </is>
      </c>
      <c r="C1803" s="7" t="inlineStr">
        <is>
          <t>unidad</t>
        </is>
      </c>
      <c r="D1803" s="8" t="n"/>
      <c r="E1803" s="8" t="n">
        <v>120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>
        <f>IF(COUNT(D1803:U1803)=0,"",MIN(D1803:U1803))</f>
        <v/>
      </c>
      <c r="W1803" s="8">
        <f>IF(COUNT(D1803:U1803)=0,"",MEDIAN(D1803:U1803))</f>
        <v/>
      </c>
      <c r="X1803" s="8">
        <f>IF(COUNT(D1803:U1803)=0,"",MAX(D1803:U1803))</f>
        <v/>
      </c>
      <c r="Y1803" s="9">
        <f>IF(OR(V1803="",V1803=0),"",(X1803-V1803)/V1803)</f>
        <v/>
      </c>
      <c r="Z1803" s="7">
        <f>IF(COUNT(D1803:U1803)=0,"",INDEX($D$1:$U$1,MATCH(MIN(D1803:U1803),D1803:U1803,0)))</f>
        <v/>
      </c>
      <c r="AA1803" s="8" t="n">
        <v>120</v>
      </c>
      <c r="AB1803" s="10" t="n">
        <v>1</v>
      </c>
    </row>
    <row r="1804">
      <c r="A1804" s="7" t="inlineStr">
        <is>
          <t>MAT-32-452</t>
        </is>
      </c>
      <c r="B1804" s="4" t="inlineStr">
        <is>
          <t>Reducción de HG 1 1/2" x 1/2"</t>
        </is>
      </c>
      <c r="C1804" s="7" t="inlineStr">
        <is>
          <t>unidad</t>
        </is>
      </c>
      <c r="D1804" s="8" t="n"/>
      <c r="E1804" s="8" t="n">
        <v>83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>
        <f>IF(COUNT(D1804:U1804)=0,"",MIN(D1804:U1804))</f>
        <v/>
      </c>
      <c r="W1804" s="8">
        <f>IF(COUNT(D1804:U1804)=0,"",MEDIAN(D1804:U1804))</f>
        <v/>
      </c>
      <c r="X1804" s="8">
        <f>IF(COUNT(D1804:U1804)=0,"",MAX(D1804:U1804))</f>
        <v/>
      </c>
      <c r="Y1804" s="9">
        <f>IF(OR(V1804="",V1804=0),"",(X1804-V1804)/V1804)</f>
        <v/>
      </c>
      <c r="Z1804" s="7">
        <f>IF(COUNT(D1804:U1804)=0,"",INDEX($D$1:$U$1,MATCH(MIN(D1804:U1804),D1804:U1804,0)))</f>
        <v/>
      </c>
      <c r="AA1804" s="8" t="n">
        <v>83</v>
      </c>
      <c r="AB1804" s="10" t="n">
        <v>1</v>
      </c>
    </row>
    <row r="1805">
      <c r="A1805" s="7" t="inlineStr">
        <is>
          <t>MAT-32-453</t>
        </is>
      </c>
      <c r="B1805" s="4" t="inlineStr">
        <is>
          <t>Reducción de HG 1 1/2" x 1"</t>
        </is>
      </c>
      <c r="C1805" s="7" t="inlineStr">
        <is>
          <t>unidad</t>
        </is>
      </c>
      <c r="D1805" s="8" t="n"/>
      <c r="E1805" s="8" t="n">
        <v>113</v>
      </c>
      <c r="F1805" s="8" t="n"/>
      <c r="G1805" s="8" t="n">
        <v>237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>
        <f>IF(COUNT(D1805:U1805)=0,"",MIN(D1805:U1805))</f>
        <v/>
      </c>
      <c r="W1805" s="8">
        <f>IF(COUNT(D1805:U1805)=0,"",MEDIAN(D1805:U1805))</f>
        <v/>
      </c>
      <c r="X1805" s="8">
        <f>IF(COUNT(D1805:U1805)=0,"",MAX(D1805:U1805))</f>
        <v/>
      </c>
      <c r="Y1805" s="9">
        <f>IF(OR(V1805="",V1805=0),"",(X1805-V1805)/V1805)</f>
        <v/>
      </c>
      <c r="Z1805" s="7">
        <f>IF(COUNT(D1805:U1805)=0,"",INDEX($D$1:$U$1,MATCH(MIN(D1805:U1805),D1805:U1805,0)))</f>
        <v/>
      </c>
      <c r="AA1805" s="8" t="n">
        <v>175</v>
      </c>
      <c r="AB1805" s="10" t="n">
        <v>2</v>
      </c>
    </row>
    <row r="1806">
      <c r="A1806" s="7" t="inlineStr">
        <is>
          <t>MAT-32-454</t>
        </is>
      </c>
      <c r="B1806" s="4" t="inlineStr">
        <is>
          <t>Reducción de HG 1 1/4" x 1"</t>
        </is>
      </c>
      <c r="C1806" s="7" t="inlineStr">
        <is>
          <t>unidad</t>
        </is>
      </c>
      <c r="D1806" s="8" t="n"/>
      <c r="E1806" s="8" t="n">
        <v>62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>
        <f>IF(COUNT(D1806:U1806)=0,"",MIN(D1806:U1806))</f>
        <v/>
      </c>
      <c r="W1806" s="8">
        <f>IF(COUNT(D1806:U1806)=0,"",MEDIAN(D1806:U1806))</f>
        <v/>
      </c>
      <c r="X1806" s="8">
        <f>IF(COUNT(D1806:U1806)=0,"",MAX(D1806:U1806))</f>
        <v/>
      </c>
      <c r="Y1806" s="9">
        <f>IF(OR(V1806="",V1806=0),"",(X1806-V1806)/V1806)</f>
        <v/>
      </c>
      <c r="Z1806" s="7">
        <f>IF(COUNT(D1806:U1806)=0,"",INDEX($D$1:$U$1,MATCH(MIN(D1806:U1806),D1806:U1806,0)))</f>
        <v/>
      </c>
      <c r="AA1806" s="8" t="n">
        <v>62</v>
      </c>
      <c r="AB1806" s="10" t="n">
        <v>1</v>
      </c>
    </row>
    <row r="1807">
      <c r="A1807" s="7" t="inlineStr">
        <is>
          <t>MAT-32-455</t>
        </is>
      </c>
      <c r="B1807" s="4" t="inlineStr">
        <is>
          <t>Reducción de HG 1/2" x 1/4"</t>
        </is>
      </c>
      <c r="C1807" s="7" t="inlineStr">
        <is>
          <t>unidad</t>
        </is>
      </c>
      <c r="D1807" s="8" t="n"/>
      <c r="E1807" s="8" t="n">
        <v>36.34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>
        <f>IF(COUNT(D1807:U1807)=0,"",MIN(D1807:U1807))</f>
        <v/>
      </c>
      <c r="W1807" s="8">
        <f>IF(COUNT(D1807:U1807)=0,"",MEDIAN(D1807:U1807))</f>
        <v/>
      </c>
      <c r="X1807" s="8">
        <f>IF(COUNT(D1807:U1807)=0,"",MAX(D1807:U1807))</f>
        <v/>
      </c>
      <c r="Y1807" s="9">
        <f>IF(OR(V1807="",V1807=0),"",(X1807-V1807)/V1807)</f>
        <v/>
      </c>
      <c r="Z1807" s="7">
        <f>IF(COUNT(D1807:U1807)=0,"",INDEX($D$1:$U$1,MATCH(MIN(D1807:U1807),D1807:U1807,0)))</f>
        <v/>
      </c>
      <c r="AA1807" s="8" t="n">
        <v>36.34</v>
      </c>
      <c r="AB1807" s="10" t="n">
        <v>1</v>
      </c>
    </row>
    <row r="1808">
      <c r="A1808" s="7" t="inlineStr">
        <is>
          <t>MAT-32-456</t>
        </is>
      </c>
      <c r="B1808" s="4" t="inlineStr">
        <is>
          <t>Reducción de HG 1/2" x 3/8"</t>
        </is>
      </c>
      <c r="C1808" s="7" t="inlineStr">
        <is>
          <t>unidad</t>
        </is>
      </c>
      <c r="D1808" s="8" t="n"/>
      <c r="E1808" s="8" t="n">
        <v>36.25</v>
      </c>
      <c r="F1808" s="8" t="n"/>
      <c r="G1808" s="8" t="n">
        <v>70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>
        <f>IF(COUNT(D1808:U1808)=0,"",MIN(D1808:U1808))</f>
        <v/>
      </c>
      <c r="W1808" s="8">
        <f>IF(COUNT(D1808:U1808)=0,"",MEDIAN(D1808:U1808))</f>
        <v/>
      </c>
      <c r="X1808" s="8">
        <f>IF(COUNT(D1808:U1808)=0,"",MAX(D1808:U1808))</f>
        <v/>
      </c>
      <c r="Y1808" s="9">
        <f>IF(OR(V1808="",V1808=0),"",(X1808-V1808)/V1808)</f>
        <v/>
      </c>
      <c r="Z1808" s="7">
        <f>IF(COUNT(D1808:U1808)=0,"",INDEX($D$1:$U$1,MATCH(MIN(D1808:U1808),D1808:U1808,0)))</f>
        <v/>
      </c>
      <c r="AA1808" s="8" t="n">
        <v>53.13</v>
      </c>
      <c r="AB1808" s="10" t="n">
        <v>2</v>
      </c>
    </row>
    <row r="1809">
      <c r="A1809" s="7" t="inlineStr">
        <is>
          <t>MAT-32-457</t>
        </is>
      </c>
      <c r="B1809" s="4" t="inlineStr">
        <is>
          <t>Reducción de HG 1" x 1/2"</t>
        </is>
      </c>
      <c r="C1809" s="7" t="inlineStr">
        <is>
          <t>unidad</t>
        </is>
      </c>
      <c r="D1809" s="8" t="n"/>
      <c r="E1809" s="8" t="n">
        <v>47</v>
      </c>
      <c r="F1809" s="8" t="n"/>
      <c r="G1809" s="8" t="n">
        <v>95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>
        <f>IF(COUNT(D1809:U1809)=0,"",MIN(D1809:U1809))</f>
        <v/>
      </c>
      <c r="W1809" s="8">
        <f>IF(COUNT(D1809:U1809)=0,"",MEDIAN(D1809:U1809))</f>
        <v/>
      </c>
      <c r="X1809" s="8">
        <f>IF(COUNT(D1809:U1809)=0,"",MAX(D1809:U1809))</f>
        <v/>
      </c>
      <c r="Y1809" s="9">
        <f>IF(OR(V1809="",V1809=0),"",(X1809-V1809)/V1809)</f>
        <v/>
      </c>
      <c r="Z1809" s="7">
        <f>IF(COUNT(D1809:U1809)=0,"",INDEX($D$1:$U$1,MATCH(MIN(D1809:U1809),D1809:U1809,0)))</f>
        <v/>
      </c>
      <c r="AA1809" s="8" t="n">
        <v>71</v>
      </c>
      <c r="AB1809" s="10" t="n">
        <v>2</v>
      </c>
    </row>
    <row r="1810">
      <c r="A1810" s="7" t="inlineStr">
        <is>
          <t>MAT-32-458</t>
        </is>
      </c>
      <c r="B1810" s="4" t="inlineStr">
        <is>
          <t>Reducción de HG 1" x 3/4"</t>
        </is>
      </c>
      <c r="C1810" s="7" t="inlineStr">
        <is>
          <t>unidad</t>
        </is>
      </c>
      <c r="D1810" s="8" t="n"/>
      <c r="E1810" s="8" t="n">
        <v>47.96</v>
      </c>
      <c r="F1810" s="8" t="n"/>
      <c r="G1810" s="8" t="n">
        <v>101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>
        <f>IF(COUNT(D1810:U1810)=0,"",MIN(D1810:U1810))</f>
        <v/>
      </c>
      <c r="W1810" s="8">
        <f>IF(COUNT(D1810:U1810)=0,"",MEDIAN(D1810:U1810))</f>
        <v/>
      </c>
      <c r="X1810" s="8">
        <f>IF(COUNT(D1810:U1810)=0,"",MAX(D1810:U1810))</f>
        <v/>
      </c>
      <c r="Y1810" s="9">
        <f>IF(OR(V1810="",V1810=0),"",(X1810-V1810)/V1810)</f>
        <v/>
      </c>
      <c r="Z1810" s="7">
        <f>IF(COUNT(D1810:U1810)=0,"",INDEX($D$1:$U$1,MATCH(MIN(D1810:U1810),D1810:U1810,0)))</f>
        <v/>
      </c>
      <c r="AA1810" s="8" t="n">
        <v>74.48</v>
      </c>
      <c r="AB1810" s="10" t="n">
        <v>2</v>
      </c>
    </row>
    <row r="1811">
      <c r="A1811" s="7" t="inlineStr">
        <is>
          <t>MAT-32-459</t>
        </is>
      </c>
      <c r="B1811" s="4" t="inlineStr">
        <is>
          <t>Reducción de HG 2" x 1 1/2"</t>
        </is>
      </c>
      <c r="C1811" s="7" t="inlineStr">
        <is>
          <t>unidad</t>
        </is>
      </c>
      <c r="D1811" s="8" t="n"/>
      <c r="E1811" s="8" t="n">
        <v>135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>
        <f>IF(COUNT(D1811:U1811)=0,"",MIN(D1811:U1811))</f>
        <v/>
      </c>
      <c r="W1811" s="8">
        <f>IF(COUNT(D1811:U1811)=0,"",MEDIAN(D1811:U1811))</f>
        <v/>
      </c>
      <c r="X1811" s="8">
        <f>IF(COUNT(D1811:U1811)=0,"",MAX(D1811:U1811))</f>
        <v/>
      </c>
      <c r="Y1811" s="9">
        <f>IF(OR(V1811="",V1811=0),"",(X1811-V1811)/V1811)</f>
        <v/>
      </c>
      <c r="Z1811" s="7">
        <f>IF(COUNT(D1811:U1811)=0,"",INDEX($D$1:$U$1,MATCH(MIN(D1811:U1811),D1811:U1811,0)))</f>
        <v/>
      </c>
      <c r="AA1811" s="8" t="n">
        <v>135</v>
      </c>
      <c r="AB1811" s="10" t="n">
        <v>1</v>
      </c>
    </row>
    <row r="1812">
      <c r="A1812" s="7" t="inlineStr">
        <is>
          <t>MAT-32-460</t>
        </is>
      </c>
      <c r="B1812" s="4" t="inlineStr">
        <is>
          <t>Reducción de HG 2" x 1"</t>
        </is>
      </c>
      <c r="C1812" s="7" t="inlineStr">
        <is>
          <t>unidad</t>
        </is>
      </c>
      <c r="D1812" s="8" t="n"/>
      <c r="E1812" s="8" t="n">
        <v>117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>
        <f>IF(COUNT(D1812:U1812)=0,"",MIN(D1812:U1812))</f>
        <v/>
      </c>
      <c r="W1812" s="8">
        <f>IF(COUNT(D1812:U1812)=0,"",MEDIAN(D1812:U1812))</f>
        <v/>
      </c>
      <c r="X1812" s="8">
        <f>IF(COUNT(D1812:U1812)=0,"",MAX(D1812:U1812))</f>
        <v/>
      </c>
      <c r="Y1812" s="9">
        <f>IF(OR(V1812="",V1812=0),"",(X1812-V1812)/V1812)</f>
        <v/>
      </c>
      <c r="Z1812" s="7">
        <f>IF(COUNT(D1812:U1812)=0,"",INDEX($D$1:$U$1,MATCH(MIN(D1812:U1812),D1812:U1812,0)))</f>
        <v/>
      </c>
      <c r="AA1812" s="8" t="n">
        <v>117</v>
      </c>
      <c r="AB1812" s="10" t="n">
        <v>1</v>
      </c>
    </row>
    <row r="1813">
      <c r="A1813" s="7" t="inlineStr">
        <is>
          <t>MAT-32-461</t>
        </is>
      </c>
      <c r="B1813" s="4" t="inlineStr">
        <is>
          <t>Reducción de HG 3/4" x 1/2"</t>
        </is>
      </c>
      <c r="C1813" s="7" t="inlineStr">
        <is>
          <t>unidad</t>
        </is>
      </c>
      <c r="D1813" s="8" t="n"/>
      <c r="E1813" s="8" t="n">
        <v>34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>
        <f>IF(COUNT(D1813:U1813)=0,"",MIN(D1813:U1813))</f>
        <v/>
      </c>
      <c r="W1813" s="8">
        <f>IF(COUNT(D1813:U1813)=0,"",MEDIAN(D1813:U1813))</f>
        <v/>
      </c>
      <c r="X1813" s="8">
        <f>IF(COUNT(D1813:U1813)=0,"",MAX(D1813:U1813))</f>
        <v/>
      </c>
      <c r="Y1813" s="9">
        <f>IF(OR(V1813="",V1813=0),"",(X1813-V1813)/V1813)</f>
        <v/>
      </c>
      <c r="Z1813" s="7">
        <f>IF(COUNT(D1813:U1813)=0,"",INDEX($D$1:$U$1,MATCH(MIN(D1813:U1813),D1813:U1813,0)))</f>
        <v/>
      </c>
      <c r="AA1813" s="8" t="n">
        <v>34</v>
      </c>
      <c r="AB1813" s="10" t="n">
        <v>1</v>
      </c>
    </row>
    <row r="1814">
      <c r="A1814" s="7" t="inlineStr">
        <is>
          <t>MAT-32-462</t>
        </is>
      </c>
      <c r="B1814" s="4" t="inlineStr">
        <is>
          <t>Reducción de HG 3/4" x 3/8"</t>
        </is>
      </c>
      <c r="C1814" s="7" t="inlineStr">
        <is>
          <t>unidad</t>
        </is>
      </c>
      <c r="D1814" s="8" t="n"/>
      <c r="E1814" s="8" t="n">
        <v>26.32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>
        <f>IF(COUNT(D1814:U1814)=0,"",MIN(D1814:U1814))</f>
        <v/>
      </c>
      <c r="W1814" s="8">
        <f>IF(COUNT(D1814:U1814)=0,"",MEDIAN(D1814:U1814))</f>
        <v/>
      </c>
      <c r="X1814" s="8">
        <f>IF(COUNT(D1814:U1814)=0,"",MAX(D1814:U1814))</f>
        <v/>
      </c>
      <c r="Y1814" s="9">
        <f>IF(OR(V1814="",V1814=0),"",(X1814-V1814)/V1814)</f>
        <v/>
      </c>
      <c r="Z1814" s="7">
        <f>IF(COUNT(D1814:U1814)=0,"",INDEX($D$1:$U$1,MATCH(MIN(D1814:U1814),D1814:U1814,0)))</f>
        <v/>
      </c>
      <c r="AA1814" s="8" t="n">
        <v>26.32</v>
      </c>
      <c r="AB1814" s="10" t="n">
        <v>1</v>
      </c>
    </row>
    <row r="1815">
      <c r="A1815" s="7" t="inlineStr">
        <is>
          <t>MAT-32-463</t>
        </is>
      </c>
      <c r="B1815" s="4" t="inlineStr">
        <is>
          <t>Reducción de HG 3" x 2"</t>
        </is>
      </c>
      <c r="C1815" s="7" t="inlineStr">
        <is>
          <t>unidad</t>
        </is>
      </c>
      <c r="D1815" s="8" t="n"/>
      <c r="E1815" s="8" t="n">
        <v>440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>
        <f>IF(COUNT(D1815:U1815)=0,"",MIN(D1815:U1815))</f>
        <v/>
      </c>
      <c r="W1815" s="8">
        <f>IF(COUNT(D1815:U1815)=0,"",MEDIAN(D1815:U1815))</f>
        <v/>
      </c>
      <c r="X1815" s="8">
        <f>IF(COUNT(D1815:U1815)=0,"",MAX(D1815:U1815))</f>
        <v/>
      </c>
      <c r="Y1815" s="9">
        <f>IF(OR(V1815="",V1815=0),"",(X1815-V1815)/V1815)</f>
        <v/>
      </c>
      <c r="Z1815" s="7">
        <f>IF(COUNT(D1815:U1815)=0,"",INDEX($D$1:$U$1,MATCH(MIN(D1815:U1815),D1815:U1815,0)))</f>
        <v/>
      </c>
      <c r="AA1815" s="8" t="n">
        <v>440</v>
      </c>
      <c r="AB1815" s="10" t="n">
        <v>1</v>
      </c>
    </row>
    <row r="1816">
      <c r="A1816" s="7" t="inlineStr">
        <is>
          <t>MAT-32-464</t>
        </is>
      </c>
      <c r="B1816" s="4" t="inlineStr">
        <is>
          <t>Reducción de plástico 1 1/2" x 1"</t>
        </is>
      </c>
      <c r="C1816" s="7" t="inlineStr">
        <is>
          <t>unidad</t>
        </is>
      </c>
      <c r="D1816" s="8" t="n"/>
      <c r="E1816" s="8" t="n">
        <v>7.36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>
        <f>IF(COUNT(D1816:U1816)=0,"",MIN(D1816:U1816))</f>
        <v/>
      </c>
      <c r="W1816" s="8">
        <f>IF(COUNT(D1816:U1816)=0,"",MEDIAN(D1816:U1816))</f>
        <v/>
      </c>
      <c r="X1816" s="8">
        <f>IF(COUNT(D1816:U1816)=0,"",MAX(D1816:U1816))</f>
        <v/>
      </c>
      <c r="Y1816" s="9">
        <f>IF(OR(V1816="",V1816=0),"",(X1816-V1816)/V1816)</f>
        <v/>
      </c>
      <c r="Z1816" s="7">
        <f>IF(COUNT(D1816:U1816)=0,"",INDEX($D$1:$U$1,MATCH(MIN(D1816:U1816),D1816:U1816,0)))</f>
        <v/>
      </c>
      <c r="AA1816" s="8" t="n">
        <v>7.36</v>
      </c>
      <c r="AB1816" s="10" t="n">
        <v>1</v>
      </c>
    </row>
    <row r="1817">
      <c r="A1817" s="7" t="inlineStr">
        <is>
          <t>MAT-32-465</t>
        </is>
      </c>
      <c r="B1817" s="4" t="inlineStr">
        <is>
          <t>Reducción de plástico 1 1/2" x 7/8"</t>
        </is>
      </c>
      <c r="C1817" s="7" t="inlineStr">
        <is>
          <t>unidad</t>
        </is>
      </c>
      <c r="D1817" s="8" t="n"/>
      <c r="E1817" s="8" t="n">
        <v>3.5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>
        <f>IF(COUNT(D1817:U1817)=0,"",MIN(D1817:U1817))</f>
        <v/>
      </c>
      <c r="W1817" s="8">
        <f>IF(COUNT(D1817:U1817)=0,"",MEDIAN(D1817:U1817))</f>
        <v/>
      </c>
      <c r="X1817" s="8">
        <f>IF(COUNT(D1817:U1817)=0,"",MAX(D1817:U1817))</f>
        <v/>
      </c>
      <c r="Y1817" s="9">
        <f>IF(OR(V1817="",V1817=0),"",(X1817-V1817)/V1817)</f>
        <v/>
      </c>
      <c r="Z1817" s="7">
        <f>IF(COUNT(D1817:U1817)=0,"",INDEX($D$1:$U$1,MATCH(MIN(D1817:U1817),D1817:U1817,0)))</f>
        <v/>
      </c>
      <c r="AA1817" s="8" t="n">
        <v>3.5</v>
      </c>
      <c r="AB1817" s="10" t="n">
        <v>1</v>
      </c>
    </row>
    <row r="1818">
      <c r="A1818" s="7" t="inlineStr">
        <is>
          <t>MAT-32-466</t>
        </is>
      </c>
      <c r="B1818" s="4" t="inlineStr">
        <is>
          <t>Reducción de plástico 1 1/4" x 1/2"</t>
        </is>
      </c>
      <c r="C1818" s="7" t="inlineStr">
        <is>
          <t>unidad</t>
        </is>
      </c>
      <c r="D1818" s="8" t="n"/>
      <c r="E1818" s="8" t="n">
        <v>10.35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>
        <f>IF(COUNT(D1818:U1818)=0,"",MIN(D1818:U1818))</f>
        <v/>
      </c>
      <c r="W1818" s="8">
        <f>IF(COUNT(D1818:U1818)=0,"",MEDIAN(D1818:U1818))</f>
        <v/>
      </c>
      <c r="X1818" s="8">
        <f>IF(COUNT(D1818:U1818)=0,"",MAX(D1818:U1818))</f>
        <v/>
      </c>
      <c r="Y1818" s="9">
        <f>IF(OR(V1818="",V1818=0),"",(X1818-V1818)/V1818)</f>
        <v/>
      </c>
      <c r="Z1818" s="7">
        <f>IF(COUNT(D1818:U1818)=0,"",INDEX($D$1:$U$1,MATCH(MIN(D1818:U1818),D1818:U1818,0)))</f>
        <v/>
      </c>
      <c r="AA1818" s="8" t="n">
        <v>10.35</v>
      </c>
      <c r="AB1818" s="10" t="n">
        <v>1</v>
      </c>
    </row>
    <row r="1819">
      <c r="A1819" s="7" t="inlineStr">
        <is>
          <t>MAT-32-467</t>
        </is>
      </c>
      <c r="B1819" s="4" t="inlineStr">
        <is>
          <t>Reducción de plástico 1 1/4" x 3/4"</t>
        </is>
      </c>
      <c r="C1819" s="7" t="inlineStr">
        <is>
          <t>unidad</t>
        </is>
      </c>
      <c r="D1819" s="8" t="n"/>
      <c r="E1819" s="8" t="n">
        <v>2.33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>
        <f>IF(COUNT(D1819:U1819)=0,"",MIN(D1819:U1819))</f>
        <v/>
      </c>
      <c r="W1819" s="8">
        <f>IF(COUNT(D1819:U1819)=0,"",MEDIAN(D1819:U1819))</f>
        <v/>
      </c>
      <c r="X1819" s="8">
        <f>IF(COUNT(D1819:U1819)=0,"",MAX(D1819:U1819))</f>
        <v/>
      </c>
      <c r="Y1819" s="9">
        <f>IF(OR(V1819="",V1819=0),"",(X1819-V1819)/V1819)</f>
        <v/>
      </c>
      <c r="Z1819" s="7">
        <f>IF(COUNT(D1819:U1819)=0,"",INDEX($D$1:$U$1,MATCH(MIN(D1819:U1819),D1819:U1819,0)))</f>
        <v/>
      </c>
      <c r="AA1819" s="8" t="n">
        <v>2.33</v>
      </c>
      <c r="AB1819" s="10" t="n">
        <v>1</v>
      </c>
    </row>
    <row r="1820">
      <c r="A1820" s="7" t="inlineStr">
        <is>
          <t>MAT-32-468</t>
        </is>
      </c>
      <c r="B1820" s="4" t="inlineStr">
        <is>
          <t>Reducción de plástico 1 1/4" x 5/8"</t>
        </is>
      </c>
      <c r="C1820" s="7" t="inlineStr">
        <is>
          <t>unidad</t>
        </is>
      </c>
      <c r="D1820" s="8" t="n"/>
      <c r="E1820" s="8" t="n">
        <v>2.44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>
        <f>IF(COUNT(D1820:U1820)=0,"",MIN(D1820:U1820))</f>
        <v/>
      </c>
      <c r="W1820" s="8">
        <f>IF(COUNT(D1820:U1820)=0,"",MEDIAN(D1820:U1820))</f>
        <v/>
      </c>
      <c r="X1820" s="8">
        <f>IF(COUNT(D1820:U1820)=0,"",MAX(D1820:U1820))</f>
        <v/>
      </c>
      <c r="Y1820" s="9">
        <f>IF(OR(V1820="",V1820=0),"",(X1820-V1820)/V1820)</f>
        <v/>
      </c>
      <c r="Z1820" s="7">
        <f>IF(COUNT(D1820:U1820)=0,"",INDEX($D$1:$U$1,MATCH(MIN(D1820:U1820),D1820:U1820,0)))</f>
        <v/>
      </c>
      <c r="AA1820" s="8" t="n">
        <v>2.44</v>
      </c>
      <c r="AB1820" s="10" t="n">
        <v>1</v>
      </c>
    </row>
    <row r="1821">
      <c r="A1821" s="7" t="inlineStr">
        <is>
          <t>MAT-32-469</t>
        </is>
      </c>
      <c r="B1821" s="4" t="inlineStr">
        <is>
          <t>Reducción de plástico 1 1/4" x 7/8"</t>
        </is>
      </c>
      <c r="C1821" s="7" t="inlineStr">
        <is>
          <t>unidad</t>
        </is>
      </c>
      <c r="D1821" s="8" t="n"/>
      <c r="E1821" s="8" t="n">
        <v>8.800000000000001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>
        <f>IF(COUNT(D1821:U1821)=0,"",MIN(D1821:U1821))</f>
        <v/>
      </c>
      <c r="W1821" s="8">
        <f>IF(COUNT(D1821:U1821)=0,"",MEDIAN(D1821:U1821))</f>
        <v/>
      </c>
      <c r="X1821" s="8">
        <f>IF(COUNT(D1821:U1821)=0,"",MAX(D1821:U1821))</f>
        <v/>
      </c>
      <c r="Y1821" s="9">
        <f>IF(OR(V1821="",V1821=0),"",(X1821-V1821)/V1821)</f>
        <v/>
      </c>
      <c r="Z1821" s="7">
        <f>IF(COUNT(D1821:U1821)=0,"",INDEX($D$1:$U$1,MATCH(MIN(D1821:U1821),D1821:U1821,0)))</f>
        <v/>
      </c>
      <c r="AA1821" s="8" t="n">
        <v>8.800000000000001</v>
      </c>
      <c r="AB1821" s="10" t="n">
        <v>1</v>
      </c>
    </row>
    <row r="1822">
      <c r="A1822" s="7" t="inlineStr">
        <is>
          <t>MAT-32-470</t>
        </is>
      </c>
      <c r="B1822" s="4" t="inlineStr">
        <is>
          <t>Reducción de PPR 20 mm</t>
        </is>
      </c>
      <c r="C1822" s="7" t="inlineStr">
        <is>
          <t>unidad</t>
        </is>
      </c>
      <c r="D1822" s="8" t="n"/>
      <c r="E1822" s="8" t="n">
        <v>5.59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>
        <f>IF(COUNT(D1822:U1822)=0,"",MIN(D1822:U1822))</f>
        <v/>
      </c>
      <c r="W1822" s="8">
        <f>IF(COUNT(D1822:U1822)=0,"",MEDIAN(D1822:U1822))</f>
        <v/>
      </c>
      <c r="X1822" s="8">
        <f>IF(COUNT(D1822:U1822)=0,"",MAX(D1822:U1822))</f>
        <v/>
      </c>
      <c r="Y1822" s="9">
        <f>IF(OR(V1822="",V1822=0),"",(X1822-V1822)/V1822)</f>
        <v/>
      </c>
      <c r="Z1822" s="7">
        <f>IF(COUNT(D1822:U1822)=0,"",INDEX($D$1:$U$1,MATCH(MIN(D1822:U1822),D1822:U1822,0)))</f>
        <v/>
      </c>
      <c r="AA1822" s="8" t="n">
        <v>6.84</v>
      </c>
      <c r="AB1822" s="10" t="n">
        <v>1</v>
      </c>
    </row>
    <row r="1823">
      <c r="A1823" s="7" t="inlineStr">
        <is>
          <t>MAT-32-471</t>
        </is>
      </c>
      <c r="B1823" s="4" t="inlineStr">
        <is>
          <t>Reducción de PPR 25 mm</t>
        </is>
      </c>
      <c r="C1823" s="7" t="inlineStr">
        <is>
          <t>unidad</t>
        </is>
      </c>
      <c r="D1823" s="8" t="n"/>
      <c r="E1823" s="8" t="n">
        <v>7.98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>
        <f>IF(COUNT(D1823:U1823)=0,"",MIN(D1823:U1823))</f>
        <v/>
      </c>
      <c r="W1823" s="8">
        <f>IF(COUNT(D1823:U1823)=0,"",MEDIAN(D1823:U1823))</f>
        <v/>
      </c>
      <c r="X1823" s="8">
        <f>IF(COUNT(D1823:U1823)=0,"",MAX(D1823:U1823))</f>
        <v/>
      </c>
      <c r="Y1823" s="9">
        <f>IF(OR(V1823="",V1823=0),"",(X1823-V1823)/V1823)</f>
        <v/>
      </c>
      <c r="Z1823" s="7">
        <f>IF(COUNT(D1823:U1823)=0,"",INDEX($D$1:$U$1,MATCH(MIN(D1823:U1823),D1823:U1823,0)))</f>
        <v/>
      </c>
      <c r="AA1823" s="8" t="n">
        <v>13.91</v>
      </c>
      <c r="AB1823" s="10" t="n">
        <v>1</v>
      </c>
    </row>
    <row r="1824">
      <c r="A1824" s="7" t="inlineStr">
        <is>
          <t>MAT-32-472</t>
        </is>
      </c>
      <c r="B1824" s="4" t="inlineStr">
        <is>
          <t>Reducción de PPR 25 mm x 20 mm</t>
        </is>
      </c>
      <c r="C1824" s="7" t="inlineStr">
        <is>
          <t>unidad</t>
        </is>
      </c>
      <c r="D1824" s="8" t="n"/>
      <c r="E1824" s="8" t="n"/>
      <c r="F1824" s="8" t="n"/>
      <c r="G1824" s="8" t="n">
        <v>53</v>
      </c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>
        <f>IF(COUNT(D1824:U1824)=0,"",MIN(D1824:U1824))</f>
        <v/>
      </c>
      <c r="W1824" s="8">
        <f>IF(COUNT(D1824:U1824)=0,"",MEDIAN(D1824:U1824))</f>
        <v/>
      </c>
      <c r="X1824" s="8">
        <f>IF(COUNT(D1824:U1824)=0,"",MAX(D1824:U1824))</f>
        <v/>
      </c>
      <c r="Y1824" s="9">
        <f>IF(OR(V1824="",V1824=0),"",(X1824-V1824)/V1824)</f>
        <v/>
      </c>
      <c r="Z1824" s="7">
        <f>IF(COUNT(D1824:U1824)=0,"",INDEX($D$1:$U$1,MATCH(MIN(D1824:U1824),D1824:U1824,0)))</f>
        <v/>
      </c>
      <c r="AA1824" s="8" t="n">
        <v>53</v>
      </c>
      <c r="AB1824" s="10" t="n">
        <v>1</v>
      </c>
    </row>
    <row r="1825">
      <c r="A1825" s="7" t="inlineStr">
        <is>
          <t>MAT-32-473</t>
        </is>
      </c>
      <c r="B1825" s="4" t="inlineStr">
        <is>
          <t>Reducción de PPR 32 mm</t>
        </is>
      </c>
      <c r="C1825" s="7" t="inlineStr">
        <is>
          <t>unidad</t>
        </is>
      </c>
      <c r="D1825" s="8" t="n"/>
      <c r="E1825" s="8" t="n">
        <v>22.53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>
        <f>IF(COUNT(D1825:U1825)=0,"",MIN(D1825:U1825))</f>
        <v/>
      </c>
      <c r="W1825" s="8">
        <f>IF(COUNT(D1825:U1825)=0,"",MEDIAN(D1825:U1825))</f>
        <v/>
      </c>
      <c r="X1825" s="8">
        <f>IF(COUNT(D1825:U1825)=0,"",MAX(D1825:U1825))</f>
        <v/>
      </c>
      <c r="Y1825" s="9">
        <f>IF(OR(V1825="",V1825=0),"",(X1825-V1825)/V1825)</f>
        <v/>
      </c>
      <c r="Z1825" s="7">
        <f>IF(COUNT(D1825:U1825)=0,"",INDEX($D$1:$U$1,MATCH(MIN(D1825:U1825),D1825:U1825,0)))</f>
        <v/>
      </c>
      <c r="AA1825" s="8" t="n">
        <v>22.53</v>
      </c>
      <c r="AB1825" s="10" t="n">
        <v>1</v>
      </c>
    </row>
    <row r="1826">
      <c r="A1826" s="7" t="inlineStr">
        <is>
          <t>MAT-32-474</t>
        </is>
      </c>
      <c r="B1826" s="4" t="inlineStr">
        <is>
          <t>Reducción de PVC drenaje 1 1/2" x 1"</t>
        </is>
      </c>
      <c r="C1826" s="7" t="inlineStr">
        <is>
          <t>unidad</t>
        </is>
      </c>
      <c r="D1826" s="8" t="n"/>
      <c r="E1826" s="8" t="n">
        <v>15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>
        <f>IF(COUNT(D1826:U1826)=0,"",MIN(D1826:U1826))</f>
        <v/>
      </c>
      <c r="W1826" s="8">
        <f>IF(COUNT(D1826:U1826)=0,"",MEDIAN(D1826:U1826))</f>
        <v/>
      </c>
      <c r="X1826" s="8">
        <f>IF(COUNT(D1826:U1826)=0,"",MAX(D1826:U1826))</f>
        <v/>
      </c>
      <c r="Y1826" s="9">
        <f>IF(OR(V1826="",V1826=0),"",(X1826-V1826)/V1826)</f>
        <v/>
      </c>
      <c r="Z1826" s="7">
        <f>IF(COUNT(D1826:U1826)=0,"",INDEX($D$1:$U$1,MATCH(MIN(D1826:U1826),D1826:U1826,0)))</f>
        <v/>
      </c>
      <c r="AA1826" s="8" t="n">
        <v>15</v>
      </c>
      <c r="AB1826" s="10" t="n">
        <v>1</v>
      </c>
    </row>
    <row r="1827">
      <c r="A1827" s="7" t="inlineStr">
        <is>
          <t>MAT-32-475</t>
        </is>
      </c>
      <c r="B1827" s="4" t="inlineStr">
        <is>
          <t>Reducción de PVC drenaje 2" x 1/2"</t>
        </is>
      </c>
      <c r="C1827" s="7" t="inlineStr">
        <is>
          <t>unidad</t>
        </is>
      </c>
      <c r="D1827" s="8" t="n"/>
      <c r="E1827" s="8" t="n">
        <v>14.69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>
        <f>IF(COUNT(D1827:U1827)=0,"",MIN(D1827:U1827))</f>
        <v/>
      </c>
      <c r="W1827" s="8">
        <f>IF(COUNT(D1827:U1827)=0,"",MEDIAN(D1827:U1827))</f>
        <v/>
      </c>
      <c r="X1827" s="8">
        <f>IF(COUNT(D1827:U1827)=0,"",MAX(D1827:U1827))</f>
        <v/>
      </c>
      <c r="Y1827" s="9">
        <f>IF(OR(V1827="",V1827=0),"",(X1827-V1827)/V1827)</f>
        <v/>
      </c>
      <c r="Z1827" s="7">
        <f>IF(COUNT(D1827:U1827)=0,"",INDEX($D$1:$U$1,MATCH(MIN(D1827:U1827),D1827:U1827,0)))</f>
        <v/>
      </c>
      <c r="AA1827" s="8" t="n">
        <v>14.69</v>
      </c>
      <c r="AB1827" s="10" t="n">
        <v>1</v>
      </c>
    </row>
    <row r="1828">
      <c r="A1828" s="7" t="inlineStr">
        <is>
          <t>MAT-32-476</t>
        </is>
      </c>
      <c r="B1828" s="4" t="inlineStr">
        <is>
          <t>Reducción de PVC drenaje 2" x 1"</t>
        </is>
      </c>
      <c r="C1828" s="7" t="inlineStr">
        <is>
          <t>unidad</t>
        </is>
      </c>
      <c r="D1828" s="8" t="n"/>
      <c r="E1828" s="8" t="n">
        <v>14.96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>
        <f>IF(COUNT(D1828:U1828)=0,"",MIN(D1828:U1828))</f>
        <v/>
      </c>
      <c r="W1828" s="8">
        <f>IF(COUNT(D1828:U1828)=0,"",MEDIAN(D1828:U1828))</f>
        <v/>
      </c>
      <c r="X1828" s="8">
        <f>IF(COUNT(D1828:U1828)=0,"",MAX(D1828:U1828))</f>
        <v/>
      </c>
      <c r="Y1828" s="9">
        <f>IF(OR(V1828="",V1828=0),"",(X1828-V1828)/V1828)</f>
        <v/>
      </c>
      <c r="Z1828" s="7">
        <f>IF(COUNT(D1828:U1828)=0,"",INDEX($D$1:$U$1,MATCH(MIN(D1828:U1828),D1828:U1828,0)))</f>
        <v/>
      </c>
      <c r="AA1828" s="8" t="n">
        <v>14.96</v>
      </c>
      <c r="AB1828" s="10" t="n">
        <v>1</v>
      </c>
    </row>
    <row r="1829">
      <c r="A1829" s="7" t="inlineStr">
        <is>
          <t>MAT-32-477</t>
        </is>
      </c>
      <c r="B1829" s="4" t="inlineStr">
        <is>
          <t>Reducción de PVC drenaje 2" x 3/4"</t>
        </is>
      </c>
      <c r="C1829" s="7" t="inlineStr">
        <is>
          <t>unidad</t>
        </is>
      </c>
      <c r="D1829" s="8" t="n"/>
      <c r="E1829" s="8" t="n">
        <v>14.52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>
        <f>IF(COUNT(D1829:U1829)=0,"",MIN(D1829:U1829))</f>
        <v/>
      </c>
      <c r="W1829" s="8">
        <f>IF(COUNT(D1829:U1829)=0,"",MEDIAN(D1829:U1829))</f>
        <v/>
      </c>
      <c r="X1829" s="8">
        <f>IF(COUNT(D1829:U1829)=0,"",MAX(D1829:U1829))</f>
        <v/>
      </c>
      <c r="Y1829" s="9">
        <f>IF(OR(V1829="",V1829=0),"",(X1829-V1829)/V1829)</f>
        <v/>
      </c>
      <c r="Z1829" s="7">
        <f>IF(COUNT(D1829:U1829)=0,"",INDEX($D$1:$U$1,MATCH(MIN(D1829:U1829),D1829:U1829,0)))</f>
        <v/>
      </c>
      <c r="AA1829" s="8" t="n">
        <v>14.52</v>
      </c>
      <c r="AB1829" s="10" t="n">
        <v>1</v>
      </c>
    </row>
    <row r="1830">
      <c r="A1830" s="7" t="inlineStr">
        <is>
          <t>MAT-32-478</t>
        </is>
      </c>
      <c r="B1830" s="4" t="inlineStr">
        <is>
          <t>Reducción de PVC drenaje 3" x 2"</t>
        </is>
      </c>
      <c r="C1830" s="7" t="inlineStr">
        <is>
          <t>unidad</t>
        </is>
      </c>
      <c r="D1830" s="8" t="n"/>
      <c r="E1830" s="8" t="n">
        <v>28.6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>
        <f>IF(COUNT(D1830:U1830)=0,"",MIN(D1830:U1830))</f>
        <v/>
      </c>
      <c r="W1830" s="8">
        <f>IF(COUNT(D1830:U1830)=0,"",MEDIAN(D1830:U1830))</f>
        <v/>
      </c>
      <c r="X1830" s="8">
        <f>IF(COUNT(D1830:U1830)=0,"",MAX(D1830:U1830))</f>
        <v/>
      </c>
      <c r="Y1830" s="9">
        <f>IF(OR(V1830="",V1830=0),"",(X1830-V1830)/V1830)</f>
        <v/>
      </c>
      <c r="Z1830" s="7">
        <f>IF(COUNT(D1830:U1830)=0,"",INDEX($D$1:$U$1,MATCH(MIN(D1830:U1830),D1830:U1830,0)))</f>
        <v/>
      </c>
      <c r="AA1830" s="8" t="n">
        <v>31.93</v>
      </c>
      <c r="AB1830" s="10" t="n">
        <v>1</v>
      </c>
    </row>
    <row r="1831">
      <c r="A1831" s="7" t="inlineStr">
        <is>
          <t>MAT-32-479</t>
        </is>
      </c>
      <c r="B1831" s="4" t="inlineStr">
        <is>
          <t>Reducción de PVC drenaje 4" x 2"</t>
        </is>
      </c>
      <c r="C1831" s="7" t="inlineStr">
        <is>
          <t>unidad</t>
        </is>
      </c>
      <c r="D1831" s="8" t="n"/>
      <c r="E1831" s="8" t="n">
        <v>57.06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>
        <f>IF(COUNT(D1831:U1831)=0,"",MIN(D1831:U1831))</f>
        <v/>
      </c>
      <c r="W1831" s="8">
        <f>IF(COUNT(D1831:U1831)=0,"",MEDIAN(D1831:U1831))</f>
        <v/>
      </c>
      <c r="X1831" s="8">
        <f>IF(COUNT(D1831:U1831)=0,"",MAX(D1831:U1831))</f>
        <v/>
      </c>
      <c r="Y1831" s="9">
        <f>IF(OR(V1831="",V1831=0),"",(X1831-V1831)/V1831)</f>
        <v/>
      </c>
      <c r="Z1831" s="7">
        <f>IF(COUNT(D1831:U1831)=0,"",INDEX($D$1:$U$1,MATCH(MIN(D1831:U1831),D1831:U1831,0)))</f>
        <v/>
      </c>
      <c r="AA1831" s="8" t="n">
        <v>66.90000000000001</v>
      </c>
      <c r="AB1831" s="10" t="n">
        <v>1</v>
      </c>
    </row>
    <row r="1832">
      <c r="A1832" s="7" t="inlineStr">
        <is>
          <t>MAT-32-480</t>
        </is>
      </c>
      <c r="B1832" s="4" t="inlineStr">
        <is>
          <t>Reducción de PVC drenaje 4" x 3"</t>
        </is>
      </c>
      <c r="C1832" s="7" t="inlineStr">
        <is>
          <t>unidad</t>
        </is>
      </c>
      <c r="D1832" s="8" t="n"/>
      <c r="E1832" s="8" t="n">
        <v>52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>
        <f>IF(COUNT(D1832:U1832)=0,"",MIN(D1832:U1832))</f>
        <v/>
      </c>
      <c r="W1832" s="8">
        <f>IF(COUNT(D1832:U1832)=0,"",MEDIAN(D1832:U1832))</f>
        <v/>
      </c>
      <c r="X1832" s="8">
        <f>IF(COUNT(D1832:U1832)=0,"",MAX(D1832:U1832))</f>
        <v/>
      </c>
      <c r="Y1832" s="9">
        <f>IF(OR(V1832="",V1832=0),"",(X1832-V1832)/V1832)</f>
        <v/>
      </c>
      <c r="Z1832" s="7">
        <f>IF(COUNT(D1832:U1832)=0,"",INDEX($D$1:$U$1,MATCH(MIN(D1832:U1832),D1832:U1832,0)))</f>
        <v/>
      </c>
      <c r="AA1832" s="8" t="n">
        <v>59.26</v>
      </c>
      <c r="AB1832" s="10" t="n">
        <v>1</v>
      </c>
    </row>
    <row r="1833">
      <c r="A1833" s="7" t="inlineStr">
        <is>
          <t>MAT-32-481</t>
        </is>
      </c>
      <c r="B1833" s="4" t="inlineStr">
        <is>
          <t>Reducción de PVC 1 1/2" x 1/2"</t>
        </is>
      </c>
      <c r="C1833" s="7" t="inlineStr">
        <is>
          <t>unidad</t>
        </is>
      </c>
      <c r="D1833" s="8" t="n"/>
      <c r="E1833" s="8" t="n"/>
      <c r="F1833" s="8" t="n"/>
      <c r="G1833" s="8" t="n">
        <v>63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>
        <f>IF(COUNT(D1833:U1833)=0,"",MIN(D1833:U1833))</f>
        <v/>
      </c>
      <c r="W1833" s="8">
        <f>IF(COUNT(D1833:U1833)=0,"",MEDIAN(D1833:U1833))</f>
        <v/>
      </c>
      <c r="X1833" s="8">
        <f>IF(COUNT(D1833:U1833)=0,"",MAX(D1833:U1833))</f>
        <v/>
      </c>
      <c r="Y1833" s="9">
        <f>IF(OR(V1833="",V1833=0),"",(X1833-V1833)/V1833)</f>
        <v/>
      </c>
      <c r="Z1833" s="7">
        <f>IF(COUNT(D1833:U1833)=0,"",INDEX($D$1:$U$1,MATCH(MIN(D1833:U1833),D1833:U1833,0)))</f>
        <v/>
      </c>
      <c r="AA1833" s="8" t="n">
        <v>63</v>
      </c>
      <c r="AB1833" s="10" t="n">
        <v>1</v>
      </c>
    </row>
    <row r="1834">
      <c r="A1834" s="7" t="inlineStr">
        <is>
          <t>MAT-32-482</t>
        </is>
      </c>
      <c r="B1834" s="4" t="inlineStr">
        <is>
          <t>Reducción de PVC 1 1/2" x 1"</t>
        </is>
      </c>
      <c r="C1834" s="7" t="inlineStr">
        <is>
          <t>unidad</t>
        </is>
      </c>
      <c r="D1834" s="8" t="n"/>
      <c r="E1834" s="8" t="n"/>
      <c r="F1834" s="8" t="n"/>
      <c r="G1834" s="8" t="n">
        <v>111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>
        <f>IF(COUNT(D1834:U1834)=0,"",MIN(D1834:U1834))</f>
        <v/>
      </c>
      <c r="W1834" s="8">
        <f>IF(COUNT(D1834:U1834)=0,"",MEDIAN(D1834:U1834))</f>
        <v/>
      </c>
      <c r="X1834" s="8">
        <f>IF(COUNT(D1834:U1834)=0,"",MAX(D1834:U1834))</f>
        <v/>
      </c>
      <c r="Y1834" s="9">
        <f>IF(OR(V1834="",V1834=0),"",(X1834-V1834)/V1834)</f>
        <v/>
      </c>
      <c r="Z1834" s="7">
        <f>IF(COUNT(D1834:U1834)=0,"",INDEX($D$1:$U$1,MATCH(MIN(D1834:U1834),D1834:U1834,0)))</f>
        <v/>
      </c>
      <c r="AA1834" s="8" t="n">
        <v>111</v>
      </c>
      <c r="AB1834" s="10" t="n">
        <v>1</v>
      </c>
    </row>
    <row r="1835">
      <c r="A1835" s="7" t="inlineStr">
        <is>
          <t>MAT-32-483</t>
        </is>
      </c>
      <c r="B1835" s="4" t="inlineStr">
        <is>
          <t>Reducción de PVC 1 1/2" x 3/4"</t>
        </is>
      </c>
      <c r="C1835" s="7" t="inlineStr">
        <is>
          <t>unidad</t>
        </is>
      </c>
      <c r="D1835" s="8" t="n"/>
      <c r="E1835" s="8" t="n"/>
      <c r="F1835" s="8" t="n"/>
      <c r="G1835" s="8" t="n">
        <v>85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>
        <f>IF(COUNT(D1835:U1835)=0,"",MIN(D1835:U1835))</f>
        <v/>
      </c>
      <c r="W1835" s="8">
        <f>IF(COUNT(D1835:U1835)=0,"",MEDIAN(D1835:U1835))</f>
        <v/>
      </c>
      <c r="X1835" s="8">
        <f>IF(COUNT(D1835:U1835)=0,"",MAX(D1835:U1835))</f>
        <v/>
      </c>
      <c r="Y1835" s="9">
        <f>IF(OR(V1835="",V1835=0),"",(X1835-V1835)/V1835)</f>
        <v/>
      </c>
      <c r="Z1835" s="7">
        <f>IF(COUNT(D1835:U1835)=0,"",INDEX($D$1:$U$1,MATCH(MIN(D1835:U1835),D1835:U1835,0)))</f>
        <v/>
      </c>
      <c r="AA1835" s="8" t="n">
        <v>85</v>
      </c>
      <c r="AB1835" s="10" t="n">
        <v>1</v>
      </c>
    </row>
    <row r="1836">
      <c r="A1836" s="7" t="inlineStr">
        <is>
          <t>MAT-32-484</t>
        </is>
      </c>
      <c r="B1836" s="4" t="inlineStr">
        <is>
          <t>Reducción de PVC 12" x 8"</t>
        </is>
      </c>
      <c r="C1836" s="7" t="inlineStr">
        <is>
          <t>unidad</t>
        </is>
      </c>
      <c r="D1836" s="8" t="n"/>
      <c r="E1836" s="8" t="n">
        <v>13614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>
        <f>IF(COUNT(D1836:U1836)=0,"",MIN(D1836:U1836))</f>
        <v/>
      </c>
      <c r="W1836" s="8">
        <f>IF(COUNT(D1836:U1836)=0,"",MEDIAN(D1836:U1836))</f>
        <v/>
      </c>
      <c r="X1836" s="8">
        <f>IF(COUNT(D1836:U1836)=0,"",MAX(D1836:U1836))</f>
        <v/>
      </c>
      <c r="Y1836" s="9">
        <f>IF(OR(V1836="",V1836=0),"",(X1836-V1836)/V1836)</f>
        <v/>
      </c>
      <c r="Z1836" s="7">
        <f>IF(COUNT(D1836:U1836)=0,"",INDEX($D$1:$U$1,MATCH(MIN(D1836:U1836),D1836:U1836,0)))</f>
        <v/>
      </c>
      <c r="AA1836" s="8" t="n">
        <v>13614</v>
      </c>
      <c r="AB1836" s="10" t="n">
        <v>1</v>
      </c>
    </row>
    <row r="1837">
      <c r="A1837" s="7" t="inlineStr">
        <is>
          <t>MAT-32-485</t>
        </is>
      </c>
      <c r="B1837" s="4" t="inlineStr">
        <is>
          <t>Reducción de PVC 16" x 12"</t>
        </is>
      </c>
      <c r="C1837" s="7" t="inlineStr">
        <is>
          <t>unidad</t>
        </is>
      </c>
      <c r="D1837" s="8" t="n"/>
      <c r="E1837" s="8" t="n">
        <v>9256.889999999999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>
        <f>IF(COUNT(D1837:U1837)=0,"",MIN(D1837:U1837))</f>
        <v/>
      </c>
      <c r="W1837" s="8">
        <f>IF(COUNT(D1837:U1837)=0,"",MEDIAN(D1837:U1837))</f>
        <v/>
      </c>
      <c r="X1837" s="8">
        <f>IF(COUNT(D1837:U1837)=0,"",MAX(D1837:U1837))</f>
        <v/>
      </c>
      <c r="Y1837" s="9">
        <f>IF(OR(V1837="",V1837=0),"",(X1837-V1837)/V1837)</f>
        <v/>
      </c>
      <c r="Z1837" s="7">
        <f>IF(COUNT(D1837:U1837)=0,"",INDEX($D$1:$U$1,MATCH(MIN(D1837:U1837),D1837:U1837,0)))</f>
        <v/>
      </c>
      <c r="AA1837" s="8" t="n">
        <v>9256.889999999999</v>
      </c>
      <c r="AB1837" s="10" t="n">
        <v>1</v>
      </c>
    </row>
    <row r="1838">
      <c r="A1838" s="7" t="inlineStr">
        <is>
          <t>MAT-32-486</t>
        </is>
      </c>
      <c r="B1838" s="4" t="inlineStr">
        <is>
          <t>Reducción de PVC 2" x 1 1/2"</t>
        </is>
      </c>
      <c r="C1838" s="7" t="inlineStr">
        <is>
          <t>unidad</t>
        </is>
      </c>
      <c r="D1838" s="8" t="n"/>
      <c r="E1838" s="8" t="n"/>
      <c r="F1838" s="8" t="n"/>
      <c r="G1838" s="8" t="n">
        <v>234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>
        <f>IF(COUNT(D1838:U1838)=0,"",MIN(D1838:U1838))</f>
        <v/>
      </c>
      <c r="W1838" s="8">
        <f>IF(COUNT(D1838:U1838)=0,"",MEDIAN(D1838:U1838))</f>
        <v/>
      </c>
      <c r="X1838" s="8">
        <f>IF(COUNT(D1838:U1838)=0,"",MAX(D1838:U1838))</f>
        <v/>
      </c>
      <c r="Y1838" s="9">
        <f>IF(OR(V1838="",V1838=0),"",(X1838-V1838)/V1838)</f>
        <v/>
      </c>
      <c r="Z1838" s="7">
        <f>IF(COUNT(D1838:U1838)=0,"",INDEX($D$1:$U$1,MATCH(MIN(D1838:U1838),D1838:U1838,0)))</f>
        <v/>
      </c>
      <c r="AA1838" s="8" t="n">
        <v>234</v>
      </c>
      <c r="AB1838" s="10" t="n">
        <v>1</v>
      </c>
    </row>
    <row r="1839">
      <c r="A1839" s="7" t="inlineStr">
        <is>
          <t>MAT-32-487</t>
        </is>
      </c>
      <c r="B1839" s="4" t="inlineStr">
        <is>
          <t>Reducción de PVC 3/4" x 1/2"</t>
        </is>
      </c>
      <c r="C1839" s="7" t="inlineStr">
        <is>
          <t>unidad</t>
        </is>
      </c>
      <c r="D1839" s="8" t="n"/>
      <c r="E1839" s="8" t="n">
        <v>5.77</v>
      </c>
      <c r="F1839" s="8" t="n"/>
      <c r="G1839" s="8" t="n">
        <v>46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>
        <f>IF(COUNT(D1839:U1839)=0,"",MIN(D1839:U1839))</f>
        <v/>
      </c>
      <c r="W1839" s="8">
        <f>IF(COUNT(D1839:U1839)=0,"",MEDIAN(D1839:U1839))</f>
        <v/>
      </c>
      <c r="X1839" s="8">
        <f>IF(COUNT(D1839:U1839)=0,"",MAX(D1839:U1839))</f>
        <v/>
      </c>
      <c r="Y1839" s="9">
        <f>IF(OR(V1839="",V1839=0),"",(X1839-V1839)/V1839)</f>
        <v/>
      </c>
      <c r="Z1839" s="7">
        <f>IF(COUNT(D1839:U1839)=0,"",INDEX($D$1:$U$1,MATCH(MIN(D1839:U1839),D1839:U1839,0)))</f>
        <v/>
      </c>
      <c r="AA1839" s="8" t="n">
        <v>21.47</v>
      </c>
      <c r="AB1839" s="10" t="n">
        <v>2</v>
      </c>
    </row>
    <row r="1840">
      <c r="A1840" s="7" t="inlineStr">
        <is>
          <t>MAT-32-488</t>
        </is>
      </c>
      <c r="B1840" s="4" t="inlineStr">
        <is>
          <t>Reducción de PVC 4" x 2"</t>
        </is>
      </c>
      <c r="C1840" s="7" t="inlineStr">
        <is>
          <t>unidad</t>
        </is>
      </c>
      <c r="D1840" s="8" t="n"/>
      <c r="E1840" s="8" t="n">
        <v>348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>
        <f>IF(COUNT(D1840:U1840)=0,"",MIN(D1840:U1840))</f>
        <v/>
      </c>
      <c r="W1840" s="8">
        <f>IF(COUNT(D1840:U1840)=0,"",MEDIAN(D1840:U1840))</f>
        <v/>
      </c>
      <c r="X1840" s="8">
        <f>IF(COUNT(D1840:U1840)=0,"",MAX(D1840:U1840))</f>
        <v/>
      </c>
      <c r="Y1840" s="9">
        <f>IF(OR(V1840="",V1840=0),"",(X1840-V1840)/V1840)</f>
        <v/>
      </c>
      <c r="Z1840" s="7">
        <f>IF(COUNT(D1840:U1840)=0,"",INDEX($D$1:$U$1,MATCH(MIN(D1840:U1840),D1840:U1840,0)))</f>
        <v/>
      </c>
      <c r="AA1840" s="8" t="n">
        <v>348</v>
      </c>
      <c r="AB1840" s="10" t="n">
        <v>1</v>
      </c>
    </row>
    <row r="1841">
      <c r="A1841" s="7" t="inlineStr">
        <is>
          <t>MAT-32-489</t>
        </is>
      </c>
      <c r="B1841" s="4" t="inlineStr">
        <is>
          <t>Reducción de PVC 4" x 3"</t>
        </is>
      </c>
      <c r="C1841" s="7" t="inlineStr">
        <is>
          <t>unidad</t>
        </is>
      </c>
      <c r="D1841" s="8" t="n"/>
      <c r="E1841" s="8" t="n">
        <v>122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>
        <f>IF(COUNT(D1841:U1841)=0,"",MIN(D1841:U1841))</f>
        <v/>
      </c>
      <c r="W1841" s="8">
        <f>IF(COUNT(D1841:U1841)=0,"",MEDIAN(D1841:U1841))</f>
        <v/>
      </c>
      <c r="X1841" s="8">
        <f>IF(COUNT(D1841:U1841)=0,"",MAX(D1841:U1841))</f>
        <v/>
      </c>
      <c r="Y1841" s="9">
        <f>IF(OR(V1841="",V1841=0),"",(X1841-V1841)/V1841)</f>
        <v/>
      </c>
      <c r="Z1841" s="7">
        <f>IF(COUNT(D1841:U1841)=0,"",INDEX($D$1:$U$1,MATCH(MIN(D1841:U1841),D1841:U1841,0)))</f>
        <v/>
      </c>
      <c r="AA1841" s="8" t="n">
        <v>376</v>
      </c>
      <c r="AB1841" s="10" t="n">
        <v>1</v>
      </c>
    </row>
    <row r="1842">
      <c r="A1842" s="7" t="inlineStr">
        <is>
          <t>MAT-32-490</t>
        </is>
      </c>
      <c r="B1842" s="4" t="inlineStr">
        <is>
          <t>Reducción de PVC presión 1 1/2"</t>
        </is>
      </c>
      <c r="C1842" s="7" t="inlineStr">
        <is>
          <t>unidad</t>
        </is>
      </c>
      <c r="D1842" s="8" t="n"/>
      <c r="E1842" s="8" t="n">
        <v>25.53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>
        <f>IF(COUNT(D1842:U1842)=0,"",MIN(D1842:U1842))</f>
        <v/>
      </c>
      <c r="W1842" s="8">
        <f>IF(COUNT(D1842:U1842)=0,"",MEDIAN(D1842:U1842))</f>
        <v/>
      </c>
      <c r="X1842" s="8">
        <f>IF(COUNT(D1842:U1842)=0,"",MAX(D1842:U1842))</f>
        <v/>
      </c>
      <c r="Y1842" s="9">
        <f>IF(OR(V1842="",V1842=0),"",(X1842-V1842)/V1842)</f>
        <v/>
      </c>
      <c r="Z1842" s="7">
        <f>IF(COUNT(D1842:U1842)=0,"",INDEX($D$1:$U$1,MATCH(MIN(D1842:U1842),D1842:U1842,0)))</f>
        <v/>
      </c>
      <c r="AA1842" s="8" t="n">
        <v>25.53</v>
      </c>
      <c r="AB1842" s="10" t="n">
        <v>1</v>
      </c>
    </row>
    <row r="1843">
      <c r="A1843" s="7" t="inlineStr">
        <is>
          <t>MAT-32-491</t>
        </is>
      </c>
      <c r="B1843" s="4" t="inlineStr">
        <is>
          <t>Reducción de PVC presión 1 1/2" x 1/2"</t>
        </is>
      </c>
      <c r="C1843" s="7" t="inlineStr">
        <is>
          <t>unidad</t>
        </is>
      </c>
      <c r="D1843" s="8" t="n"/>
      <c r="E1843" s="8" t="n">
        <v>26.39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>
        <f>IF(COUNT(D1843:U1843)=0,"",MIN(D1843:U1843))</f>
        <v/>
      </c>
      <c r="W1843" s="8">
        <f>IF(COUNT(D1843:U1843)=0,"",MEDIAN(D1843:U1843))</f>
        <v/>
      </c>
      <c r="X1843" s="8">
        <f>IF(COUNT(D1843:U1843)=0,"",MAX(D1843:U1843))</f>
        <v/>
      </c>
      <c r="Y1843" s="9">
        <f>IF(OR(V1843="",V1843=0),"",(X1843-V1843)/V1843)</f>
        <v/>
      </c>
      <c r="Z1843" s="7">
        <f>IF(COUNT(D1843:U1843)=0,"",INDEX($D$1:$U$1,MATCH(MIN(D1843:U1843),D1843:U1843,0)))</f>
        <v/>
      </c>
      <c r="AA1843" s="8" t="n">
        <v>26.39</v>
      </c>
      <c r="AB1843" s="10" t="n">
        <v>1</v>
      </c>
    </row>
    <row r="1844">
      <c r="A1844" s="7" t="inlineStr">
        <is>
          <t>MAT-32-492</t>
        </is>
      </c>
      <c r="B1844" s="4" t="inlineStr">
        <is>
          <t>Reducción de PVC presión 1" x 1/2"</t>
        </is>
      </c>
      <c r="C1844" s="7" t="inlineStr">
        <is>
          <t>unidad</t>
        </is>
      </c>
      <c r="D1844" s="8" t="n"/>
      <c r="E1844" s="8" t="n">
        <v>7.7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>
        <f>IF(COUNT(D1844:U1844)=0,"",MIN(D1844:U1844))</f>
        <v/>
      </c>
      <c r="W1844" s="8">
        <f>IF(COUNT(D1844:U1844)=0,"",MEDIAN(D1844:U1844))</f>
        <v/>
      </c>
      <c r="X1844" s="8">
        <f>IF(COUNT(D1844:U1844)=0,"",MAX(D1844:U1844))</f>
        <v/>
      </c>
      <c r="Y1844" s="9">
        <f>IF(OR(V1844="",V1844=0),"",(X1844-V1844)/V1844)</f>
        <v/>
      </c>
      <c r="Z1844" s="7">
        <f>IF(COUNT(D1844:U1844)=0,"",INDEX($D$1:$U$1,MATCH(MIN(D1844:U1844),D1844:U1844,0)))</f>
        <v/>
      </c>
      <c r="AA1844" s="8" t="n">
        <v>9.130000000000001</v>
      </c>
      <c r="AB1844" s="10" t="n">
        <v>1</v>
      </c>
    </row>
    <row r="1845">
      <c r="A1845" s="7" t="inlineStr">
        <is>
          <t>MAT-32-493</t>
        </is>
      </c>
      <c r="B1845" s="4" t="inlineStr">
        <is>
          <t>Reducción de PVC presión 1" x 3/4"</t>
        </is>
      </c>
      <c r="C1845" s="7" t="inlineStr">
        <is>
          <t>unidad</t>
        </is>
      </c>
      <c r="D1845" s="8" t="n"/>
      <c r="E1845" s="8" t="n">
        <v>6.11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>
        <f>IF(COUNT(D1845:U1845)=0,"",MIN(D1845:U1845))</f>
        <v/>
      </c>
      <c r="W1845" s="8">
        <f>IF(COUNT(D1845:U1845)=0,"",MEDIAN(D1845:U1845))</f>
        <v/>
      </c>
      <c r="X1845" s="8">
        <f>IF(COUNT(D1845:U1845)=0,"",MAX(D1845:U1845))</f>
        <v/>
      </c>
      <c r="Y1845" s="9">
        <f>IF(OR(V1845="",V1845=0),"",(X1845-V1845)/V1845)</f>
        <v/>
      </c>
      <c r="Z1845" s="7">
        <f>IF(COUNT(D1845:U1845)=0,"",INDEX($D$1:$U$1,MATCH(MIN(D1845:U1845),D1845:U1845,0)))</f>
        <v/>
      </c>
      <c r="AA1845" s="8" t="n">
        <v>7.19</v>
      </c>
      <c r="AB1845" s="10" t="n">
        <v>1</v>
      </c>
    </row>
    <row r="1846">
      <c r="A1846" s="7" t="inlineStr">
        <is>
          <t>MAT-32-494</t>
        </is>
      </c>
      <c r="B1846" s="4" t="inlineStr">
        <is>
          <t>Reducción de PVC presión 2" x 1 1/2"</t>
        </is>
      </c>
      <c r="C1846" s="7" t="inlineStr">
        <is>
          <t>unidad</t>
        </is>
      </c>
      <c r="D1846" s="8" t="n"/>
      <c r="E1846" s="8" t="n">
        <v>22.64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>
        <f>IF(COUNT(D1846:U1846)=0,"",MIN(D1846:U1846))</f>
        <v/>
      </c>
      <c r="W1846" s="8">
        <f>IF(COUNT(D1846:U1846)=0,"",MEDIAN(D1846:U1846))</f>
        <v/>
      </c>
      <c r="X1846" s="8">
        <f>IF(COUNT(D1846:U1846)=0,"",MAX(D1846:U1846))</f>
        <v/>
      </c>
      <c r="Y1846" s="9">
        <f>IF(OR(V1846="",V1846=0),"",(X1846-V1846)/V1846)</f>
        <v/>
      </c>
      <c r="Z1846" s="7">
        <f>IF(COUNT(D1846:U1846)=0,"",INDEX($D$1:$U$1,MATCH(MIN(D1846:U1846),D1846:U1846,0)))</f>
        <v/>
      </c>
      <c r="AA1846" s="8" t="n">
        <v>22.64</v>
      </c>
      <c r="AB1846" s="10" t="n">
        <v>1</v>
      </c>
    </row>
    <row r="1847">
      <c r="A1847" s="7" t="inlineStr">
        <is>
          <t>MAT-32-495</t>
        </is>
      </c>
      <c r="B1847" s="4" t="inlineStr">
        <is>
          <t>Reducción de PVC presión 2" x 1/2"</t>
        </is>
      </c>
      <c r="C1847" s="7" t="inlineStr">
        <is>
          <t>unidad</t>
        </is>
      </c>
      <c r="D1847" s="8" t="n"/>
      <c r="E1847" s="8" t="n">
        <v>20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>
        <f>IF(COUNT(D1847:U1847)=0,"",MIN(D1847:U1847))</f>
        <v/>
      </c>
      <c r="W1847" s="8">
        <f>IF(COUNT(D1847:U1847)=0,"",MEDIAN(D1847:U1847))</f>
        <v/>
      </c>
      <c r="X1847" s="8">
        <f>IF(COUNT(D1847:U1847)=0,"",MAX(D1847:U1847))</f>
        <v/>
      </c>
      <c r="Y1847" s="9">
        <f>IF(OR(V1847="",V1847=0),"",(X1847-V1847)/V1847)</f>
        <v/>
      </c>
      <c r="Z1847" s="7">
        <f>IF(COUNT(D1847:U1847)=0,"",INDEX($D$1:$U$1,MATCH(MIN(D1847:U1847),D1847:U1847,0)))</f>
        <v/>
      </c>
      <c r="AA1847" s="8" t="n">
        <v>36.92</v>
      </c>
      <c r="AB1847" s="10" t="n">
        <v>1</v>
      </c>
    </row>
    <row r="1848">
      <c r="A1848" s="7" t="inlineStr">
        <is>
          <t>MAT-32-496</t>
        </is>
      </c>
      <c r="B1848" s="4" t="inlineStr">
        <is>
          <t>Reducción de PVC presión 2" x 1"</t>
        </is>
      </c>
      <c r="C1848" s="7" t="inlineStr">
        <is>
          <t>unidad</t>
        </is>
      </c>
      <c r="D1848" s="8" t="n"/>
      <c r="E1848" s="8" t="n">
        <v>53.85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>
        <f>IF(COUNT(D1848:U1848)=0,"",MIN(D1848:U1848))</f>
        <v/>
      </c>
      <c r="W1848" s="8">
        <f>IF(COUNT(D1848:U1848)=0,"",MEDIAN(D1848:U1848))</f>
        <v/>
      </c>
      <c r="X1848" s="8">
        <f>IF(COUNT(D1848:U1848)=0,"",MAX(D1848:U1848))</f>
        <v/>
      </c>
      <c r="Y1848" s="9">
        <f>IF(OR(V1848="",V1848=0),"",(X1848-V1848)/V1848)</f>
        <v/>
      </c>
      <c r="Z1848" s="7">
        <f>IF(COUNT(D1848:U1848)=0,"",INDEX($D$1:$U$1,MATCH(MIN(D1848:U1848),D1848:U1848,0)))</f>
        <v/>
      </c>
      <c r="AA1848" s="8" t="n">
        <v>53.85</v>
      </c>
      <c r="AB1848" s="10" t="n">
        <v>1</v>
      </c>
    </row>
    <row r="1849">
      <c r="A1849" s="7" t="inlineStr">
        <is>
          <t>MAT-32-497</t>
        </is>
      </c>
      <c r="B1849" s="4" t="inlineStr">
        <is>
          <t>Reducción de PVC presión 2" x 3/4"</t>
        </is>
      </c>
      <c r="C1849" s="7" t="inlineStr">
        <is>
          <t>unidad</t>
        </is>
      </c>
      <c r="D1849" s="8" t="n"/>
      <c r="E1849" s="8" t="n">
        <v>53.61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>
        <f>IF(COUNT(D1849:U1849)=0,"",MIN(D1849:U1849))</f>
        <v/>
      </c>
      <c r="W1849" s="8">
        <f>IF(COUNT(D1849:U1849)=0,"",MEDIAN(D1849:U1849))</f>
        <v/>
      </c>
      <c r="X1849" s="8">
        <f>IF(COUNT(D1849:U1849)=0,"",MAX(D1849:U1849))</f>
        <v/>
      </c>
      <c r="Y1849" s="9">
        <f>IF(OR(V1849="",V1849=0),"",(X1849-V1849)/V1849)</f>
        <v/>
      </c>
      <c r="Z1849" s="7">
        <f>IF(COUNT(D1849:U1849)=0,"",INDEX($D$1:$U$1,MATCH(MIN(D1849:U1849),D1849:U1849,0)))</f>
        <v/>
      </c>
      <c r="AA1849" s="8" t="n">
        <v>53.61</v>
      </c>
      <c r="AB1849" s="10" t="n">
        <v>1</v>
      </c>
    </row>
    <row r="1850">
      <c r="A1850" s="7" t="inlineStr">
        <is>
          <t>MAT-32-498</t>
        </is>
      </c>
      <c r="B1850" s="4" t="inlineStr">
        <is>
          <t>Reducción de PVC presión 3/4" x 1/2"</t>
        </is>
      </c>
      <c r="C1850" s="7" t="inlineStr">
        <is>
          <t>unidad</t>
        </is>
      </c>
      <c r="D1850" s="8" t="n"/>
      <c r="E1850" s="8" t="n">
        <v>2.28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>
        <f>IF(COUNT(D1850:U1850)=0,"",MIN(D1850:U1850))</f>
        <v/>
      </c>
      <c r="W1850" s="8">
        <f>IF(COUNT(D1850:U1850)=0,"",MEDIAN(D1850:U1850))</f>
        <v/>
      </c>
      <c r="X1850" s="8">
        <f>IF(COUNT(D1850:U1850)=0,"",MAX(D1850:U1850))</f>
        <v/>
      </c>
      <c r="Y1850" s="9">
        <f>IF(OR(V1850="",V1850=0),"",(X1850-V1850)/V1850)</f>
        <v/>
      </c>
      <c r="Z1850" s="7">
        <f>IF(COUNT(D1850:U1850)=0,"",INDEX($D$1:$U$1,MATCH(MIN(D1850:U1850),D1850:U1850,0)))</f>
        <v/>
      </c>
      <c r="AA1850" s="8" t="n">
        <v>3.09</v>
      </c>
      <c r="AB1850" s="10" t="n">
        <v>1</v>
      </c>
    </row>
    <row r="1851">
      <c r="A1851" s="7" t="inlineStr">
        <is>
          <t>MAT-32-499</t>
        </is>
      </c>
      <c r="B1851" s="4" t="inlineStr">
        <is>
          <t>Reducción de PVC presión 3" x 2"</t>
        </is>
      </c>
      <c r="C1851" s="7" t="inlineStr">
        <is>
          <t>unidad</t>
        </is>
      </c>
      <c r="D1851" s="8" t="n"/>
      <c r="E1851" s="8" t="n">
        <v>104.52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>
        <f>IF(COUNT(D1851:U1851)=0,"",MIN(D1851:U1851))</f>
        <v/>
      </c>
      <c r="W1851" s="8">
        <f>IF(COUNT(D1851:U1851)=0,"",MEDIAN(D1851:U1851))</f>
        <v/>
      </c>
      <c r="X1851" s="8">
        <f>IF(COUNT(D1851:U1851)=0,"",MAX(D1851:U1851))</f>
        <v/>
      </c>
      <c r="Y1851" s="9">
        <f>IF(OR(V1851="",V1851=0),"",(X1851-V1851)/V1851)</f>
        <v/>
      </c>
      <c r="Z1851" s="7">
        <f>IF(COUNT(D1851:U1851)=0,"",INDEX($D$1:$U$1,MATCH(MIN(D1851:U1851),D1851:U1851,0)))</f>
        <v/>
      </c>
      <c r="AA1851" s="8" t="n">
        <v>104.52</v>
      </c>
      <c r="AB1851" s="10" t="n">
        <v>1</v>
      </c>
    </row>
    <row r="1852">
      <c r="A1852" s="7" t="inlineStr">
        <is>
          <t>MAT-32-500</t>
        </is>
      </c>
      <c r="B1852" s="4" t="inlineStr">
        <is>
          <t>Reducción de PVC presión 4" x 3"</t>
        </is>
      </c>
      <c r="C1852" s="7" t="inlineStr">
        <is>
          <t>unidad</t>
        </is>
      </c>
      <c r="D1852" s="8" t="n"/>
      <c r="E1852" s="8" t="n">
        <v>72.37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>
        <f>IF(COUNT(D1852:U1852)=0,"",MIN(D1852:U1852))</f>
        <v/>
      </c>
      <c r="W1852" s="8">
        <f>IF(COUNT(D1852:U1852)=0,"",MEDIAN(D1852:U1852))</f>
        <v/>
      </c>
      <c r="X1852" s="8">
        <f>IF(COUNT(D1852:U1852)=0,"",MAX(D1852:U1852))</f>
        <v/>
      </c>
      <c r="Y1852" s="9">
        <f>IF(OR(V1852="",V1852=0),"",(X1852-V1852)/V1852)</f>
        <v/>
      </c>
      <c r="Z1852" s="7">
        <f>IF(COUNT(D1852:U1852)=0,"",INDEX($D$1:$U$1,MATCH(MIN(D1852:U1852),D1852:U1852,0)))</f>
        <v/>
      </c>
      <c r="AA1852" s="8" t="n">
        <v>158.69</v>
      </c>
      <c r="AB1852" s="10" t="n">
        <v>1</v>
      </c>
    </row>
    <row r="1853">
      <c r="A1853" s="7" t="inlineStr">
        <is>
          <t>MAT-32-501</t>
        </is>
      </c>
      <c r="B1853" s="4" t="inlineStr">
        <is>
          <t>Tapón hembra de bronce 1/4"</t>
        </is>
      </c>
      <c r="C1853" s="7" t="inlineStr">
        <is>
          <t>unidad</t>
        </is>
      </c>
      <c r="D1853" s="8" t="n"/>
      <c r="E1853" s="8" t="n"/>
      <c r="F1853" s="8" t="n"/>
      <c r="G1853" s="8" t="n">
        <v>101</v>
      </c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>
        <f>IF(COUNT(D1853:U1853)=0,"",MIN(D1853:U1853))</f>
        <v/>
      </c>
      <c r="W1853" s="8">
        <f>IF(COUNT(D1853:U1853)=0,"",MEDIAN(D1853:U1853))</f>
        <v/>
      </c>
      <c r="X1853" s="8">
        <f>IF(COUNT(D1853:U1853)=0,"",MAX(D1853:U1853))</f>
        <v/>
      </c>
      <c r="Y1853" s="9">
        <f>IF(OR(V1853="",V1853=0),"",(X1853-V1853)/V1853)</f>
        <v/>
      </c>
      <c r="Z1853" s="7">
        <f>IF(COUNT(D1853:U1853)=0,"",INDEX($D$1:$U$1,MATCH(MIN(D1853:U1853),D1853:U1853,0)))</f>
        <v/>
      </c>
      <c r="AA1853" s="8" t="n">
        <v>101</v>
      </c>
      <c r="AB1853" s="10" t="n">
        <v>1</v>
      </c>
    </row>
    <row r="1854">
      <c r="A1854" s="7" t="inlineStr">
        <is>
          <t>MAT-32-502</t>
        </is>
      </c>
      <c r="B1854" s="4" t="inlineStr">
        <is>
          <t>Tapón hembra de bronce 3/4"</t>
        </is>
      </c>
      <c r="C1854" s="7" t="inlineStr">
        <is>
          <t>unidad</t>
        </is>
      </c>
      <c r="D1854" s="8" t="n"/>
      <c r="E1854" s="8" t="n">
        <v>100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>
        <f>IF(COUNT(D1854:U1854)=0,"",MIN(D1854:U1854))</f>
        <v/>
      </c>
      <c r="W1854" s="8">
        <f>IF(COUNT(D1854:U1854)=0,"",MEDIAN(D1854:U1854))</f>
        <v/>
      </c>
      <c r="X1854" s="8">
        <f>IF(COUNT(D1854:U1854)=0,"",MAX(D1854:U1854))</f>
        <v/>
      </c>
      <c r="Y1854" s="9">
        <f>IF(OR(V1854="",V1854=0),"",(X1854-V1854)/V1854)</f>
        <v/>
      </c>
      <c r="Z1854" s="7">
        <f>IF(COUNT(D1854:U1854)=0,"",INDEX($D$1:$U$1,MATCH(MIN(D1854:U1854),D1854:U1854,0)))</f>
        <v/>
      </c>
      <c r="AA1854" s="8" t="n">
        <v>100</v>
      </c>
      <c r="AB1854" s="10" t="n">
        <v>1</v>
      </c>
    </row>
    <row r="1855">
      <c r="A1855" s="7" t="inlineStr">
        <is>
          <t>MAT-32-503</t>
        </is>
      </c>
      <c r="B1855" s="4" t="inlineStr">
        <is>
          <t>Tapón hembra de bronce 3/8"</t>
        </is>
      </c>
      <c r="C1855" s="7" t="inlineStr">
        <is>
          <t>unidad</t>
        </is>
      </c>
      <c r="D1855" s="8" t="n"/>
      <c r="E1855" s="8" t="n"/>
      <c r="F1855" s="8" t="n"/>
      <c r="G1855" s="8" t="n">
        <v>170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>
        <f>IF(COUNT(D1855:U1855)=0,"",MIN(D1855:U1855))</f>
        <v/>
      </c>
      <c r="W1855" s="8">
        <f>IF(COUNT(D1855:U1855)=0,"",MEDIAN(D1855:U1855))</f>
        <v/>
      </c>
      <c r="X1855" s="8">
        <f>IF(COUNT(D1855:U1855)=0,"",MAX(D1855:U1855))</f>
        <v/>
      </c>
      <c r="Y1855" s="9">
        <f>IF(OR(V1855="",V1855=0),"",(X1855-V1855)/V1855)</f>
        <v/>
      </c>
      <c r="Z1855" s="7">
        <f>IF(COUNT(D1855:U1855)=0,"",INDEX($D$1:$U$1,MATCH(MIN(D1855:U1855),D1855:U1855,0)))</f>
        <v/>
      </c>
      <c r="AA1855" s="8" t="n">
        <v>170</v>
      </c>
      <c r="AB1855" s="10" t="n">
        <v>1</v>
      </c>
    </row>
    <row r="1856">
      <c r="A1856" s="7" t="inlineStr">
        <is>
          <t>MAT-32-504</t>
        </is>
      </c>
      <c r="B1856" s="4" t="inlineStr">
        <is>
          <t>Tapón hembra de CPVC 1/2"</t>
        </is>
      </c>
      <c r="C1856" s="7" t="inlineStr">
        <is>
          <t>unidad</t>
        </is>
      </c>
      <c r="D1856" s="8" t="n"/>
      <c r="E1856" s="8" t="n">
        <v>5.78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>
        <f>IF(COUNT(D1856:U1856)=0,"",MIN(D1856:U1856))</f>
        <v/>
      </c>
      <c r="W1856" s="8">
        <f>IF(COUNT(D1856:U1856)=0,"",MEDIAN(D1856:U1856))</f>
        <v/>
      </c>
      <c r="X1856" s="8">
        <f>IF(COUNT(D1856:U1856)=0,"",MAX(D1856:U1856))</f>
        <v/>
      </c>
      <c r="Y1856" s="9">
        <f>IF(OR(V1856="",V1856=0),"",(X1856-V1856)/V1856)</f>
        <v/>
      </c>
      <c r="Z1856" s="7">
        <f>IF(COUNT(D1856:U1856)=0,"",INDEX($D$1:$U$1,MATCH(MIN(D1856:U1856),D1856:U1856,0)))</f>
        <v/>
      </c>
      <c r="AA1856" s="8" t="n">
        <v>5.78</v>
      </c>
      <c r="AB1856" s="10" t="n">
        <v>1</v>
      </c>
    </row>
    <row r="1857">
      <c r="A1857" s="7" t="inlineStr">
        <is>
          <t>MAT-32-505</t>
        </is>
      </c>
      <c r="B1857" s="4" t="inlineStr">
        <is>
          <t>Tapón hembra de CPVC 1"</t>
        </is>
      </c>
      <c r="C1857" s="7" t="inlineStr">
        <is>
          <t>unidad</t>
        </is>
      </c>
      <c r="D1857" s="8" t="n"/>
      <c r="E1857" s="8" t="n">
        <v>21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>
        <f>IF(COUNT(D1857:U1857)=0,"",MIN(D1857:U1857))</f>
        <v/>
      </c>
      <c r="W1857" s="8">
        <f>IF(COUNT(D1857:U1857)=0,"",MEDIAN(D1857:U1857))</f>
        <v/>
      </c>
      <c r="X1857" s="8">
        <f>IF(COUNT(D1857:U1857)=0,"",MAX(D1857:U1857))</f>
        <v/>
      </c>
      <c r="Y1857" s="9">
        <f>IF(OR(V1857="",V1857=0),"",(X1857-V1857)/V1857)</f>
        <v/>
      </c>
      <c r="Z1857" s="7">
        <f>IF(COUNT(D1857:U1857)=0,"",INDEX($D$1:$U$1,MATCH(MIN(D1857:U1857),D1857:U1857,0)))</f>
        <v/>
      </c>
      <c r="AA1857" s="8" t="n">
        <v>21</v>
      </c>
      <c r="AB1857" s="10" t="n">
        <v>1</v>
      </c>
    </row>
    <row r="1858">
      <c r="A1858" s="7" t="inlineStr">
        <is>
          <t>MAT-32-506</t>
        </is>
      </c>
      <c r="B1858" s="4" t="inlineStr">
        <is>
          <t>Tapón hembra de CPVC 3/4"</t>
        </is>
      </c>
      <c r="C1858" s="7" t="inlineStr">
        <is>
          <t>unidad</t>
        </is>
      </c>
      <c r="D1858" s="8" t="n"/>
      <c r="E1858" s="8" t="n">
        <v>8.720000000000001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>
        <f>IF(COUNT(D1858:U1858)=0,"",MIN(D1858:U1858))</f>
        <v/>
      </c>
      <c r="W1858" s="8">
        <f>IF(COUNT(D1858:U1858)=0,"",MEDIAN(D1858:U1858))</f>
        <v/>
      </c>
      <c r="X1858" s="8">
        <f>IF(COUNT(D1858:U1858)=0,"",MAX(D1858:U1858))</f>
        <v/>
      </c>
      <c r="Y1858" s="9">
        <f>IF(OR(V1858="",V1858=0),"",(X1858-V1858)/V1858)</f>
        <v/>
      </c>
      <c r="Z1858" s="7">
        <f>IF(COUNT(D1858:U1858)=0,"",INDEX($D$1:$U$1,MATCH(MIN(D1858:U1858),D1858:U1858,0)))</f>
        <v/>
      </c>
      <c r="AA1858" s="8" t="n">
        <v>8.720000000000001</v>
      </c>
      <c r="AB1858" s="10" t="n">
        <v>1</v>
      </c>
    </row>
    <row r="1859">
      <c r="A1859" s="7" t="inlineStr">
        <is>
          <t>MAT-32-507</t>
        </is>
      </c>
      <c r="B1859" s="4" t="inlineStr">
        <is>
          <t>Tapón hembra de HG 1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270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>
        <f>IF(COUNT(D1859:U1859)=0,"",MIN(D1859:U1859))</f>
        <v/>
      </c>
      <c r="W1859" s="8">
        <f>IF(COUNT(D1859:U1859)=0,"",MEDIAN(D1859:U1859))</f>
        <v/>
      </c>
      <c r="X1859" s="8">
        <f>IF(COUNT(D1859:U1859)=0,"",MAX(D1859:U1859))</f>
        <v/>
      </c>
      <c r="Y1859" s="9">
        <f>IF(OR(V1859="",V1859=0),"",(X1859-V1859)/V1859)</f>
        <v/>
      </c>
      <c r="Z1859" s="7">
        <f>IF(COUNT(D1859:U1859)=0,"",INDEX($D$1:$U$1,MATCH(MIN(D1859:U1859),D1859:U1859,0)))</f>
        <v/>
      </c>
      <c r="AA1859" s="8" t="n">
        <v>270</v>
      </c>
      <c r="AB1859" s="10" t="n">
        <v>1</v>
      </c>
    </row>
    <row r="1860">
      <c r="A1860" s="7" t="inlineStr">
        <is>
          <t>MAT-32-508</t>
        </is>
      </c>
      <c r="B1860" s="4" t="inlineStr">
        <is>
          <t>Tapón hembra de HG 1/2"</t>
        </is>
      </c>
      <c r="C1860" s="7" t="inlineStr">
        <is>
          <t>unidad</t>
        </is>
      </c>
      <c r="D1860" s="8" t="n"/>
      <c r="E1860" s="8" t="n"/>
      <c r="F1860" s="8" t="n"/>
      <c r="G1860" s="8" t="n">
        <v>20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>
        <f>IF(COUNT(D1860:U1860)=0,"",MIN(D1860:U1860))</f>
        <v/>
      </c>
      <c r="W1860" s="8">
        <f>IF(COUNT(D1860:U1860)=0,"",MEDIAN(D1860:U1860))</f>
        <v/>
      </c>
      <c r="X1860" s="8">
        <f>IF(COUNT(D1860:U1860)=0,"",MAX(D1860:U1860))</f>
        <v/>
      </c>
      <c r="Y1860" s="9">
        <f>IF(OR(V1860="",V1860=0),"",(X1860-V1860)/V1860)</f>
        <v/>
      </c>
      <c r="Z1860" s="7">
        <f>IF(COUNT(D1860:U1860)=0,"",INDEX($D$1:$U$1,MATCH(MIN(D1860:U1860),D1860:U1860,0)))</f>
        <v/>
      </c>
      <c r="AA1860" s="8" t="n">
        <v>20</v>
      </c>
      <c r="AB1860" s="10" t="n">
        <v>1</v>
      </c>
    </row>
    <row r="1861">
      <c r="A1861" s="7" t="inlineStr">
        <is>
          <t>MAT-32-509</t>
        </is>
      </c>
      <c r="B1861" s="4" t="inlineStr">
        <is>
          <t>Tapón hembra de HG 1/4"</t>
        </is>
      </c>
      <c r="C1861" s="7" t="inlineStr">
        <is>
          <t>unidad</t>
        </is>
      </c>
      <c r="D1861" s="8" t="n"/>
      <c r="E1861" s="8" t="n"/>
      <c r="F1861" s="8" t="n"/>
      <c r="G1861" s="8" t="n">
        <v>35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>
        <f>IF(COUNT(D1861:U1861)=0,"",MIN(D1861:U1861))</f>
        <v/>
      </c>
      <c r="W1861" s="8">
        <f>IF(COUNT(D1861:U1861)=0,"",MEDIAN(D1861:U1861))</f>
        <v/>
      </c>
      <c r="X1861" s="8">
        <f>IF(COUNT(D1861:U1861)=0,"",MAX(D1861:U1861))</f>
        <v/>
      </c>
      <c r="Y1861" s="9">
        <f>IF(OR(V1861="",V1861=0),"",(X1861-V1861)/V1861)</f>
        <v/>
      </c>
      <c r="Z1861" s="7">
        <f>IF(COUNT(D1861:U1861)=0,"",INDEX($D$1:$U$1,MATCH(MIN(D1861:U1861),D1861:U1861,0)))</f>
        <v/>
      </c>
      <c r="AA1861" s="8" t="n">
        <v>35</v>
      </c>
      <c r="AB1861" s="10" t="n">
        <v>1</v>
      </c>
    </row>
    <row r="1862">
      <c r="A1862" s="7" t="inlineStr">
        <is>
          <t>MAT-32-510</t>
        </is>
      </c>
      <c r="B1862" s="4" t="inlineStr">
        <is>
          <t>Tapón hembra de HG 1"</t>
        </is>
      </c>
      <c r="C1862" s="7" t="inlineStr">
        <is>
          <t>unidad</t>
        </is>
      </c>
      <c r="D1862" s="8" t="n"/>
      <c r="E1862" s="8" t="n"/>
      <c r="F1862" s="8" t="n"/>
      <c r="G1862" s="8" t="n">
        <v>44</v>
      </c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>
        <f>IF(COUNT(D1862:U1862)=0,"",MIN(D1862:U1862))</f>
        <v/>
      </c>
      <c r="W1862" s="8">
        <f>IF(COUNT(D1862:U1862)=0,"",MEDIAN(D1862:U1862))</f>
        <v/>
      </c>
      <c r="X1862" s="8">
        <f>IF(COUNT(D1862:U1862)=0,"",MAX(D1862:U1862))</f>
        <v/>
      </c>
      <c r="Y1862" s="9">
        <f>IF(OR(V1862="",V1862=0),"",(X1862-V1862)/V1862)</f>
        <v/>
      </c>
      <c r="Z1862" s="7">
        <f>IF(COUNT(D1862:U1862)=0,"",INDEX($D$1:$U$1,MATCH(MIN(D1862:U1862),D1862:U1862,0)))</f>
        <v/>
      </c>
      <c r="AA1862" s="8" t="n">
        <v>44</v>
      </c>
      <c r="AB1862" s="10" t="n">
        <v>1</v>
      </c>
    </row>
    <row r="1863">
      <c r="A1863" s="7" t="inlineStr">
        <is>
          <t>MAT-32-511</t>
        </is>
      </c>
      <c r="B1863" s="4" t="inlineStr">
        <is>
          <t>Tapón hembra de HG 2"</t>
        </is>
      </c>
      <c r="C1863" s="7" t="inlineStr">
        <is>
          <t>unidad</t>
        </is>
      </c>
      <c r="D1863" s="8" t="n"/>
      <c r="E1863" s="8" t="n"/>
      <c r="F1863" s="8" t="n"/>
      <c r="G1863" s="8" t="n">
        <v>189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>
        <f>IF(COUNT(D1863:U1863)=0,"",MIN(D1863:U1863))</f>
        <v/>
      </c>
      <c r="W1863" s="8">
        <f>IF(COUNT(D1863:U1863)=0,"",MEDIAN(D1863:U1863))</f>
        <v/>
      </c>
      <c r="X1863" s="8">
        <f>IF(COUNT(D1863:U1863)=0,"",MAX(D1863:U1863))</f>
        <v/>
      </c>
      <c r="Y1863" s="9">
        <f>IF(OR(V1863="",V1863=0),"",(X1863-V1863)/V1863)</f>
        <v/>
      </c>
      <c r="Z1863" s="7">
        <f>IF(COUNT(D1863:U1863)=0,"",INDEX($D$1:$U$1,MATCH(MIN(D1863:U1863),D1863:U1863,0)))</f>
        <v/>
      </c>
      <c r="AA1863" s="8" t="n">
        <v>189</v>
      </c>
      <c r="AB1863" s="10" t="n">
        <v>1</v>
      </c>
    </row>
    <row r="1864">
      <c r="A1864" s="7" t="inlineStr">
        <is>
          <t>MAT-32-513</t>
        </is>
      </c>
      <c r="B1864" s="4" t="inlineStr">
        <is>
          <t>Tapón hembra de PPR 25 mm</t>
        </is>
      </c>
      <c r="C1864" s="7" t="inlineStr">
        <is>
          <t>unidad</t>
        </is>
      </c>
      <c r="D1864" s="8" t="n"/>
      <c r="E1864" s="8" t="n">
        <v>4.16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>
        <f>IF(COUNT(D1864:U1864)=0,"",MIN(D1864:U1864))</f>
        <v/>
      </c>
      <c r="W1864" s="8">
        <f>IF(COUNT(D1864:U1864)=0,"",MEDIAN(D1864:U1864))</f>
        <v/>
      </c>
      <c r="X1864" s="8">
        <f>IF(COUNT(D1864:U1864)=0,"",MAX(D1864:U1864))</f>
        <v/>
      </c>
      <c r="Y1864" s="9">
        <f>IF(OR(V1864="",V1864=0),"",(X1864-V1864)/V1864)</f>
        <v/>
      </c>
      <c r="Z1864" s="7">
        <f>IF(COUNT(D1864:U1864)=0,"",INDEX($D$1:$U$1,MATCH(MIN(D1864:U1864),D1864:U1864,0)))</f>
        <v/>
      </c>
      <c r="AA1864" s="8" t="n">
        <v>4.16</v>
      </c>
      <c r="AB1864" s="10" t="n">
        <v>1</v>
      </c>
    </row>
    <row r="1865">
      <c r="A1865" s="7" t="inlineStr">
        <is>
          <t>MAT-32-514</t>
        </is>
      </c>
      <c r="B1865" s="4" t="inlineStr">
        <is>
          <t>Tapón hembra de PPR 32 mm</t>
        </is>
      </c>
      <c r="C1865" s="7" t="inlineStr">
        <is>
          <t>unidad</t>
        </is>
      </c>
      <c r="D1865" s="8" t="n"/>
      <c r="E1865" s="8" t="n">
        <v>7.47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>
        <f>IF(COUNT(D1865:U1865)=0,"",MIN(D1865:U1865))</f>
        <v/>
      </c>
      <c r="W1865" s="8">
        <f>IF(COUNT(D1865:U1865)=0,"",MEDIAN(D1865:U1865))</f>
        <v/>
      </c>
      <c r="X1865" s="8">
        <f>IF(COUNT(D1865:U1865)=0,"",MAX(D1865:U1865))</f>
        <v/>
      </c>
      <c r="Y1865" s="9">
        <f>IF(OR(V1865="",V1865=0),"",(X1865-V1865)/V1865)</f>
        <v/>
      </c>
      <c r="Z1865" s="7">
        <f>IF(COUNT(D1865:U1865)=0,"",INDEX($D$1:$U$1,MATCH(MIN(D1865:U1865),D1865:U1865,0)))</f>
        <v/>
      </c>
      <c r="AA1865" s="8" t="n">
        <v>7.47</v>
      </c>
      <c r="AB1865" s="10" t="n">
        <v>1</v>
      </c>
    </row>
    <row r="1866">
      <c r="A1866" s="7" t="inlineStr">
        <is>
          <t>MAT-32-515</t>
        </is>
      </c>
      <c r="B1866" s="4" t="inlineStr">
        <is>
          <t>Tapón hembra de PVC drenaje 2"</t>
        </is>
      </c>
      <c r="C1866" s="7" t="inlineStr">
        <is>
          <t>unidad</t>
        </is>
      </c>
      <c r="D1866" s="8" t="n"/>
      <c r="E1866" s="8" t="n">
        <v>45.68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>
        <f>IF(COUNT(D1866:U1866)=0,"",MIN(D1866:U1866))</f>
        <v/>
      </c>
      <c r="W1866" s="8">
        <f>IF(COUNT(D1866:U1866)=0,"",MEDIAN(D1866:U1866))</f>
        <v/>
      </c>
      <c r="X1866" s="8">
        <f>IF(COUNT(D1866:U1866)=0,"",MAX(D1866:U1866))</f>
        <v/>
      </c>
      <c r="Y1866" s="9">
        <f>IF(OR(V1866="",V1866=0),"",(X1866-V1866)/V1866)</f>
        <v/>
      </c>
      <c r="Z1866" s="7">
        <f>IF(COUNT(D1866:U1866)=0,"",INDEX($D$1:$U$1,MATCH(MIN(D1866:U1866),D1866:U1866,0)))</f>
        <v/>
      </c>
      <c r="AA1866" s="8" t="n">
        <v>45.68</v>
      </c>
      <c r="AB1866" s="10" t="n">
        <v>1</v>
      </c>
    </row>
    <row r="1867">
      <c r="A1867" s="7" t="inlineStr">
        <is>
          <t>MAT-32-516</t>
        </is>
      </c>
      <c r="B1867" s="4" t="inlineStr">
        <is>
          <t>Tapón hembra de PVC drenaje 3"</t>
        </is>
      </c>
      <c r="C1867" s="7" t="inlineStr">
        <is>
          <t>unidad</t>
        </is>
      </c>
      <c r="D1867" s="8" t="n"/>
      <c r="E1867" s="8" t="n">
        <v>71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>
        <f>IF(COUNT(D1867:U1867)=0,"",MIN(D1867:U1867))</f>
        <v/>
      </c>
      <c r="W1867" s="8">
        <f>IF(COUNT(D1867:U1867)=0,"",MEDIAN(D1867:U1867))</f>
        <v/>
      </c>
      <c r="X1867" s="8">
        <f>IF(COUNT(D1867:U1867)=0,"",MAX(D1867:U1867))</f>
        <v/>
      </c>
      <c r="Y1867" s="9">
        <f>IF(OR(V1867="",V1867=0),"",(X1867-V1867)/V1867)</f>
        <v/>
      </c>
      <c r="Z1867" s="7">
        <f>IF(COUNT(D1867:U1867)=0,"",INDEX($D$1:$U$1,MATCH(MIN(D1867:U1867),D1867:U1867,0)))</f>
        <v/>
      </c>
      <c r="AA1867" s="8" t="n">
        <v>71</v>
      </c>
      <c r="AB1867" s="10" t="n">
        <v>1</v>
      </c>
    </row>
    <row r="1868">
      <c r="A1868" s="7" t="inlineStr">
        <is>
          <t>MAT-32-517</t>
        </is>
      </c>
      <c r="B1868" s="4" t="inlineStr">
        <is>
          <t>Tapón hembra de PVC drenaje 4"</t>
        </is>
      </c>
      <c r="C1868" s="7" t="inlineStr">
        <is>
          <t>unidad</t>
        </is>
      </c>
      <c r="D1868" s="8" t="n"/>
      <c r="E1868" s="8" t="n">
        <v>112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>
        <f>IF(COUNT(D1868:U1868)=0,"",MIN(D1868:U1868))</f>
        <v/>
      </c>
      <c r="W1868" s="8">
        <f>IF(COUNT(D1868:U1868)=0,"",MEDIAN(D1868:U1868))</f>
        <v/>
      </c>
      <c r="X1868" s="8">
        <f>IF(COUNT(D1868:U1868)=0,"",MAX(D1868:U1868))</f>
        <v/>
      </c>
      <c r="Y1868" s="9">
        <f>IF(OR(V1868="",V1868=0),"",(X1868-V1868)/V1868)</f>
        <v/>
      </c>
      <c r="Z1868" s="7">
        <f>IF(COUNT(D1868:U1868)=0,"",INDEX($D$1:$U$1,MATCH(MIN(D1868:U1868),D1868:U1868,0)))</f>
        <v/>
      </c>
      <c r="AA1868" s="8" t="n">
        <v>112</v>
      </c>
      <c r="AB1868" s="10" t="n">
        <v>1</v>
      </c>
    </row>
    <row r="1869">
      <c r="A1869" s="7" t="inlineStr">
        <is>
          <t>MAT-32-518</t>
        </is>
      </c>
      <c r="B1869" s="4" t="inlineStr">
        <is>
          <t>Tapón hembra de PVC 1/2"</t>
        </is>
      </c>
      <c r="C1869" s="7" t="inlineStr">
        <is>
          <t>unidad</t>
        </is>
      </c>
      <c r="D1869" s="8" t="n"/>
      <c r="E1869" s="8" t="n">
        <v>4.22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>
        <f>IF(COUNT(D1869:U1869)=0,"",MIN(D1869:U1869))</f>
        <v/>
      </c>
      <c r="W1869" s="8">
        <f>IF(COUNT(D1869:U1869)=0,"",MEDIAN(D1869:U1869))</f>
        <v/>
      </c>
      <c r="X1869" s="8">
        <f>IF(COUNT(D1869:U1869)=0,"",MAX(D1869:U1869))</f>
        <v/>
      </c>
      <c r="Y1869" s="9">
        <f>IF(OR(V1869="",V1869=0),"",(X1869-V1869)/V1869)</f>
        <v/>
      </c>
      <c r="Z1869" s="7">
        <f>IF(COUNT(D1869:U1869)=0,"",INDEX($D$1:$U$1,MATCH(MIN(D1869:U1869),D1869:U1869,0)))</f>
        <v/>
      </c>
      <c r="AA1869" s="8" t="n">
        <v>4.22</v>
      </c>
      <c r="AB1869" s="10" t="n">
        <v>1</v>
      </c>
    </row>
    <row r="1870">
      <c r="A1870" s="7" t="inlineStr">
        <is>
          <t>MAT-32-519</t>
        </is>
      </c>
      <c r="B1870" s="4" t="inlineStr">
        <is>
          <t>Tapón hembra de PVC 12"</t>
        </is>
      </c>
      <c r="C1870" s="7" t="inlineStr">
        <is>
          <t>unidad</t>
        </is>
      </c>
      <c r="D1870" s="8" t="n"/>
      <c r="E1870" s="8" t="n">
        <v>8495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>
        <f>IF(COUNT(D1870:U1870)=0,"",MIN(D1870:U1870))</f>
        <v/>
      </c>
      <c r="W1870" s="8">
        <f>IF(COUNT(D1870:U1870)=0,"",MEDIAN(D1870:U1870))</f>
        <v/>
      </c>
      <c r="X1870" s="8">
        <f>IF(COUNT(D1870:U1870)=0,"",MAX(D1870:U1870))</f>
        <v/>
      </c>
      <c r="Y1870" s="9">
        <f>IF(OR(V1870="",V1870=0),"",(X1870-V1870)/V1870)</f>
        <v/>
      </c>
      <c r="Z1870" s="7">
        <f>IF(COUNT(D1870:U1870)=0,"",INDEX($D$1:$U$1,MATCH(MIN(D1870:U1870),D1870:U1870,0)))</f>
        <v/>
      </c>
      <c r="AA1870" s="8" t="n">
        <v>8495</v>
      </c>
      <c r="AB1870" s="10" t="n">
        <v>1</v>
      </c>
    </row>
    <row r="1871">
      <c r="A1871" s="7" t="inlineStr">
        <is>
          <t>MAT-32-520</t>
        </is>
      </c>
      <c r="B1871" s="4" t="inlineStr">
        <is>
          <t>Tapón hembra de PVC 8"</t>
        </is>
      </c>
      <c r="C1871" s="7" t="inlineStr">
        <is>
          <t>unidad</t>
        </is>
      </c>
      <c r="D1871" s="8" t="n"/>
      <c r="E1871" s="8" t="n">
        <v>840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>
        <f>IF(COUNT(D1871:U1871)=0,"",MIN(D1871:U1871))</f>
        <v/>
      </c>
      <c r="W1871" s="8">
        <f>IF(COUNT(D1871:U1871)=0,"",MEDIAN(D1871:U1871))</f>
        <v/>
      </c>
      <c r="X1871" s="8">
        <f>IF(COUNT(D1871:U1871)=0,"",MAX(D1871:U1871))</f>
        <v/>
      </c>
      <c r="Y1871" s="9">
        <f>IF(OR(V1871="",V1871=0),"",(X1871-V1871)/V1871)</f>
        <v/>
      </c>
      <c r="Z1871" s="7">
        <f>IF(COUNT(D1871:U1871)=0,"",INDEX($D$1:$U$1,MATCH(MIN(D1871:U1871),D1871:U1871,0)))</f>
        <v/>
      </c>
      <c r="AA1871" s="8" t="n">
        <v>840</v>
      </c>
      <c r="AB1871" s="10" t="n">
        <v>1</v>
      </c>
    </row>
    <row r="1872">
      <c r="A1872" s="7" t="inlineStr">
        <is>
          <t>MAT-32-521</t>
        </is>
      </c>
      <c r="B1872" s="4" t="inlineStr">
        <is>
          <t>Tapón hembra de PVC presión 1 1/2"</t>
        </is>
      </c>
      <c r="C1872" s="7" t="inlineStr">
        <is>
          <t>unidad</t>
        </is>
      </c>
      <c r="D1872" s="8" t="n"/>
      <c r="E1872" s="8" t="n">
        <v>11.93</v>
      </c>
      <c r="F1872" s="8" t="n"/>
      <c r="G1872" s="8" t="n">
        <v>50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>
        <f>IF(COUNT(D1872:U1872)=0,"",MIN(D1872:U1872))</f>
        <v/>
      </c>
      <c r="W1872" s="8">
        <f>IF(COUNT(D1872:U1872)=0,"",MEDIAN(D1872:U1872))</f>
        <v/>
      </c>
      <c r="X1872" s="8">
        <f>IF(COUNT(D1872:U1872)=0,"",MAX(D1872:U1872))</f>
        <v/>
      </c>
      <c r="Y1872" s="9">
        <f>IF(OR(V1872="",V1872=0),"",(X1872-V1872)/V1872)</f>
        <v/>
      </c>
      <c r="Z1872" s="7">
        <f>IF(COUNT(D1872:U1872)=0,"",INDEX($D$1:$U$1,MATCH(MIN(D1872:U1872),D1872:U1872,0)))</f>
        <v/>
      </c>
      <c r="AA1872" s="8" t="n">
        <v>16.56</v>
      </c>
      <c r="AB1872" s="10" t="n">
        <v>2</v>
      </c>
    </row>
    <row r="1873">
      <c r="A1873" s="7" t="inlineStr">
        <is>
          <t>MAT-32-522</t>
        </is>
      </c>
      <c r="B1873" s="4" t="inlineStr">
        <is>
          <t>Tapón hembra de PVC presión 1/2"</t>
        </is>
      </c>
      <c r="C1873" s="7" t="inlineStr">
        <is>
          <t>unidad</t>
        </is>
      </c>
      <c r="D1873" s="8" t="n"/>
      <c r="E1873" s="8" t="n">
        <v>2.21</v>
      </c>
      <c r="F1873" s="8" t="n"/>
      <c r="G1873" s="8" t="n">
        <v>18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>
        <f>IF(COUNT(D1873:U1873)=0,"",MIN(D1873:U1873))</f>
        <v/>
      </c>
      <c r="W1873" s="8">
        <f>IF(COUNT(D1873:U1873)=0,"",MEDIAN(D1873:U1873))</f>
        <v/>
      </c>
      <c r="X1873" s="8">
        <f>IF(COUNT(D1873:U1873)=0,"",MAX(D1873:U1873))</f>
        <v/>
      </c>
      <c r="Y1873" s="9">
        <f>IF(OR(V1873="",V1873=0),"",(X1873-V1873)/V1873)</f>
        <v/>
      </c>
      <c r="Z1873" s="7">
        <f>IF(COUNT(D1873:U1873)=0,"",INDEX($D$1:$U$1,MATCH(MIN(D1873:U1873),D1873:U1873,0)))</f>
        <v/>
      </c>
      <c r="AA1873" s="8" t="n">
        <v>10.85</v>
      </c>
      <c r="AB1873" s="10" t="n">
        <v>2</v>
      </c>
    </row>
    <row r="1874">
      <c r="A1874" s="7" t="inlineStr">
        <is>
          <t>MAT-32-523</t>
        </is>
      </c>
      <c r="B1874" s="4" t="inlineStr">
        <is>
          <t>Tapón hembra de PVC presión 1"</t>
        </is>
      </c>
      <c r="C1874" s="7" t="inlineStr">
        <is>
          <t>unidad</t>
        </is>
      </c>
      <c r="D1874" s="8" t="n"/>
      <c r="E1874" s="8" t="n">
        <v>5.41</v>
      </c>
      <c r="F1874" s="8" t="n"/>
      <c r="G1874" s="8" t="n">
        <v>35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>
        <f>IF(COUNT(D1874:U1874)=0,"",MIN(D1874:U1874))</f>
        <v/>
      </c>
      <c r="W1874" s="8">
        <f>IF(COUNT(D1874:U1874)=0,"",MEDIAN(D1874:U1874))</f>
        <v/>
      </c>
      <c r="X1874" s="8">
        <f>IF(COUNT(D1874:U1874)=0,"",MAX(D1874:U1874))</f>
        <v/>
      </c>
      <c r="Y1874" s="9">
        <f>IF(OR(V1874="",V1874=0),"",(X1874-V1874)/V1874)</f>
        <v/>
      </c>
      <c r="Z1874" s="7">
        <f>IF(COUNT(D1874:U1874)=0,"",INDEX($D$1:$U$1,MATCH(MIN(D1874:U1874),D1874:U1874,0)))</f>
        <v/>
      </c>
      <c r="AA1874" s="8" t="n">
        <v>21.98</v>
      </c>
      <c r="AB1874" s="10" t="n">
        <v>2</v>
      </c>
    </row>
    <row r="1875">
      <c r="A1875" s="7" t="inlineStr">
        <is>
          <t>MAT-32-524</t>
        </is>
      </c>
      <c r="B1875" s="4" t="inlineStr">
        <is>
          <t>Tapón hembra de PVC presión 2"</t>
        </is>
      </c>
      <c r="C1875" s="7" t="inlineStr">
        <is>
          <t>unidad</t>
        </is>
      </c>
      <c r="D1875" s="8" t="n"/>
      <c r="E1875" s="8" t="n">
        <v>17.57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>
        <f>IF(COUNT(D1875:U1875)=0,"",MIN(D1875:U1875))</f>
        <v/>
      </c>
      <c r="W1875" s="8">
        <f>IF(COUNT(D1875:U1875)=0,"",MEDIAN(D1875:U1875))</f>
        <v/>
      </c>
      <c r="X1875" s="8">
        <f>IF(COUNT(D1875:U1875)=0,"",MAX(D1875:U1875))</f>
        <v/>
      </c>
      <c r="Y1875" s="9">
        <f>IF(OR(V1875="",V1875=0),"",(X1875-V1875)/V1875)</f>
        <v/>
      </c>
      <c r="Z1875" s="7">
        <f>IF(COUNT(D1875:U1875)=0,"",INDEX($D$1:$U$1,MATCH(MIN(D1875:U1875),D1875:U1875,0)))</f>
        <v/>
      </c>
      <c r="AA1875" s="8" t="n">
        <v>22.44</v>
      </c>
      <c r="AB1875" s="10" t="n">
        <v>1</v>
      </c>
    </row>
    <row r="1876">
      <c r="A1876" s="7" t="inlineStr">
        <is>
          <t>MAT-32-525</t>
        </is>
      </c>
      <c r="B1876" s="4" t="inlineStr">
        <is>
          <t>Tapón hembra de PVC presión 3/4"</t>
        </is>
      </c>
      <c r="C1876" s="7" t="inlineStr">
        <is>
          <t>unidad</t>
        </is>
      </c>
      <c r="D1876" s="8" t="n"/>
      <c r="E1876" s="8" t="n">
        <v>3.6</v>
      </c>
      <c r="F1876" s="8" t="n"/>
      <c r="G1876" s="8" t="n">
        <v>20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>
        <f>IF(COUNT(D1876:U1876)=0,"",MIN(D1876:U1876))</f>
        <v/>
      </c>
      <c r="W1876" s="8">
        <f>IF(COUNT(D1876:U1876)=0,"",MEDIAN(D1876:U1876))</f>
        <v/>
      </c>
      <c r="X1876" s="8">
        <f>IF(COUNT(D1876:U1876)=0,"",MAX(D1876:U1876))</f>
        <v/>
      </c>
      <c r="Y1876" s="9">
        <f>IF(OR(V1876="",V1876=0),"",(X1876-V1876)/V1876)</f>
        <v/>
      </c>
      <c r="Z1876" s="7">
        <f>IF(COUNT(D1876:U1876)=0,"",INDEX($D$1:$U$1,MATCH(MIN(D1876:U1876),D1876:U1876,0)))</f>
        <v/>
      </c>
      <c r="AA1876" s="8" t="n">
        <v>5.17</v>
      </c>
      <c r="AB1876" s="10" t="n">
        <v>2</v>
      </c>
    </row>
    <row r="1877">
      <c r="A1877" s="7" t="inlineStr">
        <is>
          <t>MAT-32-526</t>
        </is>
      </c>
      <c r="B1877" s="4" t="inlineStr">
        <is>
          <t>Tapón hembra de PVC presión 3"</t>
        </is>
      </c>
      <c r="C1877" s="7" t="inlineStr">
        <is>
          <t>unidad</t>
        </is>
      </c>
      <c r="D1877" s="8" t="n"/>
      <c r="E1877" s="8" t="n">
        <v>50</v>
      </c>
      <c r="F1877" s="8" t="n"/>
      <c r="G1877" s="8" t="n">
        <v>205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>
        <f>IF(COUNT(D1877:U1877)=0,"",MIN(D1877:U1877))</f>
        <v/>
      </c>
      <c r="W1877" s="8">
        <f>IF(COUNT(D1877:U1877)=0,"",MEDIAN(D1877:U1877))</f>
        <v/>
      </c>
      <c r="X1877" s="8">
        <f>IF(COUNT(D1877:U1877)=0,"",MAX(D1877:U1877))</f>
        <v/>
      </c>
      <c r="Y1877" s="9">
        <f>IF(OR(V1877="",V1877=0),"",(X1877-V1877)/V1877)</f>
        <v/>
      </c>
      <c r="Z1877" s="7">
        <f>IF(COUNT(D1877:U1877)=0,"",INDEX($D$1:$U$1,MATCH(MIN(D1877:U1877),D1877:U1877,0)))</f>
        <v/>
      </c>
      <c r="AA1877" s="8" t="n">
        <v>74.88</v>
      </c>
      <c r="AB1877" s="10" t="n">
        <v>2</v>
      </c>
    </row>
    <row r="1878">
      <c r="A1878" s="7" t="inlineStr">
        <is>
          <t>MAT-32-527</t>
        </is>
      </c>
      <c r="B1878" s="4" t="inlineStr">
        <is>
          <t>Tapón hembra de PVC presión 4"</t>
        </is>
      </c>
      <c r="C1878" s="7" t="inlineStr">
        <is>
          <t>unidad</t>
        </is>
      </c>
      <c r="D1878" s="8" t="n"/>
      <c r="E1878" s="8" t="n">
        <v>81.05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>
        <f>IF(COUNT(D1878:U1878)=0,"",MIN(D1878:U1878))</f>
        <v/>
      </c>
      <c r="W1878" s="8">
        <f>IF(COUNT(D1878:U1878)=0,"",MEDIAN(D1878:U1878))</f>
        <v/>
      </c>
      <c r="X1878" s="8">
        <f>IF(COUNT(D1878:U1878)=0,"",MAX(D1878:U1878))</f>
        <v/>
      </c>
      <c r="Y1878" s="9">
        <f>IF(OR(V1878="",V1878=0),"",(X1878-V1878)/V1878)</f>
        <v/>
      </c>
      <c r="Z1878" s="7">
        <f>IF(COUNT(D1878:U1878)=0,"",INDEX($D$1:$U$1,MATCH(MIN(D1878:U1878),D1878:U1878,0)))</f>
        <v/>
      </c>
      <c r="AA1878" s="8" t="n">
        <v>102.64</v>
      </c>
      <c r="AB1878" s="10" t="n">
        <v>1</v>
      </c>
    </row>
    <row r="1879">
      <c r="A1879" s="7" t="inlineStr">
        <is>
          <t>MAT-32-528</t>
        </is>
      </c>
      <c r="B1879" s="4" t="inlineStr">
        <is>
          <t>Tapón hembra de PVC presión 6"</t>
        </is>
      </c>
      <c r="C1879" s="7" t="inlineStr">
        <is>
          <t>unidad</t>
        </is>
      </c>
      <c r="D1879" s="8" t="n"/>
      <c r="E1879" s="8" t="n">
        <v>309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>
        <f>IF(COUNT(D1879:U1879)=0,"",MIN(D1879:U1879))</f>
        <v/>
      </c>
      <c r="W1879" s="8">
        <f>IF(COUNT(D1879:U1879)=0,"",MEDIAN(D1879:U1879))</f>
        <v/>
      </c>
      <c r="X1879" s="8">
        <f>IF(COUNT(D1879:U1879)=0,"",MAX(D1879:U1879))</f>
        <v/>
      </c>
      <c r="Y1879" s="9">
        <f>IF(OR(V1879="",V1879=0),"",(X1879-V1879)/V1879)</f>
        <v/>
      </c>
      <c r="Z1879" s="7">
        <f>IF(COUNT(D1879:U1879)=0,"",INDEX($D$1:$U$1,MATCH(MIN(D1879:U1879),D1879:U1879,0)))</f>
        <v/>
      </c>
      <c r="AA1879" s="8" t="n">
        <v>379.5</v>
      </c>
      <c r="AB1879" s="10" t="n">
        <v>1</v>
      </c>
    </row>
    <row r="1880">
      <c r="A1880" s="7" t="inlineStr">
        <is>
          <t>MAT-32-529</t>
        </is>
      </c>
      <c r="B1880" s="4" t="inlineStr">
        <is>
          <t>Tapón macho de bronce 1/2"</t>
        </is>
      </c>
      <c r="C1880" s="7" t="inlineStr">
        <is>
          <t>unidad</t>
        </is>
      </c>
      <c r="D1880" s="8" t="n"/>
      <c r="E1880" s="8" t="n">
        <v>80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>
        <f>IF(COUNT(D1880:U1880)=0,"",MIN(D1880:U1880))</f>
        <v/>
      </c>
      <c r="W1880" s="8">
        <f>IF(COUNT(D1880:U1880)=0,"",MEDIAN(D1880:U1880))</f>
        <v/>
      </c>
      <c r="X1880" s="8">
        <f>IF(COUNT(D1880:U1880)=0,"",MAX(D1880:U1880))</f>
        <v/>
      </c>
      <c r="Y1880" s="9">
        <f>IF(OR(V1880="",V1880=0),"",(X1880-V1880)/V1880)</f>
        <v/>
      </c>
      <c r="Z1880" s="7">
        <f>IF(COUNT(D1880:U1880)=0,"",INDEX($D$1:$U$1,MATCH(MIN(D1880:U1880),D1880:U1880,0)))</f>
        <v/>
      </c>
      <c r="AA1880" s="8" t="n">
        <v>80</v>
      </c>
      <c r="AB1880" s="10" t="n">
        <v>1</v>
      </c>
    </row>
    <row r="1881">
      <c r="A1881" s="7" t="inlineStr">
        <is>
          <t>MAT-32-530</t>
        </is>
      </c>
      <c r="B1881" s="4" t="inlineStr">
        <is>
          <t>Tapón macho de bronce 1/4"</t>
        </is>
      </c>
      <c r="C1881" s="7" t="inlineStr">
        <is>
          <t>unidad</t>
        </is>
      </c>
      <c r="D1881" s="8" t="n"/>
      <c r="E1881" s="8" t="n">
        <v>21.58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>
        <f>IF(COUNT(D1881:U1881)=0,"",MIN(D1881:U1881))</f>
        <v/>
      </c>
      <c r="W1881" s="8">
        <f>IF(COUNT(D1881:U1881)=0,"",MEDIAN(D1881:U1881))</f>
        <v/>
      </c>
      <c r="X1881" s="8">
        <f>IF(COUNT(D1881:U1881)=0,"",MAX(D1881:U1881))</f>
        <v/>
      </c>
      <c r="Y1881" s="9">
        <f>IF(OR(V1881="",V1881=0),"",(X1881-V1881)/V1881)</f>
        <v/>
      </c>
      <c r="Z1881" s="7">
        <f>IF(COUNT(D1881:U1881)=0,"",INDEX($D$1:$U$1,MATCH(MIN(D1881:U1881),D1881:U1881,0)))</f>
        <v/>
      </c>
      <c r="AA1881" s="8" t="n">
        <v>29.29</v>
      </c>
      <c r="AB1881" s="10" t="n">
        <v>1</v>
      </c>
    </row>
    <row r="1882">
      <c r="A1882" s="7" t="inlineStr">
        <is>
          <t>MAT-32-531</t>
        </is>
      </c>
      <c r="B1882" s="4" t="inlineStr">
        <is>
          <t>Tapón macho de bronce 1/8"</t>
        </is>
      </c>
      <c r="C1882" s="7" t="inlineStr">
        <is>
          <t>unidad</t>
        </is>
      </c>
      <c r="D1882" s="8" t="n"/>
      <c r="E1882" s="8" t="n">
        <v>40.2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>
        <f>IF(COUNT(D1882:U1882)=0,"",MIN(D1882:U1882))</f>
        <v/>
      </c>
      <c r="W1882" s="8">
        <f>IF(COUNT(D1882:U1882)=0,"",MEDIAN(D1882:U1882))</f>
        <v/>
      </c>
      <c r="X1882" s="8">
        <f>IF(COUNT(D1882:U1882)=0,"",MAX(D1882:U1882))</f>
        <v/>
      </c>
      <c r="Y1882" s="9">
        <f>IF(OR(V1882="",V1882=0),"",(X1882-V1882)/V1882)</f>
        <v/>
      </c>
      <c r="Z1882" s="7">
        <f>IF(COUNT(D1882:U1882)=0,"",INDEX($D$1:$U$1,MATCH(MIN(D1882:U1882),D1882:U1882,0)))</f>
        <v/>
      </c>
      <c r="AA1882" s="8" t="n">
        <v>40.2</v>
      </c>
      <c r="AB1882" s="10" t="n">
        <v>1</v>
      </c>
    </row>
    <row r="1883">
      <c r="A1883" s="7" t="inlineStr">
        <is>
          <t>MAT-32-532</t>
        </is>
      </c>
      <c r="B1883" s="4" t="inlineStr">
        <is>
          <t>Tapón macho de bronce 3/4"</t>
        </is>
      </c>
      <c r="C1883" s="7" t="inlineStr">
        <is>
          <t>unidad</t>
        </is>
      </c>
      <c r="D1883" s="8" t="n"/>
      <c r="E1883" s="8" t="n">
        <v>140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>
        <f>IF(COUNT(D1883:U1883)=0,"",MIN(D1883:U1883))</f>
        <v/>
      </c>
      <c r="W1883" s="8">
        <f>IF(COUNT(D1883:U1883)=0,"",MEDIAN(D1883:U1883))</f>
        <v/>
      </c>
      <c r="X1883" s="8">
        <f>IF(COUNT(D1883:U1883)=0,"",MAX(D1883:U1883))</f>
        <v/>
      </c>
      <c r="Y1883" s="9">
        <f>IF(OR(V1883="",V1883=0),"",(X1883-V1883)/V1883)</f>
        <v/>
      </c>
      <c r="Z1883" s="7">
        <f>IF(COUNT(D1883:U1883)=0,"",INDEX($D$1:$U$1,MATCH(MIN(D1883:U1883),D1883:U1883,0)))</f>
        <v/>
      </c>
      <c r="AA1883" s="8" t="n">
        <v>140</v>
      </c>
      <c r="AB1883" s="10" t="n">
        <v>1</v>
      </c>
    </row>
    <row r="1884">
      <c r="A1884" s="7" t="inlineStr">
        <is>
          <t>MAT-32-533</t>
        </is>
      </c>
      <c r="B1884" s="4" t="inlineStr">
        <is>
          <t>Tapón macho de HG 1 1/2"</t>
        </is>
      </c>
      <c r="C1884" s="7" t="inlineStr">
        <is>
          <t>unidad</t>
        </is>
      </c>
      <c r="D1884" s="8" t="n"/>
      <c r="E1884" s="8" t="n">
        <v>58</v>
      </c>
      <c r="F1884" s="8" t="n"/>
      <c r="G1884" s="8" t="n">
        <v>100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>
        <f>IF(COUNT(D1884:U1884)=0,"",MIN(D1884:U1884))</f>
        <v/>
      </c>
      <c r="W1884" s="8">
        <f>IF(COUNT(D1884:U1884)=0,"",MEDIAN(D1884:U1884))</f>
        <v/>
      </c>
      <c r="X1884" s="8">
        <f>IF(COUNT(D1884:U1884)=0,"",MAX(D1884:U1884))</f>
        <v/>
      </c>
      <c r="Y1884" s="9">
        <f>IF(OR(V1884="",V1884=0),"",(X1884-V1884)/V1884)</f>
        <v/>
      </c>
      <c r="Z1884" s="7">
        <f>IF(COUNT(D1884:U1884)=0,"",INDEX($D$1:$U$1,MATCH(MIN(D1884:U1884),D1884:U1884,0)))</f>
        <v/>
      </c>
      <c r="AA1884" s="8" t="n">
        <v>79</v>
      </c>
      <c r="AB1884" s="10" t="n">
        <v>2</v>
      </c>
    </row>
    <row r="1885">
      <c r="A1885" s="7" t="inlineStr">
        <is>
          <t>MAT-32-534</t>
        </is>
      </c>
      <c r="B1885" s="4" t="inlineStr">
        <is>
          <t>Tapón macho de HG 1 1/4"</t>
        </is>
      </c>
      <c r="C1885" s="7" t="inlineStr">
        <is>
          <t>unidad</t>
        </is>
      </c>
      <c r="D1885" s="8" t="n"/>
      <c r="E1885" s="8" t="n">
        <v>41.54</v>
      </c>
      <c r="F1885" s="8" t="n"/>
      <c r="G1885" s="8" t="n">
        <v>141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>
        <f>IF(COUNT(D1885:U1885)=0,"",MIN(D1885:U1885))</f>
        <v/>
      </c>
      <c r="W1885" s="8">
        <f>IF(COUNT(D1885:U1885)=0,"",MEDIAN(D1885:U1885))</f>
        <v/>
      </c>
      <c r="X1885" s="8">
        <f>IF(COUNT(D1885:U1885)=0,"",MAX(D1885:U1885))</f>
        <v/>
      </c>
      <c r="Y1885" s="9">
        <f>IF(OR(V1885="",V1885=0),"",(X1885-V1885)/V1885)</f>
        <v/>
      </c>
      <c r="Z1885" s="7">
        <f>IF(COUNT(D1885:U1885)=0,"",INDEX($D$1:$U$1,MATCH(MIN(D1885:U1885),D1885:U1885,0)))</f>
        <v/>
      </c>
      <c r="AA1885" s="8" t="n">
        <v>91.27</v>
      </c>
      <c r="AB1885" s="10" t="n">
        <v>2</v>
      </c>
    </row>
    <row r="1886">
      <c r="A1886" s="7" t="inlineStr">
        <is>
          <t>MAT-32-535</t>
        </is>
      </c>
      <c r="B1886" s="4" t="inlineStr">
        <is>
          <t>Tapón macho de HG 1/2"</t>
        </is>
      </c>
      <c r="C1886" s="7" t="inlineStr">
        <is>
          <t>unidad</t>
        </is>
      </c>
      <c r="D1886" s="8" t="n"/>
      <c r="E1886" s="8" t="n">
        <v>22</v>
      </c>
      <c r="F1886" s="8" t="n"/>
      <c r="G1886" s="8" t="n">
        <v>15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>
        <f>IF(COUNT(D1886:U1886)=0,"",MIN(D1886:U1886))</f>
        <v/>
      </c>
      <c r="W1886" s="8">
        <f>IF(COUNT(D1886:U1886)=0,"",MEDIAN(D1886:U1886))</f>
        <v/>
      </c>
      <c r="X1886" s="8">
        <f>IF(COUNT(D1886:U1886)=0,"",MAX(D1886:U1886))</f>
        <v/>
      </c>
      <c r="Y1886" s="9">
        <f>IF(OR(V1886="",V1886=0),"",(X1886-V1886)/V1886)</f>
        <v/>
      </c>
      <c r="Z1886" s="7">
        <f>IF(COUNT(D1886:U1886)=0,"",INDEX($D$1:$U$1,MATCH(MIN(D1886:U1886),D1886:U1886,0)))</f>
        <v/>
      </c>
      <c r="AA1886" s="8" t="n">
        <v>18.5</v>
      </c>
      <c r="AB1886" s="10" t="n">
        <v>2</v>
      </c>
    </row>
    <row r="1887">
      <c r="A1887" s="7" t="inlineStr">
        <is>
          <t>MAT-32-536</t>
        </is>
      </c>
      <c r="B1887" s="4" t="inlineStr">
        <is>
          <t>Tapón macho de HG 1/4"</t>
        </is>
      </c>
      <c r="C1887" s="7" t="inlineStr">
        <is>
          <t>unidad</t>
        </is>
      </c>
      <c r="D1887" s="8" t="n"/>
      <c r="E1887" s="8" t="n">
        <v>19.18</v>
      </c>
      <c r="F1887" s="8" t="n"/>
      <c r="G1887" s="8" t="n">
        <v>23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>
        <f>IF(COUNT(D1887:U1887)=0,"",MIN(D1887:U1887))</f>
        <v/>
      </c>
      <c r="W1887" s="8">
        <f>IF(COUNT(D1887:U1887)=0,"",MEDIAN(D1887:U1887))</f>
        <v/>
      </c>
      <c r="X1887" s="8">
        <f>IF(COUNT(D1887:U1887)=0,"",MAX(D1887:U1887))</f>
        <v/>
      </c>
      <c r="Y1887" s="9">
        <f>IF(OR(V1887="",V1887=0),"",(X1887-V1887)/V1887)</f>
        <v/>
      </c>
      <c r="Z1887" s="7">
        <f>IF(COUNT(D1887:U1887)=0,"",INDEX($D$1:$U$1,MATCH(MIN(D1887:U1887),D1887:U1887,0)))</f>
        <v/>
      </c>
      <c r="AA1887" s="8" t="n">
        <v>21.09</v>
      </c>
      <c r="AB1887" s="10" t="n">
        <v>2</v>
      </c>
    </row>
    <row r="1888">
      <c r="A1888" s="7" t="inlineStr">
        <is>
          <t>MAT-32-537</t>
        </is>
      </c>
      <c r="B1888" s="4" t="inlineStr">
        <is>
          <t>Tapón macho de HG 1"</t>
        </is>
      </c>
      <c r="C1888" s="7" t="inlineStr">
        <is>
          <t>unidad</t>
        </is>
      </c>
      <c r="D1888" s="8" t="n"/>
      <c r="E1888" s="8" t="n">
        <v>35.11</v>
      </c>
      <c r="F1888" s="8" t="n"/>
      <c r="G1888" s="8" t="n">
        <v>101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>
        <f>IF(COUNT(D1888:U1888)=0,"",MIN(D1888:U1888))</f>
        <v/>
      </c>
      <c r="W1888" s="8">
        <f>IF(COUNT(D1888:U1888)=0,"",MEDIAN(D1888:U1888))</f>
        <v/>
      </c>
      <c r="X1888" s="8">
        <f>IF(COUNT(D1888:U1888)=0,"",MAX(D1888:U1888))</f>
        <v/>
      </c>
      <c r="Y1888" s="9">
        <f>IF(OR(V1888="",V1888=0),"",(X1888-V1888)/V1888)</f>
        <v/>
      </c>
      <c r="Z1888" s="7">
        <f>IF(COUNT(D1888:U1888)=0,"",INDEX($D$1:$U$1,MATCH(MIN(D1888:U1888),D1888:U1888,0)))</f>
        <v/>
      </c>
      <c r="AA1888" s="8" t="n">
        <v>68.06</v>
      </c>
      <c r="AB1888" s="10" t="n">
        <v>2</v>
      </c>
    </row>
    <row r="1889">
      <c r="A1889" s="7" t="inlineStr">
        <is>
          <t>MAT-32-538</t>
        </is>
      </c>
      <c r="B1889" s="4" t="inlineStr">
        <is>
          <t>Tapón macho de HG 2"</t>
        </is>
      </c>
      <c r="C1889" s="7" t="inlineStr">
        <is>
          <t>unidad</t>
        </is>
      </c>
      <c r="D1889" s="8" t="n"/>
      <c r="E1889" s="8" t="n">
        <v>105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>
        <f>IF(COUNT(D1889:U1889)=0,"",MIN(D1889:U1889))</f>
        <v/>
      </c>
      <c r="W1889" s="8">
        <f>IF(COUNT(D1889:U1889)=0,"",MEDIAN(D1889:U1889))</f>
        <v/>
      </c>
      <c r="X1889" s="8">
        <f>IF(COUNT(D1889:U1889)=0,"",MAX(D1889:U1889))</f>
        <v/>
      </c>
      <c r="Y1889" s="9">
        <f>IF(OR(V1889="",V1889=0),"",(X1889-V1889)/V1889)</f>
        <v/>
      </c>
      <c r="Z1889" s="7">
        <f>IF(COUNT(D1889:U1889)=0,"",INDEX($D$1:$U$1,MATCH(MIN(D1889:U1889),D1889:U1889,0)))</f>
        <v/>
      </c>
      <c r="AA1889" s="8" t="n">
        <v>105</v>
      </c>
      <c r="AB1889" s="10" t="n">
        <v>1</v>
      </c>
    </row>
    <row r="1890">
      <c r="A1890" s="7" t="inlineStr">
        <is>
          <t>MAT-32-539</t>
        </is>
      </c>
      <c r="B1890" s="4" t="inlineStr">
        <is>
          <t>Tapón macho de HG 3/4"</t>
        </is>
      </c>
      <c r="C1890" s="7" t="inlineStr">
        <is>
          <t>unidad</t>
        </is>
      </c>
      <c r="D1890" s="8" t="n"/>
      <c r="E1890" s="8" t="n">
        <v>25.87</v>
      </c>
      <c r="F1890" s="8" t="n"/>
      <c r="G1890" s="8" t="n">
        <v>33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>
        <f>IF(COUNT(D1890:U1890)=0,"",MIN(D1890:U1890))</f>
        <v/>
      </c>
      <c r="W1890" s="8">
        <f>IF(COUNT(D1890:U1890)=0,"",MEDIAN(D1890:U1890))</f>
        <v/>
      </c>
      <c r="X1890" s="8">
        <f>IF(COUNT(D1890:U1890)=0,"",MAX(D1890:U1890))</f>
        <v/>
      </c>
      <c r="Y1890" s="9">
        <f>IF(OR(V1890="",V1890=0),"",(X1890-V1890)/V1890)</f>
        <v/>
      </c>
      <c r="Z1890" s="7">
        <f>IF(COUNT(D1890:U1890)=0,"",INDEX($D$1:$U$1,MATCH(MIN(D1890:U1890),D1890:U1890,0)))</f>
        <v/>
      </c>
      <c r="AA1890" s="8" t="n">
        <v>29.44</v>
      </c>
      <c r="AB1890" s="10" t="n">
        <v>2</v>
      </c>
    </row>
    <row r="1891">
      <c r="A1891" s="7" t="inlineStr">
        <is>
          <t>MAT-32-540</t>
        </is>
      </c>
      <c r="B1891" s="4" t="inlineStr">
        <is>
          <t>Tapón macho de HG 3/8"</t>
        </is>
      </c>
      <c r="C1891" s="7" t="inlineStr">
        <is>
          <t>unidad</t>
        </is>
      </c>
      <c r="D1891" s="8" t="n"/>
      <c r="E1891" s="8" t="n">
        <v>21.1</v>
      </c>
      <c r="F1891" s="8" t="n"/>
      <c r="G1891" s="8" t="n">
        <v>22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>
        <f>IF(COUNT(D1891:U1891)=0,"",MIN(D1891:U1891))</f>
        <v/>
      </c>
      <c r="W1891" s="8">
        <f>IF(COUNT(D1891:U1891)=0,"",MEDIAN(D1891:U1891))</f>
        <v/>
      </c>
      <c r="X1891" s="8">
        <f>IF(COUNT(D1891:U1891)=0,"",MAX(D1891:U1891))</f>
        <v/>
      </c>
      <c r="Y1891" s="9">
        <f>IF(OR(V1891="",V1891=0),"",(X1891-V1891)/V1891)</f>
        <v/>
      </c>
      <c r="Z1891" s="7">
        <f>IF(COUNT(D1891:U1891)=0,"",INDEX($D$1:$U$1,MATCH(MIN(D1891:U1891),D1891:U1891,0)))</f>
        <v/>
      </c>
      <c r="AA1891" s="8" t="n">
        <v>21.55</v>
      </c>
      <c r="AB1891" s="10" t="n">
        <v>2</v>
      </c>
    </row>
    <row r="1892">
      <c r="A1892" s="7" t="inlineStr">
        <is>
          <t>MAT-32-541</t>
        </is>
      </c>
      <c r="B1892" s="4" t="inlineStr">
        <is>
          <t>Tapón macho de HG 3"</t>
        </is>
      </c>
      <c r="C1892" s="7" t="inlineStr">
        <is>
          <t>unidad</t>
        </is>
      </c>
      <c r="D1892" s="8" t="n"/>
      <c r="E1892" s="8" t="n">
        <v>220</v>
      </c>
      <c r="F1892" s="8" t="n"/>
      <c r="G1892" s="8" t="n">
        <v>206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>
        <f>IF(COUNT(D1892:U1892)=0,"",MIN(D1892:U1892))</f>
        <v/>
      </c>
      <c r="W1892" s="8">
        <f>IF(COUNT(D1892:U1892)=0,"",MEDIAN(D1892:U1892))</f>
        <v/>
      </c>
      <c r="X1892" s="8">
        <f>IF(COUNT(D1892:U1892)=0,"",MAX(D1892:U1892))</f>
        <v/>
      </c>
      <c r="Y1892" s="9">
        <f>IF(OR(V1892="",V1892=0),"",(X1892-V1892)/V1892)</f>
        <v/>
      </c>
      <c r="Z1892" s="7">
        <f>IF(COUNT(D1892:U1892)=0,"",INDEX($D$1:$U$1,MATCH(MIN(D1892:U1892),D1892:U1892,0)))</f>
        <v/>
      </c>
      <c r="AA1892" s="8" t="n">
        <v>213</v>
      </c>
      <c r="AB1892" s="10" t="n">
        <v>2</v>
      </c>
    </row>
    <row r="1893">
      <c r="A1893" s="7" t="inlineStr">
        <is>
          <t>MAT-32-542</t>
        </is>
      </c>
      <c r="B1893" s="4" t="inlineStr">
        <is>
          <t>Tapón macho de PPR 20 mm</t>
        </is>
      </c>
      <c r="C1893" s="7" t="inlineStr">
        <is>
          <t>unidad</t>
        </is>
      </c>
      <c r="D1893" s="8" t="n"/>
      <c r="E1893" s="8" t="n">
        <v>4.66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>
        <f>IF(COUNT(D1893:U1893)=0,"",MIN(D1893:U1893))</f>
        <v/>
      </c>
      <c r="W1893" s="8">
        <f>IF(COUNT(D1893:U1893)=0,"",MEDIAN(D1893:U1893))</f>
        <v/>
      </c>
      <c r="X1893" s="8">
        <f>IF(COUNT(D1893:U1893)=0,"",MAX(D1893:U1893))</f>
        <v/>
      </c>
      <c r="Y1893" s="9">
        <f>IF(OR(V1893="",V1893=0),"",(X1893-V1893)/V1893)</f>
        <v/>
      </c>
      <c r="Z1893" s="7">
        <f>IF(COUNT(D1893:U1893)=0,"",INDEX($D$1:$U$1,MATCH(MIN(D1893:U1893),D1893:U1893,0)))</f>
        <v/>
      </c>
      <c r="AA1893" s="8" t="n">
        <v>4.66</v>
      </c>
      <c r="AB1893" s="10" t="n">
        <v>1</v>
      </c>
    </row>
    <row r="1894">
      <c r="A1894" s="7" t="inlineStr">
        <is>
          <t>MAT-32-543</t>
        </is>
      </c>
      <c r="B1894" s="4" t="inlineStr">
        <is>
          <t>Tapón macho de PPR 25 mm</t>
        </is>
      </c>
      <c r="C1894" s="7" t="inlineStr">
        <is>
          <t>unidad</t>
        </is>
      </c>
      <c r="D1894" s="8" t="n"/>
      <c r="E1894" s="8" t="n">
        <v>8.23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>
        <f>IF(COUNT(D1894:U1894)=0,"",MIN(D1894:U1894))</f>
        <v/>
      </c>
      <c r="W1894" s="8">
        <f>IF(COUNT(D1894:U1894)=0,"",MEDIAN(D1894:U1894))</f>
        <v/>
      </c>
      <c r="X1894" s="8">
        <f>IF(COUNT(D1894:U1894)=0,"",MAX(D1894:U1894))</f>
        <v/>
      </c>
      <c r="Y1894" s="9">
        <f>IF(OR(V1894="",V1894=0),"",(X1894-V1894)/V1894)</f>
        <v/>
      </c>
      <c r="Z1894" s="7">
        <f>IF(COUNT(D1894:U1894)=0,"",INDEX($D$1:$U$1,MATCH(MIN(D1894:U1894),D1894:U1894,0)))</f>
        <v/>
      </c>
      <c r="AA1894" s="8" t="n">
        <v>8.23</v>
      </c>
      <c r="AB1894" s="10" t="n">
        <v>1</v>
      </c>
    </row>
    <row r="1895">
      <c r="A1895" s="7" t="inlineStr">
        <is>
          <t>MAT-32-544</t>
        </is>
      </c>
      <c r="B1895" s="4" t="inlineStr">
        <is>
          <t>Tapón macho de PPR 32 mm</t>
        </is>
      </c>
      <c r="C1895" s="7" t="inlineStr">
        <is>
          <t>unidad</t>
        </is>
      </c>
      <c r="D1895" s="8" t="n"/>
      <c r="E1895" s="8" t="n">
        <v>10.98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>
        <f>IF(COUNT(D1895:U1895)=0,"",MIN(D1895:U1895))</f>
        <v/>
      </c>
      <c r="W1895" s="8">
        <f>IF(COUNT(D1895:U1895)=0,"",MEDIAN(D1895:U1895))</f>
        <v/>
      </c>
      <c r="X1895" s="8">
        <f>IF(COUNT(D1895:U1895)=0,"",MAX(D1895:U1895))</f>
        <v/>
      </c>
      <c r="Y1895" s="9">
        <f>IF(OR(V1895="",V1895=0),"",(X1895-V1895)/V1895)</f>
        <v/>
      </c>
      <c r="Z1895" s="7">
        <f>IF(COUNT(D1895:U1895)=0,"",INDEX($D$1:$U$1,MATCH(MIN(D1895:U1895),D1895:U1895,0)))</f>
        <v/>
      </c>
      <c r="AA1895" s="8" t="n">
        <v>10.98</v>
      </c>
      <c r="AB1895" s="10" t="n">
        <v>1</v>
      </c>
    </row>
    <row r="1896">
      <c r="A1896" s="7" t="inlineStr">
        <is>
          <t>MAT-32-545</t>
        </is>
      </c>
      <c r="B1896" s="4" t="inlineStr">
        <is>
          <t>Tapón macho de PVC 1 1/2"</t>
        </is>
      </c>
      <c r="C1896" s="7" t="inlineStr">
        <is>
          <t>unidad</t>
        </is>
      </c>
      <c r="D1896" s="8" t="n"/>
      <c r="E1896" s="8" t="n">
        <v>30.65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>
        <f>IF(COUNT(D1896:U1896)=0,"",MIN(D1896:U1896))</f>
        <v/>
      </c>
      <c r="W1896" s="8">
        <f>IF(COUNT(D1896:U1896)=0,"",MEDIAN(D1896:U1896))</f>
        <v/>
      </c>
      <c r="X1896" s="8">
        <f>IF(COUNT(D1896:U1896)=0,"",MAX(D1896:U1896))</f>
        <v/>
      </c>
      <c r="Y1896" s="9">
        <f>IF(OR(V1896="",V1896=0),"",(X1896-V1896)/V1896)</f>
        <v/>
      </c>
      <c r="Z1896" s="7">
        <f>IF(COUNT(D1896:U1896)=0,"",INDEX($D$1:$U$1,MATCH(MIN(D1896:U1896),D1896:U1896,0)))</f>
        <v/>
      </c>
      <c r="AA1896" s="8" t="n">
        <v>30.65</v>
      </c>
      <c r="AB1896" s="10" t="n">
        <v>1</v>
      </c>
    </row>
    <row r="1897">
      <c r="A1897" s="7" t="inlineStr">
        <is>
          <t>MAT-32-546</t>
        </is>
      </c>
      <c r="B1897" s="4" t="inlineStr">
        <is>
          <t>Tapón macho de PVC 1"</t>
        </is>
      </c>
      <c r="C1897" s="7" t="inlineStr">
        <is>
          <t>unidad</t>
        </is>
      </c>
      <c r="D1897" s="8" t="n"/>
      <c r="E1897" s="8" t="n">
        <v>5.61</v>
      </c>
      <c r="F1897" s="8" t="n"/>
      <c r="G1897" s="8" t="n">
        <v>62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>
        <f>IF(COUNT(D1897:U1897)=0,"",MIN(D1897:U1897))</f>
        <v/>
      </c>
      <c r="W1897" s="8">
        <f>IF(COUNT(D1897:U1897)=0,"",MEDIAN(D1897:U1897))</f>
        <v/>
      </c>
      <c r="X1897" s="8">
        <f>IF(COUNT(D1897:U1897)=0,"",MAX(D1897:U1897))</f>
        <v/>
      </c>
      <c r="Y1897" s="9">
        <f>IF(OR(V1897="",V1897=0),"",(X1897-V1897)/V1897)</f>
        <v/>
      </c>
      <c r="Z1897" s="7">
        <f>IF(COUNT(D1897:U1897)=0,"",INDEX($D$1:$U$1,MATCH(MIN(D1897:U1897),D1897:U1897,0)))</f>
        <v/>
      </c>
      <c r="AA1897" s="8" t="n">
        <v>35.11</v>
      </c>
      <c r="AB1897" s="10" t="n">
        <v>2</v>
      </c>
    </row>
    <row r="1898">
      <c r="A1898" s="7" t="inlineStr">
        <is>
          <t>MAT-32-547</t>
        </is>
      </c>
      <c r="B1898" s="4" t="inlineStr">
        <is>
          <t>Tapón macho de PVC 2"</t>
        </is>
      </c>
      <c r="C1898" s="7" t="inlineStr">
        <is>
          <t>unidad</t>
        </is>
      </c>
      <c r="D1898" s="8" t="n"/>
      <c r="E1898" s="8" t="n">
        <v>31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>
        <f>IF(COUNT(D1898:U1898)=0,"",MIN(D1898:U1898))</f>
        <v/>
      </c>
      <c r="W1898" s="8">
        <f>IF(COUNT(D1898:U1898)=0,"",MEDIAN(D1898:U1898))</f>
        <v/>
      </c>
      <c r="X1898" s="8">
        <f>IF(COUNT(D1898:U1898)=0,"",MAX(D1898:U1898))</f>
        <v/>
      </c>
      <c r="Y1898" s="9">
        <f>IF(OR(V1898="",V1898=0),"",(X1898-V1898)/V1898)</f>
        <v/>
      </c>
      <c r="Z1898" s="7">
        <f>IF(COUNT(D1898:U1898)=0,"",INDEX($D$1:$U$1,MATCH(MIN(D1898:U1898),D1898:U1898,0)))</f>
        <v/>
      </c>
      <c r="AA1898" s="8" t="n">
        <v>31</v>
      </c>
      <c r="AB1898" s="10" t="n">
        <v>1</v>
      </c>
    </row>
    <row r="1899">
      <c r="A1899" s="7" t="inlineStr">
        <is>
          <t>MAT-32-548</t>
        </is>
      </c>
      <c r="B1899" s="4" t="inlineStr">
        <is>
          <t>Tapón macho de PVC 3/4"</t>
        </is>
      </c>
      <c r="C1899" s="7" t="inlineStr">
        <is>
          <t>unidad</t>
        </is>
      </c>
      <c r="D1899" s="8" t="n"/>
      <c r="E1899" s="8" t="n">
        <v>3.57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>
        <f>IF(COUNT(D1899:U1899)=0,"",MIN(D1899:U1899))</f>
        <v/>
      </c>
      <c r="W1899" s="8">
        <f>IF(COUNT(D1899:U1899)=0,"",MEDIAN(D1899:U1899))</f>
        <v/>
      </c>
      <c r="X1899" s="8">
        <f>IF(COUNT(D1899:U1899)=0,"",MAX(D1899:U1899))</f>
        <v/>
      </c>
      <c r="Y1899" s="9">
        <f>IF(OR(V1899="",V1899=0),"",(X1899-V1899)/V1899)</f>
        <v/>
      </c>
      <c r="Z1899" s="7">
        <f>IF(COUNT(D1899:U1899)=0,"",INDEX($D$1:$U$1,MATCH(MIN(D1899:U1899),D1899:U1899,0)))</f>
        <v/>
      </c>
      <c r="AA1899" s="8" t="n">
        <v>7.04</v>
      </c>
      <c r="AB1899" s="10" t="n">
        <v>1</v>
      </c>
    </row>
    <row r="1900">
      <c r="A1900" s="7" t="inlineStr">
        <is>
          <t>MAT-32-549</t>
        </is>
      </c>
      <c r="B1900" s="4" t="inlineStr">
        <is>
          <t>Tapón de HG 1 1/2"</t>
        </is>
      </c>
      <c r="C1900" s="7" t="inlineStr">
        <is>
          <t>unidad</t>
        </is>
      </c>
      <c r="D1900" s="8" t="n"/>
      <c r="E1900" s="8" t="n">
        <v>71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>
        <f>IF(COUNT(D1900:U1900)=0,"",MIN(D1900:U1900))</f>
        <v/>
      </c>
      <c r="W1900" s="8">
        <f>IF(COUNT(D1900:U1900)=0,"",MEDIAN(D1900:U1900))</f>
        <v/>
      </c>
      <c r="X1900" s="8">
        <f>IF(COUNT(D1900:U1900)=0,"",MAX(D1900:U1900))</f>
        <v/>
      </c>
      <c r="Y1900" s="9">
        <f>IF(OR(V1900="",V1900=0),"",(X1900-V1900)/V1900)</f>
        <v/>
      </c>
      <c r="Z1900" s="7">
        <f>IF(COUNT(D1900:U1900)=0,"",INDEX($D$1:$U$1,MATCH(MIN(D1900:U1900),D1900:U1900,0)))</f>
        <v/>
      </c>
      <c r="AA1900" s="8" t="n">
        <v>71</v>
      </c>
      <c r="AB1900" s="10" t="n">
        <v>1</v>
      </c>
    </row>
    <row r="1901">
      <c r="A1901" s="7" t="inlineStr">
        <is>
          <t>MAT-32-550</t>
        </is>
      </c>
      <c r="B1901" s="4" t="inlineStr">
        <is>
          <t>Tapón de HG 1/2"</t>
        </is>
      </c>
      <c r="C1901" s="7" t="inlineStr">
        <is>
          <t>unidad</t>
        </is>
      </c>
      <c r="D1901" s="8" t="n"/>
      <c r="E1901" s="8" t="n">
        <v>47.69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>
        <f>IF(COUNT(D1901:U1901)=0,"",MIN(D1901:U1901))</f>
        <v/>
      </c>
      <c r="W1901" s="8">
        <f>IF(COUNT(D1901:U1901)=0,"",MEDIAN(D1901:U1901))</f>
        <v/>
      </c>
      <c r="X1901" s="8">
        <f>IF(COUNT(D1901:U1901)=0,"",MAX(D1901:U1901))</f>
        <v/>
      </c>
      <c r="Y1901" s="9">
        <f>IF(OR(V1901="",V1901=0),"",(X1901-V1901)/V1901)</f>
        <v/>
      </c>
      <c r="Z1901" s="7">
        <f>IF(COUNT(D1901:U1901)=0,"",INDEX($D$1:$U$1,MATCH(MIN(D1901:U1901),D1901:U1901,0)))</f>
        <v/>
      </c>
      <c r="AA1901" s="8" t="n">
        <v>47.69</v>
      </c>
      <c r="AB1901" s="10" t="n">
        <v>1</v>
      </c>
    </row>
    <row r="1902">
      <c r="A1902" s="7" t="inlineStr">
        <is>
          <t>MAT-32-551</t>
        </is>
      </c>
      <c r="B1902" s="4" t="inlineStr">
        <is>
          <t>Tapón de HG 1"</t>
        </is>
      </c>
      <c r="C1902" s="7" t="inlineStr">
        <is>
          <t>unidad</t>
        </is>
      </c>
      <c r="D1902" s="8" t="n"/>
      <c r="E1902" s="8" t="n">
        <v>35.13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>
        <f>IF(COUNT(D1902:U1902)=0,"",MIN(D1902:U1902))</f>
        <v/>
      </c>
      <c r="W1902" s="8">
        <f>IF(COUNT(D1902:U1902)=0,"",MEDIAN(D1902:U1902))</f>
        <v/>
      </c>
      <c r="X1902" s="8">
        <f>IF(COUNT(D1902:U1902)=0,"",MAX(D1902:U1902))</f>
        <v/>
      </c>
      <c r="Y1902" s="9">
        <f>IF(OR(V1902="",V1902=0),"",(X1902-V1902)/V1902)</f>
        <v/>
      </c>
      <c r="Z1902" s="7">
        <f>IF(COUNT(D1902:U1902)=0,"",INDEX($D$1:$U$1,MATCH(MIN(D1902:U1902),D1902:U1902,0)))</f>
        <v/>
      </c>
      <c r="AA1902" s="8" t="n">
        <v>35.13</v>
      </c>
      <c r="AB1902" s="10" t="n">
        <v>1</v>
      </c>
    </row>
    <row r="1903">
      <c r="A1903" s="7" t="inlineStr">
        <is>
          <t>MAT-32-552</t>
        </is>
      </c>
      <c r="B1903" s="4" t="inlineStr">
        <is>
          <t>Tapón de HG 2"</t>
        </is>
      </c>
      <c r="C1903" s="7" t="inlineStr">
        <is>
          <t>unidad</t>
        </is>
      </c>
      <c r="D1903" s="8" t="n"/>
      <c r="E1903" s="8" t="n">
        <v>88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>
        <f>IF(COUNT(D1903:U1903)=0,"",MIN(D1903:U1903))</f>
        <v/>
      </c>
      <c r="W1903" s="8">
        <f>IF(COUNT(D1903:U1903)=0,"",MEDIAN(D1903:U1903))</f>
        <v/>
      </c>
      <c r="X1903" s="8">
        <f>IF(COUNT(D1903:U1903)=0,"",MAX(D1903:U1903))</f>
        <v/>
      </c>
      <c r="Y1903" s="9">
        <f>IF(OR(V1903="",V1903=0),"",(X1903-V1903)/V1903)</f>
        <v/>
      </c>
      <c r="Z1903" s="7">
        <f>IF(COUNT(D1903:U1903)=0,"",INDEX($D$1:$U$1,MATCH(MIN(D1903:U1903),D1903:U1903,0)))</f>
        <v/>
      </c>
      <c r="AA1903" s="8" t="n">
        <v>88</v>
      </c>
      <c r="AB1903" s="10" t="n">
        <v>1</v>
      </c>
    </row>
    <row r="1904">
      <c r="A1904" s="7" t="inlineStr">
        <is>
          <t>MAT-32-553</t>
        </is>
      </c>
      <c r="B1904" s="4" t="inlineStr">
        <is>
          <t>Tapón de HG 3/4"</t>
        </is>
      </c>
      <c r="C1904" s="7" t="inlineStr">
        <is>
          <t>unidad</t>
        </is>
      </c>
      <c r="D1904" s="8" t="n"/>
      <c r="E1904" s="8" t="n">
        <v>25.2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>
        <f>IF(COUNT(D1904:U1904)=0,"",MIN(D1904:U1904))</f>
        <v/>
      </c>
      <c r="W1904" s="8">
        <f>IF(COUNT(D1904:U1904)=0,"",MEDIAN(D1904:U1904))</f>
        <v/>
      </c>
      <c r="X1904" s="8">
        <f>IF(COUNT(D1904:U1904)=0,"",MAX(D1904:U1904))</f>
        <v/>
      </c>
      <c r="Y1904" s="9">
        <f>IF(OR(V1904="",V1904=0),"",(X1904-V1904)/V1904)</f>
        <v/>
      </c>
      <c r="Z1904" s="7">
        <f>IF(COUNT(D1904:U1904)=0,"",INDEX($D$1:$U$1,MATCH(MIN(D1904:U1904),D1904:U1904,0)))</f>
        <v/>
      </c>
      <c r="AA1904" s="8" t="n">
        <v>25.2</v>
      </c>
      <c r="AB1904" s="10" t="n">
        <v>1</v>
      </c>
    </row>
    <row r="1905">
      <c r="A1905" s="7" t="inlineStr">
        <is>
          <t>MAT-32-554</t>
        </is>
      </c>
      <c r="B1905" s="4" t="inlineStr">
        <is>
          <t>Tapón de HG 3/8"</t>
        </is>
      </c>
      <c r="C1905" s="7" t="inlineStr">
        <is>
          <t>unidad</t>
        </is>
      </c>
      <c r="D1905" s="8" t="n"/>
      <c r="E1905" s="8" t="n">
        <v>28.78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>
        <f>IF(COUNT(D1905:U1905)=0,"",MIN(D1905:U1905))</f>
        <v/>
      </c>
      <c r="W1905" s="8">
        <f>IF(COUNT(D1905:U1905)=0,"",MEDIAN(D1905:U1905))</f>
        <v/>
      </c>
      <c r="X1905" s="8">
        <f>IF(COUNT(D1905:U1905)=0,"",MAX(D1905:U1905))</f>
        <v/>
      </c>
      <c r="Y1905" s="9">
        <f>IF(OR(V1905="",V1905=0),"",(X1905-V1905)/V1905)</f>
        <v/>
      </c>
      <c r="Z1905" s="7">
        <f>IF(COUNT(D1905:U1905)=0,"",INDEX($D$1:$U$1,MATCH(MIN(D1905:U1905),D1905:U1905,0)))</f>
        <v/>
      </c>
      <c r="AA1905" s="8" t="n">
        <v>28.78</v>
      </c>
      <c r="AB1905" s="10" t="n">
        <v>1</v>
      </c>
    </row>
    <row r="1906">
      <c r="A1906" s="7" t="inlineStr">
        <is>
          <t>MAT-32-555</t>
        </is>
      </c>
      <c r="B1906" s="4" t="inlineStr">
        <is>
          <t>Tapón de HG 3"</t>
        </is>
      </c>
      <c r="C1906" s="7" t="inlineStr">
        <is>
          <t>unidad</t>
        </is>
      </c>
      <c r="D1906" s="8" t="n"/>
      <c r="E1906" s="8" t="n">
        <v>281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>
        <f>IF(COUNT(D1906:U1906)=0,"",MIN(D1906:U1906))</f>
        <v/>
      </c>
      <c r="W1906" s="8">
        <f>IF(COUNT(D1906:U1906)=0,"",MEDIAN(D1906:U1906))</f>
        <v/>
      </c>
      <c r="X1906" s="8">
        <f>IF(COUNT(D1906:U1906)=0,"",MAX(D1906:U1906))</f>
        <v/>
      </c>
      <c r="Y1906" s="9">
        <f>IF(OR(V1906="",V1906=0),"",(X1906-V1906)/V1906)</f>
        <v/>
      </c>
      <c r="Z1906" s="7">
        <f>IF(COUNT(D1906:U1906)=0,"",INDEX($D$1:$U$1,MATCH(MIN(D1906:U1906),D1906:U1906,0)))</f>
        <v/>
      </c>
      <c r="AA1906" s="8" t="n">
        <v>281</v>
      </c>
      <c r="AB1906" s="10" t="n">
        <v>1</v>
      </c>
    </row>
    <row r="1907">
      <c r="A1907" s="7" t="inlineStr">
        <is>
          <t>MAT-32-556</t>
        </is>
      </c>
      <c r="B1907" s="4" t="inlineStr">
        <is>
          <t>Tapón de HG 4"</t>
        </is>
      </c>
      <c r="C1907" s="7" t="inlineStr">
        <is>
          <t>unidad</t>
        </is>
      </c>
      <c r="D1907" s="8" t="n"/>
      <c r="E1907" s="8" t="n">
        <v>454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>
        <f>IF(COUNT(D1907:U1907)=0,"",MIN(D1907:U1907))</f>
        <v/>
      </c>
      <c r="W1907" s="8">
        <f>IF(COUNT(D1907:U1907)=0,"",MEDIAN(D1907:U1907))</f>
        <v/>
      </c>
      <c r="X1907" s="8">
        <f>IF(COUNT(D1907:U1907)=0,"",MAX(D1907:U1907))</f>
        <v/>
      </c>
      <c r="Y1907" s="9">
        <f>IF(OR(V1907="",V1907=0),"",(X1907-V1907)/V1907)</f>
        <v/>
      </c>
      <c r="Z1907" s="7">
        <f>IF(COUNT(D1907:U1907)=0,"",INDEX($D$1:$U$1,MATCH(MIN(D1907:U1907),D1907:U1907,0)))</f>
        <v/>
      </c>
      <c r="AA1907" s="8" t="n">
        <v>454</v>
      </c>
      <c r="AB1907" s="10" t="n">
        <v>1</v>
      </c>
    </row>
    <row r="1908">
      <c r="A1908" s="7" t="inlineStr">
        <is>
          <t>MAT-32-557</t>
        </is>
      </c>
      <c r="B1908" s="4" t="inlineStr">
        <is>
          <t>Tapón de plástico 1 1/2"</t>
        </is>
      </c>
      <c r="C1908" s="7" t="inlineStr">
        <is>
          <t>unidad</t>
        </is>
      </c>
      <c r="D1908" s="8" t="n"/>
      <c r="E1908" s="8" t="n">
        <v>8.5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>
        <f>IF(COUNT(D1908:U1908)=0,"",MIN(D1908:U1908))</f>
        <v/>
      </c>
      <c r="W1908" s="8">
        <f>IF(COUNT(D1908:U1908)=0,"",MEDIAN(D1908:U1908))</f>
        <v/>
      </c>
      <c r="X1908" s="8">
        <f>IF(COUNT(D1908:U1908)=0,"",MAX(D1908:U1908))</f>
        <v/>
      </c>
      <c r="Y1908" s="9">
        <f>IF(OR(V1908="",V1908=0),"",(X1908-V1908)/V1908)</f>
        <v/>
      </c>
      <c r="Z1908" s="7">
        <f>IF(COUNT(D1908:U1908)=0,"",INDEX($D$1:$U$1,MATCH(MIN(D1908:U1908),D1908:U1908,0)))</f>
        <v/>
      </c>
      <c r="AA1908" s="8" t="n">
        <v>9.25</v>
      </c>
      <c r="AB1908" s="10" t="n">
        <v>1</v>
      </c>
    </row>
    <row r="1909">
      <c r="A1909" s="7" t="inlineStr">
        <is>
          <t>MAT-32-558</t>
        </is>
      </c>
      <c r="B1909" s="4" t="inlineStr">
        <is>
          <t>Tapón de plástico 16"</t>
        </is>
      </c>
      <c r="C1909" s="7" t="inlineStr">
        <is>
          <t>unidad</t>
        </is>
      </c>
      <c r="D1909" s="8" t="n"/>
      <c r="E1909" s="8" t="n">
        <v>211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>
        <f>IF(COUNT(D1909:U1909)=0,"",MIN(D1909:U1909))</f>
        <v/>
      </c>
      <c r="W1909" s="8">
        <f>IF(COUNT(D1909:U1909)=0,"",MEDIAN(D1909:U1909))</f>
        <v/>
      </c>
      <c r="X1909" s="8">
        <f>IF(COUNT(D1909:U1909)=0,"",MAX(D1909:U1909))</f>
        <v/>
      </c>
      <c r="Y1909" s="9">
        <f>IF(OR(V1909="",V1909=0),"",(X1909-V1909)/V1909)</f>
        <v/>
      </c>
      <c r="Z1909" s="7">
        <f>IF(COUNT(D1909:U1909)=0,"",INDEX($D$1:$U$1,MATCH(MIN(D1909:U1909),D1909:U1909,0)))</f>
        <v/>
      </c>
      <c r="AA1909" s="8" t="n">
        <v>211</v>
      </c>
      <c r="AB1909" s="10" t="n">
        <v>1</v>
      </c>
    </row>
    <row r="1910">
      <c r="A1910" s="7" t="inlineStr">
        <is>
          <t>MAT-32-559</t>
        </is>
      </c>
      <c r="B1910" s="4" t="inlineStr">
        <is>
          <t>Tapón de plástico 1"</t>
        </is>
      </c>
      <c r="C1910" s="7" t="inlineStr">
        <is>
          <t>unidad</t>
        </is>
      </c>
      <c r="D1910" s="8" t="n"/>
      <c r="E1910" s="8" t="n">
        <v>3.9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>
        <f>IF(COUNT(D1910:U1910)=0,"",MIN(D1910:U1910))</f>
        <v/>
      </c>
      <c r="W1910" s="8">
        <f>IF(COUNT(D1910:U1910)=0,"",MEDIAN(D1910:U1910))</f>
        <v/>
      </c>
      <c r="X1910" s="8">
        <f>IF(COUNT(D1910:U1910)=0,"",MAX(D1910:U1910))</f>
        <v/>
      </c>
      <c r="Y1910" s="9">
        <f>IF(OR(V1910="",V1910=0),"",(X1910-V1910)/V1910)</f>
        <v/>
      </c>
      <c r="Z1910" s="7">
        <f>IF(COUNT(D1910:U1910)=0,"",INDEX($D$1:$U$1,MATCH(MIN(D1910:U1910),D1910:U1910,0)))</f>
        <v/>
      </c>
      <c r="AA1910" s="8" t="n">
        <v>5.27</v>
      </c>
      <c r="AB1910" s="10" t="n">
        <v>1</v>
      </c>
    </row>
    <row r="1911">
      <c r="A1911" s="7" t="inlineStr">
        <is>
          <t>MAT-32-560</t>
        </is>
      </c>
      <c r="B1911" s="4" t="inlineStr">
        <is>
          <t>Tapón de plástico 2"</t>
        </is>
      </c>
      <c r="C1911" s="7" t="inlineStr">
        <is>
          <t>unidad</t>
        </is>
      </c>
      <c r="D1911" s="8" t="n"/>
      <c r="E1911" s="8" t="n">
        <v>5.25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>
        <f>IF(COUNT(D1911:U1911)=0,"",MIN(D1911:U1911))</f>
        <v/>
      </c>
      <c r="W1911" s="8">
        <f>IF(COUNT(D1911:U1911)=0,"",MEDIAN(D1911:U1911))</f>
        <v/>
      </c>
      <c r="X1911" s="8">
        <f>IF(COUNT(D1911:U1911)=0,"",MAX(D1911:U1911))</f>
        <v/>
      </c>
      <c r="Y1911" s="9">
        <f>IF(OR(V1911="",V1911=0),"",(X1911-V1911)/V1911)</f>
        <v/>
      </c>
      <c r="Z1911" s="7">
        <f>IF(COUNT(D1911:U1911)=0,"",INDEX($D$1:$U$1,MATCH(MIN(D1911:U1911),D1911:U1911,0)))</f>
        <v/>
      </c>
      <c r="AA1911" s="8" t="n">
        <v>5.25</v>
      </c>
      <c r="AB1911" s="10" t="n">
        <v>1</v>
      </c>
    </row>
    <row r="1912">
      <c r="A1912" s="7" t="inlineStr">
        <is>
          <t>MAT-32-561</t>
        </is>
      </c>
      <c r="B1912" s="4" t="inlineStr">
        <is>
          <t>Tapón de plástico 3/4"</t>
        </is>
      </c>
      <c r="C1912" s="7" t="inlineStr">
        <is>
          <t>unidad</t>
        </is>
      </c>
      <c r="D1912" s="8" t="n"/>
      <c r="E1912" s="8" t="n">
        <v>4.48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>
        <f>IF(COUNT(D1912:U1912)=0,"",MIN(D1912:U1912))</f>
        <v/>
      </c>
      <c r="W1912" s="8">
        <f>IF(COUNT(D1912:U1912)=0,"",MEDIAN(D1912:U1912))</f>
        <v/>
      </c>
      <c r="X1912" s="8">
        <f>IF(COUNT(D1912:U1912)=0,"",MAX(D1912:U1912))</f>
        <v/>
      </c>
      <c r="Y1912" s="9">
        <f>IF(OR(V1912="",V1912=0),"",(X1912-V1912)/V1912)</f>
        <v/>
      </c>
      <c r="Z1912" s="7">
        <f>IF(COUNT(D1912:U1912)=0,"",INDEX($D$1:$U$1,MATCH(MIN(D1912:U1912),D1912:U1912,0)))</f>
        <v/>
      </c>
      <c r="AA1912" s="8" t="n">
        <v>4.48</v>
      </c>
      <c r="AB1912" s="10" t="n">
        <v>1</v>
      </c>
    </row>
    <row r="1913">
      <c r="A1913" s="7" t="inlineStr">
        <is>
          <t>MAT-32-562</t>
        </is>
      </c>
      <c r="B1913" s="4" t="inlineStr">
        <is>
          <t>Tapón de PVC 1 1/2"</t>
        </is>
      </c>
      <c r="C1913" s="7" t="inlineStr">
        <is>
          <t>unidad</t>
        </is>
      </c>
      <c r="D1913" s="8" t="n"/>
      <c r="E1913" s="8" t="n"/>
      <c r="F1913" s="8" t="n"/>
      <c r="G1913" s="8" t="n">
        <v>101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>
        <f>IF(COUNT(D1913:U1913)=0,"",MIN(D1913:U1913))</f>
        <v/>
      </c>
      <c r="W1913" s="8">
        <f>IF(COUNT(D1913:U1913)=0,"",MEDIAN(D1913:U1913))</f>
        <v/>
      </c>
      <c r="X1913" s="8">
        <f>IF(COUNT(D1913:U1913)=0,"",MAX(D1913:U1913))</f>
        <v/>
      </c>
      <c r="Y1913" s="9">
        <f>IF(OR(V1913="",V1913=0),"",(X1913-V1913)/V1913)</f>
        <v/>
      </c>
      <c r="Z1913" s="7">
        <f>IF(COUNT(D1913:U1913)=0,"",INDEX($D$1:$U$1,MATCH(MIN(D1913:U1913),D1913:U1913,0)))</f>
        <v/>
      </c>
      <c r="AA1913" s="8" t="n">
        <v>101</v>
      </c>
      <c r="AB1913" s="10" t="n">
        <v>1</v>
      </c>
    </row>
    <row r="1914">
      <c r="A1914" s="7" t="inlineStr">
        <is>
          <t>MAT-32-563</t>
        </is>
      </c>
      <c r="B1914" s="4" t="inlineStr">
        <is>
          <t>Tapón de PVC 2"</t>
        </is>
      </c>
      <c r="C1914" s="7" t="inlineStr">
        <is>
          <t>unidad</t>
        </is>
      </c>
      <c r="D1914" s="8" t="n"/>
      <c r="E1914" s="8" t="n"/>
      <c r="F1914" s="8" t="n"/>
      <c r="G1914" s="8" t="n">
        <v>135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>
        <f>IF(COUNT(D1914:U1914)=0,"",MIN(D1914:U1914))</f>
        <v/>
      </c>
      <c r="W1914" s="8">
        <f>IF(COUNT(D1914:U1914)=0,"",MEDIAN(D1914:U1914))</f>
        <v/>
      </c>
      <c r="X1914" s="8">
        <f>IF(COUNT(D1914:U1914)=0,"",MAX(D1914:U1914))</f>
        <v/>
      </c>
      <c r="Y1914" s="9">
        <f>IF(OR(V1914="",V1914=0),"",(X1914-V1914)/V1914)</f>
        <v/>
      </c>
      <c r="Z1914" s="7">
        <f>IF(COUNT(D1914:U1914)=0,"",INDEX($D$1:$U$1,MATCH(MIN(D1914:U1914),D1914:U1914,0)))</f>
        <v/>
      </c>
      <c r="AA1914" s="8" t="n">
        <v>135</v>
      </c>
      <c r="AB1914" s="10" t="n">
        <v>1</v>
      </c>
    </row>
    <row r="1915">
      <c r="A1915" s="7" t="inlineStr">
        <is>
          <t>MAT-32-564</t>
        </is>
      </c>
      <c r="B1915" s="4" t="inlineStr">
        <is>
          <t>Tapón de PVC 3"</t>
        </is>
      </c>
      <c r="C1915" s="7" t="inlineStr">
        <is>
          <t>unidad</t>
        </is>
      </c>
      <c r="D1915" s="8" t="n"/>
      <c r="E1915" s="8" t="n"/>
      <c r="F1915" s="8" t="n"/>
      <c r="G1915" s="8" t="n">
        <v>263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>
        <f>IF(COUNT(D1915:U1915)=0,"",MIN(D1915:U1915))</f>
        <v/>
      </c>
      <c r="W1915" s="8">
        <f>IF(COUNT(D1915:U1915)=0,"",MEDIAN(D1915:U1915))</f>
        <v/>
      </c>
      <c r="X1915" s="8">
        <f>IF(COUNT(D1915:U1915)=0,"",MAX(D1915:U1915))</f>
        <v/>
      </c>
      <c r="Y1915" s="9">
        <f>IF(OR(V1915="",V1915=0),"",(X1915-V1915)/V1915)</f>
        <v/>
      </c>
      <c r="Z1915" s="7">
        <f>IF(COUNT(D1915:U1915)=0,"",INDEX($D$1:$U$1,MATCH(MIN(D1915:U1915),D1915:U1915,0)))</f>
        <v/>
      </c>
      <c r="AA1915" s="8" t="n">
        <v>263</v>
      </c>
      <c r="AB1915" s="10" t="n">
        <v>1</v>
      </c>
    </row>
    <row r="1916">
      <c r="A1916" s="7" t="inlineStr">
        <is>
          <t>MAT-32-565</t>
        </is>
      </c>
      <c r="B1916" s="4" t="inlineStr">
        <is>
          <t>Tapón de PVC 4"</t>
        </is>
      </c>
      <c r="C1916" s="7" t="inlineStr">
        <is>
          <t>unidad</t>
        </is>
      </c>
      <c r="D1916" s="8" t="n"/>
      <c r="E1916" s="8" t="n"/>
      <c r="F1916" s="8" t="n"/>
      <c r="G1916" s="8" t="n">
        <v>372</v>
      </c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>
        <f>IF(COUNT(D1916:U1916)=0,"",MIN(D1916:U1916))</f>
        <v/>
      </c>
      <c r="W1916" s="8">
        <f>IF(COUNT(D1916:U1916)=0,"",MEDIAN(D1916:U1916))</f>
        <v/>
      </c>
      <c r="X1916" s="8">
        <f>IF(COUNT(D1916:U1916)=0,"",MAX(D1916:U1916))</f>
        <v/>
      </c>
      <c r="Y1916" s="9">
        <f>IF(OR(V1916="",V1916=0),"",(X1916-V1916)/V1916)</f>
        <v/>
      </c>
      <c r="Z1916" s="7">
        <f>IF(COUNT(D1916:U1916)=0,"",INDEX($D$1:$U$1,MATCH(MIN(D1916:U1916),D1916:U1916,0)))</f>
        <v/>
      </c>
      <c r="AA1916" s="8" t="n">
        <v>372</v>
      </c>
      <c r="AB1916" s="10" t="n">
        <v>1</v>
      </c>
    </row>
    <row r="1917">
      <c r="A1917" s="7" t="inlineStr">
        <is>
          <t>MAT-32-566</t>
        </is>
      </c>
      <c r="B1917" s="4" t="inlineStr">
        <is>
          <t>Tapón de PVC 6"</t>
        </is>
      </c>
      <c r="C1917" s="7" t="inlineStr">
        <is>
          <t>unidad</t>
        </is>
      </c>
      <c r="D1917" s="8" t="n"/>
      <c r="E1917" s="8" t="n">
        <v>279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>
        <f>IF(COUNT(D1917:U1917)=0,"",MIN(D1917:U1917))</f>
        <v/>
      </c>
      <c r="W1917" s="8">
        <f>IF(COUNT(D1917:U1917)=0,"",MEDIAN(D1917:U1917))</f>
        <v/>
      </c>
      <c r="X1917" s="8">
        <f>IF(COUNT(D1917:U1917)=0,"",MAX(D1917:U1917))</f>
        <v/>
      </c>
      <c r="Y1917" s="9">
        <f>IF(OR(V1917="",V1917=0),"",(X1917-V1917)/V1917)</f>
        <v/>
      </c>
      <c r="Z1917" s="7">
        <f>IF(COUNT(D1917:U1917)=0,"",INDEX($D$1:$U$1,MATCH(MIN(D1917:U1917),D1917:U1917,0)))</f>
        <v/>
      </c>
      <c r="AA1917" s="8" t="n">
        <v>374.5</v>
      </c>
      <c r="AB1917" s="10" t="n">
        <v>1</v>
      </c>
    </row>
    <row r="1918">
      <c r="A1918" s="7" t="inlineStr">
        <is>
          <t>MAT-32-567</t>
        </is>
      </c>
      <c r="B1918" s="4" t="inlineStr">
        <is>
          <t>Tapón de PVC presión 1 1/2"</t>
        </is>
      </c>
      <c r="C1918" s="7" t="inlineStr">
        <is>
          <t>unidad</t>
        </is>
      </c>
      <c r="D1918" s="8" t="n"/>
      <c r="E1918" s="8" t="n">
        <v>24.74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>
        <f>IF(COUNT(D1918:U1918)=0,"",MIN(D1918:U1918))</f>
        <v/>
      </c>
      <c r="W1918" s="8">
        <f>IF(COUNT(D1918:U1918)=0,"",MEDIAN(D1918:U1918))</f>
        <v/>
      </c>
      <c r="X1918" s="8">
        <f>IF(COUNT(D1918:U1918)=0,"",MAX(D1918:U1918))</f>
        <v/>
      </c>
      <c r="Y1918" s="9">
        <f>IF(OR(V1918="",V1918=0),"",(X1918-V1918)/V1918)</f>
        <v/>
      </c>
      <c r="Z1918" s="7">
        <f>IF(COUNT(D1918:U1918)=0,"",INDEX($D$1:$U$1,MATCH(MIN(D1918:U1918),D1918:U1918,0)))</f>
        <v/>
      </c>
      <c r="AA1918" s="8" t="n">
        <v>24.74</v>
      </c>
      <c r="AB1918" s="10" t="n">
        <v>1</v>
      </c>
    </row>
    <row r="1919">
      <c r="A1919" s="7" t="inlineStr">
        <is>
          <t>MAT-32-568</t>
        </is>
      </c>
      <c r="B1919" s="4" t="inlineStr">
        <is>
          <t>Tapón de PVC presión 2"</t>
        </is>
      </c>
      <c r="C1919" s="7" t="inlineStr">
        <is>
          <t>unidad</t>
        </is>
      </c>
      <c r="D1919" s="8" t="n"/>
      <c r="E1919" s="8" t="n">
        <v>28.27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>
        <f>IF(COUNT(D1919:U1919)=0,"",MIN(D1919:U1919))</f>
        <v/>
      </c>
      <c r="W1919" s="8">
        <f>IF(COUNT(D1919:U1919)=0,"",MEDIAN(D1919:U1919))</f>
        <v/>
      </c>
      <c r="X1919" s="8">
        <f>IF(COUNT(D1919:U1919)=0,"",MAX(D1919:U1919))</f>
        <v/>
      </c>
      <c r="Y1919" s="9">
        <f>IF(OR(V1919="",V1919=0),"",(X1919-V1919)/V1919)</f>
        <v/>
      </c>
      <c r="Z1919" s="7">
        <f>IF(COUNT(D1919:U1919)=0,"",INDEX($D$1:$U$1,MATCH(MIN(D1919:U1919),D1919:U1919,0)))</f>
        <v/>
      </c>
      <c r="AA1919" s="8" t="n">
        <v>34.88</v>
      </c>
      <c r="AB1919" s="10" t="n">
        <v>1</v>
      </c>
    </row>
    <row r="1920">
      <c r="A1920" s="7" t="inlineStr">
        <is>
          <t>MAT-32-569</t>
        </is>
      </c>
      <c r="B1920" s="4" t="inlineStr">
        <is>
          <t>Tapón de PVC presión 3"</t>
        </is>
      </c>
      <c r="C1920" s="7" t="inlineStr">
        <is>
          <t>unidad</t>
        </is>
      </c>
      <c r="D1920" s="8" t="n"/>
      <c r="E1920" s="8" t="n">
        <v>100.24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>
        <f>IF(COUNT(D1920:U1920)=0,"",MIN(D1920:U1920))</f>
        <v/>
      </c>
      <c r="W1920" s="8">
        <f>IF(COUNT(D1920:U1920)=0,"",MEDIAN(D1920:U1920))</f>
        <v/>
      </c>
      <c r="X1920" s="8">
        <f>IF(COUNT(D1920:U1920)=0,"",MAX(D1920:U1920))</f>
        <v/>
      </c>
      <c r="Y1920" s="9">
        <f>IF(OR(V1920="",V1920=0),"",(X1920-V1920)/V1920)</f>
        <v/>
      </c>
      <c r="Z1920" s="7">
        <f>IF(COUNT(D1920:U1920)=0,"",INDEX($D$1:$U$1,MATCH(MIN(D1920:U1920),D1920:U1920,0)))</f>
        <v/>
      </c>
      <c r="AA1920" s="8" t="n">
        <v>100.24</v>
      </c>
      <c r="AB1920" s="10" t="n">
        <v>1</v>
      </c>
    </row>
    <row r="1921">
      <c r="A1921" s="7" t="inlineStr">
        <is>
          <t>MAT-32-570</t>
        </is>
      </c>
      <c r="B1921" s="4" t="inlineStr">
        <is>
          <t>Tapón de PVC presión 4"</t>
        </is>
      </c>
      <c r="C1921" s="7" t="inlineStr">
        <is>
          <t>unidad</t>
        </is>
      </c>
      <c r="D1921" s="8" t="n"/>
      <c r="E1921" s="8" t="n">
        <v>159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>
        <f>IF(COUNT(D1921:U1921)=0,"",MIN(D1921:U1921))</f>
        <v/>
      </c>
      <c r="W1921" s="8">
        <f>IF(COUNT(D1921:U1921)=0,"",MEDIAN(D1921:U1921))</f>
        <v/>
      </c>
      <c r="X1921" s="8">
        <f>IF(COUNT(D1921:U1921)=0,"",MAX(D1921:U1921))</f>
        <v/>
      </c>
      <c r="Y1921" s="9">
        <f>IF(OR(V1921="",V1921=0),"",(X1921-V1921)/V1921)</f>
        <v/>
      </c>
      <c r="Z1921" s="7">
        <f>IF(COUNT(D1921:U1921)=0,"",INDEX($D$1:$U$1,MATCH(MIN(D1921:U1921),D1921:U1921,0)))</f>
        <v/>
      </c>
      <c r="AA1921" s="8" t="n">
        <v>159</v>
      </c>
      <c r="AB1921" s="10" t="n">
        <v>1</v>
      </c>
    </row>
    <row r="1922">
      <c r="A1922" s="7" t="inlineStr">
        <is>
          <t>MAT-32-571</t>
        </is>
      </c>
      <c r="B1922" s="4" t="inlineStr">
        <is>
          <t>Tee de bronce 1/2"</t>
        </is>
      </c>
      <c r="C1922" s="7" t="inlineStr">
        <is>
          <t>unidad</t>
        </is>
      </c>
      <c r="D1922" s="8" t="n"/>
      <c r="E1922" s="8" t="n">
        <v>150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>
        <f>IF(COUNT(D1922:U1922)=0,"",MIN(D1922:U1922))</f>
        <v/>
      </c>
      <c r="W1922" s="8">
        <f>IF(COUNT(D1922:U1922)=0,"",MEDIAN(D1922:U1922))</f>
        <v/>
      </c>
      <c r="X1922" s="8">
        <f>IF(COUNT(D1922:U1922)=0,"",MAX(D1922:U1922))</f>
        <v/>
      </c>
      <c r="Y1922" s="9">
        <f>IF(OR(V1922="",V1922=0),"",(X1922-V1922)/V1922)</f>
        <v/>
      </c>
      <c r="Z1922" s="7">
        <f>IF(COUNT(D1922:U1922)=0,"",INDEX($D$1:$U$1,MATCH(MIN(D1922:U1922),D1922:U1922,0)))</f>
        <v/>
      </c>
      <c r="AA1922" s="8" t="n">
        <v>150</v>
      </c>
      <c r="AB1922" s="10" t="n">
        <v>1</v>
      </c>
    </row>
    <row r="1923">
      <c r="A1923" s="7" t="inlineStr">
        <is>
          <t>MAT-32-572</t>
        </is>
      </c>
      <c r="B1923" s="4" t="inlineStr">
        <is>
          <t>Tee de bronce 1/4"</t>
        </is>
      </c>
      <c r="C1923" s="7" t="inlineStr">
        <is>
          <t>unidad</t>
        </is>
      </c>
      <c r="D1923" s="8" t="n"/>
      <c r="E1923" s="8" t="n">
        <v>52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>
        <f>IF(COUNT(D1923:U1923)=0,"",MIN(D1923:U1923))</f>
        <v/>
      </c>
      <c r="W1923" s="8">
        <f>IF(COUNT(D1923:U1923)=0,"",MEDIAN(D1923:U1923))</f>
        <v/>
      </c>
      <c r="X1923" s="8">
        <f>IF(COUNT(D1923:U1923)=0,"",MAX(D1923:U1923))</f>
        <v/>
      </c>
      <c r="Y1923" s="9">
        <f>IF(OR(V1923="",V1923=0),"",(X1923-V1923)/V1923)</f>
        <v/>
      </c>
      <c r="Z1923" s="7">
        <f>IF(COUNT(D1923:U1923)=0,"",INDEX($D$1:$U$1,MATCH(MIN(D1923:U1923),D1923:U1923,0)))</f>
        <v/>
      </c>
      <c r="AA1923" s="8" t="n">
        <v>85.5</v>
      </c>
      <c r="AB1923" s="10" t="n">
        <v>1</v>
      </c>
    </row>
    <row r="1924">
      <c r="A1924" s="7" t="inlineStr">
        <is>
          <t>MAT-32-573</t>
        </is>
      </c>
      <c r="B1924" s="4" t="inlineStr">
        <is>
          <t>Tee de bronce 12"</t>
        </is>
      </c>
      <c r="C1924" s="7" t="inlineStr">
        <is>
          <t>unidad</t>
        </is>
      </c>
      <c r="D1924" s="8" t="n"/>
      <c r="E1924" s="8" t="n">
        <v>686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>
        <f>IF(COUNT(D1924:U1924)=0,"",MIN(D1924:U1924))</f>
        <v/>
      </c>
      <c r="W1924" s="8">
        <f>IF(COUNT(D1924:U1924)=0,"",MEDIAN(D1924:U1924))</f>
        <v/>
      </c>
      <c r="X1924" s="8">
        <f>IF(COUNT(D1924:U1924)=0,"",MAX(D1924:U1924))</f>
        <v/>
      </c>
      <c r="Y1924" s="9">
        <f>IF(OR(V1924="",V1924=0),"",(X1924-V1924)/V1924)</f>
        <v/>
      </c>
      <c r="Z1924" s="7">
        <f>IF(COUNT(D1924:U1924)=0,"",INDEX($D$1:$U$1,MATCH(MIN(D1924:U1924),D1924:U1924,0)))</f>
        <v/>
      </c>
      <c r="AA1924" s="8" t="n">
        <v>686</v>
      </c>
      <c r="AB1924" s="10" t="n">
        <v>1</v>
      </c>
    </row>
    <row r="1925">
      <c r="A1925" s="7" t="inlineStr">
        <is>
          <t>MAT-32-574</t>
        </is>
      </c>
      <c r="B1925" s="4" t="inlineStr">
        <is>
          <t>Tee de bronce 15"</t>
        </is>
      </c>
      <c r="C1925" s="7" t="inlineStr">
        <is>
          <t>unidad</t>
        </is>
      </c>
      <c r="D1925" s="8" t="n"/>
      <c r="E1925" s="8" t="n">
        <v>473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>
        <f>IF(COUNT(D1925:U1925)=0,"",MIN(D1925:U1925))</f>
        <v/>
      </c>
      <c r="W1925" s="8">
        <f>IF(COUNT(D1925:U1925)=0,"",MEDIAN(D1925:U1925))</f>
        <v/>
      </c>
      <c r="X1925" s="8">
        <f>IF(COUNT(D1925:U1925)=0,"",MAX(D1925:U1925))</f>
        <v/>
      </c>
      <c r="Y1925" s="9">
        <f>IF(OR(V1925="",V1925=0),"",(X1925-V1925)/V1925)</f>
        <v/>
      </c>
      <c r="Z1925" s="7">
        <f>IF(COUNT(D1925:U1925)=0,"",INDEX($D$1:$U$1,MATCH(MIN(D1925:U1925),D1925:U1925,0)))</f>
        <v/>
      </c>
      <c r="AA1925" s="8" t="n">
        <v>605</v>
      </c>
      <c r="AB1925" s="10" t="n">
        <v>1</v>
      </c>
    </row>
    <row r="1926">
      <c r="A1926" s="7" t="inlineStr">
        <is>
          <t>MAT-32-575</t>
        </is>
      </c>
      <c r="B1926" s="4" t="inlineStr">
        <is>
          <t>Tee de bronce 18"</t>
        </is>
      </c>
      <c r="C1926" s="7" t="inlineStr">
        <is>
          <t>unidad</t>
        </is>
      </c>
      <c r="D1926" s="8" t="n"/>
      <c r="E1926" s="8" t="n">
        <v>207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>
        <f>IF(COUNT(D1926:U1926)=0,"",MIN(D1926:U1926))</f>
        <v/>
      </c>
      <c r="W1926" s="8">
        <f>IF(COUNT(D1926:U1926)=0,"",MEDIAN(D1926:U1926))</f>
        <v/>
      </c>
      <c r="X1926" s="8">
        <f>IF(COUNT(D1926:U1926)=0,"",MAX(D1926:U1926))</f>
        <v/>
      </c>
      <c r="Y1926" s="9">
        <f>IF(OR(V1926="",V1926=0),"",(X1926-V1926)/V1926)</f>
        <v/>
      </c>
      <c r="Z1926" s="7">
        <f>IF(COUNT(D1926:U1926)=0,"",INDEX($D$1:$U$1,MATCH(MIN(D1926:U1926),D1926:U1926,0)))</f>
        <v/>
      </c>
      <c r="AA1926" s="8" t="n">
        <v>702</v>
      </c>
      <c r="AB1926" s="10" t="n">
        <v>1</v>
      </c>
    </row>
    <row r="1927">
      <c r="A1927" s="7" t="inlineStr">
        <is>
          <t>MAT-32-576</t>
        </is>
      </c>
      <c r="B1927" s="4" t="inlineStr">
        <is>
          <t>Tee de bronce 25"</t>
        </is>
      </c>
      <c r="C1927" s="7" t="inlineStr">
        <is>
          <t>unidad</t>
        </is>
      </c>
      <c r="D1927" s="8" t="n"/>
      <c r="E1927" s="8" t="n">
        <v>1255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>
        <f>IF(COUNT(D1927:U1927)=0,"",MIN(D1927:U1927))</f>
        <v/>
      </c>
      <c r="W1927" s="8">
        <f>IF(COUNT(D1927:U1927)=0,"",MEDIAN(D1927:U1927))</f>
        <v/>
      </c>
      <c r="X1927" s="8">
        <f>IF(COUNT(D1927:U1927)=0,"",MAX(D1927:U1927))</f>
        <v/>
      </c>
      <c r="Y1927" s="9">
        <f>IF(OR(V1927="",V1927=0),"",(X1927-V1927)/V1927)</f>
        <v/>
      </c>
      <c r="Z1927" s="7">
        <f>IF(COUNT(D1927:U1927)=0,"",INDEX($D$1:$U$1,MATCH(MIN(D1927:U1927),D1927:U1927,0)))</f>
        <v/>
      </c>
      <c r="AA1927" s="8" t="n">
        <v>1255</v>
      </c>
      <c r="AB1927" s="10" t="n">
        <v>1</v>
      </c>
    </row>
    <row r="1928">
      <c r="A1928" s="7" t="inlineStr">
        <is>
          <t>MAT-32-577</t>
        </is>
      </c>
      <c r="B1928" s="4" t="inlineStr">
        <is>
          <t>Tee de bronce 3/8"</t>
        </is>
      </c>
      <c r="C1928" s="7" t="inlineStr">
        <is>
          <t>unidad</t>
        </is>
      </c>
      <c r="D1928" s="8" t="n"/>
      <c r="E1928" s="8" t="n">
        <v>78</v>
      </c>
      <c r="F1928" s="8" t="n"/>
      <c r="G1928" s="8" t="n">
        <v>186</v>
      </c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>
        <f>IF(COUNT(D1928:U1928)=0,"",MIN(D1928:U1928))</f>
        <v/>
      </c>
      <c r="W1928" s="8">
        <f>IF(COUNT(D1928:U1928)=0,"",MEDIAN(D1928:U1928))</f>
        <v/>
      </c>
      <c r="X1928" s="8">
        <f>IF(COUNT(D1928:U1928)=0,"",MAX(D1928:U1928))</f>
        <v/>
      </c>
      <c r="Y1928" s="9">
        <f>IF(OR(V1928="",V1928=0),"",(X1928-V1928)/V1928)</f>
        <v/>
      </c>
      <c r="Z1928" s="7">
        <f>IF(COUNT(D1928:U1928)=0,"",INDEX($D$1:$U$1,MATCH(MIN(D1928:U1928),D1928:U1928,0)))</f>
        <v/>
      </c>
      <c r="AA1928" s="8" t="n">
        <v>179</v>
      </c>
      <c r="AB1928" s="10" t="n">
        <v>2</v>
      </c>
    </row>
    <row r="1929">
      <c r="A1929" s="7" t="inlineStr">
        <is>
          <t>MAT-32-578</t>
        </is>
      </c>
      <c r="B1929" s="4" t="inlineStr">
        <is>
          <t>Tee de bronce 32"</t>
        </is>
      </c>
      <c r="C1929" s="7" t="inlineStr">
        <is>
          <t>unidad</t>
        </is>
      </c>
      <c r="D1929" s="8" t="n"/>
      <c r="E1929" s="8" t="n">
        <v>2108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>
        <f>IF(COUNT(D1929:U1929)=0,"",MIN(D1929:U1929))</f>
        <v/>
      </c>
      <c r="W1929" s="8">
        <f>IF(COUNT(D1929:U1929)=0,"",MEDIAN(D1929:U1929))</f>
        <v/>
      </c>
      <c r="X1929" s="8">
        <f>IF(COUNT(D1929:U1929)=0,"",MAX(D1929:U1929))</f>
        <v/>
      </c>
      <c r="Y1929" s="9">
        <f>IF(OR(V1929="",V1929=0),"",(X1929-V1929)/V1929)</f>
        <v/>
      </c>
      <c r="Z1929" s="7">
        <f>IF(COUNT(D1929:U1929)=0,"",INDEX($D$1:$U$1,MATCH(MIN(D1929:U1929),D1929:U1929,0)))</f>
        <v/>
      </c>
      <c r="AA1929" s="8" t="n">
        <v>2108</v>
      </c>
      <c r="AB1929" s="10" t="n">
        <v>1</v>
      </c>
    </row>
    <row r="1930">
      <c r="A1930" s="7" t="inlineStr">
        <is>
          <t>MAT-32-579</t>
        </is>
      </c>
      <c r="B1930" s="4" t="inlineStr">
        <is>
          <t>Tee de cobre 1 1/8"</t>
        </is>
      </c>
      <c r="C1930" s="7" t="inlineStr">
        <is>
          <t>unidad</t>
        </is>
      </c>
      <c r="D1930" s="8" t="n"/>
      <c r="E1930" s="8" t="n">
        <v>143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>
        <f>IF(COUNT(D1930:U1930)=0,"",MIN(D1930:U1930))</f>
        <v/>
      </c>
      <c r="W1930" s="8">
        <f>IF(COUNT(D1930:U1930)=0,"",MEDIAN(D1930:U1930))</f>
        <v/>
      </c>
      <c r="X1930" s="8">
        <f>IF(COUNT(D1930:U1930)=0,"",MAX(D1930:U1930))</f>
        <v/>
      </c>
      <c r="Y1930" s="9">
        <f>IF(OR(V1930="",V1930=0),"",(X1930-V1930)/V1930)</f>
        <v/>
      </c>
      <c r="Z1930" s="7">
        <f>IF(COUNT(D1930:U1930)=0,"",INDEX($D$1:$U$1,MATCH(MIN(D1930:U1930),D1930:U1930,0)))</f>
        <v/>
      </c>
      <c r="AA1930" s="8" t="n">
        <v>143</v>
      </c>
      <c r="AB1930" s="10" t="n">
        <v>1</v>
      </c>
    </row>
    <row r="1931">
      <c r="A1931" s="7" t="inlineStr">
        <is>
          <t>MAT-32-580</t>
        </is>
      </c>
      <c r="B1931" s="4" t="inlineStr">
        <is>
          <t>Tee de cobre 1/2"</t>
        </is>
      </c>
      <c r="C1931" s="7" t="inlineStr">
        <is>
          <t>unidad</t>
        </is>
      </c>
      <c r="D1931" s="8" t="n"/>
      <c r="E1931" s="8" t="n">
        <v>66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>
        <f>IF(COUNT(D1931:U1931)=0,"",MIN(D1931:U1931))</f>
        <v/>
      </c>
      <c r="W1931" s="8">
        <f>IF(COUNT(D1931:U1931)=0,"",MEDIAN(D1931:U1931))</f>
        <v/>
      </c>
      <c r="X1931" s="8">
        <f>IF(COUNT(D1931:U1931)=0,"",MAX(D1931:U1931))</f>
        <v/>
      </c>
      <c r="Y1931" s="9">
        <f>IF(OR(V1931="",V1931=0),"",(X1931-V1931)/V1931)</f>
        <v/>
      </c>
      <c r="Z1931" s="7">
        <f>IF(COUNT(D1931:U1931)=0,"",INDEX($D$1:$U$1,MATCH(MIN(D1931:U1931),D1931:U1931,0)))</f>
        <v/>
      </c>
      <c r="AA1931" s="8" t="n">
        <v>66</v>
      </c>
      <c r="AB1931" s="10" t="n">
        <v>1</v>
      </c>
    </row>
    <row r="1932">
      <c r="A1932" s="7" t="inlineStr">
        <is>
          <t>MAT-32-581</t>
        </is>
      </c>
      <c r="B1932" s="4" t="inlineStr">
        <is>
          <t>Tee de cobre 1 3/8"</t>
        </is>
      </c>
      <c r="C1932" s="7" t="inlineStr">
        <is>
          <t>unidad</t>
        </is>
      </c>
      <c r="D1932" s="8" t="n"/>
      <c r="E1932" s="8" t="n">
        <v>293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>
        <f>IF(COUNT(D1932:U1932)=0,"",MIN(D1932:U1932))</f>
        <v/>
      </c>
      <c r="W1932" s="8">
        <f>IF(COUNT(D1932:U1932)=0,"",MEDIAN(D1932:U1932))</f>
        <v/>
      </c>
      <c r="X1932" s="8">
        <f>IF(COUNT(D1932:U1932)=0,"",MAX(D1932:U1932))</f>
        <v/>
      </c>
      <c r="Y1932" s="9">
        <f>IF(OR(V1932="",V1932=0),"",(X1932-V1932)/V1932)</f>
        <v/>
      </c>
      <c r="Z1932" s="7">
        <f>IF(COUNT(D1932:U1932)=0,"",INDEX($D$1:$U$1,MATCH(MIN(D1932:U1932),D1932:U1932,0)))</f>
        <v/>
      </c>
      <c r="AA1932" s="8" t="n">
        <v>293</v>
      </c>
      <c r="AB1932" s="10" t="n">
        <v>1</v>
      </c>
    </row>
    <row r="1933">
      <c r="A1933" s="7" t="inlineStr">
        <is>
          <t>MAT-32-582</t>
        </is>
      </c>
      <c r="B1933" s="4" t="inlineStr">
        <is>
          <t>Tee de cobre 3/4"</t>
        </is>
      </c>
      <c r="C1933" s="7" t="inlineStr">
        <is>
          <t>unidad</t>
        </is>
      </c>
      <c r="D1933" s="8" t="n"/>
      <c r="E1933" s="8" t="n">
        <v>237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>
        <f>IF(COUNT(D1933:U1933)=0,"",MIN(D1933:U1933))</f>
        <v/>
      </c>
      <c r="W1933" s="8">
        <f>IF(COUNT(D1933:U1933)=0,"",MEDIAN(D1933:U1933))</f>
        <v/>
      </c>
      <c r="X1933" s="8">
        <f>IF(COUNT(D1933:U1933)=0,"",MAX(D1933:U1933))</f>
        <v/>
      </c>
      <c r="Y1933" s="9">
        <f>IF(OR(V1933="",V1933=0),"",(X1933-V1933)/V1933)</f>
        <v/>
      </c>
      <c r="Z1933" s="7">
        <f>IF(COUNT(D1933:U1933)=0,"",INDEX($D$1:$U$1,MATCH(MIN(D1933:U1933),D1933:U1933,0)))</f>
        <v/>
      </c>
      <c r="AA1933" s="8" t="n">
        <v>237</v>
      </c>
      <c r="AB1933" s="10" t="n">
        <v>1</v>
      </c>
    </row>
    <row r="1934">
      <c r="A1934" s="7" t="inlineStr">
        <is>
          <t>MAT-32-583</t>
        </is>
      </c>
      <c r="B1934" s="4" t="inlineStr">
        <is>
          <t>Tee de cobre 3/8"</t>
        </is>
      </c>
      <c r="C1934" s="7" t="inlineStr">
        <is>
          <t>unidad</t>
        </is>
      </c>
      <c r="D1934" s="8" t="n"/>
      <c r="E1934" s="8" t="n"/>
      <c r="F1934" s="8" t="n"/>
      <c r="G1934" s="8" t="n">
        <v>256</v>
      </c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>
        <f>IF(COUNT(D1934:U1934)=0,"",MIN(D1934:U1934))</f>
        <v/>
      </c>
      <c r="W1934" s="8">
        <f>IF(COUNT(D1934:U1934)=0,"",MEDIAN(D1934:U1934))</f>
        <v/>
      </c>
      <c r="X1934" s="8">
        <f>IF(COUNT(D1934:U1934)=0,"",MAX(D1934:U1934))</f>
        <v/>
      </c>
      <c r="Y1934" s="9">
        <f>IF(OR(V1934="",V1934=0),"",(X1934-V1934)/V1934)</f>
        <v/>
      </c>
      <c r="Z1934" s="7">
        <f>IF(COUNT(D1934:U1934)=0,"",INDEX($D$1:$U$1,MATCH(MIN(D1934:U1934),D1934:U1934,0)))</f>
        <v/>
      </c>
      <c r="AA1934" s="8" t="n">
        <v>256</v>
      </c>
      <c r="AB1934" s="10" t="n">
        <v>1</v>
      </c>
    </row>
    <row r="1935">
      <c r="A1935" s="7" t="inlineStr">
        <is>
          <t>MAT-32-584</t>
        </is>
      </c>
      <c r="B1935" s="4" t="inlineStr">
        <is>
          <t>Tee de cobre 7/8"</t>
        </is>
      </c>
      <c r="C1935" s="7" t="inlineStr">
        <is>
          <t>unidad</t>
        </is>
      </c>
      <c r="D1935" s="8" t="n"/>
      <c r="E1935" s="8" t="n">
        <v>257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>
        <f>IF(COUNT(D1935:U1935)=0,"",MIN(D1935:U1935))</f>
        <v/>
      </c>
      <c r="W1935" s="8">
        <f>IF(COUNT(D1935:U1935)=0,"",MEDIAN(D1935:U1935))</f>
        <v/>
      </c>
      <c r="X1935" s="8">
        <f>IF(COUNT(D1935:U1935)=0,"",MAX(D1935:U1935))</f>
        <v/>
      </c>
      <c r="Y1935" s="9">
        <f>IF(OR(V1935="",V1935=0),"",(X1935-V1935)/V1935)</f>
        <v/>
      </c>
      <c r="Z1935" s="7">
        <f>IF(COUNT(D1935:U1935)=0,"",INDEX($D$1:$U$1,MATCH(MIN(D1935:U1935),D1935:U1935,0)))</f>
        <v/>
      </c>
      <c r="AA1935" s="8" t="n">
        <v>257</v>
      </c>
      <c r="AB1935" s="10" t="n">
        <v>1</v>
      </c>
    </row>
    <row r="1936">
      <c r="A1936" s="7" t="inlineStr">
        <is>
          <t>MAT-32-585</t>
        </is>
      </c>
      <c r="B1936" s="4" t="inlineStr">
        <is>
          <t>Tee de CPVC 1/2"</t>
        </is>
      </c>
      <c r="C1936" s="7" t="inlineStr">
        <is>
          <t>unidad</t>
        </is>
      </c>
      <c r="D1936" s="8" t="n"/>
      <c r="E1936" s="8" t="n">
        <v>10.34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>
        <f>IF(COUNT(D1936:U1936)=0,"",MIN(D1936:U1936))</f>
        <v/>
      </c>
      <c r="W1936" s="8">
        <f>IF(COUNT(D1936:U1936)=0,"",MEDIAN(D1936:U1936))</f>
        <v/>
      </c>
      <c r="X1936" s="8">
        <f>IF(COUNT(D1936:U1936)=0,"",MAX(D1936:U1936))</f>
        <v/>
      </c>
      <c r="Y1936" s="9">
        <f>IF(OR(V1936="",V1936=0),"",(X1936-V1936)/V1936)</f>
        <v/>
      </c>
      <c r="Z1936" s="7">
        <f>IF(COUNT(D1936:U1936)=0,"",INDEX($D$1:$U$1,MATCH(MIN(D1936:U1936),D1936:U1936,0)))</f>
        <v/>
      </c>
      <c r="AA1936" s="8" t="n">
        <v>10.34</v>
      </c>
      <c r="AB1936" s="10" t="n">
        <v>1</v>
      </c>
    </row>
    <row r="1937">
      <c r="A1937" s="7" t="inlineStr">
        <is>
          <t>MAT-32-586</t>
        </is>
      </c>
      <c r="B1937" s="4" t="inlineStr">
        <is>
          <t>Tee de CPVC 1"</t>
        </is>
      </c>
      <c r="C1937" s="7" t="inlineStr">
        <is>
          <t>unidad</t>
        </is>
      </c>
      <c r="D1937" s="8" t="n"/>
      <c r="E1937" s="8" t="n">
        <v>40.95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>
        <f>IF(COUNT(D1937:U1937)=0,"",MIN(D1937:U1937))</f>
        <v/>
      </c>
      <c r="W1937" s="8">
        <f>IF(COUNT(D1937:U1937)=0,"",MEDIAN(D1937:U1937))</f>
        <v/>
      </c>
      <c r="X1937" s="8">
        <f>IF(COUNT(D1937:U1937)=0,"",MAX(D1937:U1937))</f>
        <v/>
      </c>
      <c r="Y1937" s="9">
        <f>IF(OR(V1937="",V1937=0),"",(X1937-V1937)/V1937)</f>
        <v/>
      </c>
      <c r="Z1937" s="7">
        <f>IF(COUNT(D1937:U1937)=0,"",INDEX($D$1:$U$1,MATCH(MIN(D1937:U1937),D1937:U1937,0)))</f>
        <v/>
      </c>
      <c r="AA1937" s="8" t="n">
        <v>40.95</v>
      </c>
      <c r="AB1937" s="10" t="n">
        <v>1</v>
      </c>
    </row>
    <row r="1938">
      <c r="A1938" s="7" t="inlineStr">
        <is>
          <t>MAT-32-587</t>
        </is>
      </c>
      <c r="B1938" s="4" t="inlineStr">
        <is>
          <t>Tee de CPVC 3/4"</t>
        </is>
      </c>
      <c r="C1938" s="7" t="inlineStr">
        <is>
          <t>unidad</t>
        </is>
      </c>
      <c r="D1938" s="8" t="n"/>
      <c r="E1938" s="8" t="n">
        <v>27.04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>
        <f>IF(COUNT(D1938:U1938)=0,"",MIN(D1938:U1938))</f>
        <v/>
      </c>
      <c r="W1938" s="8">
        <f>IF(COUNT(D1938:U1938)=0,"",MEDIAN(D1938:U1938))</f>
        <v/>
      </c>
      <c r="X1938" s="8">
        <f>IF(COUNT(D1938:U1938)=0,"",MAX(D1938:U1938))</f>
        <v/>
      </c>
      <c r="Y1938" s="9">
        <f>IF(OR(V1938="",V1938=0),"",(X1938-V1938)/V1938)</f>
        <v/>
      </c>
      <c r="Z1938" s="7">
        <f>IF(COUNT(D1938:U1938)=0,"",INDEX($D$1:$U$1,MATCH(MIN(D1938:U1938),D1938:U1938,0)))</f>
        <v/>
      </c>
      <c r="AA1938" s="8" t="n">
        <v>27.04</v>
      </c>
      <c r="AB1938" s="10" t="n">
        <v>1</v>
      </c>
    </row>
    <row r="1939">
      <c r="A1939" s="7" t="inlineStr">
        <is>
          <t>MAT-32-588</t>
        </is>
      </c>
      <c r="B1939" s="4" t="inlineStr">
        <is>
          <t>Tee de HG 1 1/2"</t>
        </is>
      </c>
      <c r="C1939" s="7" t="inlineStr">
        <is>
          <t>unidad</t>
        </is>
      </c>
      <c r="D1939" s="8" t="n"/>
      <c r="E1939" s="8" t="n">
        <v>143</v>
      </c>
      <c r="F1939" s="8" t="n"/>
      <c r="G1939" s="8" t="n">
        <v>277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>
        <f>IF(COUNT(D1939:U1939)=0,"",MIN(D1939:U1939))</f>
        <v/>
      </c>
      <c r="W1939" s="8">
        <f>IF(COUNT(D1939:U1939)=0,"",MEDIAN(D1939:U1939))</f>
        <v/>
      </c>
      <c r="X1939" s="8">
        <f>IF(COUNT(D1939:U1939)=0,"",MAX(D1939:U1939))</f>
        <v/>
      </c>
      <c r="Y1939" s="9">
        <f>IF(OR(V1939="",V1939=0),"",(X1939-V1939)/V1939)</f>
        <v/>
      </c>
      <c r="Z1939" s="7">
        <f>IF(COUNT(D1939:U1939)=0,"",INDEX($D$1:$U$1,MATCH(MIN(D1939:U1939),D1939:U1939,0)))</f>
        <v/>
      </c>
      <c r="AA1939" s="8" t="n">
        <v>210</v>
      </c>
      <c r="AB1939" s="10" t="n">
        <v>2</v>
      </c>
    </row>
    <row r="1940">
      <c r="A1940" s="7" t="inlineStr">
        <is>
          <t>MAT-32-589</t>
        </is>
      </c>
      <c r="B1940" s="4" t="inlineStr">
        <is>
          <t>Tee de HG 1 1/4"</t>
        </is>
      </c>
      <c r="C1940" s="7" t="inlineStr">
        <is>
          <t>unidad</t>
        </is>
      </c>
      <c r="D1940" s="8" t="n"/>
      <c r="E1940" s="8" t="n">
        <v>119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>
        <f>IF(COUNT(D1940:U1940)=0,"",MIN(D1940:U1940))</f>
        <v/>
      </c>
      <c r="W1940" s="8">
        <f>IF(COUNT(D1940:U1940)=0,"",MEDIAN(D1940:U1940))</f>
        <v/>
      </c>
      <c r="X1940" s="8">
        <f>IF(COUNT(D1940:U1940)=0,"",MAX(D1940:U1940))</f>
        <v/>
      </c>
      <c r="Y1940" s="9">
        <f>IF(OR(V1940="",V1940=0),"",(X1940-V1940)/V1940)</f>
        <v/>
      </c>
      <c r="Z1940" s="7">
        <f>IF(COUNT(D1940:U1940)=0,"",INDEX($D$1:$U$1,MATCH(MIN(D1940:U1940),D1940:U1940,0)))</f>
        <v/>
      </c>
      <c r="AA1940" s="8" t="n">
        <v>119</v>
      </c>
      <c r="AB1940" s="10" t="n">
        <v>1</v>
      </c>
    </row>
    <row r="1941">
      <c r="A1941" s="7" t="inlineStr">
        <is>
          <t>MAT-32-590</t>
        </is>
      </c>
      <c r="B1941" s="4" t="inlineStr">
        <is>
          <t>Tee de HG 1/2"</t>
        </is>
      </c>
      <c r="C1941" s="7" t="inlineStr">
        <is>
          <t>unidad</t>
        </is>
      </c>
      <c r="D1941" s="8" t="n"/>
      <c r="E1941" s="8" t="n">
        <v>34</v>
      </c>
      <c r="F1941" s="8" t="n"/>
      <c r="G1941" s="8" t="n">
        <v>40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>
        <f>IF(COUNT(D1941:U1941)=0,"",MIN(D1941:U1941))</f>
        <v/>
      </c>
      <c r="W1941" s="8">
        <f>IF(COUNT(D1941:U1941)=0,"",MEDIAN(D1941:U1941))</f>
        <v/>
      </c>
      <c r="X1941" s="8">
        <f>IF(COUNT(D1941:U1941)=0,"",MAX(D1941:U1941))</f>
        <v/>
      </c>
      <c r="Y1941" s="9">
        <f>IF(OR(V1941="",V1941=0),"",(X1941-V1941)/V1941)</f>
        <v/>
      </c>
      <c r="Z1941" s="7">
        <f>IF(COUNT(D1941:U1941)=0,"",INDEX($D$1:$U$1,MATCH(MIN(D1941:U1941),D1941:U1941,0)))</f>
        <v/>
      </c>
      <c r="AA1941" s="8" t="n">
        <v>37</v>
      </c>
      <c r="AB1941" s="10" t="n">
        <v>2</v>
      </c>
    </row>
    <row r="1942">
      <c r="A1942" s="7" t="inlineStr">
        <is>
          <t>MAT-32-591</t>
        </is>
      </c>
      <c r="B1942" s="4" t="inlineStr">
        <is>
          <t>Tee de HG 1/4"</t>
        </is>
      </c>
      <c r="C1942" s="7" t="inlineStr">
        <is>
          <t>unidad</t>
        </is>
      </c>
      <c r="D1942" s="8" t="n"/>
      <c r="E1942" s="8" t="n">
        <v>37</v>
      </c>
      <c r="F1942" s="8" t="n"/>
      <c r="G1942" s="8" t="n">
        <v>130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>
        <f>IF(COUNT(D1942:U1942)=0,"",MIN(D1942:U1942))</f>
        <v/>
      </c>
      <c r="W1942" s="8">
        <f>IF(COUNT(D1942:U1942)=0,"",MEDIAN(D1942:U1942))</f>
        <v/>
      </c>
      <c r="X1942" s="8">
        <f>IF(COUNT(D1942:U1942)=0,"",MAX(D1942:U1942))</f>
        <v/>
      </c>
      <c r="Y1942" s="9">
        <f>IF(OR(V1942="",V1942=0),"",(X1942-V1942)/V1942)</f>
        <v/>
      </c>
      <c r="Z1942" s="7">
        <f>IF(COUNT(D1942:U1942)=0,"",INDEX($D$1:$U$1,MATCH(MIN(D1942:U1942),D1942:U1942,0)))</f>
        <v/>
      </c>
      <c r="AA1942" s="8" t="n">
        <v>83.5</v>
      </c>
      <c r="AB1942" s="10" t="n">
        <v>2</v>
      </c>
    </row>
    <row r="1943">
      <c r="A1943" s="7" t="inlineStr">
        <is>
          <t>MAT-32-592</t>
        </is>
      </c>
      <c r="B1943" s="4" t="inlineStr">
        <is>
          <t>Tee de HG 1"</t>
        </is>
      </c>
      <c r="C1943" s="7" t="inlineStr">
        <is>
          <t>unidad</t>
        </is>
      </c>
      <c r="D1943" s="8" t="n"/>
      <c r="E1943" s="8" t="n">
        <v>77</v>
      </c>
      <c r="F1943" s="8" t="n"/>
      <c r="G1943" s="8" t="n">
        <v>160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>
        <f>IF(COUNT(D1943:U1943)=0,"",MIN(D1943:U1943))</f>
        <v/>
      </c>
      <c r="W1943" s="8">
        <f>IF(COUNT(D1943:U1943)=0,"",MEDIAN(D1943:U1943))</f>
        <v/>
      </c>
      <c r="X1943" s="8">
        <f>IF(COUNT(D1943:U1943)=0,"",MAX(D1943:U1943))</f>
        <v/>
      </c>
      <c r="Y1943" s="9">
        <f>IF(OR(V1943="",V1943=0),"",(X1943-V1943)/V1943)</f>
        <v/>
      </c>
      <c r="Z1943" s="7">
        <f>IF(COUNT(D1943:U1943)=0,"",INDEX($D$1:$U$1,MATCH(MIN(D1943:U1943),D1943:U1943,0)))</f>
        <v/>
      </c>
      <c r="AA1943" s="8" t="n">
        <v>118.5</v>
      </c>
      <c r="AB1943" s="10" t="n">
        <v>2</v>
      </c>
    </row>
    <row r="1944">
      <c r="A1944" s="7" t="inlineStr">
        <is>
          <t>MAT-32-593</t>
        </is>
      </c>
      <c r="B1944" s="4" t="inlineStr">
        <is>
          <t>Tee de HG 2 1/2"</t>
        </is>
      </c>
      <c r="C1944" s="7" t="inlineStr">
        <is>
          <t>unidad</t>
        </is>
      </c>
      <c r="D1944" s="8" t="n"/>
      <c r="E1944" s="8" t="n">
        <v>526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>
        <f>IF(COUNT(D1944:U1944)=0,"",MIN(D1944:U1944))</f>
        <v/>
      </c>
      <c r="W1944" s="8">
        <f>IF(COUNT(D1944:U1944)=0,"",MEDIAN(D1944:U1944))</f>
        <v/>
      </c>
      <c r="X1944" s="8">
        <f>IF(COUNT(D1944:U1944)=0,"",MAX(D1944:U1944))</f>
        <v/>
      </c>
      <c r="Y1944" s="9">
        <f>IF(OR(V1944="",V1944=0),"",(X1944-V1944)/V1944)</f>
        <v/>
      </c>
      <c r="Z1944" s="7">
        <f>IF(COUNT(D1944:U1944)=0,"",INDEX($D$1:$U$1,MATCH(MIN(D1944:U1944),D1944:U1944,0)))</f>
        <v/>
      </c>
      <c r="AA1944" s="8" t="n">
        <v>526</v>
      </c>
      <c r="AB1944" s="10" t="n">
        <v>1</v>
      </c>
    </row>
    <row r="1945">
      <c r="A1945" s="7" t="inlineStr">
        <is>
          <t>MAT-32-594</t>
        </is>
      </c>
      <c r="B1945" s="4" t="inlineStr">
        <is>
          <t>Tee de HG 2"</t>
        </is>
      </c>
      <c r="C1945" s="7" t="inlineStr">
        <is>
          <t>unidad</t>
        </is>
      </c>
      <c r="D1945" s="8" t="n"/>
      <c r="E1945" s="8" t="n">
        <v>212</v>
      </c>
      <c r="F1945" s="8" t="n"/>
      <c r="G1945" s="8" t="n">
        <v>383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>
        <f>IF(COUNT(D1945:U1945)=0,"",MIN(D1945:U1945))</f>
        <v/>
      </c>
      <c r="W1945" s="8">
        <f>IF(COUNT(D1945:U1945)=0,"",MEDIAN(D1945:U1945))</f>
        <v/>
      </c>
      <c r="X1945" s="8">
        <f>IF(COUNT(D1945:U1945)=0,"",MAX(D1945:U1945))</f>
        <v/>
      </c>
      <c r="Y1945" s="9">
        <f>IF(OR(V1945="",V1945=0),"",(X1945-V1945)/V1945)</f>
        <v/>
      </c>
      <c r="Z1945" s="7">
        <f>IF(COUNT(D1945:U1945)=0,"",INDEX($D$1:$U$1,MATCH(MIN(D1945:U1945),D1945:U1945,0)))</f>
        <v/>
      </c>
      <c r="AA1945" s="8" t="n">
        <v>297.5</v>
      </c>
      <c r="AB1945" s="10" t="n">
        <v>2</v>
      </c>
    </row>
    <row r="1946">
      <c r="A1946" s="7" t="inlineStr">
        <is>
          <t>MAT-32-595</t>
        </is>
      </c>
      <c r="B1946" s="4" t="inlineStr">
        <is>
          <t>Tee de HG 3/4"</t>
        </is>
      </c>
      <c r="C1946" s="7" t="inlineStr">
        <is>
          <t>unidad</t>
        </is>
      </c>
      <c r="D1946" s="8" t="n"/>
      <c r="E1946" s="8" t="n">
        <v>49</v>
      </c>
      <c r="F1946" s="8" t="n"/>
      <c r="G1946" s="8" t="n">
        <v>95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>
        <f>IF(COUNT(D1946:U1946)=0,"",MIN(D1946:U1946))</f>
        <v/>
      </c>
      <c r="W1946" s="8">
        <f>IF(COUNT(D1946:U1946)=0,"",MEDIAN(D1946:U1946))</f>
        <v/>
      </c>
      <c r="X1946" s="8">
        <f>IF(COUNT(D1946:U1946)=0,"",MAX(D1946:U1946))</f>
        <v/>
      </c>
      <c r="Y1946" s="9">
        <f>IF(OR(V1946="",V1946=0),"",(X1946-V1946)/V1946)</f>
        <v/>
      </c>
      <c r="Z1946" s="7">
        <f>IF(COUNT(D1946:U1946)=0,"",INDEX($D$1:$U$1,MATCH(MIN(D1946:U1946),D1946:U1946,0)))</f>
        <v/>
      </c>
      <c r="AA1946" s="8" t="n">
        <v>72</v>
      </c>
      <c r="AB1946" s="10" t="n">
        <v>2</v>
      </c>
    </row>
    <row r="1947">
      <c r="A1947" s="7" t="inlineStr">
        <is>
          <t>MAT-32-596</t>
        </is>
      </c>
      <c r="B1947" s="4" t="inlineStr">
        <is>
          <t>Tee de HG 3/8"</t>
        </is>
      </c>
      <c r="C1947" s="7" t="inlineStr">
        <is>
          <t>unidad</t>
        </is>
      </c>
      <c r="D1947" s="8" t="n"/>
      <c r="E1947" s="8" t="n">
        <v>42.23</v>
      </c>
      <c r="F1947" s="8" t="n"/>
      <c r="G1947" s="8" t="n">
        <v>58</v>
      </c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>
        <f>IF(COUNT(D1947:U1947)=0,"",MIN(D1947:U1947))</f>
        <v/>
      </c>
      <c r="W1947" s="8">
        <f>IF(COUNT(D1947:U1947)=0,"",MEDIAN(D1947:U1947))</f>
        <v/>
      </c>
      <c r="X1947" s="8">
        <f>IF(COUNT(D1947:U1947)=0,"",MAX(D1947:U1947))</f>
        <v/>
      </c>
      <c r="Y1947" s="9">
        <f>IF(OR(V1947="",V1947=0),"",(X1947-V1947)/V1947)</f>
        <v/>
      </c>
      <c r="Z1947" s="7">
        <f>IF(COUNT(D1947:U1947)=0,"",INDEX($D$1:$U$1,MATCH(MIN(D1947:U1947),D1947:U1947,0)))</f>
        <v/>
      </c>
      <c r="AA1947" s="8" t="n">
        <v>50.11</v>
      </c>
      <c r="AB1947" s="10" t="n">
        <v>2</v>
      </c>
    </row>
    <row r="1948">
      <c r="A1948" s="7" t="inlineStr">
        <is>
          <t>MAT-32-597</t>
        </is>
      </c>
      <c r="B1948" s="4" t="inlineStr">
        <is>
          <t>Tee de HG 3"</t>
        </is>
      </c>
      <c r="C1948" s="7" t="inlineStr">
        <is>
          <t>unidad</t>
        </is>
      </c>
      <c r="D1948" s="8" t="n"/>
      <c r="E1948" s="8" t="n">
        <v>603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>
        <f>IF(COUNT(D1948:U1948)=0,"",MIN(D1948:U1948))</f>
        <v/>
      </c>
      <c r="W1948" s="8">
        <f>IF(COUNT(D1948:U1948)=0,"",MEDIAN(D1948:U1948))</f>
        <v/>
      </c>
      <c r="X1948" s="8">
        <f>IF(COUNT(D1948:U1948)=0,"",MAX(D1948:U1948))</f>
        <v/>
      </c>
      <c r="Y1948" s="9">
        <f>IF(OR(V1948="",V1948=0),"",(X1948-V1948)/V1948)</f>
        <v/>
      </c>
      <c r="Z1948" s="7">
        <f>IF(COUNT(D1948:U1948)=0,"",INDEX($D$1:$U$1,MATCH(MIN(D1948:U1948),D1948:U1948,0)))</f>
        <v/>
      </c>
      <c r="AA1948" s="8" t="n">
        <v>603</v>
      </c>
      <c r="AB1948" s="10" t="n">
        <v>1</v>
      </c>
    </row>
    <row r="1949">
      <c r="A1949" s="7" t="inlineStr">
        <is>
          <t>MAT-32-598</t>
        </is>
      </c>
      <c r="B1949" s="4" t="inlineStr">
        <is>
          <t>Tee de HG 4"</t>
        </is>
      </c>
      <c r="C1949" s="7" t="inlineStr">
        <is>
          <t>unidad</t>
        </is>
      </c>
      <c r="D1949" s="8" t="n"/>
      <c r="E1949" s="8" t="n">
        <v>1187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>
        <f>IF(COUNT(D1949:U1949)=0,"",MIN(D1949:U1949))</f>
        <v/>
      </c>
      <c r="W1949" s="8">
        <f>IF(COUNT(D1949:U1949)=0,"",MEDIAN(D1949:U1949))</f>
        <v/>
      </c>
      <c r="X1949" s="8">
        <f>IF(COUNT(D1949:U1949)=0,"",MAX(D1949:U1949))</f>
        <v/>
      </c>
      <c r="Y1949" s="9">
        <f>IF(OR(V1949="",V1949=0),"",(X1949-V1949)/V1949)</f>
        <v/>
      </c>
      <c r="Z1949" s="7">
        <f>IF(COUNT(D1949:U1949)=0,"",INDEX($D$1:$U$1,MATCH(MIN(D1949:U1949),D1949:U1949,0)))</f>
        <v/>
      </c>
      <c r="AA1949" s="8" t="n">
        <v>1187</v>
      </c>
      <c r="AB1949" s="10" t="n">
        <v>1</v>
      </c>
    </row>
    <row r="1950">
      <c r="A1950" s="7" t="inlineStr">
        <is>
          <t>MAT-32-599</t>
        </is>
      </c>
      <c r="B1950" s="4" t="inlineStr">
        <is>
          <t>Tee de niquelado 1/2"</t>
        </is>
      </c>
      <c r="C1950" s="7" t="inlineStr">
        <is>
          <t>unidad</t>
        </is>
      </c>
      <c r="D1950" s="8" t="n"/>
      <c r="E1950" s="8" t="n"/>
      <c r="F1950" s="8" t="n"/>
      <c r="G1950" s="8" t="n">
        <v>444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>
        <f>IF(COUNT(D1950:U1950)=0,"",MIN(D1950:U1950))</f>
        <v/>
      </c>
      <c r="W1950" s="8">
        <f>IF(COUNT(D1950:U1950)=0,"",MEDIAN(D1950:U1950))</f>
        <v/>
      </c>
      <c r="X1950" s="8">
        <f>IF(COUNT(D1950:U1950)=0,"",MAX(D1950:U1950))</f>
        <v/>
      </c>
      <c r="Y1950" s="9">
        <f>IF(OR(V1950="",V1950=0),"",(X1950-V1950)/V1950)</f>
        <v/>
      </c>
      <c r="Z1950" s="7">
        <f>IF(COUNT(D1950:U1950)=0,"",INDEX($D$1:$U$1,MATCH(MIN(D1950:U1950),D1950:U1950,0)))</f>
        <v/>
      </c>
      <c r="AA1950" s="8" t="n">
        <v>444</v>
      </c>
      <c r="AB1950" s="10" t="n">
        <v>1</v>
      </c>
    </row>
    <row r="1951">
      <c r="A1951" s="7" t="inlineStr">
        <is>
          <t>MAT-32-600</t>
        </is>
      </c>
      <c r="B1951" s="4" t="inlineStr">
        <is>
          <t>Tee de plástico 63"</t>
        </is>
      </c>
      <c r="C1951" s="7" t="inlineStr">
        <is>
          <t>unidad</t>
        </is>
      </c>
      <c r="D1951" s="8" t="n"/>
      <c r="E1951" s="8" t="n">
        <v>1020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>
        <f>IF(COUNT(D1951:U1951)=0,"",MIN(D1951:U1951))</f>
        <v/>
      </c>
      <c r="W1951" s="8">
        <f>IF(COUNT(D1951:U1951)=0,"",MEDIAN(D1951:U1951))</f>
        <v/>
      </c>
      <c r="X1951" s="8">
        <f>IF(COUNT(D1951:U1951)=0,"",MAX(D1951:U1951))</f>
        <v/>
      </c>
      <c r="Y1951" s="9">
        <f>IF(OR(V1951="",V1951=0),"",(X1951-V1951)/V1951)</f>
        <v/>
      </c>
      <c r="Z1951" s="7">
        <f>IF(COUNT(D1951:U1951)=0,"",INDEX($D$1:$U$1,MATCH(MIN(D1951:U1951),D1951:U1951,0)))</f>
        <v/>
      </c>
      <c r="AA1951" s="8" t="n">
        <v>1020</v>
      </c>
      <c r="AB1951" s="10" t="n">
        <v>1</v>
      </c>
    </row>
    <row r="1952">
      <c r="A1952" s="7" t="inlineStr">
        <is>
          <t>MAT-32-601</t>
        </is>
      </c>
      <c r="B1952" s="4" t="inlineStr">
        <is>
          <t>Tee de PPR 20 mm</t>
        </is>
      </c>
      <c r="C1952" s="7" t="inlineStr">
        <is>
          <t>unidad</t>
        </is>
      </c>
      <c r="D1952" s="8" t="n"/>
      <c r="E1952" s="8" t="n">
        <v>7.98</v>
      </c>
      <c r="F1952" s="8" t="n"/>
      <c r="G1952" s="8" t="n">
        <v>55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>
        <f>IF(COUNT(D1952:U1952)=0,"",MIN(D1952:U1952))</f>
        <v/>
      </c>
      <c r="W1952" s="8">
        <f>IF(COUNT(D1952:U1952)=0,"",MEDIAN(D1952:U1952))</f>
        <v/>
      </c>
      <c r="X1952" s="8">
        <f>IF(COUNT(D1952:U1952)=0,"",MAX(D1952:U1952))</f>
        <v/>
      </c>
      <c r="Y1952" s="9">
        <f>IF(OR(V1952="",V1952=0),"",(X1952-V1952)/V1952)</f>
        <v/>
      </c>
      <c r="Z1952" s="7">
        <f>IF(COUNT(D1952:U1952)=0,"",INDEX($D$1:$U$1,MATCH(MIN(D1952:U1952),D1952:U1952,0)))</f>
        <v/>
      </c>
      <c r="AA1952" s="8" t="n">
        <v>28.95</v>
      </c>
      <c r="AB1952" s="10" t="n">
        <v>2</v>
      </c>
    </row>
    <row r="1953">
      <c r="A1953" s="7" t="inlineStr">
        <is>
          <t>MAT-32-602</t>
        </is>
      </c>
      <c r="B1953" s="4" t="inlineStr">
        <is>
          <t>Tee de PPR 25 mm</t>
        </is>
      </c>
      <c r="C1953" s="7" t="inlineStr">
        <is>
          <t>unidad</t>
        </is>
      </c>
      <c r="D1953" s="8" t="n"/>
      <c r="E1953" s="8" t="n">
        <v>12.12</v>
      </c>
      <c r="F1953" s="8" t="n"/>
      <c r="G1953" s="8" t="n">
        <v>50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>
        <f>IF(COUNT(D1953:U1953)=0,"",MIN(D1953:U1953))</f>
        <v/>
      </c>
      <c r="W1953" s="8">
        <f>IF(COUNT(D1953:U1953)=0,"",MEDIAN(D1953:U1953))</f>
        <v/>
      </c>
      <c r="X1953" s="8">
        <f>IF(COUNT(D1953:U1953)=0,"",MAX(D1953:U1953))</f>
        <v/>
      </c>
      <c r="Y1953" s="9">
        <f>IF(OR(V1953="",V1953=0),"",(X1953-V1953)/V1953)</f>
        <v/>
      </c>
      <c r="Z1953" s="7">
        <f>IF(COUNT(D1953:U1953)=0,"",INDEX($D$1:$U$1,MATCH(MIN(D1953:U1953),D1953:U1953,0)))</f>
        <v/>
      </c>
      <c r="AA1953" s="8" t="n">
        <v>29.36</v>
      </c>
      <c r="AB1953" s="10" t="n">
        <v>2</v>
      </c>
    </row>
    <row r="1954">
      <c r="A1954" s="7" t="inlineStr">
        <is>
          <t>MAT-32-603</t>
        </is>
      </c>
      <c r="B1954" s="4" t="inlineStr">
        <is>
          <t>Tee de PPR 32 mm</t>
        </is>
      </c>
      <c r="C1954" s="7" t="inlineStr">
        <is>
          <t>unidad</t>
        </is>
      </c>
      <c r="D1954" s="8" t="n"/>
      <c r="E1954" s="8" t="n">
        <v>19.4</v>
      </c>
      <c r="F1954" s="8" t="n"/>
      <c r="G1954" s="8" t="n">
        <v>75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>
        <f>IF(COUNT(D1954:U1954)=0,"",MIN(D1954:U1954))</f>
        <v/>
      </c>
      <c r="W1954" s="8">
        <f>IF(COUNT(D1954:U1954)=0,"",MEDIAN(D1954:U1954))</f>
        <v/>
      </c>
      <c r="X1954" s="8">
        <f>IF(COUNT(D1954:U1954)=0,"",MAX(D1954:U1954))</f>
        <v/>
      </c>
      <c r="Y1954" s="9">
        <f>IF(OR(V1954="",V1954=0),"",(X1954-V1954)/V1954)</f>
        <v/>
      </c>
      <c r="Z1954" s="7">
        <f>IF(COUNT(D1954:U1954)=0,"",INDEX($D$1:$U$1,MATCH(MIN(D1954:U1954),D1954:U1954,0)))</f>
        <v/>
      </c>
      <c r="AA1954" s="8" t="n">
        <v>51.19</v>
      </c>
      <c r="AB1954" s="10" t="n">
        <v>2</v>
      </c>
    </row>
    <row r="1955">
      <c r="A1955" s="7" t="inlineStr">
        <is>
          <t>MAT-32-604</t>
        </is>
      </c>
      <c r="B1955" s="4" t="inlineStr">
        <is>
          <t>Tee de PPR 50 mm</t>
        </is>
      </c>
      <c r="C1955" s="7" t="inlineStr">
        <is>
          <t>unidad</t>
        </is>
      </c>
      <c r="D1955" s="8" t="n"/>
      <c r="E1955" s="8" t="n">
        <v>63.12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>
        <f>IF(COUNT(D1955:U1955)=0,"",MIN(D1955:U1955))</f>
        <v/>
      </c>
      <c r="W1955" s="8">
        <f>IF(COUNT(D1955:U1955)=0,"",MEDIAN(D1955:U1955))</f>
        <v/>
      </c>
      <c r="X1955" s="8">
        <f>IF(COUNT(D1955:U1955)=0,"",MAX(D1955:U1955))</f>
        <v/>
      </c>
      <c r="Y1955" s="9">
        <f>IF(OR(V1955="",V1955=0),"",(X1955-V1955)/V1955)</f>
        <v/>
      </c>
      <c r="Z1955" s="7">
        <f>IF(COUNT(D1955:U1955)=0,"",INDEX($D$1:$U$1,MATCH(MIN(D1955:U1955),D1955:U1955,0)))</f>
        <v/>
      </c>
      <c r="AA1955" s="8" t="n">
        <v>63.12</v>
      </c>
      <c r="AB1955" s="10" t="n">
        <v>1</v>
      </c>
    </row>
    <row r="1956">
      <c r="A1956" s="7" t="inlineStr">
        <is>
          <t>MAT-32-605</t>
        </is>
      </c>
      <c r="B1956" s="4" t="inlineStr">
        <is>
          <t>Tee de PVC drenaje 1 1/2"</t>
        </is>
      </c>
      <c r="C1956" s="7" t="inlineStr">
        <is>
          <t>unidad</t>
        </is>
      </c>
      <c r="D1956" s="8" t="n"/>
      <c r="E1956" s="8" t="n">
        <v>22.5</v>
      </c>
      <c r="F1956" s="8" t="n"/>
      <c r="G1956" s="8" t="n">
        <v>86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>
        <f>IF(COUNT(D1956:U1956)=0,"",MIN(D1956:U1956))</f>
        <v/>
      </c>
      <c r="W1956" s="8">
        <f>IF(COUNT(D1956:U1956)=0,"",MEDIAN(D1956:U1956))</f>
        <v/>
      </c>
      <c r="X1956" s="8">
        <f>IF(COUNT(D1956:U1956)=0,"",MAX(D1956:U1956))</f>
        <v/>
      </c>
      <c r="Y1956" s="9">
        <f>IF(OR(V1956="",V1956=0),"",(X1956-V1956)/V1956)</f>
        <v/>
      </c>
      <c r="Z1956" s="7">
        <f>IF(COUNT(D1956:U1956)=0,"",INDEX($D$1:$U$1,MATCH(MIN(D1956:U1956),D1956:U1956,0)))</f>
        <v/>
      </c>
      <c r="AA1956" s="8" t="n">
        <v>31.55</v>
      </c>
      <c r="AB1956" s="10" t="n">
        <v>2</v>
      </c>
    </row>
    <row r="1957">
      <c r="A1957" s="7" t="inlineStr">
        <is>
          <t>MAT-32-606</t>
        </is>
      </c>
      <c r="B1957" s="4" t="inlineStr">
        <is>
          <t>Tee de PVC drenaje 2"</t>
        </is>
      </c>
      <c r="C1957" s="7" t="inlineStr">
        <is>
          <t>unidad</t>
        </is>
      </c>
      <c r="D1957" s="8" t="n"/>
      <c r="E1957" s="8" t="n">
        <v>33.78</v>
      </c>
      <c r="F1957" s="8" t="n"/>
      <c r="G1957" s="8" t="n">
        <v>135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>
        <f>IF(COUNT(D1957:U1957)=0,"",MIN(D1957:U1957))</f>
        <v/>
      </c>
      <c r="W1957" s="8">
        <f>IF(COUNT(D1957:U1957)=0,"",MEDIAN(D1957:U1957))</f>
        <v/>
      </c>
      <c r="X1957" s="8">
        <f>IF(COUNT(D1957:U1957)=0,"",MAX(D1957:U1957))</f>
        <v/>
      </c>
      <c r="Y1957" s="9">
        <f>IF(OR(V1957="",V1957=0),"",(X1957-V1957)/V1957)</f>
        <v/>
      </c>
      <c r="Z1957" s="7">
        <f>IF(COUNT(D1957:U1957)=0,"",INDEX($D$1:$U$1,MATCH(MIN(D1957:U1957),D1957:U1957,0)))</f>
        <v/>
      </c>
      <c r="AA1957" s="8" t="n">
        <v>47.64</v>
      </c>
      <c r="AB1957" s="10" t="n">
        <v>2</v>
      </c>
    </row>
    <row r="1958">
      <c r="A1958" s="7" t="inlineStr">
        <is>
          <t>MAT-32-607</t>
        </is>
      </c>
      <c r="B1958" s="4" t="inlineStr">
        <is>
          <t>Tee de PVC drenaje 3"</t>
        </is>
      </c>
      <c r="C1958" s="7" t="inlineStr">
        <is>
          <t>unidad</t>
        </is>
      </c>
      <c r="D1958" s="8" t="n"/>
      <c r="E1958" s="8" t="n">
        <v>108</v>
      </c>
      <c r="F1958" s="8" t="n"/>
      <c r="G1958" s="8" t="n">
        <v>194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>
        <f>IF(COUNT(D1958:U1958)=0,"",MIN(D1958:U1958))</f>
        <v/>
      </c>
      <c r="W1958" s="8">
        <f>IF(COUNT(D1958:U1958)=0,"",MEDIAN(D1958:U1958))</f>
        <v/>
      </c>
      <c r="X1958" s="8">
        <f>IF(COUNT(D1958:U1958)=0,"",MAX(D1958:U1958))</f>
        <v/>
      </c>
      <c r="Y1958" s="9">
        <f>IF(OR(V1958="",V1958=0),"",(X1958-V1958)/V1958)</f>
        <v/>
      </c>
      <c r="Z1958" s="7">
        <f>IF(COUNT(D1958:U1958)=0,"",INDEX($D$1:$U$1,MATCH(MIN(D1958:U1958),D1958:U1958,0)))</f>
        <v/>
      </c>
      <c r="AA1958" s="8" t="n">
        <v>153.5</v>
      </c>
      <c r="AB1958" s="10" t="n">
        <v>2</v>
      </c>
    </row>
    <row r="1959">
      <c r="A1959" s="7" t="inlineStr">
        <is>
          <t>MAT-32-608</t>
        </is>
      </c>
      <c r="B1959" s="4" t="inlineStr">
        <is>
          <t>Tee de PVC drenaje 3" x 2"</t>
        </is>
      </c>
      <c r="C1959" s="7" t="inlineStr">
        <is>
          <t>unidad</t>
        </is>
      </c>
      <c r="D1959" s="8" t="n"/>
      <c r="E1959" s="8" t="n">
        <v>84.17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>
        <f>IF(COUNT(D1959:U1959)=0,"",MIN(D1959:U1959))</f>
        <v/>
      </c>
      <c r="W1959" s="8">
        <f>IF(COUNT(D1959:U1959)=0,"",MEDIAN(D1959:U1959))</f>
        <v/>
      </c>
      <c r="X1959" s="8">
        <f>IF(COUNT(D1959:U1959)=0,"",MAX(D1959:U1959))</f>
        <v/>
      </c>
      <c r="Y1959" s="9">
        <f>IF(OR(V1959="",V1959=0),"",(X1959-V1959)/V1959)</f>
        <v/>
      </c>
      <c r="Z1959" s="7">
        <f>IF(COUNT(D1959:U1959)=0,"",INDEX($D$1:$U$1,MATCH(MIN(D1959:U1959),D1959:U1959,0)))</f>
        <v/>
      </c>
      <c r="AA1959" s="8" t="n">
        <v>84.17</v>
      </c>
      <c r="AB1959" s="10" t="n">
        <v>1</v>
      </c>
    </row>
    <row r="1960">
      <c r="A1960" s="7" t="inlineStr">
        <is>
          <t>MAT-32-609</t>
        </is>
      </c>
      <c r="B1960" s="4" t="inlineStr">
        <is>
          <t>Tee de PVC drenaje 4"</t>
        </is>
      </c>
      <c r="C1960" s="7" t="inlineStr">
        <is>
          <t>unidad</t>
        </is>
      </c>
      <c r="D1960" s="8" t="n"/>
      <c r="E1960" s="8" t="n">
        <v>139</v>
      </c>
      <c r="F1960" s="8" t="n"/>
      <c r="G1960" s="8" t="n">
        <v>260</v>
      </c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>
        <f>IF(COUNT(D1960:U1960)=0,"",MIN(D1960:U1960))</f>
        <v/>
      </c>
      <c r="W1960" s="8">
        <f>IF(COUNT(D1960:U1960)=0,"",MEDIAN(D1960:U1960))</f>
        <v/>
      </c>
      <c r="X1960" s="8">
        <f>IF(COUNT(D1960:U1960)=0,"",MAX(D1960:U1960))</f>
        <v/>
      </c>
      <c r="Y1960" s="9">
        <f>IF(OR(V1960="",V1960=0),"",(X1960-V1960)/V1960)</f>
        <v/>
      </c>
      <c r="Z1960" s="7">
        <f>IF(COUNT(D1960:U1960)=0,"",INDEX($D$1:$U$1,MATCH(MIN(D1960:U1960),D1960:U1960,0)))</f>
        <v/>
      </c>
      <c r="AA1960" s="8" t="n">
        <v>227.32</v>
      </c>
      <c r="AB1960" s="10" t="n">
        <v>2</v>
      </c>
    </row>
    <row r="1961">
      <c r="A1961" s="7" t="inlineStr">
        <is>
          <t>MAT-32-610</t>
        </is>
      </c>
      <c r="B1961" s="4" t="inlineStr">
        <is>
          <t>Tee de PVC drenaje 4" x 2"</t>
        </is>
      </c>
      <c r="C1961" s="7" t="inlineStr">
        <is>
          <t>unidad</t>
        </is>
      </c>
      <c r="D1961" s="8" t="n"/>
      <c r="E1961" s="8" t="n">
        <v>88.56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>
        <f>IF(COUNT(D1961:U1961)=0,"",MIN(D1961:U1961))</f>
        <v/>
      </c>
      <c r="W1961" s="8">
        <f>IF(COUNT(D1961:U1961)=0,"",MEDIAN(D1961:U1961))</f>
        <v/>
      </c>
      <c r="X1961" s="8">
        <f>IF(COUNT(D1961:U1961)=0,"",MAX(D1961:U1961))</f>
        <v/>
      </c>
      <c r="Y1961" s="9">
        <f>IF(OR(V1961="",V1961=0),"",(X1961-V1961)/V1961)</f>
        <v/>
      </c>
      <c r="Z1961" s="7">
        <f>IF(COUNT(D1961:U1961)=0,"",INDEX($D$1:$U$1,MATCH(MIN(D1961:U1961),D1961:U1961,0)))</f>
        <v/>
      </c>
      <c r="AA1961" s="8" t="n">
        <v>100.25</v>
      </c>
      <c r="AB1961" s="10" t="n">
        <v>1</v>
      </c>
    </row>
    <row r="1962">
      <c r="A1962" s="7" t="inlineStr">
        <is>
          <t>MAT-32-611</t>
        </is>
      </c>
      <c r="B1962" s="4" t="inlineStr">
        <is>
          <t>Tee de PVC drenaje 4" x 3"</t>
        </is>
      </c>
      <c r="C1962" s="7" t="inlineStr">
        <is>
          <t>unidad</t>
        </is>
      </c>
      <c r="D1962" s="8" t="n"/>
      <c r="E1962" s="8" t="n">
        <v>153.77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>
        <f>IF(COUNT(D1962:U1962)=0,"",MIN(D1962:U1962))</f>
        <v/>
      </c>
      <c r="W1962" s="8">
        <f>IF(COUNT(D1962:U1962)=0,"",MEDIAN(D1962:U1962))</f>
        <v/>
      </c>
      <c r="X1962" s="8">
        <f>IF(COUNT(D1962:U1962)=0,"",MAX(D1962:U1962))</f>
        <v/>
      </c>
      <c r="Y1962" s="9">
        <f>IF(OR(V1962="",V1962=0),"",(X1962-V1962)/V1962)</f>
        <v/>
      </c>
      <c r="Z1962" s="7">
        <f>IF(COUNT(D1962:U1962)=0,"",INDEX($D$1:$U$1,MATCH(MIN(D1962:U1962),D1962:U1962,0)))</f>
        <v/>
      </c>
      <c r="AA1962" s="8" t="n">
        <v>153.77</v>
      </c>
      <c r="AB1962" s="10" t="n">
        <v>1</v>
      </c>
    </row>
    <row r="1963">
      <c r="A1963" s="7" t="inlineStr">
        <is>
          <t>MAT-32-612</t>
        </is>
      </c>
      <c r="B1963" s="4" t="inlineStr">
        <is>
          <t>Tee de PVC drenaje 6"</t>
        </is>
      </c>
      <c r="C1963" s="7" t="inlineStr">
        <is>
          <t>unidad</t>
        </is>
      </c>
      <c r="D1963" s="8" t="n"/>
      <c r="E1963" s="8" t="n">
        <v>291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>
        <f>IF(COUNT(D1963:U1963)=0,"",MIN(D1963:U1963))</f>
        <v/>
      </c>
      <c r="W1963" s="8">
        <f>IF(COUNT(D1963:U1963)=0,"",MEDIAN(D1963:U1963))</f>
        <v/>
      </c>
      <c r="X1963" s="8">
        <f>IF(COUNT(D1963:U1963)=0,"",MAX(D1963:U1963))</f>
        <v/>
      </c>
      <c r="Y1963" s="9">
        <f>IF(OR(V1963="",V1963=0),"",(X1963-V1963)/V1963)</f>
        <v/>
      </c>
      <c r="Z1963" s="7">
        <f>IF(COUNT(D1963:U1963)=0,"",INDEX($D$1:$U$1,MATCH(MIN(D1963:U1963),D1963:U1963,0)))</f>
        <v/>
      </c>
      <c r="AA1963" s="8" t="n">
        <v>458</v>
      </c>
      <c r="AB1963" s="10" t="n">
        <v>1</v>
      </c>
    </row>
    <row r="1964">
      <c r="A1964" s="7" t="inlineStr">
        <is>
          <t>MAT-32-613</t>
        </is>
      </c>
      <c r="B1964" s="4" t="inlineStr">
        <is>
          <t>Tee de PVC 1 1/2"</t>
        </is>
      </c>
      <c r="C1964" s="7" t="inlineStr">
        <is>
          <t>unidad</t>
        </is>
      </c>
      <c r="D1964" s="8" t="n"/>
      <c r="E1964" s="8" t="n">
        <v>92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>
        <f>IF(COUNT(D1964:U1964)=0,"",MIN(D1964:U1964))</f>
        <v/>
      </c>
      <c r="W1964" s="8">
        <f>IF(COUNT(D1964:U1964)=0,"",MEDIAN(D1964:U1964))</f>
        <v/>
      </c>
      <c r="X1964" s="8">
        <f>IF(COUNT(D1964:U1964)=0,"",MAX(D1964:U1964))</f>
        <v/>
      </c>
      <c r="Y1964" s="9">
        <f>IF(OR(V1964="",V1964=0),"",(X1964-V1964)/V1964)</f>
        <v/>
      </c>
      <c r="Z1964" s="7">
        <f>IF(COUNT(D1964:U1964)=0,"",INDEX($D$1:$U$1,MATCH(MIN(D1964:U1964),D1964:U1964,0)))</f>
        <v/>
      </c>
      <c r="AA1964" s="8" t="n">
        <v>100</v>
      </c>
      <c r="AB1964" s="10" t="n">
        <v>1</v>
      </c>
    </row>
    <row r="1965">
      <c r="A1965" s="7" t="inlineStr">
        <is>
          <t>MAT-32-614</t>
        </is>
      </c>
      <c r="B1965" s="4" t="inlineStr">
        <is>
          <t>Tee de PVC 1"</t>
        </is>
      </c>
      <c r="C1965" s="7" t="inlineStr">
        <is>
          <t>unidad</t>
        </is>
      </c>
      <c r="D1965" s="8" t="n"/>
      <c r="E1965" s="8" t="n">
        <v>48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>
        <f>IF(COUNT(D1965:U1965)=0,"",MIN(D1965:U1965))</f>
        <v/>
      </c>
      <c r="W1965" s="8">
        <f>IF(COUNT(D1965:U1965)=0,"",MEDIAN(D1965:U1965))</f>
        <v/>
      </c>
      <c r="X1965" s="8">
        <f>IF(COUNT(D1965:U1965)=0,"",MAX(D1965:U1965))</f>
        <v/>
      </c>
      <c r="Y1965" s="9">
        <f>IF(OR(V1965="",V1965=0),"",(X1965-V1965)/V1965)</f>
        <v/>
      </c>
      <c r="Z1965" s="7">
        <f>IF(COUNT(D1965:U1965)=0,"",INDEX($D$1:$U$1,MATCH(MIN(D1965:U1965),D1965:U1965,0)))</f>
        <v/>
      </c>
      <c r="AA1965" s="8" t="n">
        <v>48</v>
      </c>
      <c r="AB1965" s="10" t="n">
        <v>1</v>
      </c>
    </row>
    <row r="1966">
      <c r="A1966" s="7" t="inlineStr">
        <is>
          <t>MAT-32-615</t>
        </is>
      </c>
      <c r="B1966" s="4" t="inlineStr">
        <is>
          <t>Tee de PVC 1" x 3/4"</t>
        </is>
      </c>
      <c r="C1966" s="7" t="inlineStr">
        <is>
          <t>unidad</t>
        </is>
      </c>
      <c r="D1966" s="8" t="n"/>
      <c r="E1966" s="8" t="n">
        <v>37.36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>
        <f>IF(COUNT(D1966:U1966)=0,"",MIN(D1966:U1966))</f>
        <v/>
      </c>
      <c r="W1966" s="8">
        <f>IF(COUNT(D1966:U1966)=0,"",MEDIAN(D1966:U1966))</f>
        <v/>
      </c>
      <c r="X1966" s="8">
        <f>IF(COUNT(D1966:U1966)=0,"",MAX(D1966:U1966))</f>
        <v/>
      </c>
      <c r="Y1966" s="9">
        <f>IF(OR(V1966="",V1966=0),"",(X1966-V1966)/V1966)</f>
        <v/>
      </c>
      <c r="Z1966" s="7">
        <f>IF(COUNT(D1966:U1966)=0,"",INDEX($D$1:$U$1,MATCH(MIN(D1966:U1966),D1966:U1966,0)))</f>
        <v/>
      </c>
      <c r="AA1966" s="8" t="n">
        <v>37.36</v>
      </c>
      <c r="AB1966" s="10" t="n">
        <v>1</v>
      </c>
    </row>
    <row r="1967">
      <c r="A1967" s="7" t="inlineStr">
        <is>
          <t>MAT-32-616</t>
        </is>
      </c>
      <c r="B1967" s="4" t="inlineStr">
        <is>
          <t>Tee de PVC 2"</t>
        </is>
      </c>
      <c r="C1967" s="7" t="inlineStr">
        <is>
          <t>unidad</t>
        </is>
      </c>
      <c r="D1967" s="8" t="n"/>
      <c r="E1967" s="8" t="n">
        <v>165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>
        <f>IF(COUNT(D1967:U1967)=0,"",MIN(D1967:U1967))</f>
        <v/>
      </c>
      <c r="W1967" s="8">
        <f>IF(COUNT(D1967:U1967)=0,"",MEDIAN(D1967:U1967))</f>
        <v/>
      </c>
      <c r="X1967" s="8">
        <f>IF(COUNT(D1967:U1967)=0,"",MAX(D1967:U1967))</f>
        <v/>
      </c>
      <c r="Y1967" s="9">
        <f>IF(OR(V1967="",V1967=0),"",(X1967-V1967)/V1967)</f>
        <v/>
      </c>
      <c r="Z1967" s="7">
        <f>IF(COUNT(D1967:U1967)=0,"",INDEX($D$1:$U$1,MATCH(MIN(D1967:U1967),D1967:U1967,0)))</f>
        <v/>
      </c>
      <c r="AA1967" s="8" t="n">
        <v>165</v>
      </c>
      <c r="AB1967" s="10" t="n">
        <v>1</v>
      </c>
    </row>
    <row r="1968">
      <c r="A1968" s="7" t="inlineStr">
        <is>
          <t>MAT-32-617</t>
        </is>
      </c>
      <c r="B1968" s="4" t="inlineStr">
        <is>
          <t>Tee de PVC 3/4"</t>
        </is>
      </c>
      <c r="C1968" s="7" t="inlineStr">
        <is>
          <t>unidad</t>
        </is>
      </c>
      <c r="D1968" s="8" t="n"/>
      <c r="E1968" s="8" t="n">
        <v>33.35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>
        <f>IF(COUNT(D1968:U1968)=0,"",MIN(D1968:U1968))</f>
        <v/>
      </c>
      <c r="W1968" s="8">
        <f>IF(COUNT(D1968:U1968)=0,"",MEDIAN(D1968:U1968))</f>
        <v/>
      </c>
      <c r="X1968" s="8">
        <f>IF(COUNT(D1968:U1968)=0,"",MAX(D1968:U1968))</f>
        <v/>
      </c>
      <c r="Y1968" s="9">
        <f>IF(OR(V1968="",V1968=0),"",(X1968-V1968)/V1968)</f>
        <v/>
      </c>
      <c r="Z1968" s="7">
        <f>IF(COUNT(D1968:U1968)=0,"",INDEX($D$1:$U$1,MATCH(MIN(D1968:U1968),D1968:U1968,0)))</f>
        <v/>
      </c>
      <c r="AA1968" s="8" t="n">
        <v>46.68</v>
      </c>
      <c r="AB1968" s="10" t="n">
        <v>1</v>
      </c>
    </row>
    <row r="1969">
      <c r="A1969" s="7" t="inlineStr">
        <is>
          <t>MAT-32-618</t>
        </is>
      </c>
      <c r="B1969" s="4" t="inlineStr">
        <is>
          <t>Tee de PVC 3"</t>
        </is>
      </c>
      <c r="C1969" s="7" t="inlineStr">
        <is>
          <t>unidad</t>
        </is>
      </c>
      <c r="D1969" s="8" t="n"/>
      <c r="E1969" s="8" t="n">
        <v>502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>
        <f>IF(COUNT(D1969:U1969)=0,"",MIN(D1969:U1969))</f>
        <v/>
      </c>
      <c r="W1969" s="8">
        <f>IF(COUNT(D1969:U1969)=0,"",MEDIAN(D1969:U1969))</f>
        <v/>
      </c>
      <c r="X1969" s="8">
        <f>IF(COUNT(D1969:U1969)=0,"",MAX(D1969:U1969))</f>
        <v/>
      </c>
      <c r="Y1969" s="9">
        <f>IF(OR(V1969="",V1969=0),"",(X1969-V1969)/V1969)</f>
        <v/>
      </c>
      <c r="Z1969" s="7">
        <f>IF(COUNT(D1969:U1969)=0,"",INDEX($D$1:$U$1,MATCH(MIN(D1969:U1969),D1969:U1969,0)))</f>
        <v/>
      </c>
      <c r="AA1969" s="8" t="n">
        <v>502</v>
      </c>
      <c r="AB1969" s="10" t="n">
        <v>1</v>
      </c>
    </row>
    <row r="1970">
      <c r="A1970" s="7" t="inlineStr">
        <is>
          <t>MAT-32-619</t>
        </is>
      </c>
      <c r="B1970" s="4" t="inlineStr">
        <is>
          <t>Tee de PVC presión 1 1/2"</t>
        </is>
      </c>
      <c r="C1970" s="7" t="inlineStr">
        <is>
          <t>unidad</t>
        </is>
      </c>
      <c r="D1970" s="8" t="n"/>
      <c r="E1970" s="8" t="n">
        <v>45.97</v>
      </c>
      <c r="F1970" s="8" t="n"/>
      <c r="G1970" s="8" t="n">
        <v>135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>
        <f>IF(COUNT(D1970:U1970)=0,"",MIN(D1970:U1970))</f>
        <v/>
      </c>
      <c r="W1970" s="8">
        <f>IF(COUNT(D1970:U1970)=0,"",MEDIAN(D1970:U1970))</f>
        <v/>
      </c>
      <c r="X1970" s="8">
        <f>IF(COUNT(D1970:U1970)=0,"",MAX(D1970:U1970))</f>
        <v/>
      </c>
      <c r="Y1970" s="9">
        <f>IF(OR(V1970="",V1970=0),"",(X1970-V1970)/V1970)</f>
        <v/>
      </c>
      <c r="Z1970" s="7">
        <f>IF(COUNT(D1970:U1970)=0,"",INDEX($D$1:$U$1,MATCH(MIN(D1970:U1970),D1970:U1970,0)))</f>
        <v/>
      </c>
      <c r="AA1970" s="8" t="n">
        <v>54.48</v>
      </c>
      <c r="AB1970" s="10" t="n">
        <v>2</v>
      </c>
    </row>
    <row r="1971">
      <c r="A1971" s="7" t="inlineStr">
        <is>
          <t>MAT-32-620</t>
        </is>
      </c>
      <c r="B1971" s="4" t="inlineStr">
        <is>
          <t>Tee de PVC presión 1/2"</t>
        </is>
      </c>
      <c r="C1971" s="7" t="inlineStr">
        <is>
          <t>unidad</t>
        </is>
      </c>
      <c r="D1971" s="8" t="n"/>
      <c r="E1971" s="8" t="n">
        <v>8.140000000000001</v>
      </c>
      <c r="F1971" s="8" t="n"/>
      <c r="G1971" s="8" t="n">
        <v>28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>
        <f>IF(COUNT(D1971:U1971)=0,"",MIN(D1971:U1971))</f>
        <v/>
      </c>
      <c r="W1971" s="8">
        <f>IF(COUNT(D1971:U1971)=0,"",MEDIAN(D1971:U1971))</f>
        <v/>
      </c>
      <c r="X1971" s="8">
        <f>IF(COUNT(D1971:U1971)=0,"",MAX(D1971:U1971))</f>
        <v/>
      </c>
      <c r="Y1971" s="9">
        <f>IF(OR(V1971="",V1971=0),"",(X1971-V1971)/V1971)</f>
        <v/>
      </c>
      <c r="Z1971" s="7">
        <f>IF(COUNT(D1971:U1971)=0,"",INDEX($D$1:$U$1,MATCH(MIN(D1971:U1971),D1971:U1971,0)))</f>
        <v/>
      </c>
      <c r="AA1971" s="8" t="n">
        <v>13.68</v>
      </c>
      <c r="AB1971" s="10" t="n">
        <v>2</v>
      </c>
    </row>
    <row r="1972">
      <c r="A1972" s="7" t="inlineStr">
        <is>
          <t>MAT-32-621</t>
        </is>
      </c>
      <c r="B1972" s="4" t="inlineStr">
        <is>
          <t>Tee de PVC presión 1"</t>
        </is>
      </c>
      <c r="C1972" s="7" t="inlineStr">
        <is>
          <t>unidad</t>
        </is>
      </c>
      <c r="D1972" s="8" t="n"/>
      <c r="E1972" s="8" t="n">
        <v>16</v>
      </c>
      <c r="F1972" s="8" t="n"/>
      <c r="G1972" s="8" t="n">
        <v>55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>
        <f>IF(COUNT(D1972:U1972)=0,"",MIN(D1972:U1972))</f>
        <v/>
      </c>
      <c r="W1972" s="8">
        <f>IF(COUNT(D1972:U1972)=0,"",MEDIAN(D1972:U1972))</f>
        <v/>
      </c>
      <c r="X1972" s="8">
        <f>IF(COUNT(D1972:U1972)=0,"",MAX(D1972:U1972))</f>
        <v/>
      </c>
      <c r="Y1972" s="9">
        <f>IF(OR(V1972="",V1972=0),"",(X1972-V1972)/V1972)</f>
        <v/>
      </c>
      <c r="Z1972" s="7">
        <f>IF(COUNT(D1972:U1972)=0,"",INDEX($D$1:$U$1,MATCH(MIN(D1972:U1972),D1972:U1972,0)))</f>
        <v/>
      </c>
      <c r="AA1972" s="8" t="n">
        <v>27.06</v>
      </c>
      <c r="AB1972" s="10" t="n">
        <v>2</v>
      </c>
    </row>
    <row r="1973">
      <c r="A1973" s="7" t="inlineStr">
        <is>
          <t>MAT-32-622</t>
        </is>
      </c>
      <c r="B1973" s="4" t="inlineStr">
        <is>
          <t>Tee de PVC presión 2"</t>
        </is>
      </c>
      <c r="C1973" s="7" t="inlineStr">
        <is>
          <t>unidad</t>
        </is>
      </c>
      <c r="D1973" s="8" t="n"/>
      <c r="E1973" s="8" t="n">
        <v>45.98</v>
      </c>
      <c r="F1973" s="8" t="n"/>
      <c r="G1973" s="8" t="n">
        <v>195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>
        <f>IF(COUNT(D1973:U1973)=0,"",MIN(D1973:U1973))</f>
        <v/>
      </c>
      <c r="W1973" s="8">
        <f>IF(COUNT(D1973:U1973)=0,"",MEDIAN(D1973:U1973))</f>
        <v/>
      </c>
      <c r="X1973" s="8">
        <f>IF(COUNT(D1973:U1973)=0,"",MAX(D1973:U1973))</f>
        <v/>
      </c>
      <c r="Y1973" s="9">
        <f>IF(OR(V1973="",V1973=0),"",(X1973-V1973)/V1973)</f>
        <v/>
      </c>
      <c r="Z1973" s="7">
        <f>IF(COUNT(D1973:U1973)=0,"",INDEX($D$1:$U$1,MATCH(MIN(D1973:U1973),D1973:U1973,0)))</f>
        <v/>
      </c>
      <c r="AA1973" s="8" t="n">
        <v>82.48999999999999</v>
      </c>
      <c r="AB1973" s="10" t="n">
        <v>2</v>
      </c>
    </row>
    <row r="1974">
      <c r="A1974" s="7" t="inlineStr">
        <is>
          <t>MAT-32-623</t>
        </is>
      </c>
      <c r="B1974" s="4" t="inlineStr">
        <is>
          <t>Tee de PVC presión 3/4"</t>
        </is>
      </c>
      <c r="C1974" s="7" t="inlineStr">
        <is>
          <t>unidad</t>
        </is>
      </c>
      <c r="D1974" s="8" t="n"/>
      <c r="E1974" s="8" t="n">
        <v>8.83</v>
      </c>
      <c r="F1974" s="8" t="n"/>
      <c r="G1974" s="8" t="n">
        <v>35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>
        <f>IF(COUNT(D1974:U1974)=0,"",MIN(D1974:U1974))</f>
        <v/>
      </c>
      <c r="W1974" s="8">
        <f>IF(COUNT(D1974:U1974)=0,"",MEDIAN(D1974:U1974))</f>
        <v/>
      </c>
      <c r="X1974" s="8">
        <f>IF(COUNT(D1974:U1974)=0,"",MAX(D1974:U1974))</f>
        <v/>
      </c>
      <c r="Y1974" s="9">
        <f>IF(OR(V1974="",V1974=0),"",(X1974-V1974)/V1974)</f>
        <v/>
      </c>
      <c r="Z1974" s="7">
        <f>IF(COUNT(D1974:U1974)=0,"",INDEX($D$1:$U$1,MATCH(MIN(D1974:U1974),D1974:U1974,0)))</f>
        <v/>
      </c>
      <c r="AA1974" s="8" t="n">
        <v>17.7</v>
      </c>
      <c r="AB1974" s="10" t="n">
        <v>2</v>
      </c>
    </row>
    <row r="1975">
      <c r="A1975" s="7" t="inlineStr">
        <is>
          <t>MAT-32-624</t>
        </is>
      </c>
      <c r="B1975" s="4" t="inlineStr">
        <is>
          <t>Tee de PVC presión 3"</t>
        </is>
      </c>
      <c r="C1975" s="7" t="inlineStr">
        <is>
          <t>unidad</t>
        </is>
      </c>
      <c r="D1975" s="8" t="n"/>
      <c r="E1975" s="8" t="n">
        <v>169</v>
      </c>
      <c r="F1975" s="8" t="n"/>
      <c r="G1975" s="8" t="n">
        <v>453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>
        <f>IF(COUNT(D1975:U1975)=0,"",MIN(D1975:U1975))</f>
        <v/>
      </c>
      <c r="W1975" s="8">
        <f>IF(COUNT(D1975:U1975)=0,"",MEDIAN(D1975:U1975))</f>
        <v/>
      </c>
      <c r="X1975" s="8">
        <f>IF(COUNT(D1975:U1975)=0,"",MAX(D1975:U1975))</f>
        <v/>
      </c>
      <c r="Y1975" s="9">
        <f>IF(OR(V1975="",V1975=0),"",(X1975-V1975)/V1975)</f>
        <v/>
      </c>
      <c r="Z1975" s="7">
        <f>IF(COUNT(D1975:U1975)=0,"",INDEX($D$1:$U$1,MATCH(MIN(D1975:U1975),D1975:U1975,0)))</f>
        <v/>
      </c>
      <c r="AA1975" s="8" t="n">
        <v>235.03</v>
      </c>
      <c r="AB1975" s="10" t="n">
        <v>2</v>
      </c>
    </row>
    <row r="1976">
      <c r="A1976" s="7" t="inlineStr">
        <is>
          <t>MAT-32-625</t>
        </is>
      </c>
      <c r="B1976" s="4" t="inlineStr">
        <is>
          <t>Tee de PVC presión 4"</t>
        </is>
      </c>
      <c r="C1976" s="7" t="inlineStr">
        <is>
          <t>unidad</t>
        </is>
      </c>
      <c r="D1976" s="8" t="n"/>
      <c r="E1976" s="8" t="n">
        <v>278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>
        <f>IF(COUNT(D1976:U1976)=0,"",MIN(D1976:U1976))</f>
        <v/>
      </c>
      <c r="W1976" s="8">
        <f>IF(COUNT(D1976:U1976)=0,"",MEDIAN(D1976:U1976))</f>
        <v/>
      </c>
      <c r="X1976" s="8">
        <f>IF(COUNT(D1976:U1976)=0,"",MAX(D1976:U1976))</f>
        <v/>
      </c>
      <c r="Y1976" s="9">
        <f>IF(OR(V1976="",V1976=0),"",(X1976-V1976)/V1976)</f>
        <v/>
      </c>
      <c r="Z1976" s="7">
        <f>IF(COUNT(D1976:U1976)=0,"",INDEX($D$1:$U$1,MATCH(MIN(D1976:U1976),D1976:U1976,0)))</f>
        <v/>
      </c>
      <c r="AA1976" s="8" t="n">
        <v>336.44</v>
      </c>
      <c r="AB1976" s="10" t="n">
        <v>1</v>
      </c>
    </row>
    <row r="1977">
      <c r="A1977" s="7" t="inlineStr">
        <is>
          <t>MAT-32-626</t>
        </is>
      </c>
      <c r="B1977" s="4" t="inlineStr">
        <is>
          <t>Tee de PVC presión 4" x 3"</t>
        </is>
      </c>
      <c r="C1977" s="7" t="inlineStr">
        <is>
          <t>unidad</t>
        </is>
      </c>
      <c r="D1977" s="8" t="n"/>
      <c r="E1977" s="8" t="n">
        <v>687.34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>
        <f>IF(COUNT(D1977:U1977)=0,"",MIN(D1977:U1977))</f>
        <v/>
      </c>
      <c r="W1977" s="8">
        <f>IF(COUNT(D1977:U1977)=0,"",MEDIAN(D1977:U1977))</f>
        <v/>
      </c>
      <c r="X1977" s="8">
        <f>IF(COUNT(D1977:U1977)=0,"",MAX(D1977:U1977))</f>
        <v/>
      </c>
      <c r="Y1977" s="9">
        <f>IF(OR(V1977="",V1977=0),"",(X1977-V1977)/V1977)</f>
        <v/>
      </c>
      <c r="Z1977" s="7">
        <f>IF(COUNT(D1977:U1977)=0,"",INDEX($D$1:$U$1,MATCH(MIN(D1977:U1977),D1977:U1977,0)))</f>
        <v/>
      </c>
      <c r="AA1977" s="8" t="n">
        <v>687.34</v>
      </c>
      <c r="AB1977" s="10" t="n">
        <v>1</v>
      </c>
    </row>
    <row r="1978">
      <c r="A1978" s="7" t="inlineStr">
        <is>
          <t>MAT-32-627</t>
        </is>
      </c>
      <c r="B1978" s="4" t="inlineStr">
        <is>
          <t>Tee de PVC presión 6"</t>
        </is>
      </c>
      <c r="C1978" s="7" t="inlineStr">
        <is>
          <t>unidad</t>
        </is>
      </c>
      <c r="D1978" s="8" t="n"/>
      <c r="E1978" s="8" t="n">
        <v>915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>
        <f>IF(COUNT(D1978:U1978)=0,"",MIN(D1978:U1978))</f>
        <v/>
      </c>
      <c r="W1978" s="8">
        <f>IF(COUNT(D1978:U1978)=0,"",MEDIAN(D1978:U1978))</f>
        <v/>
      </c>
      <c r="X1978" s="8">
        <f>IF(COUNT(D1978:U1978)=0,"",MAX(D1978:U1978))</f>
        <v/>
      </c>
      <c r="Y1978" s="9">
        <f>IF(OR(V1978="",V1978=0),"",(X1978-V1978)/V1978)</f>
        <v/>
      </c>
      <c r="Z1978" s="7">
        <f>IF(COUNT(D1978:U1978)=0,"",INDEX($D$1:$U$1,MATCH(MIN(D1978:U1978),D1978:U1978,0)))</f>
        <v/>
      </c>
      <c r="AA1978" s="8" t="n">
        <v>1002.5</v>
      </c>
      <c r="AB1978" s="10" t="n">
        <v>1</v>
      </c>
    </row>
    <row r="1979">
      <c r="A1979" s="7" t="inlineStr">
        <is>
          <t>MAT-32-628</t>
        </is>
      </c>
      <c r="B1979" s="4" t="inlineStr">
        <is>
          <t>Tee de PVC presión 8"</t>
        </is>
      </c>
      <c r="C1979" s="7" t="inlineStr">
        <is>
          <t>unidad</t>
        </is>
      </c>
      <c r="D1979" s="8" t="n"/>
      <c r="E1979" s="8" t="n">
        <v>8379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>
        <f>IF(COUNT(D1979:U1979)=0,"",MIN(D1979:U1979))</f>
        <v/>
      </c>
      <c r="W1979" s="8">
        <f>IF(COUNT(D1979:U1979)=0,"",MEDIAN(D1979:U1979))</f>
        <v/>
      </c>
      <c r="X1979" s="8">
        <f>IF(COUNT(D1979:U1979)=0,"",MAX(D1979:U1979))</f>
        <v/>
      </c>
      <c r="Y1979" s="9">
        <f>IF(OR(V1979="",V1979=0),"",(X1979-V1979)/V1979)</f>
        <v/>
      </c>
      <c r="Z1979" s="7">
        <f>IF(COUNT(D1979:U1979)=0,"",INDEX($D$1:$U$1,MATCH(MIN(D1979:U1979),D1979:U1979,0)))</f>
        <v/>
      </c>
      <c r="AA1979" s="8" t="n">
        <v>8379</v>
      </c>
      <c r="AB1979" s="10" t="n">
        <v>1</v>
      </c>
    </row>
    <row r="1980">
      <c r="A1980" s="7" t="inlineStr">
        <is>
          <t>MAT-32-629</t>
        </is>
      </c>
      <c r="B1980" s="4" t="inlineStr">
        <is>
          <t>Tee reducida de PPR 25 mm</t>
        </is>
      </c>
      <c r="C1980" s="7" t="inlineStr">
        <is>
          <t>unidad</t>
        </is>
      </c>
      <c r="D1980" s="8" t="n"/>
      <c r="E1980" s="8" t="n"/>
      <c r="F1980" s="8" t="n"/>
      <c r="G1980" s="8" t="n">
        <v>45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>
        <f>IF(COUNT(D1980:U1980)=0,"",MIN(D1980:U1980))</f>
        <v/>
      </c>
      <c r="W1980" s="8">
        <f>IF(COUNT(D1980:U1980)=0,"",MEDIAN(D1980:U1980))</f>
        <v/>
      </c>
      <c r="X1980" s="8">
        <f>IF(COUNT(D1980:U1980)=0,"",MAX(D1980:U1980))</f>
        <v/>
      </c>
      <c r="Y1980" s="9">
        <f>IF(OR(V1980="",V1980=0),"",(X1980-V1980)/V1980)</f>
        <v/>
      </c>
      <c r="Z1980" s="7">
        <f>IF(COUNT(D1980:U1980)=0,"",INDEX($D$1:$U$1,MATCH(MIN(D1980:U1980),D1980:U1980,0)))</f>
        <v/>
      </c>
      <c r="AA1980" s="8" t="n">
        <v>45</v>
      </c>
      <c r="AB1980" s="10" t="n">
        <v>1</v>
      </c>
    </row>
    <row r="1981">
      <c r="A1981" s="7" t="inlineStr">
        <is>
          <t>MAT-32-630</t>
        </is>
      </c>
      <c r="B1981" s="4" t="inlineStr">
        <is>
          <t>Tee reducida de PVC 1" x 3/4"</t>
        </is>
      </c>
      <c r="C1981" s="7" t="inlineStr">
        <is>
          <t>unidad</t>
        </is>
      </c>
      <c r="D1981" s="8" t="n"/>
      <c r="E1981" s="8" t="n"/>
      <c r="F1981" s="8" t="n"/>
      <c r="G1981" s="8" t="n">
        <v>144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>
        <f>IF(COUNT(D1981:U1981)=0,"",MIN(D1981:U1981))</f>
        <v/>
      </c>
      <c r="W1981" s="8">
        <f>IF(COUNT(D1981:U1981)=0,"",MEDIAN(D1981:U1981))</f>
        <v/>
      </c>
      <c r="X1981" s="8">
        <f>IF(COUNT(D1981:U1981)=0,"",MAX(D1981:U1981))</f>
        <v/>
      </c>
      <c r="Y1981" s="9">
        <f>IF(OR(V1981="",V1981=0),"",(X1981-V1981)/V1981)</f>
        <v/>
      </c>
      <c r="Z1981" s="7">
        <f>IF(COUNT(D1981:U1981)=0,"",INDEX($D$1:$U$1,MATCH(MIN(D1981:U1981),D1981:U1981,0)))</f>
        <v/>
      </c>
      <c r="AA1981" s="8" t="n">
        <v>144</v>
      </c>
      <c r="AB1981" s="10" t="n">
        <v>1</v>
      </c>
    </row>
    <row r="1982">
      <c r="A1982" s="7" t="inlineStr">
        <is>
          <t>MAT-32-631</t>
        </is>
      </c>
      <c r="B1982" s="4" t="inlineStr">
        <is>
          <t>Terminal de bronce 1/2"</t>
        </is>
      </c>
      <c r="C1982" s="7" t="inlineStr">
        <is>
          <t>unidad</t>
        </is>
      </c>
      <c r="D1982" s="8" t="n"/>
      <c r="E1982" s="8" t="n"/>
      <c r="F1982" s="8" t="n"/>
      <c r="G1982" s="8" t="n">
        <v>235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>
        <f>IF(COUNT(D1982:U1982)=0,"",MIN(D1982:U1982))</f>
        <v/>
      </c>
      <c r="W1982" s="8">
        <f>IF(COUNT(D1982:U1982)=0,"",MEDIAN(D1982:U1982))</f>
        <v/>
      </c>
      <c r="X1982" s="8">
        <f>IF(COUNT(D1982:U1982)=0,"",MAX(D1982:U1982))</f>
        <v/>
      </c>
      <c r="Y1982" s="9">
        <f>IF(OR(V1982="",V1982=0),"",(X1982-V1982)/V1982)</f>
        <v/>
      </c>
      <c r="Z1982" s="7">
        <f>IF(COUNT(D1982:U1982)=0,"",INDEX($D$1:$U$1,MATCH(MIN(D1982:U1982),D1982:U1982,0)))</f>
        <v/>
      </c>
      <c r="AA1982" s="8" t="n">
        <v>235</v>
      </c>
      <c r="AB1982" s="10" t="n">
        <v>1</v>
      </c>
    </row>
    <row r="1983">
      <c r="A1983" s="7" t="inlineStr">
        <is>
          <t>MAT-32-632</t>
        </is>
      </c>
      <c r="B1983" s="4" t="inlineStr">
        <is>
          <t>Terminal de bronce 3/4"</t>
        </is>
      </c>
      <c r="C1983" s="7" t="inlineStr">
        <is>
          <t>unidad</t>
        </is>
      </c>
      <c r="D1983" s="8" t="n"/>
      <c r="E1983" s="8" t="n"/>
      <c r="F1983" s="8" t="n"/>
      <c r="G1983" s="8" t="n">
        <v>275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>
        <f>IF(COUNT(D1983:U1983)=0,"",MIN(D1983:U1983))</f>
        <v/>
      </c>
      <c r="W1983" s="8">
        <f>IF(COUNT(D1983:U1983)=0,"",MEDIAN(D1983:U1983))</f>
        <v/>
      </c>
      <c r="X1983" s="8">
        <f>IF(COUNT(D1983:U1983)=0,"",MAX(D1983:U1983))</f>
        <v/>
      </c>
      <c r="Y1983" s="9">
        <f>IF(OR(V1983="",V1983=0),"",(X1983-V1983)/V1983)</f>
        <v/>
      </c>
      <c r="Z1983" s="7">
        <f>IF(COUNT(D1983:U1983)=0,"",INDEX($D$1:$U$1,MATCH(MIN(D1983:U1983),D1983:U1983,0)))</f>
        <v/>
      </c>
      <c r="AA1983" s="8" t="n">
        <v>275</v>
      </c>
      <c r="AB1983" s="10" t="n">
        <v>1</v>
      </c>
    </row>
    <row r="1984">
      <c r="A1984" s="7" t="inlineStr">
        <is>
          <t>MAT-32-633</t>
        </is>
      </c>
      <c r="B1984" s="4" t="inlineStr">
        <is>
          <t>Terminal de bronce 5/8"</t>
        </is>
      </c>
      <c r="C1984" s="7" t="inlineStr">
        <is>
          <t>unidad</t>
        </is>
      </c>
      <c r="D1984" s="8" t="n"/>
      <c r="E1984" s="8" t="n"/>
      <c r="F1984" s="8" t="n"/>
      <c r="G1984" s="8" t="n">
        <v>335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>
        <f>IF(COUNT(D1984:U1984)=0,"",MIN(D1984:U1984))</f>
        <v/>
      </c>
      <c r="W1984" s="8">
        <f>IF(COUNT(D1984:U1984)=0,"",MEDIAN(D1984:U1984))</f>
        <v/>
      </c>
      <c r="X1984" s="8">
        <f>IF(COUNT(D1984:U1984)=0,"",MAX(D1984:U1984))</f>
        <v/>
      </c>
      <c r="Y1984" s="9">
        <f>IF(OR(V1984="",V1984=0),"",(X1984-V1984)/V1984)</f>
        <v/>
      </c>
      <c r="Z1984" s="7">
        <f>IF(COUNT(D1984:U1984)=0,"",INDEX($D$1:$U$1,MATCH(MIN(D1984:U1984),D1984:U1984,0)))</f>
        <v/>
      </c>
      <c r="AA1984" s="8" t="n">
        <v>335</v>
      </c>
      <c r="AB1984" s="10" t="n">
        <v>1</v>
      </c>
    </row>
    <row r="1985">
      <c r="A1985" s="7" t="inlineStr">
        <is>
          <t>MAT-32-634</t>
        </is>
      </c>
      <c r="B1985" s="4" t="inlineStr">
        <is>
          <t>Terminal de cobre 1"</t>
        </is>
      </c>
      <c r="C1985" s="7" t="inlineStr">
        <is>
          <t>unidad</t>
        </is>
      </c>
      <c r="D1985" s="8" t="n"/>
      <c r="E1985" s="8" t="n"/>
      <c r="F1985" s="8" t="n"/>
      <c r="G1985" s="8" t="n">
        <v>319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>
        <f>IF(COUNT(D1985:U1985)=0,"",MIN(D1985:U1985))</f>
        <v/>
      </c>
      <c r="W1985" s="8">
        <f>IF(COUNT(D1985:U1985)=0,"",MEDIAN(D1985:U1985))</f>
        <v/>
      </c>
      <c r="X1985" s="8">
        <f>IF(COUNT(D1985:U1985)=0,"",MAX(D1985:U1985))</f>
        <v/>
      </c>
      <c r="Y1985" s="9">
        <f>IF(OR(V1985="",V1985=0),"",(X1985-V1985)/V1985)</f>
        <v/>
      </c>
      <c r="Z1985" s="7">
        <f>IF(COUNT(D1985:U1985)=0,"",INDEX($D$1:$U$1,MATCH(MIN(D1985:U1985),D1985:U1985,0)))</f>
        <v/>
      </c>
      <c r="AA1985" s="8" t="n">
        <v>319</v>
      </c>
      <c r="AB1985" s="10" t="n">
        <v>1</v>
      </c>
    </row>
    <row r="1986">
      <c r="A1986" s="7" t="inlineStr">
        <is>
          <t>MAT-32-635</t>
        </is>
      </c>
      <c r="B1986" s="4" t="inlineStr">
        <is>
          <t>Terminal de manguera 1/2"</t>
        </is>
      </c>
      <c r="C1986" s="7" t="inlineStr">
        <is>
          <t>unidad</t>
        </is>
      </c>
      <c r="D1986" s="8" t="n"/>
      <c r="E1986" s="8" t="n"/>
      <c r="F1986" s="8" t="n"/>
      <c r="G1986" s="8" t="n">
        <v>131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>
        <f>IF(COUNT(D1986:U1986)=0,"",MIN(D1986:U1986))</f>
        <v/>
      </c>
      <c r="W1986" s="8">
        <f>IF(COUNT(D1986:U1986)=0,"",MEDIAN(D1986:U1986))</f>
        <v/>
      </c>
      <c r="X1986" s="8">
        <f>IF(COUNT(D1986:U1986)=0,"",MAX(D1986:U1986))</f>
        <v/>
      </c>
      <c r="Y1986" s="9">
        <f>IF(OR(V1986="",V1986=0),"",(X1986-V1986)/V1986)</f>
        <v/>
      </c>
      <c r="Z1986" s="7">
        <f>IF(COUNT(D1986:U1986)=0,"",INDEX($D$1:$U$1,MATCH(MIN(D1986:U1986),D1986:U1986,0)))</f>
        <v/>
      </c>
      <c r="AA1986" s="8" t="n">
        <v>165.5</v>
      </c>
      <c r="AB1986" s="10" t="n">
        <v>1</v>
      </c>
    </row>
    <row r="1987">
      <c r="A1987" s="7" t="inlineStr">
        <is>
          <t>MAT-32-636</t>
        </is>
      </c>
      <c r="B1987" s="4" t="inlineStr">
        <is>
          <t>Terminal de manguera 3/4"</t>
        </is>
      </c>
      <c r="C1987" s="7" t="inlineStr">
        <is>
          <t>unidad</t>
        </is>
      </c>
      <c r="D1987" s="8" t="n"/>
      <c r="E1987" s="8" t="n"/>
      <c r="F1987" s="8" t="n"/>
      <c r="G1987" s="8" t="n">
        <v>247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>
        <f>IF(COUNT(D1987:U1987)=0,"",MIN(D1987:U1987))</f>
        <v/>
      </c>
      <c r="W1987" s="8">
        <f>IF(COUNT(D1987:U1987)=0,"",MEDIAN(D1987:U1987))</f>
        <v/>
      </c>
      <c r="X1987" s="8">
        <f>IF(COUNT(D1987:U1987)=0,"",MAX(D1987:U1987))</f>
        <v/>
      </c>
      <c r="Y1987" s="9">
        <f>IF(OR(V1987="",V1987=0),"",(X1987-V1987)/V1987)</f>
        <v/>
      </c>
      <c r="Z1987" s="7">
        <f>IF(COUNT(D1987:U1987)=0,"",INDEX($D$1:$U$1,MATCH(MIN(D1987:U1987),D1987:U1987,0)))</f>
        <v/>
      </c>
      <c r="AA1987" s="8" t="n">
        <v>247</v>
      </c>
      <c r="AB1987" s="10" t="n">
        <v>1</v>
      </c>
    </row>
    <row r="1988">
      <c r="A1988" s="7" t="inlineStr">
        <is>
          <t>MAT-32-637</t>
        </is>
      </c>
      <c r="B1988" s="4" t="inlineStr">
        <is>
          <t>Terminal de manguera 5/8"</t>
        </is>
      </c>
      <c r="C1988" s="7" t="inlineStr">
        <is>
          <t>unidad</t>
        </is>
      </c>
      <c r="D1988" s="8" t="n"/>
      <c r="E1988" s="8" t="n"/>
      <c r="F1988" s="8" t="n"/>
      <c r="G1988" s="8" t="n">
        <v>233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>
        <f>IF(COUNT(D1988:U1988)=0,"",MIN(D1988:U1988))</f>
        <v/>
      </c>
      <c r="W1988" s="8">
        <f>IF(COUNT(D1988:U1988)=0,"",MEDIAN(D1988:U1988))</f>
        <v/>
      </c>
      <c r="X1988" s="8">
        <f>IF(COUNT(D1988:U1988)=0,"",MAX(D1988:U1988))</f>
        <v/>
      </c>
      <c r="Y1988" s="9">
        <f>IF(OR(V1988="",V1988=0),"",(X1988-V1988)/V1988)</f>
        <v/>
      </c>
      <c r="Z1988" s="7">
        <f>IF(COUNT(D1988:U1988)=0,"",INDEX($D$1:$U$1,MATCH(MIN(D1988:U1988),D1988:U1988,0)))</f>
        <v/>
      </c>
      <c r="AA1988" s="8" t="n">
        <v>233</v>
      </c>
      <c r="AB1988" s="10" t="n">
        <v>1</v>
      </c>
    </row>
    <row r="1989">
      <c r="A1989" s="7" t="inlineStr">
        <is>
          <t>MAT-32-638</t>
        </is>
      </c>
      <c r="B1989" s="4" t="inlineStr">
        <is>
          <t>Terminal de manguera 5"</t>
        </is>
      </c>
      <c r="C1989" s="7" t="inlineStr">
        <is>
          <t>unidad</t>
        </is>
      </c>
      <c r="D1989" s="8" t="n"/>
      <c r="E1989" s="8" t="n"/>
      <c r="F1989" s="8" t="n"/>
      <c r="G1989" s="8" t="n">
        <v>295</v>
      </c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>
        <f>IF(COUNT(D1989:U1989)=0,"",MIN(D1989:U1989))</f>
        <v/>
      </c>
      <c r="W1989" s="8">
        <f>IF(COUNT(D1989:U1989)=0,"",MEDIAN(D1989:U1989))</f>
        <v/>
      </c>
      <c r="X1989" s="8">
        <f>IF(COUNT(D1989:U1989)=0,"",MAX(D1989:U1989))</f>
        <v/>
      </c>
      <c r="Y1989" s="9">
        <f>IF(OR(V1989="",V1989=0),"",(X1989-V1989)/V1989)</f>
        <v/>
      </c>
      <c r="Z1989" s="7">
        <f>IF(COUNT(D1989:U1989)=0,"",INDEX($D$1:$U$1,MATCH(MIN(D1989:U1989),D1989:U1989,0)))</f>
        <v/>
      </c>
      <c r="AA1989" s="8" t="n">
        <v>295</v>
      </c>
      <c r="AB1989" s="10" t="n">
        <v>1</v>
      </c>
    </row>
    <row r="1990">
      <c r="A1990" s="7" t="inlineStr">
        <is>
          <t>MAT-32-639</t>
        </is>
      </c>
      <c r="B1990" s="4" t="inlineStr">
        <is>
          <t>Unión de bronce 0.19"</t>
        </is>
      </c>
      <c r="C1990" s="7" t="inlineStr">
        <is>
          <t>unidad</t>
        </is>
      </c>
      <c r="D1990" s="8" t="n"/>
      <c r="E1990" s="8" t="n">
        <v>35.78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>
        <f>IF(COUNT(D1990:U1990)=0,"",MIN(D1990:U1990))</f>
        <v/>
      </c>
      <c r="W1990" s="8">
        <f>IF(COUNT(D1990:U1990)=0,"",MEDIAN(D1990:U1990))</f>
        <v/>
      </c>
      <c r="X1990" s="8">
        <f>IF(COUNT(D1990:U1990)=0,"",MAX(D1990:U1990))</f>
        <v/>
      </c>
      <c r="Y1990" s="9">
        <f>IF(OR(V1990="",V1990=0),"",(X1990-V1990)/V1990)</f>
        <v/>
      </c>
      <c r="Z1990" s="7">
        <f>IF(COUNT(D1990:U1990)=0,"",INDEX($D$1:$U$1,MATCH(MIN(D1990:U1990),D1990:U1990,0)))</f>
        <v/>
      </c>
      <c r="AA1990" s="8" t="n">
        <v>35.78</v>
      </c>
      <c r="AB1990" s="10" t="n">
        <v>1</v>
      </c>
    </row>
    <row r="1991">
      <c r="A1991" s="7" t="inlineStr">
        <is>
          <t>MAT-32-640</t>
        </is>
      </c>
      <c r="B1991" s="4" t="inlineStr">
        <is>
          <t>Unión de bronce 1/2"</t>
        </is>
      </c>
      <c r="C1991" s="7" t="inlineStr">
        <is>
          <t>unidad</t>
        </is>
      </c>
      <c r="D1991" s="8" t="n"/>
      <c r="E1991" s="8" t="n">
        <v>66.19</v>
      </c>
      <c r="F1991" s="8" t="n"/>
      <c r="G1991" s="8" t="n">
        <v>165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>
        <f>IF(COUNT(D1991:U1991)=0,"",MIN(D1991:U1991))</f>
        <v/>
      </c>
      <c r="W1991" s="8">
        <f>IF(COUNT(D1991:U1991)=0,"",MEDIAN(D1991:U1991))</f>
        <v/>
      </c>
      <c r="X1991" s="8">
        <f>IF(COUNT(D1991:U1991)=0,"",MAX(D1991:U1991))</f>
        <v/>
      </c>
      <c r="Y1991" s="9">
        <f>IF(OR(V1991="",V1991=0),"",(X1991-V1991)/V1991)</f>
        <v/>
      </c>
      <c r="Z1991" s="7">
        <f>IF(COUNT(D1991:U1991)=0,"",INDEX($D$1:$U$1,MATCH(MIN(D1991:U1991),D1991:U1991,0)))</f>
        <v/>
      </c>
      <c r="AA1991" s="8" t="n">
        <v>115.6</v>
      </c>
      <c r="AB1991" s="10" t="n">
        <v>2</v>
      </c>
    </row>
    <row r="1992">
      <c r="A1992" s="7" t="inlineStr">
        <is>
          <t>MAT-32-641</t>
        </is>
      </c>
      <c r="B1992" s="4" t="inlineStr">
        <is>
          <t>Unión de bronce 1/4"</t>
        </is>
      </c>
      <c r="C1992" s="7" t="inlineStr">
        <is>
          <t>unidad</t>
        </is>
      </c>
      <c r="D1992" s="8" t="n"/>
      <c r="E1992" s="8" t="n">
        <v>28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>
        <f>IF(COUNT(D1992:U1992)=0,"",MIN(D1992:U1992))</f>
        <v/>
      </c>
      <c r="W1992" s="8">
        <f>IF(COUNT(D1992:U1992)=0,"",MEDIAN(D1992:U1992))</f>
        <v/>
      </c>
      <c r="X1992" s="8">
        <f>IF(COUNT(D1992:U1992)=0,"",MAX(D1992:U1992))</f>
        <v/>
      </c>
      <c r="Y1992" s="9">
        <f>IF(OR(V1992="",V1992=0),"",(X1992-V1992)/V1992)</f>
        <v/>
      </c>
      <c r="Z1992" s="7">
        <f>IF(COUNT(D1992:U1992)=0,"",INDEX($D$1:$U$1,MATCH(MIN(D1992:U1992),D1992:U1992,0)))</f>
        <v/>
      </c>
      <c r="AA1992" s="8" t="n">
        <v>69</v>
      </c>
      <c r="AB1992" s="10" t="n">
        <v>1</v>
      </c>
    </row>
    <row r="1993">
      <c r="A1993" s="7" t="inlineStr">
        <is>
          <t>MAT-32-642</t>
        </is>
      </c>
      <c r="B1993" s="4" t="inlineStr">
        <is>
          <t>Unión de bronce 1/8"</t>
        </is>
      </c>
      <c r="C1993" s="7" t="inlineStr">
        <is>
          <t>unidad</t>
        </is>
      </c>
      <c r="D1993" s="8" t="n"/>
      <c r="E1993" s="8" t="n">
        <v>16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>
        <f>IF(COUNT(D1993:U1993)=0,"",MIN(D1993:U1993))</f>
        <v/>
      </c>
      <c r="W1993" s="8">
        <f>IF(COUNT(D1993:U1993)=0,"",MEDIAN(D1993:U1993))</f>
        <v/>
      </c>
      <c r="X1993" s="8">
        <f>IF(COUNT(D1993:U1993)=0,"",MAX(D1993:U1993))</f>
        <v/>
      </c>
      <c r="Y1993" s="9">
        <f>IF(OR(V1993="",V1993=0),"",(X1993-V1993)/V1993)</f>
        <v/>
      </c>
      <c r="Z1993" s="7">
        <f>IF(COUNT(D1993:U1993)=0,"",INDEX($D$1:$U$1,MATCH(MIN(D1993:U1993),D1993:U1993,0)))</f>
        <v/>
      </c>
      <c r="AA1993" s="8" t="n">
        <v>16</v>
      </c>
      <c r="AB1993" s="10" t="n">
        <v>1</v>
      </c>
    </row>
    <row r="1994">
      <c r="A1994" s="7" t="inlineStr">
        <is>
          <t>MAT-32-643</t>
        </is>
      </c>
      <c r="B1994" s="4" t="inlineStr">
        <is>
          <t>Unión de bronce 12"</t>
        </is>
      </c>
      <c r="C1994" s="7" t="inlineStr">
        <is>
          <t>unidad</t>
        </is>
      </c>
      <c r="D1994" s="8" t="n"/>
      <c r="E1994" s="8" t="n">
        <v>346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>
        <f>IF(COUNT(D1994:U1994)=0,"",MIN(D1994:U1994))</f>
        <v/>
      </c>
      <c r="W1994" s="8">
        <f>IF(COUNT(D1994:U1994)=0,"",MEDIAN(D1994:U1994))</f>
        <v/>
      </c>
      <c r="X1994" s="8">
        <f>IF(COUNT(D1994:U1994)=0,"",MAX(D1994:U1994))</f>
        <v/>
      </c>
      <c r="Y1994" s="9">
        <f>IF(OR(V1994="",V1994=0),"",(X1994-V1994)/V1994)</f>
        <v/>
      </c>
      <c r="Z1994" s="7">
        <f>IF(COUNT(D1994:U1994)=0,"",INDEX($D$1:$U$1,MATCH(MIN(D1994:U1994),D1994:U1994,0)))</f>
        <v/>
      </c>
      <c r="AA1994" s="8" t="n">
        <v>346</v>
      </c>
      <c r="AB1994" s="10" t="n">
        <v>1</v>
      </c>
    </row>
    <row r="1995">
      <c r="A1995" s="7" t="inlineStr">
        <is>
          <t>MAT-32-644</t>
        </is>
      </c>
      <c r="B1995" s="4" t="inlineStr">
        <is>
          <t>Unión de bronce 15"</t>
        </is>
      </c>
      <c r="C1995" s="7" t="inlineStr">
        <is>
          <t>unidad</t>
        </is>
      </c>
      <c r="D1995" s="8" t="n"/>
      <c r="E1995" s="8" t="n">
        <v>375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>
        <f>IF(COUNT(D1995:U1995)=0,"",MIN(D1995:U1995))</f>
        <v/>
      </c>
      <c r="W1995" s="8">
        <f>IF(COUNT(D1995:U1995)=0,"",MEDIAN(D1995:U1995))</f>
        <v/>
      </c>
      <c r="X1995" s="8">
        <f>IF(COUNT(D1995:U1995)=0,"",MAX(D1995:U1995))</f>
        <v/>
      </c>
      <c r="Y1995" s="9">
        <f>IF(OR(V1995="",V1995=0),"",(X1995-V1995)/V1995)</f>
        <v/>
      </c>
      <c r="Z1995" s="7">
        <f>IF(COUNT(D1995:U1995)=0,"",INDEX($D$1:$U$1,MATCH(MIN(D1995:U1995),D1995:U1995,0)))</f>
        <v/>
      </c>
      <c r="AA1995" s="8" t="n">
        <v>375</v>
      </c>
      <c r="AB1995" s="10" t="n">
        <v>1</v>
      </c>
    </row>
    <row r="1996">
      <c r="A1996" s="7" t="inlineStr">
        <is>
          <t>MAT-32-645</t>
        </is>
      </c>
      <c r="B1996" s="4" t="inlineStr">
        <is>
          <t>Unión de bronce 18"</t>
        </is>
      </c>
      <c r="C1996" s="7" t="inlineStr">
        <is>
          <t>unidad</t>
        </is>
      </c>
      <c r="D1996" s="8" t="n"/>
      <c r="E1996" s="8" t="n">
        <v>413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>
        <f>IF(COUNT(D1996:U1996)=0,"",MIN(D1996:U1996))</f>
        <v/>
      </c>
      <c r="W1996" s="8">
        <f>IF(COUNT(D1996:U1996)=0,"",MEDIAN(D1996:U1996))</f>
        <v/>
      </c>
      <c r="X1996" s="8">
        <f>IF(COUNT(D1996:U1996)=0,"",MAX(D1996:U1996))</f>
        <v/>
      </c>
      <c r="Y1996" s="9">
        <f>IF(OR(V1996="",V1996=0),"",(X1996-V1996)/V1996)</f>
        <v/>
      </c>
      <c r="Z1996" s="7">
        <f>IF(COUNT(D1996:U1996)=0,"",INDEX($D$1:$U$1,MATCH(MIN(D1996:U1996),D1996:U1996,0)))</f>
        <v/>
      </c>
      <c r="AA1996" s="8" t="n">
        <v>413</v>
      </c>
      <c r="AB1996" s="10" t="n">
        <v>1</v>
      </c>
    </row>
    <row r="1997">
      <c r="A1997" s="7" t="inlineStr">
        <is>
          <t>MAT-32-646</t>
        </is>
      </c>
      <c r="B1997" s="4" t="inlineStr">
        <is>
          <t>Unión de bronce 25"</t>
        </is>
      </c>
      <c r="C1997" s="7" t="inlineStr">
        <is>
          <t>unidad</t>
        </is>
      </c>
      <c r="D1997" s="8" t="n"/>
      <c r="E1997" s="8" t="n">
        <v>796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>
        <f>IF(COUNT(D1997:U1997)=0,"",MIN(D1997:U1997))</f>
        <v/>
      </c>
      <c r="W1997" s="8">
        <f>IF(COUNT(D1997:U1997)=0,"",MEDIAN(D1997:U1997))</f>
        <v/>
      </c>
      <c r="X1997" s="8">
        <f>IF(COUNT(D1997:U1997)=0,"",MAX(D1997:U1997))</f>
        <v/>
      </c>
      <c r="Y1997" s="9">
        <f>IF(OR(V1997="",V1997=0),"",(X1997-V1997)/V1997)</f>
        <v/>
      </c>
      <c r="Z1997" s="7">
        <f>IF(COUNT(D1997:U1997)=0,"",INDEX($D$1:$U$1,MATCH(MIN(D1997:U1997),D1997:U1997,0)))</f>
        <v/>
      </c>
      <c r="AA1997" s="8" t="n">
        <v>796</v>
      </c>
      <c r="AB1997" s="10" t="n">
        <v>1</v>
      </c>
    </row>
    <row r="1998">
      <c r="A1998" s="7" t="inlineStr">
        <is>
          <t>MAT-32-647</t>
        </is>
      </c>
      <c r="B1998" s="4" t="inlineStr">
        <is>
          <t>Unión de bronce 3/8"</t>
        </is>
      </c>
      <c r="C1998" s="7" t="inlineStr">
        <is>
          <t>unidad</t>
        </is>
      </c>
      <c r="D1998" s="8" t="n"/>
      <c r="E1998" s="8" t="n">
        <v>44</v>
      </c>
      <c r="F1998" s="8" t="n"/>
      <c r="G1998" s="8" t="n">
        <v>147</v>
      </c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>
        <f>IF(COUNT(D1998:U1998)=0,"",MIN(D1998:U1998))</f>
        <v/>
      </c>
      <c r="W1998" s="8">
        <f>IF(COUNT(D1998:U1998)=0,"",MEDIAN(D1998:U1998))</f>
        <v/>
      </c>
      <c r="X1998" s="8">
        <f>IF(COUNT(D1998:U1998)=0,"",MAX(D1998:U1998))</f>
        <v/>
      </c>
      <c r="Y1998" s="9">
        <f>IF(OR(V1998="",V1998=0),"",(X1998-V1998)/V1998)</f>
        <v/>
      </c>
      <c r="Z1998" s="7">
        <f>IF(COUNT(D1998:U1998)=0,"",INDEX($D$1:$U$1,MATCH(MIN(D1998:U1998),D1998:U1998,0)))</f>
        <v/>
      </c>
      <c r="AA1998" s="8" t="n">
        <v>118</v>
      </c>
      <c r="AB1998" s="10" t="n">
        <v>2</v>
      </c>
    </row>
    <row r="1999">
      <c r="A1999" s="7" t="inlineStr">
        <is>
          <t>MAT-32-648</t>
        </is>
      </c>
      <c r="B1999" s="4" t="inlineStr">
        <is>
          <t>Unión de bronce 32 mm</t>
        </is>
      </c>
      <c r="C1999" s="7" t="inlineStr">
        <is>
          <t>unidad</t>
        </is>
      </c>
      <c r="D1999" s="8" t="n"/>
      <c r="E1999" s="8" t="n">
        <v>906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>
        <f>IF(COUNT(D1999:U1999)=0,"",MIN(D1999:U1999))</f>
        <v/>
      </c>
      <c r="W1999" s="8">
        <f>IF(COUNT(D1999:U1999)=0,"",MEDIAN(D1999:U1999))</f>
        <v/>
      </c>
      <c r="X1999" s="8">
        <f>IF(COUNT(D1999:U1999)=0,"",MAX(D1999:U1999))</f>
        <v/>
      </c>
      <c r="Y1999" s="9">
        <f>IF(OR(V1999="",V1999=0),"",(X1999-V1999)/V1999)</f>
        <v/>
      </c>
      <c r="Z1999" s="7">
        <f>IF(COUNT(D1999:U1999)=0,"",INDEX($D$1:$U$1,MATCH(MIN(D1999:U1999),D1999:U1999,0)))</f>
        <v/>
      </c>
      <c r="AA1999" s="8" t="n">
        <v>906</v>
      </c>
      <c r="AB1999" s="10" t="n">
        <v>1</v>
      </c>
    </row>
    <row r="2000">
      <c r="A2000" s="7" t="inlineStr">
        <is>
          <t>MAT-32-649</t>
        </is>
      </c>
      <c r="B2000" s="4" t="inlineStr">
        <is>
          <t>Unión de plástico 1/2"</t>
        </is>
      </c>
      <c r="C2000" s="7" t="inlineStr">
        <is>
          <t>unidad</t>
        </is>
      </c>
      <c r="D2000" s="8" t="n"/>
      <c r="E2000" s="8" t="n">
        <v>111</v>
      </c>
      <c r="F2000" s="8" t="n"/>
      <c r="G2000" s="8" t="n">
        <v>180</v>
      </c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>
        <f>IF(COUNT(D2000:U2000)=0,"",MIN(D2000:U2000))</f>
        <v/>
      </c>
      <c r="W2000" s="8">
        <f>IF(COUNT(D2000:U2000)=0,"",MEDIAN(D2000:U2000))</f>
        <v/>
      </c>
      <c r="X2000" s="8">
        <f>IF(COUNT(D2000:U2000)=0,"",MAX(D2000:U2000))</f>
        <v/>
      </c>
      <c r="Y2000" s="9">
        <f>IF(OR(V2000="",V2000=0),"",(X2000-V2000)/V2000)</f>
        <v/>
      </c>
      <c r="Z2000" s="7">
        <f>IF(COUNT(D2000:U2000)=0,"",INDEX($D$1:$U$1,MATCH(MIN(D2000:U2000),D2000:U2000,0)))</f>
        <v/>
      </c>
      <c r="AA2000" s="8" t="n">
        <v>145.5</v>
      </c>
      <c r="AB2000" s="10" t="n">
        <v>2</v>
      </c>
    </row>
    <row r="2001">
      <c r="A2001" s="7" t="inlineStr">
        <is>
          <t>MAT-32-650</t>
        </is>
      </c>
      <c r="B2001" s="4" t="inlineStr">
        <is>
          <t>Unión de plástico 5/8"</t>
        </is>
      </c>
      <c r="C2001" s="7" t="inlineStr">
        <is>
          <t>unidad</t>
        </is>
      </c>
      <c r="D2001" s="8" t="n"/>
      <c r="E2001" s="8" t="n">
        <v>131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>
        <f>IF(COUNT(D2001:U2001)=0,"",MIN(D2001:U2001))</f>
        <v/>
      </c>
      <c r="W2001" s="8">
        <f>IF(COUNT(D2001:U2001)=0,"",MEDIAN(D2001:U2001))</f>
        <v/>
      </c>
      <c r="X2001" s="8">
        <f>IF(COUNT(D2001:U2001)=0,"",MAX(D2001:U2001))</f>
        <v/>
      </c>
      <c r="Y2001" s="9">
        <f>IF(OR(V2001="",V2001=0),"",(X2001-V2001)/V2001)</f>
        <v/>
      </c>
      <c r="Z2001" s="7">
        <f>IF(COUNT(D2001:U2001)=0,"",INDEX($D$1:$U$1,MATCH(MIN(D2001:U2001),D2001:U2001,0)))</f>
        <v/>
      </c>
      <c r="AA2001" s="8" t="n">
        <v>131</v>
      </c>
      <c r="AB2001" s="10" t="n">
        <v>1</v>
      </c>
    </row>
    <row r="2002">
      <c r="A2002" s="7" t="inlineStr">
        <is>
          <t>MAT-32-651</t>
        </is>
      </c>
      <c r="B2002" s="4" t="inlineStr">
        <is>
          <t>Unión universal de CPVC 1/2"</t>
        </is>
      </c>
      <c r="C2002" s="7" t="inlineStr">
        <is>
          <t>unidad</t>
        </is>
      </c>
      <c r="D2002" s="8" t="n"/>
      <c r="E2002" s="8" t="n">
        <v>31.5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>
        <f>IF(COUNT(D2002:U2002)=0,"",MIN(D2002:U2002))</f>
        <v/>
      </c>
      <c r="W2002" s="8">
        <f>IF(COUNT(D2002:U2002)=0,"",MEDIAN(D2002:U2002))</f>
        <v/>
      </c>
      <c r="X2002" s="8">
        <f>IF(COUNT(D2002:U2002)=0,"",MAX(D2002:U2002))</f>
        <v/>
      </c>
      <c r="Y2002" s="9">
        <f>IF(OR(V2002="",V2002=0),"",(X2002-V2002)/V2002)</f>
        <v/>
      </c>
      <c r="Z2002" s="7">
        <f>IF(COUNT(D2002:U2002)=0,"",INDEX($D$1:$U$1,MATCH(MIN(D2002:U2002),D2002:U2002,0)))</f>
        <v/>
      </c>
      <c r="AA2002" s="8" t="n">
        <v>31.5</v>
      </c>
      <c r="AB2002" s="10" t="n">
        <v>1</v>
      </c>
    </row>
    <row r="2003">
      <c r="A2003" s="7" t="inlineStr">
        <is>
          <t>MAT-32-652</t>
        </is>
      </c>
      <c r="B2003" s="4" t="inlineStr">
        <is>
          <t>Unión universal de CPVC 1"</t>
        </is>
      </c>
      <c r="C2003" s="7" t="inlineStr">
        <is>
          <t>unidad</t>
        </is>
      </c>
      <c r="D2003" s="8" t="n"/>
      <c r="E2003" s="8" t="n">
        <v>150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>
        <f>IF(COUNT(D2003:U2003)=0,"",MIN(D2003:U2003))</f>
        <v/>
      </c>
      <c r="W2003" s="8">
        <f>IF(COUNT(D2003:U2003)=0,"",MEDIAN(D2003:U2003))</f>
        <v/>
      </c>
      <c r="X2003" s="8">
        <f>IF(COUNT(D2003:U2003)=0,"",MAX(D2003:U2003))</f>
        <v/>
      </c>
      <c r="Y2003" s="9">
        <f>IF(OR(V2003="",V2003=0),"",(X2003-V2003)/V2003)</f>
        <v/>
      </c>
      <c r="Z2003" s="7">
        <f>IF(COUNT(D2003:U2003)=0,"",INDEX($D$1:$U$1,MATCH(MIN(D2003:U2003),D2003:U2003,0)))</f>
        <v/>
      </c>
      <c r="AA2003" s="8" t="n">
        <v>150</v>
      </c>
      <c r="AB2003" s="10" t="n">
        <v>1</v>
      </c>
    </row>
    <row r="2004">
      <c r="A2004" s="7" t="inlineStr">
        <is>
          <t>MAT-32-653</t>
        </is>
      </c>
      <c r="B2004" s="4" t="inlineStr">
        <is>
          <t>Unión universal de CPVC 3/4"</t>
        </is>
      </c>
      <c r="C2004" s="7" t="inlineStr">
        <is>
          <t>unidad</t>
        </is>
      </c>
      <c r="D2004" s="8" t="n"/>
      <c r="E2004" s="8" t="n">
        <v>100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>
        <f>IF(COUNT(D2004:U2004)=0,"",MIN(D2004:U2004))</f>
        <v/>
      </c>
      <c r="W2004" s="8">
        <f>IF(COUNT(D2004:U2004)=0,"",MEDIAN(D2004:U2004))</f>
        <v/>
      </c>
      <c r="X2004" s="8">
        <f>IF(COUNT(D2004:U2004)=0,"",MAX(D2004:U2004))</f>
        <v/>
      </c>
      <c r="Y2004" s="9">
        <f>IF(OR(V2004="",V2004=0),"",(X2004-V2004)/V2004)</f>
        <v/>
      </c>
      <c r="Z2004" s="7">
        <f>IF(COUNT(D2004:U2004)=0,"",INDEX($D$1:$U$1,MATCH(MIN(D2004:U2004),D2004:U2004,0)))</f>
        <v/>
      </c>
      <c r="AA2004" s="8" t="n">
        <v>100</v>
      </c>
      <c r="AB2004" s="10" t="n">
        <v>1</v>
      </c>
    </row>
    <row r="2005">
      <c r="A2005" s="7" t="inlineStr">
        <is>
          <t>MAT-32-654</t>
        </is>
      </c>
      <c r="B2005" s="4" t="inlineStr">
        <is>
          <t>Unión universal de HG 1 1/2"</t>
        </is>
      </c>
      <c r="C2005" s="7" t="inlineStr">
        <is>
          <t>unidad</t>
        </is>
      </c>
      <c r="D2005" s="8" t="n"/>
      <c r="E2005" s="8" t="n">
        <v>350</v>
      </c>
      <c r="F2005" s="8" t="n"/>
      <c r="G2005" s="8" t="n">
        <v>525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>
        <f>IF(COUNT(D2005:U2005)=0,"",MIN(D2005:U2005))</f>
        <v/>
      </c>
      <c r="W2005" s="8">
        <f>IF(COUNT(D2005:U2005)=0,"",MEDIAN(D2005:U2005))</f>
        <v/>
      </c>
      <c r="X2005" s="8">
        <f>IF(COUNT(D2005:U2005)=0,"",MAX(D2005:U2005))</f>
        <v/>
      </c>
      <c r="Y2005" s="9">
        <f>IF(OR(V2005="",V2005=0),"",(X2005-V2005)/V2005)</f>
        <v/>
      </c>
      <c r="Z2005" s="7">
        <f>IF(COUNT(D2005:U2005)=0,"",INDEX($D$1:$U$1,MATCH(MIN(D2005:U2005),D2005:U2005,0)))</f>
        <v/>
      </c>
      <c r="AA2005" s="8" t="n">
        <v>437.5</v>
      </c>
      <c r="AB2005" s="10" t="n">
        <v>2</v>
      </c>
    </row>
    <row r="2006">
      <c r="A2006" s="7" t="inlineStr">
        <is>
          <t>MAT-32-655</t>
        </is>
      </c>
      <c r="B2006" s="4" t="inlineStr">
        <is>
          <t>Unión universal de HG 1 1/4"</t>
        </is>
      </c>
      <c r="C2006" s="7" t="inlineStr">
        <is>
          <t>unidad</t>
        </is>
      </c>
      <c r="D2006" s="8" t="n"/>
      <c r="E2006" s="8" t="n">
        <v>249</v>
      </c>
      <c r="F2006" s="8" t="n"/>
      <c r="G2006" s="8" t="n">
        <v>422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>
        <f>IF(COUNT(D2006:U2006)=0,"",MIN(D2006:U2006))</f>
        <v/>
      </c>
      <c r="W2006" s="8">
        <f>IF(COUNT(D2006:U2006)=0,"",MEDIAN(D2006:U2006))</f>
        <v/>
      </c>
      <c r="X2006" s="8">
        <f>IF(COUNT(D2006:U2006)=0,"",MAX(D2006:U2006))</f>
        <v/>
      </c>
      <c r="Y2006" s="9">
        <f>IF(OR(V2006="",V2006=0),"",(X2006-V2006)/V2006)</f>
        <v/>
      </c>
      <c r="Z2006" s="7">
        <f>IF(COUNT(D2006:U2006)=0,"",INDEX($D$1:$U$1,MATCH(MIN(D2006:U2006),D2006:U2006,0)))</f>
        <v/>
      </c>
      <c r="AA2006" s="8" t="n">
        <v>335.5</v>
      </c>
      <c r="AB2006" s="10" t="n">
        <v>2</v>
      </c>
    </row>
    <row r="2007">
      <c r="A2007" s="7" t="inlineStr">
        <is>
          <t>MAT-32-656</t>
        </is>
      </c>
      <c r="B2007" s="4" t="inlineStr">
        <is>
          <t>Unión universal de HG 1/2"</t>
        </is>
      </c>
      <c r="C2007" s="7" t="inlineStr">
        <is>
          <t>unidad</t>
        </is>
      </c>
      <c r="D2007" s="8" t="n"/>
      <c r="E2007" s="8" t="n">
        <v>115</v>
      </c>
      <c r="F2007" s="8" t="n"/>
      <c r="G2007" s="8" t="n">
        <v>170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>
        <f>IF(COUNT(D2007:U2007)=0,"",MIN(D2007:U2007))</f>
        <v/>
      </c>
      <c r="W2007" s="8">
        <f>IF(COUNT(D2007:U2007)=0,"",MEDIAN(D2007:U2007))</f>
        <v/>
      </c>
      <c r="X2007" s="8">
        <f>IF(COUNT(D2007:U2007)=0,"",MAX(D2007:U2007))</f>
        <v/>
      </c>
      <c r="Y2007" s="9">
        <f>IF(OR(V2007="",V2007=0),"",(X2007-V2007)/V2007)</f>
        <v/>
      </c>
      <c r="Z2007" s="7">
        <f>IF(COUNT(D2007:U2007)=0,"",INDEX($D$1:$U$1,MATCH(MIN(D2007:U2007),D2007:U2007,0)))</f>
        <v/>
      </c>
      <c r="AA2007" s="8" t="n">
        <v>142.5</v>
      </c>
      <c r="AB2007" s="10" t="n">
        <v>2</v>
      </c>
    </row>
    <row r="2008">
      <c r="A2008" s="7" t="inlineStr">
        <is>
          <t>MAT-32-657</t>
        </is>
      </c>
      <c r="B2008" s="4" t="inlineStr">
        <is>
          <t>Unión universal de HG 1/4"</t>
        </is>
      </c>
      <c r="C2008" s="7" t="inlineStr">
        <is>
          <t>unidad</t>
        </is>
      </c>
      <c r="D2008" s="8" t="n"/>
      <c r="E2008" s="8" t="n"/>
      <c r="F2008" s="8" t="n"/>
      <c r="G2008" s="8" t="n">
        <v>44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>
        <f>IF(COUNT(D2008:U2008)=0,"",MIN(D2008:U2008))</f>
        <v/>
      </c>
      <c r="W2008" s="8">
        <f>IF(COUNT(D2008:U2008)=0,"",MEDIAN(D2008:U2008))</f>
        <v/>
      </c>
      <c r="X2008" s="8">
        <f>IF(COUNT(D2008:U2008)=0,"",MAX(D2008:U2008))</f>
        <v/>
      </c>
      <c r="Y2008" s="9">
        <f>IF(OR(V2008="",V2008=0),"",(X2008-V2008)/V2008)</f>
        <v/>
      </c>
      <c r="Z2008" s="7">
        <f>IF(COUNT(D2008:U2008)=0,"",INDEX($D$1:$U$1,MATCH(MIN(D2008:U2008),D2008:U2008,0)))</f>
        <v/>
      </c>
      <c r="AA2008" s="8" t="n">
        <v>44</v>
      </c>
      <c r="AB2008" s="10" t="n">
        <v>1</v>
      </c>
    </row>
    <row r="2009">
      <c r="A2009" s="7" t="inlineStr">
        <is>
          <t>MAT-32-658</t>
        </is>
      </c>
      <c r="B2009" s="4" t="inlineStr">
        <is>
          <t>Unión universal de HG 1"</t>
        </is>
      </c>
      <c r="C2009" s="7" t="inlineStr">
        <is>
          <t>unidad</t>
        </is>
      </c>
      <c r="D2009" s="8" t="n"/>
      <c r="E2009" s="8" t="n">
        <v>174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>
        <f>IF(COUNT(D2009:U2009)=0,"",MIN(D2009:U2009))</f>
        <v/>
      </c>
      <c r="W2009" s="8">
        <f>IF(COUNT(D2009:U2009)=0,"",MEDIAN(D2009:U2009))</f>
        <v/>
      </c>
      <c r="X2009" s="8">
        <f>IF(COUNT(D2009:U2009)=0,"",MAX(D2009:U2009))</f>
        <v/>
      </c>
      <c r="Y2009" s="9">
        <f>IF(OR(V2009="",V2009=0),"",(X2009-V2009)/V2009)</f>
        <v/>
      </c>
      <c r="Z2009" s="7">
        <f>IF(COUNT(D2009:U2009)=0,"",INDEX($D$1:$U$1,MATCH(MIN(D2009:U2009),D2009:U2009,0)))</f>
        <v/>
      </c>
      <c r="AA2009" s="8" t="n">
        <v>174</v>
      </c>
      <c r="AB2009" s="10" t="n">
        <v>1</v>
      </c>
    </row>
    <row r="2010">
      <c r="A2010" s="7" t="inlineStr">
        <is>
          <t>MAT-32-659</t>
        </is>
      </c>
      <c r="B2010" s="4" t="inlineStr">
        <is>
          <t>Unión universal de HG 2"</t>
        </is>
      </c>
      <c r="C2010" s="7" t="inlineStr">
        <is>
          <t>unidad</t>
        </is>
      </c>
      <c r="D2010" s="8" t="n"/>
      <c r="E2010" s="8" t="n">
        <v>450</v>
      </c>
      <c r="F2010" s="8" t="n"/>
      <c r="G2010" s="8" t="n">
        <v>827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>
        <f>IF(COUNT(D2010:U2010)=0,"",MIN(D2010:U2010))</f>
        <v/>
      </c>
      <c r="W2010" s="8">
        <f>IF(COUNT(D2010:U2010)=0,"",MEDIAN(D2010:U2010))</f>
        <v/>
      </c>
      <c r="X2010" s="8">
        <f>IF(COUNT(D2010:U2010)=0,"",MAX(D2010:U2010))</f>
        <v/>
      </c>
      <c r="Y2010" s="9">
        <f>IF(OR(V2010="",V2010=0),"",(X2010-V2010)/V2010)</f>
        <v/>
      </c>
      <c r="Z2010" s="7">
        <f>IF(COUNT(D2010:U2010)=0,"",INDEX($D$1:$U$1,MATCH(MIN(D2010:U2010),D2010:U2010,0)))</f>
        <v/>
      </c>
      <c r="AA2010" s="8" t="n">
        <v>638.5</v>
      </c>
      <c r="AB2010" s="10" t="n">
        <v>2</v>
      </c>
    </row>
    <row r="2011">
      <c r="A2011" s="7" t="inlineStr">
        <is>
          <t>MAT-32-660</t>
        </is>
      </c>
      <c r="B2011" s="4" t="inlineStr">
        <is>
          <t>Unión universal de HG 3/4"</t>
        </is>
      </c>
      <c r="C2011" s="7" t="inlineStr">
        <is>
          <t>unidad</t>
        </is>
      </c>
      <c r="D2011" s="8" t="n"/>
      <c r="E2011" s="8" t="n">
        <v>180</v>
      </c>
      <c r="F2011" s="8" t="n"/>
      <c r="G2011" s="8" t="n">
        <v>162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>
        <f>IF(COUNT(D2011:U2011)=0,"",MIN(D2011:U2011))</f>
        <v/>
      </c>
      <c r="W2011" s="8">
        <f>IF(COUNT(D2011:U2011)=0,"",MEDIAN(D2011:U2011))</f>
        <v/>
      </c>
      <c r="X2011" s="8">
        <f>IF(COUNT(D2011:U2011)=0,"",MAX(D2011:U2011))</f>
        <v/>
      </c>
      <c r="Y2011" s="9">
        <f>IF(OR(V2011="",V2011=0),"",(X2011-V2011)/V2011)</f>
        <v/>
      </c>
      <c r="Z2011" s="7">
        <f>IF(COUNT(D2011:U2011)=0,"",INDEX($D$1:$U$1,MATCH(MIN(D2011:U2011),D2011:U2011,0)))</f>
        <v/>
      </c>
      <c r="AA2011" s="8" t="n">
        <v>171</v>
      </c>
      <c r="AB2011" s="10" t="n">
        <v>2</v>
      </c>
    </row>
    <row r="2012">
      <c r="A2012" s="7" t="inlineStr">
        <is>
          <t>MAT-32-661</t>
        </is>
      </c>
      <c r="B2012" s="4" t="inlineStr">
        <is>
          <t>Unión universal de HG 3/8"</t>
        </is>
      </c>
      <c r="C2012" s="7" t="inlineStr">
        <is>
          <t>unidad</t>
        </is>
      </c>
      <c r="D2012" s="8" t="n"/>
      <c r="E2012" s="8" t="n"/>
      <c r="F2012" s="8" t="n"/>
      <c r="G2012" s="8" t="n">
        <v>12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>
        <f>IF(COUNT(D2012:U2012)=0,"",MIN(D2012:U2012))</f>
        <v/>
      </c>
      <c r="W2012" s="8">
        <f>IF(COUNT(D2012:U2012)=0,"",MEDIAN(D2012:U2012))</f>
        <v/>
      </c>
      <c r="X2012" s="8">
        <f>IF(COUNT(D2012:U2012)=0,"",MAX(D2012:U2012))</f>
        <v/>
      </c>
      <c r="Y2012" s="9">
        <f>IF(OR(V2012="",V2012=0),"",(X2012-V2012)/V2012)</f>
        <v/>
      </c>
      <c r="Z2012" s="7">
        <f>IF(COUNT(D2012:U2012)=0,"",INDEX($D$1:$U$1,MATCH(MIN(D2012:U2012),D2012:U2012,0)))</f>
        <v/>
      </c>
      <c r="AA2012" s="8" t="n">
        <v>12</v>
      </c>
      <c r="AB2012" s="10" t="n">
        <v>1</v>
      </c>
    </row>
    <row r="2013">
      <c r="A2013" s="7" t="inlineStr">
        <is>
          <t>MAT-32-662</t>
        </is>
      </c>
      <c r="B2013" s="4" t="inlineStr">
        <is>
          <t>Unión universal de HG 3"</t>
        </is>
      </c>
      <c r="C2013" s="7" t="inlineStr">
        <is>
          <t>unidad</t>
        </is>
      </c>
      <c r="D2013" s="8" t="n"/>
      <c r="E2013" s="8" t="n">
        <v>1376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>
        <f>IF(COUNT(D2013:U2013)=0,"",MIN(D2013:U2013))</f>
        <v/>
      </c>
      <c r="W2013" s="8">
        <f>IF(COUNT(D2013:U2013)=0,"",MEDIAN(D2013:U2013))</f>
        <v/>
      </c>
      <c r="X2013" s="8">
        <f>IF(COUNT(D2013:U2013)=0,"",MAX(D2013:U2013))</f>
        <v/>
      </c>
      <c r="Y2013" s="9">
        <f>IF(OR(V2013="",V2013=0),"",(X2013-V2013)/V2013)</f>
        <v/>
      </c>
      <c r="Z2013" s="7">
        <f>IF(COUNT(D2013:U2013)=0,"",INDEX($D$1:$U$1,MATCH(MIN(D2013:U2013),D2013:U2013,0)))</f>
        <v/>
      </c>
      <c r="AA2013" s="8" t="n">
        <v>1376</v>
      </c>
      <c r="AB2013" s="10" t="n">
        <v>1</v>
      </c>
    </row>
    <row r="2014">
      <c r="A2014" s="7" t="inlineStr">
        <is>
          <t>MAT-32-663</t>
        </is>
      </c>
      <c r="B2014" s="4" t="inlineStr">
        <is>
          <t>Unión universal de HG 4"</t>
        </is>
      </c>
      <c r="C2014" s="7" t="inlineStr">
        <is>
          <t>unidad</t>
        </is>
      </c>
      <c r="D2014" s="8" t="n"/>
      <c r="E2014" s="8" t="n">
        <v>1835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>
        <f>IF(COUNT(D2014:U2014)=0,"",MIN(D2014:U2014))</f>
        <v/>
      </c>
      <c r="W2014" s="8">
        <f>IF(COUNT(D2014:U2014)=0,"",MEDIAN(D2014:U2014))</f>
        <v/>
      </c>
      <c r="X2014" s="8">
        <f>IF(COUNT(D2014:U2014)=0,"",MAX(D2014:U2014))</f>
        <v/>
      </c>
      <c r="Y2014" s="9">
        <f>IF(OR(V2014="",V2014=0),"",(X2014-V2014)/V2014)</f>
        <v/>
      </c>
      <c r="Z2014" s="7">
        <f>IF(COUNT(D2014:U2014)=0,"",INDEX($D$1:$U$1,MATCH(MIN(D2014:U2014),D2014:U2014,0)))</f>
        <v/>
      </c>
      <c r="AA2014" s="8" t="n">
        <v>1835</v>
      </c>
      <c r="AB2014" s="10" t="n">
        <v>1</v>
      </c>
    </row>
    <row r="2015">
      <c r="A2015" s="7" t="inlineStr">
        <is>
          <t>MAT-32-664</t>
        </is>
      </c>
      <c r="B2015" s="4" t="inlineStr">
        <is>
          <t>Unión universal de PPR 20 mm</t>
        </is>
      </c>
      <c r="C2015" s="7" t="inlineStr">
        <is>
          <t>unidad</t>
        </is>
      </c>
      <c r="D2015" s="8" t="n"/>
      <c r="E2015" s="8" t="n">
        <v>25.14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>
        <f>IF(COUNT(D2015:U2015)=0,"",MIN(D2015:U2015))</f>
        <v/>
      </c>
      <c r="W2015" s="8">
        <f>IF(COUNT(D2015:U2015)=0,"",MEDIAN(D2015:U2015))</f>
        <v/>
      </c>
      <c r="X2015" s="8">
        <f>IF(COUNT(D2015:U2015)=0,"",MAX(D2015:U2015))</f>
        <v/>
      </c>
      <c r="Y2015" s="9">
        <f>IF(OR(V2015="",V2015=0),"",(X2015-V2015)/V2015)</f>
        <v/>
      </c>
      <c r="Z2015" s="7">
        <f>IF(COUNT(D2015:U2015)=0,"",INDEX($D$1:$U$1,MATCH(MIN(D2015:U2015),D2015:U2015,0)))</f>
        <v/>
      </c>
      <c r="AA2015" s="8" t="n">
        <v>25.14</v>
      </c>
      <c r="AB2015" s="10" t="n">
        <v>1</v>
      </c>
    </row>
    <row r="2016">
      <c r="A2016" s="7" t="inlineStr">
        <is>
          <t>MAT-32-665</t>
        </is>
      </c>
      <c r="B2016" s="4" t="inlineStr">
        <is>
          <t>Unión universal de PPR 25 mm</t>
        </is>
      </c>
      <c r="C2016" s="7" t="inlineStr">
        <is>
          <t>unidad</t>
        </is>
      </c>
      <c r="D2016" s="8" t="n"/>
      <c r="E2016" s="8" t="n">
        <v>33.14</v>
      </c>
      <c r="F2016" s="8" t="n"/>
      <c r="G2016" s="8" t="n">
        <v>166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>
        <f>IF(COUNT(D2016:U2016)=0,"",MIN(D2016:U2016))</f>
        <v/>
      </c>
      <c r="W2016" s="8">
        <f>IF(COUNT(D2016:U2016)=0,"",MEDIAN(D2016:U2016))</f>
        <v/>
      </c>
      <c r="X2016" s="8">
        <f>IF(COUNT(D2016:U2016)=0,"",MAX(D2016:U2016))</f>
        <v/>
      </c>
      <c r="Y2016" s="9">
        <f>IF(OR(V2016="",V2016=0),"",(X2016-V2016)/V2016)</f>
        <v/>
      </c>
      <c r="Z2016" s="7">
        <f>IF(COUNT(D2016:U2016)=0,"",INDEX($D$1:$U$1,MATCH(MIN(D2016:U2016),D2016:U2016,0)))</f>
        <v/>
      </c>
      <c r="AA2016" s="8" t="n">
        <v>99.56999999999999</v>
      </c>
      <c r="AB2016" s="10" t="n">
        <v>2</v>
      </c>
    </row>
    <row r="2017">
      <c r="A2017" s="7" t="inlineStr">
        <is>
          <t>MAT-32-666</t>
        </is>
      </c>
      <c r="B2017" s="4" t="inlineStr">
        <is>
          <t>Unión universal de PPR 32 mm</t>
        </is>
      </c>
      <c r="C2017" s="7" t="inlineStr">
        <is>
          <t>unidad</t>
        </is>
      </c>
      <c r="D2017" s="8" t="n"/>
      <c r="E2017" s="8" t="n">
        <v>50.46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>
        <f>IF(COUNT(D2017:U2017)=0,"",MIN(D2017:U2017))</f>
        <v/>
      </c>
      <c r="W2017" s="8">
        <f>IF(COUNT(D2017:U2017)=0,"",MEDIAN(D2017:U2017))</f>
        <v/>
      </c>
      <c r="X2017" s="8">
        <f>IF(COUNT(D2017:U2017)=0,"",MAX(D2017:U2017))</f>
        <v/>
      </c>
      <c r="Y2017" s="9">
        <f>IF(OR(V2017="",V2017=0),"",(X2017-V2017)/V2017)</f>
        <v/>
      </c>
      <c r="Z2017" s="7">
        <f>IF(COUNT(D2017:U2017)=0,"",INDEX($D$1:$U$1,MATCH(MIN(D2017:U2017),D2017:U2017,0)))</f>
        <v/>
      </c>
      <c r="AA2017" s="8" t="n">
        <v>50.46</v>
      </c>
      <c r="AB2017" s="10" t="n">
        <v>1</v>
      </c>
    </row>
    <row r="2018">
      <c r="A2018" s="7" t="inlineStr">
        <is>
          <t>MAT-32-667</t>
        </is>
      </c>
      <c r="B2018" s="4" t="inlineStr">
        <is>
          <t>Unión universal de PPR 50 mm</t>
        </is>
      </c>
      <c r="C2018" s="7" t="inlineStr">
        <is>
          <t>unidad</t>
        </is>
      </c>
      <c r="D2018" s="8" t="n"/>
      <c r="E2018" s="8" t="n">
        <v>120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>
        <f>IF(COUNT(D2018:U2018)=0,"",MIN(D2018:U2018))</f>
        <v/>
      </c>
      <c r="W2018" s="8">
        <f>IF(COUNT(D2018:U2018)=0,"",MEDIAN(D2018:U2018))</f>
        <v/>
      </c>
      <c r="X2018" s="8">
        <f>IF(COUNT(D2018:U2018)=0,"",MAX(D2018:U2018))</f>
        <v/>
      </c>
      <c r="Y2018" s="9">
        <f>IF(OR(V2018="",V2018=0),"",(X2018-V2018)/V2018)</f>
        <v/>
      </c>
      <c r="Z2018" s="7">
        <f>IF(COUNT(D2018:U2018)=0,"",INDEX($D$1:$U$1,MATCH(MIN(D2018:U2018),D2018:U2018,0)))</f>
        <v/>
      </c>
      <c r="AA2018" s="8" t="n">
        <v>120</v>
      </c>
      <c r="AB2018" s="10" t="n">
        <v>1</v>
      </c>
    </row>
    <row r="2019">
      <c r="A2019" s="7" t="inlineStr">
        <is>
          <t>MAT-32-668</t>
        </is>
      </c>
      <c r="B2019" s="4" t="inlineStr">
        <is>
          <t>Unión universal de PVC 1 1/2"</t>
        </is>
      </c>
      <c r="C2019" s="7" t="inlineStr">
        <is>
          <t>unidad</t>
        </is>
      </c>
      <c r="D2019" s="8" t="n"/>
      <c r="E2019" s="8" t="n">
        <v>74.06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>
        <v>103</v>
      </c>
      <c r="P2019" s="8" t="n"/>
      <c r="Q2019" s="8" t="n"/>
      <c r="R2019" s="8" t="n"/>
      <c r="S2019" s="8" t="n"/>
      <c r="T2019" s="8" t="n"/>
      <c r="U2019" s="8" t="n"/>
      <c r="V2019" s="8">
        <f>IF(COUNT(D2019:U2019)=0,"",MIN(D2019:U2019))</f>
        <v/>
      </c>
      <c r="W2019" s="8">
        <f>IF(COUNT(D2019:U2019)=0,"",MEDIAN(D2019:U2019))</f>
        <v/>
      </c>
      <c r="X2019" s="8">
        <f>IF(COUNT(D2019:U2019)=0,"",MAX(D2019:U2019))</f>
        <v/>
      </c>
      <c r="Y2019" s="9">
        <f>IF(OR(V2019="",V2019=0),"",(X2019-V2019)/V2019)</f>
        <v/>
      </c>
      <c r="Z2019" s="7">
        <f>IF(COUNT(D2019:U2019)=0,"",INDEX($D$1:$U$1,MATCH(MIN(D2019:U2019),D2019:U2019,0)))</f>
        <v/>
      </c>
      <c r="AA2019" s="8" t="n">
        <v>104.52</v>
      </c>
      <c r="AB2019" s="10" t="n">
        <v>2</v>
      </c>
    </row>
    <row r="2020">
      <c r="A2020" s="7" t="inlineStr">
        <is>
          <t>MAT-32-669</t>
        </is>
      </c>
      <c r="B2020" s="4" t="inlineStr">
        <is>
          <t>Unión universal de PVC 1/2"</t>
        </is>
      </c>
      <c r="C2020" s="7" t="inlineStr">
        <is>
          <t>unidad</t>
        </is>
      </c>
      <c r="D2020" s="8" t="n"/>
      <c r="E2020" s="8" t="n">
        <v>17.7</v>
      </c>
      <c r="F2020" s="8" t="n"/>
      <c r="G2020" s="8" t="n">
        <v>75</v>
      </c>
      <c r="H2020" s="8" t="n"/>
      <c r="I2020" s="8" t="n"/>
      <c r="J2020" s="8" t="n"/>
      <c r="K2020" s="8" t="n"/>
      <c r="L2020" s="8" t="n"/>
      <c r="M2020" s="8" t="n"/>
      <c r="N2020" s="8" t="n"/>
      <c r="O2020" s="8" t="n">
        <v>22.87</v>
      </c>
      <c r="P2020" s="8" t="n"/>
      <c r="Q2020" s="8" t="n"/>
      <c r="R2020" s="8" t="n"/>
      <c r="S2020" s="8" t="n"/>
      <c r="T2020" s="8" t="n"/>
      <c r="U2020" s="8" t="n"/>
      <c r="V2020" s="8">
        <f>IF(COUNT(D2020:U2020)=0,"",MIN(D2020:U2020))</f>
        <v/>
      </c>
      <c r="W2020" s="8">
        <f>IF(COUNT(D2020:U2020)=0,"",MEDIAN(D2020:U2020))</f>
        <v/>
      </c>
      <c r="X2020" s="8">
        <f>IF(COUNT(D2020:U2020)=0,"",MAX(D2020:U2020))</f>
        <v/>
      </c>
      <c r="Y2020" s="9">
        <f>IF(OR(V2020="",V2020=0),"",(X2020-V2020)/V2020)</f>
        <v/>
      </c>
      <c r="Z2020" s="7">
        <f>IF(COUNT(D2020:U2020)=0,"",INDEX($D$1:$U$1,MATCH(MIN(D2020:U2020),D2020:U2020,0)))</f>
        <v/>
      </c>
      <c r="AA2020" s="8" t="n">
        <v>30.27</v>
      </c>
      <c r="AB2020" s="10" t="n">
        <v>3</v>
      </c>
    </row>
    <row r="2021">
      <c r="A2021" s="7" t="inlineStr">
        <is>
          <t>MAT-32-670</t>
        </is>
      </c>
      <c r="B2021" s="4" t="inlineStr">
        <is>
          <t>Unión universal de PVC 1"</t>
        </is>
      </c>
      <c r="C2021" s="7" t="inlineStr">
        <is>
          <t>unidad</t>
        </is>
      </c>
      <c r="D2021" s="8" t="n"/>
      <c r="E2021" s="8" t="n">
        <v>37</v>
      </c>
      <c r="F2021" s="8" t="n"/>
      <c r="G2021" s="8" t="n">
        <v>135</v>
      </c>
      <c r="H2021" s="8" t="n"/>
      <c r="I2021" s="8" t="n"/>
      <c r="J2021" s="8" t="n"/>
      <c r="K2021" s="8" t="n"/>
      <c r="L2021" s="8" t="n"/>
      <c r="M2021" s="8" t="n"/>
      <c r="N2021" s="8" t="n"/>
      <c r="O2021" s="8" t="n">
        <v>41.92</v>
      </c>
      <c r="P2021" s="8" t="n"/>
      <c r="Q2021" s="8" t="n"/>
      <c r="R2021" s="8" t="n"/>
      <c r="S2021" s="8" t="n"/>
      <c r="T2021" s="8" t="n"/>
      <c r="U2021" s="8" t="n"/>
      <c r="V2021" s="8">
        <f>IF(COUNT(D2021:U2021)=0,"",MIN(D2021:U2021))</f>
        <v/>
      </c>
      <c r="W2021" s="8">
        <f>IF(COUNT(D2021:U2021)=0,"",MEDIAN(D2021:U2021))</f>
        <v/>
      </c>
      <c r="X2021" s="8">
        <f>IF(COUNT(D2021:U2021)=0,"",MAX(D2021:U2021))</f>
        <v/>
      </c>
      <c r="Y2021" s="9">
        <f>IF(OR(V2021="",V2021=0),"",(X2021-V2021)/V2021)</f>
        <v/>
      </c>
      <c r="Z2021" s="7">
        <f>IF(COUNT(D2021:U2021)=0,"",INDEX($D$1:$U$1,MATCH(MIN(D2021:U2021),D2021:U2021,0)))</f>
        <v/>
      </c>
      <c r="AA2021" s="8" t="n">
        <v>49.47</v>
      </c>
      <c r="AB2021" s="10" t="n">
        <v>3</v>
      </c>
    </row>
    <row r="2022">
      <c r="A2022" s="7" t="inlineStr">
        <is>
          <t>MAT-32-671</t>
        </is>
      </c>
      <c r="B2022" s="4" t="inlineStr">
        <is>
          <t>Unión universal de PVC 2"</t>
        </is>
      </c>
      <c r="C2022" s="7" t="inlineStr">
        <is>
          <t>unidad</t>
        </is>
      </c>
      <c r="D2022" s="8" t="n"/>
      <c r="E2022" s="8" t="n">
        <v>125.07</v>
      </c>
      <c r="F2022" s="8" t="n"/>
      <c r="G2022" s="8" t="n">
        <v>232</v>
      </c>
      <c r="H2022" s="8" t="n"/>
      <c r="I2022" s="8" t="n"/>
      <c r="J2022" s="8" t="n"/>
      <c r="K2022" s="8" t="n"/>
      <c r="L2022" s="8" t="n"/>
      <c r="M2022" s="8" t="n"/>
      <c r="N2022" s="8" t="n"/>
      <c r="O2022" s="8" t="n">
        <v>137</v>
      </c>
      <c r="P2022" s="8" t="n"/>
      <c r="Q2022" s="8" t="n"/>
      <c r="R2022" s="8" t="n"/>
      <c r="S2022" s="8" t="n"/>
      <c r="T2022" s="8" t="n"/>
      <c r="U2022" s="8" t="n"/>
      <c r="V2022" s="8">
        <f>IF(COUNT(D2022:U2022)=0,"",MIN(D2022:U2022))</f>
        <v/>
      </c>
      <c r="W2022" s="8">
        <f>IF(COUNT(D2022:U2022)=0,"",MEDIAN(D2022:U2022))</f>
        <v/>
      </c>
      <c r="X2022" s="8">
        <f>IF(COUNT(D2022:U2022)=0,"",MAX(D2022:U2022))</f>
        <v/>
      </c>
      <c r="Y2022" s="9">
        <f>IF(OR(V2022="",V2022=0),"",(X2022-V2022)/V2022)</f>
        <v/>
      </c>
      <c r="Z2022" s="7">
        <f>IF(COUNT(D2022:U2022)=0,"",INDEX($D$1:$U$1,MATCH(MIN(D2022:U2022),D2022:U2022,0)))</f>
        <v/>
      </c>
      <c r="AA2022" s="8" t="n">
        <v>161.66</v>
      </c>
      <c r="AB2022" s="10" t="n">
        <v>3</v>
      </c>
    </row>
    <row r="2023">
      <c r="A2023" s="7" t="inlineStr">
        <is>
          <t>MAT-32-672</t>
        </is>
      </c>
      <c r="B2023" s="4" t="inlineStr">
        <is>
          <t>Unión universal de PVC 3/4"</t>
        </is>
      </c>
      <c r="C2023" s="7" t="inlineStr">
        <is>
          <t>unidad</t>
        </is>
      </c>
      <c r="D2023" s="8" t="n"/>
      <c r="E2023" s="8" t="n">
        <v>23.2</v>
      </c>
      <c r="F2023" s="8" t="n"/>
      <c r="G2023" s="8" t="n">
        <v>95</v>
      </c>
      <c r="H2023" s="8" t="n"/>
      <c r="I2023" s="8" t="n"/>
      <c r="J2023" s="8" t="n"/>
      <c r="K2023" s="8" t="n"/>
      <c r="L2023" s="8" t="n"/>
      <c r="M2023" s="8" t="n"/>
      <c r="N2023" s="8" t="n"/>
      <c r="O2023" s="8" t="n">
        <v>28.17</v>
      </c>
      <c r="P2023" s="8" t="n"/>
      <c r="Q2023" s="8" t="n"/>
      <c r="R2023" s="8" t="n"/>
      <c r="S2023" s="8" t="n"/>
      <c r="T2023" s="8" t="n"/>
      <c r="U2023" s="8" t="n"/>
      <c r="V2023" s="8">
        <f>IF(COUNT(D2023:U2023)=0,"",MIN(D2023:U2023))</f>
        <v/>
      </c>
      <c r="W2023" s="8">
        <f>IF(COUNT(D2023:U2023)=0,"",MEDIAN(D2023:U2023))</f>
        <v/>
      </c>
      <c r="X2023" s="8">
        <f>IF(COUNT(D2023:U2023)=0,"",MAX(D2023:U2023))</f>
        <v/>
      </c>
      <c r="Y2023" s="9">
        <f>IF(OR(V2023="",V2023=0),"",(X2023-V2023)/V2023)</f>
        <v/>
      </c>
      <c r="Z2023" s="7">
        <f>IF(COUNT(D2023:U2023)=0,"",INDEX($D$1:$U$1,MATCH(MIN(D2023:U2023),D2023:U2023,0)))</f>
        <v/>
      </c>
      <c r="AA2023" s="8" t="n">
        <v>33.24</v>
      </c>
      <c r="AB2023" s="10" t="n">
        <v>3</v>
      </c>
    </row>
    <row r="2024">
      <c r="A2024" s="7" t="inlineStr">
        <is>
          <t>MAT-32-673</t>
        </is>
      </c>
      <c r="B2024" s="4" t="inlineStr">
        <is>
          <t>Unión universal de PVC 3"</t>
        </is>
      </c>
      <c r="C2024" s="7" t="inlineStr">
        <is>
          <t>unidad</t>
        </is>
      </c>
      <c r="D2024" s="8" t="n"/>
      <c r="E2024" s="8" t="n">
        <v>645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>
        <v>450</v>
      </c>
      <c r="P2024" s="8" t="n"/>
      <c r="Q2024" s="8" t="n"/>
      <c r="R2024" s="8" t="n"/>
      <c r="S2024" s="8" t="n"/>
      <c r="T2024" s="8" t="n"/>
      <c r="U2024" s="8" t="n"/>
      <c r="V2024" s="8">
        <f>IF(COUNT(D2024:U2024)=0,"",MIN(D2024:U2024))</f>
        <v/>
      </c>
      <c r="W2024" s="8">
        <f>IF(COUNT(D2024:U2024)=0,"",MEDIAN(D2024:U2024))</f>
        <v/>
      </c>
      <c r="X2024" s="8">
        <f>IF(COUNT(D2024:U2024)=0,"",MAX(D2024:U2024))</f>
        <v/>
      </c>
      <c r="Y2024" s="9">
        <f>IF(OR(V2024="",V2024=0),"",(X2024-V2024)/V2024)</f>
        <v/>
      </c>
      <c r="Z2024" s="7">
        <f>IF(COUNT(D2024:U2024)=0,"",INDEX($D$1:$U$1,MATCH(MIN(D2024:U2024),D2024:U2024,0)))</f>
        <v/>
      </c>
      <c r="AA2024" s="8" t="n">
        <v>588</v>
      </c>
      <c r="AB2024" s="10" t="n">
        <v>2</v>
      </c>
    </row>
    <row r="2025">
      <c r="A2025" s="7" t="inlineStr">
        <is>
          <t>MAT-32-674</t>
        </is>
      </c>
      <c r="B2025" s="4" t="inlineStr">
        <is>
          <t>Unión universal de PVC 4"</t>
        </is>
      </c>
      <c r="C2025" s="7" t="inlineStr">
        <is>
          <t>unidad</t>
        </is>
      </c>
      <c r="D2025" s="8" t="n"/>
      <c r="E2025" s="8" t="n">
        <v>895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>
        <f>IF(COUNT(D2025:U2025)=0,"",MIN(D2025:U2025))</f>
        <v/>
      </c>
      <c r="W2025" s="8">
        <f>IF(COUNT(D2025:U2025)=0,"",MEDIAN(D2025:U2025))</f>
        <v/>
      </c>
      <c r="X2025" s="8">
        <f>IF(COUNT(D2025:U2025)=0,"",MAX(D2025:U2025))</f>
        <v/>
      </c>
      <c r="Y2025" s="9">
        <f>IF(OR(V2025="",V2025=0),"",(X2025-V2025)/V2025)</f>
        <v/>
      </c>
      <c r="Z2025" s="7">
        <f>IF(COUNT(D2025:U2025)=0,"",INDEX($D$1:$U$1,MATCH(MIN(D2025:U2025),D2025:U2025,0)))</f>
        <v/>
      </c>
      <c r="AA2025" s="8" t="n">
        <v>1256</v>
      </c>
      <c r="AB2025" s="10" t="n">
        <v>1</v>
      </c>
    </row>
    <row r="2026">
      <c r="A2026" s="7" t="inlineStr">
        <is>
          <t>MAT-32-675</t>
        </is>
      </c>
      <c r="B2026" s="4" t="inlineStr">
        <is>
          <t>Unión universal de PVC SCH-80 1"</t>
        </is>
      </c>
      <c r="C2026" s="7" t="inlineStr">
        <is>
          <t>unidad</t>
        </is>
      </c>
      <c r="D2026" s="8" t="n"/>
      <c r="E2026" s="8" t="n"/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>
        <v>83.29000000000001</v>
      </c>
      <c r="P2026" s="8" t="n"/>
      <c r="Q2026" s="8" t="n"/>
      <c r="R2026" s="8" t="n"/>
      <c r="S2026" s="8" t="n"/>
      <c r="T2026" s="8" t="n"/>
      <c r="U2026" s="8" t="n"/>
      <c r="V2026" s="8">
        <f>IF(COUNT(D2026:U2026)=0,"",MIN(D2026:U2026))</f>
        <v/>
      </c>
      <c r="W2026" s="8">
        <f>IF(COUNT(D2026:U2026)=0,"",MEDIAN(D2026:U2026))</f>
        <v/>
      </c>
      <c r="X2026" s="8">
        <f>IF(COUNT(D2026:U2026)=0,"",MAX(D2026:U2026))</f>
        <v/>
      </c>
      <c r="Y2026" s="9">
        <f>IF(OR(V2026="",V2026=0),"",(X2026-V2026)/V2026)</f>
        <v/>
      </c>
      <c r="Z2026" s="7">
        <f>IF(COUNT(D2026:U2026)=0,"",INDEX($D$1:$U$1,MATCH(MIN(D2026:U2026),D2026:U2026,0)))</f>
        <v/>
      </c>
      <c r="AA2026" s="8" t="n">
        <v>98.28</v>
      </c>
      <c r="AB2026" s="10" t="n">
        <v>1</v>
      </c>
    </row>
    <row r="2027">
      <c r="A2027" s="7" t="inlineStr">
        <is>
          <t>MAT-32-676</t>
        </is>
      </c>
      <c r="B2027" s="4" t="inlineStr">
        <is>
          <t>Yee de PVC drenaje 1 1/2"</t>
        </is>
      </c>
      <c r="C2027" s="7" t="inlineStr">
        <is>
          <t>unidad</t>
        </is>
      </c>
      <c r="D2027" s="8" t="n"/>
      <c r="E2027" s="8" t="n">
        <v>39.9</v>
      </c>
      <c r="F2027" s="8" t="n"/>
      <c r="G2027" s="8" t="n">
        <v>47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>
        <f>IF(COUNT(D2027:U2027)=0,"",MIN(D2027:U2027))</f>
        <v/>
      </c>
      <c r="W2027" s="8">
        <f>IF(COUNT(D2027:U2027)=0,"",MEDIAN(D2027:U2027))</f>
        <v/>
      </c>
      <c r="X2027" s="8">
        <f>IF(COUNT(D2027:U2027)=0,"",MAX(D2027:U2027))</f>
        <v/>
      </c>
      <c r="Y2027" s="9">
        <f>IF(OR(V2027="",V2027=0),"",(X2027-V2027)/V2027)</f>
        <v/>
      </c>
      <c r="Z2027" s="7">
        <f>IF(COUNT(D2027:U2027)=0,"",INDEX($D$1:$U$1,MATCH(MIN(D2027:U2027),D2027:U2027,0)))</f>
        <v/>
      </c>
      <c r="AA2027" s="8" t="n">
        <v>43.45</v>
      </c>
      <c r="AB2027" s="10" t="n">
        <v>2</v>
      </c>
    </row>
    <row r="2028">
      <c r="A2028" s="7" t="inlineStr">
        <is>
          <t>MAT-32-677</t>
        </is>
      </c>
      <c r="B2028" s="4" t="inlineStr">
        <is>
          <t>Yee de PVC drenaje 2"</t>
        </is>
      </c>
      <c r="C2028" s="7" t="inlineStr">
        <is>
          <t>unidad</t>
        </is>
      </c>
      <c r="D2028" s="8" t="n"/>
      <c r="E2028" s="8" t="n">
        <v>39.22</v>
      </c>
      <c r="F2028" s="8" t="n"/>
      <c r="G2028" s="8" t="n">
        <v>145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>
        <f>IF(COUNT(D2028:U2028)=0,"",MIN(D2028:U2028))</f>
        <v/>
      </c>
      <c r="W2028" s="8">
        <f>IF(COUNT(D2028:U2028)=0,"",MEDIAN(D2028:U2028))</f>
        <v/>
      </c>
      <c r="X2028" s="8">
        <f>IF(COUNT(D2028:U2028)=0,"",MAX(D2028:U2028))</f>
        <v/>
      </c>
      <c r="Y2028" s="9">
        <f>IF(OR(V2028="",V2028=0),"",(X2028-V2028)/V2028)</f>
        <v/>
      </c>
      <c r="Z2028" s="7">
        <f>IF(COUNT(D2028:U2028)=0,"",INDEX($D$1:$U$1,MATCH(MIN(D2028:U2028),D2028:U2028,0)))</f>
        <v/>
      </c>
      <c r="AA2028" s="8" t="n">
        <v>46.1</v>
      </c>
      <c r="AB2028" s="10" t="n">
        <v>2</v>
      </c>
    </row>
    <row r="2029">
      <c r="A2029" s="7" t="inlineStr">
        <is>
          <t>MAT-32-678</t>
        </is>
      </c>
      <c r="B2029" s="4" t="inlineStr">
        <is>
          <t>Yee de PVC drenaje 3"</t>
        </is>
      </c>
      <c r="C2029" s="7" t="inlineStr">
        <is>
          <t>unidad</t>
        </is>
      </c>
      <c r="D2029" s="8" t="n"/>
      <c r="E2029" s="8" t="n">
        <v>76.79000000000001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>
        <f>IF(COUNT(D2029:U2029)=0,"",MIN(D2029:U2029))</f>
        <v/>
      </c>
      <c r="W2029" s="8">
        <f>IF(COUNT(D2029:U2029)=0,"",MEDIAN(D2029:U2029))</f>
        <v/>
      </c>
      <c r="X2029" s="8">
        <f>IF(COUNT(D2029:U2029)=0,"",MAX(D2029:U2029))</f>
        <v/>
      </c>
      <c r="Y2029" s="9">
        <f>IF(OR(V2029="",V2029=0),"",(X2029-V2029)/V2029)</f>
        <v/>
      </c>
      <c r="Z2029" s="7">
        <f>IF(COUNT(D2029:U2029)=0,"",INDEX($D$1:$U$1,MATCH(MIN(D2029:U2029),D2029:U2029,0)))</f>
        <v/>
      </c>
      <c r="AA2029" s="8" t="n">
        <v>113.54</v>
      </c>
      <c r="AB2029" s="10" t="n">
        <v>1</v>
      </c>
    </row>
    <row r="2030">
      <c r="A2030" s="7" t="inlineStr">
        <is>
          <t>MAT-32-679</t>
        </is>
      </c>
      <c r="B2030" s="4" t="inlineStr">
        <is>
          <t>Yee de PVC drenaje 3" x 2"</t>
        </is>
      </c>
      <c r="C2030" s="7" t="inlineStr">
        <is>
          <t>unidad</t>
        </is>
      </c>
      <c r="D2030" s="8" t="n"/>
      <c r="E2030" s="8" t="n">
        <v>89.56999999999999</v>
      </c>
      <c r="F2030" s="8" t="n"/>
      <c r="G2030" s="8" t="n">
        <v>205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>
        <f>IF(COUNT(D2030:U2030)=0,"",MIN(D2030:U2030))</f>
        <v/>
      </c>
      <c r="W2030" s="8">
        <f>IF(COUNT(D2030:U2030)=0,"",MEDIAN(D2030:U2030))</f>
        <v/>
      </c>
      <c r="X2030" s="8">
        <f>IF(COUNT(D2030:U2030)=0,"",MAX(D2030:U2030))</f>
        <v/>
      </c>
      <c r="Y2030" s="9">
        <f>IF(OR(V2030="",V2030=0),"",(X2030-V2030)/V2030)</f>
        <v/>
      </c>
      <c r="Z2030" s="7">
        <f>IF(COUNT(D2030:U2030)=0,"",INDEX($D$1:$U$1,MATCH(MIN(D2030:U2030),D2030:U2030,0)))</f>
        <v/>
      </c>
      <c r="AA2030" s="8" t="n">
        <v>147.29</v>
      </c>
      <c r="AB2030" s="10" t="n">
        <v>2</v>
      </c>
    </row>
    <row r="2031">
      <c r="A2031" s="7" t="inlineStr">
        <is>
          <t>MAT-32-680</t>
        </is>
      </c>
      <c r="B2031" s="4" t="inlineStr">
        <is>
          <t>Yee de PVC drenaje 4"</t>
        </is>
      </c>
      <c r="C2031" s="7" t="inlineStr">
        <is>
          <t>unidad</t>
        </is>
      </c>
      <c r="D2031" s="8" t="n"/>
      <c r="E2031" s="8" t="n">
        <v>160</v>
      </c>
      <c r="F2031" s="8" t="n"/>
      <c r="G2031" s="8" t="n">
        <v>425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>
        <f>IF(COUNT(D2031:U2031)=0,"",MIN(D2031:U2031))</f>
        <v/>
      </c>
      <c r="W2031" s="8">
        <f>IF(COUNT(D2031:U2031)=0,"",MEDIAN(D2031:U2031))</f>
        <v/>
      </c>
      <c r="X2031" s="8">
        <f>IF(COUNT(D2031:U2031)=0,"",MAX(D2031:U2031))</f>
        <v/>
      </c>
      <c r="Y2031" s="9">
        <f>IF(OR(V2031="",V2031=0),"",(X2031-V2031)/V2031)</f>
        <v/>
      </c>
      <c r="Z2031" s="7">
        <f>IF(COUNT(D2031:U2031)=0,"",INDEX($D$1:$U$1,MATCH(MIN(D2031:U2031),D2031:U2031,0)))</f>
        <v/>
      </c>
      <c r="AA2031" s="8" t="n">
        <v>224.26</v>
      </c>
      <c r="AB2031" s="10" t="n">
        <v>2</v>
      </c>
    </row>
    <row r="2032">
      <c r="A2032" s="7" t="inlineStr">
        <is>
          <t>MAT-32-681</t>
        </is>
      </c>
      <c r="B2032" s="4" t="inlineStr">
        <is>
          <t>Yee de PVC drenaje 4" x 2"</t>
        </is>
      </c>
      <c r="C2032" s="7" t="inlineStr">
        <is>
          <t>unidad</t>
        </is>
      </c>
      <c r="D2032" s="8" t="n"/>
      <c r="E2032" s="8" t="n">
        <v>97</v>
      </c>
      <c r="F2032" s="8" t="n"/>
      <c r="G2032" s="8" t="n">
        <v>265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>
        <f>IF(COUNT(D2032:U2032)=0,"",MIN(D2032:U2032))</f>
        <v/>
      </c>
      <c r="W2032" s="8">
        <f>IF(COUNT(D2032:U2032)=0,"",MEDIAN(D2032:U2032))</f>
        <v/>
      </c>
      <c r="X2032" s="8">
        <f>IF(COUNT(D2032:U2032)=0,"",MAX(D2032:U2032))</f>
        <v/>
      </c>
      <c r="Y2032" s="9">
        <f>IF(OR(V2032="",V2032=0),"",(X2032-V2032)/V2032)</f>
        <v/>
      </c>
      <c r="Z2032" s="7">
        <f>IF(COUNT(D2032:U2032)=0,"",INDEX($D$1:$U$1,MATCH(MIN(D2032:U2032),D2032:U2032,0)))</f>
        <v/>
      </c>
      <c r="AA2032" s="8" t="n">
        <v>120.22</v>
      </c>
      <c r="AB2032" s="10" t="n">
        <v>2</v>
      </c>
    </row>
    <row r="2033">
      <c r="A2033" s="7" t="inlineStr">
        <is>
          <t>MAT-32-682</t>
        </is>
      </c>
      <c r="B2033" s="4" t="inlineStr">
        <is>
          <t>Yee de PVC drenaje 4" x 3"</t>
        </is>
      </c>
      <c r="C2033" s="7" t="inlineStr">
        <is>
          <t>unidad</t>
        </is>
      </c>
      <c r="D2033" s="8" t="n"/>
      <c r="E2033" s="8" t="n">
        <v>191.92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>
        <f>IF(COUNT(D2033:U2033)=0,"",MIN(D2033:U2033))</f>
        <v/>
      </c>
      <c r="W2033" s="8">
        <f>IF(COUNT(D2033:U2033)=0,"",MEDIAN(D2033:U2033))</f>
        <v/>
      </c>
      <c r="X2033" s="8">
        <f>IF(COUNT(D2033:U2033)=0,"",MAX(D2033:U2033))</f>
        <v/>
      </c>
      <c r="Y2033" s="9">
        <f>IF(OR(V2033="",V2033=0),"",(X2033-V2033)/V2033)</f>
        <v/>
      </c>
      <c r="Z2033" s="7">
        <f>IF(COUNT(D2033:U2033)=0,"",INDEX($D$1:$U$1,MATCH(MIN(D2033:U2033),D2033:U2033,0)))</f>
        <v/>
      </c>
      <c r="AA2033" s="8" t="n">
        <v>191.92</v>
      </c>
      <c r="AB2033" s="10" t="n">
        <v>1</v>
      </c>
    </row>
    <row r="2034">
      <c r="A2034" s="7" t="inlineStr">
        <is>
          <t>MAT-32-683</t>
        </is>
      </c>
      <c r="B2034" s="4" t="inlineStr">
        <is>
          <t>Yee de PVC drenaje 6"</t>
        </is>
      </c>
      <c r="C2034" s="7" t="inlineStr">
        <is>
          <t>unidad</t>
        </is>
      </c>
      <c r="D2034" s="8" t="n"/>
      <c r="E2034" s="8" t="n">
        <v>875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>
        <f>IF(COUNT(D2034:U2034)=0,"",MIN(D2034:U2034))</f>
        <v/>
      </c>
      <c r="W2034" s="8">
        <f>IF(COUNT(D2034:U2034)=0,"",MEDIAN(D2034:U2034))</f>
        <v/>
      </c>
      <c r="X2034" s="8">
        <f>IF(COUNT(D2034:U2034)=0,"",MAX(D2034:U2034))</f>
        <v/>
      </c>
      <c r="Y2034" s="9">
        <f>IF(OR(V2034="",V2034=0),"",(X2034-V2034)/V2034)</f>
        <v/>
      </c>
      <c r="Z2034" s="7">
        <f>IF(COUNT(D2034:U2034)=0,"",INDEX($D$1:$U$1,MATCH(MIN(D2034:U2034),D2034:U2034,0)))</f>
        <v/>
      </c>
      <c r="AA2034" s="8" t="n">
        <v>923.5</v>
      </c>
      <c r="AB2034" s="10" t="n">
        <v>1</v>
      </c>
    </row>
    <row r="2035">
      <c r="A2035" s="7" t="inlineStr">
        <is>
          <t>MAT-32-684</t>
        </is>
      </c>
      <c r="B2035" s="4" t="inlineStr">
        <is>
          <t>Yee de PVC drenaje 6" x 4"</t>
        </is>
      </c>
      <c r="C2035" s="7" t="inlineStr">
        <is>
          <t>unidad</t>
        </is>
      </c>
      <c r="D2035" s="8" t="n"/>
      <c r="E2035" s="8" t="n">
        <v>855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>
        <f>IF(COUNT(D2035:U2035)=0,"",MIN(D2035:U2035))</f>
        <v/>
      </c>
      <c r="W2035" s="8">
        <f>IF(COUNT(D2035:U2035)=0,"",MEDIAN(D2035:U2035))</f>
        <v/>
      </c>
      <c r="X2035" s="8">
        <f>IF(COUNT(D2035:U2035)=0,"",MAX(D2035:U2035))</f>
        <v/>
      </c>
      <c r="Y2035" s="9">
        <f>IF(OR(V2035="",V2035=0),"",(X2035-V2035)/V2035)</f>
        <v/>
      </c>
      <c r="Z2035" s="7">
        <f>IF(COUNT(D2035:U2035)=0,"",INDEX($D$1:$U$1,MATCH(MIN(D2035:U2035),D2035:U2035,0)))</f>
        <v/>
      </c>
      <c r="AA2035" s="8" t="n">
        <v>855</v>
      </c>
      <c r="AB2035" s="10" t="n">
        <v>1</v>
      </c>
    </row>
    <row r="2036">
      <c r="A2036" s="7" t="inlineStr">
        <is>
          <t>MAT-32-685</t>
        </is>
      </c>
      <c r="B2036" s="4" t="inlineStr">
        <is>
          <t>Yee de PVC drenaje 8" x 4"</t>
        </is>
      </c>
      <c r="C2036" s="7" t="inlineStr">
        <is>
          <t>unidad</t>
        </is>
      </c>
      <c r="D2036" s="8" t="n"/>
      <c r="E2036" s="8" t="n">
        <v>5151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>
        <f>IF(COUNT(D2036:U2036)=0,"",MIN(D2036:U2036))</f>
        <v/>
      </c>
      <c r="W2036" s="8">
        <f>IF(COUNT(D2036:U2036)=0,"",MEDIAN(D2036:U2036))</f>
        <v/>
      </c>
      <c r="X2036" s="8">
        <f>IF(COUNT(D2036:U2036)=0,"",MAX(D2036:U2036))</f>
        <v/>
      </c>
      <c r="Y2036" s="9">
        <f>IF(OR(V2036="",V2036=0),"",(X2036-V2036)/V2036)</f>
        <v/>
      </c>
      <c r="Z2036" s="7">
        <f>IF(COUNT(D2036:U2036)=0,"",INDEX($D$1:$U$1,MATCH(MIN(D2036:U2036),D2036:U2036,0)))</f>
        <v/>
      </c>
      <c r="AA2036" s="8" t="n">
        <v>5151</v>
      </c>
      <c r="AB2036" s="10" t="n">
        <v>1</v>
      </c>
    </row>
    <row r="2037">
      <c r="A2037" s="7" t="inlineStr">
        <is>
          <t>MAT-32-686</t>
        </is>
      </c>
      <c r="B2037" s="4" t="inlineStr">
        <is>
          <t>Yee de PVC presión 3" x 2"</t>
        </is>
      </c>
      <c r="C2037" s="7" t="inlineStr">
        <is>
          <t>unidad</t>
        </is>
      </c>
      <c r="D2037" s="8" t="n"/>
      <c r="E2037" s="8" t="n">
        <v>546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>
        <f>IF(COUNT(D2037:U2037)=0,"",MIN(D2037:U2037))</f>
        <v/>
      </c>
      <c r="W2037" s="8">
        <f>IF(COUNT(D2037:U2037)=0,"",MEDIAN(D2037:U2037))</f>
        <v/>
      </c>
      <c r="X2037" s="8">
        <f>IF(COUNT(D2037:U2037)=0,"",MAX(D2037:U2037))</f>
        <v/>
      </c>
      <c r="Y2037" s="9">
        <f>IF(OR(V2037="",V2037=0),"",(X2037-V2037)/V2037)</f>
        <v/>
      </c>
      <c r="Z2037" s="7">
        <f>IF(COUNT(D2037:U2037)=0,"",INDEX($D$1:$U$1,MATCH(MIN(D2037:U2037),D2037:U2037,0)))</f>
        <v/>
      </c>
      <c r="AA2037" s="8" t="n">
        <v>546</v>
      </c>
      <c r="AB2037" s="10" t="n">
        <v>1</v>
      </c>
    </row>
    <row r="2038">
      <c r="A2038" s="7" t="inlineStr">
        <is>
          <t>MAT-32-687</t>
        </is>
      </c>
      <c r="B2038" s="4" t="inlineStr">
        <is>
          <t>Yee de PVC presión 4" x 2"</t>
        </is>
      </c>
      <c r="C2038" s="7" t="inlineStr">
        <is>
          <t>unidad</t>
        </is>
      </c>
      <c r="D2038" s="8" t="n"/>
      <c r="E2038" s="8" t="n">
        <v>429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>
        <f>IF(COUNT(D2038:U2038)=0,"",MIN(D2038:U2038))</f>
        <v/>
      </c>
      <c r="W2038" s="8">
        <f>IF(COUNT(D2038:U2038)=0,"",MEDIAN(D2038:U2038))</f>
        <v/>
      </c>
      <c r="X2038" s="8">
        <f>IF(COUNT(D2038:U2038)=0,"",MAX(D2038:U2038))</f>
        <v/>
      </c>
      <c r="Y2038" s="9">
        <f>IF(OR(V2038="",V2038=0),"",(X2038-V2038)/V2038)</f>
        <v/>
      </c>
      <c r="Z2038" s="7">
        <f>IF(COUNT(D2038:U2038)=0,"",INDEX($D$1:$U$1,MATCH(MIN(D2038:U2038),D2038:U2038,0)))</f>
        <v/>
      </c>
      <c r="AA2038" s="8" t="n">
        <v>429</v>
      </c>
      <c r="AB2038" s="10" t="n">
        <v>1</v>
      </c>
    </row>
    <row r="2039">
      <c r="A2039" s="7" t="inlineStr">
        <is>
          <t>MAT-32-688</t>
        </is>
      </c>
      <c r="B2039" s="4" t="inlineStr">
        <is>
          <t>Llave de paso angular de latón 1/2"</t>
        </is>
      </c>
      <c r="C2039" s="7" t="inlineStr">
        <is>
          <t>unidad</t>
        </is>
      </c>
      <c r="D2039" s="8" t="n"/>
      <c r="E2039" s="8" t="n"/>
      <c r="F2039" s="8" t="n"/>
      <c r="G2039" s="8" t="n"/>
      <c r="H2039" s="8" t="n"/>
      <c r="I2039" s="8" t="n">
        <v>355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>
        <f>IF(COUNT(D2039:U2039)=0,"",MIN(D2039:U2039))</f>
        <v/>
      </c>
      <c r="W2039" s="8">
        <f>IF(COUNT(D2039:U2039)=0,"",MEDIAN(D2039:U2039))</f>
        <v/>
      </c>
      <c r="X2039" s="8">
        <f>IF(COUNT(D2039:U2039)=0,"",MAX(D2039:U2039))</f>
        <v/>
      </c>
      <c r="Y2039" s="9">
        <f>IF(OR(V2039="",V2039=0),"",(X2039-V2039)/V2039)</f>
        <v/>
      </c>
      <c r="Z2039" s="7">
        <f>IF(COUNT(D2039:U2039)=0,"",INDEX($D$1:$U$1,MATCH(MIN(D2039:U2039),D2039:U2039,0)))</f>
        <v/>
      </c>
      <c r="AA2039" s="8" t="n">
        <v>375</v>
      </c>
      <c r="AB2039" s="10" t="n">
        <v>1</v>
      </c>
    </row>
    <row r="2040">
      <c r="A2040" s="7" t="inlineStr">
        <is>
          <t>MAT-32-689</t>
        </is>
      </c>
      <c r="B2040" s="4" t="inlineStr">
        <is>
          <t>Llave de paso angular de metal 1/2"</t>
        </is>
      </c>
      <c r="C2040" s="7" t="inlineStr">
        <is>
          <t>unidad</t>
        </is>
      </c>
      <c r="D2040" s="8" t="n"/>
      <c r="E2040" s="8" t="n"/>
      <c r="F2040" s="8" t="n"/>
      <c r="G2040" s="8" t="n">
        <v>271</v>
      </c>
      <c r="H2040" s="8" t="n"/>
      <c r="I2040" s="8" t="n">
        <v>140</v>
      </c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>
        <f>IF(COUNT(D2040:U2040)=0,"",MIN(D2040:U2040))</f>
        <v/>
      </c>
      <c r="W2040" s="8">
        <f>IF(COUNT(D2040:U2040)=0,"",MEDIAN(D2040:U2040))</f>
        <v/>
      </c>
      <c r="X2040" s="8">
        <f>IF(COUNT(D2040:U2040)=0,"",MAX(D2040:U2040))</f>
        <v/>
      </c>
      <c r="Y2040" s="9">
        <f>IF(OR(V2040="",V2040=0),"",(X2040-V2040)/V2040)</f>
        <v/>
      </c>
      <c r="Z2040" s="7">
        <f>IF(COUNT(D2040:U2040)=0,"",INDEX($D$1:$U$1,MATCH(MIN(D2040:U2040),D2040:U2040,0)))</f>
        <v/>
      </c>
      <c r="AA2040" s="8" t="n">
        <v>271</v>
      </c>
      <c r="AB2040" s="10" t="n">
        <v>2</v>
      </c>
    </row>
    <row r="2041">
      <c r="A2041" s="7" t="inlineStr">
        <is>
          <t>MAT-32-690</t>
        </is>
      </c>
      <c r="B2041" s="4" t="inlineStr">
        <is>
          <t>Llave de paso angular de metal 3/8"</t>
        </is>
      </c>
      <c r="C2041" s="7" t="inlineStr">
        <is>
          <t>unidad</t>
        </is>
      </c>
      <c r="D2041" s="8" t="n"/>
      <c r="E2041" s="8" t="n"/>
      <c r="F2041" s="8" t="n"/>
      <c r="G2041" s="8" t="n">
        <v>257</v>
      </c>
      <c r="H2041" s="8" t="n"/>
      <c r="I2041" s="8" t="n">
        <v>285</v>
      </c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>
        <f>IF(COUNT(D2041:U2041)=0,"",MIN(D2041:U2041))</f>
        <v/>
      </c>
      <c r="W2041" s="8">
        <f>IF(COUNT(D2041:U2041)=0,"",MEDIAN(D2041:U2041))</f>
        <v/>
      </c>
      <c r="X2041" s="8">
        <f>IF(COUNT(D2041:U2041)=0,"",MAX(D2041:U2041))</f>
        <v/>
      </c>
      <c r="Y2041" s="9">
        <f>IF(OR(V2041="",V2041=0),"",(X2041-V2041)/V2041)</f>
        <v/>
      </c>
      <c r="Z2041" s="7">
        <f>IF(COUNT(D2041:U2041)=0,"",INDEX($D$1:$U$1,MATCH(MIN(D2041:U2041),D2041:U2041,0)))</f>
        <v/>
      </c>
      <c r="AA2041" s="8" t="n">
        <v>285</v>
      </c>
      <c r="AB2041" s="10" t="n">
        <v>2</v>
      </c>
    </row>
    <row r="2042">
      <c r="A2042" s="7" t="inlineStr">
        <is>
          <t>MAT-32-691</t>
        </is>
      </c>
      <c r="B2042" s="4" t="inlineStr">
        <is>
          <t>Llave de paso bola de PPR 1/2"</t>
        </is>
      </c>
      <c r="C2042" s="7" t="inlineStr">
        <is>
          <t>unidad</t>
        </is>
      </c>
      <c r="D2042" s="8" t="n"/>
      <c r="E2042" s="8" t="n">
        <v>205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>
        <f>IF(COUNT(D2042:U2042)=0,"",MIN(D2042:U2042))</f>
        <v/>
      </c>
      <c r="W2042" s="8">
        <f>IF(COUNT(D2042:U2042)=0,"",MEDIAN(D2042:U2042))</f>
        <v/>
      </c>
      <c r="X2042" s="8">
        <f>IF(COUNT(D2042:U2042)=0,"",MAX(D2042:U2042))</f>
        <v/>
      </c>
      <c r="Y2042" s="9">
        <f>IF(OR(V2042="",V2042=0),"",(X2042-V2042)/V2042)</f>
        <v/>
      </c>
      <c r="Z2042" s="7">
        <f>IF(COUNT(D2042:U2042)=0,"",INDEX($D$1:$U$1,MATCH(MIN(D2042:U2042),D2042:U2042,0)))</f>
        <v/>
      </c>
      <c r="AA2042" s="8" t="n">
        <v>205</v>
      </c>
      <c r="AB2042" s="10" t="n">
        <v>1</v>
      </c>
    </row>
    <row r="2043">
      <c r="A2043" s="7" t="inlineStr">
        <is>
          <t>MAT-32-692</t>
        </is>
      </c>
      <c r="B2043" s="4" t="inlineStr">
        <is>
          <t>Llave de paso bola de PPR 1"</t>
        </is>
      </c>
      <c r="C2043" s="7" t="inlineStr">
        <is>
          <t>unidad</t>
        </is>
      </c>
      <c r="D2043" s="8" t="n"/>
      <c r="E2043" s="8" t="n">
        <v>270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>
        <f>IF(COUNT(D2043:U2043)=0,"",MIN(D2043:U2043))</f>
        <v/>
      </c>
      <c r="W2043" s="8">
        <f>IF(COUNT(D2043:U2043)=0,"",MEDIAN(D2043:U2043))</f>
        <v/>
      </c>
      <c r="X2043" s="8">
        <f>IF(COUNT(D2043:U2043)=0,"",MAX(D2043:U2043))</f>
        <v/>
      </c>
      <c r="Y2043" s="9">
        <f>IF(OR(V2043="",V2043=0),"",(X2043-V2043)/V2043)</f>
        <v/>
      </c>
      <c r="Z2043" s="7">
        <f>IF(COUNT(D2043:U2043)=0,"",INDEX($D$1:$U$1,MATCH(MIN(D2043:U2043),D2043:U2043,0)))</f>
        <v/>
      </c>
      <c r="AA2043" s="8" t="n">
        <v>270</v>
      </c>
      <c r="AB2043" s="10" t="n">
        <v>1</v>
      </c>
    </row>
    <row r="2044">
      <c r="A2044" s="7" t="inlineStr">
        <is>
          <t>MAT-32-693</t>
        </is>
      </c>
      <c r="B2044" s="4" t="inlineStr">
        <is>
          <t>Llave de paso bola de PPR 3/4"</t>
        </is>
      </c>
      <c r="C2044" s="7" t="inlineStr">
        <is>
          <t>unidad</t>
        </is>
      </c>
      <c r="D2044" s="8" t="n"/>
      <c r="E2044" s="8" t="n">
        <v>255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>
        <f>IF(COUNT(D2044:U2044)=0,"",MIN(D2044:U2044))</f>
        <v/>
      </c>
      <c r="W2044" s="8">
        <f>IF(COUNT(D2044:U2044)=0,"",MEDIAN(D2044:U2044))</f>
        <v/>
      </c>
      <c r="X2044" s="8">
        <f>IF(COUNT(D2044:U2044)=0,"",MAX(D2044:U2044))</f>
        <v/>
      </c>
      <c r="Y2044" s="9">
        <f>IF(OR(V2044="",V2044=0),"",(X2044-V2044)/V2044)</f>
        <v/>
      </c>
      <c r="Z2044" s="7">
        <f>IF(COUNT(D2044:U2044)=0,"",INDEX($D$1:$U$1,MATCH(MIN(D2044:U2044),D2044:U2044,0)))</f>
        <v/>
      </c>
      <c r="AA2044" s="8" t="n">
        <v>255</v>
      </c>
      <c r="AB2044" s="10" t="n">
        <v>1</v>
      </c>
    </row>
    <row r="2045">
      <c r="A2045" s="7" t="inlineStr">
        <is>
          <t>MAT-32-694</t>
        </is>
      </c>
      <c r="B2045" s="4" t="inlineStr">
        <is>
          <t>Llave de paso bola de PVC 1"</t>
        </is>
      </c>
      <c r="C2045" s="7" t="inlineStr">
        <is>
          <t>unidad</t>
        </is>
      </c>
      <c r="D2045" s="8" t="n"/>
      <c r="E2045" s="8" t="n">
        <v>388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>
        <f>IF(COUNT(D2045:U2045)=0,"",MIN(D2045:U2045))</f>
        <v/>
      </c>
      <c r="W2045" s="8">
        <f>IF(COUNT(D2045:U2045)=0,"",MEDIAN(D2045:U2045))</f>
        <v/>
      </c>
      <c r="X2045" s="8">
        <f>IF(COUNT(D2045:U2045)=0,"",MAX(D2045:U2045))</f>
        <v/>
      </c>
      <c r="Y2045" s="9">
        <f>IF(OR(V2045="",V2045=0),"",(X2045-V2045)/V2045)</f>
        <v/>
      </c>
      <c r="Z2045" s="7">
        <f>IF(COUNT(D2045:U2045)=0,"",INDEX($D$1:$U$1,MATCH(MIN(D2045:U2045),D2045:U2045,0)))</f>
        <v/>
      </c>
      <c r="AA2045" s="8" t="n">
        <v>388</v>
      </c>
      <c r="AB2045" s="10" t="n">
        <v>1</v>
      </c>
    </row>
    <row r="2046">
      <c r="A2046" s="7" t="inlineStr">
        <is>
          <t>MAT-32-695</t>
        </is>
      </c>
      <c r="B2046" s="4" t="inlineStr">
        <is>
          <t>Llave de paso bola de PVC 3/4"</t>
        </is>
      </c>
      <c r="C2046" s="7" t="inlineStr">
        <is>
          <t>unidad</t>
        </is>
      </c>
      <c r="D2046" s="8" t="n"/>
      <c r="E2046" s="8" t="n">
        <v>311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>
        <f>IF(COUNT(D2046:U2046)=0,"",MIN(D2046:U2046))</f>
        <v/>
      </c>
      <c r="W2046" s="8">
        <f>IF(COUNT(D2046:U2046)=0,"",MEDIAN(D2046:U2046))</f>
        <v/>
      </c>
      <c r="X2046" s="8">
        <f>IF(COUNT(D2046:U2046)=0,"",MAX(D2046:U2046))</f>
        <v/>
      </c>
      <c r="Y2046" s="9">
        <f>IF(OR(V2046="",V2046=0),"",(X2046-V2046)/V2046)</f>
        <v/>
      </c>
      <c r="Z2046" s="7">
        <f>IF(COUNT(D2046:U2046)=0,"",INDEX($D$1:$U$1,MATCH(MIN(D2046:U2046),D2046:U2046,0)))</f>
        <v/>
      </c>
      <c r="AA2046" s="8" t="n">
        <v>311</v>
      </c>
      <c r="AB2046" s="10" t="n">
        <v>1</v>
      </c>
    </row>
    <row r="2047">
      <c r="A2047" s="7" t="inlineStr">
        <is>
          <t>MAT-32-696</t>
        </is>
      </c>
      <c r="B2047" s="4" t="inlineStr">
        <is>
          <t>Llave de paso compuerta de latón 1 1/2"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1299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>
        <f>IF(COUNT(D2047:U2047)=0,"",MIN(D2047:U2047))</f>
        <v/>
      </c>
      <c r="W2047" s="8">
        <f>IF(COUNT(D2047:U2047)=0,"",MEDIAN(D2047:U2047))</f>
        <v/>
      </c>
      <c r="X2047" s="8">
        <f>IF(COUNT(D2047:U2047)=0,"",MAX(D2047:U2047))</f>
        <v/>
      </c>
      <c r="Y2047" s="9">
        <f>IF(OR(V2047="",V2047=0),"",(X2047-V2047)/V2047)</f>
        <v/>
      </c>
      <c r="Z2047" s="7">
        <f>IF(COUNT(D2047:U2047)=0,"",INDEX($D$1:$U$1,MATCH(MIN(D2047:U2047),D2047:U2047,0)))</f>
        <v/>
      </c>
      <c r="AA2047" s="8" t="n">
        <v>1299</v>
      </c>
      <c r="AB2047" s="10" t="n">
        <v>1</v>
      </c>
    </row>
    <row r="2048">
      <c r="A2048" s="7" t="inlineStr">
        <is>
          <t>MAT-32-697</t>
        </is>
      </c>
      <c r="B2048" s="4" t="inlineStr">
        <is>
          <t>Llave de paso compuerta de latón 1 1/4"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1075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>
        <f>IF(COUNT(D2048:U2048)=0,"",MIN(D2048:U2048))</f>
        <v/>
      </c>
      <c r="W2048" s="8">
        <f>IF(COUNT(D2048:U2048)=0,"",MEDIAN(D2048:U2048))</f>
        <v/>
      </c>
      <c r="X2048" s="8">
        <f>IF(COUNT(D2048:U2048)=0,"",MAX(D2048:U2048))</f>
        <v/>
      </c>
      <c r="Y2048" s="9">
        <f>IF(OR(V2048="",V2048=0),"",(X2048-V2048)/V2048)</f>
        <v/>
      </c>
      <c r="Z2048" s="7">
        <f>IF(COUNT(D2048:U2048)=0,"",INDEX($D$1:$U$1,MATCH(MIN(D2048:U2048),D2048:U2048,0)))</f>
        <v/>
      </c>
      <c r="AA2048" s="8" t="n">
        <v>1075</v>
      </c>
      <c r="AB2048" s="10" t="n">
        <v>1</v>
      </c>
    </row>
    <row r="2049">
      <c r="A2049" s="7" t="inlineStr">
        <is>
          <t>MAT-32-698</t>
        </is>
      </c>
      <c r="B2049" s="4" t="inlineStr">
        <is>
          <t>Llave de paso compuerta de latón 1/2"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355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>
        <f>IF(COUNT(D2049:U2049)=0,"",MIN(D2049:U2049))</f>
        <v/>
      </c>
      <c r="W2049" s="8">
        <f>IF(COUNT(D2049:U2049)=0,"",MEDIAN(D2049:U2049))</f>
        <v/>
      </c>
      <c r="X2049" s="8">
        <f>IF(COUNT(D2049:U2049)=0,"",MAX(D2049:U2049))</f>
        <v/>
      </c>
      <c r="Y2049" s="9">
        <f>IF(OR(V2049="",V2049=0),"",(X2049-V2049)/V2049)</f>
        <v/>
      </c>
      <c r="Z2049" s="7">
        <f>IF(COUNT(D2049:U2049)=0,"",INDEX($D$1:$U$1,MATCH(MIN(D2049:U2049),D2049:U2049,0)))</f>
        <v/>
      </c>
      <c r="AA2049" s="8" t="n">
        <v>355</v>
      </c>
      <c r="AB2049" s="10" t="n">
        <v>1</v>
      </c>
    </row>
    <row r="2050">
      <c r="A2050" s="7" t="inlineStr">
        <is>
          <t>MAT-32-699</t>
        </is>
      </c>
      <c r="B2050" s="4" t="inlineStr">
        <is>
          <t>Llave de paso compuerta de latón 1"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655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>
        <f>IF(COUNT(D2050:U2050)=0,"",MIN(D2050:U2050))</f>
        <v/>
      </c>
      <c r="W2050" s="8">
        <f>IF(COUNT(D2050:U2050)=0,"",MEDIAN(D2050:U2050))</f>
        <v/>
      </c>
      <c r="X2050" s="8">
        <f>IF(COUNT(D2050:U2050)=0,"",MAX(D2050:U2050))</f>
        <v/>
      </c>
      <c r="Y2050" s="9">
        <f>IF(OR(V2050="",V2050=0),"",(X2050-V2050)/V2050)</f>
        <v/>
      </c>
      <c r="Z2050" s="7">
        <f>IF(COUNT(D2050:U2050)=0,"",INDEX($D$1:$U$1,MATCH(MIN(D2050:U2050),D2050:U2050,0)))</f>
        <v/>
      </c>
      <c r="AA2050" s="8" t="n">
        <v>655</v>
      </c>
      <c r="AB2050" s="10" t="n">
        <v>1</v>
      </c>
    </row>
    <row r="2051">
      <c r="A2051" s="7" t="inlineStr">
        <is>
          <t>MAT-32-700</t>
        </is>
      </c>
      <c r="B2051" s="4" t="inlineStr">
        <is>
          <t>Llave de paso compuerta de latón 2"</t>
        </is>
      </c>
      <c r="C2051" s="7" t="inlineStr">
        <is>
          <t>unidad</t>
        </is>
      </c>
      <c r="D2051" s="8" t="n"/>
      <c r="E2051" s="8" t="n"/>
      <c r="F2051" s="8" t="n"/>
      <c r="G2051" s="8" t="n"/>
      <c r="H2051" s="8" t="n"/>
      <c r="I2051" s="8" t="n">
        <v>1855</v>
      </c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>
        <f>IF(COUNT(D2051:U2051)=0,"",MIN(D2051:U2051))</f>
        <v/>
      </c>
      <c r="W2051" s="8">
        <f>IF(COUNT(D2051:U2051)=0,"",MEDIAN(D2051:U2051))</f>
        <v/>
      </c>
      <c r="X2051" s="8">
        <f>IF(COUNT(D2051:U2051)=0,"",MAX(D2051:U2051))</f>
        <v/>
      </c>
      <c r="Y2051" s="9">
        <f>IF(OR(V2051="",V2051=0),"",(X2051-V2051)/V2051)</f>
        <v/>
      </c>
      <c r="Z2051" s="7">
        <f>IF(COUNT(D2051:U2051)=0,"",INDEX($D$1:$U$1,MATCH(MIN(D2051:U2051),D2051:U2051,0)))</f>
        <v/>
      </c>
      <c r="AA2051" s="8" t="n">
        <v>1855</v>
      </c>
      <c r="AB2051" s="10" t="n">
        <v>1</v>
      </c>
    </row>
    <row r="2052">
      <c r="A2052" s="7" t="inlineStr">
        <is>
          <t>MAT-32-701</t>
        </is>
      </c>
      <c r="B2052" s="4" t="inlineStr">
        <is>
          <t>Llave de paso compuerta de latón 3/4"</t>
        </is>
      </c>
      <c r="C2052" s="7" t="inlineStr">
        <is>
          <t>unidad</t>
        </is>
      </c>
      <c r="D2052" s="8" t="n"/>
      <c r="E2052" s="8" t="n"/>
      <c r="F2052" s="8" t="n"/>
      <c r="G2052" s="8" t="n"/>
      <c r="H2052" s="8" t="n"/>
      <c r="I2052" s="8" t="n">
        <v>449</v>
      </c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>
        <f>IF(COUNT(D2052:U2052)=0,"",MIN(D2052:U2052))</f>
        <v/>
      </c>
      <c r="W2052" s="8">
        <f>IF(COUNT(D2052:U2052)=0,"",MEDIAN(D2052:U2052))</f>
        <v/>
      </c>
      <c r="X2052" s="8">
        <f>IF(COUNT(D2052:U2052)=0,"",MAX(D2052:U2052))</f>
        <v/>
      </c>
      <c r="Y2052" s="9">
        <f>IF(OR(V2052="",V2052=0),"",(X2052-V2052)/V2052)</f>
        <v/>
      </c>
      <c r="Z2052" s="7">
        <f>IF(COUNT(D2052:U2052)=0,"",INDEX($D$1:$U$1,MATCH(MIN(D2052:U2052),D2052:U2052,0)))</f>
        <v/>
      </c>
      <c r="AA2052" s="8" t="n">
        <v>449</v>
      </c>
      <c r="AB2052" s="10" t="n">
        <v>1</v>
      </c>
    </row>
    <row r="2053">
      <c r="A2053" s="7" t="inlineStr">
        <is>
          <t>MAT-32-702</t>
        </is>
      </c>
      <c r="B2053" s="4" t="inlineStr">
        <is>
          <t>Llave de paso de bola de CPVC 1/2"</t>
        </is>
      </c>
      <c r="C2053" s="7" t="inlineStr">
        <is>
          <t>unidad</t>
        </is>
      </c>
      <c r="D2053" s="8" t="n"/>
      <c r="E2053" s="8" t="n"/>
      <c r="F2053" s="8" t="n"/>
      <c r="G2053" s="8" t="n">
        <v>435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>
        <f>IF(COUNT(D2053:U2053)=0,"",MIN(D2053:U2053))</f>
        <v/>
      </c>
      <c r="W2053" s="8">
        <f>IF(COUNT(D2053:U2053)=0,"",MEDIAN(D2053:U2053))</f>
        <v/>
      </c>
      <c r="X2053" s="8">
        <f>IF(COUNT(D2053:U2053)=0,"",MAX(D2053:U2053))</f>
        <v/>
      </c>
      <c r="Y2053" s="9">
        <f>IF(OR(V2053="",V2053=0),"",(X2053-V2053)/V2053)</f>
        <v/>
      </c>
      <c r="Z2053" s="7">
        <f>IF(COUNT(D2053:U2053)=0,"",INDEX($D$1:$U$1,MATCH(MIN(D2053:U2053),D2053:U2053,0)))</f>
        <v/>
      </c>
      <c r="AA2053" s="8" t="n">
        <v>435</v>
      </c>
      <c r="AB2053" s="10" t="n">
        <v>1</v>
      </c>
    </row>
    <row r="2054">
      <c r="A2054" s="7" t="inlineStr">
        <is>
          <t>MAT-32-703</t>
        </is>
      </c>
      <c r="B2054" s="4" t="inlineStr">
        <is>
          <t>Llave de paso de bola de metal 1 1/2"</t>
        </is>
      </c>
      <c r="C2054" s="7" t="inlineStr">
        <is>
          <t>unidad</t>
        </is>
      </c>
      <c r="D2054" s="8" t="n"/>
      <c r="E2054" s="8" t="n"/>
      <c r="F2054" s="8" t="n"/>
      <c r="G2054" s="8" t="n">
        <v>1961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>
        <f>IF(COUNT(D2054:U2054)=0,"",MIN(D2054:U2054))</f>
        <v/>
      </c>
      <c r="W2054" s="8">
        <f>IF(COUNT(D2054:U2054)=0,"",MEDIAN(D2054:U2054))</f>
        <v/>
      </c>
      <c r="X2054" s="8">
        <f>IF(COUNT(D2054:U2054)=0,"",MAX(D2054:U2054))</f>
        <v/>
      </c>
      <c r="Y2054" s="9">
        <f>IF(OR(V2054="",V2054=0),"",(X2054-V2054)/V2054)</f>
        <v/>
      </c>
      <c r="Z2054" s="7">
        <f>IF(COUNT(D2054:U2054)=0,"",INDEX($D$1:$U$1,MATCH(MIN(D2054:U2054),D2054:U2054,0)))</f>
        <v/>
      </c>
      <c r="AA2054" s="8" t="n">
        <v>1961</v>
      </c>
      <c r="AB2054" s="10" t="n">
        <v>1</v>
      </c>
    </row>
    <row r="2055">
      <c r="A2055" s="7" t="inlineStr">
        <is>
          <t>MAT-32-704</t>
        </is>
      </c>
      <c r="B2055" s="4" t="inlineStr">
        <is>
          <t>Llave de paso de bola de metal 1/2"</t>
        </is>
      </c>
      <c r="C2055" s="7" t="inlineStr">
        <is>
          <t>unidad</t>
        </is>
      </c>
      <c r="D2055" s="8" t="n"/>
      <c r="E2055" s="8" t="n"/>
      <c r="F2055" s="8" t="n"/>
      <c r="G2055" s="8" t="n">
        <v>259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>
        <f>IF(COUNT(D2055:U2055)=0,"",MIN(D2055:U2055))</f>
        <v/>
      </c>
      <c r="W2055" s="8">
        <f>IF(COUNT(D2055:U2055)=0,"",MEDIAN(D2055:U2055))</f>
        <v/>
      </c>
      <c r="X2055" s="8">
        <f>IF(COUNT(D2055:U2055)=0,"",MAX(D2055:U2055))</f>
        <v/>
      </c>
      <c r="Y2055" s="9">
        <f>IF(OR(V2055="",V2055=0),"",(X2055-V2055)/V2055)</f>
        <v/>
      </c>
      <c r="Z2055" s="7">
        <f>IF(COUNT(D2055:U2055)=0,"",INDEX($D$1:$U$1,MATCH(MIN(D2055:U2055),D2055:U2055,0)))</f>
        <v/>
      </c>
      <c r="AA2055" s="8" t="n">
        <v>545</v>
      </c>
      <c r="AB2055" s="10" t="n">
        <v>1</v>
      </c>
    </row>
    <row r="2056">
      <c r="A2056" s="7" t="inlineStr">
        <is>
          <t>MAT-32-705</t>
        </is>
      </c>
      <c r="B2056" s="4" t="inlineStr">
        <is>
          <t>Llave de paso de bola de metal 1/4"</t>
        </is>
      </c>
      <c r="C2056" s="7" t="inlineStr">
        <is>
          <t>unidad</t>
        </is>
      </c>
      <c r="D2056" s="8" t="n"/>
      <c r="E2056" s="8" t="n"/>
      <c r="F2056" s="8" t="n"/>
      <c r="G2056" s="8" t="n">
        <v>343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>
        <f>IF(COUNT(D2056:U2056)=0,"",MIN(D2056:U2056))</f>
        <v/>
      </c>
      <c r="W2056" s="8">
        <f>IF(COUNT(D2056:U2056)=0,"",MEDIAN(D2056:U2056))</f>
        <v/>
      </c>
      <c r="X2056" s="8">
        <f>IF(COUNT(D2056:U2056)=0,"",MAX(D2056:U2056))</f>
        <v/>
      </c>
      <c r="Y2056" s="9">
        <f>IF(OR(V2056="",V2056=0),"",(X2056-V2056)/V2056)</f>
        <v/>
      </c>
      <c r="Z2056" s="7">
        <f>IF(COUNT(D2056:U2056)=0,"",INDEX($D$1:$U$1,MATCH(MIN(D2056:U2056),D2056:U2056,0)))</f>
        <v/>
      </c>
      <c r="AA2056" s="8" t="n">
        <v>343</v>
      </c>
      <c r="AB2056" s="10" t="n">
        <v>1</v>
      </c>
    </row>
    <row r="2057">
      <c r="A2057" s="7" t="inlineStr">
        <is>
          <t>MAT-32-706</t>
        </is>
      </c>
      <c r="B2057" s="4" t="inlineStr">
        <is>
          <t>Llave de paso de bola de metal 1"</t>
        </is>
      </c>
      <c r="C2057" s="7" t="inlineStr">
        <is>
          <t>unidad</t>
        </is>
      </c>
      <c r="D2057" s="8" t="n"/>
      <c r="E2057" s="8" t="n"/>
      <c r="F2057" s="8" t="n"/>
      <c r="G2057" s="8" t="n">
        <v>831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>
        <f>IF(COUNT(D2057:U2057)=0,"",MIN(D2057:U2057))</f>
        <v/>
      </c>
      <c r="W2057" s="8">
        <f>IF(COUNT(D2057:U2057)=0,"",MEDIAN(D2057:U2057))</f>
        <v/>
      </c>
      <c r="X2057" s="8">
        <f>IF(COUNT(D2057:U2057)=0,"",MAX(D2057:U2057))</f>
        <v/>
      </c>
      <c r="Y2057" s="9">
        <f>IF(OR(V2057="",V2057=0),"",(X2057-V2057)/V2057)</f>
        <v/>
      </c>
      <c r="Z2057" s="7">
        <f>IF(COUNT(D2057:U2057)=0,"",INDEX($D$1:$U$1,MATCH(MIN(D2057:U2057),D2057:U2057,0)))</f>
        <v/>
      </c>
      <c r="AA2057" s="8" t="n">
        <v>831</v>
      </c>
      <c r="AB2057" s="10" t="n">
        <v>1</v>
      </c>
    </row>
    <row r="2058">
      <c r="A2058" s="7" t="inlineStr">
        <is>
          <t>MAT-32-707</t>
        </is>
      </c>
      <c r="B2058" s="4" t="inlineStr">
        <is>
          <t>Llave de paso de bola de metal 2"</t>
        </is>
      </c>
      <c r="C2058" s="7" t="inlineStr">
        <is>
          <t>unidad</t>
        </is>
      </c>
      <c r="D2058" s="8" t="n"/>
      <c r="E2058" s="8" t="n"/>
      <c r="F2058" s="8" t="n"/>
      <c r="G2058" s="8" t="n">
        <v>3227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>
        <f>IF(COUNT(D2058:U2058)=0,"",MIN(D2058:U2058))</f>
        <v/>
      </c>
      <c r="W2058" s="8">
        <f>IF(COUNT(D2058:U2058)=0,"",MEDIAN(D2058:U2058))</f>
        <v/>
      </c>
      <c r="X2058" s="8">
        <f>IF(COUNT(D2058:U2058)=0,"",MAX(D2058:U2058))</f>
        <v/>
      </c>
      <c r="Y2058" s="9">
        <f>IF(OR(V2058="",V2058=0),"",(X2058-V2058)/V2058)</f>
        <v/>
      </c>
      <c r="Z2058" s="7">
        <f>IF(COUNT(D2058:U2058)=0,"",INDEX($D$1:$U$1,MATCH(MIN(D2058:U2058),D2058:U2058,0)))</f>
        <v/>
      </c>
      <c r="AA2058" s="8" t="n">
        <v>3227</v>
      </c>
      <c r="AB2058" s="10" t="n">
        <v>1</v>
      </c>
    </row>
    <row r="2059">
      <c r="A2059" s="7" t="inlineStr">
        <is>
          <t>MAT-32-708</t>
        </is>
      </c>
      <c r="B2059" s="4" t="inlineStr">
        <is>
          <t>Llave de paso de bola de metal 3/4"</t>
        </is>
      </c>
      <c r="C2059" s="7" t="inlineStr">
        <is>
          <t>unidad</t>
        </is>
      </c>
      <c r="D2059" s="8" t="n"/>
      <c r="E2059" s="8" t="n"/>
      <c r="F2059" s="8" t="n"/>
      <c r="G2059" s="8" t="n">
        <v>555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>
        <f>IF(COUNT(D2059:U2059)=0,"",MIN(D2059:U2059))</f>
        <v/>
      </c>
      <c r="W2059" s="8">
        <f>IF(COUNT(D2059:U2059)=0,"",MEDIAN(D2059:U2059))</f>
        <v/>
      </c>
      <c r="X2059" s="8">
        <f>IF(COUNT(D2059:U2059)=0,"",MAX(D2059:U2059))</f>
        <v/>
      </c>
      <c r="Y2059" s="9">
        <f>IF(OR(V2059="",V2059=0),"",(X2059-V2059)/V2059)</f>
        <v/>
      </c>
      <c r="Z2059" s="7">
        <f>IF(COUNT(D2059:U2059)=0,"",INDEX($D$1:$U$1,MATCH(MIN(D2059:U2059),D2059:U2059,0)))</f>
        <v/>
      </c>
      <c r="AA2059" s="8" t="n">
        <v>592.5</v>
      </c>
      <c r="AB2059" s="10" t="n">
        <v>1</v>
      </c>
    </row>
    <row r="2060">
      <c r="A2060" s="7" t="inlineStr">
        <is>
          <t>MAT-32-709</t>
        </is>
      </c>
      <c r="B2060" s="4" t="inlineStr">
        <is>
          <t>Llave de paso de bola de metal 3/8"</t>
        </is>
      </c>
      <c r="C2060" s="7" t="inlineStr">
        <is>
          <t>unidad</t>
        </is>
      </c>
      <c r="D2060" s="8" t="n"/>
      <c r="E2060" s="8" t="n"/>
      <c r="F2060" s="8" t="n"/>
      <c r="G2060" s="8" t="n">
        <v>327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>
        <f>IF(COUNT(D2060:U2060)=0,"",MIN(D2060:U2060))</f>
        <v/>
      </c>
      <c r="W2060" s="8">
        <f>IF(COUNT(D2060:U2060)=0,"",MEDIAN(D2060:U2060))</f>
        <v/>
      </c>
      <c r="X2060" s="8">
        <f>IF(COUNT(D2060:U2060)=0,"",MAX(D2060:U2060))</f>
        <v/>
      </c>
      <c r="Y2060" s="9">
        <f>IF(OR(V2060="",V2060=0),"",(X2060-V2060)/V2060)</f>
        <v/>
      </c>
      <c r="Z2060" s="7">
        <f>IF(COUNT(D2060:U2060)=0,"",INDEX($D$1:$U$1,MATCH(MIN(D2060:U2060),D2060:U2060,0)))</f>
        <v/>
      </c>
      <c r="AA2060" s="8" t="n">
        <v>336</v>
      </c>
      <c r="AB2060" s="10" t="n">
        <v>1</v>
      </c>
    </row>
    <row r="2061">
      <c r="A2061" s="7" t="inlineStr">
        <is>
          <t>MAT-32-710</t>
        </is>
      </c>
      <c r="B2061" s="4" t="inlineStr">
        <is>
          <t>Llave de paso de bola de PVC 1 1/2"</t>
        </is>
      </c>
      <c r="C2061" s="7" t="inlineStr">
        <is>
          <t>unidad</t>
        </is>
      </c>
      <c r="D2061" s="8" t="n"/>
      <c r="E2061" s="8" t="n"/>
      <c r="F2061" s="8" t="n"/>
      <c r="G2061" s="8" t="n">
        <v>465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>
        <f>IF(COUNT(D2061:U2061)=0,"",MIN(D2061:U2061))</f>
        <v/>
      </c>
      <c r="W2061" s="8">
        <f>IF(COUNT(D2061:U2061)=0,"",MEDIAN(D2061:U2061))</f>
        <v/>
      </c>
      <c r="X2061" s="8">
        <f>IF(COUNT(D2061:U2061)=0,"",MAX(D2061:U2061))</f>
        <v/>
      </c>
      <c r="Y2061" s="9">
        <f>IF(OR(V2061="",V2061=0),"",(X2061-V2061)/V2061)</f>
        <v/>
      </c>
      <c r="Z2061" s="7">
        <f>IF(COUNT(D2061:U2061)=0,"",INDEX($D$1:$U$1,MATCH(MIN(D2061:U2061),D2061:U2061,0)))</f>
        <v/>
      </c>
      <c r="AA2061" s="8" t="n">
        <v>465</v>
      </c>
      <c r="AB2061" s="10" t="n">
        <v>1</v>
      </c>
    </row>
    <row r="2062">
      <c r="A2062" s="7" t="inlineStr">
        <is>
          <t>MAT-32-711</t>
        </is>
      </c>
      <c r="B2062" s="4" t="inlineStr">
        <is>
          <t>Llave de paso de bola de PVC 1/2"</t>
        </is>
      </c>
      <c r="C2062" s="7" t="inlineStr">
        <is>
          <t>unidad</t>
        </is>
      </c>
      <c r="D2062" s="8" t="n"/>
      <c r="E2062" s="8" t="n"/>
      <c r="F2062" s="8" t="n"/>
      <c r="G2062" s="8" t="n">
        <v>41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>
        <f>IF(COUNT(D2062:U2062)=0,"",MIN(D2062:U2062))</f>
        <v/>
      </c>
      <c r="W2062" s="8">
        <f>IF(COUNT(D2062:U2062)=0,"",MEDIAN(D2062:U2062))</f>
        <v/>
      </c>
      <c r="X2062" s="8">
        <f>IF(COUNT(D2062:U2062)=0,"",MAX(D2062:U2062))</f>
        <v/>
      </c>
      <c r="Y2062" s="9">
        <f>IF(OR(V2062="",V2062=0),"",(X2062-V2062)/V2062)</f>
        <v/>
      </c>
      <c r="Z2062" s="7">
        <f>IF(COUNT(D2062:U2062)=0,"",INDEX($D$1:$U$1,MATCH(MIN(D2062:U2062),D2062:U2062,0)))</f>
        <v/>
      </c>
      <c r="AA2062" s="8" t="n">
        <v>83</v>
      </c>
      <c r="AB2062" s="10" t="n">
        <v>1</v>
      </c>
    </row>
    <row r="2063">
      <c r="A2063" s="7" t="inlineStr">
        <is>
          <t>MAT-32-712</t>
        </is>
      </c>
      <c r="B2063" s="4" t="inlineStr">
        <is>
          <t>Llave de paso de bola de PVC 1"</t>
        </is>
      </c>
      <c r="C2063" s="7" t="inlineStr">
        <is>
          <t>unidad</t>
        </is>
      </c>
      <c r="D2063" s="8" t="n"/>
      <c r="E2063" s="8" t="n"/>
      <c r="F2063" s="8" t="n"/>
      <c r="G2063" s="8" t="n">
        <v>170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>
        <f>IF(COUNT(D2063:U2063)=0,"",MIN(D2063:U2063))</f>
        <v/>
      </c>
      <c r="W2063" s="8">
        <f>IF(COUNT(D2063:U2063)=0,"",MEDIAN(D2063:U2063))</f>
        <v/>
      </c>
      <c r="X2063" s="8">
        <f>IF(COUNT(D2063:U2063)=0,"",MAX(D2063:U2063))</f>
        <v/>
      </c>
      <c r="Y2063" s="9">
        <f>IF(OR(V2063="",V2063=0),"",(X2063-V2063)/V2063)</f>
        <v/>
      </c>
      <c r="Z2063" s="7">
        <f>IF(COUNT(D2063:U2063)=0,"",INDEX($D$1:$U$1,MATCH(MIN(D2063:U2063),D2063:U2063,0)))</f>
        <v/>
      </c>
      <c r="AA2063" s="8" t="n">
        <v>170</v>
      </c>
      <c r="AB2063" s="10" t="n">
        <v>1</v>
      </c>
    </row>
    <row r="2064">
      <c r="A2064" s="7" t="inlineStr">
        <is>
          <t>MAT-32-713</t>
        </is>
      </c>
      <c r="B2064" s="4" t="inlineStr">
        <is>
          <t>Llave de paso de bola de PVC 2"</t>
        </is>
      </c>
      <c r="C2064" s="7" t="inlineStr">
        <is>
          <t>unidad</t>
        </is>
      </c>
      <c r="D2064" s="8" t="n"/>
      <c r="E2064" s="8" t="n"/>
      <c r="F2064" s="8" t="n"/>
      <c r="G2064" s="8" t="n">
        <v>616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>
        <f>IF(COUNT(D2064:U2064)=0,"",MIN(D2064:U2064))</f>
        <v/>
      </c>
      <c r="W2064" s="8">
        <f>IF(COUNT(D2064:U2064)=0,"",MEDIAN(D2064:U2064))</f>
        <v/>
      </c>
      <c r="X2064" s="8">
        <f>IF(COUNT(D2064:U2064)=0,"",MAX(D2064:U2064))</f>
        <v/>
      </c>
      <c r="Y2064" s="9">
        <f>IF(OR(V2064="",V2064=0),"",(X2064-V2064)/V2064)</f>
        <v/>
      </c>
      <c r="Z2064" s="7">
        <f>IF(COUNT(D2064:U2064)=0,"",INDEX($D$1:$U$1,MATCH(MIN(D2064:U2064),D2064:U2064,0)))</f>
        <v/>
      </c>
      <c r="AA2064" s="8" t="n">
        <v>616</v>
      </c>
      <c r="AB2064" s="10" t="n">
        <v>1</v>
      </c>
    </row>
    <row r="2065">
      <c r="A2065" s="7" t="inlineStr">
        <is>
          <t>MAT-32-714</t>
        </is>
      </c>
      <c r="B2065" s="4" t="inlineStr">
        <is>
          <t>Llave de paso de bola de PVC 3/4"</t>
        </is>
      </c>
      <c r="C2065" s="7" t="inlineStr">
        <is>
          <t>unidad</t>
        </is>
      </c>
      <c r="D2065" s="8" t="n"/>
      <c r="E2065" s="8" t="n"/>
      <c r="F2065" s="8" t="n"/>
      <c r="G2065" s="8" t="n">
        <v>107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>
        <f>IF(COUNT(D2065:U2065)=0,"",MIN(D2065:U2065))</f>
        <v/>
      </c>
      <c r="W2065" s="8">
        <f>IF(COUNT(D2065:U2065)=0,"",MEDIAN(D2065:U2065))</f>
        <v/>
      </c>
      <c r="X2065" s="8">
        <f>IF(COUNT(D2065:U2065)=0,"",MAX(D2065:U2065))</f>
        <v/>
      </c>
      <c r="Y2065" s="9">
        <f>IF(OR(V2065="",V2065=0),"",(X2065-V2065)/V2065)</f>
        <v/>
      </c>
      <c r="Z2065" s="7">
        <f>IF(COUNT(D2065:U2065)=0,"",INDEX($D$1:$U$1,MATCH(MIN(D2065:U2065),D2065:U2065,0)))</f>
        <v/>
      </c>
      <c r="AA2065" s="8" t="n">
        <v>116</v>
      </c>
      <c r="AB2065" s="10" t="n">
        <v>1</v>
      </c>
    </row>
    <row r="2066">
      <c r="A2066" s="7" t="inlineStr">
        <is>
          <t>MAT-32-715</t>
        </is>
      </c>
      <c r="B2066" s="4" t="inlineStr">
        <is>
          <t>Llave de paso de compuerta de metal 1 1/2"</t>
        </is>
      </c>
      <c r="C2066" s="7" t="inlineStr">
        <is>
          <t>unidad</t>
        </is>
      </c>
      <c r="D2066" s="8" t="n"/>
      <c r="E2066" s="8" t="n"/>
      <c r="F2066" s="8" t="n"/>
      <c r="G2066" s="8" t="n">
        <v>2262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>
        <f>IF(COUNT(D2066:U2066)=0,"",MIN(D2066:U2066))</f>
        <v/>
      </c>
      <c r="W2066" s="8">
        <f>IF(COUNT(D2066:U2066)=0,"",MEDIAN(D2066:U2066))</f>
        <v/>
      </c>
      <c r="X2066" s="8">
        <f>IF(COUNT(D2066:U2066)=0,"",MAX(D2066:U2066))</f>
        <v/>
      </c>
      <c r="Y2066" s="9">
        <f>IF(OR(V2066="",V2066=0),"",(X2066-V2066)/V2066)</f>
        <v/>
      </c>
      <c r="Z2066" s="7">
        <f>IF(COUNT(D2066:U2066)=0,"",INDEX($D$1:$U$1,MATCH(MIN(D2066:U2066),D2066:U2066,0)))</f>
        <v/>
      </c>
      <c r="AA2066" s="8" t="n">
        <v>2262</v>
      </c>
      <c r="AB2066" s="10" t="n">
        <v>1</v>
      </c>
    </row>
    <row r="2067">
      <c r="A2067" s="7" t="inlineStr">
        <is>
          <t>MAT-32-716</t>
        </is>
      </c>
      <c r="B2067" s="4" t="inlineStr">
        <is>
          <t>Llave de paso de compuerta de metal 1/2"</t>
        </is>
      </c>
      <c r="C2067" s="7" t="inlineStr">
        <is>
          <t>unidad</t>
        </is>
      </c>
      <c r="D2067" s="8" t="n"/>
      <c r="E2067" s="8" t="n"/>
      <c r="F2067" s="8" t="n"/>
      <c r="G2067" s="8" t="n">
        <v>858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>
        <f>IF(COUNT(D2067:U2067)=0,"",MIN(D2067:U2067))</f>
        <v/>
      </c>
      <c r="W2067" s="8">
        <f>IF(COUNT(D2067:U2067)=0,"",MEDIAN(D2067:U2067))</f>
        <v/>
      </c>
      <c r="X2067" s="8">
        <f>IF(COUNT(D2067:U2067)=0,"",MAX(D2067:U2067))</f>
        <v/>
      </c>
      <c r="Y2067" s="9">
        <f>IF(OR(V2067="",V2067=0),"",(X2067-V2067)/V2067)</f>
        <v/>
      </c>
      <c r="Z2067" s="7">
        <f>IF(COUNT(D2067:U2067)=0,"",INDEX($D$1:$U$1,MATCH(MIN(D2067:U2067),D2067:U2067,0)))</f>
        <v/>
      </c>
      <c r="AA2067" s="8" t="n">
        <v>858</v>
      </c>
      <c r="AB2067" s="10" t="n">
        <v>1</v>
      </c>
    </row>
    <row r="2068">
      <c r="A2068" s="7" t="inlineStr">
        <is>
          <t>MAT-32-717</t>
        </is>
      </c>
      <c r="B2068" s="4" t="inlineStr">
        <is>
          <t>Llave de paso de compuerta de metal 1"</t>
        </is>
      </c>
      <c r="C2068" s="7" t="inlineStr">
        <is>
          <t>unidad</t>
        </is>
      </c>
      <c r="D2068" s="8" t="n"/>
      <c r="E2068" s="8" t="n"/>
      <c r="F2068" s="8" t="n"/>
      <c r="G2068" s="8" t="n">
        <v>1595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>
        <f>IF(COUNT(D2068:U2068)=0,"",MIN(D2068:U2068))</f>
        <v/>
      </c>
      <c r="W2068" s="8">
        <f>IF(COUNT(D2068:U2068)=0,"",MEDIAN(D2068:U2068))</f>
        <v/>
      </c>
      <c r="X2068" s="8">
        <f>IF(COUNT(D2068:U2068)=0,"",MAX(D2068:U2068))</f>
        <v/>
      </c>
      <c r="Y2068" s="9">
        <f>IF(OR(V2068="",V2068=0),"",(X2068-V2068)/V2068)</f>
        <v/>
      </c>
      <c r="Z2068" s="7">
        <f>IF(COUNT(D2068:U2068)=0,"",INDEX($D$1:$U$1,MATCH(MIN(D2068:U2068),D2068:U2068,0)))</f>
        <v/>
      </c>
      <c r="AA2068" s="8" t="n">
        <v>1595</v>
      </c>
      <c r="AB2068" s="10" t="n">
        <v>1</v>
      </c>
    </row>
    <row r="2069">
      <c r="A2069" s="7" t="inlineStr">
        <is>
          <t>MAT-32-718</t>
        </is>
      </c>
      <c r="B2069" s="4" t="inlineStr">
        <is>
          <t>Llave de paso de compuerta de metal 3/4"</t>
        </is>
      </c>
      <c r="C2069" s="7" t="inlineStr">
        <is>
          <t>unidad</t>
        </is>
      </c>
      <c r="D2069" s="8" t="n"/>
      <c r="E2069" s="8" t="n"/>
      <c r="F2069" s="8" t="n"/>
      <c r="G2069" s="8" t="n">
        <v>1248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>
        <f>IF(COUNT(D2069:U2069)=0,"",MIN(D2069:U2069))</f>
        <v/>
      </c>
      <c r="W2069" s="8">
        <f>IF(COUNT(D2069:U2069)=0,"",MEDIAN(D2069:U2069))</f>
        <v/>
      </c>
      <c r="X2069" s="8">
        <f>IF(COUNT(D2069:U2069)=0,"",MAX(D2069:U2069))</f>
        <v/>
      </c>
      <c r="Y2069" s="9">
        <f>IF(OR(V2069="",V2069=0),"",(X2069-V2069)/V2069)</f>
        <v/>
      </c>
      <c r="Z2069" s="7">
        <f>IF(COUNT(D2069:U2069)=0,"",INDEX($D$1:$U$1,MATCH(MIN(D2069:U2069),D2069:U2069,0)))</f>
        <v/>
      </c>
      <c r="AA2069" s="8" t="n">
        <v>1248</v>
      </c>
      <c r="AB2069" s="10" t="n">
        <v>1</v>
      </c>
    </row>
    <row r="2070">
      <c r="A2070" s="7" t="inlineStr">
        <is>
          <t>MAT-32-719</t>
        </is>
      </c>
      <c r="B2070" s="4" t="inlineStr">
        <is>
          <t>Llave de paso de rosca macho de metal 1/2"</t>
        </is>
      </c>
      <c r="C2070" s="7" t="inlineStr">
        <is>
          <t>unidad</t>
        </is>
      </c>
      <c r="D2070" s="8" t="n"/>
      <c r="E2070" s="8" t="n"/>
      <c r="F2070" s="8" t="n"/>
      <c r="G2070" s="8" t="n">
        <v>338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>
        <f>IF(COUNT(D2070:U2070)=0,"",MIN(D2070:U2070))</f>
        <v/>
      </c>
      <c r="W2070" s="8">
        <f>IF(COUNT(D2070:U2070)=0,"",MEDIAN(D2070:U2070))</f>
        <v/>
      </c>
      <c r="X2070" s="8">
        <f>IF(COUNT(D2070:U2070)=0,"",MAX(D2070:U2070))</f>
        <v/>
      </c>
      <c r="Y2070" s="9">
        <f>IF(OR(V2070="",V2070=0),"",(X2070-V2070)/V2070)</f>
        <v/>
      </c>
      <c r="Z2070" s="7">
        <f>IF(COUNT(D2070:U2070)=0,"",INDEX($D$1:$U$1,MATCH(MIN(D2070:U2070),D2070:U2070,0)))</f>
        <v/>
      </c>
      <c r="AA2070" s="8" t="n">
        <v>875</v>
      </c>
      <c r="AB2070" s="10" t="n">
        <v>1</v>
      </c>
    </row>
    <row r="2071">
      <c r="A2071" s="7" t="inlineStr">
        <is>
          <t>MAT-32-720</t>
        </is>
      </c>
      <c r="B2071" s="4" t="inlineStr">
        <is>
          <t>Llave de paso de rosca macho de metal 3/4"</t>
        </is>
      </c>
      <c r="C2071" s="7" t="inlineStr">
        <is>
          <t>unidad</t>
        </is>
      </c>
      <c r="D2071" s="8" t="n"/>
      <c r="E2071" s="8" t="n"/>
      <c r="F2071" s="8" t="n"/>
      <c r="G2071" s="8" t="n">
        <v>487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>
        <f>IF(COUNT(D2071:U2071)=0,"",MIN(D2071:U2071))</f>
        <v/>
      </c>
      <c r="W2071" s="8">
        <f>IF(COUNT(D2071:U2071)=0,"",MEDIAN(D2071:U2071))</f>
        <v/>
      </c>
      <c r="X2071" s="8">
        <f>IF(COUNT(D2071:U2071)=0,"",MAX(D2071:U2071))</f>
        <v/>
      </c>
      <c r="Y2071" s="9">
        <f>IF(OR(V2071="",V2071=0),"",(X2071-V2071)/V2071)</f>
        <v/>
      </c>
      <c r="Z2071" s="7">
        <f>IF(COUNT(D2071:U2071)=0,"",INDEX($D$1:$U$1,MATCH(MIN(D2071:U2071),D2071:U2071,0)))</f>
        <v/>
      </c>
      <c r="AA2071" s="8" t="n">
        <v>816</v>
      </c>
      <c r="AB2071" s="10" t="n">
        <v>1</v>
      </c>
    </row>
    <row r="2072">
      <c r="A2072" s="7" t="inlineStr">
        <is>
          <t>MAT-32-721</t>
        </is>
      </c>
      <c r="B2072" s="4" t="inlineStr">
        <is>
          <t>Válvula de retención (cheque) 1 1/2"</t>
        </is>
      </c>
      <c r="C2072" s="7" t="inlineStr">
        <is>
          <t>unidad</t>
        </is>
      </c>
      <c r="D2072" s="8" t="n"/>
      <c r="E2072" s="8" t="n">
        <v>995</v>
      </c>
      <c r="F2072" s="8" t="n"/>
      <c r="G2072" s="8" t="n">
        <v>1757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>
        <f>IF(COUNT(D2072:U2072)=0,"",MIN(D2072:U2072))</f>
        <v/>
      </c>
      <c r="W2072" s="8">
        <f>IF(COUNT(D2072:U2072)=0,"",MEDIAN(D2072:U2072))</f>
        <v/>
      </c>
      <c r="X2072" s="8">
        <f>IF(COUNT(D2072:U2072)=0,"",MAX(D2072:U2072))</f>
        <v/>
      </c>
      <c r="Y2072" s="9">
        <f>IF(OR(V2072="",V2072=0),"",(X2072-V2072)/V2072)</f>
        <v/>
      </c>
      <c r="Z2072" s="7">
        <f>IF(COUNT(D2072:U2072)=0,"",INDEX($D$1:$U$1,MATCH(MIN(D2072:U2072),D2072:U2072,0)))</f>
        <v/>
      </c>
      <c r="AA2072" s="8" t="n">
        <v>1858</v>
      </c>
      <c r="AB2072" s="10" t="n">
        <v>2</v>
      </c>
    </row>
    <row r="2073">
      <c r="A2073" s="7" t="inlineStr">
        <is>
          <t>MAT-32-722</t>
        </is>
      </c>
      <c r="B2073" s="4" t="inlineStr">
        <is>
          <t>Válvula de retención (cheque) 1 1/4"</t>
        </is>
      </c>
      <c r="C2073" s="7" t="inlineStr">
        <is>
          <t>unidad</t>
        </is>
      </c>
      <c r="D2073" s="8" t="n"/>
      <c r="E2073" s="8" t="n">
        <v>1394</v>
      </c>
      <c r="F2073" s="8" t="n"/>
      <c r="G2073" s="8" t="n"/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>
        <f>IF(COUNT(D2073:U2073)=0,"",MIN(D2073:U2073))</f>
        <v/>
      </c>
      <c r="W2073" s="8">
        <f>IF(COUNT(D2073:U2073)=0,"",MEDIAN(D2073:U2073))</f>
        <v/>
      </c>
      <c r="X2073" s="8">
        <f>IF(COUNT(D2073:U2073)=0,"",MAX(D2073:U2073))</f>
        <v/>
      </c>
      <c r="Y2073" s="9">
        <f>IF(OR(V2073="",V2073=0),"",(X2073-V2073)/V2073)</f>
        <v/>
      </c>
      <c r="Z2073" s="7">
        <f>IF(COUNT(D2073:U2073)=0,"",INDEX($D$1:$U$1,MATCH(MIN(D2073:U2073),D2073:U2073,0)))</f>
        <v/>
      </c>
      <c r="AA2073" s="8" t="n">
        <v>1444.5</v>
      </c>
      <c r="AB2073" s="10" t="n">
        <v>1</v>
      </c>
    </row>
    <row r="2074">
      <c r="A2074" s="7" t="inlineStr">
        <is>
          <t>MAT-32-723</t>
        </is>
      </c>
      <c r="B2074" s="4" t="inlineStr">
        <is>
          <t>Válvula de retención (cheque) 1/2"</t>
        </is>
      </c>
      <c r="C2074" s="7" t="inlineStr">
        <is>
          <t>unidad</t>
        </is>
      </c>
      <c r="D2074" s="8" t="n"/>
      <c r="E2074" s="8" t="n">
        <v>502</v>
      </c>
      <c r="F2074" s="8" t="n"/>
      <c r="G2074" s="8" t="n">
        <v>535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>
        <f>IF(COUNT(D2074:U2074)=0,"",MIN(D2074:U2074))</f>
        <v/>
      </c>
      <c r="W2074" s="8">
        <f>IF(COUNT(D2074:U2074)=0,"",MEDIAN(D2074:U2074))</f>
        <v/>
      </c>
      <c r="X2074" s="8">
        <f>IF(COUNT(D2074:U2074)=0,"",MAX(D2074:U2074))</f>
        <v/>
      </c>
      <c r="Y2074" s="9">
        <f>IF(OR(V2074="",V2074=0),"",(X2074-V2074)/V2074)</f>
        <v/>
      </c>
      <c r="Z2074" s="7">
        <f>IF(COUNT(D2074:U2074)=0,"",INDEX($D$1:$U$1,MATCH(MIN(D2074:U2074),D2074:U2074,0)))</f>
        <v/>
      </c>
      <c r="AA2074" s="8" t="n">
        <v>535</v>
      </c>
      <c r="AB2074" s="10" t="n">
        <v>2</v>
      </c>
    </row>
    <row r="2075">
      <c r="A2075" s="7" t="inlineStr">
        <is>
          <t>MAT-32-724</t>
        </is>
      </c>
      <c r="B2075" s="4" t="inlineStr">
        <is>
          <t>Válvula de retención (cheque) 1"</t>
        </is>
      </c>
      <c r="C2075" s="7" t="inlineStr">
        <is>
          <t>unidad</t>
        </is>
      </c>
      <c r="D2075" s="8" t="n"/>
      <c r="E2075" s="8" t="n">
        <v>399</v>
      </c>
      <c r="F2075" s="8" t="n"/>
      <c r="G2075" s="8" t="n">
        <v>1048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>
        <f>IF(COUNT(D2075:U2075)=0,"",MIN(D2075:U2075))</f>
        <v/>
      </c>
      <c r="W2075" s="8">
        <f>IF(COUNT(D2075:U2075)=0,"",MEDIAN(D2075:U2075))</f>
        <v/>
      </c>
      <c r="X2075" s="8">
        <f>IF(COUNT(D2075:U2075)=0,"",MAX(D2075:U2075))</f>
        <v/>
      </c>
      <c r="Y2075" s="9">
        <f>IF(OR(V2075="",V2075=0),"",(X2075-V2075)/V2075)</f>
        <v/>
      </c>
      <c r="Z2075" s="7">
        <f>IF(COUNT(D2075:U2075)=0,"",INDEX($D$1:$U$1,MATCH(MIN(D2075:U2075),D2075:U2075,0)))</f>
        <v/>
      </c>
      <c r="AA2075" s="8" t="n">
        <v>955</v>
      </c>
      <c r="AB2075" s="10" t="n">
        <v>2</v>
      </c>
    </row>
    <row r="2076">
      <c r="A2076" s="7" t="inlineStr">
        <is>
          <t>MAT-32-725</t>
        </is>
      </c>
      <c r="B2076" s="4" t="inlineStr">
        <is>
          <t>Válvula de retención (cheque) 2"</t>
        </is>
      </c>
      <c r="C2076" s="7" t="inlineStr">
        <is>
          <t>unidad</t>
        </is>
      </c>
      <c r="D2076" s="8" t="n"/>
      <c r="E2076" s="8" t="n">
        <v>435</v>
      </c>
      <c r="F2076" s="8" t="n"/>
      <c r="G2076" s="8" t="n">
        <v>2946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>
        <f>IF(COUNT(D2076:U2076)=0,"",MIN(D2076:U2076))</f>
        <v/>
      </c>
      <c r="W2076" s="8">
        <f>IF(COUNT(D2076:U2076)=0,"",MEDIAN(D2076:U2076))</f>
        <v/>
      </c>
      <c r="X2076" s="8">
        <f>IF(COUNT(D2076:U2076)=0,"",MAX(D2076:U2076))</f>
        <v/>
      </c>
      <c r="Y2076" s="9">
        <f>IF(OR(V2076="",V2076=0),"",(X2076-V2076)/V2076)</f>
        <v/>
      </c>
      <c r="Z2076" s="7">
        <f>IF(COUNT(D2076:U2076)=0,"",INDEX($D$1:$U$1,MATCH(MIN(D2076:U2076),D2076:U2076,0)))</f>
        <v/>
      </c>
      <c r="AA2076" s="8" t="n">
        <v>2864</v>
      </c>
      <c r="AB2076" s="10" t="n">
        <v>2</v>
      </c>
    </row>
    <row r="2077">
      <c r="A2077" s="7" t="inlineStr">
        <is>
          <t>MAT-32-726</t>
        </is>
      </c>
      <c r="B2077" s="4" t="inlineStr">
        <is>
          <t>Válvula de retención (cheque) 3/4"</t>
        </is>
      </c>
      <c r="C2077" s="7" t="inlineStr">
        <is>
          <t>unidad</t>
        </is>
      </c>
      <c r="D2077" s="8" t="n"/>
      <c r="E2077" s="8" t="n">
        <v>586</v>
      </c>
      <c r="F2077" s="8" t="n"/>
      <c r="G2077" s="8" t="n">
        <v>695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>
        <f>IF(COUNT(D2077:U2077)=0,"",MIN(D2077:U2077))</f>
        <v/>
      </c>
      <c r="W2077" s="8">
        <f>IF(COUNT(D2077:U2077)=0,"",MEDIAN(D2077:U2077))</f>
        <v/>
      </c>
      <c r="X2077" s="8">
        <f>IF(COUNT(D2077:U2077)=0,"",MAX(D2077:U2077))</f>
        <v/>
      </c>
      <c r="Y2077" s="9">
        <f>IF(OR(V2077="",V2077=0),"",(X2077-V2077)/V2077)</f>
        <v/>
      </c>
      <c r="Z2077" s="7">
        <f>IF(COUNT(D2077:U2077)=0,"",INDEX($D$1:$U$1,MATCH(MIN(D2077:U2077),D2077:U2077,0)))</f>
        <v/>
      </c>
      <c r="AA2077" s="8" t="n">
        <v>695</v>
      </c>
      <c r="AB2077" s="10" t="n">
        <v>2</v>
      </c>
    </row>
    <row r="2078">
      <c r="A2078" s="7" t="inlineStr">
        <is>
          <t>MAT-32-727</t>
        </is>
      </c>
      <c r="B2078" s="4" t="inlineStr">
        <is>
          <t>Válvula de retención (cheque) 3"</t>
        </is>
      </c>
      <c r="C2078" s="7" t="inlineStr">
        <is>
          <t>unidad</t>
        </is>
      </c>
      <c r="D2078" s="8" t="n"/>
      <c r="E2078" s="8" t="n">
        <v>6059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>
        <f>IF(COUNT(D2078:U2078)=0,"",MIN(D2078:U2078))</f>
        <v/>
      </c>
      <c r="W2078" s="8">
        <f>IF(COUNT(D2078:U2078)=0,"",MEDIAN(D2078:U2078))</f>
        <v/>
      </c>
      <c r="X2078" s="8">
        <f>IF(COUNT(D2078:U2078)=0,"",MAX(D2078:U2078))</f>
        <v/>
      </c>
      <c r="Y2078" s="9">
        <f>IF(OR(V2078="",V2078=0),"",(X2078-V2078)/V2078)</f>
        <v/>
      </c>
      <c r="Z2078" s="7">
        <f>IF(COUNT(D2078:U2078)=0,"",INDEX($D$1:$U$1,MATCH(MIN(D2078:U2078),D2078:U2078,0)))</f>
        <v/>
      </c>
      <c r="AA2078" s="8" t="n">
        <v>7885</v>
      </c>
      <c r="AB2078" s="10" t="n">
        <v>1</v>
      </c>
    </row>
    <row r="2079">
      <c r="A2079" s="7" t="inlineStr">
        <is>
          <t>MAT-32-728</t>
        </is>
      </c>
      <c r="B2079" s="4" t="inlineStr">
        <is>
          <t>Válvula de retención (cheque) 4"</t>
        </is>
      </c>
      <c r="C2079" s="7" t="inlineStr">
        <is>
          <t>unidad</t>
        </is>
      </c>
      <c r="D2079" s="8" t="n"/>
      <c r="E2079" s="8" t="n">
        <v>12582</v>
      </c>
      <c r="F2079" s="8" t="n"/>
      <c r="G2079" s="8" t="n"/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>
        <f>IF(COUNT(D2079:U2079)=0,"",MIN(D2079:U2079))</f>
        <v/>
      </c>
      <c r="W2079" s="8">
        <f>IF(COUNT(D2079:U2079)=0,"",MEDIAN(D2079:U2079))</f>
        <v/>
      </c>
      <c r="X2079" s="8">
        <f>IF(COUNT(D2079:U2079)=0,"",MAX(D2079:U2079))</f>
        <v/>
      </c>
      <c r="Y2079" s="9">
        <f>IF(OR(V2079="",V2079=0),"",(X2079-V2079)/V2079)</f>
        <v/>
      </c>
      <c r="Z2079" s="7">
        <f>IF(COUNT(D2079:U2079)=0,"",INDEX($D$1:$U$1,MATCH(MIN(D2079:U2079),D2079:U2079,0)))</f>
        <v/>
      </c>
      <c r="AA2079" s="8" t="n">
        <v>14372</v>
      </c>
      <c r="AB2079" s="10" t="n">
        <v>1</v>
      </c>
    </row>
    <row r="2080">
      <c r="A2080" s="7" t="inlineStr">
        <is>
          <t>MAT-32-729</t>
        </is>
      </c>
      <c r="B2080" s="4" t="inlineStr">
        <is>
          <t>Válvula de cisterna con flotante 1/2"</t>
        </is>
      </c>
      <c r="C2080" s="7" t="inlineStr">
        <is>
          <t>unidad</t>
        </is>
      </c>
      <c r="D2080" s="8" t="n"/>
      <c r="E2080" s="8" t="n"/>
      <c r="F2080" s="8" t="n"/>
      <c r="G2080" s="8" t="n">
        <v>616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>
        <f>IF(COUNT(D2080:U2080)=0,"",MIN(D2080:U2080))</f>
        <v/>
      </c>
      <c r="W2080" s="8">
        <f>IF(COUNT(D2080:U2080)=0,"",MEDIAN(D2080:U2080))</f>
        <v/>
      </c>
      <c r="X2080" s="8">
        <f>IF(COUNT(D2080:U2080)=0,"",MAX(D2080:U2080))</f>
        <v/>
      </c>
      <c r="Y2080" s="9">
        <f>IF(OR(V2080="",V2080=0),"",(X2080-V2080)/V2080)</f>
        <v/>
      </c>
      <c r="Z2080" s="7">
        <f>IF(COUNT(D2080:U2080)=0,"",INDEX($D$1:$U$1,MATCH(MIN(D2080:U2080),D2080:U2080,0)))</f>
        <v/>
      </c>
      <c r="AA2080" s="8" t="n">
        <v>734.5</v>
      </c>
      <c r="AB2080" s="10" t="n">
        <v>1</v>
      </c>
    </row>
    <row r="2081">
      <c r="A2081" s="7" t="inlineStr">
        <is>
          <t>MAT-32-730</t>
        </is>
      </c>
      <c r="B2081" s="4" t="inlineStr">
        <is>
          <t>Válvula de cisterna con flotante 3/4"</t>
        </is>
      </c>
      <c r="C2081" s="7" t="inlineStr">
        <is>
          <t>unidad</t>
        </is>
      </c>
      <c r="D2081" s="8" t="n"/>
      <c r="E2081" s="8" t="n"/>
      <c r="F2081" s="8" t="n"/>
      <c r="G2081" s="8" t="n">
        <v>615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>
        <f>IF(COUNT(D2081:U2081)=0,"",MIN(D2081:U2081))</f>
        <v/>
      </c>
      <c r="W2081" s="8">
        <f>IF(COUNT(D2081:U2081)=0,"",MEDIAN(D2081:U2081))</f>
        <v/>
      </c>
      <c r="X2081" s="8">
        <f>IF(COUNT(D2081:U2081)=0,"",MAX(D2081:U2081))</f>
        <v/>
      </c>
      <c r="Y2081" s="9">
        <f>IF(OR(V2081="",V2081=0),"",(X2081-V2081)/V2081)</f>
        <v/>
      </c>
      <c r="Z2081" s="7">
        <f>IF(COUNT(D2081:U2081)=0,"",INDEX($D$1:$U$1,MATCH(MIN(D2081:U2081),D2081:U2081,0)))</f>
        <v/>
      </c>
      <c r="AA2081" s="8" t="n">
        <v>943</v>
      </c>
      <c r="AB2081" s="10" t="n">
        <v>1</v>
      </c>
    </row>
    <row r="2082">
      <c r="A2082" s="7" t="inlineStr">
        <is>
          <t>MAT-32-731</t>
        </is>
      </c>
      <c r="B2082" s="4" t="inlineStr">
        <is>
          <t>Rejilla de piso 10 x 10 cm</t>
        </is>
      </c>
      <c r="C2082" s="7" t="inlineStr">
        <is>
          <t>unidad</t>
        </is>
      </c>
      <c r="D2082" s="8" t="n"/>
      <c r="E2082" s="8" t="n"/>
      <c r="F2082" s="8" t="n"/>
      <c r="G2082" s="8" t="n">
        <v>306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>
        <f>IF(COUNT(D2082:U2082)=0,"",MIN(D2082:U2082))</f>
        <v/>
      </c>
      <c r="W2082" s="8">
        <f>IF(COUNT(D2082:U2082)=0,"",MEDIAN(D2082:U2082))</f>
        <v/>
      </c>
      <c r="X2082" s="8">
        <f>IF(COUNT(D2082:U2082)=0,"",MAX(D2082:U2082))</f>
        <v/>
      </c>
      <c r="Y2082" s="9">
        <f>IF(OR(V2082="",V2082=0),"",(X2082-V2082)/V2082)</f>
        <v/>
      </c>
      <c r="Z2082" s="7">
        <f>IF(COUNT(D2082:U2082)=0,"",INDEX($D$1:$U$1,MATCH(MIN(D2082:U2082),D2082:U2082,0)))</f>
        <v/>
      </c>
      <c r="AA2082" s="8" t="n">
        <v>310</v>
      </c>
      <c r="AB2082" s="10" t="n">
        <v>1</v>
      </c>
    </row>
    <row r="2083">
      <c r="A2083" s="7" t="inlineStr">
        <is>
          <t>MAT-32-732</t>
        </is>
      </c>
      <c r="B2083" s="4" t="inlineStr">
        <is>
          <t>Rejilla de piso 100 x 100 cm</t>
        </is>
      </c>
      <c r="C2083" s="7" t="inlineStr">
        <is>
          <t>unidad</t>
        </is>
      </c>
      <c r="D2083" s="8" t="n"/>
      <c r="E2083" s="8" t="n"/>
      <c r="F2083" s="8" t="n"/>
      <c r="G2083" s="8" t="n">
        <v>1173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>
        <f>IF(COUNT(D2083:U2083)=0,"",MIN(D2083:U2083))</f>
        <v/>
      </c>
      <c r="W2083" s="8">
        <f>IF(COUNT(D2083:U2083)=0,"",MEDIAN(D2083:U2083))</f>
        <v/>
      </c>
      <c r="X2083" s="8">
        <f>IF(COUNT(D2083:U2083)=0,"",MAX(D2083:U2083))</f>
        <v/>
      </c>
      <c r="Y2083" s="9">
        <f>IF(OR(V2083="",V2083=0),"",(X2083-V2083)/V2083)</f>
        <v/>
      </c>
      <c r="Z2083" s="7">
        <f>IF(COUNT(D2083:U2083)=0,"",INDEX($D$1:$U$1,MATCH(MIN(D2083:U2083),D2083:U2083,0)))</f>
        <v/>
      </c>
      <c r="AA2083" s="8" t="n">
        <v>1173</v>
      </c>
      <c r="AB2083" s="10" t="n">
        <v>1</v>
      </c>
    </row>
    <row r="2084">
      <c r="A2084" s="7" t="inlineStr">
        <is>
          <t>MAT-32-733</t>
        </is>
      </c>
      <c r="B2084" s="4" t="inlineStr">
        <is>
          <t>Rejilla de piso 10"</t>
        </is>
      </c>
      <c r="C2084" s="7" t="inlineStr">
        <is>
          <t>unidad</t>
        </is>
      </c>
      <c r="D2084" s="8" t="n"/>
      <c r="E2084" s="8" t="n"/>
      <c r="F2084" s="8" t="n"/>
      <c r="G2084" s="8" t="n">
        <v>968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>
        <f>IF(COUNT(D2084:U2084)=0,"",MIN(D2084:U2084))</f>
        <v/>
      </c>
      <c r="W2084" s="8">
        <f>IF(COUNT(D2084:U2084)=0,"",MEDIAN(D2084:U2084))</f>
        <v/>
      </c>
      <c r="X2084" s="8">
        <f>IF(COUNT(D2084:U2084)=0,"",MAX(D2084:U2084))</f>
        <v/>
      </c>
      <c r="Y2084" s="9">
        <f>IF(OR(V2084="",V2084=0),"",(X2084-V2084)/V2084)</f>
        <v/>
      </c>
      <c r="Z2084" s="7">
        <f>IF(COUNT(D2084:U2084)=0,"",INDEX($D$1:$U$1,MATCH(MIN(D2084:U2084),D2084:U2084,0)))</f>
        <v/>
      </c>
      <c r="AA2084" s="8" t="n">
        <v>1196</v>
      </c>
      <c r="AB2084" s="10" t="n">
        <v>1</v>
      </c>
    </row>
    <row r="2085">
      <c r="A2085" s="7" t="inlineStr">
        <is>
          <t>MAT-32-734</t>
        </is>
      </c>
      <c r="B2085" s="4" t="inlineStr">
        <is>
          <t>Rejilla de piso 15 x 15 cm</t>
        </is>
      </c>
      <c r="C2085" s="7" t="inlineStr">
        <is>
          <t>unidad</t>
        </is>
      </c>
      <c r="D2085" s="8" t="n"/>
      <c r="E2085" s="8" t="n"/>
      <c r="F2085" s="8" t="n"/>
      <c r="G2085" s="8" t="n">
        <v>413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>
        <f>IF(COUNT(D2085:U2085)=0,"",MIN(D2085:U2085))</f>
        <v/>
      </c>
      <c r="W2085" s="8">
        <f>IF(COUNT(D2085:U2085)=0,"",MEDIAN(D2085:U2085))</f>
        <v/>
      </c>
      <c r="X2085" s="8">
        <f>IF(COUNT(D2085:U2085)=0,"",MAX(D2085:U2085))</f>
        <v/>
      </c>
      <c r="Y2085" s="9">
        <f>IF(OR(V2085="",V2085=0),"",(X2085-V2085)/V2085)</f>
        <v/>
      </c>
      <c r="Z2085" s="7">
        <f>IF(COUNT(D2085:U2085)=0,"",INDEX($D$1:$U$1,MATCH(MIN(D2085:U2085),D2085:U2085,0)))</f>
        <v/>
      </c>
      <c r="AA2085" s="8" t="n">
        <v>1233.5</v>
      </c>
      <c r="AB2085" s="10" t="n">
        <v>1</v>
      </c>
    </row>
    <row r="2086">
      <c r="A2086" s="7" t="inlineStr">
        <is>
          <t>MAT-32-735</t>
        </is>
      </c>
      <c r="B2086" s="4" t="inlineStr">
        <is>
          <t>Rejilla de piso 20 x 20 cm</t>
        </is>
      </c>
      <c r="C2086" s="7" t="inlineStr">
        <is>
          <t>unidad</t>
        </is>
      </c>
      <c r="D2086" s="8" t="n"/>
      <c r="E2086" s="8" t="n"/>
      <c r="F2086" s="8" t="n"/>
      <c r="G2086" s="8" t="n">
        <v>572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>
        <f>IF(COUNT(D2086:U2086)=0,"",MIN(D2086:U2086))</f>
        <v/>
      </c>
      <c r="W2086" s="8">
        <f>IF(COUNT(D2086:U2086)=0,"",MEDIAN(D2086:U2086))</f>
        <v/>
      </c>
      <c r="X2086" s="8">
        <f>IF(COUNT(D2086:U2086)=0,"",MAX(D2086:U2086))</f>
        <v/>
      </c>
      <c r="Y2086" s="9">
        <f>IF(OR(V2086="",V2086=0),"",(X2086-V2086)/V2086)</f>
        <v/>
      </c>
      <c r="Z2086" s="7">
        <f>IF(COUNT(D2086:U2086)=0,"",INDEX($D$1:$U$1,MATCH(MIN(D2086:U2086),D2086:U2086,0)))</f>
        <v/>
      </c>
      <c r="AA2086" s="8" t="n">
        <v>572</v>
      </c>
      <c r="AB2086" s="10" t="n">
        <v>1</v>
      </c>
    </row>
    <row r="2087">
      <c r="A2087" s="7" t="inlineStr">
        <is>
          <t>MAT-32-736</t>
        </is>
      </c>
      <c r="B2087" s="4" t="inlineStr">
        <is>
          <t>Rejilla de piso 2"</t>
        </is>
      </c>
      <c r="C2087" s="7" t="inlineStr">
        <is>
          <t>unidad</t>
        </is>
      </c>
      <c r="D2087" s="8" t="n"/>
      <c r="E2087" s="8" t="n"/>
      <c r="F2087" s="8" t="n"/>
      <c r="G2087" s="8" t="n">
        <v>199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>
        <f>IF(COUNT(D2087:U2087)=0,"",MIN(D2087:U2087))</f>
        <v/>
      </c>
      <c r="W2087" s="8">
        <f>IF(COUNT(D2087:U2087)=0,"",MEDIAN(D2087:U2087))</f>
        <v/>
      </c>
      <c r="X2087" s="8">
        <f>IF(COUNT(D2087:U2087)=0,"",MAX(D2087:U2087))</f>
        <v/>
      </c>
      <c r="Y2087" s="9">
        <f>IF(OR(V2087="",V2087=0),"",(X2087-V2087)/V2087)</f>
        <v/>
      </c>
      <c r="Z2087" s="7">
        <f>IF(COUNT(D2087:U2087)=0,"",INDEX($D$1:$U$1,MATCH(MIN(D2087:U2087),D2087:U2087,0)))</f>
        <v/>
      </c>
      <c r="AA2087" s="8" t="n">
        <v>648</v>
      </c>
      <c r="AB2087" s="10" t="n">
        <v>1</v>
      </c>
    </row>
    <row r="2088">
      <c r="A2088" s="7" t="inlineStr">
        <is>
          <t>MAT-32-737</t>
        </is>
      </c>
      <c r="B2088" s="4" t="inlineStr">
        <is>
          <t>Rejilla de piso 3 1/2"</t>
        </is>
      </c>
      <c r="C2088" s="7" t="inlineStr">
        <is>
          <t>unidad</t>
        </is>
      </c>
      <c r="D2088" s="8" t="n"/>
      <c r="E2088" s="8" t="n"/>
      <c r="F2088" s="8" t="n"/>
      <c r="G2088" s="8" t="n">
        <v>368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>
        <f>IF(COUNT(D2088:U2088)=0,"",MIN(D2088:U2088))</f>
        <v/>
      </c>
      <c r="W2088" s="8">
        <f>IF(COUNT(D2088:U2088)=0,"",MEDIAN(D2088:U2088))</f>
        <v/>
      </c>
      <c r="X2088" s="8">
        <f>IF(COUNT(D2088:U2088)=0,"",MAX(D2088:U2088))</f>
        <v/>
      </c>
      <c r="Y2088" s="9">
        <f>IF(OR(V2088="",V2088=0),"",(X2088-V2088)/V2088)</f>
        <v/>
      </c>
      <c r="Z2088" s="7">
        <f>IF(COUNT(D2088:U2088)=0,"",INDEX($D$1:$U$1,MATCH(MIN(D2088:U2088),D2088:U2088,0)))</f>
        <v/>
      </c>
      <c r="AA2088" s="8" t="n">
        <v>384.5</v>
      </c>
      <c r="AB2088" s="10" t="n">
        <v>1</v>
      </c>
    </row>
    <row r="2089">
      <c r="A2089" s="7" t="inlineStr">
        <is>
          <t>MAT-32-738</t>
        </is>
      </c>
      <c r="B2089" s="4" t="inlineStr">
        <is>
          <t>Rejilla de piso 3"</t>
        </is>
      </c>
      <c r="C2089" s="7" t="inlineStr">
        <is>
          <t>unidad</t>
        </is>
      </c>
      <c r="D2089" s="8" t="n"/>
      <c r="E2089" s="8" t="n"/>
      <c r="F2089" s="8" t="n"/>
      <c r="G2089" s="8" t="n">
        <v>356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>
        <f>IF(COUNT(D2089:U2089)=0,"",MIN(D2089:U2089))</f>
        <v/>
      </c>
      <c r="W2089" s="8">
        <f>IF(COUNT(D2089:U2089)=0,"",MEDIAN(D2089:U2089))</f>
        <v/>
      </c>
      <c r="X2089" s="8">
        <f>IF(COUNT(D2089:U2089)=0,"",MAX(D2089:U2089))</f>
        <v/>
      </c>
      <c r="Y2089" s="9">
        <f>IF(OR(V2089="",V2089=0),"",(X2089-V2089)/V2089)</f>
        <v/>
      </c>
      <c r="Z2089" s="7">
        <f>IF(COUNT(D2089:U2089)=0,"",INDEX($D$1:$U$1,MATCH(MIN(D2089:U2089),D2089:U2089,0)))</f>
        <v/>
      </c>
      <c r="AA2089" s="8" t="n">
        <v>460.5</v>
      </c>
      <c r="AB2089" s="10" t="n">
        <v>1</v>
      </c>
    </row>
    <row r="2090">
      <c r="A2090" s="7" t="inlineStr">
        <is>
          <t>MAT-32-739</t>
        </is>
      </c>
      <c r="B2090" s="4" t="inlineStr">
        <is>
          <t>Rejilla de piso 4"</t>
        </is>
      </c>
      <c r="C2090" s="7" t="inlineStr">
        <is>
          <t>unidad</t>
        </is>
      </c>
      <c r="D2090" s="8" t="n"/>
      <c r="E2090" s="8" t="n"/>
      <c r="F2090" s="8" t="n"/>
      <c r="G2090" s="8" t="n">
        <v>453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>
        <f>IF(COUNT(D2090:U2090)=0,"",MIN(D2090:U2090))</f>
        <v/>
      </c>
      <c r="W2090" s="8">
        <f>IF(COUNT(D2090:U2090)=0,"",MEDIAN(D2090:U2090))</f>
        <v/>
      </c>
      <c r="X2090" s="8">
        <f>IF(COUNT(D2090:U2090)=0,"",MAX(D2090:U2090))</f>
        <v/>
      </c>
      <c r="Y2090" s="9">
        <f>IF(OR(V2090="",V2090=0),"",(X2090-V2090)/V2090)</f>
        <v/>
      </c>
      <c r="Z2090" s="7">
        <f>IF(COUNT(D2090:U2090)=0,"",INDEX($D$1:$U$1,MATCH(MIN(D2090:U2090),D2090:U2090,0)))</f>
        <v/>
      </c>
      <c r="AA2090" s="8" t="n">
        <v>481.5</v>
      </c>
      <c r="AB2090" s="10" t="n">
        <v>1</v>
      </c>
    </row>
    <row r="2091">
      <c r="A2091" s="7" t="inlineStr">
        <is>
          <t>MAT-32-740</t>
        </is>
      </c>
      <c r="B2091" s="4" t="inlineStr">
        <is>
          <t>Rejilla de piso 6 x 6"</t>
        </is>
      </c>
      <c r="C2091" s="7" t="inlineStr">
        <is>
          <t>unidad</t>
        </is>
      </c>
      <c r="D2091" s="8" t="n"/>
      <c r="E2091" s="8" t="n"/>
      <c r="F2091" s="8" t="n"/>
      <c r="G2091" s="8" t="n"/>
      <c r="H2091" s="8" t="n"/>
      <c r="I2091" s="8" t="n">
        <v>3129</v>
      </c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>
        <f>IF(COUNT(D2091:U2091)=0,"",MIN(D2091:U2091))</f>
        <v/>
      </c>
      <c r="W2091" s="8">
        <f>IF(COUNT(D2091:U2091)=0,"",MEDIAN(D2091:U2091))</f>
        <v/>
      </c>
      <c r="X2091" s="8">
        <f>IF(COUNT(D2091:U2091)=0,"",MAX(D2091:U2091))</f>
        <v/>
      </c>
      <c r="Y2091" s="9">
        <f>IF(OR(V2091="",V2091=0),"",(X2091-V2091)/V2091)</f>
        <v/>
      </c>
      <c r="Z2091" s="7">
        <f>IF(COUNT(D2091:U2091)=0,"",INDEX($D$1:$U$1,MATCH(MIN(D2091:U2091),D2091:U2091,0)))</f>
        <v/>
      </c>
      <c r="AA2091" s="8" t="n">
        <v>3129</v>
      </c>
      <c r="AB2091" s="10" t="n">
        <v>1</v>
      </c>
    </row>
    <row r="2092">
      <c r="A2092" s="7" t="inlineStr">
        <is>
          <t>MAT-32-741</t>
        </is>
      </c>
      <c r="B2092" s="4" t="inlineStr">
        <is>
          <t>Rejilla de piso 6"</t>
        </is>
      </c>
      <c r="C2092" s="7" t="inlineStr">
        <is>
          <t>unidad</t>
        </is>
      </c>
      <c r="D2092" s="8" t="n"/>
      <c r="E2092" s="8" t="n"/>
      <c r="F2092" s="8" t="n"/>
      <c r="G2092" s="8" t="n">
        <v>2403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>
        <f>IF(COUNT(D2092:U2092)=0,"",MIN(D2092:U2092))</f>
        <v/>
      </c>
      <c r="W2092" s="8">
        <f>IF(COUNT(D2092:U2092)=0,"",MEDIAN(D2092:U2092))</f>
        <v/>
      </c>
      <c r="X2092" s="8">
        <f>IF(COUNT(D2092:U2092)=0,"",MAX(D2092:U2092))</f>
        <v/>
      </c>
      <c r="Y2092" s="9">
        <f>IF(OR(V2092="",V2092=0),"",(X2092-V2092)/V2092)</f>
        <v/>
      </c>
      <c r="Z2092" s="7">
        <f>IF(COUNT(D2092:U2092)=0,"",INDEX($D$1:$U$1,MATCH(MIN(D2092:U2092),D2092:U2092,0)))</f>
        <v/>
      </c>
      <c r="AA2092" s="8" t="n">
        <v>2403</v>
      </c>
      <c r="AB2092" s="10" t="n">
        <v>1</v>
      </c>
    </row>
    <row r="2093">
      <c r="A2093" s="7" t="inlineStr">
        <is>
          <t>MAT-32-742</t>
        </is>
      </c>
      <c r="B2093" s="4" t="inlineStr">
        <is>
          <t>Rejilla de piso 80 x 80 cm</t>
        </is>
      </c>
      <c r="C2093" s="7" t="inlineStr">
        <is>
          <t>unidad</t>
        </is>
      </c>
      <c r="D2093" s="8" t="n"/>
      <c r="E2093" s="8" t="n"/>
      <c r="F2093" s="8" t="n"/>
      <c r="G2093" s="8" t="n">
        <v>865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>
        <f>IF(COUNT(D2093:U2093)=0,"",MIN(D2093:U2093))</f>
        <v/>
      </c>
      <c r="W2093" s="8">
        <f>IF(COUNT(D2093:U2093)=0,"",MEDIAN(D2093:U2093))</f>
        <v/>
      </c>
      <c r="X2093" s="8">
        <f>IF(COUNT(D2093:U2093)=0,"",MAX(D2093:U2093))</f>
        <v/>
      </c>
      <c r="Y2093" s="9">
        <f>IF(OR(V2093="",V2093=0),"",(X2093-V2093)/V2093)</f>
        <v/>
      </c>
      <c r="Z2093" s="7">
        <f>IF(COUNT(D2093:U2093)=0,"",INDEX($D$1:$U$1,MATCH(MIN(D2093:U2093),D2093:U2093,0)))</f>
        <v/>
      </c>
      <c r="AA2093" s="8" t="n">
        <v>865</v>
      </c>
      <c r="AB2093" s="10" t="n">
        <v>1</v>
      </c>
    </row>
    <row r="2094">
      <c r="A2094" s="7" t="inlineStr">
        <is>
          <t>MAT-32-743</t>
        </is>
      </c>
      <c r="B2094" s="4" t="inlineStr">
        <is>
          <t>Sifón de metal cromado para desagüe 1 1/4"</t>
        </is>
      </c>
      <c r="C2094" s="7" t="inlineStr">
        <is>
          <t>unidad</t>
        </is>
      </c>
      <c r="D2094" s="8" t="n"/>
      <c r="E2094" s="8" t="n"/>
      <c r="F2094" s="8" t="n"/>
      <c r="G2094" s="8" t="n">
        <v>1425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>
        <f>IF(COUNT(D2094:U2094)=0,"",MIN(D2094:U2094))</f>
        <v/>
      </c>
      <c r="W2094" s="8">
        <f>IF(COUNT(D2094:U2094)=0,"",MEDIAN(D2094:U2094))</f>
        <v/>
      </c>
      <c r="X2094" s="8">
        <f>IF(COUNT(D2094:U2094)=0,"",MAX(D2094:U2094))</f>
        <v/>
      </c>
      <c r="Y2094" s="9">
        <f>IF(OR(V2094="",V2094=0),"",(X2094-V2094)/V2094)</f>
        <v/>
      </c>
      <c r="Z2094" s="7">
        <f>IF(COUNT(D2094:U2094)=0,"",INDEX($D$1:$U$1,MATCH(MIN(D2094:U2094),D2094:U2094,0)))</f>
        <v/>
      </c>
      <c r="AA2094" s="8" t="n">
        <v>1425</v>
      </c>
      <c r="AB2094" s="10" t="n">
        <v>1</v>
      </c>
    </row>
    <row r="2095">
      <c r="A2095" s="7" t="inlineStr">
        <is>
          <t>MAT-32-744</t>
        </is>
      </c>
      <c r="B2095" s="4" t="inlineStr">
        <is>
          <t>Sifón de PVC para desagüe 1 1/2"</t>
        </is>
      </c>
      <c r="C2095" s="7" t="inlineStr">
        <is>
          <t>unidad</t>
        </is>
      </c>
      <c r="D2095" s="8" t="n"/>
      <c r="E2095" s="8" t="n"/>
      <c r="F2095" s="8" t="n"/>
      <c r="G2095" s="8" t="n">
        <v>356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>
        <f>IF(COUNT(D2095:U2095)=0,"",MIN(D2095:U2095))</f>
        <v/>
      </c>
      <c r="W2095" s="8">
        <f>IF(COUNT(D2095:U2095)=0,"",MEDIAN(D2095:U2095))</f>
        <v/>
      </c>
      <c r="X2095" s="8">
        <f>IF(COUNT(D2095:U2095)=0,"",MAX(D2095:U2095))</f>
        <v/>
      </c>
      <c r="Y2095" s="9">
        <f>IF(OR(V2095="",V2095=0),"",(X2095-V2095)/V2095)</f>
        <v/>
      </c>
      <c r="Z2095" s="7">
        <f>IF(COUNT(D2095:U2095)=0,"",INDEX($D$1:$U$1,MATCH(MIN(D2095:U2095),D2095:U2095,0)))</f>
        <v/>
      </c>
      <c r="AA2095" s="8" t="n">
        <v>501.5</v>
      </c>
      <c r="AB2095" s="10" t="n">
        <v>1</v>
      </c>
    </row>
    <row r="2096">
      <c r="A2096" s="7" t="inlineStr">
        <is>
          <t>MAT-32-745</t>
        </is>
      </c>
      <c r="B2096" s="4" t="inlineStr">
        <is>
          <t>Sifón de PVC para desagüe 2"</t>
        </is>
      </c>
      <c r="C2096" s="7" t="inlineStr">
        <is>
          <t>unidad</t>
        </is>
      </c>
      <c r="D2096" s="8" t="n"/>
      <c r="E2096" s="8" t="n"/>
      <c r="F2096" s="8" t="n"/>
      <c r="G2096" s="8" t="n">
        <v>225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>
        <f>IF(COUNT(D2096:U2096)=0,"",MIN(D2096:U2096))</f>
        <v/>
      </c>
      <c r="W2096" s="8">
        <f>IF(COUNT(D2096:U2096)=0,"",MEDIAN(D2096:U2096))</f>
        <v/>
      </c>
      <c r="X2096" s="8">
        <f>IF(COUNT(D2096:U2096)=0,"",MAX(D2096:U2096))</f>
        <v/>
      </c>
      <c r="Y2096" s="9">
        <f>IF(OR(V2096="",V2096=0),"",(X2096-V2096)/V2096)</f>
        <v/>
      </c>
      <c r="Z2096" s="7">
        <f>IF(COUNT(D2096:U2096)=0,"",INDEX($D$1:$U$1,MATCH(MIN(D2096:U2096),D2096:U2096,0)))</f>
        <v/>
      </c>
      <c r="AA2096" s="8" t="n">
        <v>225</v>
      </c>
      <c r="AB2096" s="10" t="n">
        <v>1</v>
      </c>
    </row>
    <row r="2097">
      <c r="A2097" s="7" t="inlineStr">
        <is>
          <t>MAT-32-746</t>
        </is>
      </c>
      <c r="B2097" s="4" t="inlineStr">
        <is>
          <t>Sifón de PVC para fregadero 1 1/2"</t>
        </is>
      </c>
      <c r="C2097" s="7" t="inlineStr">
        <is>
          <t>unidad</t>
        </is>
      </c>
      <c r="D2097" s="8" t="n"/>
      <c r="E2097" s="8" t="n"/>
      <c r="F2097" s="8" t="n"/>
      <c r="G2097" s="8" t="n">
        <v>475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>
        <f>IF(COUNT(D2097:U2097)=0,"",MIN(D2097:U2097))</f>
        <v/>
      </c>
      <c r="W2097" s="8">
        <f>IF(COUNT(D2097:U2097)=0,"",MEDIAN(D2097:U2097))</f>
        <v/>
      </c>
      <c r="X2097" s="8">
        <f>IF(COUNT(D2097:U2097)=0,"",MAX(D2097:U2097))</f>
        <v/>
      </c>
      <c r="Y2097" s="9">
        <f>IF(OR(V2097="",V2097=0),"",(X2097-V2097)/V2097)</f>
        <v/>
      </c>
      <c r="Z2097" s="7">
        <f>IF(COUNT(D2097:U2097)=0,"",INDEX($D$1:$U$1,MATCH(MIN(D2097:U2097),D2097:U2097,0)))</f>
        <v/>
      </c>
      <c r="AA2097" s="8" t="n">
        <v>475</v>
      </c>
      <c r="AB2097" s="10" t="n">
        <v>1</v>
      </c>
    </row>
    <row r="2098">
      <c r="A2098" s="7" t="inlineStr">
        <is>
          <t>MAT-32-747</t>
        </is>
      </c>
      <c r="B2098" s="4" t="inlineStr">
        <is>
          <t>Sifón de PVC para fregadero 1 1/4"</t>
        </is>
      </c>
      <c r="C2098" s="7" t="inlineStr">
        <is>
          <t>unidad</t>
        </is>
      </c>
      <c r="D2098" s="8" t="n"/>
      <c r="E2098" s="8" t="n"/>
      <c r="F2098" s="8" t="n"/>
      <c r="G2098" s="8" t="n">
        <v>585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>
        <f>IF(COUNT(D2098:U2098)=0,"",MIN(D2098:U2098))</f>
        <v/>
      </c>
      <c r="W2098" s="8">
        <f>IF(COUNT(D2098:U2098)=0,"",MEDIAN(D2098:U2098))</f>
        <v/>
      </c>
      <c r="X2098" s="8">
        <f>IF(COUNT(D2098:U2098)=0,"",MAX(D2098:U2098))</f>
        <v/>
      </c>
      <c r="Y2098" s="9">
        <f>IF(OR(V2098="",V2098=0),"",(X2098-V2098)/V2098)</f>
        <v/>
      </c>
      <c r="Z2098" s="7">
        <f>IF(COUNT(D2098:U2098)=0,"",INDEX($D$1:$U$1,MATCH(MIN(D2098:U2098),D2098:U2098,0)))</f>
        <v/>
      </c>
      <c r="AA2098" s="8" t="n">
        <v>585</v>
      </c>
      <c r="AB2098" s="10" t="n">
        <v>1</v>
      </c>
    </row>
    <row r="2099">
      <c r="A2099" s="7" t="inlineStr">
        <is>
          <t>MAT-32-748</t>
        </is>
      </c>
      <c r="B2099" s="4" t="inlineStr">
        <is>
          <t>Sifón de metal para lavamanos 1 1/2"</t>
        </is>
      </c>
      <c r="C2099" s="7" t="inlineStr">
        <is>
          <t>unidad</t>
        </is>
      </c>
      <c r="D2099" s="8" t="n"/>
      <c r="E2099" s="8" t="n">
        <v>1252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>
        <f>IF(COUNT(D2099:U2099)=0,"",MIN(D2099:U2099))</f>
        <v/>
      </c>
      <c r="W2099" s="8">
        <f>IF(COUNT(D2099:U2099)=0,"",MEDIAN(D2099:U2099))</f>
        <v/>
      </c>
      <c r="X2099" s="8">
        <f>IF(COUNT(D2099:U2099)=0,"",MAX(D2099:U2099))</f>
        <v/>
      </c>
      <c r="Y2099" s="9">
        <f>IF(OR(V2099="",V2099=0),"",(X2099-V2099)/V2099)</f>
        <v/>
      </c>
      <c r="Z2099" s="7">
        <f>IF(COUNT(D2099:U2099)=0,"",INDEX($D$1:$U$1,MATCH(MIN(D2099:U2099),D2099:U2099,0)))</f>
        <v/>
      </c>
      <c r="AA2099" s="8" t="n">
        <v>1252</v>
      </c>
      <c r="AB2099" s="10" t="n">
        <v>1</v>
      </c>
    </row>
    <row r="2100">
      <c r="A2100" s="7" t="inlineStr">
        <is>
          <t>MAT-32-749</t>
        </is>
      </c>
      <c r="B2100" s="4" t="inlineStr">
        <is>
          <t>Sifón de metal para lavamanos 1 1/4"</t>
        </is>
      </c>
      <c r="C2100" s="7" t="inlineStr">
        <is>
          <t>unidad</t>
        </is>
      </c>
      <c r="D2100" s="8" t="n"/>
      <c r="E2100" s="8" t="n">
        <v>1274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>
        <f>IF(COUNT(D2100:U2100)=0,"",MIN(D2100:U2100))</f>
        <v/>
      </c>
      <c r="W2100" s="8">
        <f>IF(COUNT(D2100:U2100)=0,"",MEDIAN(D2100:U2100))</f>
        <v/>
      </c>
      <c r="X2100" s="8">
        <f>IF(COUNT(D2100:U2100)=0,"",MAX(D2100:U2100))</f>
        <v/>
      </c>
      <c r="Y2100" s="9">
        <f>IF(OR(V2100="",V2100=0),"",(X2100-V2100)/V2100)</f>
        <v/>
      </c>
      <c r="Z2100" s="7">
        <f>IF(COUNT(D2100:U2100)=0,"",INDEX($D$1:$U$1,MATCH(MIN(D2100:U2100),D2100:U2100,0)))</f>
        <v/>
      </c>
      <c r="AA2100" s="8" t="n">
        <v>1274</v>
      </c>
      <c r="AB2100" s="10" t="n">
        <v>1</v>
      </c>
    </row>
    <row r="2101">
      <c r="A2101" s="7" t="inlineStr">
        <is>
          <t>MAT-32-750</t>
        </is>
      </c>
      <c r="B2101" s="4" t="inlineStr">
        <is>
          <t>Sifón de metal para lavamanos 1/4"</t>
        </is>
      </c>
      <c r="C2101" s="7" t="inlineStr">
        <is>
          <t>unidad</t>
        </is>
      </c>
      <c r="D2101" s="8" t="n"/>
      <c r="E2101" s="8" t="n"/>
      <c r="F2101" s="8" t="n"/>
      <c r="G2101" s="8" t="n"/>
      <c r="H2101" s="8" t="n"/>
      <c r="I2101" s="8" t="n">
        <v>925</v>
      </c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>
        <f>IF(COUNT(D2101:U2101)=0,"",MIN(D2101:U2101))</f>
        <v/>
      </c>
      <c r="W2101" s="8">
        <f>IF(COUNT(D2101:U2101)=0,"",MEDIAN(D2101:U2101))</f>
        <v/>
      </c>
      <c r="X2101" s="8">
        <f>IF(COUNT(D2101:U2101)=0,"",MAX(D2101:U2101))</f>
        <v/>
      </c>
      <c r="Y2101" s="9">
        <f>IF(OR(V2101="",V2101=0),"",(X2101-V2101)/V2101)</f>
        <v/>
      </c>
      <c r="Z2101" s="7">
        <f>IF(COUNT(D2101:U2101)=0,"",INDEX($D$1:$U$1,MATCH(MIN(D2101:U2101),D2101:U2101,0)))</f>
        <v/>
      </c>
      <c r="AA2101" s="8" t="n">
        <v>925</v>
      </c>
      <c r="AB2101" s="10" t="n">
        <v>1</v>
      </c>
    </row>
    <row r="2102">
      <c r="A2102" s="7" t="inlineStr">
        <is>
          <t>MAT-32-751</t>
        </is>
      </c>
      <c r="B2102" s="4" t="inlineStr">
        <is>
          <t>Sifón de PVC para lavamanos 1 1/2"</t>
        </is>
      </c>
      <c r="C2102" s="7" t="inlineStr">
        <is>
          <t>unidad</t>
        </is>
      </c>
      <c r="D2102" s="8" t="n"/>
      <c r="E2102" s="8" t="n">
        <v>70.38</v>
      </c>
      <c r="F2102" s="8" t="n"/>
      <c r="G2102" s="8" t="n"/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>
        <f>IF(COUNT(D2102:U2102)=0,"",MIN(D2102:U2102))</f>
        <v/>
      </c>
      <c r="W2102" s="8">
        <f>IF(COUNT(D2102:U2102)=0,"",MEDIAN(D2102:U2102))</f>
        <v/>
      </c>
      <c r="X2102" s="8">
        <f>IF(COUNT(D2102:U2102)=0,"",MAX(D2102:U2102))</f>
        <v/>
      </c>
      <c r="Y2102" s="9">
        <f>IF(OR(V2102="",V2102=0),"",(X2102-V2102)/V2102)</f>
        <v/>
      </c>
      <c r="Z2102" s="7">
        <f>IF(COUNT(D2102:U2102)=0,"",INDEX($D$1:$U$1,MATCH(MIN(D2102:U2102),D2102:U2102,0)))</f>
        <v/>
      </c>
      <c r="AA2102" s="8" t="n">
        <v>150</v>
      </c>
      <c r="AB2102" s="10" t="n">
        <v>1</v>
      </c>
    </row>
    <row r="2103">
      <c r="A2103" s="7" t="inlineStr">
        <is>
          <t>MAT-32-752</t>
        </is>
      </c>
      <c r="B2103" s="4" t="inlineStr">
        <is>
          <t>Sifón de PVC para lavamanos 1 1/4"</t>
        </is>
      </c>
      <c r="C2103" s="7" t="inlineStr">
        <is>
          <t>unidad</t>
        </is>
      </c>
      <c r="D2103" s="8" t="n"/>
      <c r="E2103" s="8" t="n">
        <v>93.86</v>
      </c>
      <c r="F2103" s="8" t="n"/>
      <c r="G2103" s="8" t="n"/>
      <c r="H2103" s="8" t="n"/>
      <c r="I2103" s="8" t="n">
        <v>345</v>
      </c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>
        <f>IF(COUNT(D2103:U2103)=0,"",MIN(D2103:U2103))</f>
        <v/>
      </c>
      <c r="W2103" s="8">
        <f>IF(COUNT(D2103:U2103)=0,"",MEDIAN(D2103:U2103))</f>
        <v/>
      </c>
      <c r="X2103" s="8">
        <f>IF(COUNT(D2103:U2103)=0,"",MAX(D2103:U2103))</f>
        <v/>
      </c>
      <c r="Y2103" s="9">
        <f>IF(OR(V2103="",V2103=0),"",(X2103-V2103)/V2103)</f>
        <v/>
      </c>
      <c r="Z2103" s="7">
        <f>IF(COUNT(D2103:U2103)=0,"",INDEX($D$1:$U$1,MATCH(MIN(D2103:U2103),D2103:U2103,0)))</f>
        <v/>
      </c>
      <c r="AA2103" s="8" t="n">
        <v>312.5</v>
      </c>
      <c r="AB2103" s="10" t="n">
        <v>2</v>
      </c>
    </row>
    <row r="2104">
      <c r="A2104" s="7" t="inlineStr">
        <is>
          <t>MAT-32-753</t>
        </is>
      </c>
      <c r="B2104" s="4" t="inlineStr">
        <is>
          <t>Sifón de PVC para lavamanos 2"</t>
        </is>
      </c>
      <c r="C2104" s="7" t="inlineStr">
        <is>
          <t>unidad</t>
        </is>
      </c>
      <c r="D2104" s="8" t="n"/>
      <c r="E2104" s="8" t="n">
        <v>81.5</v>
      </c>
      <c r="F2104" s="8" t="n"/>
      <c r="G2104" s="8" t="n"/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>
        <f>IF(COUNT(D2104:U2104)=0,"",MIN(D2104:U2104))</f>
        <v/>
      </c>
      <c r="W2104" s="8">
        <f>IF(COUNT(D2104:U2104)=0,"",MEDIAN(D2104:U2104))</f>
        <v/>
      </c>
      <c r="X2104" s="8">
        <f>IF(COUNT(D2104:U2104)=0,"",MAX(D2104:U2104))</f>
        <v/>
      </c>
      <c r="Y2104" s="9">
        <f>IF(OR(V2104="",V2104=0),"",(X2104-V2104)/V2104)</f>
        <v/>
      </c>
      <c r="Z2104" s="7">
        <f>IF(COUNT(D2104:U2104)=0,"",INDEX($D$1:$U$1,MATCH(MIN(D2104:U2104),D2104:U2104,0)))</f>
        <v/>
      </c>
      <c r="AA2104" s="8" t="n">
        <v>96.84999999999999</v>
      </c>
      <c r="AB2104" s="10" t="n">
        <v>1</v>
      </c>
    </row>
    <row r="2105">
      <c r="A2105" s="7" t="inlineStr">
        <is>
          <t>MAT-32-754</t>
        </is>
      </c>
      <c r="B2105" s="4" t="inlineStr">
        <is>
          <t>Boquilla de desagüe de metal para fregadero</t>
        </is>
      </c>
      <c r="C2105" s="7" t="inlineStr">
        <is>
          <t>unidad</t>
        </is>
      </c>
      <c r="D2105" s="8" t="n"/>
      <c r="E2105" s="8" t="n"/>
      <c r="F2105" s="8" t="n"/>
      <c r="G2105" s="8" t="n">
        <v>470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>
        <f>IF(COUNT(D2105:U2105)=0,"",MIN(D2105:U2105))</f>
        <v/>
      </c>
      <c r="W2105" s="8">
        <f>IF(COUNT(D2105:U2105)=0,"",MEDIAN(D2105:U2105))</f>
        <v/>
      </c>
      <c r="X2105" s="8">
        <f>IF(COUNT(D2105:U2105)=0,"",MAX(D2105:U2105))</f>
        <v/>
      </c>
      <c r="Y2105" s="9">
        <f>IF(OR(V2105="",V2105=0),"",(X2105-V2105)/V2105)</f>
        <v/>
      </c>
      <c r="Z2105" s="7">
        <f>IF(COUNT(D2105:U2105)=0,"",INDEX($D$1:$U$1,MATCH(MIN(D2105:U2105),D2105:U2105,0)))</f>
        <v/>
      </c>
      <c r="AA2105" s="8" t="n">
        <v>470</v>
      </c>
      <c r="AB2105" s="10" t="n">
        <v>1</v>
      </c>
    </row>
    <row r="2106">
      <c r="A2106" s="7" t="inlineStr">
        <is>
          <t>MAT-32-755</t>
        </is>
      </c>
      <c r="B2106" s="4" t="inlineStr">
        <is>
          <t>Boquilla de desagüe de plástico para fregadero</t>
        </is>
      </c>
      <c r="C2106" s="7" t="inlineStr">
        <is>
          <t>unidad</t>
        </is>
      </c>
      <c r="D2106" s="8" t="n"/>
      <c r="E2106" s="8" t="n"/>
      <c r="F2106" s="8" t="n">
        <v>713.65</v>
      </c>
      <c r="G2106" s="8" t="n">
        <v>285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>
        <f>IF(COUNT(D2106:U2106)=0,"",MIN(D2106:U2106))</f>
        <v/>
      </c>
      <c r="W2106" s="8">
        <f>IF(COUNT(D2106:U2106)=0,"",MEDIAN(D2106:U2106))</f>
        <v/>
      </c>
      <c r="X2106" s="8">
        <f>IF(COUNT(D2106:U2106)=0,"",MAX(D2106:U2106))</f>
        <v/>
      </c>
      <c r="Y2106" s="9">
        <f>IF(OR(V2106="",V2106=0),"",(X2106-V2106)/V2106)</f>
        <v/>
      </c>
      <c r="Z2106" s="7">
        <f>IF(COUNT(D2106:U2106)=0,"",INDEX($D$1:$U$1,MATCH(MIN(D2106:U2106),D2106:U2106,0)))</f>
        <v/>
      </c>
      <c r="AA2106" s="8" t="n">
        <v>563.55</v>
      </c>
      <c r="AB2106" s="10" t="n">
        <v>2</v>
      </c>
    </row>
    <row r="2107">
      <c r="A2107" s="7" t="inlineStr">
        <is>
          <t>MAT-32-756</t>
        </is>
      </c>
      <c r="B2107" s="4" t="inlineStr">
        <is>
          <t>Boquilla de desagüe de metal para lavadero</t>
        </is>
      </c>
      <c r="C2107" s="7" t="inlineStr">
        <is>
          <t>unidad</t>
        </is>
      </c>
      <c r="D2107" s="8" t="n"/>
      <c r="E2107" s="8" t="n"/>
      <c r="F2107" s="8" t="n"/>
      <c r="G2107" s="8" t="n">
        <v>429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>
        <f>IF(COUNT(D2107:U2107)=0,"",MIN(D2107:U2107))</f>
        <v/>
      </c>
      <c r="W2107" s="8">
        <f>IF(COUNT(D2107:U2107)=0,"",MEDIAN(D2107:U2107))</f>
        <v/>
      </c>
      <c r="X2107" s="8">
        <f>IF(COUNT(D2107:U2107)=0,"",MAX(D2107:U2107))</f>
        <v/>
      </c>
      <c r="Y2107" s="9">
        <f>IF(OR(V2107="",V2107=0),"",(X2107-V2107)/V2107)</f>
        <v/>
      </c>
      <c r="Z2107" s="7">
        <f>IF(COUNT(D2107:U2107)=0,"",INDEX($D$1:$U$1,MATCH(MIN(D2107:U2107),D2107:U2107,0)))</f>
        <v/>
      </c>
      <c r="AA2107" s="8" t="n">
        <v>429</v>
      </c>
      <c r="AB2107" s="10" t="n">
        <v>1</v>
      </c>
    </row>
    <row r="2108">
      <c r="A2108" s="7" t="inlineStr">
        <is>
          <t>MAT-32-757</t>
        </is>
      </c>
      <c r="B2108" s="4" t="inlineStr">
        <is>
          <t>Boquilla de desagüe de metal para lavamanos</t>
        </is>
      </c>
      <c r="C2108" s="7" t="inlineStr">
        <is>
          <t>unidad</t>
        </is>
      </c>
      <c r="D2108" s="8" t="n"/>
      <c r="E2108" s="8" t="n"/>
      <c r="F2108" s="8" t="n"/>
      <c r="G2108" s="8" t="n">
        <v>255</v>
      </c>
      <c r="H2108" s="8" t="n">
        <v>1500</v>
      </c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>
        <f>IF(COUNT(D2108:U2108)=0,"",MIN(D2108:U2108))</f>
        <v/>
      </c>
      <c r="W2108" s="8">
        <f>IF(COUNT(D2108:U2108)=0,"",MEDIAN(D2108:U2108))</f>
        <v/>
      </c>
      <c r="X2108" s="8">
        <f>IF(COUNT(D2108:U2108)=0,"",MAX(D2108:U2108))</f>
        <v/>
      </c>
      <c r="Y2108" s="9">
        <f>IF(OR(V2108="",V2108=0),"",(X2108-V2108)/V2108)</f>
        <v/>
      </c>
      <c r="Z2108" s="7">
        <f>IF(COUNT(D2108:U2108)=0,"",INDEX($D$1:$U$1,MATCH(MIN(D2108:U2108),D2108:U2108,0)))</f>
        <v/>
      </c>
      <c r="AA2108" s="8" t="n">
        <v>1145</v>
      </c>
      <c r="AB2108" s="10" t="n">
        <v>2</v>
      </c>
    </row>
    <row r="2109">
      <c r="A2109" s="7" t="inlineStr">
        <is>
          <t>MAT-32-758</t>
        </is>
      </c>
      <c r="B2109" s="4" t="inlineStr">
        <is>
          <t>Boquilla de desagüe de plástico para lavamanos</t>
        </is>
      </c>
      <c r="C2109" s="7" t="inlineStr">
        <is>
          <t>unidad</t>
        </is>
      </c>
      <c r="D2109" s="8" t="n"/>
      <c r="E2109" s="8" t="n"/>
      <c r="F2109" s="8" t="n">
        <v>367.2</v>
      </c>
      <c r="G2109" s="8" t="n"/>
      <c r="H2109" s="8" t="n">
        <v>265.5</v>
      </c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>
        <f>IF(COUNT(D2109:U2109)=0,"",MIN(D2109:U2109))</f>
        <v/>
      </c>
      <c r="W2109" s="8">
        <f>IF(COUNT(D2109:U2109)=0,"",MEDIAN(D2109:U2109))</f>
        <v/>
      </c>
      <c r="X2109" s="8">
        <f>IF(COUNT(D2109:U2109)=0,"",MAX(D2109:U2109))</f>
        <v/>
      </c>
      <c r="Y2109" s="9">
        <f>IF(OR(V2109="",V2109=0),"",(X2109-V2109)/V2109)</f>
        <v/>
      </c>
      <c r="Z2109" s="7">
        <f>IF(COUNT(D2109:U2109)=0,"",INDEX($D$1:$U$1,MATCH(MIN(D2109:U2109),D2109:U2109,0)))</f>
        <v/>
      </c>
      <c r="AA2109" s="8" t="n">
        <v>955.51</v>
      </c>
      <c r="AB2109" s="10" t="n">
        <v>2</v>
      </c>
    </row>
    <row r="2110">
      <c r="A2110" s="7" t="inlineStr">
        <is>
          <t>MAT-32-759</t>
        </is>
      </c>
      <c r="B2110" s="4" t="inlineStr">
        <is>
          <t>Manguera para bomba 24"</t>
        </is>
      </c>
      <c r="C2110" s="7" t="inlineStr">
        <is>
          <t>unidad</t>
        </is>
      </c>
      <c r="D2110" s="8" t="n"/>
      <c r="E2110" s="8" t="n"/>
      <c r="F2110" s="8" t="n"/>
      <c r="G2110" s="8" t="n">
        <v>970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>
        <f>IF(COUNT(D2110:U2110)=0,"",MIN(D2110:U2110))</f>
        <v/>
      </c>
      <c r="W2110" s="8">
        <f>IF(COUNT(D2110:U2110)=0,"",MEDIAN(D2110:U2110))</f>
        <v/>
      </c>
      <c r="X2110" s="8">
        <f>IF(COUNT(D2110:U2110)=0,"",MAX(D2110:U2110))</f>
        <v/>
      </c>
      <c r="Y2110" s="9">
        <f>IF(OR(V2110="",V2110=0),"",(X2110-V2110)/V2110)</f>
        <v/>
      </c>
      <c r="Z2110" s="7">
        <f>IF(COUNT(D2110:U2110)=0,"",INDEX($D$1:$U$1,MATCH(MIN(D2110:U2110),D2110:U2110,0)))</f>
        <v/>
      </c>
      <c r="AA2110" s="8" t="n">
        <v>970</v>
      </c>
      <c r="AB2110" s="10" t="n">
        <v>1</v>
      </c>
    </row>
    <row r="2111">
      <c r="A2111" s="7" t="inlineStr">
        <is>
          <t>MAT-32-760</t>
        </is>
      </c>
      <c r="B2111" s="4" t="inlineStr">
        <is>
          <t>Manguera para bomba 36"</t>
        </is>
      </c>
      <c r="C2111" s="7" t="inlineStr">
        <is>
          <t>unidad</t>
        </is>
      </c>
      <c r="D2111" s="8" t="n"/>
      <c r="E2111" s="8" t="n"/>
      <c r="F2111" s="8" t="n"/>
      <c r="G2111" s="8" t="n">
        <v>475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>
        <f>IF(COUNT(D2111:U2111)=0,"",MIN(D2111:U2111))</f>
        <v/>
      </c>
      <c r="W2111" s="8">
        <f>IF(COUNT(D2111:U2111)=0,"",MEDIAN(D2111:U2111))</f>
        <v/>
      </c>
      <c r="X2111" s="8">
        <f>IF(COUNT(D2111:U2111)=0,"",MAX(D2111:U2111))</f>
        <v/>
      </c>
      <c r="Y2111" s="9">
        <f>IF(OR(V2111="",V2111=0),"",(X2111-V2111)/V2111)</f>
        <v/>
      </c>
      <c r="Z2111" s="7">
        <f>IF(COUNT(D2111:U2111)=0,"",INDEX($D$1:$U$1,MATCH(MIN(D2111:U2111),D2111:U2111,0)))</f>
        <v/>
      </c>
      <c r="AA2111" s="8" t="n">
        <v>475</v>
      </c>
      <c r="AB2111" s="10" t="n">
        <v>1</v>
      </c>
    </row>
    <row r="2112">
      <c r="A2112" s="7" t="inlineStr">
        <is>
          <t>MAT-32-761</t>
        </is>
      </c>
      <c r="B2112" s="4" t="inlineStr">
        <is>
          <t>Manguera para calentador 24"</t>
        </is>
      </c>
      <c r="C2112" s="7" t="inlineStr">
        <is>
          <t>unidad</t>
        </is>
      </c>
      <c r="D2112" s="8" t="n"/>
      <c r="E2112" s="8" t="n"/>
      <c r="F2112" s="8" t="n"/>
      <c r="G2112" s="8" t="n">
        <v>895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>
        <f>IF(COUNT(D2112:U2112)=0,"",MIN(D2112:U2112))</f>
        <v/>
      </c>
      <c r="W2112" s="8">
        <f>IF(COUNT(D2112:U2112)=0,"",MEDIAN(D2112:U2112))</f>
        <v/>
      </c>
      <c r="X2112" s="8">
        <f>IF(COUNT(D2112:U2112)=0,"",MAX(D2112:U2112))</f>
        <v/>
      </c>
      <c r="Y2112" s="9">
        <f>IF(OR(V2112="",V2112=0),"",(X2112-V2112)/V2112)</f>
        <v/>
      </c>
      <c r="Z2112" s="7">
        <f>IF(COUNT(D2112:U2112)=0,"",INDEX($D$1:$U$1,MATCH(MIN(D2112:U2112),D2112:U2112,0)))</f>
        <v/>
      </c>
      <c r="AA2112" s="8" t="n">
        <v>895</v>
      </c>
      <c r="AB2112" s="10" t="n">
        <v>1</v>
      </c>
    </row>
    <row r="2113">
      <c r="A2113" s="7" t="inlineStr">
        <is>
          <t>MAT-32-762</t>
        </is>
      </c>
      <c r="B2113" s="4" t="inlineStr">
        <is>
          <t>Manguera para calentador 3/4" x 1 pulgadas</t>
        </is>
      </c>
      <c r="C2113" s="7" t="inlineStr">
        <is>
          <t>unidad</t>
        </is>
      </c>
      <c r="D2113" s="8" t="n"/>
      <c r="E2113" s="8" t="n"/>
      <c r="F2113" s="8" t="n"/>
      <c r="G2113" s="8" t="n">
        <v>620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>
        <f>IF(COUNT(D2113:U2113)=0,"",MIN(D2113:U2113))</f>
        <v/>
      </c>
      <c r="W2113" s="8">
        <f>IF(COUNT(D2113:U2113)=0,"",MEDIAN(D2113:U2113))</f>
        <v/>
      </c>
      <c r="X2113" s="8">
        <f>IF(COUNT(D2113:U2113)=0,"",MAX(D2113:U2113))</f>
        <v/>
      </c>
      <c r="Y2113" s="9">
        <f>IF(OR(V2113="",V2113=0),"",(X2113-V2113)/V2113)</f>
        <v/>
      </c>
      <c r="Z2113" s="7">
        <f>IF(COUNT(D2113:U2113)=0,"",INDEX($D$1:$U$1,MATCH(MIN(D2113:U2113),D2113:U2113,0)))</f>
        <v/>
      </c>
      <c r="AA2113" s="8" t="n">
        <v>620</v>
      </c>
      <c r="AB2113" s="10" t="n">
        <v>1</v>
      </c>
    </row>
    <row r="2114">
      <c r="A2114" s="7" t="inlineStr">
        <is>
          <t>MAT-32-763</t>
        </is>
      </c>
      <c r="B2114" s="4" t="inlineStr">
        <is>
          <t>Manguera para calentador 3/4" x 2 pulgadas</t>
        </is>
      </c>
      <c r="C2114" s="7" t="inlineStr">
        <is>
          <t>unidad</t>
        </is>
      </c>
      <c r="D2114" s="8" t="n"/>
      <c r="E2114" s="8" t="n"/>
      <c r="F2114" s="8" t="n"/>
      <c r="G2114" s="8" t="n">
        <v>685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>
        <f>IF(COUNT(D2114:U2114)=0,"",MIN(D2114:U2114))</f>
        <v/>
      </c>
      <c r="W2114" s="8">
        <f>IF(COUNT(D2114:U2114)=0,"",MEDIAN(D2114:U2114))</f>
        <v/>
      </c>
      <c r="X2114" s="8">
        <f>IF(COUNT(D2114:U2114)=0,"",MAX(D2114:U2114))</f>
        <v/>
      </c>
      <c r="Y2114" s="9">
        <f>IF(OR(V2114="",V2114=0),"",(X2114-V2114)/V2114)</f>
        <v/>
      </c>
      <c r="Z2114" s="7">
        <f>IF(COUNT(D2114:U2114)=0,"",INDEX($D$1:$U$1,MATCH(MIN(D2114:U2114),D2114:U2114,0)))</f>
        <v/>
      </c>
      <c r="AA2114" s="8" t="n">
        <v>878</v>
      </c>
      <c r="AB2114" s="10" t="n">
        <v>1</v>
      </c>
    </row>
    <row r="2115">
      <c r="A2115" s="7" t="inlineStr">
        <is>
          <t>MAT-32-764</t>
        </is>
      </c>
      <c r="B2115" s="4" t="inlineStr">
        <is>
          <t>Manguera para calentador 60"</t>
        </is>
      </c>
      <c r="C2115" s="7" t="inlineStr">
        <is>
          <t>unidad</t>
        </is>
      </c>
      <c r="D2115" s="8" t="n"/>
      <c r="E2115" s="8" t="n"/>
      <c r="F2115" s="8" t="n"/>
      <c r="G2115" s="8" t="n">
        <v>1094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>
        <f>IF(COUNT(D2115:U2115)=0,"",MIN(D2115:U2115))</f>
        <v/>
      </c>
      <c r="W2115" s="8">
        <f>IF(COUNT(D2115:U2115)=0,"",MEDIAN(D2115:U2115))</f>
        <v/>
      </c>
      <c r="X2115" s="8">
        <f>IF(COUNT(D2115:U2115)=0,"",MAX(D2115:U2115))</f>
        <v/>
      </c>
      <c r="Y2115" s="9">
        <f>IF(OR(V2115="",V2115=0),"",(X2115-V2115)/V2115)</f>
        <v/>
      </c>
      <c r="Z2115" s="7">
        <f>IF(COUNT(D2115:U2115)=0,"",INDEX($D$1:$U$1,MATCH(MIN(D2115:U2115),D2115:U2115,0)))</f>
        <v/>
      </c>
      <c r="AA2115" s="8" t="n">
        <v>1094</v>
      </c>
      <c r="AB2115" s="10" t="n">
        <v>1</v>
      </c>
    </row>
    <row r="2116">
      <c r="A2116" s="7" t="inlineStr">
        <is>
          <t>MAT-32-765</t>
        </is>
      </c>
      <c r="B2116" s="4" t="inlineStr">
        <is>
          <t>Manguera para gas 12"</t>
        </is>
      </c>
      <c r="C2116" s="7" t="inlineStr">
        <is>
          <t>unidad</t>
        </is>
      </c>
      <c r="D2116" s="8" t="n"/>
      <c r="E2116" s="8" t="n"/>
      <c r="F2116" s="8" t="n"/>
      <c r="G2116" s="8" t="n">
        <v>50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>
        <f>IF(COUNT(D2116:U2116)=0,"",MIN(D2116:U2116))</f>
        <v/>
      </c>
      <c r="W2116" s="8">
        <f>IF(COUNT(D2116:U2116)=0,"",MEDIAN(D2116:U2116))</f>
        <v/>
      </c>
      <c r="X2116" s="8">
        <f>IF(COUNT(D2116:U2116)=0,"",MAX(D2116:U2116))</f>
        <v/>
      </c>
      <c r="Y2116" s="9">
        <f>IF(OR(V2116="",V2116=0),"",(X2116-V2116)/V2116)</f>
        <v/>
      </c>
      <c r="Z2116" s="7">
        <f>IF(COUNT(D2116:U2116)=0,"",INDEX($D$1:$U$1,MATCH(MIN(D2116:U2116),D2116:U2116,0)))</f>
        <v/>
      </c>
      <c r="AA2116" s="8" t="n">
        <v>50</v>
      </c>
      <c r="AB2116" s="10" t="n">
        <v>1</v>
      </c>
    </row>
    <row r="2117">
      <c r="A2117" s="7" t="inlineStr">
        <is>
          <t>MAT-32-766</t>
        </is>
      </c>
      <c r="B2117" s="4" t="inlineStr">
        <is>
          <t>Manguera para gas 18"</t>
        </is>
      </c>
      <c r="C2117" s="7" t="inlineStr">
        <is>
          <t>unidad</t>
        </is>
      </c>
      <c r="D2117" s="8" t="n"/>
      <c r="E2117" s="8" t="n"/>
      <c r="F2117" s="8" t="n"/>
      <c r="G2117" s="8" t="n">
        <v>65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>
        <f>IF(COUNT(D2117:U2117)=0,"",MIN(D2117:U2117))</f>
        <v/>
      </c>
      <c r="W2117" s="8">
        <f>IF(COUNT(D2117:U2117)=0,"",MEDIAN(D2117:U2117))</f>
        <v/>
      </c>
      <c r="X2117" s="8">
        <f>IF(COUNT(D2117:U2117)=0,"",MAX(D2117:U2117))</f>
        <v/>
      </c>
      <c r="Y2117" s="9">
        <f>IF(OR(V2117="",V2117=0),"",(X2117-V2117)/V2117)</f>
        <v/>
      </c>
      <c r="Z2117" s="7">
        <f>IF(COUNT(D2117:U2117)=0,"",INDEX($D$1:$U$1,MATCH(MIN(D2117:U2117),D2117:U2117,0)))</f>
        <v/>
      </c>
      <c r="AA2117" s="8" t="n">
        <v>65</v>
      </c>
      <c r="AB2117" s="10" t="n">
        <v>1</v>
      </c>
    </row>
    <row r="2118">
      <c r="A2118" s="7" t="inlineStr">
        <is>
          <t>MAT-32-767</t>
        </is>
      </c>
      <c r="B2118" s="4" t="inlineStr">
        <is>
          <t>Manguera para inodoro 16"</t>
        </is>
      </c>
      <c r="C2118" s="7" t="inlineStr">
        <is>
          <t>unidad</t>
        </is>
      </c>
      <c r="D2118" s="8" t="n"/>
      <c r="E2118" s="8" t="n"/>
      <c r="F2118" s="8" t="n"/>
      <c r="G2118" s="8" t="n">
        <v>250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>
        <f>IF(COUNT(D2118:U2118)=0,"",MIN(D2118:U2118))</f>
        <v/>
      </c>
      <c r="W2118" s="8">
        <f>IF(COUNT(D2118:U2118)=0,"",MEDIAN(D2118:U2118))</f>
        <v/>
      </c>
      <c r="X2118" s="8">
        <f>IF(COUNT(D2118:U2118)=0,"",MAX(D2118:U2118))</f>
        <v/>
      </c>
      <c r="Y2118" s="9">
        <f>IF(OR(V2118="",V2118=0),"",(X2118-V2118)/V2118)</f>
        <v/>
      </c>
      <c r="Z2118" s="7">
        <f>IF(COUNT(D2118:U2118)=0,"",INDEX($D$1:$U$1,MATCH(MIN(D2118:U2118),D2118:U2118,0)))</f>
        <v/>
      </c>
      <c r="AA2118" s="8" t="n">
        <v>250</v>
      </c>
      <c r="AB2118" s="10" t="n">
        <v>1</v>
      </c>
    </row>
    <row r="2119">
      <c r="A2119" s="7" t="inlineStr">
        <is>
          <t>MAT-32-768</t>
        </is>
      </c>
      <c r="B2119" s="4" t="inlineStr">
        <is>
          <t>Manguera para jardín 1/2"</t>
        </is>
      </c>
      <c r="C2119" s="7" t="inlineStr">
        <is>
          <t>unidad</t>
        </is>
      </c>
      <c r="D2119" s="8" t="n"/>
      <c r="E2119" s="8" t="n"/>
      <c r="F2119" s="8" t="n"/>
      <c r="G2119" s="8" t="n">
        <v>535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>
        <f>IF(COUNT(D2119:U2119)=0,"",MIN(D2119:U2119))</f>
        <v/>
      </c>
      <c r="W2119" s="8">
        <f>IF(COUNT(D2119:U2119)=0,"",MEDIAN(D2119:U2119))</f>
        <v/>
      </c>
      <c r="X2119" s="8">
        <f>IF(COUNT(D2119:U2119)=0,"",MAX(D2119:U2119))</f>
        <v/>
      </c>
      <c r="Y2119" s="9">
        <f>IF(OR(V2119="",V2119=0),"",(X2119-V2119)/V2119)</f>
        <v/>
      </c>
      <c r="Z2119" s="7">
        <f>IF(COUNT(D2119:U2119)=0,"",INDEX($D$1:$U$1,MATCH(MIN(D2119:U2119),D2119:U2119,0)))</f>
        <v/>
      </c>
      <c r="AA2119" s="8" t="n">
        <v>1288</v>
      </c>
      <c r="AB2119" s="10" t="n">
        <v>1</v>
      </c>
    </row>
    <row r="2120">
      <c r="A2120" s="7" t="inlineStr">
        <is>
          <t>MAT-32-769</t>
        </is>
      </c>
      <c r="B2120" s="4" t="inlineStr">
        <is>
          <t>Manguera para jardín 1/2" x 100 pies</t>
        </is>
      </c>
      <c r="C2120" s="7" t="inlineStr">
        <is>
          <t>unidad</t>
        </is>
      </c>
      <c r="D2120" s="8" t="n"/>
      <c r="E2120" s="8" t="n"/>
      <c r="F2120" s="8" t="n"/>
      <c r="G2120" s="8" t="n">
        <v>1475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>
        <f>IF(COUNT(D2120:U2120)=0,"",MIN(D2120:U2120))</f>
        <v/>
      </c>
      <c r="W2120" s="8">
        <f>IF(COUNT(D2120:U2120)=0,"",MEDIAN(D2120:U2120))</f>
        <v/>
      </c>
      <c r="X2120" s="8">
        <f>IF(COUNT(D2120:U2120)=0,"",MAX(D2120:U2120))</f>
        <v/>
      </c>
      <c r="Y2120" s="9">
        <f>IF(OR(V2120="",V2120=0),"",(X2120-V2120)/V2120)</f>
        <v/>
      </c>
      <c r="Z2120" s="7">
        <f>IF(COUNT(D2120:U2120)=0,"",INDEX($D$1:$U$1,MATCH(MIN(D2120:U2120),D2120:U2120,0)))</f>
        <v/>
      </c>
      <c r="AA2120" s="8" t="n">
        <v>1475</v>
      </c>
      <c r="AB2120" s="10" t="n">
        <v>1</v>
      </c>
    </row>
    <row r="2121">
      <c r="A2121" s="7" t="inlineStr">
        <is>
          <t>MAT-32-770</t>
        </is>
      </c>
      <c r="B2121" s="4" t="inlineStr">
        <is>
          <t>Manguera para jardín 1/2" x 25 pies</t>
        </is>
      </c>
      <c r="C2121" s="7" t="inlineStr">
        <is>
          <t>unidad</t>
        </is>
      </c>
      <c r="D2121" s="8" t="n"/>
      <c r="E2121" s="8" t="n"/>
      <c r="F2121" s="8" t="n"/>
      <c r="G2121" s="8" t="n">
        <v>544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>
        <f>IF(COUNT(D2121:U2121)=0,"",MIN(D2121:U2121))</f>
        <v/>
      </c>
      <c r="W2121" s="8">
        <f>IF(COUNT(D2121:U2121)=0,"",MEDIAN(D2121:U2121))</f>
        <v/>
      </c>
      <c r="X2121" s="8">
        <f>IF(COUNT(D2121:U2121)=0,"",MAX(D2121:U2121))</f>
        <v/>
      </c>
      <c r="Y2121" s="9">
        <f>IF(OR(V2121="",V2121=0),"",(X2121-V2121)/V2121)</f>
        <v/>
      </c>
      <c r="Z2121" s="7">
        <f>IF(COUNT(D2121:U2121)=0,"",INDEX($D$1:$U$1,MATCH(MIN(D2121:U2121),D2121:U2121,0)))</f>
        <v/>
      </c>
      <c r="AA2121" s="8" t="n">
        <v>544</v>
      </c>
      <c r="AB2121" s="10" t="n">
        <v>1</v>
      </c>
    </row>
    <row r="2122">
      <c r="A2122" s="7" t="inlineStr">
        <is>
          <t>MAT-32-771</t>
        </is>
      </c>
      <c r="B2122" s="4" t="inlineStr">
        <is>
          <t>Manguera para jardín 1/2" x 50 pies</t>
        </is>
      </c>
      <c r="C2122" s="7" t="inlineStr">
        <is>
          <t>unidad</t>
        </is>
      </c>
      <c r="D2122" s="8" t="n"/>
      <c r="E2122" s="8" t="n"/>
      <c r="F2122" s="8" t="n"/>
      <c r="G2122" s="8" t="n">
        <v>1042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>
        <f>IF(COUNT(D2122:U2122)=0,"",MIN(D2122:U2122))</f>
        <v/>
      </c>
      <c r="W2122" s="8">
        <f>IF(COUNT(D2122:U2122)=0,"",MEDIAN(D2122:U2122))</f>
        <v/>
      </c>
      <c r="X2122" s="8">
        <f>IF(COUNT(D2122:U2122)=0,"",MAX(D2122:U2122))</f>
        <v/>
      </c>
      <c r="Y2122" s="9">
        <f>IF(OR(V2122="",V2122=0),"",(X2122-V2122)/V2122)</f>
        <v/>
      </c>
      <c r="Z2122" s="7">
        <f>IF(COUNT(D2122:U2122)=0,"",INDEX($D$1:$U$1,MATCH(MIN(D2122:U2122),D2122:U2122,0)))</f>
        <v/>
      </c>
      <c r="AA2122" s="8" t="n">
        <v>1042</v>
      </c>
      <c r="AB2122" s="10" t="n">
        <v>1</v>
      </c>
    </row>
    <row r="2123">
      <c r="A2123" s="7" t="inlineStr">
        <is>
          <t>MAT-32-772</t>
        </is>
      </c>
      <c r="B2123" s="4" t="inlineStr">
        <is>
          <t>Manguera para jardín 5/8"</t>
        </is>
      </c>
      <c r="C2123" s="7" t="inlineStr">
        <is>
          <t>unidad</t>
        </is>
      </c>
      <c r="D2123" s="8" t="n"/>
      <c r="E2123" s="8" t="n"/>
      <c r="F2123" s="8" t="n"/>
      <c r="G2123" s="8" t="n">
        <v>2054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>
        <f>IF(COUNT(D2123:U2123)=0,"",MIN(D2123:U2123))</f>
        <v/>
      </c>
      <c r="W2123" s="8">
        <f>IF(COUNT(D2123:U2123)=0,"",MEDIAN(D2123:U2123))</f>
        <v/>
      </c>
      <c r="X2123" s="8">
        <f>IF(COUNT(D2123:U2123)=0,"",MAX(D2123:U2123))</f>
        <v/>
      </c>
      <c r="Y2123" s="9">
        <f>IF(OR(V2123="",V2123=0),"",(X2123-V2123)/V2123)</f>
        <v/>
      </c>
      <c r="Z2123" s="7">
        <f>IF(COUNT(D2123:U2123)=0,"",INDEX($D$1:$U$1,MATCH(MIN(D2123:U2123),D2123:U2123,0)))</f>
        <v/>
      </c>
      <c r="AA2123" s="8" t="n">
        <v>2397</v>
      </c>
      <c r="AB2123" s="10" t="n">
        <v>1</v>
      </c>
    </row>
    <row r="2124">
      <c r="A2124" s="7" t="inlineStr">
        <is>
          <t>MAT-32-773</t>
        </is>
      </c>
      <c r="B2124" s="4" t="inlineStr">
        <is>
          <t>Manguera para jardín 5/8" x 75 pies</t>
        </is>
      </c>
      <c r="C2124" s="7" t="inlineStr">
        <is>
          <t>unidad</t>
        </is>
      </c>
      <c r="D2124" s="8" t="n"/>
      <c r="E2124" s="8" t="n"/>
      <c r="F2124" s="8" t="n"/>
      <c r="G2124" s="8" t="n">
        <v>1365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>
        <f>IF(COUNT(D2124:U2124)=0,"",MIN(D2124:U2124))</f>
        <v/>
      </c>
      <c r="W2124" s="8">
        <f>IF(COUNT(D2124:U2124)=0,"",MEDIAN(D2124:U2124))</f>
        <v/>
      </c>
      <c r="X2124" s="8">
        <f>IF(COUNT(D2124:U2124)=0,"",MAX(D2124:U2124))</f>
        <v/>
      </c>
      <c r="Y2124" s="9">
        <f>IF(OR(V2124="",V2124=0),"",(X2124-V2124)/V2124)</f>
        <v/>
      </c>
      <c r="Z2124" s="7">
        <f>IF(COUNT(D2124:U2124)=0,"",INDEX($D$1:$U$1,MATCH(MIN(D2124:U2124),D2124:U2124,0)))</f>
        <v/>
      </c>
      <c r="AA2124" s="8" t="n">
        <v>1365</v>
      </c>
      <c r="AB2124" s="10" t="n">
        <v>1</v>
      </c>
    </row>
    <row r="2125">
      <c r="A2125" s="7" t="inlineStr">
        <is>
          <t>MAT-32-774</t>
        </is>
      </c>
      <c r="B2125" s="4" t="inlineStr">
        <is>
          <t>Manguera para lavadora 48"</t>
        </is>
      </c>
      <c r="C2125" s="7" t="inlineStr">
        <is>
          <t>unidad</t>
        </is>
      </c>
      <c r="D2125" s="8" t="n"/>
      <c r="E2125" s="8" t="n"/>
      <c r="F2125" s="8" t="n"/>
      <c r="G2125" s="8" t="n">
        <v>556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>
        <f>IF(COUNT(D2125:U2125)=0,"",MIN(D2125:U2125))</f>
        <v/>
      </c>
      <c r="W2125" s="8">
        <f>IF(COUNT(D2125:U2125)=0,"",MEDIAN(D2125:U2125))</f>
        <v/>
      </c>
      <c r="X2125" s="8">
        <f>IF(COUNT(D2125:U2125)=0,"",MAX(D2125:U2125))</f>
        <v/>
      </c>
      <c r="Y2125" s="9">
        <f>IF(OR(V2125="",V2125=0),"",(X2125-V2125)/V2125)</f>
        <v/>
      </c>
      <c r="Z2125" s="7">
        <f>IF(COUNT(D2125:U2125)=0,"",INDEX($D$1:$U$1,MATCH(MIN(D2125:U2125),D2125:U2125,0)))</f>
        <v/>
      </c>
      <c r="AA2125" s="8" t="n">
        <v>556</v>
      </c>
      <c r="AB2125" s="10" t="n">
        <v>1</v>
      </c>
    </row>
    <row r="2126">
      <c r="A2126" s="7" t="inlineStr">
        <is>
          <t>MAT-32-775</t>
        </is>
      </c>
      <c r="B2126" s="4" t="inlineStr">
        <is>
          <t>Manguera para lavadora 60"</t>
        </is>
      </c>
      <c r="C2126" s="7" t="inlineStr">
        <is>
          <t>unidad</t>
        </is>
      </c>
      <c r="D2126" s="8" t="n"/>
      <c r="E2126" s="8" t="n"/>
      <c r="F2126" s="8" t="n"/>
      <c r="G2126" s="8" t="n">
        <v>410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>
        <f>IF(COUNT(D2126:U2126)=0,"",MIN(D2126:U2126))</f>
        <v/>
      </c>
      <c r="W2126" s="8">
        <f>IF(COUNT(D2126:U2126)=0,"",MEDIAN(D2126:U2126))</f>
        <v/>
      </c>
      <c r="X2126" s="8">
        <f>IF(COUNT(D2126:U2126)=0,"",MAX(D2126:U2126))</f>
        <v/>
      </c>
      <c r="Y2126" s="9">
        <f>IF(OR(V2126="",V2126=0),"",(X2126-V2126)/V2126)</f>
        <v/>
      </c>
      <c r="Z2126" s="7">
        <f>IF(COUNT(D2126:U2126)=0,"",INDEX($D$1:$U$1,MATCH(MIN(D2126:U2126),D2126:U2126,0)))</f>
        <v/>
      </c>
      <c r="AA2126" s="8" t="n">
        <v>410</v>
      </c>
      <c r="AB2126" s="10" t="n">
        <v>1</v>
      </c>
    </row>
    <row r="2127">
      <c r="A2127" s="7" t="inlineStr">
        <is>
          <t>MAT-32-776</t>
        </is>
      </c>
      <c r="B2127" s="4" t="inlineStr">
        <is>
          <t>Manguera para lavadora 72"</t>
        </is>
      </c>
      <c r="C2127" s="7" t="inlineStr">
        <is>
          <t>unidad</t>
        </is>
      </c>
      <c r="D2127" s="8" t="n"/>
      <c r="E2127" s="8" t="n"/>
      <c r="F2127" s="8" t="n"/>
      <c r="G2127" s="8" t="n">
        <v>375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>
        <f>IF(COUNT(D2127:U2127)=0,"",MIN(D2127:U2127))</f>
        <v/>
      </c>
      <c r="W2127" s="8">
        <f>IF(COUNT(D2127:U2127)=0,"",MEDIAN(D2127:U2127))</f>
        <v/>
      </c>
      <c r="X2127" s="8">
        <f>IF(COUNT(D2127:U2127)=0,"",MAX(D2127:U2127))</f>
        <v/>
      </c>
      <c r="Y2127" s="9">
        <f>IF(OR(V2127="",V2127=0),"",(X2127-V2127)/V2127)</f>
        <v/>
      </c>
      <c r="Z2127" s="7">
        <f>IF(COUNT(D2127:U2127)=0,"",INDEX($D$1:$U$1,MATCH(MIN(D2127:U2127),D2127:U2127,0)))</f>
        <v/>
      </c>
      <c r="AA2127" s="8" t="n">
        <v>375</v>
      </c>
      <c r="AB2127" s="10" t="n">
        <v>1</v>
      </c>
    </row>
    <row r="2128">
      <c r="A2128" s="7" t="inlineStr">
        <is>
          <t>MAT-32-777</t>
        </is>
      </c>
      <c r="B2128" s="4" t="inlineStr">
        <is>
          <t>Manguera para lavamanos 1/2"</t>
        </is>
      </c>
      <c r="C2128" s="7" t="inlineStr">
        <is>
          <t>unidad</t>
        </is>
      </c>
      <c r="D2128" s="8" t="n"/>
      <c r="E2128" s="8" t="n"/>
      <c r="F2128" s="8" t="n"/>
      <c r="G2128" s="8" t="n">
        <v>295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>
        <f>IF(COUNT(D2128:U2128)=0,"",MIN(D2128:U2128))</f>
        <v/>
      </c>
      <c r="W2128" s="8">
        <f>IF(COUNT(D2128:U2128)=0,"",MEDIAN(D2128:U2128))</f>
        <v/>
      </c>
      <c r="X2128" s="8">
        <f>IF(COUNT(D2128:U2128)=0,"",MAX(D2128:U2128))</f>
        <v/>
      </c>
      <c r="Y2128" s="9">
        <f>IF(OR(V2128="",V2128=0),"",(X2128-V2128)/V2128)</f>
        <v/>
      </c>
      <c r="Z2128" s="7">
        <f>IF(COUNT(D2128:U2128)=0,"",INDEX($D$1:$U$1,MATCH(MIN(D2128:U2128),D2128:U2128,0)))</f>
        <v/>
      </c>
      <c r="AA2128" s="8" t="n">
        <v>384</v>
      </c>
      <c r="AB2128" s="10" t="n">
        <v>1</v>
      </c>
    </row>
    <row r="2129">
      <c r="A2129" s="7" t="inlineStr">
        <is>
          <t>MAT-32-778</t>
        </is>
      </c>
      <c r="B2129" s="4" t="inlineStr">
        <is>
          <t>Manguera para lavamanos 16"</t>
        </is>
      </c>
      <c r="C2129" s="7" t="inlineStr">
        <is>
          <t>unidad</t>
        </is>
      </c>
      <c r="D2129" s="8" t="n"/>
      <c r="E2129" s="8" t="n"/>
      <c r="F2129" s="8" t="n"/>
      <c r="G2129" s="8" t="n">
        <v>265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>
        <f>IF(COUNT(D2129:U2129)=0,"",MIN(D2129:U2129))</f>
        <v/>
      </c>
      <c r="W2129" s="8">
        <f>IF(COUNT(D2129:U2129)=0,"",MEDIAN(D2129:U2129))</f>
        <v/>
      </c>
      <c r="X2129" s="8">
        <f>IF(COUNT(D2129:U2129)=0,"",MAX(D2129:U2129))</f>
        <v/>
      </c>
      <c r="Y2129" s="9">
        <f>IF(OR(V2129="",V2129=0),"",(X2129-V2129)/V2129)</f>
        <v/>
      </c>
      <c r="Z2129" s="7">
        <f>IF(COUNT(D2129:U2129)=0,"",INDEX($D$1:$U$1,MATCH(MIN(D2129:U2129),D2129:U2129,0)))</f>
        <v/>
      </c>
      <c r="AA2129" s="8" t="n">
        <v>265</v>
      </c>
      <c r="AB2129" s="10" t="n">
        <v>1</v>
      </c>
    </row>
    <row r="2130">
      <c r="A2130" s="7" t="inlineStr">
        <is>
          <t>MAT-32-779</t>
        </is>
      </c>
      <c r="B2130" s="4" t="inlineStr">
        <is>
          <t>Manguera para lavamanos 20"</t>
        </is>
      </c>
      <c r="C2130" s="7" t="inlineStr">
        <is>
          <t>unidad</t>
        </is>
      </c>
      <c r="D2130" s="8" t="n"/>
      <c r="E2130" s="8" t="n"/>
      <c r="F2130" s="8" t="n"/>
      <c r="G2130" s="8" t="n">
        <v>325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>
        <f>IF(COUNT(D2130:U2130)=0,"",MIN(D2130:U2130))</f>
        <v/>
      </c>
      <c r="W2130" s="8">
        <f>IF(COUNT(D2130:U2130)=0,"",MEDIAN(D2130:U2130))</f>
        <v/>
      </c>
      <c r="X2130" s="8">
        <f>IF(COUNT(D2130:U2130)=0,"",MAX(D2130:U2130))</f>
        <v/>
      </c>
      <c r="Y2130" s="9">
        <f>IF(OR(V2130="",V2130=0),"",(X2130-V2130)/V2130)</f>
        <v/>
      </c>
      <c r="Z2130" s="7">
        <f>IF(COUNT(D2130:U2130)=0,"",INDEX($D$1:$U$1,MATCH(MIN(D2130:U2130),D2130:U2130,0)))</f>
        <v/>
      </c>
      <c r="AA2130" s="8" t="n">
        <v>325</v>
      </c>
      <c r="AB2130" s="10" t="n">
        <v>1</v>
      </c>
    </row>
    <row r="2131">
      <c r="A2131" s="7" t="inlineStr">
        <is>
          <t>MAT-32-780</t>
        </is>
      </c>
      <c r="B2131" s="4" t="inlineStr">
        <is>
          <t>Manguera para lavamanos 22"</t>
        </is>
      </c>
      <c r="C2131" s="7" t="inlineStr">
        <is>
          <t>unidad</t>
        </is>
      </c>
      <c r="D2131" s="8" t="n"/>
      <c r="E2131" s="8" t="n"/>
      <c r="F2131" s="8" t="n"/>
      <c r="G2131" s="8" t="n">
        <v>365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>
        <f>IF(COUNT(D2131:U2131)=0,"",MIN(D2131:U2131))</f>
        <v/>
      </c>
      <c r="W2131" s="8">
        <f>IF(COUNT(D2131:U2131)=0,"",MEDIAN(D2131:U2131))</f>
        <v/>
      </c>
      <c r="X2131" s="8">
        <f>IF(COUNT(D2131:U2131)=0,"",MAX(D2131:U2131))</f>
        <v/>
      </c>
      <c r="Y2131" s="9">
        <f>IF(OR(V2131="",V2131=0),"",(X2131-V2131)/V2131)</f>
        <v/>
      </c>
      <c r="Z2131" s="7">
        <f>IF(COUNT(D2131:U2131)=0,"",INDEX($D$1:$U$1,MATCH(MIN(D2131:U2131),D2131:U2131,0)))</f>
        <v/>
      </c>
      <c r="AA2131" s="8" t="n">
        <v>425</v>
      </c>
      <c r="AB2131" s="10" t="n">
        <v>1</v>
      </c>
    </row>
    <row r="2132">
      <c r="A2132" s="7" t="inlineStr">
        <is>
          <t>MAT-32-781</t>
        </is>
      </c>
      <c r="B2132" s="4" t="inlineStr">
        <is>
          <t>Manguera para lavamanos 24"</t>
        </is>
      </c>
      <c r="C2132" s="7" t="inlineStr">
        <is>
          <t>unidad</t>
        </is>
      </c>
      <c r="D2132" s="8" t="n"/>
      <c r="E2132" s="8" t="n"/>
      <c r="F2132" s="8" t="n"/>
      <c r="G2132" s="8" t="n">
        <v>265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>
        <f>IF(COUNT(D2132:U2132)=0,"",MIN(D2132:U2132))</f>
        <v/>
      </c>
      <c r="W2132" s="8">
        <f>IF(COUNT(D2132:U2132)=0,"",MEDIAN(D2132:U2132))</f>
        <v/>
      </c>
      <c r="X2132" s="8">
        <f>IF(COUNT(D2132:U2132)=0,"",MAX(D2132:U2132))</f>
        <v/>
      </c>
      <c r="Y2132" s="9">
        <f>IF(OR(V2132="",V2132=0),"",(X2132-V2132)/V2132)</f>
        <v/>
      </c>
      <c r="Z2132" s="7">
        <f>IF(COUNT(D2132:U2132)=0,"",INDEX($D$1:$U$1,MATCH(MIN(D2132:U2132),D2132:U2132,0)))</f>
        <v/>
      </c>
      <c r="AA2132" s="8" t="n">
        <v>279</v>
      </c>
      <c r="AB2132" s="10" t="n">
        <v>1</v>
      </c>
    </row>
    <row r="2133">
      <c r="A2133" s="7" t="inlineStr">
        <is>
          <t>MAT-32-782</t>
        </is>
      </c>
      <c r="B2133" s="4" t="inlineStr">
        <is>
          <t>Manguera para lavamanos 3/8"</t>
        </is>
      </c>
      <c r="C2133" s="7" t="inlineStr">
        <is>
          <t>unidad</t>
        </is>
      </c>
      <c r="D2133" s="8" t="n"/>
      <c r="E2133" s="8" t="n"/>
      <c r="F2133" s="8" t="n"/>
      <c r="G2133" s="8" t="n">
        <v>505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>
        <f>IF(COUNT(D2133:U2133)=0,"",MIN(D2133:U2133))</f>
        <v/>
      </c>
      <c r="W2133" s="8">
        <f>IF(COUNT(D2133:U2133)=0,"",MEDIAN(D2133:U2133))</f>
        <v/>
      </c>
      <c r="X2133" s="8">
        <f>IF(COUNT(D2133:U2133)=0,"",MAX(D2133:U2133))</f>
        <v/>
      </c>
      <c r="Y2133" s="9">
        <f>IF(OR(V2133="",V2133=0),"",(X2133-V2133)/V2133)</f>
        <v/>
      </c>
      <c r="Z2133" s="7">
        <f>IF(COUNT(D2133:U2133)=0,"",INDEX($D$1:$U$1,MATCH(MIN(D2133:U2133),D2133:U2133,0)))</f>
        <v/>
      </c>
      <c r="AA2133" s="8" t="n">
        <v>505</v>
      </c>
      <c r="AB2133" s="10" t="n">
        <v>1</v>
      </c>
    </row>
    <row r="2134">
      <c r="A2134" s="7" t="inlineStr">
        <is>
          <t>MAT-32-783</t>
        </is>
      </c>
      <c r="B2134" s="4" t="inlineStr">
        <is>
          <t>Manguera para lavamanos 3/8" x 32 pulgadas</t>
        </is>
      </c>
      <c r="C2134" s="7" t="inlineStr">
        <is>
          <t>unidad</t>
        </is>
      </c>
      <c r="D2134" s="8" t="n"/>
      <c r="E2134" s="8" t="n"/>
      <c r="F2134" s="8" t="n"/>
      <c r="G2134" s="8" t="n">
        <v>198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>
        <f>IF(COUNT(D2134:U2134)=0,"",MIN(D2134:U2134))</f>
        <v/>
      </c>
      <c r="W2134" s="8">
        <f>IF(COUNT(D2134:U2134)=0,"",MEDIAN(D2134:U2134))</f>
        <v/>
      </c>
      <c r="X2134" s="8">
        <f>IF(COUNT(D2134:U2134)=0,"",MAX(D2134:U2134))</f>
        <v/>
      </c>
      <c r="Y2134" s="9">
        <f>IF(OR(V2134="",V2134=0),"",(X2134-V2134)/V2134)</f>
        <v/>
      </c>
      <c r="Z2134" s="7">
        <f>IF(COUNT(D2134:U2134)=0,"",INDEX($D$1:$U$1,MATCH(MIN(D2134:U2134),D2134:U2134,0)))</f>
        <v/>
      </c>
      <c r="AA2134" s="8" t="n">
        <v>198</v>
      </c>
      <c r="AB2134" s="10" t="n">
        <v>1</v>
      </c>
    </row>
    <row r="2135">
      <c r="A2135" s="7" t="inlineStr">
        <is>
          <t>MAT-32-784</t>
        </is>
      </c>
      <c r="B2135" s="4" t="inlineStr">
        <is>
          <t>Manguera para lavamanos 30"</t>
        </is>
      </c>
      <c r="C2135" s="7" t="inlineStr">
        <is>
          <t>unidad</t>
        </is>
      </c>
      <c r="D2135" s="8" t="n"/>
      <c r="E2135" s="8" t="n"/>
      <c r="F2135" s="8" t="n"/>
      <c r="G2135" s="8" t="n">
        <v>330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>
        <f>IF(COUNT(D2135:U2135)=0,"",MIN(D2135:U2135))</f>
        <v/>
      </c>
      <c r="W2135" s="8">
        <f>IF(COUNT(D2135:U2135)=0,"",MEDIAN(D2135:U2135))</f>
        <v/>
      </c>
      <c r="X2135" s="8">
        <f>IF(COUNT(D2135:U2135)=0,"",MAX(D2135:U2135))</f>
        <v/>
      </c>
      <c r="Y2135" s="9">
        <f>IF(OR(V2135="",V2135=0),"",(X2135-V2135)/V2135)</f>
        <v/>
      </c>
      <c r="Z2135" s="7">
        <f>IF(COUNT(D2135:U2135)=0,"",INDEX($D$1:$U$1,MATCH(MIN(D2135:U2135),D2135:U2135,0)))</f>
        <v/>
      </c>
      <c r="AA2135" s="8" t="n">
        <v>330</v>
      </c>
      <c r="AB2135" s="10" t="n">
        <v>1</v>
      </c>
    </row>
    <row r="2136">
      <c r="A2136" s="7" t="inlineStr">
        <is>
          <t>MAT-32-785</t>
        </is>
      </c>
      <c r="B2136" s="4" t="inlineStr">
        <is>
          <t>Manguera para lavamanos 36"</t>
        </is>
      </c>
      <c r="C2136" s="7" t="inlineStr">
        <is>
          <t>unidad</t>
        </is>
      </c>
      <c r="D2136" s="8" t="n"/>
      <c r="E2136" s="8" t="n"/>
      <c r="F2136" s="8" t="n"/>
      <c r="G2136" s="8" t="n">
        <v>319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>
        <f>IF(COUNT(D2136:U2136)=0,"",MIN(D2136:U2136))</f>
        <v/>
      </c>
      <c r="W2136" s="8">
        <f>IF(COUNT(D2136:U2136)=0,"",MEDIAN(D2136:U2136))</f>
        <v/>
      </c>
      <c r="X2136" s="8">
        <f>IF(COUNT(D2136:U2136)=0,"",MAX(D2136:U2136))</f>
        <v/>
      </c>
      <c r="Y2136" s="9">
        <f>IF(OR(V2136="",V2136=0),"",(X2136-V2136)/V2136)</f>
        <v/>
      </c>
      <c r="Z2136" s="7">
        <f>IF(COUNT(D2136:U2136)=0,"",INDEX($D$1:$U$1,MATCH(MIN(D2136:U2136),D2136:U2136,0)))</f>
        <v/>
      </c>
      <c r="AA2136" s="8" t="n">
        <v>319</v>
      </c>
      <c r="AB2136" s="10" t="n">
        <v>1</v>
      </c>
    </row>
    <row r="2137">
      <c r="A2137" s="7" t="inlineStr">
        <is>
          <t>MAT-32-786</t>
        </is>
      </c>
      <c r="B2137" s="4" t="inlineStr">
        <is>
          <t>Manguera para mezcladora 3/8" x 20 pulgadas</t>
        </is>
      </c>
      <c r="C2137" s="7" t="inlineStr">
        <is>
          <t>unidad</t>
        </is>
      </c>
      <c r="D2137" s="8" t="n"/>
      <c r="E2137" s="8" t="n"/>
      <c r="F2137" s="8" t="n"/>
      <c r="G2137" s="8" t="n">
        <v>195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>
        <f>IF(COUNT(D2137:U2137)=0,"",MIN(D2137:U2137))</f>
        <v/>
      </c>
      <c r="W2137" s="8">
        <f>IF(COUNT(D2137:U2137)=0,"",MEDIAN(D2137:U2137))</f>
        <v/>
      </c>
      <c r="X2137" s="8">
        <f>IF(COUNT(D2137:U2137)=0,"",MAX(D2137:U2137))</f>
        <v/>
      </c>
      <c r="Y2137" s="9">
        <f>IF(OR(V2137="",V2137=0),"",(X2137-V2137)/V2137)</f>
        <v/>
      </c>
      <c r="Z2137" s="7">
        <f>IF(COUNT(D2137:U2137)=0,"",INDEX($D$1:$U$1,MATCH(MIN(D2137:U2137),D2137:U2137,0)))</f>
        <v/>
      </c>
      <c r="AA2137" s="8" t="n">
        <v>195</v>
      </c>
      <c r="AB2137" s="10" t="n">
        <v>1</v>
      </c>
    </row>
    <row r="2138">
      <c r="A2138" s="7" t="inlineStr">
        <is>
          <t>MAT-32-787</t>
        </is>
      </c>
      <c r="B2138" s="4" t="inlineStr">
        <is>
          <t>Manguera para mezcladora 32"</t>
        </is>
      </c>
      <c r="C2138" s="7" t="inlineStr">
        <is>
          <t>unidad</t>
        </is>
      </c>
      <c r="D2138" s="8" t="n"/>
      <c r="E2138" s="8" t="n"/>
      <c r="F2138" s="8" t="n"/>
      <c r="G2138" s="8" t="n">
        <v>297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>
        <f>IF(COUNT(D2138:U2138)=0,"",MIN(D2138:U2138))</f>
        <v/>
      </c>
      <c r="W2138" s="8">
        <f>IF(COUNT(D2138:U2138)=0,"",MEDIAN(D2138:U2138))</f>
        <v/>
      </c>
      <c r="X2138" s="8">
        <f>IF(COUNT(D2138:U2138)=0,"",MAX(D2138:U2138))</f>
        <v/>
      </c>
      <c r="Y2138" s="9">
        <f>IF(OR(V2138="",V2138=0),"",(X2138-V2138)/V2138)</f>
        <v/>
      </c>
      <c r="Z2138" s="7">
        <f>IF(COUNT(D2138:U2138)=0,"",INDEX($D$1:$U$1,MATCH(MIN(D2138:U2138),D2138:U2138,0)))</f>
        <v/>
      </c>
      <c r="AA2138" s="8" t="n">
        <v>297</v>
      </c>
      <c r="AB2138" s="10" t="n">
        <v>1</v>
      </c>
    </row>
    <row r="2139">
      <c r="A2139" s="7" t="inlineStr">
        <is>
          <t>MAT-32-788</t>
        </is>
      </c>
      <c r="B2139" s="4" t="inlineStr">
        <is>
          <t>Manguera para uso general, transparente 0.31"</t>
        </is>
      </c>
      <c r="C2139" s="7" t="inlineStr">
        <is>
          <t>unidad</t>
        </is>
      </c>
      <c r="D2139" s="8" t="n"/>
      <c r="E2139" s="8" t="n"/>
      <c r="F2139" s="8" t="n"/>
      <c r="G2139" s="8" t="n">
        <v>25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>
        <f>IF(COUNT(D2139:U2139)=0,"",MIN(D2139:U2139))</f>
        <v/>
      </c>
      <c r="W2139" s="8">
        <f>IF(COUNT(D2139:U2139)=0,"",MEDIAN(D2139:U2139))</f>
        <v/>
      </c>
      <c r="X2139" s="8">
        <f>IF(COUNT(D2139:U2139)=0,"",MAX(D2139:U2139))</f>
        <v/>
      </c>
      <c r="Y2139" s="9">
        <f>IF(OR(V2139="",V2139=0),"",(X2139-V2139)/V2139)</f>
        <v/>
      </c>
      <c r="Z2139" s="7">
        <f>IF(COUNT(D2139:U2139)=0,"",INDEX($D$1:$U$1,MATCH(MIN(D2139:U2139),D2139:U2139,0)))</f>
        <v/>
      </c>
      <c r="AA2139" s="8" t="n">
        <v>25</v>
      </c>
      <c r="AB2139" s="10" t="n">
        <v>1</v>
      </c>
    </row>
    <row r="2140">
      <c r="A2140" s="7" t="inlineStr">
        <is>
          <t>MAT-32-789</t>
        </is>
      </c>
      <c r="B2140" s="4" t="inlineStr">
        <is>
          <t>Manguera para uso general, transparente 1/2"</t>
        </is>
      </c>
      <c r="C2140" s="7" t="inlineStr">
        <is>
          <t>unidad</t>
        </is>
      </c>
      <c r="D2140" s="8" t="n"/>
      <c r="E2140" s="8" t="n"/>
      <c r="F2140" s="8" t="n"/>
      <c r="G2140" s="8" t="n">
        <v>40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>
        <f>IF(COUNT(D2140:U2140)=0,"",MIN(D2140:U2140))</f>
        <v/>
      </c>
      <c r="W2140" s="8">
        <f>IF(COUNT(D2140:U2140)=0,"",MEDIAN(D2140:U2140))</f>
        <v/>
      </c>
      <c r="X2140" s="8">
        <f>IF(COUNT(D2140:U2140)=0,"",MAX(D2140:U2140))</f>
        <v/>
      </c>
      <c r="Y2140" s="9">
        <f>IF(OR(V2140="",V2140=0),"",(X2140-V2140)/V2140)</f>
        <v/>
      </c>
      <c r="Z2140" s="7">
        <f>IF(COUNT(D2140:U2140)=0,"",INDEX($D$1:$U$1,MATCH(MIN(D2140:U2140),D2140:U2140,0)))</f>
        <v/>
      </c>
      <c r="AA2140" s="8" t="n">
        <v>43.5</v>
      </c>
      <c r="AB2140" s="10" t="n">
        <v>1</v>
      </c>
    </row>
    <row r="2141">
      <c r="A2141" s="7" t="inlineStr">
        <is>
          <t>MAT-32-790</t>
        </is>
      </c>
      <c r="B2141" s="4" t="inlineStr">
        <is>
          <t>Manguera para uso general, transparente 1/4"</t>
        </is>
      </c>
      <c r="C2141" s="7" t="inlineStr">
        <is>
          <t>unidad</t>
        </is>
      </c>
      <c r="D2141" s="8" t="n"/>
      <c r="E2141" s="8" t="n"/>
      <c r="F2141" s="8" t="n"/>
      <c r="G2141" s="8" t="n">
        <v>35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>
        <f>IF(COUNT(D2141:U2141)=0,"",MIN(D2141:U2141))</f>
        <v/>
      </c>
      <c r="W2141" s="8">
        <f>IF(COUNT(D2141:U2141)=0,"",MEDIAN(D2141:U2141))</f>
        <v/>
      </c>
      <c r="X2141" s="8">
        <f>IF(COUNT(D2141:U2141)=0,"",MAX(D2141:U2141))</f>
        <v/>
      </c>
      <c r="Y2141" s="9">
        <f>IF(OR(V2141="",V2141=0),"",(X2141-V2141)/V2141)</f>
        <v/>
      </c>
      <c r="Z2141" s="7">
        <f>IF(COUNT(D2141:U2141)=0,"",INDEX($D$1:$U$1,MATCH(MIN(D2141:U2141),D2141:U2141,0)))</f>
        <v/>
      </c>
      <c r="AA2141" s="8" t="n">
        <v>35</v>
      </c>
      <c r="AB2141" s="10" t="n">
        <v>1</v>
      </c>
    </row>
    <row r="2142">
      <c r="A2142" s="7" t="inlineStr">
        <is>
          <t>MAT-32-791</t>
        </is>
      </c>
      <c r="B2142" s="4" t="inlineStr">
        <is>
          <t>Manguera para uso general, transparente 1"</t>
        </is>
      </c>
      <c r="C2142" s="7" t="inlineStr">
        <is>
          <t>unidad</t>
        </is>
      </c>
      <c r="D2142" s="8" t="n"/>
      <c r="E2142" s="8" t="n"/>
      <c r="F2142" s="8" t="n"/>
      <c r="G2142" s="8" t="n">
        <v>100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>
        <f>IF(COUNT(D2142:U2142)=0,"",MIN(D2142:U2142))</f>
        <v/>
      </c>
      <c r="W2142" s="8">
        <f>IF(COUNT(D2142:U2142)=0,"",MEDIAN(D2142:U2142))</f>
        <v/>
      </c>
      <c r="X2142" s="8">
        <f>IF(COUNT(D2142:U2142)=0,"",MAX(D2142:U2142))</f>
        <v/>
      </c>
      <c r="Y2142" s="9">
        <f>IF(OR(V2142="",V2142=0),"",(X2142-V2142)/V2142)</f>
        <v/>
      </c>
      <c r="Z2142" s="7">
        <f>IF(COUNT(D2142:U2142)=0,"",INDEX($D$1:$U$1,MATCH(MIN(D2142:U2142),D2142:U2142,0)))</f>
        <v/>
      </c>
      <c r="AA2142" s="8" t="n">
        <v>100</v>
      </c>
      <c r="AB2142" s="10" t="n">
        <v>1</v>
      </c>
    </row>
    <row r="2143">
      <c r="A2143" s="7" t="inlineStr">
        <is>
          <t>MAT-32-792</t>
        </is>
      </c>
      <c r="B2143" s="4" t="inlineStr">
        <is>
          <t>Manguera para uso general, transparente 3/4"</t>
        </is>
      </c>
      <c r="C2143" s="7" t="inlineStr">
        <is>
          <t>unidad</t>
        </is>
      </c>
      <c r="D2143" s="8" t="n"/>
      <c r="E2143" s="8" t="n"/>
      <c r="F2143" s="8" t="n"/>
      <c r="G2143" s="8" t="n">
        <v>36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>
        <f>IF(COUNT(D2143:U2143)=0,"",MIN(D2143:U2143))</f>
        <v/>
      </c>
      <c r="W2143" s="8">
        <f>IF(COUNT(D2143:U2143)=0,"",MEDIAN(D2143:U2143))</f>
        <v/>
      </c>
      <c r="X2143" s="8">
        <f>IF(COUNT(D2143:U2143)=0,"",MAX(D2143:U2143))</f>
        <v/>
      </c>
      <c r="Y2143" s="9">
        <f>IF(OR(V2143="",V2143=0),"",(X2143-V2143)/V2143)</f>
        <v/>
      </c>
      <c r="Z2143" s="7">
        <f>IF(COUNT(D2143:U2143)=0,"",INDEX($D$1:$U$1,MATCH(MIN(D2143:U2143),D2143:U2143,0)))</f>
        <v/>
      </c>
      <c r="AA2143" s="8" t="n">
        <v>36</v>
      </c>
      <c r="AB2143" s="10" t="n">
        <v>1</v>
      </c>
    </row>
    <row r="2144">
      <c r="A2144" s="7" t="inlineStr">
        <is>
          <t>MAT-32-793</t>
        </is>
      </c>
      <c r="B2144" s="4" t="inlineStr">
        <is>
          <t>Manguera para uso general, transparente 3/8"</t>
        </is>
      </c>
      <c r="C2144" s="7" t="inlineStr">
        <is>
          <t>unidad</t>
        </is>
      </c>
      <c r="D2144" s="8" t="n"/>
      <c r="E2144" s="8" t="n"/>
      <c r="F2144" s="8" t="n"/>
      <c r="G2144" s="8" t="n">
        <v>32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>
        <f>IF(COUNT(D2144:U2144)=0,"",MIN(D2144:U2144))</f>
        <v/>
      </c>
      <c r="W2144" s="8">
        <f>IF(COUNT(D2144:U2144)=0,"",MEDIAN(D2144:U2144))</f>
        <v/>
      </c>
      <c r="X2144" s="8">
        <f>IF(COUNT(D2144:U2144)=0,"",MAX(D2144:U2144))</f>
        <v/>
      </c>
      <c r="Y2144" s="9">
        <f>IF(OR(V2144="",V2144=0),"",(X2144-V2144)/V2144)</f>
        <v/>
      </c>
      <c r="Z2144" s="7">
        <f>IF(COUNT(D2144:U2144)=0,"",INDEX($D$1:$U$1,MATCH(MIN(D2144:U2144),D2144:U2144,0)))</f>
        <v/>
      </c>
      <c r="AA2144" s="8" t="n">
        <v>32</v>
      </c>
      <c r="AB2144" s="10" t="n">
        <v>1</v>
      </c>
    </row>
    <row r="2145">
      <c r="A2145" s="7" t="inlineStr">
        <is>
          <t>MAT-32-794</t>
        </is>
      </c>
      <c r="B2145" s="4" t="inlineStr">
        <is>
          <t>Cinta de teflón 1"</t>
        </is>
      </c>
      <c r="C2145" s="7" t="inlineStr">
        <is>
          <t>rollo</t>
        </is>
      </c>
      <c r="D2145" s="8" t="n"/>
      <c r="E2145" s="8" t="n"/>
      <c r="F2145" s="8" t="n"/>
      <c r="G2145" s="8" t="n">
        <v>75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>
        <f>IF(COUNT(D2145:U2145)=0,"",MIN(D2145:U2145))</f>
        <v/>
      </c>
      <c r="W2145" s="8">
        <f>IF(COUNT(D2145:U2145)=0,"",MEDIAN(D2145:U2145))</f>
        <v/>
      </c>
      <c r="X2145" s="8">
        <f>IF(COUNT(D2145:U2145)=0,"",MAX(D2145:U2145))</f>
        <v/>
      </c>
      <c r="Y2145" s="9">
        <f>IF(OR(V2145="",V2145=0),"",(X2145-V2145)/V2145)</f>
        <v/>
      </c>
      <c r="Z2145" s="7">
        <f>IF(COUNT(D2145:U2145)=0,"",INDEX($D$1:$U$1,MATCH(MIN(D2145:U2145),D2145:U2145,0)))</f>
        <v/>
      </c>
      <c r="AA2145" s="8" t="n">
        <v>75</v>
      </c>
      <c r="AB2145" s="10" t="n">
        <v>1</v>
      </c>
    </row>
    <row r="2146">
      <c r="A2146" s="7" t="inlineStr">
        <is>
          <t>MAT-32-795</t>
        </is>
      </c>
      <c r="B2146" s="4" t="inlineStr">
        <is>
          <t>Cinta de teflón 3/4"</t>
        </is>
      </c>
      <c r="C2146" s="7" t="inlineStr">
        <is>
          <t>rollo</t>
        </is>
      </c>
      <c r="D2146" s="8" t="n"/>
      <c r="E2146" s="8" t="n"/>
      <c r="F2146" s="8" t="n"/>
      <c r="G2146" s="8" t="n">
        <v>60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>
        <f>IF(COUNT(D2146:U2146)=0,"",MIN(D2146:U2146))</f>
        <v/>
      </c>
      <c r="W2146" s="8">
        <f>IF(COUNT(D2146:U2146)=0,"",MEDIAN(D2146:U2146))</f>
        <v/>
      </c>
      <c r="X2146" s="8">
        <f>IF(COUNT(D2146:U2146)=0,"",MAX(D2146:U2146))</f>
        <v/>
      </c>
      <c r="Y2146" s="9">
        <f>IF(OR(V2146="",V2146=0),"",(X2146-V2146)/V2146)</f>
        <v/>
      </c>
      <c r="Z2146" s="7">
        <f>IF(COUNT(D2146:U2146)=0,"",INDEX($D$1:$U$1,MATCH(MIN(D2146:U2146),D2146:U2146,0)))</f>
        <v/>
      </c>
      <c r="AA2146" s="8" t="n">
        <v>117.5</v>
      </c>
      <c r="AB2146" s="10" t="n">
        <v>1</v>
      </c>
    </row>
    <row r="2147">
      <c r="A2147" s="7" t="inlineStr">
        <is>
          <t>MAT-32-796</t>
        </is>
      </c>
      <c r="B2147" s="4" t="inlineStr">
        <is>
          <t>Cinta de plomero 0.19" x 15 pies</t>
        </is>
      </c>
      <c r="C2147" s="7" t="inlineStr">
        <is>
          <t>rollo</t>
        </is>
      </c>
      <c r="D2147" s="8" t="n"/>
      <c r="E2147" s="8" t="n"/>
      <c r="F2147" s="8" t="n"/>
      <c r="G2147" s="8" t="n">
        <v>304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>
        <f>IF(COUNT(D2147:U2147)=0,"",MIN(D2147:U2147))</f>
        <v/>
      </c>
      <c r="W2147" s="8">
        <f>IF(COUNT(D2147:U2147)=0,"",MEDIAN(D2147:U2147))</f>
        <v/>
      </c>
      <c r="X2147" s="8">
        <f>IF(COUNT(D2147:U2147)=0,"",MAX(D2147:U2147))</f>
        <v/>
      </c>
      <c r="Y2147" s="9">
        <f>IF(OR(V2147="",V2147=0),"",(X2147-V2147)/V2147)</f>
        <v/>
      </c>
      <c r="Z2147" s="7">
        <f>IF(COUNT(D2147:U2147)=0,"",INDEX($D$1:$U$1,MATCH(MIN(D2147:U2147),D2147:U2147,0)))</f>
        <v/>
      </c>
      <c r="AA2147" s="8" t="n">
        <v>304</v>
      </c>
      <c r="AB2147" s="10" t="n">
        <v>1</v>
      </c>
    </row>
    <row r="2148">
      <c r="A2148" s="7" t="inlineStr">
        <is>
          <t>MAT-32-797</t>
        </is>
      </c>
      <c r="B2148" s="4" t="inlineStr">
        <is>
          <t>Cinta de plomero 1/2" x 50 pies</t>
        </is>
      </c>
      <c r="C2148" s="7" t="inlineStr">
        <is>
          <t>rollo</t>
        </is>
      </c>
      <c r="D2148" s="8" t="n"/>
      <c r="E2148" s="8" t="n"/>
      <c r="F2148" s="8" t="n"/>
      <c r="G2148" s="8" t="n">
        <v>2525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>
        <f>IF(COUNT(D2148:U2148)=0,"",MIN(D2148:U2148))</f>
        <v/>
      </c>
      <c r="W2148" s="8">
        <f>IF(COUNT(D2148:U2148)=0,"",MEDIAN(D2148:U2148))</f>
        <v/>
      </c>
      <c r="X2148" s="8">
        <f>IF(COUNT(D2148:U2148)=0,"",MAX(D2148:U2148))</f>
        <v/>
      </c>
      <c r="Y2148" s="9">
        <f>IF(OR(V2148="",V2148=0),"",(X2148-V2148)/V2148)</f>
        <v/>
      </c>
      <c r="Z2148" s="7">
        <f>IF(COUNT(D2148:U2148)=0,"",INDEX($D$1:$U$1,MATCH(MIN(D2148:U2148),D2148:U2148,0)))</f>
        <v/>
      </c>
      <c r="AA2148" s="8" t="n">
        <v>2525</v>
      </c>
      <c r="AB2148" s="10" t="n">
        <v>1</v>
      </c>
    </row>
    <row r="2149">
      <c r="A2149" s="7" t="inlineStr">
        <is>
          <t>MAT-32-798</t>
        </is>
      </c>
      <c r="B2149" s="4" t="inlineStr">
        <is>
          <t>Cinta de plomero 1/8" x 25 pies</t>
        </is>
      </c>
      <c r="C2149" s="7" t="inlineStr">
        <is>
          <t>rollo</t>
        </is>
      </c>
      <c r="D2149" s="8" t="n"/>
      <c r="E2149" s="8" t="n"/>
      <c r="F2149" s="8" t="n"/>
      <c r="G2149" s="8" t="n">
        <v>412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>
        <f>IF(COUNT(D2149:U2149)=0,"",MIN(D2149:U2149))</f>
        <v/>
      </c>
      <c r="W2149" s="8">
        <f>IF(COUNT(D2149:U2149)=0,"",MEDIAN(D2149:U2149))</f>
        <v/>
      </c>
      <c r="X2149" s="8">
        <f>IF(COUNT(D2149:U2149)=0,"",MAX(D2149:U2149))</f>
        <v/>
      </c>
      <c r="Y2149" s="9">
        <f>IF(OR(V2149="",V2149=0),"",(X2149-V2149)/V2149)</f>
        <v/>
      </c>
      <c r="Z2149" s="7">
        <f>IF(COUNT(D2149:U2149)=0,"",INDEX($D$1:$U$1,MATCH(MIN(D2149:U2149),D2149:U2149,0)))</f>
        <v/>
      </c>
      <c r="AA2149" s="8" t="n">
        <v>412</v>
      </c>
      <c r="AB2149" s="10" t="n">
        <v>1</v>
      </c>
    </row>
    <row r="2150">
      <c r="A2150" s="7" t="inlineStr">
        <is>
          <t>MAT-32-799</t>
        </is>
      </c>
      <c r="B2150" s="4" t="inlineStr">
        <is>
          <t>Cemento solvente para PVC, 16 oz</t>
        </is>
      </c>
      <c r="C2150" s="7" t="inlineStr">
        <is>
          <t>envase</t>
        </is>
      </c>
      <c r="D2150" s="8" t="n"/>
      <c r="E2150" s="8" t="n"/>
      <c r="F2150" s="8" t="n"/>
      <c r="G2150" s="8" t="n">
        <v>979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>
        <f>IF(COUNT(D2150:U2150)=0,"",MIN(D2150:U2150))</f>
        <v/>
      </c>
      <c r="W2150" s="8">
        <f>IF(COUNT(D2150:U2150)=0,"",MEDIAN(D2150:U2150))</f>
        <v/>
      </c>
      <c r="X2150" s="8">
        <f>IF(COUNT(D2150:U2150)=0,"",MAX(D2150:U2150))</f>
        <v/>
      </c>
      <c r="Y2150" s="9">
        <f>IF(OR(V2150="",V2150=0),"",(X2150-V2150)/V2150)</f>
        <v/>
      </c>
      <c r="Z2150" s="7">
        <f>IF(COUNT(D2150:U2150)=0,"",INDEX($D$1:$U$1,MATCH(MIN(D2150:U2150),D2150:U2150,0)))</f>
        <v/>
      </c>
      <c r="AA2150" s="8" t="n">
        <v>979</v>
      </c>
      <c r="AB2150" s="10" t="n">
        <v>1</v>
      </c>
    </row>
    <row r="2151">
      <c r="A2151" s="7" t="inlineStr">
        <is>
          <t>MAT-32-800</t>
        </is>
      </c>
      <c r="B2151" s="4" t="inlineStr">
        <is>
          <t>Cemento solvente para PVC, 32 oz</t>
        </is>
      </c>
      <c r="C2151" s="7" t="inlineStr">
        <is>
          <t>envase</t>
        </is>
      </c>
      <c r="D2151" s="8" t="n"/>
      <c r="E2151" s="8" t="n"/>
      <c r="F2151" s="8" t="n"/>
      <c r="G2151" s="8" t="n">
        <v>1765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>
        <f>IF(COUNT(D2151:U2151)=0,"",MIN(D2151:U2151))</f>
        <v/>
      </c>
      <c r="W2151" s="8">
        <f>IF(COUNT(D2151:U2151)=0,"",MEDIAN(D2151:U2151))</f>
        <v/>
      </c>
      <c r="X2151" s="8">
        <f>IF(COUNT(D2151:U2151)=0,"",MAX(D2151:U2151))</f>
        <v/>
      </c>
      <c r="Y2151" s="9">
        <f>IF(OR(V2151="",V2151=0),"",(X2151-V2151)/V2151)</f>
        <v/>
      </c>
      <c r="Z2151" s="7">
        <f>IF(COUNT(D2151:U2151)=0,"",INDEX($D$1:$U$1,MATCH(MIN(D2151:U2151),D2151:U2151,0)))</f>
        <v/>
      </c>
      <c r="AA2151" s="8" t="n">
        <v>1765</v>
      </c>
      <c r="AB2151" s="10" t="n">
        <v>1</v>
      </c>
    </row>
    <row r="2152">
      <c r="A2152" s="7" t="inlineStr">
        <is>
          <t>MAT-32-801</t>
        </is>
      </c>
      <c r="B2152" s="4" t="inlineStr">
        <is>
          <t>Cemento solvente para PVC, 4 oz</t>
        </is>
      </c>
      <c r="C2152" s="7" t="inlineStr">
        <is>
          <t>envase</t>
        </is>
      </c>
      <c r="D2152" s="8" t="n"/>
      <c r="E2152" s="8" t="n"/>
      <c r="F2152" s="8" t="n"/>
      <c r="G2152" s="8" t="n">
        <v>335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>
        <f>IF(COUNT(D2152:U2152)=0,"",MIN(D2152:U2152))</f>
        <v/>
      </c>
      <c r="W2152" s="8">
        <f>IF(COUNT(D2152:U2152)=0,"",MEDIAN(D2152:U2152))</f>
        <v/>
      </c>
      <c r="X2152" s="8">
        <f>IF(COUNT(D2152:U2152)=0,"",MAX(D2152:U2152))</f>
        <v/>
      </c>
      <c r="Y2152" s="9">
        <f>IF(OR(V2152="",V2152=0),"",(X2152-V2152)/V2152)</f>
        <v/>
      </c>
      <c r="Z2152" s="7">
        <f>IF(COUNT(D2152:U2152)=0,"",INDEX($D$1:$U$1,MATCH(MIN(D2152:U2152),D2152:U2152,0)))</f>
        <v/>
      </c>
      <c r="AA2152" s="8" t="n">
        <v>391.5</v>
      </c>
      <c r="AB2152" s="10" t="n">
        <v>1</v>
      </c>
    </row>
    <row r="2153">
      <c r="A2153" s="7" t="inlineStr">
        <is>
          <t>MAT-32-802</t>
        </is>
      </c>
      <c r="B2153" s="4" t="inlineStr">
        <is>
          <t>Cemento solvente para PVC, 50 ml</t>
        </is>
      </c>
      <c r="C2153" s="7" t="inlineStr">
        <is>
          <t>envase</t>
        </is>
      </c>
      <c r="D2153" s="8" t="n"/>
      <c r="E2153" s="8" t="n"/>
      <c r="F2153" s="8" t="n"/>
      <c r="G2153" s="8" t="n">
        <v>205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>
        <f>IF(COUNT(D2153:U2153)=0,"",MIN(D2153:U2153))</f>
        <v/>
      </c>
      <c r="W2153" s="8">
        <f>IF(COUNT(D2153:U2153)=0,"",MEDIAN(D2153:U2153))</f>
        <v/>
      </c>
      <c r="X2153" s="8">
        <f>IF(COUNT(D2153:U2153)=0,"",MAX(D2153:U2153))</f>
        <v/>
      </c>
      <c r="Y2153" s="9">
        <f>IF(OR(V2153="",V2153=0),"",(X2153-V2153)/V2153)</f>
        <v/>
      </c>
      <c r="Z2153" s="7">
        <f>IF(COUNT(D2153:U2153)=0,"",INDEX($D$1:$U$1,MATCH(MIN(D2153:U2153),D2153:U2153,0)))</f>
        <v/>
      </c>
      <c r="AA2153" s="8" t="n">
        <v>205</v>
      </c>
      <c r="AB2153" s="10" t="n">
        <v>1</v>
      </c>
    </row>
    <row r="2154">
      <c r="A2154" s="7" t="inlineStr">
        <is>
          <t>MAT-32-803</t>
        </is>
      </c>
      <c r="B2154" s="4" t="inlineStr">
        <is>
          <t>Cemento solvente para PVC, 8 oz</t>
        </is>
      </c>
      <c r="C2154" s="7" t="inlineStr">
        <is>
          <t>envase</t>
        </is>
      </c>
      <c r="D2154" s="8" t="n"/>
      <c r="E2154" s="8" t="n"/>
      <c r="F2154" s="8" t="n"/>
      <c r="G2154" s="8" t="n">
        <v>473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>
        <f>IF(COUNT(D2154:U2154)=0,"",MIN(D2154:U2154))</f>
        <v/>
      </c>
      <c r="W2154" s="8">
        <f>IF(COUNT(D2154:U2154)=0,"",MEDIAN(D2154:U2154))</f>
        <v/>
      </c>
      <c r="X2154" s="8">
        <f>IF(COUNT(D2154:U2154)=0,"",MAX(D2154:U2154))</f>
        <v/>
      </c>
      <c r="Y2154" s="9">
        <f>IF(OR(V2154="",V2154=0),"",(X2154-V2154)/V2154)</f>
        <v/>
      </c>
      <c r="Z2154" s="7">
        <f>IF(COUNT(D2154:U2154)=0,"",INDEX($D$1:$U$1,MATCH(MIN(D2154:U2154),D2154:U2154,0)))</f>
        <v/>
      </c>
      <c r="AA2154" s="8" t="n">
        <v>520</v>
      </c>
      <c r="AB2154" s="10" t="n">
        <v>1</v>
      </c>
    </row>
    <row r="2155">
      <c r="A2155" s="7" t="inlineStr">
        <is>
          <t>MAT-33-001</t>
        </is>
      </c>
      <c r="B2155" s="4" t="inlineStr">
        <is>
          <t>Lámpara decorativa de mesa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1200</v>
      </c>
      <c r="K2155" s="8" t="n"/>
      <c r="L2155" s="8" t="n"/>
      <c r="M2155" s="8" t="n"/>
      <c r="N2155" s="8" t="n"/>
      <c r="O2155" s="8" t="n"/>
      <c r="P2155" s="8" t="n"/>
      <c r="Q2155" s="8" t="n"/>
      <c r="R2155" s="8" t="n">
        <v>23876.2</v>
      </c>
      <c r="S2155" s="8" t="n"/>
      <c r="T2155" s="8" t="n"/>
      <c r="U2155" s="8" t="n"/>
      <c r="V2155" s="8">
        <f>IF(COUNT(D2155:U2155)=0,"",MIN(D2155:U2155))</f>
        <v/>
      </c>
      <c r="W2155" s="8">
        <f>IF(COUNT(D2155:U2155)=0,"",MEDIAN(D2155:U2155))</f>
        <v/>
      </c>
      <c r="X2155" s="8">
        <f>IF(COUNT(D2155:U2155)=0,"",MAX(D2155:U2155))</f>
        <v/>
      </c>
      <c r="Y2155" s="9">
        <f>IF(OR(V2155="",V2155=0),"",(X2155-V2155)/V2155)</f>
        <v/>
      </c>
      <c r="Z2155" s="7">
        <f>IF(COUNT(D2155:U2155)=0,"",INDEX($D$1:$U$1,MATCH(MIN(D2155:U2155),D2155:U2155,0)))</f>
        <v/>
      </c>
      <c r="AA2155" s="8" t="n">
        <v>4000</v>
      </c>
      <c r="AB2155" s="10" t="n">
        <v>2</v>
      </c>
    </row>
    <row r="2156">
      <c r="A2156" s="7" t="inlineStr">
        <is>
          <t>MAT-33-002</t>
        </is>
      </c>
      <c r="B2156" s="4" t="inlineStr">
        <is>
          <t>Lámpara decorativa de pared</t>
        </is>
      </c>
      <c r="C2156" s="7" t="inlineStr">
        <is>
          <t>unidad</t>
        </is>
      </c>
      <c r="D2156" s="8" t="n"/>
      <c r="E2156" s="8" t="n"/>
      <c r="F2156" s="8" t="n"/>
      <c r="G2156" s="8" t="n"/>
      <c r="H2156" s="8" t="n"/>
      <c r="I2156" s="8" t="n"/>
      <c r="J2156" s="8" t="n">
        <v>500</v>
      </c>
      <c r="K2156" s="8" t="n"/>
      <c r="L2156" s="8" t="n"/>
      <c r="M2156" s="8" t="n">
        <v>1809.41</v>
      </c>
      <c r="N2156" s="8" t="n">
        <v>5800</v>
      </c>
      <c r="O2156" s="8" t="n"/>
      <c r="P2156" s="8" t="n"/>
      <c r="Q2156" s="8" t="n"/>
      <c r="R2156" s="8" t="n">
        <v>6686.38</v>
      </c>
      <c r="S2156" s="8" t="n"/>
      <c r="T2156" s="8" t="n"/>
      <c r="U2156" s="8" t="n"/>
      <c r="V2156" s="8">
        <f>IF(COUNT(D2156:U2156)=0,"",MIN(D2156:U2156))</f>
        <v/>
      </c>
      <c r="W2156" s="8">
        <f>IF(COUNT(D2156:U2156)=0,"",MEDIAN(D2156:U2156))</f>
        <v/>
      </c>
      <c r="X2156" s="8">
        <f>IF(COUNT(D2156:U2156)=0,"",MAX(D2156:U2156))</f>
        <v/>
      </c>
      <c r="Y2156" s="9">
        <f>IF(OR(V2156="",V2156=0),"",(X2156-V2156)/V2156)</f>
        <v/>
      </c>
      <c r="Z2156" s="7">
        <f>IF(COUNT(D2156:U2156)=0,"",INDEX($D$1:$U$1,MATCH(MIN(D2156:U2156),D2156:U2156,0)))</f>
        <v/>
      </c>
      <c r="AA2156" s="8" t="n">
        <v>3000</v>
      </c>
      <c r="AB2156" s="10" t="n">
        <v>4</v>
      </c>
    </row>
    <row r="2157">
      <c r="A2157" s="7" t="inlineStr">
        <is>
          <t>MAT-33-003</t>
        </is>
      </c>
      <c r="B2157" s="4" t="inlineStr">
        <is>
          <t>Lámpara decorativa de pie</t>
        </is>
      </c>
      <c r="C2157" s="7" t="inlineStr">
        <is>
          <t>unidad</t>
        </is>
      </c>
      <c r="D2157" s="8" t="n"/>
      <c r="E2157" s="8" t="n"/>
      <c r="F2157" s="8" t="n"/>
      <c r="G2157" s="8" t="n"/>
      <c r="H2157" s="8" t="n"/>
      <c r="I2157" s="8" t="n"/>
      <c r="J2157" s="8" t="n">
        <v>4000</v>
      </c>
      <c r="K2157" s="8" t="n"/>
      <c r="L2157" s="8" t="n"/>
      <c r="M2157" s="8" t="n"/>
      <c r="N2157" s="8" t="n"/>
      <c r="O2157" s="8" t="n"/>
      <c r="P2157" s="8" t="n"/>
      <c r="Q2157" s="8" t="n"/>
      <c r="R2157" s="8" t="n">
        <v>30467.44</v>
      </c>
      <c r="S2157" s="8" t="n"/>
      <c r="T2157" s="8" t="n"/>
      <c r="U2157" s="8" t="n"/>
      <c r="V2157" s="8">
        <f>IF(COUNT(D2157:U2157)=0,"",MIN(D2157:U2157))</f>
        <v/>
      </c>
      <c r="W2157" s="8">
        <f>IF(COUNT(D2157:U2157)=0,"",MEDIAN(D2157:U2157))</f>
        <v/>
      </c>
      <c r="X2157" s="8">
        <f>IF(COUNT(D2157:U2157)=0,"",MAX(D2157:U2157))</f>
        <v/>
      </c>
      <c r="Y2157" s="9">
        <f>IF(OR(V2157="",V2157=0),"",(X2157-V2157)/V2157)</f>
        <v/>
      </c>
      <c r="Z2157" s="7">
        <f>IF(COUNT(D2157:U2157)=0,"",INDEX($D$1:$U$1,MATCH(MIN(D2157:U2157),D2157:U2157,0)))</f>
        <v/>
      </c>
      <c r="AA2157" s="8" t="n">
        <v>8250</v>
      </c>
      <c r="AB2157" s="10" t="n">
        <v>2</v>
      </c>
    </row>
    <row r="2158">
      <c r="A2158" s="7" t="inlineStr">
        <is>
          <t>MAT-33-004</t>
        </is>
      </c>
      <c r="B2158" s="4" t="inlineStr">
        <is>
          <t>Lámpara decorativa de techo</t>
        </is>
      </c>
      <c r="C2158" s="7" t="inlineStr">
        <is>
          <t>unidad</t>
        </is>
      </c>
      <c r="D2158" s="8" t="n"/>
      <c r="E2158" s="8" t="n"/>
      <c r="F2158" s="8" t="n"/>
      <c r="G2158" s="8" t="n"/>
      <c r="H2158" s="8" t="n"/>
      <c r="I2158" s="8" t="n"/>
      <c r="J2158" s="8" t="n">
        <v>1200</v>
      </c>
      <c r="K2158" s="8" t="n"/>
      <c r="L2158" s="8" t="n"/>
      <c r="M2158" s="8" t="n">
        <v>1089</v>
      </c>
      <c r="N2158" s="8" t="n"/>
      <c r="O2158" s="8" t="n"/>
      <c r="P2158" s="8" t="n"/>
      <c r="Q2158" s="8" t="n"/>
      <c r="R2158" s="8" t="n">
        <v>7689.1</v>
      </c>
      <c r="S2158" s="8" t="n"/>
      <c r="T2158" s="8" t="n"/>
      <c r="U2158" s="8" t="n"/>
      <c r="V2158" s="8">
        <f>IF(COUNT(D2158:U2158)=0,"",MIN(D2158:U2158))</f>
        <v/>
      </c>
      <c r="W2158" s="8">
        <f>IF(COUNT(D2158:U2158)=0,"",MEDIAN(D2158:U2158))</f>
        <v/>
      </c>
      <c r="X2158" s="8">
        <f>IF(COUNT(D2158:U2158)=0,"",MAX(D2158:U2158))</f>
        <v/>
      </c>
      <c r="Y2158" s="9">
        <f>IF(OR(V2158="",V2158=0),"",(X2158-V2158)/V2158)</f>
        <v/>
      </c>
      <c r="Z2158" s="7">
        <f>IF(COUNT(D2158:U2158)=0,"",INDEX($D$1:$U$1,MATCH(MIN(D2158:U2158),D2158:U2158,0)))</f>
        <v/>
      </c>
      <c r="AA2158" s="8" t="n">
        <v>8000</v>
      </c>
      <c r="AB2158" s="10" t="n">
        <v>3</v>
      </c>
    </row>
    <row r="2159">
      <c r="A2159" s="7" t="inlineStr">
        <is>
          <t>MAT-34-001</t>
        </is>
      </c>
      <c r="B2159" s="4" t="inlineStr">
        <is>
          <t>Panel de pared de PVC acústico, 21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>
        <v>1609.2</v>
      </c>
      <c r="R2159" s="8" t="n"/>
      <c r="S2159" s="8" t="n"/>
      <c r="T2159" s="8" t="n"/>
      <c r="U2159" s="8" t="n"/>
      <c r="V2159" s="8">
        <f>IF(COUNT(D2159:U2159)=0,"",MIN(D2159:U2159))</f>
        <v/>
      </c>
      <c r="W2159" s="8">
        <f>IF(COUNT(D2159:U2159)=0,"",MEDIAN(D2159:U2159))</f>
        <v/>
      </c>
      <c r="X2159" s="8">
        <f>IF(COUNT(D2159:U2159)=0,"",MAX(D2159:U2159))</f>
        <v/>
      </c>
      <c r="Y2159" s="9">
        <f>IF(OR(V2159="",V2159=0),"",(X2159-V2159)/V2159)</f>
        <v/>
      </c>
      <c r="Z2159" s="7">
        <f>IF(COUNT(D2159:U2159)=0,"",INDEX($D$1:$U$1,MATCH(MIN(D2159:U2159),D2159:U2159,0)))</f>
        <v/>
      </c>
      <c r="AA2159" s="8" t="n">
        <v>1609.2</v>
      </c>
      <c r="AB2159" s="10" t="n">
        <v>1</v>
      </c>
    </row>
    <row r="2160">
      <c r="A2160" s="7" t="inlineStr">
        <is>
          <t>MAT-34-002</t>
        </is>
      </c>
      <c r="B2160" s="4" t="inlineStr">
        <is>
          <t>Panel de pared de PVC, 10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>
        <v>1354.68</v>
      </c>
      <c r="R2160" s="8" t="n"/>
      <c r="S2160" s="8" t="n"/>
      <c r="T2160" s="8" t="n"/>
      <c r="U2160" s="8" t="n"/>
      <c r="V2160" s="8">
        <f>IF(COUNT(D2160:U2160)=0,"",MIN(D2160:U2160))</f>
        <v/>
      </c>
      <c r="W2160" s="8">
        <f>IF(COUNT(D2160:U2160)=0,"",MEDIAN(D2160:U2160))</f>
        <v/>
      </c>
      <c r="X2160" s="8">
        <f>IF(COUNT(D2160:U2160)=0,"",MAX(D2160:U2160))</f>
        <v/>
      </c>
      <c r="Y2160" s="9">
        <f>IF(OR(V2160="",V2160=0),"",(X2160-V2160)/V2160)</f>
        <v/>
      </c>
      <c r="Z2160" s="7">
        <f>IF(COUNT(D2160:U2160)=0,"",INDEX($D$1:$U$1,MATCH(MIN(D2160:U2160),D2160:U2160,0)))</f>
        <v/>
      </c>
      <c r="AA2160" s="8" t="n">
        <v>1354.68</v>
      </c>
      <c r="AB2160" s="10" t="n">
        <v>1</v>
      </c>
    </row>
    <row r="2161">
      <c r="A2161" s="7" t="inlineStr">
        <is>
          <t>MAT-34-003</t>
        </is>
      </c>
      <c r="B2161" s="4" t="inlineStr">
        <is>
          <t>Panel de pared de PVC, 12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>
        <v>998.1900000000001</v>
      </c>
      <c r="R2161" s="8" t="n"/>
      <c r="S2161" s="8" t="n"/>
      <c r="T2161" s="8" t="n"/>
      <c r="U2161" s="8" t="n"/>
      <c r="V2161" s="8">
        <f>IF(COUNT(D2161:U2161)=0,"",MIN(D2161:U2161))</f>
        <v/>
      </c>
      <c r="W2161" s="8">
        <f>IF(COUNT(D2161:U2161)=0,"",MEDIAN(D2161:U2161))</f>
        <v/>
      </c>
      <c r="X2161" s="8">
        <f>IF(COUNT(D2161:U2161)=0,"",MAX(D2161:U2161))</f>
        <v/>
      </c>
      <c r="Y2161" s="9">
        <f>IF(OR(V2161="",V2161=0),"",(X2161-V2161)/V2161)</f>
        <v/>
      </c>
      <c r="Z2161" s="7">
        <f>IF(COUNT(D2161:U2161)=0,"",INDEX($D$1:$U$1,MATCH(MIN(D2161:U2161),D2161:U2161,0)))</f>
        <v/>
      </c>
      <c r="AA2161" s="8" t="n">
        <v>998.1900000000001</v>
      </c>
      <c r="AB2161" s="10" t="n">
        <v>1</v>
      </c>
    </row>
    <row r="2162">
      <c r="A2162" s="7" t="inlineStr">
        <is>
          <t>MAT-34-004</t>
        </is>
      </c>
      <c r="B2162" s="4" t="inlineStr">
        <is>
          <t>Panel de pared de PVC, 13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>
        <v>1252.27</v>
      </c>
      <c r="R2162" s="8" t="n"/>
      <c r="S2162" s="8" t="n"/>
      <c r="T2162" s="8" t="n"/>
      <c r="U2162" s="8" t="n"/>
      <c r="V2162" s="8">
        <f>IF(COUNT(D2162:U2162)=0,"",MIN(D2162:U2162))</f>
        <v/>
      </c>
      <c r="W2162" s="8">
        <f>IF(COUNT(D2162:U2162)=0,"",MEDIAN(D2162:U2162))</f>
        <v/>
      </c>
      <c r="X2162" s="8">
        <f>IF(COUNT(D2162:U2162)=0,"",MAX(D2162:U2162))</f>
        <v/>
      </c>
      <c r="Y2162" s="9">
        <f>IF(OR(V2162="",V2162=0),"",(X2162-V2162)/V2162)</f>
        <v/>
      </c>
      <c r="Z2162" s="7">
        <f>IF(COUNT(D2162:U2162)=0,"",INDEX($D$1:$U$1,MATCH(MIN(D2162:U2162),D2162:U2162,0)))</f>
        <v/>
      </c>
      <c r="AA2162" s="8" t="n">
        <v>1252.27</v>
      </c>
      <c r="AB2162" s="10" t="n">
        <v>1</v>
      </c>
    </row>
    <row r="2163">
      <c r="A2163" s="7" t="inlineStr">
        <is>
          <t>MAT-34-005</t>
        </is>
      </c>
      <c r="B2163" s="4" t="inlineStr">
        <is>
          <t>Panel de pared de PVC, 14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>
        <v>1133</v>
      </c>
      <c r="R2163" s="8" t="n"/>
      <c r="S2163" s="8" t="n"/>
      <c r="T2163" s="8" t="n"/>
      <c r="U2163" s="8" t="n"/>
      <c r="V2163" s="8">
        <f>IF(COUNT(D2163:U2163)=0,"",MIN(D2163:U2163))</f>
        <v/>
      </c>
      <c r="W2163" s="8">
        <f>IF(COUNT(D2163:U2163)=0,"",MEDIAN(D2163:U2163))</f>
        <v/>
      </c>
      <c r="X2163" s="8">
        <f>IF(COUNT(D2163:U2163)=0,"",MAX(D2163:U2163))</f>
        <v/>
      </c>
      <c r="Y2163" s="9">
        <f>IF(OR(V2163="",V2163=0),"",(X2163-V2163)/V2163)</f>
        <v/>
      </c>
      <c r="Z2163" s="7">
        <f>IF(COUNT(D2163:U2163)=0,"",INDEX($D$1:$U$1,MATCH(MIN(D2163:U2163),D2163:U2163,0)))</f>
        <v/>
      </c>
      <c r="AA2163" s="8" t="n">
        <v>1133</v>
      </c>
      <c r="AB2163" s="10" t="n">
        <v>1</v>
      </c>
    </row>
    <row r="2164">
      <c r="A2164" s="7" t="inlineStr">
        <is>
          <t>MAT-34-006</t>
        </is>
      </c>
      <c r="B2164" s="4" t="inlineStr">
        <is>
          <t>Panel de pared de PVC, 15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>
        <v>1252.27</v>
      </c>
      <c r="R2164" s="8" t="n"/>
      <c r="S2164" s="8" t="n"/>
      <c r="T2164" s="8" t="n"/>
      <c r="U2164" s="8" t="n"/>
      <c r="V2164" s="8">
        <f>IF(COUNT(D2164:U2164)=0,"",MIN(D2164:U2164))</f>
        <v/>
      </c>
      <c r="W2164" s="8">
        <f>IF(COUNT(D2164:U2164)=0,"",MEDIAN(D2164:U2164))</f>
        <v/>
      </c>
      <c r="X2164" s="8">
        <f>IF(COUNT(D2164:U2164)=0,"",MAX(D2164:U2164))</f>
        <v/>
      </c>
      <c r="Y2164" s="9">
        <f>IF(OR(V2164="",V2164=0),"",(X2164-V2164)/V2164)</f>
        <v/>
      </c>
      <c r="Z2164" s="7">
        <f>IF(COUNT(D2164:U2164)=0,"",INDEX($D$1:$U$1,MATCH(MIN(D2164:U2164),D2164:U2164,0)))</f>
        <v/>
      </c>
      <c r="AA2164" s="8" t="n">
        <v>1586.21</v>
      </c>
      <c r="AB2164" s="10" t="n">
        <v>1</v>
      </c>
    </row>
    <row r="2165">
      <c r="A2165" s="7" t="inlineStr">
        <is>
          <t>MAT-34-007</t>
        </is>
      </c>
      <c r="B2165" s="4" t="inlineStr">
        <is>
          <t>Panel de pared de PVC, 20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>
        <v>1487.07</v>
      </c>
      <c r="R2165" s="8" t="n"/>
      <c r="S2165" s="8" t="n"/>
      <c r="T2165" s="8" t="n"/>
      <c r="U2165" s="8" t="n"/>
      <c r="V2165" s="8">
        <f>IF(COUNT(D2165:U2165)=0,"",MIN(D2165:U2165))</f>
        <v/>
      </c>
      <c r="W2165" s="8">
        <f>IF(COUNT(D2165:U2165)=0,"",MEDIAN(D2165:U2165))</f>
        <v/>
      </c>
      <c r="X2165" s="8">
        <f>IF(COUNT(D2165:U2165)=0,"",MAX(D2165:U2165))</f>
        <v/>
      </c>
      <c r="Y2165" s="9">
        <f>IF(OR(V2165="",V2165=0),"",(X2165-V2165)/V2165)</f>
        <v/>
      </c>
      <c r="Z2165" s="7">
        <f>IF(COUNT(D2165:U2165)=0,"",INDEX($D$1:$U$1,MATCH(MIN(D2165:U2165),D2165:U2165,0)))</f>
        <v/>
      </c>
      <c r="AA2165" s="8" t="n">
        <v>1487.07</v>
      </c>
      <c r="AB2165" s="10" t="n">
        <v>1</v>
      </c>
    </row>
    <row r="2166">
      <c r="A2166" s="7" t="inlineStr">
        <is>
          <t>MAT-34-008</t>
        </is>
      </c>
      <c r="B2166" s="4" t="inlineStr">
        <is>
          <t>Panel de pared de PVC, 24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>
        <v>1487.07</v>
      </c>
      <c r="R2166" s="8" t="n"/>
      <c r="S2166" s="8" t="n"/>
      <c r="T2166" s="8" t="n"/>
      <c r="U2166" s="8" t="n"/>
      <c r="V2166" s="8">
        <f>IF(COUNT(D2166:U2166)=0,"",MIN(D2166:U2166))</f>
        <v/>
      </c>
      <c r="W2166" s="8">
        <f>IF(COUNT(D2166:U2166)=0,"",MEDIAN(D2166:U2166))</f>
        <v/>
      </c>
      <c r="X2166" s="8">
        <f>IF(COUNT(D2166:U2166)=0,"",MAX(D2166:U2166))</f>
        <v/>
      </c>
      <c r="Y2166" s="9">
        <f>IF(OR(V2166="",V2166=0),"",(X2166-V2166)/V2166)</f>
        <v/>
      </c>
      <c r="Z2166" s="7">
        <f>IF(COUNT(D2166:U2166)=0,"",INDEX($D$1:$U$1,MATCH(MIN(D2166:U2166),D2166:U2166,0)))</f>
        <v/>
      </c>
      <c r="AA2166" s="8" t="n">
        <v>1487.07</v>
      </c>
      <c r="AB2166" s="10" t="n">
        <v>1</v>
      </c>
    </row>
    <row r="2167">
      <c r="A2167" s="7" t="inlineStr">
        <is>
          <t>MAT-34-009</t>
        </is>
      </c>
      <c r="B2167" s="4" t="inlineStr">
        <is>
          <t>Panel de pared de WPC, 13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>
        <v>3266.79</v>
      </c>
      <c r="R2167" s="8" t="n"/>
      <c r="S2167" s="8" t="n"/>
      <c r="T2167" s="8" t="n"/>
      <c r="U2167" s="8" t="n"/>
      <c r="V2167" s="8">
        <f>IF(COUNT(D2167:U2167)=0,"",MIN(D2167:U2167))</f>
        <v/>
      </c>
      <c r="W2167" s="8">
        <f>IF(COUNT(D2167:U2167)=0,"",MEDIAN(D2167:U2167))</f>
        <v/>
      </c>
      <c r="X2167" s="8">
        <f>IF(COUNT(D2167:U2167)=0,"",MAX(D2167:U2167))</f>
        <v/>
      </c>
      <c r="Y2167" s="9">
        <f>IF(OR(V2167="",V2167=0),"",(X2167-V2167)/V2167)</f>
        <v/>
      </c>
      <c r="Z2167" s="7">
        <f>IF(COUNT(D2167:U2167)=0,"",INDEX($D$1:$U$1,MATCH(MIN(D2167:U2167),D2167:U2167,0)))</f>
        <v/>
      </c>
      <c r="AA2167" s="8" t="n">
        <v>3266.79</v>
      </c>
      <c r="AB2167" s="10" t="n">
        <v>1</v>
      </c>
    </row>
    <row r="2168">
      <c r="A2168" s="7" t="inlineStr">
        <is>
          <t>MAT-34-010</t>
        </is>
      </c>
      <c r="B2168" s="4" t="inlineStr">
        <is>
          <t>Panel de pared de WPC, 26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>
        <v>2955.67</v>
      </c>
      <c r="R2168" s="8" t="n"/>
      <c r="S2168" s="8" t="n"/>
      <c r="T2168" s="8" t="n"/>
      <c r="U2168" s="8" t="n"/>
      <c r="V2168" s="8">
        <f>IF(COUNT(D2168:U2168)=0,"",MIN(D2168:U2168))</f>
        <v/>
      </c>
      <c r="W2168" s="8">
        <f>IF(COUNT(D2168:U2168)=0,"",MEDIAN(D2168:U2168))</f>
        <v/>
      </c>
      <c r="X2168" s="8">
        <f>IF(COUNT(D2168:U2168)=0,"",MAX(D2168:U2168))</f>
        <v/>
      </c>
      <c r="Y2168" s="9">
        <f>IF(OR(V2168="",V2168=0),"",(X2168-V2168)/V2168)</f>
        <v/>
      </c>
      <c r="Z2168" s="7">
        <f>IF(COUNT(D2168:U2168)=0,"",INDEX($D$1:$U$1,MATCH(MIN(D2168:U2168),D2168:U2168,0)))</f>
        <v/>
      </c>
      <c r="AA2168" s="8" t="n">
        <v>2955.67</v>
      </c>
      <c r="AB2168" s="10" t="n">
        <v>1</v>
      </c>
    </row>
    <row r="2169">
      <c r="A2169" s="7" t="inlineStr">
        <is>
          <t>MAT-34-011</t>
        </is>
      </c>
      <c r="B2169" s="4" t="inlineStr">
        <is>
          <t>Plancha decorativa de bambú, 8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>
        <v>791.41</v>
      </c>
      <c r="R2169" s="8" t="n"/>
      <c r="S2169" s="8" t="n"/>
      <c r="T2169" s="8" t="n"/>
      <c r="U2169" s="8" t="n"/>
      <c r="V2169" s="8">
        <f>IF(COUNT(D2169:U2169)=0,"",MIN(D2169:U2169))</f>
        <v/>
      </c>
      <c r="W2169" s="8">
        <f>IF(COUNT(D2169:U2169)=0,"",MEDIAN(D2169:U2169))</f>
        <v/>
      </c>
      <c r="X2169" s="8">
        <f>IF(COUNT(D2169:U2169)=0,"",MAX(D2169:U2169))</f>
        <v/>
      </c>
      <c r="Y2169" s="9">
        <f>IF(OR(V2169="",V2169=0),"",(X2169-V2169)/V2169)</f>
        <v/>
      </c>
      <c r="Z2169" s="7">
        <f>IF(COUNT(D2169:U2169)=0,"",INDEX($D$1:$U$1,MATCH(MIN(D2169:U2169),D2169:U2169,0)))</f>
        <v/>
      </c>
      <c r="AA2169" s="8" t="n">
        <v>791.41</v>
      </c>
      <c r="AB2169" s="10" t="n">
        <v>1</v>
      </c>
    </row>
    <row r="2170">
      <c r="A2170" s="7" t="inlineStr">
        <is>
          <t>MAT-34-012</t>
        </is>
      </c>
      <c r="B2170" s="4" t="inlineStr">
        <is>
          <t>Plancha decorativa de mármol, 3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>
        <v>650.08</v>
      </c>
      <c r="R2170" s="8" t="n"/>
      <c r="S2170" s="8" t="n"/>
      <c r="T2170" s="8" t="n"/>
      <c r="U2170" s="8" t="n"/>
      <c r="V2170" s="8">
        <f>IF(COUNT(D2170:U2170)=0,"",MIN(D2170:U2170))</f>
        <v/>
      </c>
      <c r="W2170" s="8">
        <f>IF(COUNT(D2170:U2170)=0,"",MEDIAN(D2170:U2170))</f>
        <v/>
      </c>
      <c r="X2170" s="8">
        <f>IF(COUNT(D2170:U2170)=0,"",MAX(D2170:U2170))</f>
        <v/>
      </c>
      <c r="Y2170" s="9">
        <f>IF(OR(V2170="",V2170=0),"",(X2170-V2170)/V2170)</f>
        <v/>
      </c>
      <c r="Z2170" s="7">
        <f>IF(COUNT(D2170:U2170)=0,"",INDEX($D$1:$U$1,MATCH(MIN(D2170:U2170),D2170:U2170,0)))</f>
        <v/>
      </c>
      <c r="AA2170" s="8" t="n">
        <v>650.08</v>
      </c>
      <c r="AB2170" s="10" t="n">
        <v>1</v>
      </c>
    </row>
    <row r="2171">
      <c r="A2171" s="7" t="inlineStr">
        <is>
          <t>MAT-34-013</t>
        </is>
      </c>
      <c r="B2171" s="4" t="inlineStr">
        <is>
          <t>Plancha decorativa de ónix, 6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>
        <v>1463.7</v>
      </c>
      <c r="R2171" s="8" t="n"/>
      <c r="S2171" s="8" t="n"/>
      <c r="T2171" s="8" t="n"/>
      <c r="U2171" s="8" t="n"/>
      <c r="V2171" s="8">
        <f>IF(COUNT(D2171:U2171)=0,"",MIN(D2171:U2171))</f>
        <v/>
      </c>
      <c r="W2171" s="8">
        <f>IF(COUNT(D2171:U2171)=0,"",MEDIAN(D2171:U2171))</f>
        <v/>
      </c>
      <c r="X2171" s="8">
        <f>IF(COUNT(D2171:U2171)=0,"",MAX(D2171:U2171))</f>
        <v/>
      </c>
      <c r="Y2171" s="9">
        <f>IF(OR(V2171="",V2171=0),"",(X2171-V2171)/V2171)</f>
        <v/>
      </c>
      <c r="Z2171" s="7">
        <f>IF(COUNT(D2171:U2171)=0,"",INDEX($D$1:$U$1,MATCH(MIN(D2171:U2171),D2171:U2171,0)))</f>
        <v/>
      </c>
      <c r="AA2171" s="8" t="n">
        <v>3512.88</v>
      </c>
      <c r="AB2171" s="10" t="n">
        <v>1</v>
      </c>
    </row>
    <row r="2172">
      <c r="A2172" s="7" t="inlineStr">
        <is>
          <t>MAT-34-014</t>
        </is>
      </c>
      <c r="B2172" s="4" t="inlineStr">
        <is>
          <t>Plancha decorativa de poliuretano, 8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>
        <v>791.41</v>
      </c>
      <c r="R2172" s="8" t="n"/>
      <c r="S2172" s="8" t="n"/>
      <c r="T2172" s="8" t="n"/>
      <c r="U2172" s="8" t="n"/>
      <c r="V2172" s="8">
        <f>IF(COUNT(D2172:U2172)=0,"",MIN(D2172:U2172))</f>
        <v/>
      </c>
      <c r="W2172" s="8">
        <f>IF(COUNT(D2172:U2172)=0,"",MEDIAN(D2172:U2172))</f>
        <v/>
      </c>
      <c r="X2172" s="8">
        <f>IF(COUNT(D2172:U2172)=0,"",MAX(D2172:U2172))</f>
        <v/>
      </c>
      <c r="Y2172" s="9">
        <f>IF(OR(V2172="",V2172=0),"",(X2172-V2172)/V2172)</f>
        <v/>
      </c>
      <c r="Z2172" s="7">
        <f>IF(COUNT(D2172:U2172)=0,"",INDEX($D$1:$U$1,MATCH(MIN(D2172:U2172),D2172:U2172,0)))</f>
        <v/>
      </c>
      <c r="AA2172" s="8" t="n">
        <v>791.41</v>
      </c>
      <c r="AB2172" s="10" t="n">
        <v>1</v>
      </c>
    </row>
    <row r="2173">
      <c r="A2173" s="7" t="inlineStr">
        <is>
          <t>MAT-34-015</t>
        </is>
      </c>
      <c r="B2173" s="4" t="inlineStr">
        <is>
          <t>Plancha decorativa de PVC, 9 mm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>
        <v>1379.31</v>
      </c>
      <c r="R2173" s="8" t="n"/>
      <c r="S2173" s="8" t="n"/>
      <c r="T2173" s="8" t="n"/>
      <c r="U2173" s="8" t="n"/>
      <c r="V2173" s="8">
        <f>IF(COUNT(D2173:U2173)=0,"",MIN(D2173:U2173))</f>
        <v/>
      </c>
      <c r="W2173" s="8">
        <f>IF(COUNT(D2173:U2173)=0,"",MEDIAN(D2173:U2173))</f>
        <v/>
      </c>
      <c r="X2173" s="8">
        <f>IF(COUNT(D2173:U2173)=0,"",MAX(D2173:U2173))</f>
        <v/>
      </c>
      <c r="Y2173" s="9">
        <f>IF(OR(V2173="",V2173=0),"",(X2173-V2173)/V2173)</f>
        <v/>
      </c>
      <c r="Z2173" s="7">
        <f>IF(COUNT(D2173:U2173)=0,"",INDEX($D$1:$U$1,MATCH(MIN(D2173:U2173),D2173:U2173,0)))</f>
        <v/>
      </c>
      <c r="AA2173" s="8" t="n">
        <v>1379.31</v>
      </c>
      <c r="AB2173" s="10" t="n">
        <v>1</v>
      </c>
    </row>
    <row r="2174">
      <c r="A2174" s="7" t="inlineStr">
        <is>
          <t>MAT-34-016</t>
        </is>
      </c>
      <c r="B2174" s="4" t="inlineStr">
        <is>
          <t>Papel tapiz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>
        <v>310</v>
      </c>
      <c r="R2174" s="8" t="n"/>
      <c r="S2174" s="8" t="n">
        <v>324.49</v>
      </c>
      <c r="T2174" s="8" t="n"/>
      <c r="U2174" s="8" t="n">
        <v>1393.29</v>
      </c>
      <c r="V2174" s="8">
        <f>IF(COUNT(D2174:U2174)=0,"",MIN(D2174:U2174))</f>
        <v/>
      </c>
      <c r="W2174" s="8">
        <f>IF(COUNT(D2174:U2174)=0,"",MEDIAN(D2174:U2174))</f>
        <v/>
      </c>
      <c r="X2174" s="8">
        <f>IF(COUNT(D2174:U2174)=0,"",MAX(D2174:U2174))</f>
        <v/>
      </c>
      <c r="Y2174" s="9">
        <f>IF(OR(V2174="",V2174=0),"",(X2174-V2174)/V2174)</f>
        <v/>
      </c>
      <c r="Z2174" s="7">
        <f>IF(COUNT(D2174:U2174)=0,"",INDEX($D$1:$U$1,MATCH(MIN(D2174:U2174),D2174:U2174,0)))</f>
        <v/>
      </c>
      <c r="AA2174" s="8" t="n">
        <v>1051.59</v>
      </c>
      <c r="AB2174" s="10" t="n">
        <v>3</v>
      </c>
    </row>
    <row r="2175">
      <c r="A2175" s="7" t="inlineStr">
        <is>
          <t>MAT-34-017</t>
        </is>
      </c>
      <c r="B2175" s="4" t="inlineStr">
        <is>
          <t>Revestimiento flexible de piedra, de interior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>
        <v>937.5</v>
      </c>
      <c r="R2175" s="8" t="n"/>
      <c r="S2175" s="8" t="n"/>
      <c r="T2175" s="8" t="n"/>
      <c r="U2175" s="8" t="n"/>
      <c r="V2175" s="8">
        <f>IF(COUNT(D2175:U2175)=0,"",MIN(D2175:U2175))</f>
        <v/>
      </c>
      <c r="W2175" s="8">
        <f>IF(COUNT(D2175:U2175)=0,"",MEDIAN(D2175:U2175))</f>
        <v/>
      </c>
      <c r="X2175" s="8">
        <f>IF(COUNT(D2175:U2175)=0,"",MAX(D2175:U2175))</f>
        <v/>
      </c>
      <c r="Y2175" s="9">
        <f>IF(OR(V2175="",V2175=0),"",(X2175-V2175)/V2175)</f>
        <v/>
      </c>
      <c r="Z2175" s="7">
        <f>IF(COUNT(D2175:U2175)=0,"",INDEX($D$1:$U$1,MATCH(MIN(D2175:U2175),D2175:U2175,0)))</f>
        <v/>
      </c>
      <c r="AA2175" s="8" t="n">
        <v>2013.89</v>
      </c>
      <c r="AB2175" s="10" t="n">
        <v>1</v>
      </c>
    </row>
    <row r="2176">
      <c r="A2176" s="7" t="inlineStr">
        <is>
          <t>MAT-34-018</t>
        </is>
      </c>
      <c r="B2176" s="4" t="inlineStr">
        <is>
          <t>Mosaico decorativo de madera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>
        <v>4714.29</v>
      </c>
      <c r="R2176" s="8" t="n"/>
      <c r="S2176" s="8" t="n"/>
      <c r="T2176" s="8" t="n"/>
      <c r="U2176" s="8" t="n"/>
      <c r="V2176" s="8">
        <f>IF(COUNT(D2176:U2176)=0,"",MIN(D2176:U2176))</f>
        <v/>
      </c>
      <c r="W2176" s="8">
        <f>IF(COUNT(D2176:U2176)=0,"",MEDIAN(D2176:U2176))</f>
        <v/>
      </c>
      <c r="X2176" s="8">
        <f>IF(COUNT(D2176:U2176)=0,"",MAX(D2176:U2176))</f>
        <v/>
      </c>
      <c r="Y2176" s="9">
        <f>IF(OR(V2176="",V2176=0),"",(X2176-V2176)/V2176)</f>
        <v/>
      </c>
      <c r="Z2176" s="7">
        <f>IF(COUNT(D2176:U2176)=0,"",INDEX($D$1:$U$1,MATCH(MIN(D2176:U2176),D2176:U2176,0)))</f>
        <v/>
      </c>
      <c r="AA2176" s="8" t="n">
        <v>9444.440000000001</v>
      </c>
      <c r="AB2176" s="10" t="n">
        <v>1</v>
      </c>
    </row>
    <row r="2177">
      <c r="A2177" s="7" t="inlineStr">
        <is>
          <t>MAT-34-019</t>
        </is>
      </c>
      <c r="B2177" s="4" t="inlineStr">
        <is>
          <t>Mosaico decorativo de mármol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>
        <v>4166.67</v>
      </c>
      <c r="R2177" s="8" t="n"/>
      <c r="S2177" s="8" t="n"/>
      <c r="T2177" s="8" t="n"/>
      <c r="U2177" s="8" t="n"/>
      <c r="V2177" s="8">
        <f>IF(COUNT(D2177:U2177)=0,"",MIN(D2177:U2177))</f>
        <v/>
      </c>
      <c r="W2177" s="8">
        <f>IF(COUNT(D2177:U2177)=0,"",MEDIAN(D2177:U2177))</f>
        <v/>
      </c>
      <c r="X2177" s="8">
        <f>IF(COUNT(D2177:U2177)=0,"",MAX(D2177:U2177))</f>
        <v/>
      </c>
      <c r="Y2177" s="9">
        <f>IF(OR(V2177="",V2177=0),"",(X2177-V2177)/V2177)</f>
        <v/>
      </c>
      <c r="Z2177" s="7">
        <f>IF(COUNT(D2177:U2177)=0,"",INDEX($D$1:$U$1,MATCH(MIN(D2177:U2177),D2177:U2177,0)))</f>
        <v/>
      </c>
      <c r="AA2177" s="8" t="n">
        <v>10337.55</v>
      </c>
      <c r="AB2177" s="10" t="n">
        <v>1</v>
      </c>
    </row>
    <row r="2178">
      <c r="A2178" s="7" t="inlineStr">
        <is>
          <t>MAT-34-020</t>
        </is>
      </c>
      <c r="B2178" s="4" t="inlineStr">
        <is>
          <t>Mosaico decorativo de piedra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>
        <v>6111.11</v>
      </c>
      <c r="R2178" s="8" t="n"/>
      <c r="S2178" s="8" t="n"/>
      <c r="T2178" s="8" t="n"/>
      <c r="U2178" s="8" t="n"/>
      <c r="V2178" s="8">
        <f>IF(COUNT(D2178:U2178)=0,"",MIN(D2178:U2178))</f>
        <v/>
      </c>
      <c r="W2178" s="8">
        <f>IF(COUNT(D2178:U2178)=0,"",MEDIAN(D2178:U2178))</f>
        <v/>
      </c>
      <c r="X2178" s="8">
        <f>IF(COUNT(D2178:U2178)=0,"",MAX(D2178:U2178))</f>
        <v/>
      </c>
      <c r="Y2178" s="9">
        <f>IF(OR(V2178="",V2178=0),"",(X2178-V2178)/V2178)</f>
        <v/>
      </c>
      <c r="Z2178" s="7">
        <f>IF(COUNT(D2178:U2178)=0,"",INDEX($D$1:$U$1,MATCH(MIN(D2178:U2178),D2178:U2178,0)))</f>
        <v/>
      </c>
      <c r="AA2178" s="8" t="n">
        <v>8489.209999999999</v>
      </c>
      <c r="AB2178" s="10" t="n">
        <v>1</v>
      </c>
    </row>
    <row r="2179">
      <c r="A2179" s="7" t="inlineStr">
        <is>
          <t>MAT-34-021</t>
        </is>
      </c>
      <c r="B2179" s="4" t="inlineStr">
        <is>
          <t>Pieza 3D de pared de cuero</t>
        </is>
      </c>
      <c r="C2179" s="7" t="inlineStr">
        <is>
          <t>m²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>
        <v>3277.78</v>
      </c>
      <c r="R2179" s="8" t="n"/>
      <c r="S2179" s="8" t="n"/>
      <c r="T2179" s="8" t="n"/>
      <c r="U2179" s="8" t="n"/>
      <c r="V2179" s="8">
        <f>IF(COUNT(D2179:U2179)=0,"",MIN(D2179:U2179))</f>
        <v/>
      </c>
      <c r="W2179" s="8">
        <f>IF(COUNT(D2179:U2179)=0,"",MEDIAN(D2179:U2179))</f>
        <v/>
      </c>
      <c r="X2179" s="8">
        <f>IF(COUNT(D2179:U2179)=0,"",MAX(D2179:U2179))</f>
        <v/>
      </c>
      <c r="Y2179" s="9">
        <f>IF(OR(V2179="",V2179=0),"",(X2179-V2179)/V2179)</f>
        <v/>
      </c>
      <c r="Z2179" s="7">
        <f>IF(COUNT(D2179:U2179)=0,"",INDEX($D$1:$U$1,MATCH(MIN(D2179:U2179),D2179:U2179,0)))</f>
        <v/>
      </c>
      <c r="AA2179" s="8" t="n">
        <v>4669.54</v>
      </c>
      <c r="AB2179" s="10" t="n">
        <v>1</v>
      </c>
    </row>
    <row r="2180">
      <c r="A2180" s="7" t="inlineStr">
        <is>
          <t>MAT-34-022</t>
        </is>
      </c>
      <c r="B2180" s="4" t="inlineStr">
        <is>
          <t>Malla decorativa de ratán</t>
        </is>
      </c>
      <c r="C2180" s="7" t="inlineStr">
        <is>
          <t>m²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>
        <v>1247.69</v>
      </c>
      <c r="R2180" s="8" t="n"/>
      <c r="S2180" s="8" t="n"/>
      <c r="T2180" s="8" t="n"/>
      <c r="U2180" s="8" t="n"/>
      <c r="V2180" s="8">
        <f>IF(COUNT(D2180:U2180)=0,"",MIN(D2180:U2180))</f>
        <v/>
      </c>
      <c r="W2180" s="8">
        <f>IF(COUNT(D2180:U2180)=0,"",MEDIAN(D2180:U2180))</f>
        <v/>
      </c>
      <c r="X2180" s="8">
        <f>IF(COUNT(D2180:U2180)=0,"",MAX(D2180:U2180))</f>
        <v/>
      </c>
      <c r="Y2180" s="9">
        <f>IF(OR(V2180="",V2180=0),"",(X2180-V2180)/V2180)</f>
        <v/>
      </c>
      <c r="Z2180" s="7">
        <f>IF(COUNT(D2180:U2180)=0,"",INDEX($D$1:$U$1,MATCH(MIN(D2180:U2180),D2180:U2180,0)))</f>
        <v/>
      </c>
      <c r="AA2180" s="8" t="n">
        <v>1247.69</v>
      </c>
      <c r="AB2180" s="10" t="n">
        <v>1</v>
      </c>
    </row>
    <row r="2181">
      <c r="A2181" s="7" t="inlineStr">
        <is>
          <t>MAT-34-023</t>
        </is>
      </c>
      <c r="B2181" s="4" t="inlineStr">
        <is>
          <t>Tirador para mueble</t>
        </is>
      </c>
      <c r="C2181" s="7" t="inlineStr">
        <is>
          <t>unidad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350</v>
      </c>
      <c r="R2181" s="8" t="n"/>
      <c r="S2181" s="8" t="n"/>
      <c r="T2181" s="8" t="n"/>
      <c r="U2181" s="8" t="n"/>
      <c r="V2181" s="8">
        <f>IF(COUNT(D2181:U2181)=0,"",MIN(D2181:U2181))</f>
        <v/>
      </c>
      <c r="W2181" s="8">
        <f>IF(COUNT(D2181:U2181)=0,"",MEDIAN(D2181:U2181))</f>
        <v/>
      </c>
      <c r="X2181" s="8">
        <f>IF(COUNT(D2181:U2181)=0,"",MAX(D2181:U2181))</f>
        <v/>
      </c>
      <c r="Y2181" s="9">
        <f>IF(OR(V2181="",V2181=0),"",(X2181-V2181)/V2181)</f>
        <v/>
      </c>
      <c r="Z2181" s="7">
        <f>IF(COUNT(D2181:U2181)=0,"",INDEX($D$1:$U$1,MATCH(MIN(D2181:U2181),D2181:U2181,0)))</f>
        <v/>
      </c>
      <c r="AA2181" s="8" t="n">
        <v>350</v>
      </c>
      <c r="AB2181" s="10" t="n">
        <v>1</v>
      </c>
    </row>
    <row r="2183">
      <c r="A2183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4"/>
  </sheetData>
  <autoFilter ref="A2:AB2181"/>
  <mergeCells count="2">
    <mergeCell ref="A1:AB1"/>
    <mergeCell ref="A2183:AB218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2026-09-11T02:15:37Z</dcterms:created>
  <dcterms:modified xsi:type="dcterms:W3CDTF">2026-09-11T02:15:38Z</dcterms:modified>
</cp:coreProperties>
</file>