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'Catálogo'!$A$2:$AF$2186</definedName>
    <definedName name="_xlnm._FilterDatabase" localSheetId="1" hidden="1">'Comparativo'!$A$2:$Z$2180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5</v>
      </c>
      <c r="K531" s="6" t="n">
        <v>1522.5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4</v>
      </c>
      <c r="K533" s="6" t="n">
        <v>17325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1025</v>
      </c>
      <c r="L535" s="6" t="n">
        <v>108.23</v>
      </c>
      <c r="M535" s="6" t="n">
        <v>7015.01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5</v>
      </c>
      <c r="K536" s="6" t="n">
        <v>5264.28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3801.77</v>
      </c>
      <c r="L538" s="6" t="n">
        <v>230</v>
      </c>
      <c r="M538" s="6" t="n">
        <v>53263.37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Bellón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6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2026-09-10</t>
        </is>
      </c>
      <c r="Q539" s="4" t="inlineStr">
        <is>
          <t>Bellón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47 x 20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6672.5</v>
      </c>
      <c r="L634" s="6" t="n">
        <v>6665</v>
      </c>
      <c r="M634" s="6" t="n">
        <v>6680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AF634" s="4" t="inlineStr">
        <is>
          <t>pozos: 2 · medida: 47 x 20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Llave de bebedero</t>
        </is>
      </c>
      <c r="E635" s="4" t="inlineStr">
        <is>
          <t>Plástico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217.5</v>
      </c>
      <c r="L635" s="6" t="n">
        <v>205</v>
      </c>
      <c r="M635" s="6" t="n">
        <v>256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</row>
    <row r="636">
      <c r="A636" s="3" t="inlineStr">
        <is>
          <t>MAT-10-017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105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785</v>
      </c>
      <c r="L636" s="6" t="n">
        <v>785</v>
      </c>
      <c r="M636" s="6" t="n">
        <v>785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V636" s="7" t="inlineStr">
        <is>
          <t>E40</t>
        </is>
      </c>
      <c r="X636" s="7" t="inlineStr">
        <is>
          <t>ahorrador</t>
        </is>
      </c>
      <c r="AF636" s="4" t="inlineStr">
        <is>
          <t>potencia_w: 105 · temp_k: 6400</t>
        </is>
      </c>
    </row>
    <row r="637">
      <c r="A637" s="3" t="inlineStr">
        <is>
          <t>MAT-10-018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100</v>
      </c>
      <c r="L637" s="6" t="n">
        <v>100</v>
      </c>
      <c r="M637" s="6" t="n">
        <v>100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11 · temp_k: 2700</t>
        </is>
      </c>
    </row>
    <row r="638">
      <c r="A638" s="3" t="inlineStr">
        <is>
          <t>MAT-10-019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15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15</t>
        </is>
      </c>
    </row>
    <row r="639">
      <c r="A639" s="3" t="inlineStr">
        <is>
          <t>MAT-10-020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25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127.12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25</t>
        </is>
      </c>
    </row>
    <row r="640">
      <c r="A640" s="3" t="inlineStr">
        <is>
          <t>MAT-10-021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45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313.56</v>
      </c>
      <c r="L640" s="6" t="n">
        <v>313.56</v>
      </c>
      <c r="M640" s="6" t="n">
        <v>313.56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45</t>
        </is>
      </c>
    </row>
    <row r="641">
      <c r="A641" s="3" t="inlineStr">
        <is>
          <t>MAT-10-022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7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100</v>
      </c>
      <c r="L641" s="6" t="n">
        <v>100</v>
      </c>
      <c r="M641" s="6" t="n">
        <v>100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7 · temp_k: 6500</t>
        </is>
      </c>
    </row>
    <row r="642">
      <c r="A642" s="3" t="inlineStr">
        <is>
          <t>MAT-10-023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85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795</v>
      </c>
      <c r="L642" s="6" t="n">
        <v>795</v>
      </c>
      <c r="M642" s="6" t="n">
        <v>795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85 · temp_k: 6400</t>
        </is>
      </c>
    </row>
    <row r="643">
      <c r="A643" s="3" t="inlineStr">
        <is>
          <t>MAT-10-024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95</v>
      </c>
      <c r="L643" s="6" t="n">
        <v>95</v>
      </c>
      <c r="M643" s="6" t="n">
        <v>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</t>
        </is>
      </c>
      <c r="X643" s="7" t="inlineStr">
        <is>
          <t>bajo consumo</t>
        </is>
      </c>
      <c r="AF643" s="4" t="inlineStr">
        <is>
          <t>potencia_w: 11</t>
        </is>
      </c>
    </row>
    <row r="644">
      <c r="A644" s="3" t="inlineStr">
        <is>
          <t>MAT-10-025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13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102</v>
      </c>
      <c r="L644" s="6" t="n">
        <v>102</v>
      </c>
      <c r="M644" s="6" t="n">
        <v>102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13</t>
        </is>
      </c>
    </row>
    <row r="645">
      <c r="A645" s="3" t="inlineStr">
        <is>
          <t>MAT-10-026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2</v>
      </c>
      <c r="K645" s="6" t="n">
        <v>115.5</v>
      </c>
      <c r="L645" s="6" t="n">
        <v>85</v>
      </c>
      <c r="M645" s="6" t="n">
        <v>187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 · Ferremix (Grupo Alterra)</t>
        </is>
      </c>
      <c r="X645" s="7" t="inlineStr">
        <is>
          <t>bajo consumo</t>
        </is>
      </c>
      <c r="AF645" s="4" t="inlineStr">
        <is>
          <t>potencia_w: 15</t>
        </is>
      </c>
    </row>
    <row r="646">
      <c r="A646" s="3" t="inlineStr">
        <is>
          <t>MAT-10-027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20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135</v>
      </c>
      <c r="L646" s="6" t="n">
        <v>110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20</t>
        </is>
      </c>
    </row>
    <row r="647">
      <c r="A647" s="3" t="inlineStr">
        <is>
          <t>MAT-10-028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24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145</v>
      </c>
      <c r="L647" s="6" t="n">
        <v>145</v>
      </c>
      <c r="M647" s="6" t="n">
        <v>145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X647" s="7" t="inlineStr">
        <is>
          <t>bajo consumo</t>
        </is>
      </c>
      <c r="AF647" s="4" t="inlineStr">
        <is>
          <t>potencia_w: 24</t>
        </is>
      </c>
    </row>
    <row r="648">
      <c r="A648" s="3" t="inlineStr">
        <is>
          <t>MAT-10-029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45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595</v>
      </c>
      <c r="L648" s="6" t="n">
        <v>595</v>
      </c>
      <c r="M648" s="6" t="n">
        <v>595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bajo consumo</t>
        </is>
      </c>
      <c r="AF648" s="4" t="inlineStr">
        <is>
          <t>potencia_w: 45</t>
        </is>
      </c>
    </row>
    <row r="649">
      <c r="A649" s="3" t="inlineStr">
        <is>
          <t>MAT-10-030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halógeno de 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2</v>
      </c>
      <c r="K649" s="6" t="n">
        <v>70</v>
      </c>
      <c r="L649" s="6" t="n">
        <v>59</v>
      </c>
      <c r="M649" s="6" t="n">
        <v>122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 · Ferremix (Grupo Alterra)</t>
        </is>
      </c>
      <c r="X649" s="7" t="inlineStr">
        <is>
          <t>halógeno</t>
        </is>
      </c>
      <c r="AF649" s="4" t="inlineStr">
        <is>
          <t>potencia_w: 50</t>
        </is>
      </c>
    </row>
    <row r="650">
      <c r="A650" s="3" t="inlineStr">
        <is>
          <t>MAT-10-031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75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234</v>
      </c>
      <c r="L650" s="6" t="n">
        <v>234</v>
      </c>
      <c r="M650" s="6" t="n">
        <v>234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halógeno</t>
        </is>
      </c>
      <c r="AF650" s="4" t="inlineStr">
        <is>
          <t>potencia_w: 75</t>
        </is>
      </c>
    </row>
    <row r="651">
      <c r="A651" s="3" t="inlineStr">
        <is>
          <t>MAT-10-032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100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41</v>
      </c>
      <c r="L651" s="6" t="n">
        <v>41</v>
      </c>
      <c r="M651" s="6" t="n">
        <v>41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incandescente</t>
        </is>
      </c>
      <c r="AF651" s="4" t="inlineStr">
        <is>
          <t>potencia_w: 100</t>
        </is>
      </c>
    </row>
    <row r="652">
      <c r="A652" s="3" t="inlineStr">
        <is>
          <t>MAT-10-033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11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50</v>
      </c>
      <c r="L652" s="6" t="n">
        <v>50</v>
      </c>
      <c r="M652" s="6" t="n">
        <v>50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X652" s="7" t="inlineStr">
        <is>
          <t>incandescente</t>
        </is>
      </c>
      <c r="AF652" s="4" t="inlineStr">
        <is>
          <t>potencia_w: 11</t>
        </is>
      </c>
    </row>
    <row r="653">
      <c r="A653" s="3" t="inlineStr">
        <is>
          <t>MAT-10-034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15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148</v>
      </c>
      <c r="L653" s="6" t="n">
        <v>148</v>
      </c>
      <c r="M653" s="6" t="n">
        <v>148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</t>
        </is>
      </c>
      <c r="X653" s="7" t="inlineStr">
        <is>
          <t>incandescente</t>
        </is>
      </c>
      <c r="AF653" s="4" t="inlineStr">
        <is>
          <t>potencia_w: 15</t>
        </is>
      </c>
    </row>
    <row r="654">
      <c r="A654" s="3" t="inlineStr">
        <is>
          <t>MAT-10-035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25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2</v>
      </c>
      <c r="K654" s="6" t="n">
        <v>106.5</v>
      </c>
      <c r="L654" s="6" t="n">
        <v>85</v>
      </c>
      <c r="M654" s="6" t="n">
        <v>247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 · Max Ferretería</t>
        </is>
      </c>
      <c r="X654" s="7" t="inlineStr">
        <is>
          <t>incandescente</t>
        </is>
      </c>
      <c r="AF654" s="4" t="inlineStr">
        <is>
          <t>potencia_w: 25</t>
        </is>
      </c>
    </row>
    <row r="655">
      <c r="A655" s="3" t="inlineStr">
        <is>
          <t>MAT-10-036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628</v>
      </c>
      <c r="L655" s="6" t="n">
        <v>628</v>
      </c>
      <c r="M655" s="6" t="n">
        <v>628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250</t>
        </is>
      </c>
    </row>
    <row r="656">
      <c r="A656" s="3" t="inlineStr">
        <is>
          <t>MAT-10-037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40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3</v>
      </c>
      <c r="K656" s="6" t="n">
        <v>122</v>
      </c>
      <c r="L656" s="6" t="n">
        <v>80</v>
      </c>
      <c r="M656" s="6" t="n">
        <v>475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 · Ferremix (Grupo Alterra) · Max Ferretería</t>
        </is>
      </c>
      <c r="X656" s="7" t="inlineStr">
        <is>
          <t>incandescente</t>
        </is>
      </c>
      <c r="AF656" s="4" t="inlineStr">
        <is>
          <t>potencia_w: 40</t>
        </is>
      </c>
    </row>
    <row r="657">
      <c r="A657" s="3" t="inlineStr">
        <is>
          <t>MAT-10-038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50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235.06</v>
      </c>
      <c r="L657" s="6" t="n">
        <v>235.06</v>
      </c>
      <c r="M657" s="6" t="n">
        <v>235.06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V657" s="7" t="inlineStr">
        <is>
          <t>R20</t>
        </is>
      </c>
      <c r="X657" s="7" t="inlineStr">
        <is>
          <t>incandescente</t>
        </is>
      </c>
      <c r="AF657" s="4" t="inlineStr">
        <is>
          <t>potencia_w: 50</t>
        </is>
      </c>
    </row>
    <row r="658">
      <c r="A658" s="3" t="inlineStr">
        <is>
          <t>MAT-10-039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75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42</v>
      </c>
      <c r="L658" s="6" t="n">
        <v>42</v>
      </c>
      <c r="M658" s="6" t="n">
        <v>42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</t>
        </is>
      </c>
      <c r="X658" s="7" t="inlineStr">
        <is>
          <t>incandescente</t>
        </is>
      </c>
      <c r="AF658" s="4" t="inlineStr">
        <is>
          <t>potencia_w: 75</t>
        </is>
      </c>
    </row>
    <row r="659">
      <c r="A659" s="3" t="inlineStr">
        <is>
          <t>MAT-10-041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1.2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40</v>
      </c>
      <c r="L659" s="6" t="n">
        <v>40</v>
      </c>
      <c r="M659" s="6" t="n">
        <v>40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X659" s="7" t="inlineStr">
        <is>
          <t>LED</t>
        </is>
      </c>
      <c r="AF659" s="4" t="inlineStr">
        <is>
          <t>potencia_w: 1.2</t>
        </is>
      </c>
    </row>
    <row r="660">
      <c r="A660" s="3" t="inlineStr">
        <is>
          <t>MAT-10-042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648.5</v>
      </c>
      <c r="L660" s="6" t="n">
        <v>530</v>
      </c>
      <c r="M660" s="6" t="n">
        <v>767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F660" s="4" t="inlineStr">
        <is>
          <t>potencia_w: 1.6</t>
        </is>
      </c>
    </row>
    <row r="661">
      <c r="A661" s="3" t="inlineStr">
        <is>
          <t>MAT-10-043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215</v>
      </c>
      <c r="L661" s="6" t="n">
        <v>159</v>
      </c>
      <c r="M661" s="6" t="n">
        <v>674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10 · temp_k: 3000</t>
        </is>
      </c>
    </row>
    <row r="662">
      <c r="A662" s="3" t="inlineStr">
        <is>
          <t>MAT-10-044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1825</v>
      </c>
      <c r="L662" s="6" t="n">
        <v>1825</v>
      </c>
      <c r="M662" s="6" t="n">
        <v>1825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</t>
        </is>
      </c>
      <c r="X662" s="7" t="inlineStr">
        <is>
          <t>led</t>
        </is>
      </c>
      <c r="AF662" s="4" t="inlineStr">
        <is>
          <t>potencia_w: 100</t>
        </is>
      </c>
    </row>
    <row r="663">
      <c r="A663" s="3" t="inlineStr">
        <is>
          <t>MAT-10-045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11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2</v>
      </c>
      <c r="K663" s="6" t="n">
        <v>515</v>
      </c>
      <c r="L663" s="6" t="n">
        <v>190</v>
      </c>
      <c r="M663" s="6" t="n">
        <v>930.01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Max Ferretería</t>
        </is>
      </c>
      <c r="AF663" s="4" t="inlineStr">
        <is>
          <t>potencia_w: 11</t>
        </is>
      </c>
    </row>
    <row r="664">
      <c r="A664" s="3" t="inlineStr">
        <is>
          <t>MAT-10-046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4</v>
      </c>
      <c r="K664" s="6" t="n">
        <v>202</v>
      </c>
      <c r="L664" s="6" t="n">
        <v>60</v>
      </c>
      <c r="M664" s="6" t="n">
        <v>945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 · Mundo LED</t>
        </is>
      </c>
      <c r="V664" s="7" t="inlineStr">
        <is>
          <t>A60</t>
        </is>
      </c>
      <c r="AF664" s="4" t="inlineStr">
        <is>
          <t>potencia_w: 12</t>
        </is>
      </c>
    </row>
    <row r="665">
      <c r="A665" s="3" t="inlineStr">
        <is>
          <t>MAT-10-047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295</v>
      </c>
      <c r="L665" s="6" t="n">
        <v>295</v>
      </c>
      <c r="M665" s="6" t="n">
        <v>295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X665" s="7" t="inlineStr">
        <is>
          <t>led</t>
        </is>
      </c>
      <c r="AF665" s="4" t="inlineStr">
        <is>
          <t>potencia_w: 125</t>
        </is>
      </c>
    </row>
    <row r="666">
      <c r="A666" s="3" t="inlineStr">
        <is>
          <t>MAT-10-048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13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245</v>
      </c>
      <c r="L666" s="6" t="n">
        <v>245</v>
      </c>
      <c r="M666" s="6" t="n">
        <v>245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13</t>
        </is>
      </c>
    </row>
    <row r="667">
      <c r="A667" s="3" t="inlineStr">
        <is>
          <t>MAT-10-049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14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240</v>
      </c>
      <c r="L667" s="6" t="n">
        <v>69</v>
      </c>
      <c r="M667" s="6" t="n">
        <v>1058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AF667" s="4" t="inlineStr">
        <is>
          <t>potencia_w: 14 · temp_k: 6500</t>
        </is>
      </c>
    </row>
    <row r="668">
      <c r="A668" s="3" t="inlineStr">
        <is>
          <t>MAT-10-050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140</v>
      </c>
      <c r="L668" s="6" t="n">
        <v>35</v>
      </c>
      <c r="M668" s="6" t="n">
        <v>200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 · Mundo LED</t>
        </is>
      </c>
      <c r="AF668" s="4" t="inlineStr">
        <is>
          <t>potencia_w: 15</t>
        </is>
      </c>
    </row>
    <row r="669">
      <c r="A669" s="3" t="inlineStr">
        <is>
          <t>MAT-10-051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18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132</v>
      </c>
      <c r="L669" s="6" t="n">
        <v>95</v>
      </c>
      <c r="M669" s="6" t="n">
        <v>260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F669" s="4" t="inlineStr">
        <is>
          <t>potencia_w: 18 · temp_k: 4000</t>
        </is>
      </c>
    </row>
    <row r="670">
      <c r="A670" s="3" t="inlineStr">
        <is>
          <t>MAT-10-052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2</v>
      </c>
      <c r="K670" s="6" t="n">
        <v>265</v>
      </c>
      <c r="L670" s="6" t="n">
        <v>250</v>
      </c>
      <c r="M670" s="6" t="n">
        <v>265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</t>
        </is>
      </c>
      <c r="X670" s="7" t="inlineStr">
        <is>
          <t>led</t>
        </is>
      </c>
      <c r="AF670" s="4" t="inlineStr">
        <is>
          <t>potencia_w: 2</t>
        </is>
      </c>
    </row>
    <row r="671">
      <c r="A671" s="3" t="inlineStr">
        <is>
          <t>MAT-10-053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2.5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265</v>
      </c>
      <c r="M671" s="6" t="n">
        <v>310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V671" s="7" t="inlineStr">
        <is>
          <t>G9</t>
        </is>
      </c>
      <c r="AF671" s="4" t="inlineStr">
        <is>
          <t>potencia_w: 2.5 · temp_k: 6500</t>
        </is>
      </c>
    </row>
    <row r="672">
      <c r="A672" s="3" t="inlineStr">
        <is>
          <t>MAT-10-054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20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222.5</v>
      </c>
      <c r="L672" s="6" t="n">
        <v>149</v>
      </c>
      <c r="M672" s="6" t="n">
        <v>280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</t>
        </is>
      </c>
      <c r="X672" s="7" t="inlineStr">
        <is>
          <t>led</t>
        </is>
      </c>
      <c r="AF672" s="4" t="inlineStr">
        <is>
          <t>potencia_w: 20</t>
        </is>
      </c>
    </row>
    <row r="673">
      <c r="A673" s="3" t="inlineStr">
        <is>
          <t>MAT-10-055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214</v>
      </c>
      <c r="L673" s="6" t="n">
        <v>199</v>
      </c>
      <c r="M673" s="6" t="n">
        <v>229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25</t>
        </is>
      </c>
    </row>
    <row r="674">
      <c r="A674" s="3" t="inlineStr">
        <is>
          <t>MAT-10-056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28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455</v>
      </c>
      <c r="L674" s="6" t="n">
        <v>455</v>
      </c>
      <c r="M674" s="6" t="n">
        <v>455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</t>
        </is>
      </c>
      <c r="X674" s="7" t="inlineStr">
        <is>
          <t>led</t>
        </is>
      </c>
      <c r="AF674" s="4" t="inlineStr">
        <is>
          <t>potencia_w: 28</t>
        </is>
      </c>
    </row>
    <row r="675">
      <c r="A675" s="3" t="inlineStr">
        <is>
          <t>MAT-10-057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4</v>
      </c>
      <c r="K675" s="6" t="n">
        <v>150</v>
      </c>
      <c r="L675" s="6" t="n">
        <v>50</v>
      </c>
      <c r="M675" s="6" t="n">
        <v>218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 · Mundo LED</t>
        </is>
      </c>
      <c r="AF675" s="4" t="inlineStr">
        <is>
          <t>potencia_w: 3 · temp_k: 3000</t>
        </is>
      </c>
    </row>
    <row r="676">
      <c r="A676" s="3" t="inlineStr">
        <is>
          <t>MAT-10-058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3.5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474.36</v>
      </c>
      <c r="L676" s="6" t="n">
        <v>474.36</v>
      </c>
      <c r="M676" s="6" t="n">
        <v>474.36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</t>
        </is>
      </c>
      <c r="X676" s="7" t="inlineStr">
        <is>
          <t>led</t>
        </is>
      </c>
      <c r="AF676" s="4" t="inlineStr">
        <is>
          <t>potencia_w: 3.5</t>
        </is>
      </c>
    </row>
    <row r="677">
      <c r="A677" s="3" t="inlineStr">
        <is>
          <t>MAT-10-059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385</v>
      </c>
      <c r="L677" s="6" t="n">
        <v>123</v>
      </c>
      <c r="M677" s="6" t="n">
        <v>596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F677" s="4" t="inlineStr">
        <is>
          <t>potencia_w: 30</t>
        </is>
      </c>
    </row>
    <row r="678">
      <c r="A678" s="3" t="inlineStr">
        <is>
          <t>MAT-10-060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767</v>
      </c>
      <c r="L678" s="6" t="n">
        <v>339</v>
      </c>
      <c r="M678" s="6" t="n">
        <v>1195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 · Max Ferretería</t>
        </is>
      </c>
      <c r="AF678" s="4" t="inlineStr">
        <is>
          <t>potencia_w: 35</t>
        </is>
      </c>
    </row>
    <row r="679">
      <c r="A679" s="3" t="inlineStr">
        <is>
          <t>MAT-10-061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4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180</v>
      </c>
      <c r="L679" s="6" t="n">
        <v>64.98999999999999</v>
      </c>
      <c r="M679" s="6" t="n">
        <v>1349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Max Ferretería · Mundo LED</t>
        </is>
      </c>
      <c r="AF679" s="4" t="inlineStr">
        <is>
          <t>potencia_w: 4</t>
        </is>
      </c>
    </row>
    <row r="680">
      <c r="A680" s="3" t="inlineStr">
        <is>
          <t>MAT-10-062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4.9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105</v>
      </c>
      <c r="L680" s="6" t="n">
        <v>105</v>
      </c>
      <c r="M680" s="6" t="n">
        <v>105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X680" s="7" t="inlineStr">
        <is>
          <t>LED</t>
        </is>
      </c>
      <c r="AF680" s="4" t="inlineStr">
        <is>
          <t>potencia_w: 4.9 · temp_k: 6500</t>
        </is>
      </c>
    </row>
    <row r="681">
      <c r="A681" s="3" t="inlineStr">
        <is>
          <t>MAT-10-063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40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3</v>
      </c>
      <c r="K681" s="6" t="n">
        <v>500</v>
      </c>
      <c r="L681" s="6" t="n">
        <v>470</v>
      </c>
      <c r="M681" s="6" t="n">
        <v>880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</t>
        </is>
      </c>
      <c r="AF681" s="4" t="inlineStr">
        <is>
          <t>potencia_w: 40</t>
        </is>
      </c>
    </row>
    <row r="682">
      <c r="A682" s="3" t="inlineStr">
        <is>
          <t>MAT-10-064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180</v>
      </c>
      <c r="L682" s="6" t="n">
        <v>47.45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V682" s="7" t="inlineStr">
        <is>
          <t>MR16</t>
        </is>
      </c>
      <c r="AF682" s="4" t="inlineStr">
        <is>
          <t>potencia_w: 5</t>
        </is>
      </c>
    </row>
    <row r="683">
      <c r="A683" s="3" t="inlineStr">
        <is>
          <t>MAT-10-065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492.5</v>
      </c>
      <c r="L683" s="6" t="n">
        <v>166</v>
      </c>
      <c r="M683" s="6" t="n">
        <v>1115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50</t>
        </is>
      </c>
    </row>
    <row r="684">
      <c r="A684" s="3" t="inlineStr">
        <is>
          <t>MAT-10-066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1724.99</v>
      </c>
      <c r="L684" s="6" t="n">
        <v>1724.99</v>
      </c>
      <c r="M684" s="6" t="n">
        <v>1724.99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X684" s="7" t="inlineStr">
        <is>
          <t>LED</t>
        </is>
      </c>
      <c r="AF684" s="4" t="inlineStr">
        <is>
          <t>potencia_w: 55</t>
        </is>
      </c>
    </row>
    <row r="685">
      <c r="A685" s="3" t="inlineStr">
        <is>
          <t>MAT-10-067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6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4</v>
      </c>
      <c r="K685" s="6" t="n">
        <v>185</v>
      </c>
      <c r="L685" s="6" t="n">
        <v>65</v>
      </c>
      <c r="M685" s="6" t="n">
        <v>674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Ferremix (Grupo Alterra) · Max Ferretería · Mundo LED</t>
        </is>
      </c>
      <c r="AF685" s="4" t="inlineStr">
        <is>
          <t>potencia_w: 6</t>
        </is>
      </c>
    </row>
    <row r="686">
      <c r="A686" s="3" t="inlineStr">
        <is>
          <t>MAT-10-068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6.5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370</v>
      </c>
      <c r="L686" s="6" t="n">
        <v>370</v>
      </c>
      <c r="M686" s="6" t="n">
        <v>370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</t>
        </is>
      </c>
      <c r="X686" s="7" t="inlineStr">
        <is>
          <t>led</t>
        </is>
      </c>
      <c r="AF686" s="4" t="inlineStr">
        <is>
          <t>potencia_w: 6.5</t>
        </is>
      </c>
    </row>
    <row r="687">
      <c r="A687" s="3" t="inlineStr">
        <is>
          <t>MAT-10-069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341</v>
      </c>
      <c r="L687" s="6" t="n">
        <v>341</v>
      </c>
      <c r="M687" s="6" t="n">
        <v>341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65</t>
        </is>
      </c>
    </row>
    <row r="688">
      <c r="A688" s="3" t="inlineStr">
        <is>
          <t>MAT-10-070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7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3</v>
      </c>
      <c r="K688" s="6" t="n">
        <v>103</v>
      </c>
      <c r="L688" s="6" t="n">
        <v>77</v>
      </c>
      <c r="M688" s="6" t="n">
        <v>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Max Ferretería · Mundo LED</t>
        </is>
      </c>
      <c r="AF688" s="4" t="inlineStr">
        <is>
          <t>potencia_w: 7</t>
        </is>
      </c>
    </row>
    <row r="689">
      <c r="A689" s="3" t="inlineStr">
        <is>
          <t>MAT-10-071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220</v>
      </c>
      <c r="L689" s="6" t="n">
        <v>75</v>
      </c>
      <c r="M689" s="6" t="n">
        <v>553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Ferremix (Grupo Alterra) · Mundo LED</t>
        </is>
      </c>
      <c r="X689" s="7" t="inlineStr">
        <is>
          <t>led</t>
        </is>
      </c>
      <c r="AF689" s="4" t="inlineStr">
        <is>
          <t>potencia_w: 8</t>
        </is>
      </c>
    </row>
    <row r="690">
      <c r="A690" s="3" t="inlineStr">
        <is>
          <t>MAT-10-072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9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4</v>
      </c>
      <c r="K690" s="6" t="n">
        <v>105</v>
      </c>
      <c r="L690" s="6" t="n">
        <v>77</v>
      </c>
      <c r="M690" s="6" t="n">
        <v>660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Max Ferretería · Mundo LED</t>
        </is>
      </c>
      <c r="AF690" s="4" t="inlineStr">
        <is>
          <t>potencia_w: 9 · temp_k: 6500</t>
        </is>
      </c>
    </row>
    <row r="691">
      <c r="A691" s="3" t="inlineStr">
        <is>
          <t>MAT-10-073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9.5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182</v>
      </c>
      <c r="L691" s="6" t="n">
        <v>171</v>
      </c>
      <c r="M691" s="6" t="n">
        <v>634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X691" s="7" t="inlineStr">
        <is>
          <t>led</t>
        </is>
      </c>
      <c r="AF691" s="4" t="inlineStr">
        <is>
          <t>potencia_w: 9.5</t>
        </is>
      </c>
    </row>
    <row r="692">
      <c r="A692" s="3" t="inlineStr">
        <is>
          <t>MAT-10-074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cuadrado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340.01</v>
      </c>
      <c r="L692" s="6" t="n">
        <v>340.01</v>
      </c>
      <c r="M692" s="6" t="n">
        <v>340.01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cuadrado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3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240</v>
      </c>
      <c r="L693" s="6" t="n">
        <v>240</v>
      </c>
      <c r="M693" s="6" t="n">
        <v>240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3 · temp_k: 3000</t>
        </is>
      </c>
    </row>
    <row r="694">
      <c r="A694" s="3" t="inlineStr">
        <is>
          <t>MAT-10-076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redondo de 12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304.99</v>
      </c>
      <c r="L694" s="6" t="n">
        <v>304.99</v>
      </c>
      <c r="M694" s="6" t="n">
        <v>304.99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redondo</t>
        </is>
      </c>
      <c r="S694" s="7" t="inlineStr">
        <is>
          <t>empotrado</t>
        </is>
      </c>
      <c r="AF694" s="4" t="inlineStr">
        <is>
          <t>potencia_w: 12 · temp_k: 6500</t>
        </is>
      </c>
    </row>
    <row r="695">
      <c r="A695" s="3" t="inlineStr">
        <is>
          <t>MAT-10-077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290</v>
      </c>
      <c r="L695" s="6" t="n">
        <v>290</v>
      </c>
      <c r="M695" s="6" t="n">
        <v>290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18 · temp_k: 6500</t>
        </is>
      </c>
    </row>
    <row r="696">
      <c r="A696" s="3" t="inlineStr">
        <is>
          <t>MAT-10-078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24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650</v>
      </c>
      <c r="L696" s="6" t="n">
        <v>650</v>
      </c>
      <c r="M696" s="6" t="n">
        <v>650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24 · temp_k: 6500</t>
        </is>
      </c>
    </row>
    <row r="697">
      <c r="A697" s="3" t="inlineStr">
        <is>
          <t>MAT-10-079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10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845</v>
      </c>
      <c r="L697" s="6" t="n">
        <v>845</v>
      </c>
      <c r="M697" s="6" t="n">
        <v>845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10</t>
        </is>
      </c>
    </row>
    <row r="698">
      <c r="A698" s="3" t="inlineStr">
        <is>
          <t>MAT-10-080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11.5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926</v>
      </c>
      <c r="L698" s="6" t="n">
        <v>465</v>
      </c>
      <c r="M698" s="6" t="n">
        <v>1330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11.5</t>
        </is>
      </c>
    </row>
    <row r="699">
      <c r="A699" s="3" t="inlineStr">
        <is>
          <t>MAT-10-081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2</v>
      </c>
      <c r="K699" s="6" t="n">
        <v>245</v>
      </c>
      <c r="L699" s="6" t="n">
        <v>170</v>
      </c>
      <c r="M699" s="6" t="n">
        <v>430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 · Ferremix (Grupo Alterra)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12</t>
        </is>
      </c>
    </row>
    <row r="700">
      <c r="A700" s="3" t="inlineStr">
        <is>
          <t>MAT-10-082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15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1764</v>
      </c>
      <c r="L700" s="6" t="n">
        <v>1764</v>
      </c>
      <c r="M700" s="6" t="n">
        <v>1764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15</t>
        </is>
      </c>
    </row>
    <row r="701">
      <c r="A701" s="3" t="inlineStr">
        <is>
          <t>MAT-10-083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439.5</v>
      </c>
      <c r="L701" s="6" t="n">
        <v>349</v>
      </c>
      <c r="M701" s="6" t="n">
        <v>599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18</t>
        </is>
      </c>
    </row>
    <row r="702">
      <c r="A702" s="3" t="inlineStr">
        <is>
          <t>MAT-10-084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22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665</v>
      </c>
      <c r="L702" s="6" t="n">
        <v>665</v>
      </c>
      <c r="M702" s="6" t="n">
        <v>665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22</t>
        </is>
      </c>
    </row>
    <row r="703">
      <c r="A703" s="3" t="inlineStr">
        <is>
          <t>MAT-10-085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699</v>
      </c>
      <c r="L703" s="6" t="n">
        <v>699</v>
      </c>
      <c r="M703" s="6" t="n">
        <v>699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24</t>
        </is>
      </c>
    </row>
    <row r="704">
      <c r="A704" s="3" t="inlineStr">
        <is>
          <t>MAT-10-086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3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265</v>
      </c>
      <c r="L704" s="6" t="n">
        <v>265</v>
      </c>
      <c r="M704" s="6" t="n">
        <v>265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3</t>
        </is>
      </c>
    </row>
    <row r="705">
      <c r="A705" s="3" t="inlineStr">
        <is>
          <t>MAT-10-087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1077</v>
      </c>
      <c r="L705" s="6" t="n">
        <v>1050</v>
      </c>
      <c r="M705" s="6" t="n">
        <v>1104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Mundo LED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36</t>
        </is>
      </c>
    </row>
    <row r="706">
      <c r="A706" s="3" t="inlineStr">
        <is>
          <t>MAT-10-088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4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245</v>
      </c>
      <c r="L706" s="6" t="n">
        <v>245</v>
      </c>
      <c r="M706" s="6" t="n">
        <v>245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4</t>
        </is>
      </c>
    </row>
    <row r="707">
      <c r="A707" s="3" t="inlineStr">
        <is>
          <t>MAT-10-089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40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1475</v>
      </c>
      <c r="L707" s="6" t="n">
        <v>1150</v>
      </c>
      <c r="M707" s="6" t="n">
        <v>2500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Mundo LED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40</t>
        </is>
      </c>
    </row>
    <row r="708">
      <c r="A708" s="3" t="inlineStr">
        <is>
          <t>MAT-10-090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6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241</v>
      </c>
      <c r="L708" s="6" t="n">
        <v>159</v>
      </c>
      <c r="M708" s="6" t="n">
        <v>285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6</t>
        </is>
      </c>
    </row>
    <row r="709">
      <c r="A709" s="3" t="inlineStr">
        <is>
          <t>MAT-10-091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7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895.5</v>
      </c>
      <c r="L709" s="6" t="n">
        <v>880</v>
      </c>
      <c r="M709" s="6" t="n">
        <v>911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7</t>
        </is>
      </c>
    </row>
    <row r="710">
      <c r="A710" s="3" t="inlineStr">
        <is>
          <t>MAT-10-092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7.8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530.5</v>
      </c>
      <c r="L710" s="6" t="n">
        <v>405</v>
      </c>
      <c r="M710" s="6" t="n">
        <v>656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7.8</t>
        </is>
      </c>
    </row>
    <row r="711">
      <c r="A711" s="3" t="inlineStr">
        <is>
          <t>MAT-10-093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9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1054</v>
      </c>
      <c r="L711" s="6" t="n">
        <v>1044</v>
      </c>
      <c r="M711" s="6" t="n">
        <v>1064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9</t>
        </is>
      </c>
    </row>
    <row r="712">
      <c r="A712" s="3" t="inlineStr">
        <is>
          <t>MAT-10-094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11.5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516.5</v>
      </c>
      <c r="L712" s="6" t="n">
        <v>465</v>
      </c>
      <c r="M712" s="6" t="n">
        <v>568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11.5</t>
        </is>
      </c>
    </row>
    <row r="713">
      <c r="A713" s="3" t="inlineStr">
        <is>
          <t>MAT-10-095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1552</v>
      </c>
      <c r="L713" s="6" t="n">
        <v>1552</v>
      </c>
      <c r="M713" s="6" t="n">
        <v>1552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11.6</t>
        </is>
      </c>
    </row>
    <row r="714">
      <c r="A714" s="3" t="inlineStr">
        <is>
          <t>MAT-10-096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3</v>
      </c>
      <c r="K714" s="6" t="n">
        <v>350</v>
      </c>
      <c r="L714" s="6" t="n">
        <v>135</v>
      </c>
      <c r="M714" s="6" t="n">
        <v>992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 · Mundo LED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12</t>
        </is>
      </c>
    </row>
    <row r="715">
      <c r="A715" s="3" t="inlineStr">
        <is>
          <t>MAT-10-097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232</v>
      </c>
      <c r="L715" s="6" t="n">
        <v>232</v>
      </c>
      <c r="M715" s="6" t="n">
        <v>232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15</t>
        </is>
      </c>
    </row>
    <row r="716">
      <c r="A716" s="3" t="inlineStr">
        <is>
          <t>MAT-10-098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3</v>
      </c>
      <c r="K716" s="6" t="n">
        <v>381</v>
      </c>
      <c r="L716" s="6" t="n">
        <v>205</v>
      </c>
      <c r="M716" s="6" t="n">
        <v>1313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 · 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18</t>
        </is>
      </c>
    </row>
    <row r="717">
      <c r="A717" s="3" t="inlineStr">
        <is>
          <t>MAT-10-099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22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786</v>
      </c>
      <c r="L717" s="6" t="n">
        <v>660</v>
      </c>
      <c r="M717" s="6" t="n">
        <v>912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22</t>
        </is>
      </c>
    </row>
    <row r="718">
      <c r="A718" s="3" t="inlineStr">
        <is>
          <t>MAT-10-100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24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2</v>
      </c>
      <c r="K718" s="6" t="n">
        <v>514</v>
      </c>
      <c r="L718" s="6" t="n">
        <v>295</v>
      </c>
      <c r="M718" s="6" t="n">
        <v>744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 · Mundo LED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24</t>
        </is>
      </c>
    </row>
    <row r="719">
      <c r="A719" s="3" t="inlineStr">
        <is>
          <t>MAT-10-101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646.5</v>
      </c>
      <c r="L719" s="6" t="n">
        <v>630</v>
      </c>
      <c r="M719" s="6" t="n">
        <v>663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25</t>
        </is>
      </c>
    </row>
    <row r="720">
      <c r="A720" s="3" t="inlineStr">
        <is>
          <t>MAT-10-102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3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2</v>
      </c>
      <c r="K720" s="6" t="n">
        <v>142.5</v>
      </c>
      <c r="L720" s="6" t="n">
        <v>90</v>
      </c>
      <c r="M720" s="6" t="n">
        <v>502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3</t>
        </is>
      </c>
    </row>
    <row r="721">
      <c r="A721" s="3" t="inlineStr">
        <is>
          <t>MAT-10-103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36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808</v>
      </c>
      <c r="L721" s="6" t="n">
        <v>808</v>
      </c>
      <c r="M721" s="6" t="n">
        <v>808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36</t>
        </is>
      </c>
    </row>
    <row r="722">
      <c r="A722" s="3" t="inlineStr">
        <is>
          <t>MAT-10-104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4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280</v>
      </c>
      <c r="L722" s="6" t="n">
        <v>245</v>
      </c>
      <c r="M722" s="6" t="n">
        <v>315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4</t>
        </is>
      </c>
    </row>
    <row r="723">
      <c r="A723" s="3" t="inlineStr">
        <is>
          <t>MAT-10-105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40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1600</v>
      </c>
      <c r="L723" s="6" t="n">
        <v>1600</v>
      </c>
      <c r="M723" s="6" t="n">
        <v>1600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Mundo LED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40</t>
        </is>
      </c>
    </row>
    <row r="724">
      <c r="A724" s="3" t="inlineStr">
        <is>
          <t>MAT-10-106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5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159</v>
      </c>
      <c r="L724" s="6" t="n">
        <v>159</v>
      </c>
      <c r="M724" s="6" t="n">
        <v>159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Ferremix (Grupo Alterra)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5</t>
        </is>
      </c>
    </row>
    <row r="725">
      <c r="A725" s="3" t="inlineStr">
        <is>
          <t>MAT-10-107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6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3</v>
      </c>
      <c r="K725" s="6" t="n">
        <v>189</v>
      </c>
      <c r="L725" s="6" t="n">
        <v>95</v>
      </c>
      <c r="M725" s="6" t="n">
        <v>624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 · Ferremix (Grupo Alterra) · Mundo LED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6</t>
        </is>
      </c>
    </row>
    <row r="726">
      <c r="A726" s="3" t="inlineStr">
        <is>
          <t>MAT-10-108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7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219</v>
      </c>
      <c r="L726" s="6" t="n">
        <v>219</v>
      </c>
      <c r="M726" s="6" t="n">
        <v>219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Ferremix (Grupo Alterra)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7</t>
        </is>
      </c>
    </row>
    <row r="727">
      <c r="A727" s="3" t="inlineStr">
        <is>
          <t>MAT-10-109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385</v>
      </c>
      <c r="L727" s="6" t="n">
        <v>335</v>
      </c>
      <c r="M727" s="6" t="n">
        <v>435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7.8</t>
        </is>
      </c>
    </row>
    <row r="728">
      <c r="A728" s="3" t="inlineStr">
        <is>
          <t>MAT-10-110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8.5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1268</v>
      </c>
      <c r="L728" s="6" t="n">
        <v>1268</v>
      </c>
      <c r="M728" s="6" t="n">
        <v>1268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8.5</t>
        </is>
      </c>
    </row>
    <row r="729">
      <c r="A729" s="3" t="inlineStr">
        <is>
          <t>MAT-10-111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9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2</v>
      </c>
      <c r="K729" s="6" t="n">
        <v>310</v>
      </c>
      <c r="L729" s="6" t="n">
        <v>120</v>
      </c>
      <c r="M729" s="6" t="n">
        <v>893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 · 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9</t>
        </is>
      </c>
    </row>
    <row r="730">
      <c r="A730" s="3" t="inlineStr">
        <is>
          <t>MAT-10-112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9.8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859</v>
      </c>
      <c r="L730" s="6" t="n">
        <v>859</v>
      </c>
      <c r="M730" s="6" t="n">
        <v>859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9.8</t>
        </is>
      </c>
    </row>
    <row r="731">
      <c r="A731" s="3" t="inlineStr">
        <is>
          <t>MAT-10-113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10.5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2536</v>
      </c>
      <c r="L731" s="6" t="n">
        <v>2536</v>
      </c>
      <c r="M731" s="6" t="n">
        <v>2536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10.5</t>
        </is>
      </c>
    </row>
    <row r="732">
      <c r="A732" s="3" t="inlineStr">
        <is>
          <t>MAT-10-114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11.5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535</v>
      </c>
      <c r="L732" s="6" t="n">
        <v>535</v>
      </c>
      <c r="M732" s="6" t="n">
        <v>535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11.5</t>
        </is>
      </c>
    </row>
    <row r="733">
      <c r="A733" s="3" t="inlineStr">
        <is>
          <t>MAT-10-115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12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390</v>
      </c>
      <c r="L733" s="6" t="n">
        <v>220</v>
      </c>
      <c r="M733" s="6" t="n">
        <v>400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12</t>
        </is>
      </c>
    </row>
    <row r="734">
      <c r="A734" s="3" t="inlineStr">
        <is>
          <t>MAT-10-116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18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305</v>
      </c>
      <c r="M734" s="6" t="n">
        <v>505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18</t>
        </is>
      </c>
    </row>
    <row r="735">
      <c r="A735" s="3" t="inlineStr">
        <is>
          <t>MAT-10-117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22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760</v>
      </c>
      <c r="L735" s="6" t="n">
        <v>760</v>
      </c>
      <c r="M735" s="6" t="n">
        <v>760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22</t>
        </is>
      </c>
    </row>
    <row r="736">
      <c r="A736" s="3" t="inlineStr">
        <is>
          <t>MAT-10-118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24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695</v>
      </c>
      <c r="L736" s="6" t="n">
        <v>695</v>
      </c>
      <c r="M736" s="6" t="n">
        <v>695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24</t>
        </is>
      </c>
    </row>
    <row r="737">
      <c r="A737" s="3" t="inlineStr">
        <is>
          <t>MAT-10-119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1242</v>
      </c>
      <c r="L737" s="6" t="n">
        <v>1242</v>
      </c>
      <c r="M737" s="6" t="n">
        <v>1242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36</t>
        </is>
      </c>
    </row>
    <row r="738">
      <c r="A738" s="3" t="inlineStr">
        <is>
          <t>MAT-10-120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375</v>
      </c>
      <c r="L738" s="6" t="n">
        <v>375</v>
      </c>
      <c r="M738" s="6" t="n">
        <v>375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6</t>
        </is>
      </c>
    </row>
    <row r="739">
      <c r="A739" s="3" t="inlineStr">
        <is>
          <t>MAT-10-121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10.5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2048.5</v>
      </c>
      <c r="L739" s="6" t="n">
        <v>1910</v>
      </c>
      <c r="M739" s="6" t="n">
        <v>2187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10.5</t>
        </is>
      </c>
    </row>
    <row r="740">
      <c r="A740" s="3" t="inlineStr">
        <is>
          <t>MAT-10-122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11.5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525</v>
      </c>
      <c r="L740" s="6" t="n">
        <v>525</v>
      </c>
      <c r="M740" s="6" t="n">
        <v>525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11.5</t>
        </is>
      </c>
    </row>
    <row r="741">
      <c r="A741" s="3" t="inlineStr">
        <is>
          <t>MAT-10-123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343</v>
      </c>
      <c r="L741" s="6" t="n">
        <v>175</v>
      </c>
      <c r="M741" s="6" t="n">
        <v>1086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12</t>
        </is>
      </c>
    </row>
    <row r="742">
      <c r="A742" s="3" t="inlineStr">
        <is>
          <t>MAT-10-124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464</v>
      </c>
      <c r="L742" s="6" t="n">
        <v>235</v>
      </c>
      <c r="M742" s="6" t="n">
        <v>1462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18</t>
        </is>
      </c>
    </row>
    <row r="743">
      <c r="A743" s="3" t="inlineStr">
        <is>
          <t>MAT-10-125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22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780</v>
      </c>
      <c r="L743" s="6" t="n">
        <v>735</v>
      </c>
      <c r="M743" s="6" t="n">
        <v>825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22</t>
        </is>
      </c>
    </row>
    <row r="744">
      <c r="A744" s="3" t="inlineStr">
        <is>
          <t>MAT-10-126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24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519</v>
      </c>
      <c r="L744" s="6" t="n">
        <v>390</v>
      </c>
      <c r="M744" s="6" t="n">
        <v>903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Ferremix (Grupo Alterra)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24</t>
        </is>
      </c>
    </row>
    <row r="745">
      <c r="A745" s="3" t="inlineStr">
        <is>
          <t>MAT-10-127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595</v>
      </c>
      <c r="L745" s="6" t="n">
        <v>595</v>
      </c>
      <c r="M745" s="6" t="n">
        <v>595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25</t>
        </is>
      </c>
    </row>
    <row r="746">
      <c r="A746" s="3" t="inlineStr">
        <is>
          <t>MAT-10-128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36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1290</v>
      </c>
      <c r="L746" s="6" t="n">
        <v>1290</v>
      </c>
      <c r="M746" s="6" t="n">
        <v>1290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36</t>
        </is>
      </c>
    </row>
    <row r="747">
      <c r="A747" s="3" t="inlineStr">
        <is>
          <t>MAT-10-129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327</v>
      </c>
      <c r="L747" s="6" t="n">
        <v>276</v>
      </c>
      <c r="M747" s="6" t="n">
        <v>732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6</t>
        </is>
      </c>
    </row>
    <row r="748">
      <c r="A748" s="3" t="inlineStr">
        <is>
          <t>MAT-10-130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7.8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395</v>
      </c>
      <c r="L748" s="6" t="n">
        <v>395</v>
      </c>
      <c r="M748" s="6" t="n">
        <v>395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7.8</t>
        </is>
      </c>
    </row>
    <row r="749">
      <c r="A749" s="3" t="inlineStr">
        <is>
          <t>MAT-10-131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Luminaria empotrada dirigible cuadrada</t>
        </is>
      </c>
      <c r="E749" s="4" t="inlineStr">
        <is>
          <t>Sin bombillo · se compra aparte</t>
        </is>
      </c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190</v>
      </c>
      <c r="L749" s="6" t="n">
        <v>190</v>
      </c>
      <c r="M749" s="6" t="n">
        <v>255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Max Ferretería</t>
        </is>
      </c>
      <c r="R749" s="7" t="inlineStr">
        <is>
          <t>cuadrada</t>
        </is>
      </c>
      <c r="AF749" s="4" t="inlineStr">
        <is>
          <t>tipo: dirigible</t>
        </is>
      </c>
    </row>
    <row r="750">
      <c r="A750" s="3" t="inlineStr">
        <is>
          <t>MAT-10-132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redonda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252.5</v>
      </c>
      <c r="L750" s="6" t="n">
        <v>190</v>
      </c>
      <c r="M750" s="6" t="n">
        <v>270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redonda</t>
        </is>
      </c>
      <c r="AF750" s="4" t="inlineStr">
        <is>
          <t>tipo: dirigible</t>
        </is>
      </c>
    </row>
    <row r="751">
      <c r="A751" s="3" t="inlineStr">
        <is>
          <t>MAT-10-133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Lámpara de emergencia recargable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1015</v>
      </c>
      <c r="L751" s="6" t="n">
        <v>1015</v>
      </c>
      <c r="M751" s="6" t="n">
        <v>1015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</row>
    <row r="752">
      <c r="A752" s="3" t="inlineStr">
        <is>
          <t>MAT-10-134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4</v>
      </c>
      <c r="K752" s="6" t="n">
        <v>632</v>
      </c>
      <c r="L752" s="6" t="n">
        <v>397.34</v>
      </c>
      <c r="M752" s="6" t="n">
        <v>2575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 · Max Ferretería · Mundo LED</t>
        </is>
      </c>
      <c r="AF752" s="4" t="inlineStr">
        <is>
          <t>potencia_w: 10 · temp_k: 6500</t>
        </is>
      </c>
    </row>
    <row r="753">
      <c r="A753" s="3" t="inlineStr">
        <is>
          <t>MAT-10-135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3</v>
      </c>
      <c r="K753" s="6" t="n">
        <v>1990</v>
      </c>
      <c r="L753" s="6" t="n">
        <v>1500</v>
      </c>
      <c r="M753" s="6" t="n">
        <v>10518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 · Mundo LED</t>
        </is>
      </c>
      <c r="AF753" s="4" t="inlineStr">
        <is>
          <t>potencia_w: 100 · temp_k: 3000</t>
        </is>
      </c>
    </row>
    <row r="754">
      <c r="A754" s="3" t="inlineStr">
        <is>
          <t>MAT-10-136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815</v>
      </c>
      <c r="L754" s="6" t="n">
        <v>815</v>
      </c>
      <c r="M754" s="6" t="n">
        <v>815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14</t>
        </is>
      </c>
    </row>
    <row r="755">
      <c r="A755" s="3" t="inlineStr">
        <is>
          <t>MAT-10-137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3990</v>
      </c>
      <c r="L755" s="6" t="n">
        <v>1818</v>
      </c>
      <c r="M755" s="6" t="n">
        <v>9835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Mundo LED</t>
        </is>
      </c>
      <c r="AF755" s="4" t="inlineStr">
        <is>
          <t>potencia_w: 150</t>
        </is>
      </c>
    </row>
    <row r="756">
      <c r="A756" s="3" t="inlineStr">
        <is>
          <t>MAT-10-138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16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2207</v>
      </c>
      <c r="L756" s="6" t="n">
        <v>2207</v>
      </c>
      <c r="M756" s="6" t="n">
        <v>2207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F756" s="4" t="inlineStr">
        <is>
          <t>potencia_w: 16</t>
        </is>
      </c>
    </row>
    <row r="757">
      <c r="A757" s="3" t="inlineStr">
        <is>
          <t>MAT-10-139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18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1062</v>
      </c>
      <c r="L757" s="6" t="n">
        <v>1062</v>
      </c>
      <c r="M757" s="6" t="n">
        <v>1062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18</t>
        </is>
      </c>
    </row>
    <row r="758">
      <c r="A758" s="3" t="inlineStr">
        <is>
          <t>MAT-10-140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2</v>
      </c>
      <c r="K758" s="6" t="n">
        <v>1066.5</v>
      </c>
      <c r="L758" s="6" t="n">
        <v>462.51</v>
      </c>
      <c r="M758" s="6" t="n">
        <v>1260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</t>
        </is>
      </c>
      <c r="AF758" s="4" t="inlineStr">
        <is>
          <t>potencia_w: 20</t>
        </is>
      </c>
    </row>
    <row r="759">
      <c r="A759" s="3" t="inlineStr">
        <is>
          <t>MAT-10-141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6750</v>
      </c>
      <c r="L759" s="6" t="n">
        <v>2335</v>
      </c>
      <c r="M759" s="6" t="n">
        <v>10351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200 · temp_k: 6500</t>
        </is>
      </c>
    </row>
    <row r="760">
      <c r="A760" s="3" t="inlineStr">
        <is>
          <t>MAT-10-142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23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455</v>
      </c>
      <c r="L760" s="6" t="n">
        <v>455</v>
      </c>
      <c r="M760" s="6" t="n">
        <v>455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F760" s="4" t="inlineStr">
        <is>
          <t>potencia_w: 23 · temp_k: 2700</t>
        </is>
      </c>
    </row>
    <row r="761">
      <c r="A761" s="3" t="inlineStr">
        <is>
          <t>MAT-10-143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580</v>
      </c>
      <c r="L761" s="6" t="n">
        <v>280</v>
      </c>
      <c r="M761" s="6" t="n">
        <v>880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250</t>
        </is>
      </c>
    </row>
    <row r="762">
      <c r="A762" s="3" t="inlineStr">
        <is>
          <t>MAT-10-144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30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3</v>
      </c>
      <c r="K762" s="6" t="n">
        <v>1145</v>
      </c>
      <c r="L762" s="6" t="n">
        <v>475</v>
      </c>
      <c r="M762" s="6" t="n">
        <v>2191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Max Ferretería · Mundo LED</t>
        </is>
      </c>
      <c r="AF762" s="4" t="inlineStr">
        <is>
          <t>potencia_w: 30 · temp_k: 3000</t>
        </is>
      </c>
    </row>
    <row r="763">
      <c r="A763" s="3" t="inlineStr">
        <is>
          <t>MAT-10-145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7800</v>
      </c>
      <c r="L763" s="6" t="n">
        <v>5100</v>
      </c>
      <c r="M763" s="6" t="n">
        <v>10500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Mundo LED</t>
        </is>
      </c>
      <c r="AF763" s="4" t="inlineStr">
        <is>
          <t>potencia_w: 300</t>
        </is>
      </c>
    </row>
    <row r="764">
      <c r="A764" s="3" t="inlineStr">
        <is>
          <t>MAT-10-146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4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221.5</v>
      </c>
      <c r="L764" s="6" t="n">
        <v>88</v>
      </c>
      <c r="M764" s="6" t="n">
        <v>1195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4</t>
        </is>
      </c>
    </row>
    <row r="765">
      <c r="A765" s="3" t="inlineStr">
        <is>
          <t>MAT-10-147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2</v>
      </c>
      <c r="K765" s="6" t="n">
        <v>7058</v>
      </c>
      <c r="L765" s="6" t="n">
        <v>5900</v>
      </c>
      <c r="M765" s="6" t="n">
        <v>14000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Mundo LED</t>
        </is>
      </c>
      <c r="AF765" s="4" t="inlineStr">
        <is>
          <t>potencia_w: 400</t>
        </is>
      </c>
    </row>
    <row r="766">
      <c r="A766" s="3" t="inlineStr">
        <is>
          <t>MAT-10-148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95</v>
      </c>
      <c r="L766" s="6" t="n">
        <v>93</v>
      </c>
      <c r="M766" s="6" t="n">
        <v>487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</t>
        </is>
      </c>
    </row>
    <row r="767">
      <c r="A767" s="3" t="inlineStr">
        <is>
          <t>MAT-10-149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3</v>
      </c>
      <c r="K767" s="6" t="n">
        <v>1136</v>
      </c>
      <c r="L767" s="6" t="n">
        <v>645.63</v>
      </c>
      <c r="M767" s="6" t="n">
        <v>3683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 · Max Ferretería · Mundo LED</t>
        </is>
      </c>
      <c r="AF767" s="4" t="inlineStr">
        <is>
          <t>potencia_w: 50 · temp_k: 3000</t>
        </is>
      </c>
    </row>
    <row r="768">
      <c r="A768" s="3" t="inlineStr">
        <is>
          <t>MAT-10-150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18000</v>
      </c>
      <c r="L768" s="6" t="n">
        <v>18000</v>
      </c>
      <c r="M768" s="6" t="n">
        <v>18000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Mundo LED</t>
        </is>
      </c>
      <c r="AF768" s="4" t="inlineStr">
        <is>
          <t>potencia_w: 500</t>
        </is>
      </c>
    </row>
    <row r="769">
      <c r="A769" s="3" t="inlineStr">
        <is>
          <t>MAT-10-151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12101</v>
      </c>
      <c r="L769" s="6" t="n">
        <v>12101</v>
      </c>
      <c r="M769" s="6" t="n">
        <v>12101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55</t>
        </is>
      </c>
    </row>
    <row r="770">
      <c r="A770" s="3" t="inlineStr">
        <is>
          <t>MAT-10-152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6.5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472</v>
      </c>
      <c r="L770" s="6" t="n">
        <v>472</v>
      </c>
      <c r="M770" s="6" t="n">
        <v>472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6.5</t>
        </is>
      </c>
    </row>
    <row r="771">
      <c r="A771" s="3" t="inlineStr">
        <is>
          <t>MAT-10-153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8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280</v>
      </c>
      <c r="L771" s="6" t="n">
        <v>120</v>
      </c>
      <c r="M771" s="6" t="n">
        <v>877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8</t>
        </is>
      </c>
    </row>
    <row r="772">
      <c r="A772" s="3" t="inlineStr">
        <is>
          <t>MAT-10-154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8.5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319</v>
      </c>
      <c r="L772" s="6" t="n">
        <v>319</v>
      </c>
      <c r="M772" s="6" t="n">
        <v>319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8.5</t>
        </is>
      </c>
    </row>
    <row r="773">
      <c r="A773" s="3" t="inlineStr">
        <is>
          <t>MAT-10-156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11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699</v>
      </c>
      <c r="L773" s="6" t="n">
        <v>699</v>
      </c>
      <c r="M773" s="6" t="n">
        <v>699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F773" s="4" t="inlineStr">
        <is>
          <t>potencia_w: 11</t>
        </is>
      </c>
    </row>
    <row r="774">
      <c r="A774" s="3" t="inlineStr">
        <is>
          <t>MAT-10-157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12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142</v>
      </c>
      <c r="L774" s="6" t="n">
        <v>142</v>
      </c>
      <c r="M774" s="6" t="n">
        <v>142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12</t>
        </is>
      </c>
    </row>
    <row r="775">
      <c r="A775" s="3" t="inlineStr">
        <is>
          <t>MAT-10-158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16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249.99</v>
      </c>
      <c r="L775" s="6" t="n">
        <v>249.99</v>
      </c>
      <c r="M775" s="6" t="n">
        <v>249.99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16</t>
        </is>
      </c>
    </row>
    <row r="776">
      <c r="A776" s="3" t="inlineStr">
        <is>
          <t>MAT-10-159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18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177</v>
      </c>
      <c r="L776" s="6" t="n">
        <v>170</v>
      </c>
      <c r="M776" s="6" t="n">
        <v>500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18</t>
        </is>
      </c>
    </row>
    <row r="777">
      <c r="A777" s="3" t="inlineStr">
        <is>
          <t>MAT-10-160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19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785</v>
      </c>
      <c r="L777" s="6" t="n">
        <v>785</v>
      </c>
      <c r="M777" s="6" t="n">
        <v>785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19</t>
        </is>
      </c>
    </row>
    <row r="778">
      <c r="A778" s="3" t="inlineStr">
        <is>
          <t>MAT-10-161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20.5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264.99</v>
      </c>
      <c r="L778" s="6" t="n">
        <v>264.99</v>
      </c>
      <c r="M778" s="6" t="n">
        <v>264.99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potencia_w: 20.5</t>
        </is>
      </c>
    </row>
    <row r="779">
      <c r="A779" s="3" t="inlineStr">
        <is>
          <t>MAT-10-162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22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404</v>
      </c>
      <c r="L779" s="6" t="n">
        <v>404</v>
      </c>
      <c r="M779" s="6" t="n">
        <v>404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Mundo LED</t>
        </is>
      </c>
      <c r="AF779" s="4" t="inlineStr">
        <is>
          <t>potencia_w: 22</t>
        </is>
      </c>
    </row>
    <row r="780">
      <c r="A780" s="3" t="inlineStr">
        <is>
          <t>MAT-10-163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24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889</v>
      </c>
      <c r="L780" s="6" t="n">
        <v>889</v>
      </c>
      <c r="M780" s="6" t="n">
        <v>889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24</t>
        </is>
      </c>
    </row>
    <row r="781">
      <c r="A781" s="3" t="inlineStr">
        <is>
          <t>MAT-10-164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30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3000</v>
      </c>
      <c r="L781" s="6" t="n">
        <v>3000</v>
      </c>
      <c r="M781" s="6" t="n">
        <v>3000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Mundo LED</t>
        </is>
      </c>
      <c r="AF781" s="4" t="inlineStr">
        <is>
          <t>potencia_w: 30</t>
        </is>
      </c>
    </row>
    <row r="782">
      <c r="A782" s="3" t="inlineStr">
        <is>
          <t>MAT-10-165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36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875</v>
      </c>
      <c r="L782" s="6" t="n">
        <v>650</v>
      </c>
      <c r="M782" s="6" t="n">
        <v>1200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Mundo LED</t>
        </is>
      </c>
      <c r="AF782" s="4" t="inlineStr">
        <is>
          <t>potencia_w: 36</t>
        </is>
      </c>
    </row>
    <row r="783">
      <c r="A783" s="3" t="inlineStr">
        <is>
          <t>MAT-10-166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505</v>
      </c>
      <c r="L783" s="6" t="n">
        <v>505</v>
      </c>
      <c r="M783" s="6" t="n">
        <v>505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6</t>
        </is>
      </c>
    </row>
    <row r="784">
      <c r="A784" s="3" t="inlineStr">
        <is>
          <t>MAT-10-167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9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147.5</v>
      </c>
      <c r="L784" s="6" t="n">
        <v>120</v>
      </c>
      <c r="M784" s="6" t="n">
        <v>150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 · Mundo LED</t>
        </is>
      </c>
      <c r="AF784" s="4" t="inlineStr">
        <is>
          <t>potencia_w: 9</t>
        </is>
      </c>
    </row>
    <row r="785">
      <c r="A785" s="3" t="inlineStr">
        <is>
          <t>MAT-10-168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9.9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210</v>
      </c>
      <c r="L785" s="6" t="n">
        <v>210</v>
      </c>
      <c r="M785" s="6" t="n">
        <v>210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Max Ferretería</t>
        </is>
      </c>
      <c r="AF785" s="4" t="inlineStr">
        <is>
          <t>potencia_w: 9.9</t>
        </is>
      </c>
    </row>
    <row r="786">
      <c r="A786" s="3" t="inlineStr">
        <is>
          <t>MAT-10-169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Fotocelda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235</v>
      </c>
      <c r="L786" s="6" t="n">
        <v>150</v>
      </c>
      <c r="M786" s="6" t="n">
        <v>370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fotocelda</t>
        </is>
      </c>
    </row>
    <row r="787">
      <c r="A787" s="3" t="inlineStr">
        <is>
          <t>MAT-10-170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Portalámparas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52</v>
      </c>
      <c r="L787" s="6" t="n">
        <v>35</v>
      </c>
      <c r="M787" s="6" t="n">
        <v>259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Ferremix (Grupo Alterra)</t>
        </is>
      </c>
      <c r="AF787" s="4" t="inlineStr">
        <is>
          <t>tipo: plástico</t>
        </is>
      </c>
    </row>
    <row r="788">
      <c r="A788" s="3" t="inlineStr">
        <is>
          <t>MAT-10-171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45</v>
      </c>
      <c r="L788" s="6" t="n">
        <v>29</v>
      </c>
      <c r="M788" s="6" t="n">
        <v>299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porcelana</t>
        </is>
      </c>
    </row>
    <row r="789">
      <c r="A789" s="3" t="inlineStr">
        <is>
          <t>MAT-10-172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Roseta de techo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115</v>
      </c>
      <c r="L789" s="6" t="n">
        <v>115</v>
      </c>
      <c r="M789" s="6" t="n">
        <v>125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Max Ferretería</t>
        </is>
      </c>
      <c r="AF789" s="4" t="inlineStr">
        <is>
          <t>tipo: roseta</t>
        </is>
      </c>
    </row>
    <row r="790">
      <c r="A790" s="3" t="inlineStr">
        <is>
          <t>MAT-10-174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Ojo de buey fijo de 10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1000</v>
      </c>
      <c r="L790" s="6" t="n">
        <v>1000</v>
      </c>
      <c r="M790" s="6" t="n">
        <v>1000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fijo · potencia_w: 10</t>
        </is>
      </c>
    </row>
    <row r="791">
      <c r="A791" s="3" t="inlineStr">
        <is>
          <t>MAT-10-175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20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1800</v>
      </c>
      <c r="L791" s="6" t="n">
        <v>1800</v>
      </c>
      <c r="M791" s="6" t="n">
        <v>1800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20</t>
        </is>
      </c>
    </row>
    <row r="792">
      <c r="A792" s="3" t="inlineStr">
        <is>
          <t>MAT-10-176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blanca, rollo de 100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110</v>
      </c>
      <c r="L792" s="6" t="n">
        <v>110</v>
      </c>
      <c r="M792" s="6" t="n">
        <v>110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blanca · metros: 100</t>
        </is>
      </c>
    </row>
    <row r="793">
      <c r="A793" s="3" t="inlineStr">
        <is>
          <t>MAT-10-177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5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900</v>
      </c>
      <c r="L793" s="6" t="n">
        <v>900</v>
      </c>
      <c r="M793" s="6" t="n">
        <v>900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5</t>
        </is>
      </c>
    </row>
    <row r="794">
      <c r="A794" s="3" t="inlineStr">
        <is>
          <t>MAT-10-178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neón, rollo de 100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142.5</v>
      </c>
      <c r="L794" s="6" t="n">
        <v>110</v>
      </c>
      <c r="M794" s="6" t="n">
        <v>175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neón · metros: 100</t>
        </is>
      </c>
    </row>
    <row r="795">
      <c r="A795" s="3" t="inlineStr">
        <is>
          <t>MAT-10-179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5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1175.5</v>
      </c>
      <c r="L795" s="6" t="n">
        <v>1151</v>
      </c>
      <c r="M795" s="6" t="n">
        <v>1200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5</t>
        </is>
      </c>
    </row>
    <row r="796">
      <c r="A796" s="3" t="inlineStr">
        <is>
          <t>MAT-10-180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Perfil de aluminio para cinta LED, esquinero, 2.5 m</t>
        </is>
      </c>
      <c r="E796" s="4" t="inlineStr"/>
      <c r="F796" s="3" t="inlineStr">
        <is>
          <t>tramo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1500</v>
      </c>
      <c r="L796" s="6" t="n">
        <v>1500</v>
      </c>
      <c r="M796" s="6" t="n">
        <v>1500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S796" s="7" t="inlineStr">
        <is>
          <t>esquinero</t>
        </is>
      </c>
      <c r="AF796" s="4" t="inlineStr">
        <is>
          <t>Largo (m): 2.5</t>
        </is>
      </c>
    </row>
    <row r="797">
      <c r="A797" s="3" t="inlineStr">
        <is>
          <t>MAT-10-182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100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1365</v>
      </c>
      <c r="L797" s="6" t="n">
        <v>1000</v>
      </c>
      <c r="M797" s="6" t="n">
        <v>1730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100</t>
        </is>
      </c>
    </row>
    <row r="798">
      <c r="A798" s="3" t="inlineStr">
        <is>
          <t>MAT-10-183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150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1551.5</v>
      </c>
      <c r="L798" s="6" t="n">
        <v>1263</v>
      </c>
      <c r="M798" s="6" t="n">
        <v>1840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150</t>
        </is>
      </c>
    </row>
    <row r="799">
      <c r="A799" s="3" t="inlineStr">
        <is>
          <t>MAT-10-184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200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2006</v>
      </c>
      <c r="L799" s="6" t="n">
        <v>1723</v>
      </c>
      <c r="M799" s="6" t="n">
        <v>2600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200</t>
        </is>
      </c>
    </row>
    <row r="800">
      <c r="A800" s="3" t="inlineStr">
        <is>
          <t>MAT-10-185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250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2006</v>
      </c>
      <c r="M800" s="6" t="n">
        <v>2006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250</t>
        </is>
      </c>
    </row>
    <row r="801">
      <c r="A801" s="3" t="inlineStr">
        <is>
          <t>MAT-10-186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300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2071</v>
      </c>
      <c r="L801" s="6" t="n">
        <v>2071</v>
      </c>
      <c r="M801" s="6" t="n">
        <v>2071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300</t>
        </is>
      </c>
    </row>
    <row r="802">
      <c r="A802" s="3" t="inlineStr">
        <is>
          <t>MAT-10-187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400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2431</v>
      </c>
      <c r="L802" s="6" t="n">
        <v>2431</v>
      </c>
      <c r="M802" s="6" t="n">
        <v>2431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400</t>
        </is>
      </c>
    </row>
    <row r="803">
      <c r="A803" s="3" t="inlineStr">
        <is>
          <t>MAT-10-188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60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770</v>
      </c>
      <c r="L803" s="6" t="n">
        <v>770</v>
      </c>
      <c r="M803" s="6" t="n">
        <v>770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60</t>
        </is>
      </c>
    </row>
    <row r="804">
      <c r="A804" s="3" t="inlineStr">
        <is>
          <t>MAT-10-189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100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4162.5</v>
      </c>
      <c r="L804" s="6" t="n">
        <v>1500</v>
      </c>
      <c r="M804" s="6" t="n">
        <v>14500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100</t>
        </is>
      </c>
    </row>
    <row r="805">
      <c r="A805" s="3" t="inlineStr">
        <is>
          <t>MAT-10-190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150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6365</v>
      </c>
      <c r="L805" s="6" t="n">
        <v>5830</v>
      </c>
      <c r="M805" s="6" t="n">
        <v>6900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150</t>
        </is>
      </c>
    </row>
    <row r="806">
      <c r="A806" s="3" t="inlineStr">
        <is>
          <t>MAT-10-191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200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2500</v>
      </c>
      <c r="L806" s="6" t="n">
        <v>2500</v>
      </c>
      <c r="M806" s="6" t="n">
        <v>2500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200</t>
        </is>
      </c>
    </row>
    <row r="807">
      <c r="A807" s="3" t="inlineStr">
        <is>
          <t>MAT-10-192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50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4045</v>
      </c>
      <c r="L807" s="6" t="n">
        <v>4000</v>
      </c>
      <c r="M807" s="6" t="n">
        <v>4090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50</t>
        </is>
      </c>
    </row>
    <row r="808">
      <c r="A808" s="3" t="inlineStr">
        <is>
          <t>MAT-10-193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60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4500</v>
      </c>
      <c r="L808" s="6" t="n">
        <v>4500</v>
      </c>
      <c r="M808" s="6" t="n">
        <v>4500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60</t>
        </is>
      </c>
    </row>
    <row r="809">
      <c r="A809" s="3" t="inlineStr">
        <is>
          <t>MAT-10-194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con tomacorriente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500</v>
      </c>
      <c r="L809" s="6" t="n">
        <v>465</v>
      </c>
      <c r="M809" s="6" t="n">
        <v>535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con tomacorriente</t>
        </is>
      </c>
    </row>
    <row r="810">
      <c r="A810" s="3" t="inlineStr">
        <is>
          <t>MAT-10-195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conmutador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191.22</v>
      </c>
      <c r="L810" s="6" t="n">
        <v>14.74</v>
      </c>
      <c r="M810" s="6" t="n">
        <v>555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Ferremix (Grupo Alterra)</t>
        </is>
      </c>
      <c r="AF810" s="4" t="inlineStr">
        <is>
          <t>tipo: conmutador</t>
        </is>
      </c>
    </row>
    <row r="811">
      <c r="A811" s="3" t="inlineStr">
        <is>
          <t>MAT-10-196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de 3 vías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542.5</v>
      </c>
      <c r="L811" s="6" t="n">
        <v>395</v>
      </c>
      <c r="M811" s="6" t="n">
        <v>685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AF811" s="4" t="inlineStr">
        <is>
          <t>tipo: de 3 vías</t>
        </is>
      </c>
    </row>
    <row r="812">
      <c r="A812" s="3" t="inlineStr">
        <is>
          <t>MAT-10-197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4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467.5</v>
      </c>
      <c r="L812" s="6" t="n">
        <v>390</v>
      </c>
      <c r="M812" s="6" t="n">
        <v>544.99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4 vías</t>
        </is>
      </c>
    </row>
    <row r="813">
      <c r="A813" s="3" t="inlineStr">
        <is>
          <t>MAT-10-198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dimmer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1112.5</v>
      </c>
      <c r="L813" s="6" t="n">
        <v>960</v>
      </c>
      <c r="M813" s="6" t="n">
        <v>1265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dimmer</t>
        </is>
      </c>
    </row>
    <row r="814">
      <c r="A814" s="3" t="inlineStr">
        <is>
          <t>MAT-10-199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doble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3</v>
      </c>
      <c r="K814" s="6" t="n">
        <v>225</v>
      </c>
      <c r="L814" s="6" t="n">
        <v>45</v>
      </c>
      <c r="M814" s="6" t="n">
        <v>4515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Ferremix (Grupo Alterra) · Max Ferretería</t>
        </is>
      </c>
      <c r="AF814" s="4" t="inlineStr">
        <is>
          <t>tipo: doble</t>
        </is>
      </c>
    </row>
    <row r="815">
      <c r="A815" s="3" t="inlineStr">
        <is>
          <t>MAT-10-200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sencillo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99</v>
      </c>
      <c r="L815" s="6" t="n">
        <v>30</v>
      </c>
      <c r="M815" s="6" t="n">
        <v>492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sencillo</t>
        </is>
      </c>
    </row>
    <row r="816">
      <c r="A816" s="3" t="inlineStr">
        <is>
          <t>MAT-10-201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triple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3</v>
      </c>
      <c r="K816" s="6" t="n">
        <v>235</v>
      </c>
      <c r="L816" s="6" t="n">
        <v>60</v>
      </c>
      <c r="M816" s="6" t="n">
        <v>4440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 · Max Ferretería</t>
        </is>
      </c>
      <c r="AF816" s="4" t="inlineStr">
        <is>
          <t>tipo: triple</t>
        </is>
      </c>
    </row>
    <row r="817">
      <c r="A817" s="3" t="inlineStr">
        <is>
          <t>MAT-10-202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con USB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550</v>
      </c>
      <c r="L817" s="6" t="n">
        <v>460</v>
      </c>
      <c r="M817" s="6" t="n">
        <v>1795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Ferremix (Grupo Alterra) · Max Ferretería</t>
        </is>
      </c>
      <c r="AF817" s="4" t="inlineStr">
        <is>
          <t>tipo: con USB</t>
        </is>
      </c>
    </row>
    <row r="818">
      <c r="A818" s="3" t="inlineStr">
        <is>
          <t>MAT-10-203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doble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197</v>
      </c>
      <c r="L818" s="6" t="n">
        <v>34</v>
      </c>
      <c r="M818" s="6" t="n">
        <v>1516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 · Ferremix (Grupo Alterra)</t>
        </is>
      </c>
      <c r="AF818" s="4" t="inlineStr">
        <is>
          <t>tipo: doble</t>
        </is>
      </c>
    </row>
    <row r="819">
      <c r="A819" s="3" t="inlineStr">
        <is>
          <t>MAT-10-204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gfci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2121.5</v>
      </c>
      <c r="L819" s="6" t="n">
        <v>1467.04</v>
      </c>
      <c r="M819" s="6" t="n">
        <v>3598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tipo: gfci</t>
        </is>
      </c>
    </row>
    <row r="820">
      <c r="A820" s="3" t="inlineStr">
        <is>
          <t>MAT-10-205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sencillo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2</v>
      </c>
      <c r="K820" s="6" t="n">
        <v>70</v>
      </c>
      <c r="L820" s="6" t="n">
        <v>39</v>
      </c>
      <c r="M820" s="6" t="n">
        <v>921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</t>
        </is>
      </c>
      <c r="AF820" s="4" t="inlineStr">
        <is>
          <t>tipo: sencillo</t>
        </is>
      </c>
    </row>
    <row r="821">
      <c r="A821" s="3" t="inlineStr">
        <is>
          <t>MAT-10-206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ciega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49</v>
      </c>
      <c r="L821" s="6" t="n">
        <v>11</v>
      </c>
      <c r="M821" s="6" t="n">
        <v>156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Ferremix (Grupo Alterra)</t>
        </is>
      </c>
      <c r="AF821" s="4" t="inlineStr">
        <is>
          <t>tipo: ciega</t>
        </is>
      </c>
    </row>
    <row r="822">
      <c r="A822" s="3" t="inlineStr">
        <is>
          <t>MAT-10-207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doble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132.5</v>
      </c>
      <c r="L822" s="6" t="n">
        <v>15</v>
      </c>
      <c r="M822" s="6" t="n">
        <v>1199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doble</t>
        </is>
      </c>
    </row>
    <row r="823">
      <c r="A823" s="3" t="inlineStr">
        <is>
          <t>MAT-10-208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Placa de 3 módulos</t>
        </is>
      </c>
      <c r="E823" s="4" t="inlineStr">
        <is>
          <t>Solo la placa · los módulos van aparte</t>
        </is>
      </c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85</v>
      </c>
      <c r="L823" s="6" t="n">
        <v>85</v>
      </c>
      <c r="M823" s="6" t="n">
        <v>85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Max Ferretería</t>
        </is>
      </c>
      <c r="AF823" s="4" t="inlineStr">
        <is>
          <t>tipo: Placa de 3 módulos</t>
        </is>
      </c>
    </row>
    <row r="824">
      <c r="A824" s="3" t="inlineStr">
        <is>
          <t>MAT-10-209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7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1620</v>
      </c>
      <c r="L824" s="6" t="n">
        <v>1620</v>
      </c>
      <c r="M824" s="6" t="n">
        <v>1620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7 módulos</t>
        </is>
      </c>
    </row>
    <row r="825">
      <c r="A825" s="3" t="inlineStr">
        <is>
          <t>MAT-10-210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pared de 2 huecos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9.99</v>
      </c>
      <c r="L825" s="6" t="n">
        <v>9.99</v>
      </c>
      <c r="M825" s="6" t="n">
        <v>9.99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pared de 2 huecos</t>
        </is>
      </c>
    </row>
    <row r="826">
      <c r="A826" s="3" t="inlineStr">
        <is>
          <t>MAT-10-211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sencilla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49</v>
      </c>
      <c r="L826" s="6" t="n">
        <v>45</v>
      </c>
      <c r="M826" s="6" t="n">
        <v>52.59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sencilla</t>
        </is>
      </c>
    </row>
    <row r="827">
      <c r="A827" s="3" t="inlineStr">
        <is>
          <t>MAT-10-212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Tapa 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200</v>
      </c>
      <c r="L827" s="6" t="n">
        <v>115</v>
      </c>
      <c r="M827" s="6" t="n">
        <v>295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Tapa ciega</t>
        </is>
      </c>
    </row>
    <row r="828">
      <c r="A828" s="3" t="inlineStr">
        <is>
          <t>MAT-10-213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para tomacorriente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95</v>
      </c>
      <c r="L828" s="6" t="n">
        <v>25</v>
      </c>
      <c r="M828" s="6" t="n">
        <v>100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para tomacorriente</t>
        </is>
      </c>
    </row>
    <row r="829">
      <c r="A829" s="3" t="inlineStr">
        <is>
          <t>MAT-10-214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triple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99</v>
      </c>
      <c r="L829" s="6" t="n">
        <v>40</v>
      </c>
      <c r="M829" s="6" t="n">
        <v>520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Ferremix (Grupo Alterra)</t>
        </is>
      </c>
      <c r="AF829" s="4" t="inlineStr">
        <is>
          <t>tipo: triple</t>
        </is>
      </c>
    </row>
    <row r="830">
      <c r="A830" s="3" t="inlineStr">
        <is>
          <t>MAT-10-215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Adaptador de enchufe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112.5</v>
      </c>
      <c r="L830" s="6" t="n">
        <v>45.01</v>
      </c>
      <c r="M830" s="6" t="n">
        <v>1360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Adaptador de enchufe</t>
        </is>
      </c>
    </row>
    <row r="831">
      <c r="A831" s="3" t="inlineStr">
        <is>
          <t>MAT-10-216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57.5</v>
      </c>
      <c r="L831" s="6" t="n">
        <v>50</v>
      </c>
      <c r="M831" s="6" t="n">
        <v>465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Enchufe</t>
        </is>
      </c>
    </row>
    <row r="832">
      <c r="A832" s="3" t="inlineStr">
        <is>
          <t>MAT-10-217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15 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447.27</v>
      </c>
      <c r="L832" s="6" t="n">
        <v>430.24</v>
      </c>
      <c r="M832" s="6" t="n">
        <v>790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F832" s="4" t="inlineStr">
        <is>
          <t>polos: 1 · amperaje: 15</t>
        </is>
      </c>
    </row>
    <row r="833">
      <c r="A833" s="3" t="inlineStr">
        <is>
          <t>MAT-10-218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A, formato fino</t>
        </is>
      </c>
      <c r="E833" s="4" t="inlineStr">
        <is>
          <t>Ocupa medio espacio · no es intercambiable con el estándar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485</v>
      </c>
      <c r="L833" s="6" t="n">
        <v>485</v>
      </c>
      <c r="M833" s="6" t="n">
        <v>485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V833" s="7" t="inlineStr">
        <is>
          <t>fino</t>
        </is>
      </c>
      <c r="AF833" s="4" t="inlineStr">
        <is>
          <t>polos: 1 · amperaje: 15</t>
        </is>
      </c>
    </row>
    <row r="834">
      <c r="A834" s="3" t="inlineStr">
        <is>
          <t>MAT-10-219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20 A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447.27</v>
      </c>
      <c r="L834" s="6" t="n">
        <v>374.13</v>
      </c>
      <c r="M834" s="6" t="n">
        <v>742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polos: 1 · amperaje: 20</t>
        </is>
      </c>
    </row>
    <row r="835">
      <c r="A835" s="3" t="inlineStr">
        <is>
          <t>MAT-10-220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A, formato fino</t>
        </is>
      </c>
      <c r="E835" s="4" t="inlineStr">
        <is>
          <t>Ocupa medio espacio · no es intercambiable con el estándar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500</v>
      </c>
      <c r="L835" s="6" t="n">
        <v>500</v>
      </c>
      <c r="M835" s="6" t="n">
        <v>500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Max Ferretería</t>
        </is>
      </c>
      <c r="V835" s="7" t="inlineStr">
        <is>
          <t>fino</t>
        </is>
      </c>
      <c r="AF835" s="4" t="inlineStr">
        <is>
          <t>polos: 1 · amperaje: 20</t>
        </is>
      </c>
    </row>
    <row r="836">
      <c r="A836" s="3" t="inlineStr">
        <is>
          <t>MAT-10-221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30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2</v>
      </c>
      <c r="K836" s="6" t="n">
        <v>447.28</v>
      </c>
      <c r="L836" s="6" t="n">
        <v>374.1</v>
      </c>
      <c r="M836" s="6" t="n">
        <v>845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 · Max Ferretería</t>
        </is>
      </c>
      <c r="AF836" s="4" t="inlineStr">
        <is>
          <t>polos: 1 · amperaje: 30</t>
        </is>
      </c>
    </row>
    <row r="837">
      <c r="A837" s="3" t="inlineStr">
        <is>
          <t>MAT-10-222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A, formato fino</t>
        </is>
      </c>
      <c r="E837" s="4" t="inlineStr">
        <is>
          <t>Ocupa medio espacio · no es intercambiable con el estándar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505</v>
      </c>
      <c r="L837" s="6" t="n">
        <v>505</v>
      </c>
      <c r="M837" s="6" t="n">
        <v>505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V837" s="7" t="inlineStr">
        <is>
          <t>fino</t>
        </is>
      </c>
      <c r="AF837" s="4" t="inlineStr">
        <is>
          <t>polos: 1 · amperaje: 30</t>
        </is>
      </c>
    </row>
    <row r="838">
      <c r="A838" s="3" t="inlineStr">
        <is>
          <t>MAT-10-223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40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2</v>
      </c>
      <c r="K838" s="6" t="n">
        <v>488.17</v>
      </c>
      <c r="L838" s="6" t="n">
        <v>170</v>
      </c>
      <c r="M838" s="6" t="n">
        <v>929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 · Ferremix (Grupo Alterra)</t>
        </is>
      </c>
      <c r="AF838" s="4" t="inlineStr">
        <is>
          <t>polos: 1 · amperaje: 40</t>
        </is>
      </c>
    </row>
    <row r="839">
      <c r="A839" s="3" t="inlineStr">
        <is>
          <t>MAT-10-224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50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505</v>
      </c>
      <c r="L839" s="6" t="n">
        <v>495</v>
      </c>
      <c r="M839" s="6" t="n">
        <v>515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1 · amperaje: 50</t>
        </is>
      </c>
    </row>
    <row r="840">
      <c r="A840" s="3" t="inlineStr">
        <is>
          <t>MAT-10-225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60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766.3200000000001</v>
      </c>
      <c r="L840" s="6" t="n">
        <v>717.63</v>
      </c>
      <c r="M840" s="6" t="n">
        <v>815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1 · amperaje: 60</t>
        </is>
      </c>
    </row>
    <row r="841">
      <c r="A841" s="3" t="inlineStr">
        <is>
          <t>MAT-10-226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100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3203</v>
      </c>
      <c r="L841" s="6" t="n">
        <v>2820</v>
      </c>
      <c r="M841" s="6" t="n">
        <v>3586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polos: 2 · amperaje: 100</t>
        </is>
      </c>
    </row>
    <row r="842">
      <c r="A842" s="3" t="inlineStr">
        <is>
          <t>MAT-10-227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15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1061.42</v>
      </c>
      <c r="L842" s="6" t="n">
        <v>969.78</v>
      </c>
      <c r="M842" s="6" t="n">
        <v>1379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15</t>
        </is>
      </c>
    </row>
    <row r="843">
      <c r="A843" s="3" t="inlineStr">
        <is>
          <t>MAT-10-228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20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2</v>
      </c>
      <c r="K843" s="6" t="n">
        <v>1157.5</v>
      </c>
      <c r="L843" s="6" t="n">
        <v>1134.99</v>
      </c>
      <c r="M843" s="6" t="n">
        <v>1425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 · Max Ferretería</t>
        </is>
      </c>
      <c r="AF843" s="4" t="inlineStr">
        <is>
          <t>polos: 2 · amperaje: 20</t>
        </is>
      </c>
    </row>
    <row r="844">
      <c r="A844" s="3" t="inlineStr">
        <is>
          <t>MAT-10-229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A, formato fino</t>
        </is>
      </c>
      <c r="E844" s="4" t="inlineStr">
        <is>
          <t>Ocupa medio espacio · no es intercambiable con el estándar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1195</v>
      </c>
      <c r="L844" s="6" t="n">
        <v>1195</v>
      </c>
      <c r="M844" s="6" t="n">
        <v>1195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Max Ferretería</t>
        </is>
      </c>
      <c r="V844" s="7" t="inlineStr">
        <is>
          <t>fino</t>
        </is>
      </c>
      <c r="AF844" s="4" t="inlineStr">
        <is>
          <t>polos: 2 · amperaje: 20</t>
        </is>
      </c>
    </row>
    <row r="845">
      <c r="A845" s="3" t="inlineStr">
        <is>
          <t>MAT-10-230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30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1079.99</v>
      </c>
      <c r="L845" s="6" t="n">
        <v>896</v>
      </c>
      <c r="M845" s="6" t="n">
        <v>1180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polos: 2 · amperaje: 30</t>
        </is>
      </c>
    </row>
    <row r="846">
      <c r="A846" s="3" t="inlineStr">
        <is>
          <t>MAT-10-231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A, formato fino</t>
        </is>
      </c>
      <c r="E846" s="4" t="inlineStr">
        <is>
          <t>Ocupa medio espacio · no es intercambiable con el estándar</t>
        </is>
      </c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1165</v>
      </c>
      <c r="L846" s="6" t="n">
        <v>1165</v>
      </c>
      <c r="M846" s="6" t="n">
        <v>1165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V846" s="7" t="inlineStr">
        <is>
          <t>fino</t>
        </is>
      </c>
      <c r="AF846" s="4" t="inlineStr">
        <is>
          <t>polos: 2 · amperaje: 30</t>
        </is>
      </c>
    </row>
    <row r="847">
      <c r="A847" s="3" t="inlineStr">
        <is>
          <t>MAT-10-232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40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1034</v>
      </c>
      <c r="L847" s="6" t="n">
        <v>976.05</v>
      </c>
      <c r="M847" s="6" t="n">
        <v>1134.99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 · Max Ferretería</t>
        </is>
      </c>
      <c r="AF847" s="4" t="inlineStr">
        <is>
          <t>polos: 2 · amperaje: 40</t>
        </is>
      </c>
    </row>
    <row r="848">
      <c r="A848" s="3" t="inlineStr">
        <is>
          <t>MAT-10-233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50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1215</v>
      </c>
      <c r="L848" s="6" t="n">
        <v>999.95</v>
      </c>
      <c r="M848" s="6" t="n">
        <v>1354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50</t>
        </is>
      </c>
    </row>
    <row r="849">
      <c r="A849" s="3" t="inlineStr">
        <is>
          <t>MAT-10-234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1189.99</v>
      </c>
      <c r="L849" s="6" t="n">
        <v>1100</v>
      </c>
      <c r="M849" s="6" t="n">
        <v>1977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60</t>
        </is>
      </c>
    </row>
    <row r="850">
      <c r="A850" s="3" t="inlineStr">
        <is>
          <t>MAT-10-235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70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2959.5</v>
      </c>
      <c r="L850" s="6" t="n">
        <v>2720</v>
      </c>
      <c r="M850" s="6" t="n">
        <v>3199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2 · amperaje: 70</t>
        </is>
      </c>
    </row>
    <row r="851">
      <c r="A851" s="3" t="inlineStr">
        <is>
          <t>MAT-10-236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80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2810.48</v>
      </c>
      <c r="L851" s="6" t="n">
        <v>2547.97</v>
      </c>
      <c r="M851" s="6" t="n">
        <v>3073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80</t>
        </is>
      </c>
    </row>
    <row r="852">
      <c r="A852" s="3" t="inlineStr">
        <is>
          <t>MAT-10-237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90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2968</v>
      </c>
      <c r="L852" s="6" t="n">
        <v>2968</v>
      </c>
      <c r="M852" s="6" t="n">
        <v>2968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90</t>
        </is>
      </c>
    </row>
    <row r="853">
      <c r="A853" s="3" t="inlineStr">
        <is>
          <t>MAT-10-238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100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6940</v>
      </c>
      <c r="L853" s="6" t="n">
        <v>6940</v>
      </c>
      <c r="M853" s="6" t="n">
        <v>6940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100</t>
        </is>
      </c>
    </row>
    <row r="854">
      <c r="A854" s="3" t="inlineStr">
        <is>
          <t>MAT-10-239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15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3062</v>
      </c>
      <c r="L854" s="6" t="n">
        <v>2309</v>
      </c>
      <c r="M854" s="6" t="n">
        <v>3815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15</t>
        </is>
      </c>
    </row>
    <row r="855">
      <c r="A855" s="3" t="inlineStr">
        <is>
          <t>MAT-10-240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20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4801</v>
      </c>
      <c r="L855" s="6" t="n">
        <v>3815</v>
      </c>
      <c r="M855" s="6" t="n">
        <v>5787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20</t>
        </is>
      </c>
    </row>
    <row r="856">
      <c r="A856" s="3" t="inlineStr">
        <is>
          <t>MAT-10-241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40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4357.5</v>
      </c>
      <c r="L856" s="6" t="n">
        <v>4310</v>
      </c>
      <c r="M856" s="6" t="n">
        <v>4405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40</t>
        </is>
      </c>
    </row>
    <row r="857">
      <c r="A857" s="3" t="inlineStr">
        <is>
          <t>MAT-10-242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50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5048.5</v>
      </c>
      <c r="L857" s="6" t="n">
        <v>4310</v>
      </c>
      <c r="M857" s="6" t="n">
        <v>5787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50</t>
        </is>
      </c>
    </row>
    <row r="858">
      <c r="A858" s="3" t="inlineStr">
        <is>
          <t>MAT-10-243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60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4121.5</v>
      </c>
      <c r="L858" s="6" t="n">
        <v>3933</v>
      </c>
      <c r="M858" s="6" t="n">
        <v>4310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60</t>
        </is>
      </c>
    </row>
    <row r="859">
      <c r="A859" s="3" t="inlineStr">
        <is>
          <t>MAT-10-244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70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5519</v>
      </c>
      <c r="L859" s="6" t="n">
        <v>5328</v>
      </c>
      <c r="M859" s="6" t="n">
        <v>5710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70</t>
        </is>
      </c>
    </row>
    <row r="860">
      <c r="A860" s="3" t="inlineStr">
        <is>
          <t>MAT-10-245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80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6059.5</v>
      </c>
      <c r="L860" s="6" t="n">
        <v>5739</v>
      </c>
      <c r="M860" s="6" t="n">
        <v>6380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80</t>
        </is>
      </c>
    </row>
    <row r="861">
      <c r="A861" s="3" t="inlineStr">
        <is>
          <t>MAT-10-246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90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4887.62</v>
      </c>
      <c r="L861" s="6" t="n">
        <v>4647</v>
      </c>
      <c r="M861" s="6" t="n">
        <v>5128.24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90</t>
        </is>
      </c>
    </row>
    <row r="862">
      <c r="A862" s="3" t="inlineStr">
        <is>
          <t>MAT-10-247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9622.41</v>
      </c>
      <c r="L862" s="6" t="n">
        <v>9622.41</v>
      </c>
      <c r="M862" s="6" t="n">
        <v>9622.41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</t>
        </is>
      </c>
    </row>
    <row r="863">
      <c r="A863" s="3" t="inlineStr">
        <is>
          <t>MAT-10-248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3920</v>
      </c>
      <c r="L863" s="6" t="n">
        <v>3829</v>
      </c>
      <c r="M863" s="6" t="n">
        <v>7731.92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12</t>
        </is>
      </c>
    </row>
    <row r="864">
      <c r="A864" s="3" t="inlineStr">
        <is>
          <t>MAT-10-249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16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2</v>
      </c>
      <c r="K864" s="6" t="n">
        <v>4044</v>
      </c>
      <c r="L864" s="6" t="n">
        <v>1522</v>
      </c>
      <c r="M864" s="6" t="n">
        <v>4755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 · Max Ferretería</t>
        </is>
      </c>
      <c r="AF864" s="4" t="inlineStr">
        <is>
          <t>espacios: 16</t>
        </is>
      </c>
    </row>
    <row r="865">
      <c r="A865" s="3" t="inlineStr">
        <is>
          <t>MAT-10-250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18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14240</v>
      </c>
      <c r="L865" s="6" t="n">
        <v>14240</v>
      </c>
      <c r="M865" s="6" t="n">
        <v>14240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18</t>
        </is>
      </c>
    </row>
    <row r="866">
      <c r="A866" s="3" t="inlineStr">
        <is>
          <t>MAT-10-251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2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180</v>
      </c>
      <c r="L866" s="6" t="n">
        <v>180</v>
      </c>
      <c r="M866" s="6" t="n">
        <v>180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2</t>
        </is>
      </c>
    </row>
    <row r="867">
      <c r="A867" s="3" t="inlineStr">
        <is>
          <t>MAT-10-252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24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11419.5</v>
      </c>
      <c r="L867" s="6" t="n">
        <v>4431</v>
      </c>
      <c r="M867" s="6" t="n">
        <v>33115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24</t>
        </is>
      </c>
    </row>
    <row r="868">
      <c r="A868" s="3" t="inlineStr">
        <is>
          <t>MAT-10-253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5730</v>
      </c>
      <c r="L868" s="6" t="n">
        <v>5730</v>
      </c>
      <c r="M868" s="6" t="n">
        <v>5730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</t>
        </is>
      </c>
    </row>
    <row r="869">
      <c r="A869" s="3" t="inlineStr">
        <is>
          <t>MAT-10-254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30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14169.46</v>
      </c>
      <c r="L869" s="6" t="n">
        <v>14169.46</v>
      </c>
      <c r="M869" s="6" t="n">
        <v>14169.46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30</t>
        </is>
      </c>
    </row>
    <row r="870">
      <c r="A870" s="3" t="inlineStr">
        <is>
          <t>MAT-10-255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32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8136.48</v>
      </c>
      <c r="L870" s="6" t="n">
        <v>8136.48</v>
      </c>
      <c r="M870" s="6" t="n">
        <v>8136.48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32</t>
        </is>
      </c>
    </row>
    <row r="871">
      <c r="A871" s="3" t="inlineStr">
        <is>
          <t>MAT-10-256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36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16369</v>
      </c>
      <c r="L871" s="6" t="n">
        <v>16369</v>
      </c>
      <c r="M871" s="6" t="n">
        <v>16369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36</t>
        </is>
      </c>
    </row>
    <row r="872">
      <c r="A872" s="3" t="inlineStr">
        <is>
          <t>MAT-10-257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1855</v>
      </c>
      <c r="L872" s="6" t="n">
        <v>629</v>
      </c>
      <c r="M872" s="6" t="n">
        <v>2442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</t>
        </is>
      </c>
    </row>
    <row r="873">
      <c r="A873" s="3" t="inlineStr">
        <is>
          <t>MAT-10-258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9743.09</v>
      </c>
      <c r="L873" s="6" t="n">
        <v>9743.09</v>
      </c>
      <c r="M873" s="6" t="n">
        <v>9743.09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40</t>
        </is>
      </c>
    </row>
    <row r="874">
      <c r="A874" s="3" t="inlineStr">
        <is>
          <t>MAT-10-259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42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20121.46</v>
      </c>
      <c r="L874" s="6" t="n">
        <v>11250.61</v>
      </c>
      <c r="M874" s="6" t="n">
        <v>22869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42</t>
        </is>
      </c>
    </row>
    <row r="875">
      <c r="A875" s="3" t="inlineStr">
        <is>
          <t>MAT-10-260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48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11883</v>
      </c>
      <c r="L875" s="6" t="n">
        <v>11883</v>
      </c>
      <c r="M875" s="6" t="n">
        <v>11883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48</t>
        </is>
      </c>
    </row>
    <row r="876">
      <c r="A876" s="3" t="inlineStr">
        <is>
          <t>MAT-10-261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60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10527.54</v>
      </c>
      <c r="L876" s="6" t="n">
        <v>10527.54</v>
      </c>
      <c r="M876" s="6" t="n">
        <v>10527.54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60</t>
        </is>
      </c>
    </row>
    <row r="877">
      <c r="A877" s="3" t="inlineStr">
        <is>
          <t>MAT-10-262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8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2</v>
      </c>
      <c r="K877" s="6" t="n">
        <v>1929.79</v>
      </c>
      <c r="L877" s="6" t="n">
        <v>566</v>
      </c>
      <c r="M877" s="6" t="n">
        <v>6205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 · Max Ferretería</t>
        </is>
      </c>
      <c r="AF877" s="4" t="inlineStr">
        <is>
          <t>espacios: 8</t>
        </is>
      </c>
    </row>
    <row r="878">
      <c r="A878" s="3" t="inlineStr">
        <is>
          <t>MAT-10-263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Caja de breaker principal de 125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6160</v>
      </c>
      <c r="L878" s="6" t="n">
        <v>6160</v>
      </c>
      <c r="M878" s="6" t="n">
        <v>6160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amperaje: 125</t>
        </is>
      </c>
    </row>
    <row r="879">
      <c r="A879" s="3" t="inlineStr">
        <is>
          <t>MAT-10-264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815</v>
      </c>
      <c r="L879" s="6" t="n">
        <v>815</v>
      </c>
      <c r="M879" s="6" t="n">
        <v>815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25</t>
        </is>
      </c>
    </row>
    <row r="880">
      <c r="A880" s="3" t="inlineStr">
        <is>
          <t>MAT-10-265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32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700</v>
      </c>
      <c r="L880" s="6" t="n">
        <v>700</v>
      </c>
      <c r="M880" s="6" t="n">
        <v>700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32</t>
        </is>
      </c>
    </row>
    <row r="881">
      <c r="A881" s="3" t="inlineStr">
        <is>
          <t>MAT-10-266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Switch de doble tiro 2P de 30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675</v>
      </c>
      <c r="L881" s="6" t="n">
        <v>675</v>
      </c>
      <c r="M881" s="6" t="n">
        <v>675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polos: 2 · amperaje: 30</t>
        </is>
      </c>
    </row>
    <row r="882">
      <c r="A882" s="3" t="inlineStr">
        <is>
          <t>MAT-10-267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60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1805</v>
      </c>
      <c r="L882" s="6" t="n">
        <v>1805</v>
      </c>
      <c r="M882" s="6" t="n">
        <v>1805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60</t>
        </is>
      </c>
    </row>
    <row r="883">
      <c r="A883" s="3" t="inlineStr">
        <is>
          <t>MAT-10-268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Fusible de 30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50</v>
      </c>
      <c r="L883" s="6" t="n">
        <v>50</v>
      </c>
      <c r="M883" s="6" t="n">
        <v>50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amperaje: 30</t>
        </is>
      </c>
    </row>
    <row r="884">
      <c r="A884" s="3" t="inlineStr">
        <is>
          <t>MAT-10-269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60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140</v>
      </c>
      <c r="L884" s="6" t="n">
        <v>140</v>
      </c>
      <c r="M884" s="6" t="n">
        <v>140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60</t>
        </is>
      </c>
    </row>
    <row r="885">
      <c r="A885" s="3" t="inlineStr">
        <is>
          <t>MAT-10-270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Protector de voltaje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950.01</v>
      </c>
      <c r="L885" s="6" t="n">
        <v>745</v>
      </c>
      <c r="M885" s="6" t="n">
        <v>1610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tipo: Protector de voltaje</t>
        </is>
      </c>
    </row>
    <row r="886">
      <c r="A886" s="3" t="inlineStr">
        <is>
          <t>MAT-10-271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Regulador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1395</v>
      </c>
      <c r="L886" s="6" t="n">
        <v>1395</v>
      </c>
      <c r="M886" s="6" t="n">
        <v>1395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Regulador de voltaje</t>
        </is>
      </c>
    </row>
    <row r="887">
      <c r="A887" s="3" t="inlineStr">
        <is>
          <t>MAT-10-272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Tubo eléctrico EMT 1 1/2" x 10 pies</t>
        </is>
      </c>
      <c r="E887" s="4" t="inlineStr"/>
      <c r="F887" s="3" t="inlineStr">
        <is>
          <t>tubo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725</v>
      </c>
      <c r="L887" s="6" t="n">
        <v>725</v>
      </c>
      <c r="M887" s="6" t="n">
        <v>725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Z887" s="7" t="n">
        <v>10</v>
      </c>
      <c r="AF887" s="4" t="inlineStr">
        <is>
          <t>material: EMT · medida: 1 1/2"</t>
        </is>
      </c>
    </row>
    <row r="888">
      <c r="A888" s="3" t="inlineStr">
        <is>
          <t>MAT-10-273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375</v>
      </c>
      <c r="L888" s="6" t="n">
        <v>375</v>
      </c>
      <c r="M888" s="6" t="n">
        <v>375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1"</t>
        </is>
      </c>
    </row>
    <row r="889">
      <c r="A889" s="3" t="inlineStr">
        <is>
          <t>MAT-10-274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3/4"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310</v>
      </c>
      <c r="L889" s="6" t="n">
        <v>310</v>
      </c>
      <c r="M889" s="6" t="n">
        <v>310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3/4"</t>
        </is>
      </c>
    </row>
    <row r="890">
      <c r="A890" s="3" t="inlineStr">
        <is>
          <t>MAT-10-275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Tubería flexible BX 1/2"</t>
        </is>
      </c>
      <c r="E890" s="4" t="inlineStr">
        <is>
          <t>La ficha no declara el largo del rollo</t>
        </is>
      </c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25</v>
      </c>
      <c r="L890" s="6" t="n">
        <v>25</v>
      </c>
      <c r="M890" s="6" t="n">
        <v>25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material: BX · medida: 1/2"</t>
        </is>
      </c>
    </row>
    <row r="891">
      <c r="A891" s="3" t="inlineStr">
        <is>
          <t>MAT-10-276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3/4"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35</v>
      </c>
      <c r="L891" s="6" t="n">
        <v>35</v>
      </c>
      <c r="M891" s="6" t="n">
        <v>35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3/4"</t>
        </is>
      </c>
    </row>
    <row r="892">
      <c r="A892" s="3" t="inlineStr">
        <is>
          <t>MAT-10-277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liquid tight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77.51000000000001</v>
      </c>
      <c r="L892" s="6" t="n">
        <v>45.01</v>
      </c>
      <c r="M892" s="6" t="n">
        <v>110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liquid tight · medida: 3/4"</t>
        </is>
      </c>
    </row>
    <row r="893">
      <c r="A893" s="3" t="inlineStr">
        <is>
          <t>MAT-10-278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11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115</v>
      </c>
      <c r="L893" s="6" t="n">
        <v>115</v>
      </c>
      <c r="M893" s="6" t="n">
        <v>115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11 x 10 mm</t>
        </is>
      </c>
    </row>
    <row r="894">
      <c r="A894" s="3" t="inlineStr">
        <is>
          <t>MAT-10-279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15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119.99</v>
      </c>
      <c r="L894" s="6" t="n">
        <v>119.99</v>
      </c>
      <c r="M894" s="6" t="n">
        <v>119.99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15 x 10 mm</t>
        </is>
      </c>
    </row>
    <row r="895">
      <c r="A895" s="3" t="inlineStr">
        <is>
          <t>MAT-10-280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12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135</v>
      </c>
      <c r="L895" s="6" t="n">
        <v>135</v>
      </c>
      <c r="M895" s="6" t="n">
        <v>135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12 mm</t>
        </is>
      </c>
    </row>
    <row r="896">
      <c r="A896" s="3" t="inlineStr">
        <is>
          <t>MAT-10-281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20 x 10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150</v>
      </c>
      <c r="L896" s="6" t="n">
        <v>150</v>
      </c>
      <c r="M896" s="6" t="n">
        <v>150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20 x 10 mm</t>
        </is>
      </c>
    </row>
    <row r="897">
      <c r="A897" s="3" t="inlineStr">
        <is>
          <t>MAT-10-282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25 x 15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200</v>
      </c>
      <c r="L897" s="6" t="n">
        <v>200</v>
      </c>
      <c r="M897" s="6" t="n">
        <v>200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25 x 15 mm</t>
        </is>
      </c>
    </row>
    <row r="898">
      <c r="A898" s="3" t="inlineStr">
        <is>
          <t>MAT-10-283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32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215</v>
      </c>
      <c r="L898" s="6" t="n">
        <v>215</v>
      </c>
      <c r="M898" s="6" t="n">
        <v>215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32 x 15 mm</t>
        </is>
      </c>
    </row>
    <row r="899">
      <c r="A899" s="3" t="inlineStr">
        <is>
          <t>MAT-10-284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40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320</v>
      </c>
      <c r="L899" s="6" t="n">
        <v>320</v>
      </c>
      <c r="M899" s="6" t="n">
        <v>320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40 x 15 mm</t>
        </is>
      </c>
    </row>
    <row r="900">
      <c r="A900" s="3" t="inlineStr">
        <is>
          <t>MAT-10-285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60 x 40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550</v>
      </c>
      <c r="L900" s="6" t="n">
        <v>550</v>
      </c>
      <c r="M900" s="6" t="n">
        <v>550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60 x 40 mm</t>
        </is>
      </c>
    </row>
    <row r="901">
      <c r="A901" s="3" t="inlineStr">
        <is>
          <t>MAT-10-286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80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745</v>
      </c>
      <c r="L901" s="6" t="n">
        <v>745</v>
      </c>
      <c r="M901" s="6" t="n">
        <v>745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80 x 40 mm</t>
        </is>
      </c>
    </row>
    <row r="902">
      <c r="A902" s="3" t="inlineStr">
        <is>
          <t>MAT-10-287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Caja eléctrica octagonal de metal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115</v>
      </c>
      <c r="L902" s="6" t="n">
        <v>115</v>
      </c>
      <c r="M902" s="6" t="n">
        <v>115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R902" s="7" t="inlineStr">
        <is>
          <t>octagonal</t>
        </is>
      </c>
      <c r="AF902" s="4" t="inlineStr">
        <is>
          <t>material: metal</t>
        </is>
      </c>
    </row>
    <row r="903">
      <c r="A903" s="3" t="inlineStr">
        <is>
          <t>MAT-10-288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rectangular de metal 2 x 4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40.5</v>
      </c>
      <c r="L903" s="6" t="n">
        <v>40</v>
      </c>
      <c r="M903" s="6" t="n">
        <v>41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rectangular</t>
        </is>
      </c>
      <c r="AF903" s="4" t="inlineStr">
        <is>
          <t>material: metal · medida: 2 x 4</t>
        </is>
      </c>
    </row>
    <row r="904">
      <c r="A904" s="3" t="inlineStr">
        <is>
          <t>MAT-10-289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PVC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45.01</v>
      </c>
      <c r="L904" s="6" t="n">
        <v>45.01</v>
      </c>
      <c r="M904" s="6" t="n">
        <v>45.01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PVC · medida: 2 x 4</t>
        </is>
      </c>
    </row>
    <row r="905">
      <c r="A905" s="3" t="inlineStr">
        <is>
          <t>MAT-10-290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1/2"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</v>
      </c>
      <c r="L905" s="6" t="n">
        <v>4</v>
      </c>
      <c r="M905" s="6" t="n">
        <v>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1/2"</t>
        </is>
      </c>
    </row>
    <row r="906">
      <c r="A906" s="3" t="inlineStr">
        <is>
          <t>MAT-10-291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1/2", 2 huecos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</v>
      </c>
      <c r="L906" s="6" t="n">
        <v>5</v>
      </c>
      <c r="M906" s="6" t="n">
        <v>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 · huecos: 2</t>
        </is>
      </c>
    </row>
    <row r="907">
      <c r="A907" s="3" t="inlineStr">
        <is>
          <t>MAT-10-292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</v>
      </c>
      <c r="L907" s="6" t="n">
        <v>7</v>
      </c>
      <c r="M907" s="6" t="n">
        <v>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1"</t>
        </is>
      </c>
    </row>
    <row r="908">
      <c r="A908" s="3" t="inlineStr">
        <is>
          <t>MAT-10-293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35</v>
      </c>
      <c r="L908" s="6" t="n">
        <v>35</v>
      </c>
      <c r="M908" s="6" t="n">
        <v>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2"</t>
        </is>
      </c>
    </row>
    <row r="909">
      <c r="A909" s="3" t="inlineStr">
        <is>
          <t>MAT-10-294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3/4"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</v>
      </c>
      <c r="L909" s="6" t="n">
        <v>4</v>
      </c>
      <c r="M909" s="6" t="n">
        <v>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3/4"</t>
        </is>
      </c>
    </row>
    <row r="910">
      <c r="A910" s="3" t="inlineStr">
        <is>
          <t>MAT-10-295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64.98999999999999</v>
      </c>
      <c r="L910" s="6" t="n">
        <v>64.98999999999999</v>
      </c>
      <c r="M910" s="6" t="n">
        <v>64.98999999999999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3"</t>
        </is>
      </c>
    </row>
    <row r="911">
      <c r="A911" s="3" t="inlineStr">
        <is>
          <t>MAT-10-296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1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45.6</v>
      </c>
      <c r="L911" s="6" t="n">
        <v>45.6</v>
      </c>
      <c r="M911" s="6" t="n">
        <v>45.6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1 1/2"</t>
        </is>
      </c>
    </row>
    <row r="912">
      <c r="A912" s="3" t="inlineStr">
        <is>
          <t>MAT-10-297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8.99</v>
      </c>
      <c r="L912" s="6" t="n">
        <v>8.99</v>
      </c>
      <c r="M912" s="6" t="n">
        <v>8.99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1/2"</t>
        </is>
      </c>
    </row>
    <row r="913">
      <c r="A913" s="3" t="inlineStr">
        <is>
          <t>MAT-10-298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17.89</v>
      </c>
      <c r="L913" s="6" t="n">
        <v>17.89</v>
      </c>
      <c r="M913" s="6" t="n">
        <v>17.89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1"</t>
        </is>
      </c>
    </row>
    <row r="914">
      <c r="A914" s="3" t="inlineStr">
        <is>
          <t>MAT-10-299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65.88</v>
      </c>
      <c r="L914" s="6" t="n">
        <v>65.88</v>
      </c>
      <c r="M914" s="6" t="n">
        <v>65.88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2"</t>
        </is>
      </c>
    </row>
    <row r="915">
      <c r="A915" s="3" t="inlineStr">
        <is>
          <t>MAT-10-300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10.77</v>
      </c>
      <c r="L915" s="6" t="n">
        <v>10.77</v>
      </c>
      <c r="M915" s="6" t="n">
        <v>10.77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3/4"</t>
        </is>
      </c>
    </row>
    <row r="916">
      <c r="A916" s="3" t="inlineStr">
        <is>
          <t>MAT-10-301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195.41</v>
      </c>
      <c r="L916" s="6" t="n">
        <v>195.41</v>
      </c>
      <c r="M916" s="6" t="n">
        <v>195.41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3"</t>
        </is>
      </c>
    </row>
    <row r="917">
      <c r="A917" s="3" t="inlineStr">
        <is>
          <t>MAT-10-302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4"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367.2</v>
      </c>
      <c r="L917" s="6" t="n">
        <v>367.2</v>
      </c>
      <c r="M917" s="6" t="n">
        <v>367.2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4"</t>
        </is>
      </c>
    </row>
    <row r="918">
      <c r="A918" s="3" t="inlineStr">
        <is>
          <t>MAT-10-303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Abrazadera plástica de 10"</t>
        </is>
      </c>
      <c r="E918" s="4" t="inlineStr">
        <is>
          <t>La ficha no declara cuántas trae el paquete</t>
        </is>
      </c>
      <c r="F918" s="3" t="inlineStr">
        <is>
          <t>paquete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150</v>
      </c>
      <c r="L918" s="6" t="n">
        <v>150</v>
      </c>
      <c r="M918" s="6" t="n">
        <v>150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largo_pulg: 10</t>
        </is>
      </c>
    </row>
    <row r="919">
      <c r="A919" s="3" t="inlineStr">
        <is>
          <t>MAT-10-304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12"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2.42</v>
      </c>
      <c r="L919" s="6" t="n">
        <v>1.99</v>
      </c>
      <c r="M919" s="6" t="n">
        <v>2.86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12</t>
        </is>
      </c>
    </row>
    <row r="920">
      <c r="A920" s="3" t="inlineStr">
        <is>
          <t>MAT-10-305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8"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95</v>
      </c>
      <c r="L920" s="6" t="n">
        <v>85</v>
      </c>
      <c r="M920" s="6" t="n">
        <v>105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8</t>
        </is>
      </c>
    </row>
    <row r="921">
      <c r="A921" s="3" t="inlineStr">
        <is>
          <t>MAT-10-306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Cinta aislante 15 mts</t>
        </is>
      </c>
      <c r="E921" s="4" t="inlineStr"/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1125</v>
      </c>
      <c r="L921" s="6" t="n">
        <v>1125</v>
      </c>
      <c r="M921" s="6" t="n">
        <v>1125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medida: 15 mts</t>
        </is>
      </c>
    </row>
    <row r="922">
      <c r="A922" s="3" t="inlineStr">
        <is>
          <t>MAT-10-307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3 m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787.5</v>
      </c>
      <c r="L922" s="6" t="n">
        <v>135</v>
      </c>
      <c r="M922" s="6" t="n">
        <v>2115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3 m</t>
        </is>
      </c>
    </row>
    <row r="923">
      <c r="A923" s="3" t="inlineStr">
        <is>
          <t>MAT-10-308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30 mts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1730</v>
      </c>
      <c r="L923" s="6" t="n">
        <v>1730</v>
      </c>
      <c r="M923" s="6" t="n">
        <v>1730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30 mts</t>
        </is>
      </c>
    </row>
    <row r="924">
      <c r="A924" s="3" t="inlineStr">
        <is>
          <t>MAT-10-309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#14,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1139.88</v>
      </c>
      <c r="L924" s="6" t="n">
        <v>1139.88</v>
      </c>
      <c r="M924" s="6" t="n">
        <v>1139.88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14</t>
        </is>
      </c>
    </row>
    <row r="925">
      <c r="A925" s="3" t="inlineStr">
        <is>
          <t>MAT-10-310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#2,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14868</v>
      </c>
      <c r="L925" s="6" t="n">
        <v>14868</v>
      </c>
      <c r="M925" s="6" t="n">
        <v>14868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2</t>
        </is>
      </c>
    </row>
    <row r="926">
      <c r="A926" s="3" t="inlineStr">
        <is>
          <t>MAT-10-311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30562</v>
      </c>
      <c r="L926" s="6" t="n">
        <v>30562</v>
      </c>
      <c r="M926" s="6" t="n">
        <v>30562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2/0</t>
        </is>
      </c>
    </row>
    <row r="927">
      <c r="A927" s="3" t="inlineStr">
        <is>
          <t>MAT-10-312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#3/0,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38704</v>
      </c>
      <c r="L927" s="6" t="n">
        <v>38704</v>
      </c>
      <c r="M927" s="6" t="n">
        <v>38704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3/0</t>
        </is>
      </c>
    </row>
    <row r="928">
      <c r="A928" s="3" t="inlineStr">
        <is>
          <t>MAT-10-313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#4,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9954.48</v>
      </c>
      <c r="L928" s="6" t="n">
        <v>9954.48</v>
      </c>
      <c r="M928" s="6" t="n">
        <v>9954.48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4</t>
        </is>
      </c>
    </row>
    <row r="929">
      <c r="A929" s="3" t="inlineStr">
        <is>
          <t>MAT-10-314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#4/0,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46256</v>
      </c>
      <c r="L929" s="6" t="n">
        <v>46256</v>
      </c>
      <c r="M929" s="6" t="n">
        <v>46256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4/0</t>
        </is>
      </c>
    </row>
    <row r="930">
      <c r="A930" s="3" t="inlineStr">
        <is>
          <t>MAT-10-315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#6,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6216.24</v>
      </c>
      <c r="L930" s="6" t="n">
        <v>6216.24</v>
      </c>
      <c r="M930" s="6" t="n">
        <v>6216.24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6</t>
        </is>
      </c>
    </row>
    <row r="931">
      <c r="A931" s="3" t="inlineStr">
        <is>
          <t>MAT-10-316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1.5 mm,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2480.36</v>
      </c>
      <c r="L931" s="6" t="n">
        <v>2480.36</v>
      </c>
      <c r="M931" s="6" t="n">
        <v>2480.36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1.5 mm</t>
        </is>
      </c>
      <c r="AF931" s="4" t="inlineStr">
        <is>
          <t>conductores: 2</t>
        </is>
      </c>
    </row>
    <row r="932">
      <c r="A932" s="3" t="inlineStr">
        <is>
          <t>MAT-10-317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3453.86</v>
      </c>
      <c r="L932" s="6" t="n">
        <v>3453.86</v>
      </c>
      <c r="M932" s="6" t="n">
        <v>3453.86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3</t>
        </is>
      </c>
    </row>
    <row r="933">
      <c r="A933" s="3" t="inlineStr">
        <is>
          <t>MAT-10-318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4381.34</v>
      </c>
      <c r="L933" s="6" t="n">
        <v>4381.34</v>
      </c>
      <c r="M933" s="6" t="n">
        <v>4381.34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4</t>
        </is>
      </c>
    </row>
    <row r="934">
      <c r="A934" s="3" t="inlineStr">
        <is>
          <t>MAT-10-319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12,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4299.92</v>
      </c>
      <c r="L934" s="6" t="n">
        <v>4299.92</v>
      </c>
      <c r="M934" s="6" t="n">
        <v>4299.92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12</t>
        </is>
      </c>
      <c r="AF934" s="4" t="inlineStr">
        <is>
          <t>conductores: 2</t>
        </is>
      </c>
    </row>
    <row r="935">
      <c r="A935" s="3" t="inlineStr">
        <is>
          <t>MAT-10-320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6298.84</v>
      </c>
      <c r="L935" s="6" t="n">
        <v>6298.84</v>
      </c>
      <c r="M935" s="6" t="n">
        <v>6298.84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3</t>
        </is>
      </c>
    </row>
    <row r="936">
      <c r="A936" s="3" t="inlineStr">
        <is>
          <t>MAT-10-321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14,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5508.24</v>
      </c>
      <c r="L936" s="6" t="n">
        <v>5508.24</v>
      </c>
      <c r="M936" s="6" t="n">
        <v>5508.24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14</t>
        </is>
      </c>
      <c r="AF936" s="4" t="inlineStr">
        <is>
          <t>conductores: 4</t>
        </is>
      </c>
    </row>
    <row r="937">
      <c r="A937" s="3" t="inlineStr">
        <is>
          <t>MAT-10-322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2.5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3431.44</v>
      </c>
      <c r="L937" s="6" t="n">
        <v>3431.44</v>
      </c>
      <c r="M937" s="6" t="n">
        <v>3431.44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2.5 mm</t>
        </is>
      </c>
      <c r="AF937" s="4" t="inlineStr">
        <is>
          <t>conductores: 2</t>
        </is>
      </c>
    </row>
    <row r="938">
      <c r="A938" s="3" t="inlineStr">
        <is>
          <t>MAT-10-323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5145.98</v>
      </c>
      <c r="L938" s="6" t="n">
        <v>5145.98</v>
      </c>
      <c r="M938" s="6" t="n">
        <v>5145.98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3</t>
        </is>
      </c>
    </row>
    <row r="939">
      <c r="A939" s="3" t="inlineStr">
        <is>
          <t>MAT-10-324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6,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31506</v>
      </c>
      <c r="L939" s="6" t="n">
        <v>31506</v>
      </c>
      <c r="M939" s="6" t="n">
        <v>31506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6</t>
        </is>
      </c>
      <c r="AF939" s="4" t="inlineStr">
        <is>
          <t>conductores: 4</t>
        </is>
      </c>
    </row>
    <row r="940">
      <c r="A940" s="3" t="inlineStr">
        <is>
          <t>MAT-10-325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10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180</v>
      </c>
      <c r="L940" s="6" t="n">
        <v>180</v>
      </c>
      <c r="M940" s="6" t="n">
        <v>180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10</v>
      </c>
    </row>
    <row r="941">
      <c r="A941" s="3" t="inlineStr">
        <is>
          <t>MAT-10-326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1940</v>
      </c>
      <c r="L941" s="6" t="n">
        <v>1355.01</v>
      </c>
      <c r="M941" s="6" t="n">
        <v>2335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100</v>
      </c>
    </row>
    <row r="942">
      <c r="A942" s="3" t="inlineStr">
        <is>
          <t>MAT-10-327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12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285</v>
      </c>
      <c r="L942" s="6" t="n">
        <v>210</v>
      </c>
      <c r="M942" s="6" t="n">
        <v>359.99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12</v>
      </c>
    </row>
    <row r="943">
      <c r="A943" s="3" t="inlineStr">
        <is>
          <t>MAT-10-328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13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225</v>
      </c>
      <c r="L943" s="6" t="n">
        <v>225</v>
      </c>
      <c r="M943" s="6" t="n">
        <v>225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13</v>
      </c>
    </row>
    <row r="944">
      <c r="A944" s="3" t="inlineStr">
        <is>
          <t>MAT-10-329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15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505</v>
      </c>
      <c r="L944" s="6" t="n">
        <v>300</v>
      </c>
      <c r="M944" s="6" t="n">
        <v>894.99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15</v>
      </c>
    </row>
    <row r="945">
      <c r="A945" s="3" t="inlineStr">
        <is>
          <t>MAT-10-330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16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270</v>
      </c>
      <c r="L945" s="6" t="n">
        <v>270</v>
      </c>
      <c r="M945" s="6" t="n">
        <v>270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16</v>
      </c>
    </row>
    <row r="946">
      <c r="A946" s="3" t="inlineStr">
        <is>
          <t>MAT-10-331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25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1700</v>
      </c>
      <c r="L946" s="6" t="n">
        <v>1700</v>
      </c>
      <c r="M946" s="6" t="n">
        <v>1700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25</v>
      </c>
    </row>
    <row r="947">
      <c r="A947" s="3" t="inlineStr">
        <is>
          <t>MAT-10-332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26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520</v>
      </c>
      <c r="L947" s="6" t="n">
        <v>520</v>
      </c>
      <c r="M947" s="6" t="n">
        <v>520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26</v>
      </c>
    </row>
    <row r="948">
      <c r="A948" s="3" t="inlineStr">
        <is>
          <t>MAT-10-333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50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1330</v>
      </c>
      <c r="L948" s="6" t="n">
        <v>725</v>
      </c>
      <c r="M948" s="6" t="n">
        <v>2989.99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50</v>
      </c>
    </row>
    <row r="949">
      <c r="A949" s="3" t="inlineStr">
        <is>
          <t>MAT-10-334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6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310</v>
      </c>
      <c r="L949" s="6" t="n">
        <v>310</v>
      </c>
      <c r="M949" s="6" t="n">
        <v>310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6</v>
      </c>
    </row>
    <row r="950">
      <c r="A950" s="3" t="inlineStr">
        <is>
          <t>MAT-10-335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7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145</v>
      </c>
      <c r="L950" s="6" t="n">
        <v>145</v>
      </c>
      <c r="M950" s="6" t="n">
        <v>145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7</v>
      </c>
    </row>
    <row r="951">
      <c r="A951" s="3" t="inlineStr">
        <is>
          <t>MAT-10-336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Regleta de 6 salidas</t>
        </is>
      </c>
      <c r="E951" s="4" t="inlineStr">
        <is>
          <t>La ficha no declara si trae supresor de picos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737.5</v>
      </c>
      <c r="L951" s="6" t="n">
        <v>654.99</v>
      </c>
      <c r="M951" s="6" t="n">
        <v>1330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salidas: 6</t>
        </is>
      </c>
    </row>
    <row r="952">
      <c r="A952" s="3" t="inlineStr">
        <is>
          <t>MAT-10-337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 con supresor de picos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725</v>
      </c>
      <c r="L952" s="6" t="n">
        <v>725</v>
      </c>
      <c r="M952" s="6" t="n">
        <v>725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 · supresor: si</t>
        </is>
      </c>
    </row>
    <row r="953">
      <c r="A953" s="3" t="inlineStr">
        <is>
          <t>MAT-10-338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8 salidas</t>
        </is>
      </c>
      <c r="E953" s="4" t="inlineStr">
        <is>
          <t>La ficha no declara si trae supresor de picos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1195</v>
      </c>
      <c r="L953" s="6" t="n">
        <v>1195</v>
      </c>
      <c r="M953" s="6" t="n">
        <v>1195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8</t>
        </is>
      </c>
    </row>
    <row r="954">
      <c r="A954" s="3" t="inlineStr">
        <is>
          <t>MAT-10-339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Sensor de movimiento</t>
        </is>
      </c>
      <c r="E954" s="4" t="inlineStr"/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570</v>
      </c>
      <c r="L954" s="6" t="n">
        <v>500</v>
      </c>
      <c r="M954" s="6" t="n">
        <v>780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tipo: Sensor de movimiento</t>
        </is>
      </c>
    </row>
    <row r="955">
      <c r="A955" s="3" t="inlineStr">
        <is>
          <t>MAT-10-340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Temporizador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805</v>
      </c>
      <c r="L955" s="6" t="n">
        <v>805</v>
      </c>
      <c r="M955" s="6" t="n">
        <v>805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Temporizador</t>
        </is>
      </c>
    </row>
    <row r="956">
      <c r="A956" s="3" t="inlineStr">
        <is>
          <t>MAT-10-341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Timbre eléctrico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414.99</v>
      </c>
      <c r="L956" s="6" t="n">
        <v>100</v>
      </c>
      <c r="M956" s="6" t="n">
        <v>894.99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Timbre eléctrico</t>
        </is>
      </c>
    </row>
    <row r="957">
      <c r="A957" s="3" t="inlineStr">
        <is>
          <t>MAT-12-009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acrílica, cubeta de 5 galones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2</v>
      </c>
      <c r="K957" s="6" t="n">
        <v>3750</v>
      </c>
      <c r="L957" s="6" t="n">
        <v>1730.56</v>
      </c>
      <c r="M957" s="6" t="n">
        <v>11526.59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2026-09-10</t>
        </is>
      </c>
      <c r="Q957" s="4" t="inlineStr">
        <is>
          <t>Ferremix (Grupo Alterra) · Tonos y Colores</t>
        </is>
      </c>
      <c r="AF957" s="4" t="inlineStr">
        <is>
          <t>tipo: acrílica · envase: cubeta de 5 galones</t>
        </is>
      </c>
    </row>
    <row r="958">
      <c r="A958" s="3" t="inlineStr">
        <is>
          <t>MAT-12-010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757.13</v>
      </c>
      <c r="L958" s="6" t="n">
        <v>374.4</v>
      </c>
      <c r="M958" s="6" t="n">
        <v>5297.6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galón</t>
        </is>
      </c>
    </row>
    <row r="959">
      <c r="A959" s="3" t="inlineStr">
        <is>
          <t>MAT-12-011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aislante térmica,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6835.64</v>
      </c>
      <c r="L959" s="6" t="n">
        <v>6835.64</v>
      </c>
      <c r="M959" s="6" t="n">
        <v>6835.64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Tonos y Colores</t>
        </is>
      </c>
      <c r="AF959" s="4" t="inlineStr">
        <is>
          <t>tipo: aislante térmica · envase: galón · acabado: brillante</t>
        </is>
      </c>
    </row>
    <row r="960">
      <c r="A960" s="3" t="inlineStr">
        <is>
          <t>MAT-12-012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anticorrosiva,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4353.57</v>
      </c>
      <c r="L960" s="6" t="n">
        <v>1345.06</v>
      </c>
      <c r="M960" s="6" t="n">
        <v>4353.57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anticorrosiva · envase: galón · acabado: brillante</t>
        </is>
      </c>
    </row>
    <row r="961">
      <c r="A961" s="3" t="inlineStr">
        <is>
          <t>MAT-12-013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de tráfico,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1780.6</v>
      </c>
      <c r="L961" s="6" t="n">
        <v>1705.6</v>
      </c>
      <c r="M961" s="6" t="n">
        <v>4908.28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de tráfico · envase: galón · acabado: brillante</t>
        </is>
      </c>
    </row>
    <row r="962">
      <c r="A962" s="3" t="inlineStr">
        <is>
          <t>MAT-12-014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epóxica, cubeta de 5 galones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1675</v>
      </c>
      <c r="L962" s="6" t="n">
        <v>1675</v>
      </c>
      <c r="M962" s="6" t="n">
        <v>1675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2026-09-10</t>
        </is>
      </c>
      <c r="Q962" s="4" t="inlineStr">
        <is>
          <t>Ferremix (Grupo Alterra)</t>
        </is>
      </c>
      <c r="AF962" s="4" t="inlineStr">
        <is>
          <t>tipo: epóxica · envase: cubeta de 5 galones</t>
        </is>
      </c>
    </row>
    <row r="963">
      <c r="A963" s="3" t="inlineStr">
        <is>
          <t>MAT-12-015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galón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2954.01</v>
      </c>
      <c r="L963" s="6" t="n">
        <v>2954.01</v>
      </c>
      <c r="M963" s="6" t="n">
        <v>2954.01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Tonos y Colores</t>
        </is>
      </c>
      <c r="AF963" s="4" t="inlineStr">
        <is>
          <t>tipo: epóxica · envase: galón · acabado: brillante</t>
        </is>
      </c>
    </row>
    <row r="964">
      <c r="A964" s="3" t="inlineStr">
        <is>
          <t>MAT-12-016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esmalte, envase de 750 ml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1212.3</v>
      </c>
      <c r="L964" s="6" t="n">
        <v>1212.3</v>
      </c>
      <c r="M964" s="6" t="n">
        <v>1212.3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esmalte · envase: envase de 750 ml</t>
        </is>
      </c>
    </row>
    <row r="965">
      <c r="A965" s="3" t="inlineStr">
        <is>
          <t>MAT-12-017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3548.15</v>
      </c>
      <c r="L965" s="6" t="n">
        <v>1312.41</v>
      </c>
      <c r="M965" s="6" t="n">
        <v>5401.1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galón · acabado: brillante</t>
        </is>
      </c>
    </row>
    <row r="966">
      <c r="A966" s="3" t="inlineStr">
        <is>
          <t>MAT-12-018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cubeta de 5 galones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7752.62</v>
      </c>
      <c r="L966" s="6" t="n">
        <v>2065</v>
      </c>
      <c r="M966" s="6" t="n">
        <v>13902.88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cubeta de 5 galones</t>
        </is>
      </c>
    </row>
    <row r="967">
      <c r="A967" s="3" t="inlineStr">
        <is>
          <t>MAT-12-019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funda de 40 libras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2663</v>
      </c>
      <c r="L967" s="6" t="n">
        <v>2419.2</v>
      </c>
      <c r="M967" s="6" t="n">
        <v>3295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Bellón · Tonos y Colores</t>
        </is>
      </c>
      <c r="AF967" s="4" t="inlineStr">
        <is>
          <t>tipo: impermeabilizante · envase: funda de 40 libras · acabado: mate</t>
        </is>
      </c>
    </row>
    <row r="968">
      <c r="A968" s="3" t="inlineStr">
        <is>
          <t>MAT-12-020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44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2838.53</v>
      </c>
      <c r="L968" s="6" t="n">
        <v>2838.53</v>
      </c>
      <c r="M968" s="6" t="n">
        <v>2838.53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impermeabilizante · envase: funda de 44 libras</t>
        </is>
      </c>
    </row>
    <row r="969">
      <c r="A969" s="3" t="inlineStr">
        <is>
          <t>MAT-12-021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2</v>
      </c>
      <c r="K969" s="6" t="n">
        <v>2299.98</v>
      </c>
      <c r="L969" s="6" t="n">
        <v>1265</v>
      </c>
      <c r="M969" s="6" t="n">
        <v>4642.17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2026-09-10</t>
        </is>
      </c>
      <c r="Q969" s="4" t="inlineStr">
        <is>
          <t>Ferremix (Grupo Alterra) · Tonos y Colores</t>
        </is>
      </c>
      <c r="AF969" s="4" t="inlineStr">
        <is>
          <t>tipo: impermeabilizante · envase: galón · acabado: mate</t>
        </is>
      </c>
    </row>
    <row r="970">
      <c r="A970" s="3" t="inlineStr">
        <is>
          <t>MAT-12-022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cubeta de 5 galones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1795</v>
      </c>
      <c r="L970" s="6" t="n">
        <v>1395</v>
      </c>
      <c r="M970" s="6" t="n">
        <v>8050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</t>
        </is>
      </c>
      <c r="AF970" s="4" t="inlineStr">
        <is>
          <t>tipo: masilla · envase: cubeta de 5 galones</t>
        </is>
      </c>
    </row>
    <row r="971">
      <c r="A971" s="3" t="inlineStr">
        <is>
          <t>MAT-12-023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envase de 2.5 litros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1429.12</v>
      </c>
      <c r="L971" s="6" t="n">
        <v>1429.12</v>
      </c>
      <c r="M971" s="6" t="n">
        <v>1429.12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envase de 2.5 litros · acabado: mate</t>
        </is>
      </c>
    </row>
    <row r="972">
      <c r="A972" s="3" t="inlineStr">
        <is>
          <t>MAT-12-024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funda de 1 libra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211.9</v>
      </c>
      <c r="L972" s="6" t="n">
        <v>211.9</v>
      </c>
      <c r="M972" s="6" t="n">
        <v>211.9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funda de 1 libra · acabado: mate</t>
        </is>
      </c>
    </row>
    <row r="973">
      <c r="A973" s="3" t="inlineStr">
        <is>
          <t>MAT-12-025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11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1118.66</v>
      </c>
      <c r="L973" s="6" t="n">
        <v>1118.66</v>
      </c>
      <c r="M973" s="6" t="n">
        <v>1118.66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11 libras · acabado: mate</t>
        </is>
      </c>
    </row>
    <row r="974">
      <c r="A974" s="3" t="inlineStr">
        <is>
          <t>MAT-12-026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2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335.1</v>
      </c>
      <c r="L974" s="6" t="n">
        <v>335.1</v>
      </c>
      <c r="M974" s="6" t="n">
        <v>335.1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2 libras · acabado: mate</t>
        </is>
      </c>
    </row>
    <row r="975">
      <c r="A975" s="3" t="inlineStr">
        <is>
          <t>MAT-12-027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exterior, cubeta de 5 galones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4072.16</v>
      </c>
      <c r="L975" s="6" t="n">
        <v>4072.16</v>
      </c>
      <c r="M975" s="6" t="n">
        <v>4072.16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para exterior · envase: cubeta de 5 galones · acabado: satinado</t>
        </is>
      </c>
    </row>
    <row r="976">
      <c r="A976" s="3" t="inlineStr">
        <is>
          <t>MAT-12-028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funda de 40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2157.6</v>
      </c>
      <c r="L976" s="6" t="n">
        <v>2157.6</v>
      </c>
      <c r="M976" s="6" t="n">
        <v>2157.6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funda de 40 libras · acabado: satinado</t>
        </is>
      </c>
    </row>
    <row r="977">
      <c r="A977" s="3" t="inlineStr">
        <is>
          <t>MAT-12-029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cubeta de 5 galones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2</v>
      </c>
      <c r="K977" s="6" t="n">
        <v>1401.92</v>
      </c>
      <c r="L977" s="6" t="n">
        <v>1221.74</v>
      </c>
      <c r="M977" s="6" t="n">
        <v>4316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 · Tonos y Colores</t>
        </is>
      </c>
      <c r="AF977" s="4" t="inlineStr">
        <is>
          <t>tipo: masilla para sheetrock · envase: cubeta de 5 galones · acabado: mate</t>
        </is>
      </c>
    </row>
    <row r="978">
      <c r="A978" s="3" t="inlineStr">
        <is>
          <t>MAT-12-030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14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1198</v>
      </c>
      <c r="L978" s="6" t="n">
        <v>1198</v>
      </c>
      <c r="M978" s="6" t="n">
        <v>1198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14 libras</t>
        </is>
      </c>
    </row>
    <row r="979">
      <c r="A979" s="3" t="inlineStr">
        <is>
          <t>MAT-12-031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</v>
      </c>
      <c r="L979" s="6" t="n">
        <v>155</v>
      </c>
      <c r="M979" s="6" t="n">
        <v>155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2 libras</t>
        </is>
      </c>
    </row>
    <row r="980">
      <c r="A980" s="3" t="inlineStr">
        <is>
          <t>MAT-12-032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44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982</v>
      </c>
      <c r="L980" s="6" t="n">
        <v>982</v>
      </c>
      <c r="M980" s="6" t="n">
        <v>982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44 libras</t>
        </is>
      </c>
    </row>
    <row r="981">
      <c r="A981" s="3" t="inlineStr">
        <is>
          <t>MAT-12-033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55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2885</v>
      </c>
      <c r="L981" s="6" t="n">
        <v>2885</v>
      </c>
      <c r="M981" s="6" t="n">
        <v>2885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55 libras</t>
        </is>
      </c>
    </row>
    <row r="982">
      <c r="A982" s="3" t="inlineStr">
        <is>
          <t>MAT-12-034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62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1670</v>
      </c>
      <c r="L982" s="6" t="n">
        <v>1670</v>
      </c>
      <c r="M982" s="6" t="n">
        <v>1670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62 libras</t>
        </is>
      </c>
    </row>
    <row r="983">
      <c r="A983" s="3" t="inlineStr">
        <is>
          <t>MAT-12-035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64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1828</v>
      </c>
      <c r="L983" s="6" t="n">
        <v>1828</v>
      </c>
      <c r="M983" s="6" t="n">
        <v>1828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64 libras</t>
        </is>
      </c>
    </row>
    <row r="984">
      <c r="A984" s="3" t="inlineStr">
        <is>
          <t>MAT-12-036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para piscina, galón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3326.41</v>
      </c>
      <c r="L984" s="6" t="n">
        <v>3326.41</v>
      </c>
      <c r="M984" s="6" t="n">
        <v>3326.41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Tonos y Colores</t>
        </is>
      </c>
      <c r="AF984" s="4" t="inlineStr">
        <is>
          <t>tipo: para piscina · envase: galón · acabado: mate</t>
        </is>
      </c>
    </row>
    <row r="985">
      <c r="A985" s="3" t="inlineStr">
        <is>
          <t>MAT-12-037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Primer sellador, cubeta de 5 galones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5112.5</v>
      </c>
      <c r="L985" s="6" t="n">
        <v>3260</v>
      </c>
      <c r="M985" s="6" t="n">
        <v>8900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 · Ferremix (Grupo Alterra) · Tonos y Colores</t>
        </is>
      </c>
      <c r="AF985" s="4" t="inlineStr">
        <is>
          <t>tipo: primer · envase: cubeta de 5 galones · acabado: mate</t>
        </is>
      </c>
    </row>
    <row r="986">
      <c r="A986" s="3" t="inlineStr">
        <is>
          <t>MAT-12-038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Estuco para interiores, funda de 35 libras</t>
        </is>
      </c>
      <c r="E986" s="4" t="inlineStr"/>
      <c r="F986" s="3" t="inlineStr">
        <is>
          <t>funda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nacional</t>
        </is>
      </c>
      <c r="J986" s="5" t="n">
        <v>2</v>
      </c>
      <c r="K986" s="6" t="n">
        <v>510.56</v>
      </c>
      <c r="L986" s="6" t="n">
        <v>331.11</v>
      </c>
      <c r="M986" s="6" t="n">
        <v>690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 · InnovaCentro (La Innovación)</t>
        </is>
      </c>
    </row>
    <row r="987">
      <c r="A987" s="3" t="inlineStr">
        <is>
          <t>MAT-13-011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Angular para plafón, 10'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98</v>
      </c>
      <c r="L987" s="6" t="n">
        <v>98</v>
      </c>
      <c r="M987" s="6" t="n">
        <v>98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10'</t>
        </is>
      </c>
    </row>
    <row r="988">
      <c r="A988" s="3" t="inlineStr">
        <is>
          <t>MAT-13-012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Cartón piedra, 4'X8' 3X2Mm 1/8"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495</v>
      </c>
      <c r="L988" s="6" t="n">
        <v>495</v>
      </c>
      <c r="M988" s="6" t="n">
        <v>495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1/8"</t>
        </is>
      </c>
      <c r="AD988" s="7" t="inlineStr">
        <is>
          <t>4'X8' 3X2Mm 1/8"</t>
        </is>
      </c>
    </row>
    <row r="989">
      <c r="A989" s="3" t="inlineStr">
        <is>
          <t>MAT-13-013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Cross tee para plafón, 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</v>
      </c>
      <c r="L989" s="6" t="n">
        <v>26</v>
      </c>
      <c r="M989" s="6" t="n">
        <v>26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2'</t>
        </is>
      </c>
    </row>
    <row r="990">
      <c r="A990" s="3" t="inlineStr">
        <is>
          <t>MAT-13-014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4'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56</v>
      </c>
      <c r="L990" s="6" t="n">
        <v>56</v>
      </c>
      <c r="M990" s="6" t="n">
        <v>56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4'</t>
        </is>
      </c>
    </row>
    <row r="991">
      <c r="A991" s="3" t="inlineStr">
        <is>
          <t>MAT-13-015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Durmiente para plafón, 2-1/2"X10 calibre 25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149</v>
      </c>
      <c r="L991" s="6" t="n">
        <v>149</v>
      </c>
      <c r="M991" s="6" t="n">
        <v>149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C991" s="7" t="inlineStr">
        <is>
          <t>25</t>
        </is>
      </c>
      <c r="AD991" s="7" t="inlineStr">
        <is>
          <t>2-1/2"X10</t>
        </is>
      </c>
    </row>
    <row r="992">
      <c r="A992" s="3" t="inlineStr">
        <is>
          <t>MAT-13-016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Main tee para plafón, 12'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186</v>
      </c>
      <c r="L992" s="6" t="n">
        <v>186</v>
      </c>
      <c r="M992" s="6" t="n">
        <v>186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12'</t>
        </is>
      </c>
    </row>
    <row r="993">
      <c r="A993" s="3" t="inlineStr">
        <is>
          <t>MAT-13-017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Paral para plafón, 2-1/2"X10 calibre 25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185</v>
      </c>
      <c r="L993" s="6" t="n">
        <v>185</v>
      </c>
      <c r="M993" s="6" t="n">
        <v>185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C993" s="7" t="inlineStr">
        <is>
          <t>25</t>
        </is>
      </c>
      <c r="AD993" s="7" t="inlineStr">
        <is>
          <t>2-1/2"X10</t>
        </is>
      </c>
    </row>
    <row r="994">
      <c r="A994" s="3" t="inlineStr">
        <is>
          <t>MAT-13-018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Plafón, 2X4'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295</v>
      </c>
      <c r="L994" s="6" t="n">
        <v>295</v>
      </c>
      <c r="M994" s="6" t="n">
        <v>295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D994" s="7" t="inlineStr">
        <is>
          <t>2X4'</t>
        </is>
      </c>
    </row>
    <row r="995">
      <c r="A995" s="3" t="inlineStr">
        <is>
          <t>MAT-13-019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 blanco, 250X5800X7MM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375</v>
      </c>
      <c r="L995" s="6" t="n">
        <v>375</v>
      </c>
      <c r="M995" s="6" t="n">
        <v>375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250X5800X7MM</t>
        </is>
      </c>
      <c r="AE995" s="7" t="inlineStr">
        <is>
          <t>blanco</t>
        </is>
      </c>
    </row>
    <row r="996">
      <c r="A996" s="3" t="inlineStr">
        <is>
          <t>MAT-13-020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2X4'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202</v>
      </c>
      <c r="L996" s="6" t="n">
        <v>202</v>
      </c>
      <c r="M996" s="6" t="n">
        <v>202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2X4'</t>
        </is>
      </c>
      <c r="AE996" s="7" t="inlineStr">
        <is>
          <t>blanco</t>
        </is>
      </c>
    </row>
    <row r="997">
      <c r="A997" s="3" t="inlineStr">
        <is>
          <t>MAT-16-003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Kit de videovigilancia 4 cámaras bullet 2 MP</t>
        </is>
      </c>
      <c r="E997" s="4" t="inlineStr">
        <is>
          <t>Incluye grabador y disco</t>
        </is>
      </c>
      <c r="F997" s="3" t="inlineStr">
        <is>
          <t>juego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18221.03</v>
      </c>
      <c r="L997" s="6" t="n">
        <v>18221.03</v>
      </c>
      <c r="M997" s="6" t="n">
        <v>18221.03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  <c r="W997" s="7" t="n">
        <v>2</v>
      </c>
      <c r="AF997" s="4" t="inlineStr">
        <is>
          <t>Cámaras: 4</t>
        </is>
      </c>
    </row>
    <row r="998">
      <c r="A998" s="3" t="inlineStr">
        <is>
          <t>MAT-16-004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domo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17133.95</v>
      </c>
      <c r="L998" s="6" t="n">
        <v>17133.95</v>
      </c>
      <c r="M998" s="6" t="n">
        <v>17133.95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domo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MAT-16-005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3342.09</v>
      </c>
      <c r="L999" s="6" t="n">
        <v>2548.17</v>
      </c>
      <c r="M999" s="6" t="n">
        <v>4136.01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MAT-16-006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2588.72</v>
      </c>
      <c r="L1000" s="6" t="n">
        <v>2191.4</v>
      </c>
      <c r="M1000" s="6" t="n">
        <v>5547.25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</row>
    <row r="1001">
      <c r="A1001" s="3" t="inlineStr">
        <is>
          <t>MAT-16-007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2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4606.9</v>
      </c>
      <c r="L1001" s="6" t="n">
        <v>1784.16</v>
      </c>
      <c r="M1001" s="6" t="n">
        <v>8801.58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2</v>
      </c>
      <c r="AF1001" s="4" t="inlineStr">
        <is>
          <t>Alcance IR (m): 40</t>
        </is>
      </c>
    </row>
    <row r="1002">
      <c r="A1002" s="3" t="inlineStr">
        <is>
          <t>MAT-16-008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4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9064.129999999999</v>
      </c>
      <c r="L1002" s="6" t="n">
        <v>3087.35</v>
      </c>
      <c r="M1002" s="6" t="n">
        <v>17705.5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4</v>
      </c>
      <c r="X1002" s="7" t="inlineStr">
        <is>
          <t>IP</t>
        </is>
      </c>
      <c r="AF1002" s="4" t="inlineStr">
        <is>
          <t>Lente (mm): 2.8</t>
        </is>
      </c>
    </row>
    <row r="1003">
      <c r="A1003" s="3" t="inlineStr">
        <is>
          <t>MAT-16-009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5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5675.9</v>
      </c>
      <c r="L1003" s="6" t="n">
        <v>1394.08</v>
      </c>
      <c r="M1003" s="6" t="n">
        <v>12499.73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5</v>
      </c>
    </row>
    <row r="1004">
      <c r="A1004" s="3" t="inlineStr">
        <is>
          <t>MAT-16-010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8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13465.71</v>
      </c>
      <c r="L1004" s="6" t="n">
        <v>13465.71</v>
      </c>
      <c r="M1004" s="6" t="n">
        <v>13465.71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8</v>
      </c>
      <c r="X1004" s="7" t="inlineStr">
        <is>
          <t>IP</t>
        </is>
      </c>
    </row>
    <row r="1005">
      <c r="A1005" s="3" t="inlineStr">
        <is>
          <t>MAT-16-011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12992.17</v>
      </c>
      <c r="L1005" s="6" t="n">
        <v>12992.17</v>
      </c>
      <c r="M1005" s="6" t="n">
        <v>12992.17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X1005" s="7" t="inlineStr">
        <is>
          <t>IP</t>
        </is>
      </c>
    </row>
    <row r="1006">
      <c r="A1006" s="3" t="inlineStr">
        <is>
          <t>MAT-16-012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 2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3461.37</v>
      </c>
      <c r="L1006" s="6" t="n">
        <v>740.01</v>
      </c>
      <c r="M1006" s="6" t="n">
        <v>7322.31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W1006" s="7" t="n">
        <v>2</v>
      </c>
    </row>
    <row r="1007">
      <c r="A1007" s="3" t="inlineStr">
        <is>
          <t>MAT-16-013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4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5025.16</v>
      </c>
      <c r="L1007" s="6" t="n">
        <v>3695.82</v>
      </c>
      <c r="M1007" s="6" t="n">
        <v>8268.27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4</v>
      </c>
    </row>
    <row r="1008">
      <c r="A1008" s="3" t="inlineStr">
        <is>
          <t>MAT-16-014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5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6122.92</v>
      </c>
      <c r="L1008" s="6" t="n">
        <v>1368.3</v>
      </c>
      <c r="M1008" s="6" t="n">
        <v>24325.6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5</v>
      </c>
    </row>
    <row r="1009">
      <c r="A1009" s="3" t="inlineStr">
        <is>
          <t>MAT-16-015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ojo de pez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11020.47</v>
      </c>
      <c r="L1009" s="6" t="n">
        <v>11020.47</v>
      </c>
      <c r="M1009" s="6" t="n">
        <v>11020.47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ojo de pez</t>
        </is>
      </c>
      <c r="W1009" s="7" t="n">
        <v>5</v>
      </c>
      <c r="X1009" s="7" t="inlineStr">
        <is>
          <t>IP</t>
        </is>
      </c>
    </row>
    <row r="1010">
      <c r="A1010" s="3" t="inlineStr">
        <is>
          <t>MAT-16-016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PTZ 2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30360.56</v>
      </c>
      <c r="L1010" s="6" t="n">
        <v>30360.56</v>
      </c>
      <c r="M1010" s="6" t="n">
        <v>30360.56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PTZ</t>
        </is>
      </c>
      <c r="W1010" s="7" t="n">
        <v>2</v>
      </c>
      <c r="X1010" s="7" t="inlineStr">
        <is>
          <t>IP</t>
        </is>
      </c>
    </row>
    <row r="1011">
      <c r="A1011" s="3" t="inlineStr">
        <is>
          <t>MAT-16-017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3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19602.61</v>
      </c>
      <c r="L1011" s="6" t="n">
        <v>19602.61</v>
      </c>
      <c r="M1011" s="6" t="n">
        <v>19602.61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3</v>
      </c>
    </row>
    <row r="1012">
      <c r="A1012" s="3" t="inlineStr">
        <is>
          <t>MAT-16-018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turret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3614.58</v>
      </c>
      <c r="L1012" s="6" t="n">
        <v>2549.16</v>
      </c>
      <c r="M1012" s="6" t="n">
        <v>4679.99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turret</t>
        </is>
      </c>
      <c r="W1012" s="7" t="n">
        <v>2</v>
      </c>
      <c r="AF1012" s="4" t="inlineStr">
        <is>
          <t>Lente (mm): 2.8</t>
        </is>
      </c>
    </row>
    <row r="1013">
      <c r="A1013" s="3" t="inlineStr">
        <is>
          <t>MAT-16-019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3073.06</v>
      </c>
      <c r="L1013" s="6" t="n">
        <v>3073.06</v>
      </c>
      <c r="M1013" s="6" t="n">
        <v>3073.06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4</v>
      </c>
    </row>
    <row r="1014">
      <c r="A1014" s="3" t="inlineStr">
        <is>
          <t>MAT-16-020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4570.82</v>
      </c>
      <c r="L1014" s="6" t="n">
        <v>3714.5</v>
      </c>
      <c r="M1014" s="6" t="n">
        <v>5427.13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5</v>
      </c>
      <c r="AF1014" s="4" t="inlineStr">
        <is>
          <t>Lente (mm): 2.8</t>
        </is>
      </c>
    </row>
    <row r="1015">
      <c r="A1015" s="3" t="inlineStr">
        <is>
          <t>MAT-16-021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2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5421.17</v>
      </c>
      <c r="L1015" s="6" t="n">
        <v>1576.87</v>
      </c>
      <c r="M1015" s="6" t="n">
        <v>14863.32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W1015" s="7" t="n">
        <v>2</v>
      </c>
      <c r="AF1015" s="4" t="inlineStr">
        <is>
          <t>Lente (mm): 12</t>
        </is>
      </c>
    </row>
    <row r="1016">
      <c r="A1016" s="3" t="inlineStr">
        <is>
          <t>MAT-16-022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5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3414.74</v>
      </c>
      <c r="L1016" s="6" t="n">
        <v>3414.74</v>
      </c>
      <c r="M1016" s="6" t="n">
        <v>3414.74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5</v>
      </c>
      <c r="X1016" s="7" t="inlineStr">
        <is>
          <t>IP</t>
        </is>
      </c>
    </row>
    <row r="1017">
      <c r="A1017" s="3" t="inlineStr">
        <is>
          <t>MAT-16-023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DVR 16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18426.33</v>
      </c>
      <c r="L1017" s="6" t="n">
        <v>18426.33</v>
      </c>
      <c r="M1017" s="6" t="n">
        <v>18426.33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DVR</t>
        </is>
      </c>
      <c r="Y1017" s="7" t="n">
        <v>16</v>
      </c>
    </row>
    <row r="1018">
      <c r="A1018" s="3" t="inlineStr">
        <is>
          <t>MAT-16-024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7057.8</v>
      </c>
      <c r="L1018" s="6" t="n">
        <v>6677.44</v>
      </c>
      <c r="M1018" s="6" t="n">
        <v>7438.16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4</v>
      </c>
    </row>
    <row r="1019">
      <c r="A1019" s="3" t="inlineStr">
        <is>
          <t>MAT-16-025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NVR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17077.39</v>
      </c>
      <c r="L1019" s="6" t="n">
        <v>17077.39</v>
      </c>
      <c r="M1019" s="6" t="n">
        <v>17077.39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NVR</t>
        </is>
      </c>
      <c r="Y1019" s="7" t="n">
        <v>16</v>
      </c>
    </row>
    <row r="1020">
      <c r="A1020" s="3" t="inlineStr">
        <is>
          <t>MAT-16-026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32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20990.22</v>
      </c>
      <c r="L1020" s="6" t="n">
        <v>20990.22</v>
      </c>
      <c r="M1020" s="6" t="n">
        <v>20990.22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32</v>
      </c>
    </row>
    <row r="1021">
      <c r="A1021" s="3" t="inlineStr">
        <is>
          <t>MAT-16-027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64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126684.93</v>
      </c>
      <c r="L1021" s="6" t="n">
        <v>126684.93</v>
      </c>
      <c r="M1021" s="6" t="n">
        <v>126684.93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64</v>
      </c>
    </row>
    <row r="1022">
      <c r="A1022" s="3" t="inlineStr">
        <is>
          <t>MAT-16-028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XVR 16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6079.41</v>
      </c>
      <c r="L1022" s="6" t="n">
        <v>6079.41</v>
      </c>
      <c r="M1022" s="6" t="n">
        <v>6079.41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XVR</t>
        </is>
      </c>
      <c r="Y1022" s="7" t="n">
        <v>16</v>
      </c>
    </row>
    <row r="1023">
      <c r="A1023" s="3" t="inlineStr">
        <is>
          <t>MAT-16-029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Disco duro para videovigilancia 1 TB</t>
        </is>
      </c>
      <c r="E1023" s="4" t="inlineStr">
        <is>
          <t>Escritura 24/7 · uno de escritorio no aguanta</t>
        </is>
      </c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7633.17</v>
      </c>
      <c r="L1023" s="6" t="n">
        <v>7633.17</v>
      </c>
      <c r="M1023" s="6" t="n">
        <v>7633.17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Capacidad (TB): 1</t>
        </is>
      </c>
    </row>
    <row r="1024">
      <c r="A1024" s="3" t="inlineStr">
        <is>
          <t>MAT-16-030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8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22243.38</v>
      </c>
      <c r="L1024" s="6" t="n">
        <v>22243.38</v>
      </c>
      <c r="M1024" s="6" t="n">
        <v>22243.38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8</t>
        </is>
      </c>
    </row>
    <row r="1025">
      <c r="A1025" s="3" t="inlineStr">
        <is>
          <t>MAT-16-031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5019.51</v>
      </c>
      <c r="L1025" s="6" t="n">
        <v>2976.42</v>
      </c>
      <c r="M1025" s="6" t="n">
        <v>7129.26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MAT-16-032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3.5"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4362.91</v>
      </c>
      <c r="L1026" s="6" t="n">
        <v>4362.91</v>
      </c>
      <c r="M1026" s="6" t="n">
        <v>4362.91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3.5</t>
        </is>
      </c>
    </row>
    <row r="1027">
      <c r="A1027" s="3" t="inlineStr">
        <is>
          <t>MAT-16-033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32"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15349.99</v>
      </c>
      <c r="L1027" s="6" t="n">
        <v>15349.99</v>
      </c>
      <c r="M1027" s="6" t="n">
        <v>15349.99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32</t>
        </is>
      </c>
    </row>
    <row r="1028">
      <c r="A1028" s="3" t="inlineStr">
        <is>
          <t>MAT-16-034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4"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2707.65</v>
      </c>
      <c r="L1028" s="6" t="n">
        <v>2707.65</v>
      </c>
      <c r="M1028" s="6" t="n">
        <v>2707.65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4</t>
        </is>
      </c>
    </row>
    <row r="1029">
      <c r="A1029" s="3" t="inlineStr">
        <is>
          <t>MAT-16-035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7"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7823.52</v>
      </c>
      <c r="L1029" s="6" t="n">
        <v>5570.12</v>
      </c>
      <c r="M1029" s="6" t="n">
        <v>10076.91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7</t>
        </is>
      </c>
    </row>
    <row r="1030">
      <c r="A1030" s="3" t="inlineStr">
        <is>
          <t>MAT-16-036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Soporte o caja para cámara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1012.91</v>
      </c>
      <c r="L1030" s="6" t="n">
        <v>1012.91</v>
      </c>
      <c r="M1030" s="6" t="n">
        <v>1012.91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MAT-16-037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Video balun</t>
        </is>
      </c>
      <c r="E1031" s="4" t="inlineStr"/>
      <c r="F1031" s="3" t="inlineStr">
        <is>
          <t>unidad</t>
        </is>
      </c>
      <c r="G1031" s="3" t="inlineStr">
        <is>
          <t>Instalaciones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241.33</v>
      </c>
      <c r="L1031" s="6" t="n">
        <v>231.08</v>
      </c>
      <c r="M1031" s="6" t="n">
        <v>251.58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MAT-18-006</t>
        </is>
      </c>
      <c r="B1032" s="3" t="inlineStr">
        <is>
          <t>Materiales</t>
        </is>
      </c>
      <c r="C1032" s="3" t="inlineStr">
        <is>
          <t>Exteriores y paisajismo</t>
        </is>
      </c>
      <c r="D1032" s="4" t="inlineStr">
        <is>
          <t>Asfalto en frío, 25 kg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1695</v>
      </c>
      <c r="L1032" s="6" t="n">
        <v>1695</v>
      </c>
      <c r="M1032" s="6" t="n">
        <v>1695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InnovaCentro (La Innovación)</t>
        </is>
      </c>
      <c r="AF1032" s="4" t="inlineStr">
        <is>
          <t>Peso (kg): 25</t>
        </is>
      </c>
    </row>
    <row r="1033">
      <c r="A1033" s="3" t="inlineStr">
        <is>
          <t>MAT-19-001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3/4" x 3/4"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262.29</v>
      </c>
      <c r="L1033" s="6" t="n">
        <v>262.29</v>
      </c>
      <c r="M1033" s="6" t="n">
        <v>262.29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MAT-19-002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347.73</v>
      </c>
      <c r="L1034" s="6" t="n">
        <v>321.76</v>
      </c>
      <c r="M1034" s="6" t="n">
        <v>373.71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MAT-19-003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1" x 1"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383.29</v>
      </c>
      <c r="L1035" s="6" t="n">
        <v>355.58</v>
      </c>
      <c r="M1035" s="6" t="n">
        <v>410.99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MAT-19-004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1/4" x 1 1/4"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510.43</v>
      </c>
      <c r="L1036" s="6" t="n">
        <v>510.43</v>
      </c>
      <c r="M1036" s="6" t="n">
        <v>510.43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MAT-19-005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556.02</v>
      </c>
      <c r="L1037" s="6" t="n">
        <v>556.02</v>
      </c>
      <c r="M1037" s="6" t="n">
        <v>556.02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MAT-19-006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1/2" x 1 1/2" x 20 pies, pared 1.2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584.58</v>
      </c>
      <c r="L1038" s="6" t="n">
        <v>542.15</v>
      </c>
      <c r="M1038" s="6" t="n">
        <v>627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MAT-19-007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717.05</v>
      </c>
      <c r="L1039" s="6" t="n">
        <v>647.03</v>
      </c>
      <c r="M1039" s="6" t="n">
        <v>787.0599999999999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MAT-19-008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2" x 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940.63</v>
      </c>
      <c r="L1040" s="6" t="n">
        <v>867.64</v>
      </c>
      <c r="M1040" s="6" t="n">
        <v>1013.62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MAT-19-009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3" x 3"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1472.93</v>
      </c>
      <c r="L1041" s="6" t="n">
        <v>1319.81</v>
      </c>
      <c r="M1041" s="6" t="n">
        <v>1626.04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MAT-19-010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3/4" x 3/4"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316.11</v>
      </c>
      <c r="L1042" s="6" t="n">
        <v>316.11</v>
      </c>
      <c r="M1042" s="6" t="n">
        <v>316.11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MAT-19-011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1" x 1"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467.93</v>
      </c>
      <c r="L1043" s="6" t="n">
        <v>423.74</v>
      </c>
      <c r="M1043" s="6" t="n">
        <v>512.12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MAT-19-012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600.86</v>
      </c>
      <c r="L1044" s="6" t="n">
        <v>539.74</v>
      </c>
      <c r="M1044" s="6" t="n">
        <v>661.98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MAT-19-013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 1/4" x 1 1/4" x 20 pies, pared 1.5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712.04</v>
      </c>
      <c r="L1045" s="6" t="n">
        <v>712.04</v>
      </c>
      <c r="M1045" s="6" t="n">
        <v>712.04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MAT-19-014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1/2" x 1 1/2" x 20 pies, pared 1.2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703.59</v>
      </c>
      <c r="L1046" s="6" t="n">
        <v>648.6799999999999</v>
      </c>
      <c r="M1046" s="6" t="n">
        <v>758.5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MAT-19-015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885.17</v>
      </c>
      <c r="L1047" s="6" t="n">
        <v>814.53</v>
      </c>
      <c r="M1047" s="6" t="n">
        <v>955.8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MAT-19-016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2" x 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1108.57</v>
      </c>
      <c r="L1048" s="6" t="n">
        <v>1108.57</v>
      </c>
      <c r="M1048" s="6" t="n">
        <v>1108.57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MAT-19-017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3" x 3" x 20 pies, pared 1.5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1872.3</v>
      </c>
      <c r="L1049" s="6" t="n">
        <v>1707.91</v>
      </c>
      <c r="M1049" s="6" t="n">
        <v>2036.68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MAT-19-018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3/4" x 1 1/2" x 20 pies, pared 1.2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402.51</v>
      </c>
      <c r="L1050" s="6" t="n">
        <v>402.51</v>
      </c>
      <c r="M1050" s="6" t="n">
        <v>402.51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MAT-19-019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472.19</v>
      </c>
      <c r="L1051" s="6" t="n">
        <v>472.19</v>
      </c>
      <c r="M1051" s="6" t="n">
        <v>472.19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MAT-19-020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1"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542.15</v>
      </c>
      <c r="L1052" s="6" t="n">
        <v>542.15</v>
      </c>
      <c r="M1052" s="6" t="n">
        <v>542.15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639.71</v>
      </c>
      <c r="L1053" s="6" t="n">
        <v>639.71</v>
      </c>
      <c r="M1053" s="6" t="n">
        <v>639.71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3"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1082.3</v>
      </c>
      <c r="L1054" s="6" t="n">
        <v>1082.3</v>
      </c>
      <c r="M1054" s="6" t="n">
        <v>1082.3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4"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1349.04</v>
      </c>
      <c r="L1055" s="6" t="n">
        <v>1349.04</v>
      </c>
      <c r="M1055" s="6" t="n">
        <v>1349.04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3" x 1 1/2"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973.59</v>
      </c>
      <c r="L1056" s="6" t="n">
        <v>973.59</v>
      </c>
      <c r="M1056" s="6" t="n">
        <v>973.59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3/4" x 1 1/2" x 20 pies, pared 1.2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492.8</v>
      </c>
      <c r="L1057" s="6" t="n">
        <v>492.8</v>
      </c>
      <c r="M1057" s="6" t="n">
        <v>492.8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1.5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626.88</v>
      </c>
      <c r="L1058" s="6" t="n">
        <v>626.88</v>
      </c>
      <c r="M1058" s="6" t="n">
        <v>626.88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1" x 20 pies, pared 1.2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646.73</v>
      </c>
      <c r="L1059" s="6" t="n">
        <v>646.73</v>
      </c>
      <c r="M1059" s="6" t="n">
        <v>646.73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812.22</v>
      </c>
      <c r="L1060" s="6" t="n">
        <v>812.22</v>
      </c>
      <c r="M1060" s="6" t="n">
        <v>812.22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3"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1400.9</v>
      </c>
      <c r="L1061" s="6" t="n">
        <v>1400.9</v>
      </c>
      <c r="M1061" s="6" t="n">
        <v>1400.9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4"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1695.85</v>
      </c>
      <c r="L1062" s="6" t="n">
        <v>1695.85</v>
      </c>
      <c r="M1062" s="6" t="n">
        <v>1695.85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3" x 1 1/2"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1275.97</v>
      </c>
      <c r="L1063" s="6" t="n">
        <v>1275.97</v>
      </c>
      <c r="M1063" s="6" t="n">
        <v>1275.97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1/2" x 20 pies, pared 2.77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620.21</v>
      </c>
      <c r="L1064" s="6" t="n">
        <v>620.21</v>
      </c>
      <c r="M1064" s="6" t="n">
        <v>620.21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3/4" x 20 pies, pared 2.87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826</v>
      </c>
      <c r="L1065" s="6" t="n">
        <v>826</v>
      </c>
      <c r="M1065" s="6" t="n">
        <v>826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1" x 20 pies, pared 3.38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1206.29</v>
      </c>
      <c r="L1066" s="6" t="n">
        <v>1206.29</v>
      </c>
      <c r="M1066" s="6" t="n">
        <v>1206.29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 1/4" x 20 pies, pared 3.56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1507.57</v>
      </c>
      <c r="L1067" s="6" t="n">
        <v>1507.57</v>
      </c>
      <c r="M1067" s="6" t="n">
        <v>1507.57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1/2" x 20 pies, pared 3.68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1952.51</v>
      </c>
      <c r="L1068" s="6" t="n">
        <v>1952.51</v>
      </c>
      <c r="M1068" s="6" t="n">
        <v>1952.51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2" x 20 pies, pared 3.91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2634.08</v>
      </c>
      <c r="L1069" s="6" t="n">
        <v>2634.08</v>
      </c>
      <c r="M1069" s="6" t="n">
        <v>2634.08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 1/2" x 20 pies</t>
        </is>
      </c>
      <c r="E1070" s="4" t="inlineStr">
        <is>
          <t>La ficha no declara la pared</t>
        </is>
      </c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4173.42</v>
      </c>
      <c r="L1070" s="6" t="n">
        <v>4173.42</v>
      </c>
      <c r="M1070" s="6" t="n">
        <v>4173.42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5029.28</v>
      </c>
      <c r="L1071" s="6" t="n">
        <v>5029.28</v>
      </c>
      <c r="M1071" s="6" t="n">
        <v>5029.28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8"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15250.64</v>
      </c>
      <c r="L1072" s="6" t="n">
        <v>15250.64</v>
      </c>
      <c r="M1072" s="6" t="n">
        <v>15250.64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6.35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11671.14</v>
      </c>
      <c r="L1073" s="6" t="n">
        <v>11671.14</v>
      </c>
      <c r="M1073" s="6" t="n">
        <v>11671.14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10" x 20 pies, pared 6.00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18313.02</v>
      </c>
      <c r="L1074" s="6" t="n">
        <v>18313.02</v>
      </c>
      <c r="M1074" s="6" t="n">
        <v>18313.02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14" x 20 pies, pared 6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27695.11</v>
      </c>
      <c r="L1075" s="6" t="n">
        <v>27695.11</v>
      </c>
      <c r="M1075" s="6" t="n">
        <v>27695.11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16" x 20 pies, pared 12.70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62026.36</v>
      </c>
      <c r="L1076" s="6" t="n">
        <v>62026.36</v>
      </c>
      <c r="M1076" s="6" t="n">
        <v>62026.36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Correa galvanizada tipo Z 6" x 1/16" x 20 pies</t>
        </is>
      </c>
      <c r="E1077" s="4" t="inlineStr"/>
      <c r="F1077" s="3" t="inlineStr">
        <is>
          <t>unidad</t>
        </is>
      </c>
      <c r="G1077" s="3" t="inlineStr">
        <is>
          <t>Techos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2658</v>
      </c>
      <c r="L1077" s="6" t="n">
        <v>2658</v>
      </c>
      <c r="M1077" s="6" t="n">
        <v>2658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8"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3039.2</v>
      </c>
      <c r="L1078" s="6" t="n">
        <v>3039.2</v>
      </c>
      <c r="M1078" s="6" t="n">
        <v>3039.2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MAT-20-001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3/4"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449.99</v>
      </c>
      <c r="L1079" s="6" t="n">
        <v>449.99</v>
      </c>
      <c r="M1079" s="6" t="n">
        <v>449.99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MAT-20-002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2</v>
      </c>
      <c r="K1080" s="6" t="n">
        <v>622.2</v>
      </c>
      <c r="L1080" s="6" t="n">
        <v>560</v>
      </c>
      <c r="M1080" s="6" t="n">
        <v>684.4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MC · Ferretería Ochoa (8A)</t>
        </is>
      </c>
    </row>
    <row r="1081">
      <c r="A1081" s="3" t="inlineStr">
        <is>
          <t>MAT-20-003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918.71</v>
      </c>
      <c r="L1081" s="6" t="n">
        <v>812.01</v>
      </c>
      <c r="M1081" s="6" t="n">
        <v>1025.42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MAT-20-004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1163.48</v>
      </c>
      <c r="L1082" s="6" t="n">
        <v>1163.48</v>
      </c>
      <c r="M1082" s="6" t="n">
        <v>1163.48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MAT-20-005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1/4"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781</v>
      </c>
      <c r="L1083" s="6" t="n">
        <v>781</v>
      </c>
      <c r="M1083" s="6" t="n">
        <v>781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MAT-20-006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1115</v>
      </c>
      <c r="L1084" s="6" t="n">
        <v>1036</v>
      </c>
      <c r="M1084" s="6" t="n">
        <v>1193.99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MAT-20-007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1344</v>
      </c>
      <c r="L1085" s="6" t="n">
        <v>1344</v>
      </c>
      <c r="M1085" s="6" t="n">
        <v>1344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MAT-20-008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1477.83</v>
      </c>
      <c r="L1086" s="6" t="n">
        <v>1260</v>
      </c>
      <c r="M1086" s="6" t="n">
        <v>1695.66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MAT-20-009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1820.82</v>
      </c>
      <c r="L1087" s="6" t="n">
        <v>1638.01</v>
      </c>
      <c r="M1087" s="6" t="n">
        <v>2003.64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MAT-20-010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1195.82</v>
      </c>
      <c r="L1088" s="6" t="n">
        <v>1155</v>
      </c>
      <c r="M1088" s="6" t="n">
        <v>1236.64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MAT-20-011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2016.89</v>
      </c>
      <c r="L1089" s="6" t="n">
        <v>1708</v>
      </c>
      <c r="M1089" s="6" t="n">
        <v>2325.78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MAT-20-012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2660.36</v>
      </c>
      <c r="L1090" s="6" t="n">
        <v>2324.69</v>
      </c>
      <c r="M1090" s="6" t="n">
        <v>2996.02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MAT-20-013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3290.01</v>
      </c>
      <c r="L1091" s="6" t="n">
        <v>3290.01</v>
      </c>
      <c r="M1091" s="6" t="n">
        <v>3290.01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MAT-20-014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2149</v>
      </c>
      <c r="L1092" s="6" t="n">
        <v>2149</v>
      </c>
      <c r="M1092" s="6" t="n">
        <v>2149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MAT-20-015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3053.96</v>
      </c>
      <c r="L1093" s="6" t="n">
        <v>2870</v>
      </c>
      <c r="M1093" s="6" t="n">
        <v>3237.92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MAT-20-016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4130</v>
      </c>
      <c r="L1094" s="6" t="n">
        <v>4130</v>
      </c>
      <c r="M1094" s="6" t="n">
        <v>4130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MAT-20-017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3559.93</v>
      </c>
      <c r="L1095" s="6" t="n">
        <v>3430</v>
      </c>
      <c r="M1095" s="6" t="n">
        <v>3689.86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MAT-20-018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5622.2</v>
      </c>
      <c r="L1096" s="6" t="n">
        <v>5622.2</v>
      </c>
      <c r="M1096" s="6" t="n">
        <v>5622.2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MAT-20-019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5189.41</v>
      </c>
      <c r="L1097" s="6" t="n">
        <v>4117.73</v>
      </c>
      <c r="M1097" s="6" t="n">
        <v>6261.08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MC · Ferretería Ochoa (8A)</t>
        </is>
      </c>
    </row>
    <row r="1098">
      <c r="A1098" s="3" t="inlineStr">
        <is>
          <t>MAT-20-020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1/2"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9995.309999999999</v>
      </c>
      <c r="L1098" s="6" t="n">
        <v>9995.309999999999</v>
      </c>
      <c r="M1098" s="6" t="n">
        <v>9995.309999999999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perforado, 1-1/2X1-1/2"X10'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425</v>
      </c>
      <c r="L1099" s="6" t="n">
        <v>425</v>
      </c>
      <c r="M1099" s="6" t="n">
        <v>425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AD1099" s="7" t="inlineStr">
        <is>
          <t>1-1/2X1-1/2"X10'</t>
        </is>
      </c>
    </row>
    <row r="1100">
      <c r="A1100" s="3" t="inlineStr">
        <is>
          <t>MAT-20-022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1-1/2X1-1/2"X8'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360</v>
      </c>
      <c r="L1100" s="6" t="n">
        <v>360</v>
      </c>
      <c r="M1100" s="6" t="n">
        <v>360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1-1/2X1-1/2"X8'</t>
        </is>
      </c>
    </row>
    <row r="1101">
      <c r="A1101" s="3" t="inlineStr">
        <is>
          <t>MAT-20-023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1/2"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141.64</v>
      </c>
      <c r="L1101" s="6" t="n">
        <v>141.64</v>
      </c>
      <c r="M1101" s="6" t="n">
        <v>141.64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249.92</v>
      </c>
      <c r="L1102" s="6" t="n">
        <v>249.92</v>
      </c>
      <c r="M1102" s="6" t="n">
        <v>249.92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331.8</v>
      </c>
      <c r="L1103" s="6" t="n">
        <v>331.8</v>
      </c>
      <c r="M1103" s="6" t="n">
        <v>331.8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3/4"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298.91</v>
      </c>
      <c r="L1104" s="6" t="n">
        <v>298.91</v>
      </c>
      <c r="M1104" s="6" t="n">
        <v>298.91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373</v>
      </c>
      <c r="L1105" s="6" t="n">
        <v>373</v>
      </c>
      <c r="M1105" s="6" t="n">
        <v>373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497.72</v>
      </c>
      <c r="L1106" s="6" t="n">
        <v>497.72</v>
      </c>
      <c r="M1106" s="6" t="n">
        <v>497.72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297.5</v>
      </c>
      <c r="L1107" s="6" t="n">
        <v>297.5</v>
      </c>
      <c r="M1107" s="6" t="n">
        <v>297.5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446.25</v>
      </c>
      <c r="L1108" s="6" t="n">
        <v>446.25</v>
      </c>
      <c r="M1108" s="6" t="n">
        <v>446.25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595</v>
      </c>
      <c r="L1109" s="6" t="n">
        <v>595</v>
      </c>
      <c r="M1109" s="6" t="n">
        <v>595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1/2"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1327.5</v>
      </c>
      <c r="L1110" s="6" t="n">
        <v>1327.5</v>
      </c>
      <c r="M1110" s="6" t="n">
        <v>1327.5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1/8"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415.35</v>
      </c>
      <c r="L1111" s="6" t="n">
        <v>415.35</v>
      </c>
      <c r="M1111" s="6" t="n">
        <v>415.35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3/16"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614.58</v>
      </c>
      <c r="L1112" s="6" t="n">
        <v>614.58</v>
      </c>
      <c r="M1112" s="6" t="n">
        <v>614.58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1/4"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745.5</v>
      </c>
      <c r="L1113" s="6" t="n">
        <v>745.5</v>
      </c>
      <c r="M1113" s="6" t="n">
        <v>745.5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3/8"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1115.73</v>
      </c>
      <c r="L1114" s="6" t="n">
        <v>1115.73</v>
      </c>
      <c r="M1114" s="6" t="n">
        <v>1115.73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451.7</v>
      </c>
      <c r="L1115" s="6" t="n">
        <v>451.7</v>
      </c>
      <c r="M1115" s="6" t="n">
        <v>451.7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3/16"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682.5</v>
      </c>
      <c r="L1116" s="6" t="n">
        <v>682.5</v>
      </c>
      <c r="M1116" s="6" t="n">
        <v>682.5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1/4"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892.5</v>
      </c>
      <c r="L1117" s="6" t="n">
        <v>892.5</v>
      </c>
      <c r="M1117" s="6" t="n">
        <v>892.5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3/8"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1338.75</v>
      </c>
      <c r="L1118" s="6" t="n">
        <v>1338.75</v>
      </c>
      <c r="M1118" s="6" t="n">
        <v>1338.75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1/2"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1991.13</v>
      </c>
      <c r="L1119" s="6" t="n">
        <v>1991.13</v>
      </c>
      <c r="M1119" s="6" t="n">
        <v>1991.13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595</v>
      </c>
      <c r="L1120" s="6" t="n">
        <v>595</v>
      </c>
      <c r="M1120" s="6" t="n">
        <v>595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3/16"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892.5</v>
      </c>
      <c r="L1121" s="6" t="n">
        <v>892.5</v>
      </c>
      <c r="M1121" s="6" t="n">
        <v>892.5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1189.99</v>
      </c>
      <c r="L1122" s="6" t="n">
        <v>1189.99</v>
      </c>
      <c r="M1122" s="6" t="n">
        <v>1189.99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1785</v>
      </c>
      <c r="L1123" s="6" t="n">
        <v>1785</v>
      </c>
      <c r="M1123" s="6" t="n">
        <v>1785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1/2"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2380</v>
      </c>
      <c r="L1124" s="6" t="n">
        <v>2380</v>
      </c>
      <c r="M1124" s="6" t="n">
        <v>2380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 1/2" x 1/4"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1487.5</v>
      </c>
      <c r="L1125" s="6" t="n">
        <v>1487.5</v>
      </c>
      <c r="M1125" s="6" t="n">
        <v>1487.5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3/8"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2231.6</v>
      </c>
      <c r="L1126" s="6" t="n">
        <v>2231.6</v>
      </c>
      <c r="M1126" s="6" t="n">
        <v>2231.6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3" x 1/4"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1785</v>
      </c>
      <c r="L1127" s="6" t="n">
        <v>1785</v>
      </c>
      <c r="M1127" s="6" t="n">
        <v>1785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3/8"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2677.62</v>
      </c>
      <c r="L1128" s="6" t="n">
        <v>2677.62</v>
      </c>
      <c r="M1128" s="6" t="n">
        <v>2677.62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4" x 1/4"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2380</v>
      </c>
      <c r="L1129" s="6" t="n">
        <v>2380</v>
      </c>
      <c r="M1129" s="6" t="n">
        <v>2380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3/8"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3982.5</v>
      </c>
      <c r="L1130" s="6" t="n">
        <v>3982.5</v>
      </c>
      <c r="M1130" s="6" t="n">
        <v>3982.5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acero inoxidable 2" x 1/8"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premium</t>
        </is>
      </c>
      <c r="I1131" s="3" t="inlineStr">
        <is>
          <t>importado</t>
        </is>
      </c>
      <c r="J1131" s="5" t="n">
        <v>1</v>
      </c>
      <c r="K1131" s="6" t="n">
        <v>1397.2</v>
      </c>
      <c r="L1131" s="6" t="n">
        <v>1397.2</v>
      </c>
      <c r="M1131" s="6" t="n">
        <v>1397.2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cuadrada de acero 7/16"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411.76</v>
      </c>
      <c r="L1132" s="6" t="n">
        <v>411.76</v>
      </c>
      <c r="M1132" s="6" t="n">
        <v>411.76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538.46</v>
      </c>
      <c r="L1133" s="6" t="n">
        <v>538.46</v>
      </c>
      <c r="M1133" s="6" t="n">
        <v>538.46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843.37</v>
      </c>
      <c r="L1134" s="6" t="n">
        <v>843.37</v>
      </c>
      <c r="M1134" s="6" t="n">
        <v>843.37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238.1</v>
      </c>
      <c r="L1135" s="6" t="n">
        <v>238.1</v>
      </c>
      <c r="M1135" s="6" t="n">
        <v>238.1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1/2"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421.68</v>
      </c>
      <c r="L1136" s="6" t="n">
        <v>421.68</v>
      </c>
      <c r="M1136" s="6" t="n">
        <v>421.68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5/8"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660.38</v>
      </c>
      <c r="L1137" s="6" t="n">
        <v>660.38</v>
      </c>
      <c r="M1137" s="6" t="n">
        <v>660.38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3/4"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945.95</v>
      </c>
      <c r="L1138" s="6" t="n">
        <v>945.95</v>
      </c>
      <c r="M1138" s="6" t="n">
        <v>945.95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1"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1666.67</v>
      </c>
      <c r="L1139" s="6" t="n">
        <v>1666.67</v>
      </c>
      <c r="M1139" s="6" t="n">
        <v>1666.67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torneada de acero 7/16"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426.77</v>
      </c>
      <c r="L1140" s="6" t="n">
        <v>426.77</v>
      </c>
      <c r="M1140" s="6" t="n">
        <v>426.77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1/2"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553.47</v>
      </c>
      <c r="L1141" s="6" t="n">
        <v>553.47</v>
      </c>
      <c r="M1141" s="6" t="n">
        <v>553.47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5/8"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858.38</v>
      </c>
      <c r="L1142" s="6" t="n">
        <v>858.38</v>
      </c>
      <c r="M1142" s="6" t="n">
        <v>858.38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MAT-21-001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1/32", plancha 4 x 8 pies</t>
        </is>
      </c>
      <c r="E1143" s="4" t="inlineStr">
        <is>
          <t>Peso 40.8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1113.61</v>
      </c>
      <c r="L1143" s="6" t="n">
        <v>1113.61</v>
      </c>
      <c r="M1143" s="6" t="n">
        <v>1113.61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MAT-21-002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1/22", plancha 4 x 8 pies</t>
        </is>
      </c>
      <c r="E1144" s="4" t="inlineStr">
        <is>
          <t>Peso 59.34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1497.04</v>
      </c>
      <c r="L1144" s="6" t="n">
        <v>1497.04</v>
      </c>
      <c r="M1144" s="6" t="n">
        <v>1497.04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MAT-21-003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1/16", plancha 4 x 10 pies</t>
        </is>
      </c>
      <c r="E1145" s="4" t="inlineStr">
        <is>
          <t>Peso 102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2938.54</v>
      </c>
      <c r="L1145" s="6" t="n">
        <v>2938.54</v>
      </c>
      <c r="M1145" s="6" t="n">
        <v>2938.54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MAT-21-004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8 pies</t>
        </is>
      </c>
      <c r="E1146" s="4" t="inlineStr">
        <is>
          <t>Peso 81.61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2224.54</v>
      </c>
      <c r="L1146" s="6" t="n">
        <v>2224.54</v>
      </c>
      <c r="M1146" s="6" t="n">
        <v>2224.54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MAT-21-005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3/32", plancha 4 x 8 pies</t>
        </is>
      </c>
      <c r="E1147" s="4" t="inlineStr">
        <is>
          <t>Peso 122.4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3132.92</v>
      </c>
      <c r="L1147" s="6" t="n">
        <v>3132.92</v>
      </c>
      <c r="M1147" s="6" t="n">
        <v>3132.92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MAT-21-006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1/8", plancha 4 x 10 pies</t>
        </is>
      </c>
      <c r="E1148" s="4" t="inlineStr">
        <is>
          <t>Peso 204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5622.83</v>
      </c>
      <c r="L1148" s="6" t="n">
        <v>5622.83</v>
      </c>
      <c r="M1148" s="6" t="n">
        <v>5622.83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MAT-21-007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8 pies</t>
        </is>
      </c>
      <c r="E1149" s="4" t="inlineStr">
        <is>
          <t>Peso 163.2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4104.8</v>
      </c>
      <c r="L1149" s="6" t="n">
        <v>4104.8</v>
      </c>
      <c r="M1149" s="6" t="n">
        <v>4104.8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MAT-21-008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5 x 10 pies</t>
        </is>
      </c>
      <c r="E1150" s="4" t="inlineStr">
        <is>
          <t>Peso 255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6428.83</v>
      </c>
      <c r="L1150" s="6" t="n">
        <v>6428.83</v>
      </c>
      <c r="M1150" s="6" t="n">
        <v>6428.83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MAT-21-009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3/16", plancha 4 x 8 pies</t>
        </is>
      </c>
      <c r="E1151" s="4" t="inlineStr">
        <is>
          <t>Peso 244.8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6678.8</v>
      </c>
      <c r="L1151" s="6" t="n">
        <v>6678.8</v>
      </c>
      <c r="M1151" s="6" t="n">
        <v>6678.8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MAT-21-010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5 x 10 pies</t>
        </is>
      </c>
      <c r="E1152" s="4" t="inlineStr">
        <is>
          <t>Peso 382.5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10410.48</v>
      </c>
      <c r="L1152" s="6" t="n">
        <v>10410.48</v>
      </c>
      <c r="M1152" s="6" t="n">
        <v>10410.48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MAT-21-011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6 x 10 pies</t>
        </is>
      </c>
      <c r="E1153" s="4" t="inlineStr">
        <is>
          <t>Peso 459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12392.84</v>
      </c>
      <c r="L1153" s="6" t="n">
        <v>12392.84</v>
      </c>
      <c r="M1153" s="6" t="n">
        <v>12392.84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MAT-21-012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1/4", plancha 4 x 8 pies</t>
        </is>
      </c>
      <c r="E1154" s="4" t="inlineStr">
        <is>
          <t>Peso 326.4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8276.58</v>
      </c>
      <c r="L1154" s="6" t="n">
        <v>8276.58</v>
      </c>
      <c r="M1154" s="6" t="n">
        <v>8276.58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MAT-21-013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6 x 10 pies</t>
        </is>
      </c>
      <c r="E1155" s="4" t="inlineStr">
        <is>
          <t>Peso 612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16280.34</v>
      </c>
      <c r="L1155" s="6" t="n">
        <v>16280.34</v>
      </c>
      <c r="M1155" s="6" t="n">
        <v>16280.34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MAT-21-014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3/8", plancha 4 x 8 pies</t>
        </is>
      </c>
      <c r="E1156" s="4" t="inlineStr">
        <is>
          <t>Peso 489.6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12665.86</v>
      </c>
      <c r="L1156" s="6" t="n">
        <v>12665.86</v>
      </c>
      <c r="M1156" s="6" t="n">
        <v>12665.86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MAT-21-015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5/8", plancha 4 x 8 pies</t>
        </is>
      </c>
      <c r="E1157" s="4" t="inlineStr">
        <is>
          <t>Peso 819.2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21001.52</v>
      </c>
      <c r="L1157" s="6" t="n">
        <v>21001.52</v>
      </c>
      <c r="M1157" s="6" t="n">
        <v>21001.52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MAT-21-016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1", plancha 4 x 8 pies</t>
        </is>
      </c>
      <c r="E1158" s="4" t="inlineStr">
        <is>
          <t>Peso 1305.6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37319.49</v>
      </c>
      <c r="L1158" s="6" t="n">
        <v>37319.49</v>
      </c>
      <c r="M1158" s="6" t="n">
        <v>37319.49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MAT-21-017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3/32", plancha 4 x 8 pies</t>
        </is>
      </c>
      <c r="E1159" s="4" t="inlineStr">
        <is>
          <t>Peso 133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3253.65</v>
      </c>
      <c r="L1159" s="6" t="n">
        <v>3253.65</v>
      </c>
      <c r="M1159" s="6" t="n">
        <v>3253.65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MAT-21-018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1/8", plancha 4 x 8 pies</t>
        </is>
      </c>
      <c r="E1160" s="4" t="inlineStr">
        <is>
          <t>Peso 186.5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4279.86</v>
      </c>
      <c r="L1160" s="6" t="n">
        <v>4279.86</v>
      </c>
      <c r="M1160" s="6" t="n">
        <v>4279.86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MAT-21-019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3/16", plancha 4 x 8 pies</t>
        </is>
      </c>
      <c r="E1161" s="4" t="inlineStr">
        <is>
          <t>Peso 244.8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6433.47</v>
      </c>
      <c r="L1161" s="6" t="n">
        <v>6433.47</v>
      </c>
      <c r="M1161" s="6" t="n">
        <v>6433.47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MAT-21-020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25 lb</t>
        </is>
      </c>
      <c r="E1162" s="4" t="inlineStr">
        <is>
          <t>Calibre 26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825.17</v>
      </c>
      <c r="L1162" s="6" t="n">
        <v>825.17</v>
      </c>
      <c r="M1162" s="6" t="n">
        <v>825.17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32 lb</t>
        </is>
      </c>
      <c r="E1163" s="4" t="inlineStr">
        <is>
          <t>Calibre 24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952.1900000000001</v>
      </c>
      <c r="L1163" s="6" t="n">
        <v>952.1900000000001</v>
      </c>
      <c r="M1163" s="6" t="n">
        <v>952.1900000000001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44 lb</t>
        </is>
      </c>
      <c r="E1164" s="4" t="inlineStr">
        <is>
          <t>Calibre 22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1169.6</v>
      </c>
      <c r="L1164" s="6" t="n">
        <v>1169.6</v>
      </c>
      <c r="M1164" s="6" t="n">
        <v>1169.6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52 lb</t>
        </is>
      </c>
      <c r="E1165" s="4" t="inlineStr">
        <is>
          <t>Calibre 20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1551.37</v>
      </c>
      <c r="L1165" s="6" t="n">
        <v>1551.37</v>
      </c>
      <c r="M1165" s="6" t="n">
        <v>1551.37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83.75 lb</t>
        </is>
      </c>
      <c r="E1166" s="4" t="inlineStr">
        <is>
          <t>Calibre 16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2364.86</v>
      </c>
      <c r="L1166" s="6" t="n">
        <v>2364.86</v>
      </c>
      <c r="M1166" s="6" t="n">
        <v>2364.86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3/8",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2209.05</v>
      </c>
      <c r="L1167" s="6" t="n">
        <v>2209.05</v>
      </c>
      <c r="M1167" s="6" t="n">
        <v>2209.05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765.55</v>
      </c>
      <c r="L1168" s="6" t="n">
        <v>765.55</v>
      </c>
      <c r="M1168" s="6" t="n">
        <v>765.55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3/4",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850</v>
      </c>
      <c r="L1169" s="6" t="n">
        <v>850</v>
      </c>
      <c r="M1169" s="6" t="n">
        <v>850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1",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1080.47</v>
      </c>
      <c r="L1170" s="6" t="n">
        <v>1080.47</v>
      </c>
      <c r="M1170" s="6" t="n">
        <v>1080.47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 1/2",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939.35</v>
      </c>
      <c r="L1171" s="6" t="n">
        <v>939.35</v>
      </c>
      <c r="M1171" s="6" t="n">
        <v>939.35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MAT-22-001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3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5223.1</v>
      </c>
      <c r="L1172" s="6" t="n">
        <v>5223.1</v>
      </c>
      <c r="M1172" s="6" t="n">
        <v>5223.1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MAT-22-002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4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6740.23</v>
      </c>
      <c r="L1173" s="6" t="n">
        <v>6121.98</v>
      </c>
      <c r="M1173" s="6" t="n">
        <v>7358.48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MAT-22-003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6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10808.21</v>
      </c>
      <c r="L1174" s="6" t="n">
        <v>9867.16</v>
      </c>
      <c r="M1174" s="6" t="n">
        <v>11749.26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MAT-22-004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 revestida en PVC,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13223.83</v>
      </c>
      <c r="L1175" s="6" t="n">
        <v>11757.65</v>
      </c>
      <c r="M1175" s="6" t="n">
        <v>14690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 · InnovaCentro (La Innovación)</t>
        </is>
      </c>
    </row>
    <row r="1176">
      <c r="A1176" s="3" t="inlineStr">
        <is>
          <t>MAT-22-005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9, 8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14467.25</v>
      </c>
      <c r="L1176" s="6" t="n">
        <v>13273.54</v>
      </c>
      <c r="M1176" s="6" t="n">
        <v>15660.96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MAT-22-006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1 1/4" x 20 pies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3</v>
      </c>
      <c r="K1177" s="6" t="n">
        <v>711.54</v>
      </c>
      <c r="L1177" s="6" t="n">
        <v>527.0599999999999</v>
      </c>
      <c r="M1177" s="6" t="n">
        <v>730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 · InnovaCentro (La Innovación)</t>
        </is>
      </c>
    </row>
    <row r="1178">
      <c r="A1178" s="3" t="inlineStr">
        <is>
          <t>MAT-22-007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1/2" x 15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542.8</v>
      </c>
      <c r="L1178" s="6" t="n">
        <v>462.61</v>
      </c>
      <c r="M1178" s="6" t="n">
        <v>625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MAT-22-008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2" x 20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762.96</v>
      </c>
      <c r="L1179" s="6" t="n">
        <v>699.92</v>
      </c>
      <c r="M1179" s="6" t="n">
        <v>826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MAT-22-009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11, 3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4335.91</v>
      </c>
      <c r="L1180" s="6" t="n">
        <v>4335.91</v>
      </c>
      <c r="M1180" s="6" t="n">
        <v>4335.91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MAT-22-010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3</v>
      </c>
      <c r="K1181" s="6" t="n">
        <v>10250</v>
      </c>
      <c r="L1181" s="6" t="n">
        <v>8694.459999999999</v>
      </c>
      <c r="M1181" s="6" t="n">
        <v>10360.4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Ferretería Ochoa (8A) · InnovaCentro (La Innovación)</t>
        </is>
      </c>
    </row>
    <row r="1182">
      <c r="A1182" s="3" t="inlineStr">
        <is>
          <t>MAT-22-011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1.50 mm, rollo de 250 metros</t>
        </is>
      </c>
      <c r="E1182" s="4" t="inlineStr">
        <is>
          <t>La ficha lo declara calibre 16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2601.2</v>
      </c>
      <c r="L1182" s="6" t="n">
        <v>2601.2</v>
      </c>
      <c r="M1182" s="6" t="n">
        <v>2601.2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MAT-22-012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15,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2541.47</v>
      </c>
      <c r="L1183" s="6" t="n">
        <v>2541.47</v>
      </c>
      <c r="M1183" s="6" t="n">
        <v>2541.47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MAT-22-013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16, rollo de 110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2</v>
      </c>
      <c r="K1184" s="6" t="n">
        <v>904.5599999999999</v>
      </c>
      <c r="L1184" s="6" t="n">
        <v>845</v>
      </c>
      <c r="M1184" s="6" t="n">
        <v>964.11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 · InnovaCentro (La Innovación)</t>
        </is>
      </c>
    </row>
    <row r="1185">
      <c r="A1185" s="3" t="inlineStr">
        <is>
          <t>MAT-22-014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250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4</v>
      </c>
      <c r="K1185" s="6" t="n">
        <v>2696.5</v>
      </c>
      <c r="L1185" s="6" t="n">
        <v>1885</v>
      </c>
      <c r="M1185" s="6" t="n">
        <v>3785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 · Ferretería Ochoa (8A) · InnovaCentro (La Innovación) · Max Ferretería</t>
        </is>
      </c>
    </row>
    <row r="1186">
      <c r="A1186" s="3" t="inlineStr">
        <is>
          <t>MAT-22-015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17,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1933.36</v>
      </c>
      <c r="L1186" s="6" t="n">
        <v>1933.36</v>
      </c>
      <c r="M1186" s="6" t="n">
        <v>1933.36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MAT-22-016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16, retícula 1" x 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113.78</v>
      </c>
      <c r="L1187" s="6" t="n">
        <v>113.78</v>
      </c>
      <c r="M1187" s="6" t="n">
        <v>113.78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MAT-22-017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1/2" x 1/2",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192.26</v>
      </c>
      <c r="L1188" s="6" t="n">
        <v>192.26</v>
      </c>
      <c r="M1188" s="6" t="n">
        <v>192.26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MAT-22-018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1" x 1/2",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106.11</v>
      </c>
      <c r="L1189" s="6" t="n">
        <v>106.11</v>
      </c>
      <c r="M1189" s="6" t="n">
        <v>106.11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MAT-22-019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4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145.1</v>
      </c>
      <c r="L1190" s="6" t="n">
        <v>145.1</v>
      </c>
      <c r="M1190" s="6" t="n">
        <v>145.1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MAT-22-020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20, retícula 1" x 2",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37.54</v>
      </c>
      <c r="L1191" s="6" t="n">
        <v>37.54</v>
      </c>
      <c r="M1191" s="6" t="n">
        <v>37.54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MAT-22-021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21, retícula 3/8" x 3/8",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72.61</v>
      </c>
      <c r="L1192" s="6" t="n">
        <v>72.61</v>
      </c>
      <c r="M1192" s="6" t="n">
        <v>72.61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MAT-22-022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para gallinero calibre 19,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54.04</v>
      </c>
      <c r="L1193" s="6" t="n">
        <v>54.04</v>
      </c>
      <c r="M1193" s="6" t="n">
        <v>54.04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MAT-22-023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20,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46.53</v>
      </c>
      <c r="L1194" s="6" t="n">
        <v>46.53</v>
      </c>
      <c r="M1194" s="6" t="n">
        <v>46.53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MAT-22-024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Alambre de trinchera, 45 Mts</t>
        </is>
      </c>
      <c r="E1195" s="4" t="inlineStr"/>
      <c r="F1195" s="3" t="inlineStr">
        <is>
          <t>rollo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595</v>
      </c>
      <c r="L1195" s="6" t="n">
        <v>595</v>
      </c>
      <c r="M1195" s="6" t="n">
        <v>595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InnovaCentro (La Innovación)</t>
        </is>
      </c>
      <c r="AD1195" s="7" t="inlineStr">
        <is>
          <t>45 Mts</t>
        </is>
      </c>
    </row>
    <row r="1196">
      <c r="A1196" s="3" t="inlineStr">
        <is>
          <t>MAT-22-025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Protección de verja, 1mt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990</v>
      </c>
      <c r="L1196" s="6" t="n">
        <v>985</v>
      </c>
      <c r="M1196" s="6" t="n">
        <v>995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1mt</t>
        </is>
      </c>
    </row>
    <row r="1197">
      <c r="A1197" s="3" t="inlineStr">
        <is>
          <t>MAT-22-026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Abrazadera corta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28.52</v>
      </c>
      <c r="L1197" s="6" t="n">
        <v>16.91</v>
      </c>
      <c r="M1197" s="6" t="n">
        <v>40.12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MAT-22-027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pasante para malla ciclónica 1 1/4" x 1 1/2"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98</v>
      </c>
      <c r="L1198" s="6" t="n">
        <v>76.66</v>
      </c>
      <c r="M1198" s="6" t="n">
        <v>136.41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 · InnovaCentro (La Innovación)</t>
        </is>
      </c>
    </row>
    <row r="1199">
      <c r="A1199" s="3" t="inlineStr">
        <is>
          <t>MAT-22-028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tensora para malla ciclónica 1 1/4"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55.61</v>
      </c>
      <c r="L1199" s="6" t="n">
        <v>55.61</v>
      </c>
      <c r="M1199" s="6" t="n">
        <v>55.61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MAT-22-029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terminal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2</v>
      </c>
      <c r="K1200" s="6" t="n">
        <v>66.62</v>
      </c>
      <c r="L1200" s="6" t="n">
        <v>36.96</v>
      </c>
      <c r="M1200" s="6" t="n">
        <v>96.29000000000001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</t>
        </is>
      </c>
    </row>
    <row r="1201">
      <c r="A1201" s="3" t="inlineStr">
        <is>
          <t>MAT-22-030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Unión reforzada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60.03</v>
      </c>
      <c r="L1201" s="6" t="n">
        <v>60.03</v>
      </c>
      <c r="M1201" s="6" t="n">
        <v>60.03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MAT-22-031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Abrazadera corta para malla ciclónica 1 1/2"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24.66</v>
      </c>
      <c r="L1202" s="6" t="n">
        <v>19.14</v>
      </c>
      <c r="M1202" s="6" t="n">
        <v>30.17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</t>
        </is>
      </c>
    </row>
    <row r="1203">
      <c r="A1203" s="3" t="inlineStr">
        <is>
          <t>MAT-22-032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larga para malla ciclónica 1 1/2"</t>
        </is>
      </c>
      <c r="E1203" s="4" t="inlineStr">
        <is>
          <t>Sin tornillo · se compra aparte</t>
        </is>
      </c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39.91</v>
      </c>
      <c r="L1203" s="6" t="n">
        <v>28.77</v>
      </c>
      <c r="M1203" s="6" t="n">
        <v>46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 · InnovaCentro (La Innovación)</t>
        </is>
      </c>
    </row>
    <row r="1204">
      <c r="A1204" s="3" t="inlineStr">
        <is>
          <t>MAT-22-033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Brazo doble para malla ciclónica 1 1/2" x 1 1/4"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277</v>
      </c>
      <c r="L1204" s="6" t="n">
        <v>187.9</v>
      </c>
      <c r="M1204" s="6" t="n">
        <v>337.48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MAT-22-034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sencillo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168</v>
      </c>
      <c r="L1205" s="6" t="n">
        <v>124.76</v>
      </c>
      <c r="M1205" s="6" t="n">
        <v>257.24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MAT-22-035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pasante para malla ciclónica 1 1/2" x 1 1/2"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76.66</v>
      </c>
      <c r="L1206" s="6" t="n">
        <v>76.66</v>
      </c>
      <c r="M1206" s="6" t="n">
        <v>76.66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MAT-22-036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terminal para malla ciclónica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3</v>
      </c>
      <c r="K1207" s="6" t="n">
        <v>96.29000000000001</v>
      </c>
      <c r="L1207" s="6" t="n">
        <v>61.63</v>
      </c>
      <c r="M1207" s="6" t="n">
        <v>105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 · InnovaCentro (La Innovación)</t>
        </is>
      </c>
    </row>
    <row r="1208">
      <c r="A1208" s="3" t="inlineStr">
        <is>
          <t>MAT-22-037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33.79</v>
      </c>
      <c r="L1208" s="6" t="n">
        <v>21.04</v>
      </c>
      <c r="M1208" s="6" t="n">
        <v>46.54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MAT-22-038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34.26</v>
      </c>
      <c r="L1209" s="6" t="n">
        <v>20.38</v>
      </c>
      <c r="M1209" s="6" t="n">
        <v>48.14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MAT-22-039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sencillo para malla ciclónica 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252.96</v>
      </c>
      <c r="L1210" s="6" t="n">
        <v>187.9</v>
      </c>
      <c r="M1210" s="6" t="n">
        <v>318.01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MAT-22-040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doble para malla ciclónica 2" x 1 1/2"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355.33</v>
      </c>
      <c r="L1211" s="6" t="n">
        <v>337.48</v>
      </c>
      <c r="M1211" s="6" t="n">
        <v>373.18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MAT-22-041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77.70999999999999</v>
      </c>
      <c r="L1212" s="6" t="n">
        <v>51.11</v>
      </c>
      <c r="M1212" s="6" t="n">
        <v>104.31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MAT-22-042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Brazo para malla ciclónica 2 3/8" x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300.64</v>
      </c>
      <c r="L1213" s="6" t="n">
        <v>300.64</v>
      </c>
      <c r="M1213" s="6" t="n">
        <v>300.64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MAT-22-043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Copa terminal para malla ciclónica 3"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36.5</v>
      </c>
      <c r="L1214" s="6" t="n">
        <v>36.5</v>
      </c>
      <c r="M1214" s="6" t="n">
        <v>36.5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MAT-23-001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Tubo redondo de aluminio 3/8" x 19.20 pies</t>
        </is>
      </c>
      <c r="E1215" s="4" t="inlineStr">
        <is>
          <t>La ficha no declara la pared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299.9</v>
      </c>
      <c r="L1215" s="6" t="n">
        <v>299.9</v>
      </c>
      <c r="M1215" s="6" t="n">
        <v>299.9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MAT-23-002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1/2"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373.61</v>
      </c>
      <c r="L1216" s="6" t="n">
        <v>373.61</v>
      </c>
      <c r="M1216" s="6" t="n">
        <v>373.61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MAT-23-003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Planchuela de aluminio 1/2" x 1/8" x 19.20 pies</t>
        </is>
      </c>
      <c r="E1217" s="4" t="inlineStr"/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452.36</v>
      </c>
      <c r="L1217" s="6" t="n">
        <v>452.36</v>
      </c>
      <c r="M1217" s="6" t="n">
        <v>452.36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MAT-23-004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Angular de aluminio 1/2" x 1/2" x 19.20 pies</t>
        </is>
      </c>
      <c r="E1218" s="4" t="inlineStr">
        <is>
          <t>La ficha no declara el espesor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344.86</v>
      </c>
      <c r="L1218" s="6" t="n">
        <v>295</v>
      </c>
      <c r="M1218" s="6" t="n">
        <v>394.72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 · InnovaCentro (La Innovación)</t>
        </is>
      </c>
    </row>
    <row r="1219">
      <c r="A1219" s="3" t="inlineStr">
        <is>
          <t>MAT-23-005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Moldura U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377.71</v>
      </c>
      <c r="L1219" s="6" t="n">
        <v>377.71</v>
      </c>
      <c r="M1219" s="6" t="n">
        <v>377.71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MAT-23-006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5/8" x 5/8"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827.9</v>
      </c>
      <c r="L1220" s="6" t="n">
        <v>827.9</v>
      </c>
      <c r="M1220" s="6" t="n">
        <v>827.9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MAT-23-007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3/4"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772.42</v>
      </c>
      <c r="L1221" s="6" t="n">
        <v>772.42</v>
      </c>
      <c r="M1221" s="6" t="n">
        <v>772.42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MAT-23-008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3/4"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440.65</v>
      </c>
      <c r="L1222" s="6" t="n">
        <v>436.29</v>
      </c>
      <c r="M1222" s="6" t="n">
        <v>445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MAT-23-009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Tubo redondo de aluminio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957.33</v>
      </c>
      <c r="L1223" s="6" t="n">
        <v>957.33</v>
      </c>
      <c r="M1223" s="6" t="n">
        <v>957.33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MAT-23-010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Planchuela de aluminio 1" x 1/4" x 19.20 pies</t>
        </is>
      </c>
      <c r="E1224" s="4" t="inlineStr"/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1709.91</v>
      </c>
      <c r="L1224" s="6" t="n">
        <v>1709.91</v>
      </c>
      <c r="M1224" s="6" t="n">
        <v>1709.91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MAT-23-011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1" x 3/4"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690.79</v>
      </c>
      <c r="L1225" s="6" t="n">
        <v>626.5700000000001</v>
      </c>
      <c r="M1225" s="6" t="n">
        <v>755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MAT-23-012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Perfil de aluminio 1" x 1" x 19.20 pies</t>
        </is>
      </c>
      <c r="E1226" s="4" t="inlineStr">
        <is>
          <t>La ficha no declara la pared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1336.93</v>
      </c>
      <c r="L1226" s="6" t="n">
        <v>1336.93</v>
      </c>
      <c r="M1226" s="6" t="n">
        <v>1336.93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MAT-23-013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1 1/4"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2185.58</v>
      </c>
      <c r="L1227" s="6" t="n">
        <v>2185.58</v>
      </c>
      <c r="M1227" s="6" t="n">
        <v>2185.58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MAT-23-014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1/4" x 1 1/4"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1073.61</v>
      </c>
      <c r="L1228" s="6" t="n">
        <v>982.22</v>
      </c>
      <c r="M1228" s="6" t="n">
        <v>1165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MAT-23-015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Planchuela de aluminio 1 1/2" x 1/4" x 19.20 pies</t>
        </is>
      </c>
      <c r="E1229" s="4" t="inlineStr"/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2567.7</v>
      </c>
      <c r="L1229" s="6" t="n">
        <v>2567.7</v>
      </c>
      <c r="M1229" s="6" t="n">
        <v>2567.7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MAT-23-016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Moldura U de aluminio 1 1/2" x 3/4" x 19.20 pies</t>
        </is>
      </c>
      <c r="E1230" s="4" t="inlineStr">
        <is>
          <t>La ficha no declara el espesor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1117.37</v>
      </c>
      <c r="L1230" s="6" t="n">
        <v>1117.37</v>
      </c>
      <c r="M1230" s="6" t="n">
        <v>1117.37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MAT-23-017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 1/2" x 1 1/2"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2473.52</v>
      </c>
      <c r="L1231" s="6" t="n">
        <v>2473.52</v>
      </c>
      <c r="M1231" s="6" t="n">
        <v>2473.52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MAT-23-018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cuadrado de aluminio 1 1/2" x 1 1/2"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1701.73</v>
      </c>
      <c r="L1232" s="6" t="n">
        <v>1701.73</v>
      </c>
      <c r="M1232" s="6" t="n">
        <v>1701.73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MAT-23-019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2" x 1"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1846.63</v>
      </c>
      <c r="L1233" s="6" t="n">
        <v>1846.63</v>
      </c>
      <c r="M1233" s="6" t="n">
        <v>1846.63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MAT-23-020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2" x 2"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3334.76</v>
      </c>
      <c r="L1234" s="6" t="n">
        <v>3334.76</v>
      </c>
      <c r="M1234" s="6" t="n">
        <v>3334.76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MAT-23-021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3" x 3/16"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2695.59</v>
      </c>
      <c r="L1235" s="6" t="n">
        <v>2695.59</v>
      </c>
      <c r="M1235" s="6" t="n">
        <v>2695.59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MAT-23-022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3" x 1 1/2" x 19.20 pies</t>
        </is>
      </c>
      <c r="E1236" s="4" t="inlineStr">
        <is>
          <t>La ficha no declara la pared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3956.93</v>
      </c>
      <c r="L1236" s="6" t="n">
        <v>3956.93</v>
      </c>
      <c r="M1236" s="6" t="n">
        <v>3956.93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MAT-23-023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Planchuela de aluminio 4" x 1/8" x 19.20 pies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3464.55</v>
      </c>
      <c r="L1237" s="6" t="n">
        <v>3464.55</v>
      </c>
      <c r="M1237" s="6" t="n">
        <v>3464.55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MAT-23-024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rectangular de aluminio 4" x 1 3/4"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5142.65</v>
      </c>
      <c r="L1238" s="6" t="n">
        <v>5142.65</v>
      </c>
      <c r="M1238" s="6" t="n">
        <v>5142.65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MAT-23-025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1X1"X19'</t>
        </is>
      </c>
      <c r="E1239" s="4" t="inlineStr"/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750</v>
      </c>
      <c r="L1239" s="6" t="n">
        <v>750</v>
      </c>
      <c r="M1239" s="6" t="n">
        <v>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AD1239" s="7" t="inlineStr">
        <is>
          <t>1X1"X19'</t>
        </is>
      </c>
    </row>
    <row r="1240">
      <c r="A1240" s="3" t="inlineStr">
        <is>
          <t>MAT-23-026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3/4X1/2"X19'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398</v>
      </c>
      <c r="L1240" s="6" t="n">
        <v>398</v>
      </c>
      <c r="M1240" s="6" t="n">
        <v>398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3/4X1/2"X19'</t>
        </is>
      </c>
    </row>
    <row r="1241">
      <c r="A1241" s="3" t="inlineStr">
        <is>
          <t>MAT-24-001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una pieza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6</v>
      </c>
      <c r="K1241" s="6" t="n">
        <v>9860</v>
      </c>
      <c r="L1241" s="6" t="n">
        <v>4225</v>
      </c>
      <c r="M1241" s="6" t="n">
        <v>112642.82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Bellón · CerArte · Ferretería Cima · Ferretería Ochoa (8A) · InnovaCentro (La Innovación) · La Ibérica</t>
        </is>
      </c>
      <c r="AF1241" s="4" t="inlineStr">
        <is>
          <t>Largo (mm): 710 · Ancho (mm): 380 · Alto (mm): 750</t>
        </is>
      </c>
    </row>
    <row r="1242">
      <c r="A1242" s="3" t="inlineStr">
        <is>
          <t>MAT-24-002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infantil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11543.61</v>
      </c>
      <c r="L1242" s="6" t="n">
        <v>7490.66</v>
      </c>
      <c r="M1242" s="6" t="n">
        <v>13750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La Ibérica</t>
        </is>
      </c>
    </row>
    <row r="1243">
      <c r="A1243" s="3" t="inlineStr">
        <is>
          <t>MAT-24-004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de dos piezas</t>
        </is>
      </c>
      <c r="E1243" s="4" t="inlineStr">
        <is>
          <t>Tanque y basineta incluidos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8905.379999999999</v>
      </c>
      <c r="L1243" s="6" t="n">
        <v>5100</v>
      </c>
      <c r="M1243" s="6" t="n">
        <v>25810.28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Ferretería Cima</t>
        </is>
      </c>
    </row>
    <row r="1244">
      <c r="A1244" s="3" t="inlineStr">
        <is>
          <t>MAT-24-005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Tanque para inodoro de dos piezas</t>
        </is>
      </c>
      <c r="E1244" s="4" t="inlineStr">
        <is>
          <t>Sin basineta · se compra aparte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2</v>
      </c>
      <c r="K1244" s="6" t="n">
        <v>4198.79</v>
      </c>
      <c r="L1244" s="6" t="n">
        <v>586.47</v>
      </c>
      <c r="M1244" s="6" t="n">
        <v>18906.72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 · InnovaCentro (La Innovación)</t>
        </is>
      </c>
      <c r="R1244" s="7" t="inlineStr">
        <is>
          <t>redondo</t>
        </is>
      </c>
      <c r="AF1244" s="4" t="inlineStr">
        <is>
          <t>Largo (mm): 710 · Ancho (mm): 415 · Alto (mm): 800 · Descarga (L): 4.8</t>
        </is>
      </c>
    </row>
    <row r="1245">
      <c r="A1245" s="3" t="inlineStr">
        <is>
          <t>MAT-24-006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Basineta para inodoro de dos piezas</t>
        </is>
      </c>
      <c r="E1245" s="4" t="inlineStr">
        <is>
          <t>Sin tanque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5574.97</v>
      </c>
      <c r="L1245" s="6" t="n">
        <v>2129.12</v>
      </c>
      <c r="M1245" s="6" t="n">
        <v>31632.12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</t>
        </is>
      </c>
    </row>
    <row r="1246">
      <c r="A1246" s="3" t="inlineStr">
        <is>
          <t>MAT-24-007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Taza para fluxómetro</t>
        </is>
      </c>
      <c r="E1246" s="4" t="inlineStr">
        <is>
          <t>Sin tanque · el fluxómetro va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3</v>
      </c>
      <c r="K1246" s="6" t="n">
        <v>9091</v>
      </c>
      <c r="L1246" s="6" t="n">
        <v>3925</v>
      </c>
      <c r="M1246" s="6" t="n">
        <v>16838.01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InnovaCentro (La Innovación) · La Ibérica</t>
        </is>
      </c>
      <c r="R1246" s="7" t="inlineStr">
        <is>
          <t>elongado</t>
        </is>
      </c>
    </row>
    <row r="1247">
      <c r="A1247" s="3" t="inlineStr">
        <is>
          <t>MAT-24-008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Urinario de porcelana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5</v>
      </c>
      <c r="K1247" s="6" t="n">
        <v>9070.48</v>
      </c>
      <c r="L1247" s="6" t="n">
        <v>3265</v>
      </c>
      <c r="M1247" s="6" t="n">
        <v>30546.11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Bellón · CerArte · Ferretería Ochoa (8A) · InnovaCentro (La Innovación) · La Ibérica</t>
        </is>
      </c>
    </row>
    <row r="1248">
      <c r="A1248" s="3" t="inlineStr">
        <is>
          <t>MAT-24-009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Bidé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4</v>
      </c>
      <c r="K1248" s="6" t="n">
        <v>20490</v>
      </c>
      <c r="L1248" s="6" t="n">
        <v>3998</v>
      </c>
      <c r="M1248" s="6" t="n">
        <v>48499.99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CerArte · Ferretería Cima · InnovaCentro (La Innovación) · La Ibérica</t>
        </is>
      </c>
    </row>
    <row r="1249">
      <c r="A1249" s="3" t="inlineStr">
        <is>
          <t>MAT-24-010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Kit de instalación de inodoro</t>
        </is>
      </c>
      <c r="E1249" s="4" t="inlineStr"/>
      <c r="F1249" s="3" t="inlineStr">
        <is>
          <t>juego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1773</v>
      </c>
      <c r="L1249" s="6" t="n">
        <v>1773</v>
      </c>
      <c r="M1249" s="6" t="n">
        <v>1773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</t>
        </is>
      </c>
    </row>
    <row r="1250">
      <c r="A1250" s="3" t="inlineStr">
        <is>
          <t>MAT-25-001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3</v>
      </c>
      <c r="K1250" s="6" t="n">
        <v>8500</v>
      </c>
      <c r="L1250" s="6" t="n">
        <v>910</v>
      </c>
      <c r="M1250" s="6" t="n">
        <v>88600.00999999999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Ferremix (Grupo Alterra) · Ferretería Ochoa (8A) · La Ibérica</t>
        </is>
      </c>
      <c r="AF1250" s="4" t="inlineStr">
        <is>
          <t>Largo (mm): 810 · Ancho (mm): 460 · Alto (mm): 170</t>
        </is>
      </c>
    </row>
    <row r="1251">
      <c r="A1251" s="3" t="inlineStr">
        <is>
          <t>MAT-25-002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empotrar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5</v>
      </c>
      <c r="K1251" s="6" t="n">
        <v>3403.56</v>
      </c>
      <c r="L1251" s="6" t="n">
        <v>684.67</v>
      </c>
      <c r="M1251" s="6" t="n">
        <v>17160.88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Ochoa (8A) · InnovaCentro (La Innovación) · La Ibérica</t>
        </is>
      </c>
      <c r="S1251" s="7" t="inlineStr">
        <is>
          <t>empotrar</t>
        </is>
      </c>
      <c r="AF1251" s="4" t="inlineStr">
        <is>
          <t>Alto (mm): 175</t>
        </is>
      </c>
    </row>
    <row r="1252">
      <c r="A1252" s="3" t="inlineStr">
        <is>
          <t>MAT-25-003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exento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244189.99</v>
      </c>
      <c r="L1252" s="6" t="n">
        <v>218499.99</v>
      </c>
      <c r="M1252" s="6" t="n">
        <v>269879.99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CerArte</t>
        </is>
      </c>
      <c r="S1252" s="7" t="inlineStr">
        <is>
          <t>exento</t>
        </is>
      </c>
    </row>
    <row r="1253">
      <c r="A1253" s="3" t="inlineStr">
        <is>
          <t>MAT-25-005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pedestal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6</v>
      </c>
      <c r="K1253" s="6" t="n">
        <v>2676.3</v>
      </c>
      <c r="L1253" s="6" t="n">
        <v>216</v>
      </c>
      <c r="M1253" s="6" t="n">
        <v>79846.39999999999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Bellón · CerArte · Ferretería Cima · Ferretería Ochoa (8A) · InnovaCentro (La Innovación) · La Ibérica</t>
        </is>
      </c>
      <c r="S1253" s="7" t="inlineStr">
        <is>
          <t>pedestal</t>
        </is>
      </c>
      <c r="AF1253" s="4" t="inlineStr">
        <is>
          <t>Agujeros: 1 · Largo (mm): 310 · Alto (mm): 110</t>
        </is>
      </c>
    </row>
    <row r="1254">
      <c r="A1254" s="3" t="inlineStr">
        <is>
          <t>MAT-25-006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sobreponer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4140.13</v>
      </c>
      <c r="L1254" s="6" t="n">
        <v>1150</v>
      </c>
      <c r="M1254" s="6" t="n">
        <v>127140.01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sobreponer</t>
        </is>
      </c>
      <c r="AF1254" s="4" t="inlineStr">
        <is>
          <t>Agujeros: 1</t>
        </is>
      </c>
    </row>
    <row r="1255">
      <c r="A1255" s="3" t="inlineStr">
        <is>
          <t>MAT-25-007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Pedestal para lavamanos</t>
        </is>
      </c>
      <c r="E1255" s="4" t="inlineStr">
        <is>
          <t>Sin lavamanos · se compra aparte</t>
        </is>
      </c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2014.01</v>
      </c>
      <c r="L1255" s="6" t="n">
        <v>891.27</v>
      </c>
      <c r="M1255" s="6" t="n">
        <v>3334.17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Ferretería Ochoa (8A) · La Ibérica</t>
        </is>
      </c>
    </row>
    <row r="1256">
      <c r="A1256" s="3" t="inlineStr">
        <is>
          <t>MAT-25-008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Palometa para 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80.59</v>
      </c>
      <c r="L1256" s="6" t="n">
        <v>57.88</v>
      </c>
      <c r="M1256" s="6" t="n">
        <v>189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</t>
        </is>
      </c>
    </row>
    <row r="1257">
      <c r="A1257" s="3" t="inlineStr">
        <is>
          <t>MAT-25-009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Conector de desagüe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255.94</v>
      </c>
      <c r="L1257" s="6" t="n">
        <v>255.94</v>
      </c>
      <c r="M1257" s="6" t="n">
        <v>255.94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Ochoa (8A)</t>
        </is>
      </c>
    </row>
    <row r="1258">
      <c r="A1258" s="3" t="inlineStr">
        <is>
          <t>MAT-26-001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2</v>
      </c>
      <c r="K1258" s="6" t="n">
        <v>14401.48</v>
      </c>
      <c r="L1258" s="6" t="n">
        <v>6495</v>
      </c>
      <c r="M1258" s="6" t="n">
        <v>45479.87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 · InnovaCentro (La Innovación)</t>
        </is>
      </c>
    </row>
    <row r="1259">
      <c r="A1259" s="3" t="inlineStr">
        <is>
          <t>MAT-26-002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pared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4</v>
      </c>
      <c r="K1259" s="6" t="n">
        <v>17169.24</v>
      </c>
      <c r="L1259" s="6" t="n">
        <v>5433.44</v>
      </c>
      <c r="M1259" s="6" t="n">
        <v>58000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Ferremix (Grupo Alterra) · Ferretería Ochoa (8A) · InnovaCentro (La Innovación) · La Ibérica</t>
        </is>
      </c>
      <c r="S1259" s="7" t="inlineStr">
        <is>
          <t>pared</t>
        </is>
      </c>
    </row>
    <row r="1260">
      <c r="A1260" s="3" t="inlineStr">
        <is>
          <t>MAT-26-003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piso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5</v>
      </c>
      <c r="K1260" s="6" t="n">
        <v>21623.89</v>
      </c>
      <c r="L1260" s="6" t="n">
        <v>2725</v>
      </c>
      <c r="M1260" s="6" t="n">
        <v>197500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Ferremix (Grupo Alterra) · Ferretería Cima · InnovaCentro (La Innovación) · La Ibérica</t>
        </is>
      </c>
      <c r="S1260" s="7" t="inlineStr">
        <is>
          <t>piso</t>
        </is>
      </c>
    </row>
    <row r="1261">
      <c r="A1261" s="3" t="inlineStr">
        <is>
          <t>MAT-26-004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3</v>
      </c>
      <c r="K1261" s="6" t="n">
        <v>1481</v>
      </c>
      <c r="L1261" s="6" t="n">
        <v>725.87</v>
      </c>
      <c r="M1261" s="6" t="n">
        <v>6543.83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 · Ferretería Ochoa (8A) · InnovaCentro (La Innovación)</t>
        </is>
      </c>
      <c r="AF1261" s="4" t="inlineStr">
        <is>
          <t>Largo (mm): 300 · Alto (mm): 120</t>
        </is>
      </c>
    </row>
    <row r="1262">
      <c r="A1262" s="3" t="inlineStr">
        <is>
          <t>MAT-26-005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baño, con luz LED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15456.85</v>
      </c>
      <c r="L1262" s="6" t="n">
        <v>10320.96</v>
      </c>
      <c r="M1262" s="6" t="n">
        <v>24256.84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Luz: led</t>
        </is>
      </c>
    </row>
    <row r="1263">
      <c r="A1263" s="3" t="inlineStr">
        <is>
          <t>MAT-26-006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4</v>
      </c>
      <c r="K1263" s="6" t="n">
        <v>1594.71</v>
      </c>
      <c r="L1263" s="6" t="n">
        <v>665</v>
      </c>
      <c r="M1263" s="6" t="n">
        <v>47121.22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 · Ferretería Ochoa (8A) · InnovaCentro (La Innovación) · La Ibérica</t>
        </is>
      </c>
    </row>
    <row r="1264">
      <c r="A1264" s="3" t="inlineStr">
        <is>
          <t>MAT-26-007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baño, con luz LED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7811.18</v>
      </c>
      <c r="L1264" s="6" t="n">
        <v>1795</v>
      </c>
      <c r="M1264" s="6" t="n">
        <v>30090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Ferremix (Grupo Alterra) · Ferretería Ochoa (8A) · InnovaCentro (La Innovación) · La Ibérica</t>
        </is>
      </c>
      <c r="AF1264" s="4" t="inlineStr">
        <is>
          <t>Luz: led</t>
        </is>
      </c>
    </row>
    <row r="1265">
      <c r="A1265" s="3" t="inlineStr">
        <is>
          <t>MAT-26-008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Cabina o panel de ducha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3</v>
      </c>
      <c r="K1265" s="6" t="n">
        <v>6079</v>
      </c>
      <c r="L1265" s="6" t="n">
        <v>3118.5</v>
      </c>
      <c r="M1265" s="6" t="n">
        <v>18914.37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CerArte · InnovaCentro (La Innovación) · La Ibérica</t>
        </is>
      </c>
    </row>
    <row r="1266">
      <c r="A1266" s="3" t="inlineStr">
        <is>
          <t>MAT-26-009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Bañera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97909.59</v>
      </c>
      <c r="L1266" s="6" t="n">
        <v>9469</v>
      </c>
      <c r="M1266" s="6" t="n">
        <v>430700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Bellón · CerArte · La Ibérica</t>
        </is>
      </c>
    </row>
    <row r="1267">
      <c r="A1267" s="3" t="inlineStr">
        <is>
          <t>MAT-26-010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Plato de ducha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19278.36</v>
      </c>
      <c r="L1267" s="6" t="n">
        <v>14999.99</v>
      </c>
      <c r="M1267" s="6" t="n">
        <v>29990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2026-09-10</t>
        </is>
      </c>
      <c r="Q1267" s="4" t="inlineStr">
        <is>
          <t>CerArte · La Ibérica</t>
        </is>
      </c>
    </row>
    <row r="1268">
      <c r="A1268" s="3" t="inlineStr">
        <is>
          <t>MAT-27-001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abatible, 20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2439</v>
      </c>
      <c r="L1268" s="6" t="n">
        <v>2439</v>
      </c>
      <c r="M1268" s="6" t="n">
        <v>2439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abatible</t>
        </is>
      </c>
      <c r="U1268" s="7" t="n">
        <v>20</v>
      </c>
    </row>
    <row r="1269">
      <c r="A1269" s="3" t="inlineStr">
        <is>
          <t>MAT-27-002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curva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1416.67</v>
      </c>
      <c r="L1269" s="6" t="n">
        <v>1416.67</v>
      </c>
      <c r="M1269" s="6" t="n">
        <v>1416.67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R1269" s="7" t="inlineStr">
        <is>
          <t>curva</t>
        </is>
      </c>
    </row>
    <row r="1270">
      <c r="A1270" s="3" t="inlineStr">
        <is>
          <t>MAT-27-003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30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1200</v>
      </c>
      <c r="L1270" s="6" t="n">
        <v>1200</v>
      </c>
      <c r="M1270" s="6" t="n">
        <v>1200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R1270" s="7" t="inlineStr">
        <is>
          <t>en L</t>
        </is>
      </c>
      <c r="U1270" s="7" t="n">
        <v>30</v>
      </c>
    </row>
    <row r="1271">
      <c r="A1271" s="3" t="inlineStr">
        <is>
          <t>MAT-27-004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45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925</v>
      </c>
      <c r="L1271" s="6" t="n">
        <v>925</v>
      </c>
      <c r="M1271" s="6" t="n">
        <v>925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45</v>
      </c>
    </row>
    <row r="1272">
      <c r="A1272" s="3" t="inlineStr">
        <is>
          <t>MAT-27-005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55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2619</v>
      </c>
      <c r="L1272" s="6" t="n">
        <v>2619</v>
      </c>
      <c r="M1272" s="6" t="n">
        <v>2619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55</v>
      </c>
    </row>
    <row r="1273">
      <c r="A1273" s="3" t="inlineStr">
        <is>
          <t>MAT-27-006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75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6294</v>
      </c>
      <c r="L1273" s="6" t="n">
        <v>5648.35</v>
      </c>
      <c r="M1273" s="6" t="n">
        <v>6294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2026-09-10</t>
        </is>
      </c>
      <c r="Q1273" s="4" t="inlineStr">
        <is>
          <t>CerArte · InnovaCentro (La Innovación)</t>
        </is>
      </c>
      <c r="R1273" s="7" t="inlineStr">
        <is>
          <t>en L</t>
        </is>
      </c>
      <c r="U1273" s="7" t="n">
        <v>75</v>
      </c>
    </row>
    <row r="1274">
      <c r="A1274" s="3" t="inlineStr">
        <is>
          <t>MAT-27-007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1940</v>
      </c>
      <c r="L1274" s="6" t="n">
        <v>1615</v>
      </c>
      <c r="M1274" s="6" t="n">
        <v>7495.91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Ferremix (Grupo Alterra) · Ferretería Ochoa (8A)</t>
        </is>
      </c>
      <c r="R1274" s="7" t="inlineStr">
        <is>
          <t>recta</t>
        </is>
      </c>
    </row>
    <row r="1275">
      <c r="A1275" s="3" t="inlineStr">
        <is>
          <t>MAT-27-008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105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2750</v>
      </c>
      <c r="L1275" s="6" t="n">
        <v>2750</v>
      </c>
      <c r="M1275" s="6" t="n">
        <v>2750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InnovaCentro (La Innovación)</t>
        </is>
      </c>
      <c r="R1275" s="7" t="inlineStr">
        <is>
          <t>recta</t>
        </is>
      </c>
      <c r="U1275" s="7" t="n">
        <v>105</v>
      </c>
    </row>
    <row r="1276">
      <c r="A1276" s="3" t="inlineStr">
        <is>
          <t>MAT-27-009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120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3092</v>
      </c>
      <c r="L1276" s="6" t="n">
        <v>3092</v>
      </c>
      <c r="M1276" s="6" t="n">
        <v>3092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120</v>
      </c>
    </row>
    <row r="1277">
      <c r="A1277" s="3" t="inlineStr">
        <is>
          <t>MAT-27-010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30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3</v>
      </c>
      <c r="K1277" s="6" t="n">
        <v>1805.4</v>
      </c>
      <c r="L1277" s="6" t="n">
        <v>1200</v>
      </c>
      <c r="M1277" s="6" t="n">
        <v>3007.09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2026-09-10</t>
        </is>
      </c>
      <c r="Q1277" s="4" t="inlineStr">
        <is>
          <t>CerArte · Ferretería Ochoa (8A) · InnovaCentro (La Innovación)</t>
        </is>
      </c>
      <c r="R1277" s="7" t="inlineStr">
        <is>
          <t>recta</t>
        </is>
      </c>
      <c r="U1277" s="7" t="n">
        <v>30</v>
      </c>
    </row>
    <row r="1278">
      <c r="A1278" s="3" t="inlineStr">
        <is>
          <t>MAT-27-011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925.98</v>
      </c>
      <c r="L1278" s="6" t="n">
        <v>675</v>
      </c>
      <c r="M1278" s="6" t="n">
        <v>1176.96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40</v>
      </c>
    </row>
    <row r="1279">
      <c r="A1279" s="3" t="inlineStr">
        <is>
          <t>MAT-27-012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1665</v>
      </c>
      <c r="L1279" s="6" t="n">
        <v>1595</v>
      </c>
      <c r="M1279" s="6" t="n">
        <v>1735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InnovaCentro (La Innovación)</t>
        </is>
      </c>
      <c r="R1279" s="7" t="inlineStr">
        <is>
          <t>recta</t>
        </is>
      </c>
      <c r="U1279" s="7" t="n">
        <v>45</v>
      </c>
    </row>
    <row r="1280">
      <c r="A1280" s="3" t="inlineStr">
        <is>
          <t>MAT-27-013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50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1195</v>
      </c>
      <c r="L1280" s="6" t="n">
        <v>745</v>
      </c>
      <c r="M1280" s="6" t="n">
        <v>1522.47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 · InnovaCentro (La Innovación)</t>
        </is>
      </c>
      <c r="R1280" s="7" t="inlineStr">
        <is>
          <t>recta</t>
        </is>
      </c>
      <c r="U1280" s="7" t="n">
        <v>50</v>
      </c>
    </row>
    <row r="1281">
      <c r="A1281" s="3" t="inlineStr">
        <is>
          <t>MAT-27-014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60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1995</v>
      </c>
      <c r="L1281" s="6" t="n">
        <v>1869</v>
      </c>
      <c r="M1281" s="6" t="n">
        <v>3297.37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60</v>
      </c>
    </row>
    <row r="1282">
      <c r="A1282" s="3" t="inlineStr">
        <is>
          <t>MAT-27-015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3983.41</v>
      </c>
      <c r="L1282" s="6" t="n">
        <v>3271.81</v>
      </c>
      <c r="M1282" s="6" t="n">
        <v>4695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70</v>
      </c>
    </row>
    <row r="1283">
      <c r="A1283" s="3" t="inlineStr">
        <is>
          <t>MAT-27-016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75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2185</v>
      </c>
      <c r="L1283" s="6" t="n">
        <v>2185</v>
      </c>
      <c r="M1283" s="6" t="n">
        <v>2185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InnovaCentro (La Innovación)</t>
        </is>
      </c>
      <c r="R1283" s="7" t="inlineStr">
        <is>
          <t>recta</t>
        </is>
      </c>
      <c r="U1283" s="7" t="n">
        <v>75</v>
      </c>
    </row>
    <row r="1284">
      <c r="A1284" s="3" t="inlineStr">
        <is>
          <t>MAT-27-017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90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2439</v>
      </c>
      <c r="L1284" s="6" t="n">
        <v>2395</v>
      </c>
      <c r="M1284" s="6" t="n">
        <v>6226.47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90</v>
      </c>
    </row>
    <row r="1285">
      <c r="A1285" s="3" t="inlineStr">
        <is>
          <t>MAT-27-018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2367.36</v>
      </c>
      <c r="L1285" s="6" t="n">
        <v>345</v>
      </c>
      <c r="M1285" s="6" t="n">
        <v>6782.1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2026-09-10</t>
        </is>
      </c>
      <c r="Q1285" s="4" t="inlineStr">
        <is>
          <t>CerArte · Ferremix (Grupo Alterra) · Ferretería Ochoa (8A)</t>
        </is>
      </c>
      <c r="AF1285" s="4" t="inlineStr">
        <is>
          <t>ambito: domestico</t>
        </is>
      </c>
    </row>
    <row r="1286">
      <c r="A1286" s="3" t="inlineStr">
        <is>
          <t>MAT-27-019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3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1673.59</v>
      </c>
      <c r="L1286" s="6" t="n">
        <v>1081.92</v>
      </c>
      <c r="M1286" s="6" t="n">
        <v>1673.59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T1286" s="7" t="n">
        <v>3</v>
      </c>
      <c r="AF1286" s="4" t="inlineStr">
        <is>
          <t>ambito: domestico</t>
        </is>
      </c>
    </row>
    <row r="1287">
      <c r="A1287" s="3" t="inlineStr">
        <is>
          <t>MAT-27-020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4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2927.39</v>
      </c>
      <c r="L1287" s="6" t="n">
        <v>1605.2</v>
      </c>
      <c r="M1287" s="6" t="n">
        <v>3995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T1287" s="7" t="n">
        <v>4</v>
      </c>
      <c r="AF1287" s="4" t="inlineStr">
        <is>
          <t>ambito: domestico</t>
        </is>
      </c>
    </row>
    <row r="1288">
      <c r="A1288" s="3" t="inlineStr">
        <is>
          <t>MAT-27-021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5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3</v>
      </c>
      <c r="K1288" s="6" t="n">
        <v>1139</v>
      </c>
      <c r="L1288" s="6" t="n">
        <v>394</v>
      </c>
      <c r="M1288" s="6" t="n">
        <v>1883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 · Ferretería Ochoa (8A) · InnovaCentro (La Innovación)</t>
        </is>
      </c>
      <c r="T1288" s="7" t="n">
        <v>5</v>
      </c>
      <c r="AF1288" s="4" t="inlineStr">
        <is>
          <t>ambito: domestico</t>
        </is>
      </c>
    </row>
    <row r="1289">
      <c r="A1289" s="3" t="inlineStr">
        <is>
          <t>MAT-27-022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6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3019.72</v>
      </c>
      <c r="L1289" s="6" t="n">
        <v>1342.61</v>
      </c>
      <c r="M1289" s="6" t="n">
        <v>4372.84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6</v>
      </c>
      <c r="AF1289" s="4" t="inlineStr">
        <is>
          <t>ambito: domestico</t>
        </is>
      </c>
    </row>
    <row r="1290">
      <c r="A1290" s="3" t="inlineStr">
        <is>
          <t>MAT-27-023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3467.5</v>
      </c>
      <c r="L1290" s="6" t="n">
        <v>3335</v>
      </c>
      <c r="M1290" s="6" t="n">
        <v>3600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InnovaCentro (La Innovación)</t>
        </is>
      </c>
      <c r="AF1290" s="4" t="inlineStr">
        <is>
          <t>ambito: domestico</t>
        </is>
      </c>
    </row>
    <row r="1291">
      <c r="A1291" s="3" t="inlineStr">
        <is>
          <t>MAT-27-024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de botón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16368.74</v>
      </c>
      <c r="L1291" s="6" t="n">
        <v>16368.74</v>
      </c>
      <c r="M1291" s="6" t="n">
        <v>16368.74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domestico · Activación: boton</t>
        </is>
      </c>
    </row>
    <row r="1292">
      <c r="A1292" s="3" t="inlineStr">
        <is>
          <t>MAT-27-025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con sensor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3</v>
      </c>
      <c r="K1292" s="6" t="n">
        <v>16755</v>
      </c>
      <c r="L1292" s="6" t="n">
        <v>12495</v>
      </c>
      <c r="M1292" s="6" t="n">
        <v>63455.69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Ferretería Ochoa (8A) · InnovaCentro (La Innovación)</t>
        </is>
      </c>
      <c r="AF1292" s="4" t="inlineStr">
        <is>
          <t>ambito: domestico · Activación: sensor · Ancho (mm): 270</t>
        </is>
      </c>
    </row>
    <row r="1293">
      <c r="A1293" s="3" t="inlineStr">
        <is>
          <t>MAT-27-026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33477.34</v>
      </c>
      <c r="L1293" s="6" t="n">
        <v>27487.14</v>
      </c>
      <c r="M1293" s="6" t="n">
        <v>39467.53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 · Ferretería Ochoa (8A)</t>
        </is>
      </c>
      <c r="AF1293" s="4" t="inlineStr">
        <is>
          <t>ambito: institucional</t>
        </is>
      </c>
    </row>
    <row r="1294">
      <c r="A1294" s="3" t="inlineStr">
        <is>
          <t>MAT-27-027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institucional, con sensor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32765.78</v>
      </c>
      <c r="L1294" s="6" t="n">
        <v>32765.78</v>
      </c>
      <c r="M1294" s="6" t="n">
        <v>32765.78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ambito: institucional · Activación: sensor</t>
        </is>
      </c>
    </row>
    <row r="1295">
      <c r="A1295" s="3" t="inlineStr">
        <is>
          <t>MAT-27-028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2</v>
      </c>
      <c r="K1295" s="6" t="n">
        <v>672</v>
      </c>
      <c r="L1295" s="6" t="n">
        <v>156</v>
      </c>
      <c r="M1295" s="6" t="n">
        <v>2309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2026-09-10</t>
        </is>
      </c>
      <c r="Q1295" s="4" t="inlineStr">
        <is>
          <t>Ferremix (Grupo Alterra) · InnovaCentro (La Innovación)</t>
        </is>
      </c>
      <c r="AF1295" s="4" t="inlineStr">
        <is>
          <t>ambito: domestico</t>
        </is>
      </c>
    </row>
    <row r="1296">
      <c r="A1296" s="3" t="inlineStr">
        <is>
          <t>MAT-27-029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con sensor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33870.73</v>
      </c>
      <c r="L1296" s="6" t="n">
        <v>33870.73</v>
      </c>
      <c r="M1296" s="6" t="n">
        <v>33870.73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CerArte</t>
        </is>
      </c>
      <c r="AF1296" s="4" t="inlineStr">
        <is>
          <t>ambito: domestico · Activación: sensor</t>
        </is>
      </c>
    </row>
    <row r="1297">
      <c r="A1297" s="3" t="inlineStr">
        <is>
          <t>MAT-27-030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institucional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2</v>
      </c>
      <c r="K1297" s="6" t="n">
        <v>3782.5</v>
      </c>
      <c r="L1297" s="6" t="n">
        <v>1270</v>
      </c>
      <c r="M1297" s="6" t="n">
        <v>15547.21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 · InnovaCentro (La Innovación)</t>
        </is>
      </c>
      <c r="AF1297" s="4" t="inlineStr">
        <is>
          <t>ambito: institucional</t>
        </is>
      </c>
    </row>
    <row r="1298">
      <c r="A1298" s="3" t="inlineStr">
        <is>
          <t>MAT-27-031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papel higiénico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587.5</v>
      </c>
      <c r="L1298" s="6" t="n">
        <v>485</v>
      </c>
      <c r="M1298" s="6" t="n">
        <v>690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domestico · Tipo de papel: papel higiénico · Ancho (mm): 270</t>
        </is>
      </c>
    </row>
    <row r="1299">
      <c r="A1299" s="3" t="inlineStr">
        <is>
          <t>MAT-27-032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toalla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2595</v>
      </c>
      <c r="L1299" s="6" t="n">
        <v>274</v>
      </c>
      <c r="M1299" s="6" t="n">
        <v>7965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 · InnovaCentro (La Innovación)</t>
        </is>
      </c>
      <c r="AF1299" s="4" t="inlineStr">
        <is>
          <t>ambito: domestico · Tipo de papel: toalla · Ancho (mm): 310</t>
        </is>
      </c>
    </row>
    <row r="1300">
      <c r="A1300" s="3" t="inlineStr">
        <is>
          <t>MAT-27-033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papel higiénico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2870</v>
      </c>
      <c r="L1300" s="6" t="n">
        <v>1105</v>
      </c>
      <c r="M1300" s="6" t="n">
        <v>8995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InnovaCentro (La Innovación)</t>
        </is>
      </c>
      <c r="AF1300" s="4" t="inlineStr">
        <is>
          <t>ambito: institucional · Tipo de papel: papel higiénico</t>
        </is>
      </c>
    </row>
    <row r="1301">
      <c r="A1301" s="3" t="inlineStr">
        <is>
          <t>MAT-27-034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toalla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3245</v>
      </c>
      <c r="L1301" s="6" t="n">
        <v>2515</v>
      </c>
      <c r="M1301" s="6" t="n">
        <v>12190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toalla</t>
        </is>
      </c>
    </row>
    <row r="1302">
      <c r="A1302" s="3" t="inlineStr">
        <is>
          <t>MAT-27-035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Cambiador de bebés de pared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8705</v>
      </c>
      <c r="L1302" s="6" t="n">
        <v>8705</v>
      </c>
      <c r="M1302" s="6" t="n">
        <v>8705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Largo (mm): 860 · Ancho (mm): 550 · Alto (mm): 140</t>
        </is>
      </c>
    </row>
    <row r="1303">
      <c r="A1303" s="3" t="inlineStr">
        <is>
          <t>MAT-28-001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Kit de alarma</t>
        </is>
      </c>
      <c r="E1303" s="4" t="inlineStr"/>
      <c r="F1303" s="3" t="inlineStr">
        <is>
          <t>juego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7107.67</v>
      </c>
      <c r="L1303" s="6" t="n">
        <v>7107.67</v>
      </c>
      <c r="M1303" s="6" t="n">
        <v>7107.67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</row>
    <row r="1304">
      <c r="A1304" s="3" t="inlineStr">
        <is>
          <t>MAT-28-002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15771.4</v>
      </c>
      <c r="L1304" s="6" t="n">
        <v>3536.16</v>
      </c>
      <c r="M1304" s="6" t="n">
        <v>40009.07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MAT-28-003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28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7194.58</v>
      </c>
      <c r="L1305" s="6" t="n">
        <v>7194.58</v>
      </c>
      <c r="M1305" s="6" t="n">
        <v>7194.58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28</t>
        </is>
      </c>
    </row>
    <row r="1306">
      <c r="A1306" s="3" t="inlineStr">
        <is>
          <t>MAT-28-004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320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16552.7</v>
      </c>
      <c r="L1306" s="6" t="n">
        <v>13889.31</v>
      </c>
      <c r="M1306" s="6" t="n">
        <v>19216.09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320</t>
        </is>
      </c>
    </row>
    <row r="1307">
      <c r="A1307" s="3" t="inlineStr">
        <is>
          <t>MAT-28-005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18682.71</v>
      </c>
      <c r="L1307" s="6" t="n">
        <v>18682.71</v>
      </c>
      <c r="M1307" s="6" t="n">
        <v>18682.71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4</t>
        </is>
      </c>
    </row>
    <row r="1308">
      <c r="A1308" s="3" t="inlineStr">
        <is>
          <t>MAT-28-006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48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8277.66</v>
      </c>
      <c r="L1308" s="6" t="n">
        <v>8277.66</v>
      </c>
      <c r="M1308" s="6" t="n">
        <v>8277.66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48</t>
        </is>
      </c>
    </row>
    <row r="1309">
      <c r="A1309" s="3" t="inlineStr">
        <is>
          <t>MAT-28-007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11668.57</v>
      </c>
      <c r="L1309" s="6" t="n">
        <v>11668.57</v>
      </c>
      <c r="M1309" s="6" t="n">
        <v>11668.57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8</t>
        </is>
      </c>
    </row>
    <row r="1310">
      <c r="A1310" s="3" t="inlineStr">
        <is>
          <t>MAT-28-008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Teclado para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6879.53</v>
      </c>
      <c r="L1310" s="6" t="n">
        <v>3449.44</v>
      </c>
      <c r="M1310" s="6" t="n">
        <v>13205.36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MAT-28-009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1486.93</v>
      </c>
      <c r="L1311" s="6" t="n">
        <v>266.05</v>
      </c>
      <c r="M1311" s="6" t="n">
        <v>11447.71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Enlace: inalámbrico</t>
        </is>
      </c>
    </row>
    <row r="1312">
      <c r="A1312" s="3" t="inlineStr">
        <is>
          <t>MAT-28-010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10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7135.36</v>
      </c>
      <c r="L1312" s="6" t="n">
        <v>7135.36</v>
      </c>
      <c r="M1312" s="6" t="n">
        <v>7135.36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10 · Enlace: inalámbrico</t>
        </is>
      </c>
    </row>
    <row r="1313">
      <c r="A1313" s="3" t="inlineStr">
        <is>
          <t>MAT-28-011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11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5567.22</v>
      </c>
      <c r="L1313" s="6" t="n">
        <v>5567.22</v>
      </c>
      <c r="M1313" s="6" t="n">
        <v>5567.22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11 · Enlace: inalámbrico</t>
        </is>
      </c>
    </row>
    <row r="1314">
      <c r="A1314" s="3" t="inlineStr">
        <is>
          <t>MAT-28-012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12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2831.47</v>
      </c>
      <c r="L1314" s="6" t="n">
        <v>820.3</v>
      </c>
      <c r="M1314" s="6" t="n">
        <v>5338.48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12 · Enlace: inalámbrico</t>
        </is>
      </c>
    </row>
    <row r="1315">
      <c r="A1315" s="3" t="inlineStr">
        <is>
          <t>MAT-28-013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15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2675.69</v>
      </c>
      <c r="L1315" s="6" t="n">
        <v>2675.69</v>
      </c>
      <c r="M1315" s="6" t="n">
        <v>2675.69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15 · Enlace: inalámbrico</t>
        </is>
      </c>
    </row>
    <row r="1316">
      <c r="A1316" s="3" t="inlineStr">
        <is>
          <t>MAT-28-014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16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2944.96</v>
      </c>
      <c r="L1316" s="6" t="n">
        <v>2944.96</v>
      </c>
      <c r="M1316" s="6" t="n">
        <v>2944.96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16</t>
        </is>
      </c>
    </row>
    <row r="1317">
      <c r="A1317" s="3" t="inlineStr">
        <is>
          <t>MAT-28-015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Contacto magnético para puerta o ventana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1673.26</v>
      </c>
      <c r="L1317" s="6" t="n">
        <v>506.24</v>
      </c>
      <c r="M1317" s="6" t="n">
        <v>1989.25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MAT-28-016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12406.5</v>
      </c>
      <c r="L1318" s="6" t="n">
        <v>713.99</v>
      </c>
      <c r="M1318" s="6" t="n">
        <v>49478.37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Potencia (dB): 102</t>
        </is>
      </c>
    </row>
    <row r="1319">
      <c r="A1319" s="3" t="inlineStr">
        <is>
          <t>MAT-28-017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exterior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5053.69</v>
      </c>
      <c r="L1319" s="6" t="n">
        <v>5053.69</v>
      </c>
      <c r="M1319" s="6" t="n">
        <v>5053.69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Ubicación: exterior · Potencia (dB): 104</t>
        </is>
      </c>
    </row>
    <row r="1320">
      <c r="A1320" s="3" t="inlineStr">
        <is>
          <t>MAT-28-018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interior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3381.4</v>
      </c>
      <c r="L1320" s="6" t="n">
        <v>3381.4</v>
      </c>
      <c r="M1320" s="6" t="n">
        <v>3381.4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interior · Potencia (dB): 95</t>
        </is>
      </c>
    </row>
    <row r="1321">
      <c r="A1321" s="3" t="inlineStr">
        <is>
          <t>MAT-28-019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14529.44</v>
      </c>
      <c r="L1321" s="6" t="n">
        <v>5063.11</v>
      </c>
      <c r="M1321" s="6" t="n">
        <v>51002.38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</row>
    <row r="1322">
      <c r="A1322" s="3" t="inlineStr">
        <is>
          <t>MAT-28-020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huella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16289.94</v>
      </c>
      <c r="L1322" s="6" t="n">
        <v>10930.42</v>
      </c>
      <c r="M1322" s="6" t="n">
        <v>48902.72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X1322" s="7" t="inlineStr">
        <is>
          <t>huella</t>
        </is>
      </c>
    </row>
    <row r="1323">
      <c r="A1323" s="3" t="inlineStr">
        <is>
          <t>MAT-28-021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proximidad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9465.780000000001</v>
      </c>
      <c r="L1323" s="6" t="n">
        <v>8365.110000000001</v>
      </c>
      <c r="M1323" s="6" t="n">
        <v>10566.44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proximidad</t>
        </is>
      </c>
    </row>
    <row r="1324">
      <c r="A1324" s="3" t="inlineStr">
        <is>
          <t>MAT-28-022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teclado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12767.79</v>
      </c>
      <c r="L1324" s="6" t="n">
        <v>12767.79</v>
      </c>
      <c r="M1324" s="6" t="n">
        <v>12767.79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teclado</t>
        </is>
      </c>
    </row>
    <row r="1325">
      <c r="A1325" s="3" t="inlineStr">
        <is>
          <t>MAT-28-024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Accesorio de sistema de alarma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1838.69</v>
      </c>
      <c r="L1325" s="6" t="n">
        <v>146.83</v>
      </c>
      <c r="M1325" s="6" t="n">
        <v>34654.38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</row>
    <row r="1326">
      <c r="A1326" s="3" t="inlineStr">
        <is>
          <t>MAT-29-003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calor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1780.89</v>
      </c>
      <c r="L1326" s="6" t="n">
        <v>1508.54</v>
      </c>
      <c r="M1326" s="6" t="n">
        <v>2053.24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Detección: calor</t>
        </is>
      </c>
    </row>
    <row r="1327">
      <c r="A1327" s="3" t="inlineStr">
        <is>
          <t>MAT-29-004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2135.37</v>
      </c>
      <c r="L1327" s="6" t="n">
        <v>1934.03</v>
      </c>
      <c r="M1327" s="6" t="n">
        <v>23981.94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humo</t>
        </is>
      </c>
    </row>
    <row r="1328">
      <c r="A1328" s="3" t="inlineStr">
        <is>
          <t>MAT-29-005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 y calor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1657.72</v>
      </c>
      <c r="L1328" s="6" t="n">
        <v>1657.72</v>
      </c>
      <c r="M1328" s="6" t="n">
        <v>1657.72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 y calor</t>
        </is>
      </c>
    </row>
    <row r="1329">
      <c r="A1329" s="3" t="inlineStr">
        <is>
          <t>MAT-29-006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Estación manual de incendio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2358.36</v>
      </c>
      <c r="L1329" s="6" t="n">
        <v>870.3</v>
      </c>
      <c r="M1329" s="6" t="n">
        <v>4065.41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</row>
    <row r="1330">
      <c r="A1330" s="3" t="inlineStr">
        <is>
          <t>MAT-29-007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Sirena o estrobo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3502.55</v>
      </c>
      <c r="L1330" s="6" t="n">
        <v>3502.55</v>
      </c>
      <c r="M1330" s="6" t="n">
        <v>3502.55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MAT-29-008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Accesorio de sistema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270.76</v>
      </c>
      <c r="L1331" s="6" t="n">
        <v>232.07</v>
      </c>
      <c r="M1331" s="6" t="n">
        <v>615.97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MAT-30-003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blindado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1675.6</v>
      </c>
      <c r="L1332" s="6" t="n">
        <v>1675.6</v>
      </c>
      <c r="M1332" s="6" t="n">
        <v>1675.6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Blindaje: blindado</t>
        </is>
      </c>
    </row>
    <row r="1333">
      <c r="A1333" s="3" t="inlineStr">
        <is>
          <t>MAT-30-004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106.6</v>
      </c>
      <c r="L1333" s="6" t="n">
        <v>72.59999999999999</v>
      </c>
      <c r="M1333" s="6" t="n">
        <v>125.64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 · Largo (m): 305</t>
        </is>
      </c>
    </row>
    <row r="1334">
      <c r="A1334" s="3" t="inlineStr">
        <is>
          <t>MAT-30-005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 blindado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813.6</v>
      </c>
      <c r="L1334" s="6" t="n">
        <v>813.6</v>
      </c>
      <c r="M1334" s="6" t="n">
        <v>813.6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Blindaje: blindado</t>
        </is>
      </c>
    </row>
    <row r="1335">
      <c r="A1335" s="3" t="inlineStr">
        <is>
          <t>MAT-30-007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6A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466.67</v>
      </c>
      <c r="L1335" s="6" t="n">
        <v>215.59</v>
      </c>
      <c r="M1335" s="6" t="n">
        <v>860.04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MAT-30-009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5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106.97</v>
      </c>
      <c r="L1336" s="6" t="n">
        <v>106.97</v>
      </c>
      <c r="M1336" s="6" t="n">
        <v>106.97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5</t>
        </is>
      </c>
    </row>
    <row r="1337">
      <c r="A1337" s="3" t="inlineStr">
        <is>
          <t>MAT-30-010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254.97</v>
      </c>
      <c r="L1337" s="6" t="n">
        <v>189.16</v>
      </c>
      <c r="M1337" s="6" t="n">
        <v>1513.22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6</t>
        </is>
      </c>
    </row>
    <row r="1338">
      <c r="A1338" s="3" t="inlineStr">
        <is>
          <t>MAT-30-011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256.97</v>
      </c>
      <c r="L1338" s="6" t="n">
        <v>256.97</v>
      </c>
      <c r="M1338" s="6" t="n">
        <v>256.97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6A</t>
        </is>
      </c>
    </row>
    <row r="1339">
      <c r="A1339" s="3" t="inlineStr">
        <is>
          <t>MAT-30-012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 blindado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334.53</v>
      </c>
      <c r="L1339" s="6" t="n">
        <v>275.76</v>
      </c>
      <c r="M1339" s="6" t="n">
        <v>439.42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 · Blindaje: blindado</t>
        </is>
      </c>
    </row>
    <row r="1340">
      <c r="A1340" s="3" t="inlineStr">
        <is>
          <t>MAT-30-013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1305.12</v>
      </c>
      <c r="L1340" s="6" t="n">
        <v>192.87</v>
      </c>
      <c r="M1340" s="6" t="n">
        <v>1396.76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MAT-30-014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24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5568.67</v>
      </c>
      <c r="L1341" s="6" t="n">
        <v>5568.67</v>
      </c>
      <c r="M1341" s="6" t="n">
        <v>5568.67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24</t>
        </is>
      </c>
    </row>
    <row r="1342">
      <c r="A1342" s="3" t="inlineStr">
        <is>
          <t>MAT-30-015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48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1782.28</v>
      </c>
      <c r="L1342" s="6" t="n">
        <v>1782.28</v>
      </c>
      <c r="M1342" s="6" t="n">
        <v>1782.28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48</t>
        </is>
      </c>
    </row>
    <row r="1343">
      <c r="A1343" s="3" t="inlineStr">
        <is>
          <t>MAT-30-016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102.17</v>
      </c>
      <c r="L1343" s="6" t="n">
        <v>77.06</v>
      </c>
      <c r="M1343" s="6" t="n">
        <v>612.77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</row>
    <row r="1344">
      <c r="A1344" s="3" t="inlineStr">
        <is>
          <t>MAT-30-019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 3 puertos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1196.92</v>
      </c>
      <c r="L1344" s="6" t="n">
        <v>1196.92</v>
      </c>
      <c r="M1344" s="6" t="n">
        <v>1196.92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Puertos: 3</t>
        </is>
      </c>
    </row>
    <row r="1345">
      <c r="A1345" s="3" t="inlineStr">
        <is>
          <t>MAT-30-021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4902.12</v>
      </c>
      <c r="L1345" s="6" t="n">
        <v>587.39</v>
      </c>
      <c r="M1345" s="6" t="n">
        <v>18998.93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</row>
    <row r="1346">
      <c r="A1346" s="3" t="inlineStr">
        <is>
          <t>MAT-30-022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 24 puertos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16692.67</v>
      </c>
      <c r="L1346" s="6" t="n">
        <v>16692.67</v>
      </c>
      <c r="M1346" s="6" t="n">
        <v>16692.67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Puertos: 24</t>
        </is>
      </c>
    </row>
    <row r="1347">
      <c r="A1347" s="3" t="inlineStr">
        <is>
          <t>MAT-30-027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2813.06</v>
      </c>
      <c r="L1347" s="6" t="n">
        <v>1111.78</v>
      </c>
      <c r="M1347" s="6" t="n">
        <v>4514.34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12 · Amperaje (A): 4</t>
        </is>
      </c>
    </row>
    <row r="1348">
      <c r="A1348" s="3" t="inlineStr">
        <is>
          <t>MAT-30-028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120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1031.86</v>
      </c>
      <c r="L1348" s="6" t="n">
        <v>906.34</v>
      </c>
      <c r="M1348" s="6" t="n">
        <v>1157.38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120</t>
        </is>
      </c>
    </row>
    <row r="1349">
      <c r="A1349" s="3" t="inlineStr">
        <is>
          <t>MAT-30-029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24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13861.06</v>
      </c>
      <c r="L1349" s="6" t="n">
        <v>11089.49</v>
      </c>
      <c r="M1349" s="6" t="n">
        <v>16632.64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24 · Amperaje (A): 8</t>
        </is>
      </c>
    </row>
    <row r="1350">
      <c r="A1350" s="3" t="inlineStr">
        <is>
          <t>MAT-30-030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275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28.95</v>
      </c>
      <c r="L1350" s="6" t="n">
        <v>28.95</v>
      </c>
      <c r="M1350" s="6" t="n">
        <v>28.95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275</t>
        </is>
      </c>
    </row>
    <row r="1351">
      <c r="A1351" s="3" t="inlineStr">
        <is>
          <t>MAT-30-031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277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2150.5</v>
      </c>
      <c r="L1351" s="6" t="n">
        <v>2150.5</v>
      </c>
      <c r="M1351" s="6" t="n">
        <v>2150.5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277</t>
        </is>
      </c>
    </row>
    <row r="1352">
      <c r="A1352" s="3" t="inlineStr">
        <is>
          <t>MAT-31-003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1549.16</v>
      </c>
      <c r="L1352" s="6" t="n">
        <v>1089.61</v>
      </c>
      <c r="M1352" s="6" t="n">
        <v>2008.71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1</v>
      </c>
    </row>
    <row r="1353">
      <c r="A1353" s="3" t="inlineStr">
        <is>
          <t>MAT-31-004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2892.27</v>
      </c>
      <c r="L1353" s="6" t="n">
        <v>2892.27</v>
      </c>
      <c r="M1353" s="6" t="n">
        <v>2892.27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  <c r="AF1353" s="4" t="inlineStr">
        <is>
          <t>Neutro: con</t>
        </is>
      </c>
    </row>
    <row r="1354">
      <c r="A1354" s="3" t="inlineStr">
        <is>
          <t>MAT-31-005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2958.46</v>
      </c>
      <c r="L1354" s="6" t="n">
        <v>2958.46</v>
      </c>
      <c r="M1354" s="6" t="n">
        <v>2958.46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sin</t>
        </is>
      </c>
    </row>
    <row r="1355">
      <c r="A1355" s="3" t="inlineStr">
        <is>
          <t>MAT-31-006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1632.51</v>
      </c>
      <c r="L1355" s="6" t="n">
        <v>1210.31</v>
      </c>
      <c r="M1355" s="6" t="n">
        <v>2054.7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2</v>
      </c>
    </row>
    <row r="1356">
      <c r="A1356" s="3" t="inlineStr">
        <is>
          <t>MAT-31-007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con neutro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2743.31</v>
      </c>
      <c r="L1356" s="6" t="n">
        <v>2743.31</v>
      </c>
      <c r="M1356" s="6" t="n">
        <v>2743.31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  <c r="AF1356" s="4" t="inlineStr">
        <is>
          <t>Neutro: con</t>
        </is>
      </c>
    </row>
    <row r="1357">
      <c r="A1357" s="3" t="inlineStr">
        <is>
          <t>MAT-31-008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sin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sin</t>
        </is>
      </c>
    </row>
    <row r="1358">
      <c r="A1358" s="3" t="inlineStr">
        <is>
          <t>MAT-31-009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3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4577.22</v>
      </c>
      <c r="L1358" s="6" t="n">
        <v>1497.83</v>
      </c>
      <c r="M1358" s="6" t="n">
        <v>7656.61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3</v>
      </c>
    </row>
    <row r="1359">
      <c r="A1359" s="3" t="inlineStr">
        <is>
          <t>MAT-31-011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Central de domótica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5847.29</v>
      </c>
      <c r="L1359" s="6" t="n">
        <v>1143.26</v>
      </c>
      <c r="M1359" s="6" t="n">
        <v>85380.83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</row>
    <row r="1360">
      <c r="A1360" s="3" t="inlineStr">
        <is>
          <t>MAT-31-012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4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32009.7</v>
      </c>
      <c r="L1360" s="6" t="n">
        <v>32009.7</v>
      </c>
      <c r="M1360" s="6" t="n">
        <v>32009.7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4 · Video: si</t>
        </is>
      </c>
    </row>
    <row r="1361">
      <c r="A1361" s="3" t="inlineStr">
        <is>
          <t>MAT-31-013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6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41504.58</v>
      </c>
      <c r="L1361" s="6" t="n">
        <v>41504.58</v>
      </c>
      <c r="M1361" s="6" t="n">
        <v>41504.58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6 · Video: si</t>
        </is>
      </c>
    </row>
    <row r="1362">
      <c r="A1362" s="3" t="inlineStr">
        <is>
          <t>MAT-31-014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solo audio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16951.2</v>
      </c>
      <c r="L1362" s="6" t="n">
        <v>16951.2</v>
      </c>
      <c r="M1362" s="6" t="n">
        <v>16951.2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8 · Video: no</t>
        </is>
      </c>
    </row>
    <row r="1363">
      <c r="A1363" s="3" t="inlineStr">
        <is>
          <t>MAT-31-015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con video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50715.2</v>
      </c>
      <c r="L1363" s="6" t="n">
        <v>50715.2</v>
      </c>
      <c r="M1363" s="6" t="n">
        <v>50715.2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si</t>
        </is>
      </c>
    </row>
    <row r="1364">
      <c r="A1364" s="3" t="inlineStr">
        <is>
          <t>MAT-31-016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12858.25</v>
      </c>
      <c r="L1364" s="6" t="n">
        <v>8802.870000000001</v>
      </c>
      <c r="M1364" s="6" t="n">
        <v>22538.2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Video: si</t>
        </is>
      </c>
    </row>
    <row r="1365">
      <c r="A1365" s="3" t="inlineStr">
        <is>
          <t>MAT-31-017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9200.34</v>
      </c>
      <c r="L1365" s="6" t="n">
        <v>9200.34</v>
      </c>
      <c r="M1365" s="6" t="n">
        <v>9200.34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MAT-31-018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 7"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14861.01</v>
      </c>
      <c r="L1366" s="6" t="n">
        <v>14861.01</v>
      </c>
      <c r="M1366" s="6" t="n">
        <v>14861.01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Pulgadas: 7</t>
        </is>
      </c>
    </row>
    <row r="1367">
      <c r="A1367" s="3" t="inlineStr">
        <is>
          <t>MAT-31-019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Accesorio de intercomunicador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1765.47</v>
      </c>
      <c r="L1367" s="6" t="n">
        <v>305.08</v>
      </c>
      <c r="M1367" s="6" t="n">
        <v>11519.81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</row>
    <row r="1368">
      <c r="A1368" s="3" t="inlineStr">
        <is>
          <t>MAT-32-008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Acero Inoxidable SCH-40 1/2" x 20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3075</v>
      </c>
      <c r="L1368" s="6" t="n">
        <v>3075</v>
      </c>
      <c r="M1368" s="6" t="n">
        <v>3075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20</v>
      </c>
      <c r="AF1368" s="4" t="inlineStr">
        <is>
          <t>material: Acero Inoxidable · norma: SCH-40 · diametro: 1/2"</t>
        </is>
      </c>
    </row>
    <row r="1369">
      <c r="A1369" s="3" t="inlineStr">
        <is>
          <t>MAT-32-009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1/2" x 10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231</v>
      </c>
      <c r="L1369" s="6" t="n">
        <v>231</v>
      </c>
      <c r="M1369" s="6" t="n">
        <v>231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10</v>
      </c>
      <c r="AF1369" s="4" t="inlineStr">
        <is>
          <t>material: CPVC · norma: SDR-11 · diametro: 1/2"</t>
        </is>
      </c>
    </row>
    <row r="1370">
      <c r="A1370" s="3" t="inlineStr">
        <is>
          <t>MAT-32-010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650</v>
      </c>
      <c r="L1370" s="6" t="n">
        <v>650</v>
      </c>
      <c r="M1370" s="6" t="n">
        <v>650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1"</t>
        </is>
      </c>
    </row>
    <row r="1371">
      <c r="A1371" s="3" t="inlineStr">
        <is>
          <t>MAT-32-011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3/4"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347</v>
      </c>
      <c r="L1371" s="6" t="n">
        <v>347</v>
      </c>
      <c r="M1371" s="6" t="n">
        <v>347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3/4"</t>
        </is>
      </c>
    </row>
    <row r="1372">
      <c r="A1372" s="3" t="inlineStr">
        <is>
          <t>MAT-32-012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498</v>
      </c>
      <c r="L1372" s="6" t="n">
        <v>267</v>
      </c>
      <c r="M1372" s="6" t="n">
        <v>729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2"</t>
        </is>
      </c>
    </row>
    <row r="1373">
      <c r="A1373" s="3" t="inlineStr">
        <is>
          <t>MAT-32-013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3"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2</v>
      </c>
      <c r="K1373" s="6" t="n">
        <v>875.63</v>
      </c>
      <c r="L1373" s="6" t="n">
        <v>784.26</v>
      </c>
      <c r="M1373" s="6" t="n">
        <v>967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</t>
        </is>
      </c>
      <c r="Z1373" s="7" t="n">
        <v>19</v>
      </c>
      <c r="AF1373" s="4" t="inlineStr">
        <is>
          <t>material: PVC · norma: DRENAJE · diametro: 3"</t>
        </is>
      </c>
    </row>
    <row r="1374">
      <c r="A1374" s="3" t="inlineStr">
        <is>
          <t>MAT-32-014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4"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1021</v>
      </c>
      <c r="L1374" s="6" t="n">
        <v>1001</v>
      </c>
      <c r="M1374" s="6" t="n">
        <v>1041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4"</t>
        </is>
      </c>
    </row>
    <row r="1375">
      <c r="A1375" s="3" t="inlineStr">
        <is>
          <t>MAT-32-015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6"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3133.17</v>
      </c>
      <c r="L1375" s="6" t="n">
        <v>3133.17</v>
      </c>
      <c r="M1375" s="6" t="n">
        <v>3133.17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19</v>
      </c>
      <c r="AF1375" s="4" t="inlineStr">
        <is>
          <t>material: PVC · norma: DRENAJE · diametro: 6"</t>
        </is>
      </c>
    </row>
    <row r="1376">
      <c r="A1376" s="3" t="inlineStr">
        <is>
          <t>MAT-32-016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8"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5301.3</v>
      </c>
      <c r="L1376" s="6" t="n">
        <v>5301.3</v>
      </c>
      <c r="M1376" s="6" t="n">
        <v>5301.3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8"</t>
        </is>
      </c>
    </row>
    <row r="1377">
      <c r="A1377" s="3" t="inlineStr">
        <is>
          <t>MAT-32-017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 1/2"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944</v>
      </c>
      <c r="L1377" s="6" t="n">
        <v>535</v>
      </c>
      <c r="M1377" s="6" t="n">
        <v>1059.64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 · Ferretería MC · Max Ferretería</t>
        </is>
      </c>
      <c r="Z1377" s="7" t="n">
        <v>19</v>
      </c>
      <c r="AF1377" s="4" t="inlineStr">
        <is>
          <t>material: PVC · norma: SCH-40 · diametro: 1 1/2"</t>
        </is>
      </c>
    </row>
    <row r="1378">
      <c r="A1378" s="3" t="inlineStr">
        <is>
          <t>MAT-32-018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298.78</v>
      </c>
      <c r="L1378" s="6" t="n">
        <v>275</v>
      </c>
      <c r="M1378" s="6" t="n">
        <v>1025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SCH-40 · diametro: 1/2"</t>
        </is>
      </c>
    </row>
    <row r="1379">
      <c r="A1379" s="3" t="inlineStr">
        <is>
          <t>MAT-32-019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596.5</v>
      </c>
      <c r="L1379" s="6" t="n">
        <v>315</v>
      </c>
      <c r="M1379" s="6" t="n">
        <v>627.05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1"</t>
        </is>
      </c>
    </row>
    <row r="1380">
      <c r="A1380" s="3" t="inlineStr">
        <is>
          <t>MAT-32-020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3</v>
      </c>
      <c r="K1380" s="6" t="n">
        <v>1416</v>
      </c>
      <c r="L1380" s="6" t="n">
        <v>745</v>
      </c>
      <c r="M1380" s="6" t="n">
        <v>1424.97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MC · Max Ferretería</t>
        </is>
      </c>
      <c r="Z1380" s="7" t="n">
        <v>19</v>
      </c>
      <c r="AF1380" s="4" t="inlineStr">
        <is>
          <t>material: PVC · norma: SCH-40 · diametro: 2"</t>
        </is>
      </c>
    </row>
    <row r="1381">
      <c r="A1381" s="3" t="inlineStr">
        <is>
          <t>MAT-32-021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9.5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698</v>
      </c>
      <c r="L1381" s="6" t="n">
        <v>698</v>
      </c>
      <c r="M1381" s="6" t="n">
        <v>698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9.5</v>
      </c>
      <c r="AF1381" s="4" t="inlineStr">
        <is>
          <t>material: PVC · norma: SCH-40 · diametro: 2"</t>
        </is>
      </c>
    </row>
    <row r="1382">
      <c r="A1382" s="3" t="inlineStr">
        <is>
          <t>MAT-32-022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4</v>
      </c>
      <c r="K1382" s="6" t="n">
        <v>388</v>
      </c>
      <c r="L1382" s="6" t="n">
        <v>217</v>
      </c>
      <c r="M1382" s="6" t="n">
        <v>423.5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Cima · Ferretería MC · Max Ferretería</t>
        </is>
      </c>
      <c r="Z1382" s="7" t="n">
        <v>19</v>
      </c>
      <c r="AF1382" s="4" t="inlineStr">
        <is>
          <t>material: PVC · norma: SCH-40 · diametro: 3/4"</t>
        </is>
      </c>
    </row>
    <row r="1383">
      <c r="A1383" s="3" t="inlineStr">
        <is>
          <t>MAT-32-023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9.5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154</v>
      </c>
      <c r="L1383" s="6" t="n">
        <v>154</v>
      </c>
      <c r="M1383" s="6" t="n">
        <v>154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9.5</v>
      </c>
      <c r="AF1383" s="4" t="inlineStr">
        <is>
          <t>material: PVC · norma: SCH-40 · diametro: 3/4"</t>
        </is>
      </c>
    </row>
    <row r="1384">
      <c r="A1384" s="3" t="inlineStr">
        <is>
          <t>MAT-32-024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2895.19</v>
      </c>
      <c r="L1384" s="6" t="n">
        <v>2832</v>
      </c>
      <c r="M1384" s="6" t="n">
        <v>2958.38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3"</t>
        </is>
      </c>
    </row>
    <row r="1385">
      <c r="A1385" s="3" t="inlineStr">
        <is>
          <t>MAT-32-025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4"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4117.09</v>
      </c>
      <c r="L1385" s="6" t="n">
        <v>4020.28</v>
      </c>
      <c r="M1385" s="6" t="n">
        <v>4213.9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4"</t>
        </is>
      </c>
    </row>
    <row r="1386">
      <c r="A1386" s="3" t="inlineStr">
        <is>
          <t>MAT-32-026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6"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8008.1</v>
      </c>
      <c r="L1386" s="6" t="n">
        <v>7865</v>
      </c>
      <c r="M1386" s="6" t="n">
        <v>8151.2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6"</t>
        </is>
      </c>
    </row>
    <row r="1387">
      <c r="A1387" s="3" t="inlineStr">
        <is>
          <t>MAT-32-027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8"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12041.54</v>
      </c>
      <c r="L1387" s="6" t="n">
        <v>11841.41</v>
      </c>
      <c r="M1387" s="6" t="n">
        <v>12241.67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8"</t>
        </is>
      </c>
    </row>
    <row r="1388">
      <c r="A1388" s="3" t="inlineStr">
        <is>
          <t>MAT-32-028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1/2"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1098.5</v>
      </c>
      <c r="L1388" s="6" t="n">
        <v>465</v>
      </c>
      <c r="M1388" s="6" t="n">
        <v>1732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1/2"</t>
        </is>
      </c>
    </row>
    <row r="1389">
      <c r="A1389" s="3" t="inlineStr">
        <is>
          <t>MAT-32-029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905</v>
      </c>
      <c r="L1389" s="6" t="n">
        <v>905</v>
      </c>
      <c r="M1389" s="6" t="n">
        <v>905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1"</t>
        </is>
      </c>
    </row>
    <row r="1390">
      <c r="A1390" s="3" t="inlineStr">
        <is>
          <t>MAT-32-030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2276</v>
      </c>
      <c r="L1390" s="6" t="n">
        <v>2276</v>
      </c>
      <c r="M1390" s="6" t="n">
        <v>2276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2"</t>
        </is>
      </c>
    </row>
    <row r="1391">
      <c r="A1391" s="3" t="inlineStr">
        <is>
          <t>MAT-32-031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3/4"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621</v>
      </c>
      <c r="L1391" s="6" t="n">
        <v>621</v>
      </c>
      <c r="M1391" s="6" t="n">
        <v>621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3/4"</t>
        </is>
      </c>
    </row>
    <row r="1392">
      <c r="A1392" s="3" t="inlineStr">
        <is>
          <t>MAT-32-032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4177</v>
      </c>
      <c r="L1392" s="6" t="n">
        <v>4177</v>
      </c>
      <c r="M1392" s="6" t="n">
        <v>4177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3"</t>
        </is>
      </c>
    </row>
    <row r="1393">
      <c r="A1393" s="3" t="inlineStr">
        <is>
          <t>MAT-32-033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SDR-13.5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181</v>
      </c>
      <c r="L1393" s="6" t="n">
        <v>181</v>
      </c>
      <c r="M1393" s="6" t="n">
        <v>181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SDR-13.5 · diametro: 1/2"</t>
        </is>
      </c>
    </row>
    <row r="1394">
      <c r="A1394" s="3" t="inlineStr">
        <is>
          <t>MAT-32-034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320</v>
      </c>
      <c r="L1394" s="6" t="n">
        <v>320</v>
      </c>
      <c r="M1394" s="6" t="n">
        <v>320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SDR-21 · diametro: 1"</t>
        </is>
      </c>
    </row>
    <row r="1395">
      <c r="A1395" s="3" t="inlineStr">
        <is>
          <t>MAT-32-035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9.5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176</v>
      </c>
      <c r="L1395" s="6" t="n">
        <v>176</v>
      </c>
      <c r="M1395" s="6" t="n">
        <v>176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9.5</v>
      </c>
      <c r="AF1395" s="4" t="inlineStr">
        <is>
          <t>material: PVC · norma: SDR-21 · diametro: 1"</t>
        </is>
      </c>
    </row>
    <row r="1396">
      <c r="A1396" s="3" t="inlineStr">
        <is>
          <t>MAT-32-036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260</v>
      </c>
      <c r="L1396" s="6" t="n">
        <v>260</v>
      </c>
      <c r="M1396" s="6" t="n">
        <v>260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SDR-21 · diametro: 3/4"</t>
        </is>
      </c>
    </row>
    <row r="1397">
      <c r="A1397" s="3" t="inlineStr">
        <is>
          <t>MAT-32-037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146</v>
      </c>
      <c r="L1397" s="6" t="n">
        <v>146</v>
      </c>
      <c r="M1397" s="6" t="n">
        <v>146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SDR-21 · diametro: 3/4"</t>
        </is>
      </c>
    </row>
    <row r="1398">
      <c r="A1398" s="3" t="inlineStr">
        <is>
          <t>MAT-32-038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 1/2"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585.99</v>
      </c>
      <c r="L1398" s="6" t="n">
        <v>585.99</v>
      </c>
      <c r="M1398" s="6" t="n">
        <v>585.99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Z1398" s="7" t="n">
        <v>19</v>
      </c>
      <c r="AF1398" s="4" t="inlineStr">
        <is>
          <t>material: PVC · norma: SDR-26 · diametro: 1 1/2"</t>
        </is>
      </c>
    </row>
    <row r="1399">
      <c r="A1399" s="3" t="inlineStr">
        <is>
          <t>MAT-32-039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3</v>
      </c>
      <c r="K1399" s="6" t="n">
        <v>113.88</v>
      </c>
      <c r="L1399" s="6" t="n">
        <v>70.78</v>
      </c>
      <c r="M1399" s="6" t="n">
        <v>565.4400000000001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Cima · Ferretería MC</t>
        </is>
      </c>
      <c r="Z1399" s="7" t="n">
        <v>19</v>
      </c>
      <c r="AF1399" s="4" t="inlineStr">
        <is>
          <t>material: PVC · norma: SDR-26 · diametro: 1/2"</t>
        </is>
      </c>
    </row>
    <row r="1400">
      <c r="A1400" s="3" t="inlineStr">
        <is>
          <t>MAT-32-040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293</v>
      </c>
      <c r="L1400" s="6" t="n">
        <v>293</v>
      </c>
      <c r="M1400" s="6" t="n">
        <v>293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9.5</v>
      </c>
      <c r="AF1400" s="4" t="inlineStr">
        <is>
          <t>material: PVC · norma: SDR-26 · diametro: 1/2"</t>
        </is>
      </c>
    </row>
    <row r="1401">
      <c r="A1401" s="3" t="inlineStr">
        <is>
          <t>MAT-32-041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3</v>
      </c>
      <c r="K1401" s="6" t="n">
        <v>294.06</v>
      </c>
      <c r="L1401" s="6" t="n">
        <v>269</v>
      </c>
      <c r="M1401" s="6" t="n">
        <v>305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Cima · Ferretería MC</t>
        </is>
      </c>
      <c r="Z1401" s="7" t="n">
        <v>19</v>
      </c>
      <c r="AF1401" s="4" t="inlineStr">
        <is>
          <t>material: PVC · norma: SDR-26 · diametro: 1"</t>
        </is>
      </c>
    </row>
    <row r="1402">
      <c r="A1402" s="3" t="inlineStr">
        <is>
          <t>MAT-32-042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9.5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150</v>
      </c>
      <c r="L1402" s="6" t="n">
        <v>150</v>
      </c>
      <c r="M1402" s="6" t="n">
        <v>150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9.5</v>
      </c>
      <c r="AF1402" s="4" t="inlineStr">
        <is>
          <t>material: PVC · norma: SDR-26 · diametro: 1"</t>
        </is>
      </c>
    </row>
    <row r="1403">
      <c r="A1403" s="3" t="inlineStr">
        <is>
          <t>MAT-32-043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19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2</v>
      </c>
      <c r="K1403" s="6" t="n">
        <v>897.37</v>
      </c>
      <c r="L1403" s="6" t="n">
        <v>881.41</v>
      </c>
      <c r="M1403" s="6" t="n">
        <v>913.3200000000001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 · Ferretería MC</t>
        </is>
      </c>
      <c r="Z1403" s="7" t="n">
        <v>19</v>
      </c>
      <c r="AF1403" s="4" t="inlineStr">
        <is>
          <t>material: PVC · norma: SDR-26 · diametro: 2"</t>
        </is>
      </c>
    </row>
    <row r="1404">
      <c r="A1404" s="3" t="inlineStr">
        <is>
          <t>MAT-32-044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9.5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455</v>
      </c>
      <c r="L1404" s="6" t="n">
        <v>455</v>
      </c>
      <c r="M1404" s="6" t="n">
        <v>455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Z1404" s="7" t="n">
        <v>9.5</v>
      </c>
      <c r="AF1404" s="4" t="inlineStr">
        <is>
          <t>material: PVC · norma: SDR-26 · diametro: 2"</t>
        </is>
      </c>
    </row>
    <row r="1405">
      <c r="A1405" s="3" t="inlineStr">
        <is>
          <t>MAT-32-045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4</v>
      </c>
      <c r="K1405" s="6" t="n">
        <v>175</v>
      </c>
      <c r="L1405" s="6" t="n">
        <v>90</v>
      </c>
      <c r="M1405" s="6" t="n">
        <v>181.13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 · Max Ferretería</t>
        </is>
      </c>
      <c r="Z1405" s="7" t="n">
        <v>19</v>
      </c>
      <c r="AF1405" s="4" t="inlineStr">
        <is>
          <t>material: PVC · norma: SDR-26 · diametro: 3/4"</t>
        </is>
      </c>
    </row>
    <row r="1406">
      <c r="A1406" s="3" t="inlineStr">
        <is>
          <t>MAT-32-046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94</v>
      </c>
      <c r="L1406" s="6" t="n">
        <v>94</v>
      </c>
      <c r="M1406" s="6" t="n">
        <v>94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3/4"</t>
        </is>
      </c>
    </row>
    <row r="1407">
      <c r="A1407" s="3" t="inlineStr">
        <is>
          <t>MAT-32-047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1998.09</v>
      </c>
      <c r="L1407" s="6" t="n">
        <v>1928.2</v>
      </c>
      <c r="M1407" s="6" t="n">
        <v>2172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3"</t>
        </is>
      </c>
    </row>
    <row r="1408">
      <c r="A1408" s="3" t="inlineStr">
        <is>
          <t>MAT-32-048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988</v>
      </c>
      <c r="L1408" s="6" t="n">
        <v>988</v>
      </c>
      <c r="M1408" s="6" t="n">
        <v>988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3"</t>
        </is>
      </c>
    </row>
    <row r="1409">
      <c r="A1409" s="3" t="inlineStr">
        <is>
          <t>MAT-32-049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4"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3207.29</v>
      </c>
      <c r="L1409" s="6" t="n">
        <v>3133</v>
      </c>
      <c r="M1409" s="6" t="n">
        <v>3281.58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4"</t>
        </is>
      </c>
    </row>
    <row r="1410">
      <c r="A1410" s="3" t="inlineStr">
        <is>
          <t>MAT-32-050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6"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7000.73</v>
      </c>
      <c r="L1410" s="6" t="n">
        <v>6884.88</v>
      </c>
      <c r="M1410" s="6" t="n">
        <v>7116.58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6"</t>
        </is>
      </c>
    </row>
    <row r="1411">
      <c r="A1411" s="3" t="inlineStr">
        <is>
          <t>MAT-32-051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8"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3</v>
      </c>
      <c r="K1411" s="6" t="n">
        <v>11666.54</v>
      </c>
      <c r="L1411" s="6" t="n">
        <v>10360</v>
      </c>
      <c r="M1411" s="6" t="n">
        <v>11929.92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 · Max Ferretería</t>
        </is>
      </c>
      <c r="Z1411" s="7" t="n">
        <v>19</v>
      </c>
      <c r="AF1411" s="4" t="inlineStr">
        <is>
          <t>material: PVC · norma: SDR-26 · diametro: 8"</t>
        </is>
      </c>
    </row>
    <row r="1412">
      <c r="A1412" s="3" t="inlineStr">
        <is>
          <t>MAT-32-052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10"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15540.55</v>
      </c>
      <c r="L1412" s="6" t="n">
        <v>15540.55</v>
      </c>
      <c r="M1412" s="6" t="n">
        <v>15540.55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10"</t>
        </is>
      </c>
    </row>
    <row r="1413">
      <c r="A1413" s="3" t="inlineStr">
        <is>
          <t>MAT-32-053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2"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711.42</v>
      </c>
      <c r="L1413" s="6" t="n">
        <v>711.42</v>
      </c>
      <c r="M1413" s="6" t="n">
        <v>711.42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2"</t>
        </is>
      </c>
    </row>
    <row r="1414">
      <c r="A1414" s="3" t="inlineStr">
        <is>
          <t>MAT-32-054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3"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1549.5</v>
      </c>
      <c r="L1414" s="6" t="n">
        <v>1549.5</v>
      </c>
      <c r="M1414" s="6" t="n">
        <v>1549.5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3"</t>
        </is>
      </c>
    </row>
    <row r="1415">
      <c r="A1415" s="3" t="inlineStr">
        <is>
          <t>MAT-32-055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2548.33</v>
      </c>
      <c r="L1415" s="6" t="n">
        <v>2548.33</v>
      </c>
      <c r="M1415" s="6" t="n">
        <v>2548.33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4"</t>
        </is>
      </c>
    </row>
    <row r="1416">
      <c r="A1416" s="3" t="inlineStr">
        <is>
          <t>MAT-32-056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9381.73</v>
      </c>
      <c r="L1416" s="6" t="n">
        <v>9381.73</v>
      </c>
      <c r="M1416" s="6" t="n">
        <v>9381.73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6"</t>
        </is>
      </c>
    </row>
    <row r="1417">
      <c r="A1417" s="3" t="inlineStr">
        <is>
          <t>MAT-32-057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8"</t>
        </is>
      </c>
    </row>
    <row r="1418">
      <c r="A1418" s="3" t="inlineStr">
        <is>
          <t>MAT-32-058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 1/2"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425.8</v>
      </c>
      <c r="L1418" s="6" t="n">
        <v>398.6</v>
      </c>
      <c r="M1418" s="6" t="n">
        <v>453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Z1418" s="7" t="n">
        <v>19</v>
      </c>
      <c r="AF1418" s="4" t="inlineStr">
        <is>
          <t>material: PVC · norma: SDR-41 · diametro: 1 1/2"</t>
        </is>
      </c>
    </row>
    <row r="1419">
      <c r="A1419" s="3" t="inlineStr">
        <is>
          <t>MAT-32-059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386</v>
      </c>
      <c r="L1419" s="6" t="n">
        <v>386</v>
      </c>
      <c r="M1419" s="6" t="n">
        <v>386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1/2"</t>
        </is>
      </c>
    </row>
    <row r="1420">
      <c r="A1420" s="3" t="inlineStr">
        <is>
          <t>MAT-32-060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9.5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202</v>
      </c>
      <c r="L1420" s="6" t="n">
        <v>202</v>
      </c>
      <c r="M1420" s="6" t="n">
        <v>202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9.5</v>
      </c>
      <c r="AF1420" s="4" t="inlineStr">
        <is>
          <t>material: PVC · norma: SDR-41 · diametro: 1/2"</t>
        </is>
      </c>
    </row>
    <row r="1421">
      <c r="A1421" s="3" t="inlineStr">
        <is>
          <t>MAT-32-061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10"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12736.57</v>
      </c>
      <c r="L1421" s="6" t="n">
        <v>12736.57</v>
      </c>
      <c r="M1421" s="6" t="n">
        <v>12736.57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SDR-41 · diametro: 10"</t>
        </is>
      </c>
    </row>
    <row r="1422">
      <c r="A1422" s="3" t="inlineStr">
        <is>
          <t>MAT-32-062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12"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17906.86</v>
      </c>
      <c r="L1422" s="6" t="n">
        <v>17906.86</v>
      </c>
      <c r="M1422" s="6" t="n">
        <v>17906.86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12"</t>
        </is>
      </c>
    </row>
    <row r="1423">
      <c r="A1423" s="3" t="inlineStr">
        <is>
          <t>MAT-32-063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573.67</v>
      </c>
      <c r="L1423" s="6" t="n">
        <v>561</v>
      </c>
      <c r="M1423" s="6" t="n">
        <v>586.34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MC</t>
        </is>
      </c>
      <c r="Z1423" s="7" t="n">
        <v>19</v>
      </c>
      <c r="AF1423" s="4" t="inlineStr">
        <is>
          <t>material: PVC · norma: SDR-41 · diametro: 2"</t>
        </is>
      </c>
    </row>
    <row r="1424">
      <c r="A1424" s="3" t="inlineStr">
        <is>
          <t>MAT-32-064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3"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4</v>
      </c>
      <c r="K1424" s="6" t="n">
        <v>1036.92</v>
      </c>
      <c r="L1424" s="6" t="n">
        <v>670</v>
      </c>
      <c r="M1424" s="6" t="n">
        <v>1150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 · Ferretería MC · Max Ferretería</t>
        </is>
      </c>
      <c r="Z1424" s="7" t="n">
        <v>19</v>
      </c>
      <c r="AF1424" s="4" t="inlineStr">
        <is>
          <t>material: PVC · norma: SDR-41 · diametro: 3"</t>
        </is>
      </c>
    </row>
    <row r="1425">
      <c r="A1425" s="3" t="inlineStr">
        <is>
          <t>MAT-32-065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1770.23</v>
      </c>
      <c r="L1425" s="6" t="n">
        <v>1738.6</v>
      </c>
      <c r="M1425" s="6" t="n">
        <v>1801.86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</t>
        </is>
      </c>
      <c r="Z1425" s="7" t="n">
        <v>19</v>
      </c>
      <c r="AF1425" s="4" t="inlineStr">
        <is>
          <t>material: PVC · norma: SDR-41 · diametro: 4"</t>
        </is>
      </c>
    </row>
    <row r="1426">
      <c r="A1426" s="3" t="inlineStr">
        <is>
          <t>MAT-32-066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868</v>
      </c>
      <c r="L1426" s="6" t="n">
        <v>868</v>
      </c>
      <c r="M1426" s="6" t="n">
        <v>868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4"</t>
        </is>
      </c>
    </row>
    <row r="1427">
      <c r="A1427" s="3" t="inlineStr">
        <is>
          <t>MAT-32-067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6"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5010.42</v>
      </c>
      <c r="L1427" s="6" t="n">
        <v>4920.87</v>
      </c>
      <c r="M1427" s="6" t="n">
        <v>5099.96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MC</t>
        </is>
      </c>
      <c r="Z1427" s="7" t="n">
        <v>19</v>
      </c>
      <c r="AF1427" s="4" t="inlineStr">
        <is>
          <t>material: PVC · norma: SDR-41 · diametro: 6"</t>
        </is>
      </c>
    </row>
    <row r="1428">
      <c r="A1428" s="3" t="inlineStr">
        <is>
          <t>MAT-32-068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8"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3</v>
      </c>
      <c r="K1428" s="6" t="n">
        <v>7570</v>
      </c>
      <c r="L1428" s="6" t="n">
        <v>4819.99</v>
      </c>
      <c r="M1428" s="6" t="n">
        <v>7930.66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 · Max Ferretería</t>
        </is>
      </c>
      <c r="Z1428" s="7" t="n">
        <v>19</v>
      </c>
      <c r="AF1428" s="4" t="inlineStr">
        <is>
          <t>material: PVC · norma: SDR-41 · diametro: 8"</t>
        </is>
      </c>
    </row>
    <row r="1429">
      <c r="A1429" s="3" t="inlineStr">
        <is>
          <t>MAT-32-069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53</v>
      </c>
      <c r="L1429" s="6" t="n">
        <v>39</v>
      </c>
      <c r="M1429" s="6" t="n">
        <v>67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1 1/2"</t>
        </is>
      </c>
    </row>
    <row r="1430">
      <c r="A1430" s="3" t="inlineStr">
        <is>
          <t>MAT-32-070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53</v>
      </c>
      <c r="M1430" s="6" t="n">
        <v>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1/2"</t>
        </is>
      </c>
    </row>
    <row r="1431">
      <c r="A1431" s="3" t="inlineStr">
        <is>
          <t>MAT-32-071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56</v>
      </c>
      <c r="L1431" s="6" t="n">
        <v>56</v>
      </c>
      <c r="M1431" s="6" t="n">
        <v>56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1"</t>
        </is>
      </c>
    </row>
    <row r="1432">
      <c r="A1432" s="3" t="inlineStr">
        <is>
          <t>MAT-32-072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68</v>
      </c>
      <c r="L1432" s="6" t="n">
        <v>68</v>
      </c>
      <c r="M1432" s="6" t="n">
        <v>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2"</t>
        </is>
      </c>
    </row>
    <row r="1433">
      <c r="A1433" s="3" t="inlineStr">
        <is>
          <t>MAT-32-073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65</v>
      </c>
      <c r="L1433" s="6" t="n">
        <v>65</v>
      </c>
      <c r="M1433" s="6" t="n">
        <v>65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3/4"</t>
        </is>
      </c>
    </row>
    <row r="1434">
      <c r="A1434" s="3" t="inlineStr">
        <is>
          <t>MAT-32-074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265</v>
      </c>
      <c r="L1434" s="6" t="n">
        <v>265</v>
      </c>
      <c r="M1434" s="6" t="n">
        <v>265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12" x 1/2"</t>
        </is>
      </c>
    </row>
    <row r="1435">
      <c r="A1435" s="3" t="inlineStr">
        <is>
          <t>MAT-32-075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282</v>
      </c>
      <c r="L1435" s="6" t="n">
        <v>282</v>
      </c>
      <c r="M1435" s="6" t="n">
        <v>282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3/8"</t>
        </is>
      </c>
    </row>
    <row r="1436">
      <c r="A1436" s="3" t="inlineStr">
        <is>
          <t>MAT-32-076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204</v>
      </c>
      <c r="L1436" s="6" t="n">
        <v>204</v>
      </c>
      <c r="M1436" s="6" t="n">
        <v>204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15" x 1/2"</t>
        </is>
      </c>
    </row>
    <row r="1437">
      <c r="A1437" s="3" t="inlineStr">
        <is>
          <t>MAT-32-077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349</v>
      </c>
      <c r="L1437" s="6" t="n">
        <v>349</v>
      </c>
      <c r="M1437" s="6" t="n">
        <v>349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3/4"</t>
        </is>
      </c>
    </row>
    <row r="1438">
      <c r="A1438" s="3" t="inlineStr">
        <is>
          <t>MAT-32-078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279</v>
      </c>
      <c r="L1438" s="6" t="n">
        <v>279</v>
      </c>
      <c r="M1438" s="6" t="n">
        <v>279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3/8"</t>
        </is>
      </c>
    </row>
    <row r="1439">
      <c r="A1439" s="3" t="inlineStr">
        <is>
          <t>MAT-32-079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253</v>
      </c>
      <c r="L1439" s="6" t="n">
        <v>253</v>
      </c>
      <c r="M1439" s="6" t="n">
        <v>253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18" x 1/2"</t>
        </is>
      </c>
    </row>
    <row r="1440">
      <c r="A1440" s="3" t="inlineStr">
        <is>
          <t>MAT-32-080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3/4"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356</v>
      </c>
      <c r="L1440" s="6" t="n">
        <v>356</v>
      </c>
      <c r="M1440" s="6" t="n">
        <v>356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3/4"</t>
        </is>
      </c>
    </row>
    <row r="1441">
      <c r="A1441" s="3" t="inlineStr">
        <is>
          <t>MAT-32-081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25"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423</v>
      </c>
      <c r="L1441" s="6" t="n">
        <v>423</v>
      </c>
      <c r="M1441" s="6" t="n">
        <v>423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25" x 3/4"</t>
        </is>
      </c>
    </row>
    <row r="1442">
      <c r="A1442" s="3" t="inlineStr">
        <is>
          <t>MAT-32-082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144.5</v>
      </c>
      <c r="L1442" s="6" t="n">
        <v>135</v>
      </c>
      <c r="M1442" s="6" t="n">
        <v>154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1/2"</t>
        </is>
      </c>
    </row>
    <row r="1443">
      <c r="A1443" s="3" t="inlineStr">
        <is>
          <t>MAT-32-083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104</v>
      </c>
      <c r="L1443" s="6" t="n">
        <v>104</v>
      </c>
      <c r="M1443" s="6" t="n">
        <v>104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1/4"</t>
        </is>
      </c>
    </row>
    <row r="1444">
      <c r="A1444" s="3" t="inlineStr">
        <is>
          <t>MAT-32-084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183</v>
      </c>
      <c r="L1444" s="6" t="n">
        <v>183</v>
      </c>
      <c r="M1444" s="6" t="n">
        <v>183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3/4"</t>
        </is>
      </c>
    </row>
    <row r="1445">
      <c r="A1445" s="3" t="inlineStr">
        <is>
          <t>MAT-32-085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3/8"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90</v>
      </c>
      <c r="L1445" s="6" t="n">
        <v>90</v>
      </c>
      <c r="M1445" s="6" t="n">
        <v>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3/8"</t>
        </is>
      </c>
    </row>
    <row r="1446">
      <c r="A1446" s="3" t="inlineStr">
        <is>
          <t>MAT-32-086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32" x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535</v>
      </c>
      <c r="L1446" s="6" t="n">
        <v>535</v>
      </c>
      <c r="M1446" s="6" t="n">
        <v>535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32" x 1"</t>
        </is>
      </c>
    </row>
    <row r="1447">
      <c r="A1447" s="3" t="inlineStr">
        <is>
          <t>MAT-32-087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11.01</v>
      </c>
      <c r="L1447" s="6" t="n">
        <v>11.01</v>
      </c>
      <c r="M1447" s="6" t="n">
        <v>11.01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CPVC · medida: 1/2"</t>
        </is>
      </c>
    </row>
    <row r="1448">
      <c r="A1448" s="3" t="inlineStr">
        <is>
          <t>MAT-32-088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26.25</v>
      </c>
      <c r="L1448" s="6" t="n">
        <v>26.25</v>
      </c>
      <c r="M1448" s="6" t="n">
        <v>26.25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1"</t>
        </is>
      </c>
    </row>
    <row r="1449">
      <c r="A1449" s="3" t="inlineStr">
        <is>
          <t>MAT-32-089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27.22</v>
      </c>
      <c r="L1449" s="6" t="n">
        <v>27.22</v>
      </c>
      <c r="M1449" s="6" t="n">
        <v>27.22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3/4"</t>
        </is>
      </c>
    </row>
    <row r="1450">
      <c r="A1450" s="3" t="inlineStr">
        <is>
          <t>MAT-32-090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plástico 5/8"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106</v>
      </c>
      <c r="L1450" s="6" t="n">
        <v>106</v>
      </c>
      <c r="M1450" s="6" t="n">
        <v>106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plástico · medida: 5/8"</t>
        </is>
      </c>
    </row>
    <row r="1451">
      <c r="A1451" s="3" t="inlineStr">
        <is>
          <t>MAT-32-091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2</v>
      </c>
      <c r="K1451" s="6" t="n">
        <v>69</v>
      </c>
      <c r="L1451" s="6" t="n">
        <v>58.58</v>
      </c>
      <c r="M1451" s="6" t="n">
        <v>172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 · Ferretería Cima</t>
        </is>
      </c>
      <c r="AF1451" s="4" t="inlineStr">
        <is>
          <t>tipo: adaptador-hembra · material: PPR · medida: 20 mm</t>
        </is>
      </c>
    </row>
    <row r="1452">
      <c r="A1452" s="3" t="inlineStr">
        <is>
          <t>MAT-32-092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68</v>
      </c>
      <c r="L1452" s="6" t="n">
        <v>60</v>
      </c>
      <c r="M1452" s="6" t="n">
        <v>76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PPR · medida: 25 mm</t>
        </is>
      </c>
    </row>
    <row r="1453">
      <c r="A1453" s="3" t="inlineStr">
        <is>
          <t>MAT-32-093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80</v>
      </c>
      <c r="L1453" s="6" t="n">
        <v>56.64</v>
      </c>
      <c r="M1453" s="6" t="n">
        <v>140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32 mm</t>
        </is>
      </c>
    </row>
    <row r="1454">
      <c r="A1454" s="3" t="inlineStr">
        <is>
          <t>MAT-32-094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50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270</v>
      </c>
      <c r="L1454" s="6" t="n">
        <v>270</v>
      </c>
      <c r="M1454" s="6" t="n">
        <v>270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50 mm</t>
        </is>
      </c>
    </row>
    <row r="1455">
      <c r="A1455" s="3" t="inlineStr">
        <is>
          <t>MAT-32-095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47.15</v>
      </c>
      <c r="L1455" s="6" t="n">
        <v>19.21</v>
      </c>
      <c r="M1455" s="6" t="n">
        <v>75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1 1/2"</t>
        </is>
      </c>
    </row>
    <row r="1456">
      <c r="A1456" s="3" t="inlineStr">
        <is>
          <t>MAT-32-096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10.51</v>
      </c>
      <c r="L1456" s="6" t="n">
        <v>4.73</v>
      </c>
      <c r="M1456" s="6" t="n">
        <v>20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1/2"</t>
        </is>
      </c>
    </row>
    <row r="1457">
      <c r="A1457" s="3" t="inlineStr">
        <is>
          <t>MAT-32-097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23.63</v>
      </c>
      <c r="L1457" s="6" t="n">
        <v>11.28</v>
      </c>
      <c r="M1457" s="6" t="n">
        <v>45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1"</t>
        </is>
      </c>
    </row>
    <row r="1458">
      <c r="A1458" s="3" t="inlineStr">
        <is>
          <t>MAT-32-098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67.28</v>
      </c>
      <c r="L1458" s="6" t="n">
        <v>27.15</v>
      </c>
      <c r="M1458" s="6" t="n">
        <v>130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2"</t>
        </is>
      </c>
    </row>
    <row r="1459">
      <c r="A1459" s="3" t="inlineStr">
        <is>
          <t>MAT-32-099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25.11</v>
      </c>
      <c r="L1459" s="6" t="n">
        <v>6.78</v>
      </c>
      <c r="M1459" s="6" t="n">
        <v>29.4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3/4"</t>
        </is>
      </c>
    </row>
    <row r="1460">
      <c r="A1460" s="3" t="inlineStr">
        <is>
          <t>MAT-32-100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81.23</v>
      </c>
      <c r="L1460" s="6" t="n">
        <v>70.8</v>
      </c>
      <c r="M1460" s="6" t="n">
        <v>177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3"</t>
        </is>
      </c>
    </row>
    <row r="1461">
      <c r="A1461" s="3" t="inlineStr">
        <is>
          <t>MAT-32-101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128.31</v>
      </c>
      <c r="L1461" s="6" t="n">
        <v>94</v>
      </c>
      <c r="M1461" s="6" t="n">
        <v>172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4"</t>
        </is>
      </c>
    </row>
    <row r="1462">
      <c r="A1462" s="3" t="inlineStr">
        <is>
          <t>MAT-32-102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6"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790</v>
      </c>
      <c r="L1462" s="6" t="n">
        <v>790</v>
      </c>
      <c r="M1462" s="6" t="n">
        <v>790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adaptador-hembra · material: PVC · medida: 6"</t>
        </is>
      </c>
    </row>
    <row r="1463">
      <c r="A1463" s="3" t="inlineStr">
        <is>
          <t>MAT-32-103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0.31"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88</v>
      </c>
      <c r="L1463" s="6" t="n">
        <v>88</v>
      </c>
      <c r="M1463" s="6" t="n">
        <v>88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0.31" x 3/8"</t>
        </is>
      </c>
    </row>
    <row r="1464">
      <c r="A1464" s="3" t="inlineStr">
        <is>
          <t>MAT-32-104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154</v>
      </c>
      <c r="L1464" s="6" t="n">
        <v>111</v>
      </c>
      <c r="M1464" s="6" t="n">
        <v>200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1/2" x 1/2"</t>
        </is>
      </c>
    </row>
    <row r="1465">
      <c r="A1465" s="3" t="inlineStr">
        <is>
          <t>MAT-32-105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196</v>
      </c>
      <c r="L1465" s="6" t="n">
        <v>196</v>
      </c>
      <c r="M1465" s="6" t="n">
        <v>196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3/4"</t>
        </is>
      </c>
    </row>
    <row r="1466">
      <c r="A1466" s="3" t="inlineStr">
        <is>
          <t>MAT-32-106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115.5</v>
      </c>
      <c r="L1466" s="6" t="n">
        <v>94</v>
      </c>
      <c r="M1466" s="6" t="n">
        <v>137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3/8"</t>
        </is>
      </c>
    </row>
    <row r="1467">
      <c r="A1467" s="3" t="inlineStr">
        <is>
          <t>MAT-32-107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120</v>
      </c>
      <c r="L1467" s="6" t="n">
        <v>120</v>
      </c>
      <c r="M1467" s="6" t="n">
        <v>120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1/2"</t>
        </is>
      </c>
    </row>
    <row r="1468">
      <c r="A1468" s="3" t="inlineStr">
        <is>
          <t>MAT-32-108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75.09</v>
      </c>
      <c r="L1468" s="6" t="n">
        <v>62.17</v>
      </c>
      <c r="M1468" s="6" t="n">
        <v>88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1/4"</t>
        </is>
      </c>
    </row>
    <row r="1469">
      <c r="A1469" s="3" t="inlineStr">
        <is>
          <t>MAT-32-109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51.5</v>
      </c>
      <c r="L1469" s="6" t="n">
        <v>43</v>
      </c>
      <c r="M1469" s="6" t="n">
        <v>60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1/8"</t>
        </is>
      </c>
    </row>
    <row r="1470">
      <c r="A1470" s="3" t="inlineStr">
        <is>
          <t>MAT-32-110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3/8"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81</v>
      </c>
      <c r="L1470" s="6" t="n">
        <v>81</v>
      </c>
      <c r="M1470" s="6" t="n">
        <v>81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3/8"</t>
        </is>
      </c>
    </row>
    <row r="1471">
      <c r="A1471" s="3" t="inlineStr">
        <is>
          <t>MAT-32-111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232</v>
      </c>
      <c r="L1471" s="6" t="n">
        <v>232</v>
      </c>
      <c r="M1471" s="6" t="n">
        <v>232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12" x 1/2"</t>
        </is>
      </c>
    </row>
    <row r="1472">
      <c r="A1472" s="3" t="inlineStr">
        <is>
          <t>MAT-32-112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326</v>
      </c>
      <c r="L1472" s="6" t="n">
        <v>326</v>
      </c>
      <c r="M1472" s="6" t="n">
        <v>326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3/8"</t>
        </is>
      </c>
    </row>
    <row r="1473">
      <c r="A1473" s="3" t="inlineStr">
        <is>
          <t>MAT-32-113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205</v>
      </c>
      <c r="L1473" s="6" t="n">
        <v>205</v>
      </c>
      <c r="M1473" s="6" t="n">
        <v>205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15" x 1/2"</t>
        </is>
      </c>
    </row>
    <row r="1474">
      <c r="A1474" s="3" t="inlineStr">
        <is>
          <t>MAT-32-114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377</v>
      </c>
      <c r="L1474" s="6" t="n">
        <v>377</v>
      </c>
      <c r="M1474" s="6" t="n">
        <v>377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3/4"</t>
        </is>
      </c>
    </row>
    <row r="1475">
      <c r="A1475" s="3" t="inlineStr">
        <is>
          <t>MAT-32-115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309</v>
      </c>
      <c r="L1475" s="6" t="n">
        <v>309</v>
      </c>
      <c r="M1475" s="6" t="n">
        <v>309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3/8"</t>
        </is>
      </c>
    </row>
    <row r="1476">
      <c r="A1476" s="3" t="inlineStr">
        <is>
          <t>MAT-32-116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232</v>
      </c>
      <c r="L1476" s="6" t="n">
        <v>232</v>
      </c>
      <c r="M1476" s="6" t="n">
        <v>232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18" x 1/2"</t>
        </is>
      </c>
    </row>
    <row r="1477">
      <c r="A1477" s="3" t="inlineStr">
        <is>
          <t>MAT-32-117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315</v>
      </c>
      <c r="L1477" s="6" t="n">
        <v>315</v>
      </c>
      <c r="M1477" s="6" t="n">
        <v>315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3/4"</t>
        </is>
      </c>
    </row>
    <row r="1478">
      <c r="A1478" s="3" t="inlineStr">
        <is>
          <t>MAT-32-118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25"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390</v>
      </c>
      <c r="L1478" s="6" t="n">
        <v>390</v>
      </c>
      <c r="M1478" s="6" t="n">
        <v>390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25" x 3/4"</t>
        </is>
      </c>
    </row>
    <row r="1479">
      <c r="A1479" s="3" t="inlineStr">
        <is>
          <t>MAT-32-119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149</v>
      </c>
      <c r="L1479" s="6" t="n">
        <v>149</v>
      </c>
      <c r="M1479" s="6" t="n">
        <v>149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3/8" x 1/2"</t>
        </is>
      </c>
    </row>
    <row r="1480">
      <c r="A1480" s="3" t="inlineStr">
        <is>
          <t>MAT-32-120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3/8"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78</v>
      </c>
      <c r="L1480" s="6" t="n">
        <v>68</v>
      </c>
      <c r="M1480" s="6" t="n">
        <v>88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3/8"</t>
        </is>
      </c>
    </row>
    <row r="1481">
      <c r="A1481" s="3" t="inlineStr">
        <is>
          <t>MAT-32-121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32" x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597</v>
      </c>
      <c r="L1481" s="6" t="n">
        <v>597</v>
      </c>
      <c r="M1481" s="6" t="n">
        <v>597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32" x 1"</t>
        </is>
      </c>
    </row>
    <row r="1482">
      <c r="A1482" s="3" t="inlineStr">
        <is>
          <t>MAT-32-122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5/8"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152</v>
      </c>
      <c r="L1482" s="6" t="n">
        <v>152</v>
      </c>
      <c r="M1482" s="6" t="n">
        <v>152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5/8" x 1/2"</t>
        </is>
      </c>
    </row>
    <row r="1483">
      <c r="A1483" s="3" t="inlineStr">
        <is>
          <t>MAT-32-123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cobre 1" x 1 1/8"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119</v>
      </c>
      <c r="L1483" s="6" t="n">
        <v>119</v>
      </c>
      <c r="M1483" s="6" t="n">
        <v>119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cobre · medida: 1" x 1 1/8"</t>
        </is>
      </c>
    </row>
    <row r="1484">
      <c r="A1484" s="3" t="inlineStr">
        <is>
          <t>MAT-32-124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13</v>
      </c>
      <c r="L1484" s="6" t="n">
        <v>13</v>
      </c>
      <c r="M1484" s="6" t="n">
        <v>13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CPVC · medida: 1/2"</t>
        </is>
      </c>
    </row>
    <row r="1485">
      <c r="A1485" s="3" t="inlineStr">
        <is>
          <t>MAT-32-125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32.71</v>
      </c>
      <c r="L1485" s="6" t="n">
        <v>32.71</v>
      </c>
      <c r="M1485" s="6" t="n">
        <v>32.71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1"</t>
        </is>
      </c>
    </row>
    <row r="1486">
      <c r="A1486" s="3" t="inlineStr">
        <is>
          <t>MAT-32-126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18.22</v>
      </c>
      <c r="L1486" s="6" t="n">
        <v>18.22</v>
      </c>
      <c r="M1486" s="6" t="n">
        <v>18.22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3/4"</t>
        </is>
      </c>
    </row>
    <row r="1487">
      <c r="A1487" s="3" t="inlineStr">
        <is>
          <t>MAT-32-127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155</v>
      </c>
      <c r="L1487" s="6" t="n">
        <v>155</v>
      </c>
      <c r="M1487" s="6" t="n">
        <v>155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1/2"</t>
        </is>
      </c>
    </row>
    <row r="1488">
      <c r="A1488" s="3" t="inlineStr">
        <is>
          <t>MAT-32-128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190</v>
      </c>
      <c r="L1488" s="6" t="n">
        <v>190</v>
      </c>
      <c r="M1488" s="6" t="n">
        <v>190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1"</t>
        </is>
      </c>
    </row>
    <row r="1489">
      <c r="A1489" s="3" t="inlineStr">
        <is>
          <t>MAT-32-129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285</v>
      </c>
      <c r="L1489" s="6" t="n">
        <v>285</v>
      </c>
      <c r="M1489" s="6" t="n">
        <v>285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2"</t>
        </is>
      </c>
    </row>
    <row r="1490">
      <c r="A1490" s="3" t="inlineStr">
        <is>
          <t>MAT-32-130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3/4" x 0"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187</v>
      </c>
      <c r="L1490" s="6" t="n">
        <v>187</v>
      </c>
      <c r="M1490" s="6" t="n">
        <v>187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3/4" x 0"</t>
        </is>
      </c>
    </row>
    <row r="1491">
      <c r="A1491" s="3" t="inlineStr">
        <is>
          <t>MAT-32-131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136.06</v>
      </c>
      <c r="L1491" s="6" t="n">
        <v>63.5</v>
      </c>
      <c r="M1491" s="6" t="n">
        <v>205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adaptador-macho · material: PPR · medida: 20 mm</t>
        </is>
      </c>
    </row>
    <row r="1492">
      <c r="A1492" s="3" t="inlineStr">
        <is>
          <t>MAT-32-132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25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91</v>
      </c>
      <c r="L1492" s="6" t="n">
        <v>74.16</v>
      </c>
      <c r="M1492" s="6" t="n">
        <v>253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25 mm</t>
        </is>
      </c>
    </row>
    <row r="1493">
      <c r="A1493" s="3" t="inlineStr">
        <is>
          <t>MAT-32-133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32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83.45</v>
      </c>
      <c r="L1493" s="6" t="n">
        <v>78.15000000000001</v>
      </c>
      <c r="M1493" s="6" t="n">
        <v>175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PPR · medida: 32 mm</t>
        </is>
      </c>
    </row>
    <row r="1494">
      <c r="A1494" s="3" t="inlineStr">
        <is>
          <t>MAT-32-134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50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310</v>
      </c>
      <c r="L1494" s="6" t="n">
        <v>310</v>
      </c>
      <c r="M1494" s="6" t="n">
        <v>310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50 mm</t>
        </is>
      </c>
    </row>
    <row r="1495">
      <c r="A1495" s="3" t="inlineStr">
        <is>
          <t>MAT-32-135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34.5</v>
      </c>
      <c r="L1495" s="6" t="n">
        <v>19.31</v>
      </c>
      <c r="M1495" s="6" t="n">
        <v>95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1 1/2"</t>
        </is>
      </c>
    </row>
    <row r="1496">
      <c r="A1496" s="3" t="inlineStr">
        <is>
          <t>MAT-32-136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5.36</v>
      </c>
      <c r="L1496" s="6" t="n">
        <v>4.08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1/2"</t>
        </is>
      </c>
    </row>
    <row r="1497">
      <c r="A1497" s="3" t="inlineStr">
        <is>
          <t>MAT-32-137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18.2</v>
      </c>
      <c r="L1497" s="6" t="n">
        <v>8.73</v>
      </c>
      <c r="M1497" s="6" t="n">
        <v>40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1"</t>
        </is>
      </c>
    </row>
    <row r="1498">
      <c r="A1498" s="3" t="inlineStr">
        <is>
          <t>MAT-32-138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60.76</v>
      </c>
      <c r="L1498" s="6" t="n">
        <v>28.05</v>
      </c>
      <c r="M1498" s="6" t="n">
        <v>126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2"</t>
        </is>
      </c>
    </row>
    <row r="1499">
      <c r="A1499" s="3" t="inlineStr">
        <is>
          <t>MAT-32-139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10.75</v>
      </c>
      <c r="L1499" s="6" t="n">
        <v>5.62</v>
      </c>
      <c r="M1499" s="6" t="n">
        <v>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3/4"</t>
        </is>
      </c>
    </row>
    <row r="1500">
      <c r="A1500" s="3" t="inlineStr">
        <is>
          <t>MAT-32-140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157</v>
      </c>
      <c r="L1500" s="6" t="n">
        <v>85</v>
      </c>
      <c r="M1500" s="6" t="n">
        <v>271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3"</t>
        </is>
      </c>
    </row>
    <row r="1501">
      <c r="A1501" s="3" t="inlineStr">
        <is>
          <t>MAT-32-141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234.99</v>
      </c>
      <c r="L1501" s="6" t="n">
        <v>120</v>
      </c>
      <c r="M1501" s="6" t="n">
        <v>341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4"</t>
        </is>
      </c>
    </row>
    <row r="1502">
      <c r="A1502" s="3" t="inlineStr">
        <is>
          <t>MAT-32-142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6"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567</v>
      </c>
      <c r="L1502" s="6" t="n">
        <v>567</v>
      </c>
      <c r="M1502" s="6" t="n">
        <v>567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adaptador-macho · material: PVC · medida: 6"</t>
        </is>
      </c>
    </row>
    <row r="1503">
      <c r="A1503" s="3" t="inlineStr">
        <is>
          <t>MAT-32-143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de bronce 7/8" x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176</v>
      </c>
      <c r="L1503" s="6" t="n">
        <v>176</v>
      </c>
      <c r="M1503" s="6" t="n">
        <v>176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 · material: bronce · medida: 7/8" x 1/2"</t>
        </is>
      </c>
    </row>
    <row r="1504">
      <c r="A1504" s="3" t="inlineStr">
        <is>
          <t>MAT-32-144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0.19"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0.19"</t>
        </is>
      </c>
    </row>
    <row r="1505">
      <c r="A1505" s="3" t="inlineStr">
        <is>
          <t>MAT-32-145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0.31"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19</v>
      </c>
      <c r="L1505" s="6" t="n">
        <v>19</v>
      </c>
      <c r="M1505" s="6" t="n">
        <v>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0.31"</t>
        </is>
      </c>
    </row>
    <row r="1506">
      <c r="A1506" s="3" t="inlineStr">
        <is>
          <t>MAT-32-146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32</v>
      </c>
      <c r="L1506" s="6" t="n">
        <v>32</v>
      </c>
      <c r="M1506" s="6" t="n">
        <v>32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1/2"</t>
        </is>
      </c>
    </row>
    <row r="1507">
      <c r="A1507" s="3" t="inlineStr">
        <is>
          <t>MAT-32-147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31</v>
      </c>
      <c r="L1507" s="6" t="n">
        <v>31</v>
      </c>
      <c r="M1507" s="6" t="n">
        <v>31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1/4"</t>
        </is>
      </c>
    </row>
    <row r="1508">
      <c r="A1508" s="3" t="inlineStr">
        <is>
          <t>MAT-32-148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3/8"</t>
        </is>
      </c>
    </row>
    <row r="1509">
      <c r="A1509" s="3" t="inlineStr">
        <is>
          <t>MAT-32-149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10.5</v>
      </c>
      <c r="L1509" s="6" t="n">
        <v>10.5</v>
      </c>
      <c r="M1509" s="6" t="n">
        <v>10.5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CPVC · medida: 1/2"</t>
        </is>
      </c>
    </row>
    <row r="1510">
      <c r="A1510" s="3" t="inlineStr">
        <is>
          <t>MAT-32-150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33.39</v>
      </c>
      <c r="L1510" s="6" t="n">
        <v>33.39</v>
      </c>
      <c r="M1510" s="6" t="n">
        <v>33.39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1"</t>
        </is>
      </c>
    </row>
    <row r="1511">
      <c r="A1511" s="3" t="inlineStr">
        <is>
          <t>MAT-32-151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25.61</v>
      </c>
      <c r="L1511" s="6" t="n">
        <v>25.61</v>
      </c>
      <c r="M1511" s="6" t="n">
        <v>25.61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3/4"</t>
        </is>
      </c>
    </row>
    <row r="1512">
      <c r="A1512" s="3" t="inlineStr">
        <is>
          <t>MAT-32-152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120</v>
      </c>
      <c r="L1512" s="6" t="n">
        <v>120</v>
      </c>
      <c r="M1512" s="6" t="n">
        <v>120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 1/2"</t>
        </is>
      </c>
    </row>
    <row r="1513">
      <c r="A1513" s="3" t="inlineStr">
        <is>
          <t>MAT-32-153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25.82</v>
      </c>
      <c r="L1513" s="6" t="n">
        <v>25.82</v>
      </c>
      <c r="M1513" s="6" t="n">
        <v>25.82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1/2"</t>
        </is>
      </c>
    </row>
    <row r="1514">
      <c r="A1514" s="3" t="inlineStr">
        <is>
          <t>MAT-32-154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35.9</v>
      </c>
      <c r="L1514" s="6" t="n">
        <v>35.9</v>
      </c>
      <c r="M1514" s="6" t="n">
        <v>35.9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1/4"</t>
        </is>
      </c>
    </row>
    <row r="1515">
      <c r="A1515" s="3" t="inlineStr">
        <is>
          <t>MAT-32-155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57</v>
      </c>
      <c r="L1515" s="6" t="n">
        <v>57</v>
      </c>
      <c r="M1515" s="6" t="n">
        <v>57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1"</t>
        </is>
      </c>
    </row>
    <row r="1516">
      <c r="A1516" s="3" t="inlineStr">
        <is>
          <t>MAT-32-156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181</v>
      </c>
      <c r="L1516" s="6" t="n">
        <v>181</v>
      </c>
      <c r="M1516" s="6" t="n">
        <v>181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2"</t>
        </is>
      </c>
    </row>
    <row r="1517">
      <c r="A1517" s="3" t="inlineStr">
        <is>
          <t>MAT-32-157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3/8"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4.27</v>
      </c>
      <c r="L1517" s="6" t="n">
        <v>4.27</v>
      </c>
      <c r="M1517" s="6" t="n">
        <v>4.27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3/8"</t>
        </is>
      </c>
    </row>
    <row r="1518">
      <c r="A1518" s="3" t="inlineStr">
        <is>
          <t>MAT-32-158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5.85</v>
      </c>
      <c r="L1518" s="6" t="n">
        <v>5.85</v>
      </c>
      <c r="M1518" s="6" t="n">
        <v>5.85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20 mm</t>
        </is>
      </c>
    </row>
    <row r="1519">
      <c r="A1519" s="3" t="inlineStr">
        <is>
          <t>MAT-32-159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25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22.54</v>
      </c>
      <c r="L1519" s="6" t="n">
        <v>8.08</v>
      </c>
      <c r="M1519" s="6" t="n">
        <v>37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PPR · medida: 25 mm</t>
        </is>
      </c>
    </row>
    <row r="1520">
      <c r="A1520" s="3" t="inlineStr">
        <is>
          <t>MAT-32-160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32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14.42</v>
      </c>
      <c r="L1520" s="6" t="n">
        <v>14.42</v>
      </c>
      <c r="M1520" s="6" t="n">
        <v>14.42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PPR · medida: 32 mm</t>
        </is>
      </c>
    </row>
    <row r="1521">
      <c r="A1521" s="3" t="inlineStr">
        <is>
          <t>MAT-32-161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50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46.63</v>
      </c>
      <c r="L1521" s="6" t="n">
        <v>46.63</v>
      </c>
      <c r="M1521" s="6" t="n">
        <v>46.63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50 mm</t>
        </is>
      </c>
    </row>
    <row r="1522">
      <c r="A1522" s="3" t="inlineStr">
        <is>
          <t>MAT-32-162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14.84</v>
      </c>
      <c r="L1522" s="6" t="n">
        <v>11</v>
      </c>
      <c r="M1522" s="6" t="n">
        <v>45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1 1/2"</t>
        </is>
      </c>
    </row>
    <row r="1523">
      <c r="A1523" s="3" t="inlineStr">
        <is>
          <t>MAT-32-163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20.33</v>
      </c>
      <c r="L1523" s="6" t="n">
        <v>15.6</v>
      </c>
      <c r="M1523" s="6" t="n">
        <v>55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2"</t>
        </is>
      </c>
    </row>
    <row r="1524">
      <c r="A1524" s="3" t="inlineStr">
        <is>
          <t>MAT-32-164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3"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55.48</v>
      </c>
      <c r="L1524" s="6" t="n">
        <v>41</v>
      </c>
      <c r="M1524" s="6" t="n">
        <v>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3"</t>
        </is>
      </c>
    </row>
    <row r="1525">
      <c r="A1525" s="3" t="inlineStr">
        <is>
          <t>MAT-32-165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90.86</v>
      </c>
      <c r="L1525" s="6" t="n">
        <v>66</v>
      </c>
      <c r="M1525" s="6" t="n">
        <v>135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4"</t>
        </is>
      </c>
    </row>
    <row r="1526">
      <c r="A1526" s="3" t="inlineStr">
        <is>
          <t>MAT-32-166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6"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528.5</v>
      </c>
      <c r="L1526" s="6" t="n">
        <v>445</v>
      </c>
      <c r="M1526" s="6" t="n">
        <v>612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6"</t>
        </is>
      </c>
    </row>
    <row r="1527">
      <c r="A1527" s="3" t="inlineStr">
        <is>
          <t>MAT-32-167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 1/2"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101</v>
      </c>
      <c r="L1527" s="6" t="n">
        <v>101</v>
      </c>
      <c r="M1527" s="6" t="n">
        <v>101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1 1/2"</t>
        </is>
      </c>
    </row>
    <row r="1528">
      <c r="A1528" s="3" t="inlineStr">
        <is>
          <t>MAT-32-168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12.69</v>
      </c>
      <c r="L1528" s="6" t="n">
        <v>12.69</v>
      </c>
      <c r="M1528" s="6" t="n">
        <v>12.69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1/2"</t>
        </is>
      </c>
    </row>
    <row r="1529">
      <c r="A1529" s="3" t="inlineStr">
        <is>
          <t>MAT-32-169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33.87</v>
      </c>
      <c r="L1529" s="6" t="n">
        <v>33.87</v>
      </c>
      <c r="M1529" s="6" t="n">
        <v>33.87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1"</t>
        </is>
      </c>
    </row>
    <row r="1530">
      <c r="A1530" s="3" t="inlineStr">
        <is>
          <t>MAT-32-170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85.05</v>
      </c>
      <c r="L1530" s="6" t="n">
        <v>85.05</v>
      </c>
      <c r="M1530" s="6" t="n">
        <v>85.05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2"</t>
        </is>
      </c>
    </row>
    <row r="1531">
      <c r="A1531" s="3" t="inlineStr">
        <is>
          <t>MAT-32-171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20.29</v>
      </c>
      <c r="L1531" s="6" t="n">
        <v>20.29</v>
      </c>
      <c r="M1531" s="6" t="n">
        <v>20.29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3/4"</t>
        </is>
      </c>
    </row>
    <row r="1532">
      <c r="A1532" s="3" t="inlineStr">
        <is>
          <t>MAT-32-172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47.28</v>
      </c>
      <c r="L1532" s="6" t="n">
        <v>29.55</v>
      </c>
      <c r="M1532" s="6" t="n">
        <v>65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presión · medida: 1 1/2"</t>
        </is>
      </c>
    </row>
    <row r="1533">
      <c r="A1533" s="3" t="inlineStr">
        <is>
          <t>MAT-32-173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7.08</v>
      </c>
      <c r="L1533" s="6" t="n">
        <v>4.75</v>
      </c>
      <c r="M1533" s="6" t="n">
        <v>35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1/2"</t>
        </is>
      </c>
    </row>
    <row r="1534">
      <c r="A1534" s="3" t="inlineStr">
        <is>
          <t>MAT-32-174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22.03</v>
      </c>
      <c r="L1534" s="6" t="n">
        <v>14.1</v>
      </c>
      <c r="M1534" s="6" t="n">
        <v>90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1"</t>
        </is>
      </c>
    </row>
    <row r="1535">
      <c r="A1535" s="3" t="inlineStr">
        <is>
          <t>MAT-32-175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40.63</v>
      </c>
      <c r="L1535" s="6" t="n">
        <v>33.12</v>
      </c>
      <c r="M1535" s="6" t="n">
        <v>48.14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2"</t>
        </is>
      </c>
    </row>
    <row r="1536">
      <c r="A1536" s="3" t="inlineStr">
        <is>
          <t>MAT-32-176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3/4"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12.38</v>
      </c>
      <c r="L1536" s="6" t="n">
        <v>9.050000000000001</v>
      </c>
      <c r="M1536" s="6" t="n">
        <v>25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codo-45 · material: PVC presión · medida: 3/4"</t>
        </is>
      </c>
    </row>
    <row r="1537">
      <c r="A1537" s="3" t="inlineStr">
        <is>
          <t>MAT-32-177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142.32</v>
      </c>
      <c r="L1537" s="6" t="n">
        <v>142.32</v>
      </c>
      <c r="M1537" s="6" t="n">
        <v>142.32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3"</t>
        </is>
      </c>
    </row>
    <row r="1538">
      <c r="A1538" s="3" t="inlineStr">
        <is>
          <t>MAT-32-178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273.86</v>
      </c>
      <c r="L1538" s="6" t="n">
        <v>273.86</v>
      </c>
      <c r="M1538" s="6" t="n">
        <v>273.86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4"</t>
        </is>
      </c>
    </row>
    <row r="1539">
      <c r="A1539" s="3" t="inlineStr">
        <is>
          <t>MAT-32-179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6"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745.5</v>
      </c>
      <c r="L1539" s="6" t="n">
        <v>576</v>
      </c>
      <c r="M1539" s="6" t="n">
        <v>915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6"</t>
        </is>
      </c>
    </row>
    <row r="1540">
      <c r="A1540" s="3" t="inlineStr">
        <is>
          <t>MAT-32-180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8"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4409</v>
      </c>
      <c r="L1540" s="6" t="n">
        <v>4409</v>
      </c>
      <c r="M1540" s="6" t="n">
        <v>4409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8"</t>
        </is>
      </c>
    </row>
    <row r="1541">
      <c r="A1541" s="3" t="inlineStr">
        <is>
          <t>MAT-32-181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 1/8"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380</v>
      </c>
      <c r="L1541" s="6" t="n">
        <v>380</v>
      </c>
      <c r="M1541" s="6" t="n">
        <v>380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1 1/8"</t>
        </is>
      </c>
    </row>
    <row r="1542">
      <c r="A1542" s="3" t="inlineStr">
        <is>
          <t>MAT-32-182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49.82</v>
      </c>
      <c r="L1542" s="6" t="n">
        <v>49.82</v>
      </c>
      <c r="M1542" s="6" t="n">
        <v>49.82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1/2"</t>
        </is>
      </c>
    </row>
    <row r="1543">
      <c r="A1543" s="3" t="inlineStr">
        <is>
          <t>MAT-32-183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107</v>
      </c>
      <c r="L1543" s="6" t="n">
        <v>107</v>
      </c>
      <c r="M1543" s="6" t="n">
        <v>107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3/4"</t>
        </is>
      </c>
    </row>
    <row r="1544">
      <c r="A1544" s="3" t="inlineStr">
        <is>
          <t>MAT-32-184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3/8"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46.98</v>
      </c>
      <c r="L1544" s="6" t="n">
        <v>46.98</v>
      </c>
      <c r="M1544" s="6" t="n">
        <v>46.98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3/8"</t>
        </is>
      </c>
    </row>
    <row r="1545">
      <c r="A1545" s="3" t="inlineStr">
        <is>
          <t>MAT-32-185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5/8"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80</v>
      </c>
      <c r="L1545" s="6" t="n">
        <v>80</v>
      </c>
      <c r="M1545" s="6" t="n">
        <v>80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5/8"</t>
        </is>
      </c>
    </row>
    <row r="1546">
      <c r="A1546" s="3" t="inlineStr">
        <is>
          <t>MAT-32-186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7/8"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159</v>
      </c>
      <c r="L1546" s="6" t="n">
        <v>159</v>
      </c>
      <c r="M1546" s="6" t="n">
        <v>159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7/8"</t>
        </is>
      </c>
    </row>
    <row r="1547">
      <c r="A1547" s="3" t="inlineStr">
        <is>
          <t>MAT-32-187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10.61</v>
      </c>
      <c r="L1547" s="6" t="n">
        <v>10.61</v>
      </c>
      <c r="M1547" s="6" t="n">
        <v>10.61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CPVC · medida: 1/2"</t>
        </is>
      </c>
    </row>
    <row r="1548">
      <c r="A1548" s="3" t="inlineStr">
        <is>
          <t>MAT-32-188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45.15</v>
      </c>
      <c r="L1548" s="6" t="n">
        <v>45.15</v>
      </c>
      <c r="M1548" s="6" t="n">
        <v>45.15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1"</t>
        </is>
      </c>
    </row>
    <row r="1549">
      <c r="A1549" s="3" t="inlineStr">
        <is>
          <t>MAT-32-189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15.75</v>
      </c>
      <c r="L1549" s="6" t="n">
        <v>15.75</v>
      </c>
      <c r="M1549" s="6" t="n">
        <v>15.75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3/4"</t>
        </is>
      </c>
    </row>
    <row r="1550">
      <c r="A1550" s="3" t="inlineStr">
        <is>
          <t>MAT-32-190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106</v>
      </c>
      <c r="L1550" s="6" t="n">
        <v>106</v>
      </c>
      <c r="M1550" s="6" t="n">
        <v>106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 1/2"</t>
        </is>
      </c>
    </row>
    <row r="1551">
      <c r="A1551" s="3" t="inlineStr">
        <is>
          <t>MAT-32-191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1/4"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87</v>
      </c>
      <c r="L1551" s="6" t="n">
        <v>87</v>
      </c>
      <c r="M1551" s="6" t="n">
        <v>87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1/4"</t>
        </is>
      </c>
    </row>
    <row r="1552">
      <c r="A1552" s="3" t="inlineStr">
        <is>
          <t>MAT-32-192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24</v>
      </c>
      <c r="L1552" s="6" t="n">
        <v>24</v>
      </c>
      <c r="M1552" s="6" t="n">
        <v>24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1/2"</t>
        </is>
      </c>
    </row>
    <row r="1553">
      <c r="A1553" s="3" t="inlineStr">
        <is>
          <t>MAT-32-193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38.35</v>
      </c>
      <c r="L1553" s="6" t="n">
        <v>38.35</v>
      </c>
      <c r="M1553" s="6" t="n">
        <v>38.35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1/4"</t>
        </is>
      </c>
    </row>
    <row r="1554">
      <c r="A1554" s="3" t="inlineStr">
        <is>
          <t>MAT-32-194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</v>
      </c>
      <c r="L1554" s="6" t="n">
        <v>51</v>
      </c>
      <c r="M1554" s="6" t="n">
        <v>51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1"</t>
        </is>
      </c>
    </row>
    <row r="1555">
      <c r="A1555" s="3" t="inlineStr">
        <is>
          <t>MAT-32-195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170</v>
      </c>
      <c r="L1555" s="6" t="n">
        <v>170</v>
      </c>
      <c r="M1555" s="6" t="n">
        <v>170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2"</t>
        </is>
      </c>
    </row>
    <row r="1556">
      <c r="A1556" s="3" t="inlineStr">
        <is>
          <t>MAT-32-196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34</v>
      </c>
      <c r="L1556" s="6" t="n">
        <v>34</v>
      </c>
      <c r="M1556" s="6" t="n">
        <v>34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3/4"</t>
        </is>
      </c>
    </row>
    <row r="1557">
      <c r="A1557" s="3" t="inlineStr">
        <is>
          <t>MAT-32-197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51.55</v>
      </c>
      <c r="L1557" s="6" t="n">
        <v>51.55</v>
      </c>
      <c r="M1557" s="6" t="n">
        <v>51.55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3/8"</t>
        </is>
      </c>
    </row>
    <row r="1558">
      <c r="A1558" s="3" t="inlineStr">
        <is>
          <t>MAT-32-198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464</v>
      </c>
      <c r="L1558" s="6" t="n">
        <v>464</v>
      </c>
      <c r="M1558" s="6" t="n">
        <v>464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3"</t>
        </is>
      </c>
    </row>
    <row r="1559">
      <c r="A1559" s="3" t="inlineStr">
        <is>
          <t>MAT-32-199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840</v>
      </c>
      <c r="L1559" s="6" t="n">
        <v>840</v>
      </c>
      <c r="M1559" s="6" t="n">
        <v>840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4"</t>
        </is>
      </c>
    </row>
    <row r="1560">
      <c r="A1560" s="3" t="inlineStr">
        <is>
          <t>MAT-32-200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50"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315</v>
      </c>
      <c r="L1560" s="6" t="n">
        <v>315</v>
      </c>
      <c r="M1560" s="6" t="n">
        <v>315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plástico · medida: 50"</t>
        </is>
      </c>
    </row>
    <row r="1561">
      <c r="A1561" s="3" t="inlineStr">
        <is>
          <t>MAT-32-201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63"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415</v>
      </c>
      <c r="L1561" s="6" t="n">
        <v>370</v>
      </c>
      <c r="M1561" s="6" t="n">
        <v>460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63"</t>
        </is>
      </c>
    </row>
    <row r="1562">
      <c r="A1562" s="3" t="inlineStr">
        <is>
          <t>MAT-32-202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19.63</v>
      </c>
      <c r="L1562" s="6" t="n">
        <v>6.25</v>
      </c>
      <c r="M1562" s="6" t="n">
        <v>33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 · Ferretería Cima</t>
        </is>
      </c>
      <c r="AF1562" s="4" t="inlineStr">
        <is>
          <t>tipo: codo-90 · material: PPR · medida: 20 mm</t>
        </is>
      </c>
    </row>
    <row r="1563">
      <c r="A1563" s="3" t="inlineStr">
        <is>
          <t>MAT-32-203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25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24.96</v>
      </c>
      <c r="L1563" s="6" t="n">
        <v>9.92</v>
      </c>
      <c r="M1563" s="6" t="n">
        <v>40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25 mm</t>
        </is>
      </c>
    </row>
    <row r="1564">
      <c r="A1564" s="3" t="inlineStr">
        <is>
          <t>MAT-32-204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17.67</v>
      </c>
      <c r="L1564" s="6" t="n">
        <v>17.67</v>
      </c>
      <c r="M1564" s="6" t="n">
        <v>17.67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PPR · medida: 32 mm</t>
        </is>
      </c>
    </row>
    <row r="1565">
      <c r="A1565" s="3" t="inlineStr">
        <is>
          <t>MAT-32-205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50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60</v>
      </c>
      <c r="L1565" s="6" t="n">
        <v>60</v>
      </c>
      <c r="M1565" s="6" t="n">
        <v>60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50 mm</t>
        </is>
      </c>
    </row>
    <row r="1566">
      <c r="A1566" s="3" t="inlineStr">
        <is>
          <t>MAT-32-206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23.66</v>
      </c>
      <c r="L1566" s="6" t="n">
        <v>17.32</v>
      </c>
      <c r="M1566" s="6" t="n">
        <v>30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codo-90 · material: PVC drenaje · medida: 1 1/2"</t>
        </is>
      </c>
    </row>
    <row r="1567">
      <c r="A1567" s="3" t="inlineStr">
        <is>
          <t>MAT-32-207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26.8</v>
      </c>
      <c r="L1567" s="6" t="n">
        <v>16.01</v>
      </c>
      <c r="M1567" s="6" t="n">
        <v>35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2"</t>
        </is>
      </c>
    </row>
    <row r="1568">
      <c r="A1568" s="3" t="inlineStr">
        <is>
          <t>MAT-32-208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3"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75.16</v>
      </c>
      <c r="L1568" s="6" t="n">
        <v>54.53</v>
      </c>
      <c r="M1568" s="6" t="n">
        <v>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3"</t>
        </is>
      </c>
    </row>
    <row r="1569">
      <c r="A1569" s="3" t="inlineStr">
        <is>
          <t>MAT-32-209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113.88</v>
      </c>
      <c r="L1569" s="6" t="n">
        <v>89.5</v>
      </c>
      <c r="M1569" s="6" t="n">
        <v>138.26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drenaje · medida: 4"</t>
        </is>
      </c>
    </row>
    <row r="1570">
      <c r="A1570" s="3" t="inlineStr">
        <is>
          <t>MAT-32-210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6"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360.5</v>
      </c>
      <c r="L1570" s="6" t="n">
        <v>256</v>
      </c>
      <c r="M1570" s="6" t="n">
        <v>465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6"</t>
        </is>
      </c>
    </row>
    <row r="1571">
      <c r="A1571" s="3" t="inlineStr">
        <is>
          <t>MAT-32-211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 1/2"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70.2</v>
      </c>
      <c r="L1571" s="6" t="n">
        <v>70.2</v>
      </c>
      <c r="M1571" s="6" t="n">
        <v>70.2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1 1/2"</t>
        </is>
      </c>
    </row>
    <row r="1572">
      <c r="A1572" s="3" t="inlineStr">
        <is>
          <t>MAT-32-212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40.38</v>
      </c>
      <c r="L1572" s="6" t="n">
        <v>40.38</v>
      </c>
      <c r="M1572" s="6" t="n">
        <v>40.38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1"</t>
        </is>
      </c>
    </row>
    <row r="1573">
      <c r="A1573" s="3" t="inlineStr">
        <is>
          <t>MAT-32-213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120</v>
      </c>
      <c r="L1573" s="6" t="n">
        <v>120</v>
      </c>
      <c r="M1573" s="6" t="n">
        <v>120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2"</t>
        </is>
      </c>
    </row>
    <row r="1574">
      <c r="A1574" s="3" t="inlineStr">
        <is>
          <t>MAT-32-214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3/4"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22.22</v>
      </c>
      <c r="L1574" s="6" t="n">
        <v>22.22</v>
      </c>
      <c r="M1574" s="6" t="n">
        <v>22.22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3/4"</t>
        </is>
      </c>
    </row>
    <row r="1575">
      <c r="A1575" s="3" t="inlineStr">
        <is>
          <t>MAT-32-215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44.53</v>
      </c>
      <c r="L1575" s="6" t="n">
        <v>28.52</v>
      </c>
      <c r="M1575" s="6" t="n">
        <v>55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1 1/2"</t>
        </is>
      </c>
    </row>
    <row r="1576">
      <c r="A1576" s="3" t="inlineStr">
        <is>
          <t>MAT-32-216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10</v>
      </c>
      <c r="L1576" s="6" t="n">
        <v>5.75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1/2"</t>
        </is>
      </c>
    </row>
    <row r="1577">
      <c r="A1577" s="3" t="inlineStr">
        <is>
          <t>MAT-32-217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20.05</v>
      </c>
      <c r="L1577" s="6" t="n">
        <v>11.38</v>
      </c>
      <c r="M1577" s="6" t="n">
        <v>27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1"</t>
        </is>
      </c>
    </row>
    <row r="1578">
      <c r="A1578" s="3" t="inlineStr">
        <is>
          <t>MAT-32-218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67.15000000000001</v>
      </c>
      <c r="L1578" s="6" t="n">
        <v>46.28</v>
      </c>
      <c r="M1578" s="6" t="n">
        <v>145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2"</t>
        </is>
      </c>
    </row>
    <row r="1579">
      <c r="A1579" s="3" t="inlineStr">
        <is>
          <t>MAT-32-219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12.15</v>
      </c>
      <c r="L1579" s="6" t="n">
        <v>8.42</v>
      </c>
      <c r="M1579" s="6" t="n">
        <v>15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3/4"</t>
        </is>
      </c>
    </row>
    <row r="1580">
      <c r="A1580" s="3" t="inlineStr">
        <is>
          <t>MAT-32-220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187.35</v>
      </c>
      <c r="L1580" s="6" t="n">
        <v>126</v>
      </c>
      <c r="M1580" s="6" t="n">
        <v>233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3"</t>
        </is>
      </c>
    </row>
    <row r="1581">
      <c r="A1581" s="3" t="inlineStr">
        <is>
          <t>MAT-32-221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309.43</v>
      </c>
      <c r="L1581" s="6" t="n">
        <v>206</v>
      </c>
      <c r="M1581" s="6" t="n">
        <v>370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4"</t>
        </is>
      </c>
    </row>
    <row r="1582">
      <c r="A1582" s="3" t="inlineStr">
        <is>
          <t>MAT-32-222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787.5</v>
      </c>
      <c r="L1582" s="6" t="n">
        <v>710</v>
      </c>
      <c r="M1582" s="6" t="n">
        <v>865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codo-90 · material: PVC presión · medida: 6"</t>
        </is>
      </c>
    </row>
    <row r="1583">
      <c r="A1583" s="3" t="inlineStr">
        <is>
          <t>MAT-32-223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8"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4205</v>
      </c>
      <c r="L1583" s="6" t="n">
        <v>4205</v>
      </c>
      <c r="M1583" s="6" t="n">
        <v>4205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8"</t>
        </is>
      </c>
    </row>
    <row r="1584">
      <c r="A1584" s="3" t="inlineStr">
        <is>
          <t>MAT-32-224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195</v>
      </c>
      <c r="L1584" s="6" t="n">
        <v>195</v>
      </c>
      <c r="M1584" s="6" t="n">
        <v>195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1/2"</t>
        </is>
      </c>
    </row>
    <row r="1585">
      <c r="A1585" s="3" t="inlineStr">
        <is>
          <t>MAT-32-225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65</v>
      </c>
      <c r="L1585" s="6" t="n">
        <v>60</v>
      </c>
      <c r="M1585" s="6" t="n">
        <v>70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1/4"</t>
        </is>
      </c>
    </row>
    <row r="1586">
      <c r="A1586" s="3" t="inlineStr">
        <is>
          <t>MAT-32-226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407</v>
      </c>
      <c r="L1586" s="6" t="n">
        <v>407</v>
      </c>
      <c r="M1586" s="6" t="n">
        <v>407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12"</t>
        </is>
      </c>
    </row>
    <row r="1587">
      <c r="A1587" s="3" t="inlineStr">
        <is>
          <t>MAT-32-227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 x 1/2"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287</v>
      </c>
      <c r="L1587" s="6" t="n">
        <v>279</v>
      </c>
      <c r="M1587" s="6" t="n">
        <v>295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 x 1/2"</t>
        </is>
      </c>
    </row>
    <row r="1588">
      <c r="A1588" s="3" t="inlineStr">
        <is>
          <t>MAT-32-228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432</v>
      </c>
      <c r="L1588" s="6" t="n">
        <v>422</v>
      </c>
      <c r="M1588" s="6" t="n">
        <v>442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15"</t>
        </is>
      </c>
    </row>
    <row r="1589">
      <c r="A1589" s="3" t="inlineStr">
        <is>
          <t>MAT-32-229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294.5</v>
      </c>
      <c r="L1589" s="6" t="n">
        <v>269</v>
      </c>
      <c r="M1589" s="6" t="n">
        <v>320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 x 1/2"</t>
        </is>
      </c>
    </row>
    <row r="1590">
      <c r="A1590" s="3" t="inlineStr">
        <is>
          <t>MAT-32-230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430</v>
      </c>
      <c r="L1590" s="6" t="n">
        <v>430</v>
      </c>
      <c r="M1590" s="6" t="n">
        <v>430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3/4"</t>
        </is>
      </c>
    </row>
    <row r="1591">
      <c r="A1591" s="3" t="inlineStr">
        <is>
          <t>MAT-32-231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592</v>
      </c>
      <c r="L1591" s="6" t="n">
        <v>592</v>
      </c>
      <c r="M1591" s="6" t="n">
        <v>592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18"</t>
        </is>
      </c>
    </row>
    <row r="1592">
      <c r="A1592" s="3" t="inlineStr">
        <is>
          <t>MAT-32-232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421</v>
      </c>
      <c r="L1592" s="6" t="n">
        <v>370</v>
      </c>
      <c r="M1592" s="6" t="n">
        <v>472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 x 1/2"</t>
        </is>
      </c>
    </row>
    <row r="1593">
      <c r="A1593" s="3" t="inlineStr">
        <is>
          <t>MAT-32-233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3/4"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499</v>
      </c>
      <c r="L1593" s="6" t="n">
        <v>415</v>
      </c>
      <c r="M1593" s="6" t="n">
        <v>583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3/4"</t>
        </is>
      </c>
    </row>
    <row r="1594">
      <c r="A1594" s="3" t="inlineStr">
        <is>
          <t>MAT-32-234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724</v>
      </c>
      <c r="L1594" s="6" t="n">
        <v>724</v>
      </c>
      <c r="M1594" s="6" t="n">
        <v>724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25 mm</t>
        </is>
      </c>
    </row>
    <row r="1595">
      <c r="A1595" s="3" t="inlineStr">
        <is>
          <t>MAT-32-235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500</v>
      </c>
      <c r="L1595" s="6" t="n">
        <v>500</v>
      </c>
      <c r="M1595" s="6" t="n">
        <v>500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25"</t>
        </is>
      </c>
    </row>
    <row r="1596">
      <c r="A1596" s="3" t="inlineStr">
        <is>
          <t>MAT-32-236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147</v>
      </c>
      <c r="L1596" s="6" t="n">
        <v>99</v>
      </c>
      <c r="M1596" s="6" t="n">
        <v>195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3/8"</t>
        </is>
      </c>
    </row>
    <row r="1597">
      <c r="A1597" s="3" t="inlineStr">
        <is>
          <t>MAT-32-237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 mm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1429</v>
      </c>
      <c r="L1597" s="6" t="n">
        <v>1429</v>
      </c>
      <c r="M1597" s="6" t="n">
        <v>1429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32 mm</t>
        </is>
      </c>
    </row>
    <row r="1598">
      <c r="A1598" s="3" t="inlineStr">
        <is>
          <t>MAT-32-238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882</v>
      </c>
      <c r="L1598" s="6" t="n">
        <v>882</v>
      </c>
      <c r="M1598" s="6" t="n">
        <v>882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32"</t>
        </is>
      </c>
    </row>
    <row r="1599">
      <c r="A1599" s="3" t="inlineStr">
        <is>
          <t>MAT-32-239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2</v>
      </c>
      <c r="K1599" s="6" t="n">
        <v>184</v>
      </c>
      <c r="L1599" s="6" t="n">
        <v>134</v>
      </c>
      <c r="M1599" s="6" t="n">
        <v>234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 · Ferretería Cima</t>
        </is>
      </c>
      <c r="AF1599" s="4" t="inlineStr">
        <is>
          <t>tipo: codo · material: HG · medida: 1 1/2"</t>
        </is>
      </c>
    </row>
    <row r="1600">
      <c r="A1600" s="3" t="inlineStr">
        <is>
          <t>MAT-32-240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1/4"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130</v>
      </c>
      <c r="L1600" s="6" t="n">
        <v>130</v>
      </c>
      <c r="M1600" s="6" t="n">
        <v>130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 1/4"</t>
        </is>
      </c>
    </row>
    <row r="1601">
      <c r="A1601" s="3" t="inlineStr">
        <is>
          <t>MAT-32-241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28</v>
      </c>
      <c r="L1601" s="6" t="n">
        <v>26</v>
      </c>
      <c r="M1601" s="6" t="n">
        <v>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1/2"</t>
        </is>
      </c>
    </row>
    <row r="1602">
      <c r="A1602" s="3" t="inlineStr">
        <is>
          <t>MAT-32-242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1/4"</t>
        </is>
      </c>
    </row>
    <row r="1603">
      <c r="A1603" s="3" t="inlineStr">
        <is>
          <t>MAT-32-243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65</v>
      </c>
      <c r="L1603" s="6" t="n">
        <v>65</v>
      </c>
      <c r="M1603" s="6" t="n">
        <v>65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1"</t>
        </is>
      </c>
    </row>
    <row r="1604">
      <c r="A1604" s="3" t="inlineStr">
        <is>
          <t>MAT-32-244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2</v>
      </c>
      <c r="K1604" s="6" t="n">
        <v>241</v>
      </c>
      <c r="L1604" s="6" t="n">
        <v>191</v>
      </c>
      <c r="M1604" s="6" t="n">
        <v>291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 · Ferretería Cima</t>
        </is>
      </c>
      <c r="AF1604" s="4" t="inlineStr">
        <is>
          <t>tipo: codo · material: HG · medida: 2"</t>
        </is>
      </c>
    </row>
    <row r="1605">
      <c r="A1605" s="3" t="inlineStr">
        <is>
          <t>MAT-32-245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51</v>
      </c>
      <c r="L1605" s="6" t="n">
        <v>51</v>
      </c>
      <c r="M1605" s="6" t="n">
        <v>51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codo · material: HG · medida: 3/4"</t>
        </is>
      </c>
    </row>
    <row r="1606">
      <c r="A1606" s="3" t="inlineStr">
        <is>
          <t>MAT-32-246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3/8"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50</v>
      </c>
      <c r="L1606" s="6" t="n">
        <v>50</v>
      </c>
      <c r="M1606" s="6" t="n">
        <v>50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3/8"</t>
        </is>
      </c>
    </row>
    <row r="1607">
      <c r="A1607" s="3" t="inlineStr">
        <is>
          <t>MAT-32-247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niquelado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363</v>
      </c>
      <c r="L1607" s="6" t="n">
        <v>363</v>
      </c>
      <c r="M1607" s="6" t="n">
        <v>363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niquelado · medida: 1/2"</t>
        </is>
      </c>
    </row>
    <row r="1608">
      <c r="A1608" s="3" t="inlineStr">
        <is>
          <t>MAT-32-248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plástico 16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28.58</v>
      </c>
      <c r="L1608" s="6" t="n">
        <v>28.58</v>
      </c>
      <c r="M1608" s="6" t="n">
        <v>28.58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plástico · medida: 16 mm</t>
        </is>
      </c>
    </row>
    <row r="1609">
      <c r="A1609" s="3" t="inlineStr">
        <is>
          <t>MAT-32-249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20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65.56999999999999</v>
      </c>
      <c r="L1609" s="6" t="n">
        <v>8.59</v>
      </c>
      <c r="M1609" s="6" t="n">
        <v>78.45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PPR · medida: 20 mm</t>
        </is>
      </c>
    </row>
    <row r="1610">
      <c r="A1610" s="3" t="inlineStr">
        <is>
          <t>MAT-32-250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25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80</v>
      </c>
      <c r="L1610" s="6" t="n">
        <v>15.37</v>
      </c>
      <c r="M1610" s="6" t="n">
        <v>128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25 mm</t>
        </is>
      </c>
    </row>
    <row r="1611">
      <c r="A1611" s="3" t="inlineStr">
        <is>
          <t>MAT-32-251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32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92.89</v>
      </c>
      <c r="L1611" s="6" t="n">
        <v>87.15000000000001</v>
      </c>
      <c r="M1611" s="6" t="n">
        <v>228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32 mm</t>
        </is>
      </c>
    </row>
    <row r="1612">
      <c r="A1612" s="3" t="inlineStr">
        <is>
          <t>MAT-32-252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1" x 1"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47.12</v>
      </c>
      <c r="L1612" s="6" t="n">
        <v>47.12</v>
      </c>
      <c r="M1612" s="6" t="n">
        <v>47.12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PVC · medida: 1" x 1"</t>
        </is>
      </c>
    </row>
    <row r="1613">
      <c r="A1613" s="3" t="inlineStr">
        <is>
          <t>MAT-32-253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3/4"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40</v>
      </c>
      <c r="L1613" s="6" t="n">
        <v>40</v>
      </c>
      <c r="M1613" s="6" t="n">
        <v>40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3/4"</t>
        </is>
      </c>
    </row>
    <row r="1614">
      <c r="A1614" s="3" t="inlineStr">
        <is>
          <t>MAT-32-254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bronce 3/8"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179</v>
      </c>
      <c r="L1614" s="6" t="n">
        <v>179</v>
      </c>
      <c r="M1614" s="6" t="n">
        <v>179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bronce · medida: 3/8"</t>
        </is>
      </c>
    </row>
    <row r="1615">
      <c r="A1615" s="3" t="inlineStr">
        <is>
          <t>MAT-32-255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1/2"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215</v>
      </c>
      <c r="L1615" s="6" t="n">
        <v>215</v>
      </c>
      <c r="M1615" s="6" t="n">
        <v>215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 1/2"</t>
        </is>
      </c>
    </row>
    <row r="1616">
      <c r="A1616" s="3" t="inlineStr">
        <is>
          <t>MAT-32-256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160</v>
      </c>
      <c r="L1616" s="6" t="n">
        <v>160</v>
      </c>
      <c r="M1616" s="6" t="n">
        <v>160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1/4"</t>
        </is>
      </c>
    </row>
    <row r="1617">
      <c r="A1617" s="3" t="inlineStr">
        <is>
          <t>MAT-32-257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45</v>
      </c>
      <c r="L1617" s="6" t="n">
        <v>45</v>
      </c>
      <c r="M1617" s="6" t="n">
        <v>45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1/2"</t>
        </is>
      </c>
    </row>
    <row r="1618">
      <c r="A1618" s="3" t="inlineStr">
        <is>
          <t>MAT-32-258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39</v>
      </c>
      <c r="L1618" s="6" t="n">
        <v>39</v>
      </c>
      <c r="M1618" s="6" t="n">
        <v>39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1/4"</t>
        </is>
      </c>
    </row>
    <row r="1619">
      <c r="A1619" s="3" t="inlineStr">
        <is>
          <t>MAT-32-259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149</v>
      </c>
      <c r="L1619" s="6" t="n">
        <v>149</v>
      </c>
      <c r="M1619" s="6" t="n">
        <v>149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1"</t>
        </is>
      </c>
    </row>
    <row r="1620">
      <c r="A1620" s="3" t="inlineStr">
        <is>
          <t>MAT-32-260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266</v>
      </c>
      <c r="L1620" s="6" t="n">
        <v>266</v>
      </c>
      <c r="M1620" s="6" t="n">
        <v>266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2"</t>
        </is>
      </c>
    </row>
    <row r="1621">
      <c r="A1621" s="3" t="inlineStr">
        <is>
          <t>MAT-32-261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3/4"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92</v>
      </c>
      <c r="L1621" s="6" t="n">
        <v>92</v>
      </c>
      <c r="M1621" s="6" t="n">
        <v>92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3/4"</t>
        </is>
      </c>
    </row>
    <row r="1622">
      <c r="A1622" s="3" t="inlineStr">
        <is>
          <t>MAT-32-262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niquelado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333</v>
      </c>
      <c r="L1622" s="6" t="n">
        <v>333</v>
      </c>
      <c r="M1622" s="6" t="n">
        <v>333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niquelado · medida: 1/2"</t>
        </is>
      </c>
    </row>
    <row r="1623">
      <c r="A1623" s="3" t="inlineStr">
        <is>
          <t>MAT-32-263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199</v>
      </c>
      <c r="L1623" s="6" t="n">
        <v>199</v>
      </c>
      <c r="M1623" s="6" t="n">
        <v>199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 1/2"</t>
        </is>
      </c>
    </row>
    <row r="1624">
      <c r="A1624" s="3" t="inlineStr">
        <is>
          <t>MAT-32-264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141</v>
      </c>
      <c r="L1624" s="6" t="n">
        <v>141</v>
      </c>
      <c r="M1624" s="6" t="n">
        <v>141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1/4"</t>
        </is>
      </c>
    </row>
    <row r="1625">
      <c r="A1625" s="3" t="inlineStr">
        <is>
          <t>MAT-32-265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25</v>
      </c>
      <c r="L1625" s="6" t="n">
        <v>25</v>
      </c>
      <c r="M1625" s="6" t="n">
        <v>25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1/2"</t>
        </is>
      </c>
    </row>
    <row r="1626">
      <c r="A1626" s="3" t="inlineStr">
        <is>
          <t>MAT-32-266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65</v>
      </c>
      <c r="L1626" s="6" t="n">
        <v>65</v>
      </c>
      <c r="M1626" s="6" t="n">
        <v>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1"</t>
        </is>
      </c>
    </row>
    <row r="1627">
      <c r="A1627" s="3" t="inlineStr">
        <is>
          <t>MAT-32-267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237</v>
      </c>
      <c r="L1627" s="6" t="n">
        <v>237</v>
      </c>
      <c r="M1627" s="6" t="n">
        <v>237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2"</t>
        </is>
      </c>
    </row>
    <row r="1628">
      <c r="A1628" s="3" t="inlineStr">
        <is>
          <t>MAT-32-268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3/4"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35</v>
      </c>
      <c r="L1628" s="6" t="n">
        <v>35</v>
      </c>
      <c r="M1628" s="6" t="n">
        <v>35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3/4"</t>
        </is>
      </c>
    </row>
    <row r="1629">
      <c r="A1629" s="3" t="inlineStr">
        <is>
          <t>MAT-32-269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3/8"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42</v>
      </c>
      <c r="L1629" s="6" t="n">
        <v>42</v>
      </c>
      <c r="M1629" s="6" t="n">
        <v>42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3/8"</t>
        </is>
      </c>
    </row>
    <row r="1630">
      <c r="A1630" s="3" t="inlineStr">
        <is>
          <t>MAT-32-270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niquelado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247</v>
      </c>
      <c r="L1630" s="6" t="n">
        <v>247</v>
      </c>
      <c r="M1630" s="6" t="n">
        <v>247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niquelado · medida: 1/2"</t>
        </is>
      </c>
    </row>
    <row r="1631">
      <c r="A1631" s="3" t="inlineStr">
        <is>
          <t>MAT-32-271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25 mm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40</v>
      </c>
      <c r="L1631" s="6" t="n">
        <v>40</v>
      </c>
      <c r="M1631" s="6" t="n">
        <v>40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PPR · medida: 25 mm</t>
        </is>
      </c>
    </row>
    <row r="1632">
      <c r="A1632" s="3" t="inlineStr">
        <is>
          <t>MAT-32-272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32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35</v>
      </c>
      <c r="L1632" s="6" t="n">
        <v>35</v>
      </c>
      <c r="M1632" s="6" t="n">
        <v>35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32 mm</t>
        </is>
      </c>
    </row>
    <row r="1633">
      <c r="A1633" s="3" t="inlineStr">
        <is>
          <t>MAT-32-273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 1/2"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65</v>
      </c>
      <c r="L1633" s="6" t="n">
        <v>65</v>
      </c>
      <c r="M1633" s="6" t="n">
        <v>65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1 1/2"</t>
        </is>
      </c>
    </row>
    <row r="1634">
      <c r="A1634" s="3" t="inlineStr">
        <is>
          <t>MAT-32-274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27</v>
      </c>
      <c r="L1634" s="6" t="n">
        <v>27</v>
      </c>
      <c r="M1634" s="6" t="n">
        <v>27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1/2"</t>
        </is>
      </c>
    </row>
    <row r="1635">
      <c r="A1635" s="3" t="inlineStr">
        <is>
          <t>MAT-32-275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41</v>
      </c>
      <c r="L1635" s="6" t="n">
        <v>41</v>
      </c>
      <c r="M1635" s="6" t="n">
        <v>41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1"</t>
        </is>
      </c>
    </row>
    <row r="1636">
      <c r="A1636" s="3" t="inlineStr">
        <is>
          <t>MAT-32-276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95</v>
      </c>
      <c r="L1636" s="6" t="n">
        <v>95</v>
      </c>
      <c r="M1636" s="6" t="n">
        <v>95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2"</t>
        </is>
      </c>
    </row>
    <row r="1637">
      <c r="A1637" s="3" t="inlineStr">
        <is>
          <t>MAT-32-277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3/4"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26</v>
      </c>
      <c r="L1637" s="6" t="n">
        <v>26</v>
      </c>
      <c r="M1637" s="6" t="n">
        <v>26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3/4"</t>
        </is>
      </c>
    </row>
    <row r="1638">
      <c r="A1638" s="3" t="inlineStr">
        <is>
          <t>MAT-32-278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215</v>
      </c>
      <c r="L1638" s="6" t="n">
        <v>215</v>
      </c>
      <c r="M1638" s="6" t="n">
        <v>215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3"</t>
        </is>
      </c>
    </row>
    <row r="1639">
      <c r="A1639" s="3" t="inlineStr">
        <is>
          <t>MAT-32-279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335</v>
      </c>
      <c r="L1639" s="6" t="n">
        <v>335</v>
      </c>
      <c r="M1639" s="6" t="n">
        <v>335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4"</t>
        </is>
      </c>
    </row>
    <row r="1640">
      <c r="A1640" s="3" t="inlineStr">
        <is>
          <t>MAT-32-280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Cruz de PVC presión 1"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136</v>
      </c>
      <c r="L1640" s="6" t="n">
        <v>136</v>
      </c>
      <c r="M1640" s="6" t="n">
        <v>136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cruz · material: PVC presión · medida: 1"</t>
        </is>
      </c>
    </row>
    <row r="1641">
      <c r="A1641" s="3" t="inlineStr">
        <is>
          <t>MAT-32-281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165</v>
      </c>
      <c r="L1641" s="6" t="n">
        <v>165</v>
      </c>
      <c r="M1641" s="6" t="n">
        <v>165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1/2" x 1/4"</t>
        </is>
      </c>
    </row>
    <row r="1642">
      <c r="A1642" s="3" t="inlineStr">
        <is>
          <t>MAT-32-282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3/8"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205</v>
      </c>
      <c r="L1642" s="6" t="n">
        <v>205</v>
      </c>
      <c r="M1642" s="6" t="n">
        <v>205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3/8"</t>
        </is>
      </c>
    </row>
    <row r="1643">
      <c r="A1643" s="3" t="inlineStr">
        <is>
          <t>MAT-32-283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1/4"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122</v>
      </c>
      <c r="L1643" s="6" t="n">
        <v>122</v>
      </c>
      <c r="M1643" s="6" t="n">
        <v>122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1/4" x 3/8"</t>
        </is>
      </c>
    </row>
    <row r="1644">
      <c r="A1644" s="3" t="inlineStr">
        <is>
          <t>MAT-32-284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3/8" x 1/4"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102</v>
      </c>
      <c r="L1644" s="6" t="n">
        <v>102</v>
      </c>
      <c r="M1644" s="6" t="n">
        <v>102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3/8" x 1/4"</t>
        </is>
      </c>
    </row>
    <row r="1645">
      <c r="A1645" s="3" t="inlineStr">
        <is>
          <t>MAT-32-285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308</v>
      </c>
      <c r="L1645" s="6" t="n">
        <v>308</v>
      </c>
      <c r="M1645" s="6" t="n">
        <v>308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1 1/2"</t>
        </is>
      </c>
    </row>
    <row r="1646">
      <c r="A1646" s="3" t="inlineStr">
        <is>
          <t>MAT-32-286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86</v>
      </c>
      <c r="L1646" s="6" t="n">
        <v>86</v>
      </c>
      <c r="M1646" s="6" t="n">
        <v>86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1/2"</t>
        </is>
      </c>
    </row>
    <row r="1647">
      <c r="A1647" s="3" t="inlineStr">
        <is>
          <t>MAT-32-287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160</v>
      </c>
      <c r="L1647" s="6" t="n">
        <v>160</v>
      </c>
      <c r="M1647" s="6" t="n">
        <v>160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1"</t>
        </is>
      </c>
    </row>
    <row r="1648">
      <c r="A1648" s="3" t="inlineStr">
        <is>
          <t>MAT-32-288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3/4"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135</v>
      </c>
      <c r="L1648" s="6" t="n">
        <v>135</v>
      </c>
      <c r="M1648" s="6" t="n">
        <v>135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3/4"</t>
        </is>
      </c>
    </row>
    <row r="1649">
      <c r="A1649" s="3" t="inlineStr">
        <is>
          <t>MAT-32-289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133</v>
      </c>
      <c r="L1649" s="6" t="n">
        <v>133</v>
      </c>
      <c r="M1649" s="6" t="n">
        <v>133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1/2" x 2"</t>
        </is>
      </c>
    </row>
    <row r="1650">
      <c r="A1650" s="3" t="inlineStr">
        <is>
          <t>MAT-32-290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3"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192</v>
      </c>
      <c r="L1650" s="6" t="n">
        <v>192</v>
      </c>
      <c r="M1650" s="6" t="n">
        <v>192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3"</t>
        </is>
      </c>
    </row>
    <row r="1651">
      <c r="A1651" s="3" t="inlineStr">
        <is>
          <t>MAT-32-291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66</v>
      </c>
      <c r="L1651" s="6" t="n">
        <v>66</v>
      </c>
      <c r="M1651" s="6" t="n">
        <v>66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1/4" x 1 1/2"</t>
        </is>
      </c>
    </row>
    <row r="1652">
      <c r="A1652" s="3" t="inlineStr">
        <is>
          <t>MAT-32-292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3"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165</v>
      </c>
      <c r="L1652" s="6" t="n">
        <v>165</v>
      </c>
      <c r="M1652" s="6" t="n">
        <v>165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3"</t>
        </is>
      </c>
    </row>
    <row r="1653">
      <c r="A1653" s="3" t="inlineStr">
        <is>
          <t>MAT-32-293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1/8"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51</v>
      </c>
      <c r="L1653" s="6" t="n">
        <v>51</v>
      </c>
      <c r="M1653" s="6" t="n">
        <v>51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1/8" x 1 1/2"</t>
        </is>
      </c>
    </row>
    <row r="1654">
      <c r="A1654" s="3" t="inlineStr">
        <is>
          <t>MAT-32-294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87</v>
      </c>
      <c r="L1654" s="6" t="n">
        <v>87</v>
      </c>
      <c r="M1654" s="6" t="n">
        <v>87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3/8" x 1 1/2"</t>
        </is>
      </c>
    </row>
    <row r="1655">
      <c r="A1655" s="3" t="inlineStr">
        <is>
          <t>MAT-32-295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90</v>
      </c>
      <c r="L1655" s="6" t="n">
        <v>90</v>
      </c>
      <c r="M1655" s="6" t="n">
        <v>90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2"</t>
        </is>
      </c>
    </row>
    <row r="1656">
      <c r="A1656" s="3" t="inlineStr">
        <is>
          <t>MAT-32-296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1/4"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121</v>
      </c>
      <c r="L1656" s="6" t="n">
        <v>121</v>
      </c>
      <c r="M1656" s="6" t="n">
        <v>121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1/4" x 1 1/2"</t>
        </is>
      </c>
    </row>
    <row r="1657">
      <c r="A1657" s="3" t="inlineStr">
        <is>
          <t>MAT-32-297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3/4" x 3"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230</v>
      </c>
      <c r="L1657" s="6" t="n">
        <v>230</v>
      </c>
      <c r="M1657" s="6" t="n">
        <v>230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3/4" x 3"</t>
        </is>
      </c>
    </row>
    <row r="1658">
      <c r="A1658" s="3" t="inlineStr">
        <is>
          <t>MAT-32-298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193</v>
      </c>
      <c r="L1658" s="6" t="n">
        <v>193</v>
      </c>
      <c r="M1658" s="6" t="n">
        <v>193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3/8" x 1 1/2"</t>
        </is>
      </c>
    </row>
    <row r="1659">
      <c r="A1659" s="3" t="inlineStr">
        <is>
          <t>MAT-32-299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177</v>
      </c>
      <c r="L1659" s="6" t="n">
        <v>177</v>
      </c>
      <c r="M1659" s="6" t="n">
        <v>177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1"</t>
        </is>
      </c>
    </row>
    <row r="1660">
      <c r="A1660" s="3" t="inlineStr">
        <is>
          <t>MAT-32-300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189</v>
      </c>
      <c r="L1660" s="6" t="n">
        <v>189</v>
      </c>
      <c r="M1660" s="6" t="n">
        <v>189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2"</t>
        </is>
      </c>
    </row>
    <row r="1661">
      <c r="A1661" s="3" t="inlineStr">
        <is>
          <t>MAT-32-301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10"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372</v>
      </c>
      <c r="L1661" s="6" t="n">
        <v>372</v>
      </c>
      <c r="M1661" s="6" t="n">
        <v>372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HG · medida: 1 1/2" x 10"</t>
        </is>
      </c>
    </row>
    <row r="1662">
      <c r="A1662" s="3" t="inlineStr">
        <is>
          <t>MAT-32-302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82</v>
      </c>
      <c r="L1662" s="6" t="n">
        <v>82</v>
      </c>
      <c r="M1662" s="6" t="n">
        <v>82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F1662" s="4" t="inlineStr">
        <is>
          <t>tipo: niple · material: HG · medida: 1 1/2" x 2 1/2"</t>
        </is>
      </c>
    </row>
    <row r="1663">
      <c r="A1663" s="3" t="inlineStr">
        <is>
          <t>MAT-32-303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85</v>
      </c>
      <c r="L1663" s="6" t="n">
        <v>85</v>
      </c>
      <c r="M1663" s="6" t="n">
        <v>85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2"</t>
        </is>
      </c>
    </row>
    <row r="1664">
      <c r="A1664" s="3" t="inlineStr">
        <is>
          <t>MAT-32-304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144.5</v>
      </c>
      <c r="L1664" s="6" t="n">
        <v>102</v>
      </c>
      <c r="M1664" s="6" t="n">
        <v>187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3"</t>
        </is>
      </c>
    </row>
    <row r="1665">
      <c r="A1665" s="3" t="inlineStr">
        <is>
          <t>MAT-32-305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180.5</v>
      </c>
      <c r="L1665" s="6" t="n">
        <v>104</v>
      </c>
      <c r="M1665" s="6" t="n">
        <v>257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4"</t>
        </is>
      </c>
    </row>
    <row r="1666">
      <c r="A1666" s="3" t="inlineStr">
        <is>
          <t>MAT-32-306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150</v>
      </c>
      <c r="L1666" s="6" t="n">
        <v>150</v>
      </c>
      <c r="M1666" s="6" t="n">
        <v>150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</t>
        </is>
      </c>
      <c r="AF1666" s="4" t="inlineStr">
        <is>
          <t>tipo: niple · material: HG · medida: 1 1/2" x 5"</t>
        </is>
      </c>
    </row>
    <row r="1667">
      <c r="A1667" s="3" t="inlineStr">
        <is>
          <t>MAT-32-307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260</v>
      </c>
      <c r="L1667" s="6" t="n">
        <v>141</v>
      </c>
      <c r="M1667" s="6" t="n">
        <v>379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1/2" x 6"</t>
        </is>
      </c>
    </row>
    <row r="1668">
      <c r="A1668" s="3" t="inlineStr">
        <is>
          <t>MAT-32-308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170</v>
      </c>
      <c r="L1668" s="6" t="n">
        <v>170</v>
      </c>
      <c r="M1668" s="6" t="n">
        <v>170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2026-09-09</t>
        </is>
      </c>
      <c r="Q1668" s="4" t="inlineStr">
        <is>
          <t>Ferretería Cima</t>
        </is>
      </c>
      <c r="AF1668" s="4" t="inlineStr">
        <is>
          <t>tipo: niple · material: HG · medida: 1 1/4" x 2"</t>
        </is>
      </c>
    </row>
    <row r="1669">
      <c r="A1669" s="3" t="inlineStr">
        <is>
          <t>MAT-32-309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3"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126</v>
      </c>
      <c r="L1669" s="6" t="n">
        <v>78</v>
      </c>
      <c r="M1669" s="6" t="n">
        <v>174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3"</t>
        </is>
      </c>
    </row>
    <row r="1670">
      <c r="A1670" s="3" t="inlineStr">
        <is>
          <t>MAT-32-310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4"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146</v>
      </c>
      <c r="L1670" s="6" t="n">
        <v>101</v>
      </c>
      <c r="M1670" s="6" t="n">
        <v>191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4"</t>
        </is>
      </c>
    </row>
    <row r="1671">
      <c r="A1671" s="3" t="inlineStr">
        <is>
          <t>MAT-32-311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5"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98</v>
      </c>
      <c r="L1671" s="6" t="n">
        <v>98</v>
      </c>
      <c r="M1671" s="6" t="n">
        <v>98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1 1/4" x 5"</t>
        </is>
      </c>
    </row>
    <row r="1672">
      <c r="A1672" s="3" t="inlineStr">
        <is>
          <t>MAT-32-312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6"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177</v>
      </c>
      <c r="L1672" s="6" t="n">
        <v>118</v>
      </c>
      <c r="M1672" s="6" t="n">
        <v>236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 1/4" x 6"</t>
        </is>
      </c>
    </row>
    <row r="1673">
      <c r="A1673" s="3" t="inlineStr">
        <is>
          <t>MAT-32-313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46.24</v>
      </c>
      <c r="L1673" s="6" t="n">
        <v>17.47</v>
      </c>
      <c r="M1673" s="6" t="n">
        <v>75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 1/2"</t>
        </is>
      </c>
    </row>
    <row r="1674">
      <c r="A1674" s="3" t="inlineStr">
        <is>
          <t>MAT-32-314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10"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157</v>
      </c>
      <c r="L1674" s="6" t="n">
        <v>115</v>
      </c>
      <c r="M1674" s="6" t="n">
        <v>199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10"</t>
        </is>
      </c>
    </row>
    <row r="1675">
      <c r="A1675" s="3" t="inlineStr">
        <is>
          <t>MAT-32-315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189</v>
      </c>
      <c r="L1675" s="6" t="n">
        <v>119</v>
      </c>
      <c r="M1675" s="6" t="n">
        <v>259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12"</t>
        </is>
      </c>
    </row>
    <row r="1676">
      <c r="A1676" s="3" t="inlineStr">
        <is>
          <t>MAT-32-316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41.69</v>
      </c>
      <c r="L1676" s="6" t="n">
        <v>16.38</v>
      </c>
      <c r="M1676" s="6" t="n">
        <v>67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1"</t>
        </is>
      </c>
    </row>
    <row r="1677">
      <c r="A1677" s="3" t="inlineStr">
        <is>
          <t>MAT-32-317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 1/2"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44.51</v>
      </c>
      <c r="L1677" s="6" t="n">
        <v>24.02</v>
      </c>
      <c r="M1677" s="6" t="n">
        <v>65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2 1/2"</t>
        </is>
      </c>
    </row>
    <row r="1678">
      <c r="A1678" s="3" t="inlineStr">
        <is>
          <t>MAT-32-318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42.33</v>
      </c>
      <c r="L1678" s="6" t="n">
        <v>19.66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2"</t>
        </is>
      </c>
    </row>
    <row r="1679">
      <c r="A1679" s="3" t="inlineStr">
        <is>
          <t>MAT-32-319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3"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46.15</v>
      </c>
      <c r="L1679" s="6" t="n">
        <v>27.3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3"</t>
        </is>
      </c>
    </row>
    <row r="1680">
      <c r="A1680" s="3" t="inlineStr">
        <is>
          <t>MAT-32-320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4"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94.75</v>
      </c>
      <c r="L1680" s="6" t="n">
        <v>34.5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4"</t>
        </is>
      </c>
    </row>
    <row r="1681">
      <c r="A1681" s="3" t="inlineStr">
        <is>
          <t>MAT-32-321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5"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111.75</v>
      </c>
      <c r="L1681" s="6" t="n">
        <v>41.5</v>
      </c>
      <c r="M1681" s="6" t="n">
        <v>182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5"</t>
        </is>
      </c>
    </row>
    <row r="1682">
      <c r="A1682" s="3" t="inlineStr">
        <is>
          <t>MAT-32-322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6"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59.5</v>
      </c>
      <c r="L1682" s="6" t="n">
        <v>49</v>
      </c>
      <c r="M1682" s="6" t="n">
        <v>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6"</t>
        </is>
      </c>
    </row>
    <row r="1683">
      <c r="A1683" s="3" t="inlineStr">
        <is>
          <t>MAT-32-323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8"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132</v>
      </c>
      <c r="L1683" s="6" t="n">
        <v>77</v>
      </c>
      <c r="M1683" s="6" t="n">
        <v>187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8"</t>
        </is>
      </c>
    </row>
    <row r="1684">
      <c r="A1684" s="3" t="inlineStr">
        <is>
          <t>MAT-32-324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1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27.3</v>
      </c>
      <c r="L1684" s="6" t="n">
        <v>27.3</v>
      </c>
      <c r="M1684" s="6" t="n">
        <v>27.3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</t>
        </is>
      </c>
      <c r="AF1684" s="4" t="inlineStr">
        <is>
          <t>tipo: niple · material: HG · medida: 1/4" x 1 1/2"</t>
        </is>
      </c>
    </row>
    <row r="1685">
      <c r="A1685" s="3" t="inlineStr">
        <is>
          <t>MAT-32-325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99.73</v>
      </c>
      <c r="L1685" s="6" t="n">
        <v>29.45</v>
      </c>
      <c r="M1685" s="6" t="n">
        <v>170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1/4" x 2"</t>
        </is>
      </c>
    </row>
    <row r="1686">
      <c r="A1686" s="3" t="inlineStr">
        <is>
          <t>MAT-32-326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3"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26.76</v>
      </c>
      <c r="L1686" s="6" t="n">
        <v>26.76</v>
      </c>
      <c r="M1686" s="6" t="n">
        <v>26.76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F1686" s="4" t="inlineStr">
        <is>
          <t>tipo: niple · material: HG · medida: 1/4" x 3"</t>
        </is>
      </c>
    </row>
    <row r="1687">
      <c r="A1687" s="3" t="inlineStr">
        <is>
          <t>MAT-32-327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4"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119.94</v>
      </c>
      <c r="L1687" s="6" t="n">
        <v>35.88</v>
      </c>
      <c r="M1687" s="6" t="n">
        <v>204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1/4" x 4"</t>
        </is>
      </c>
    </row>
    <row r="1688">
      <c r="A1688" s="3" t="inlineStr">
        <is>
          <t>MAT-32-328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 1/2"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38.22</v>
      </c>
      <c r="L1688" s="6" t="n">
        <v>38.22</v>
      </c>
      <c r="M1688" s="6" t="n">
        <v>38.22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1" x 1 1/2"</t>
        </is>
      </c>
    </row>
    <row r="1689">
      <c r="A1689" s="3" t="inlineStr">
        <is>
          <t>MAT-32-329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10"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344</v>
      </c>
      <c r="L1689" s="6" t="n">
        <v>344</v>
      </c>
      <c r="M1689" s="6" t="n">
        <v>344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10"</t>
        </is>
      </c>
    </row>
    <row r="1690">
      <c r="A1690" s="3" t="inlineStr">
        <is>
          <t>MAT-32-330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87.93000000000001</v>
      </c>
      <c r="L1690" s="6" t="n">
        <v>45.86</v>
      </c>
      <c r="M1690" s="6" t="n">
        <v>130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2 1/2"</t>
        </is>
      </c>
    </row>
    <row r="1691">
      <c r="A1691" s="3" t="inlineStr">
        <is>
          <t>MAT-32-331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50.81</v>
      </c>
      <c r="L1691" s="6" t="n">
        <v>48.61</v>
      </c>
      <c r="M1691" s="6" t="n">
        <v>53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2"</t>
        </is>
      </c>
    </row>
    <row r="1692">
      <c r="A1692" s="3" t="inlineStr">
        <is>
          <t>MAT-32-332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63</v>
      </c>
      <c r="L1692" s="6" t="n">
        <v>63</v>
      </c>
      <c r="M1692" s="6" t="n">
        <v>63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2026-09-09</t>
        </is>
      </c>
      <c r="Q1692" s="4" t="inlineStr">
        <is>
          <t>Ferretería Cima</t>
        </is>
      </c>
      <c r="AF1692" s="4" t="inlineStr">
        <is>
          <t>tipo: niple · material: HG · medida: 1" x 3"</t>
        </is>
      </c>
    </row>
    <row r="1693">
      <c r="A1693" s="3" t="inlineStr">
        <is>
          <t>MAT-32-333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76.5</v>
      </c>
      <c r="L1693" s="6" t="n">
        <v>65</v>
      </c>
      <c r="M1693" s="6" t="n">
        <v>88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1" x 4"</t>
        </is>
      </c>
    </row>
    <row r="1694">
      <c r="A1694" s="3" t="inlineStr">
        <is>
          <t>MAT-32-334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69.5</v>
      </c>
      <c r="L1694" s="6" t="n">
        <v>31</v>
      </c>
      <c r="M1694" s="6" t="n">
        <v>108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5"</t>
        </is>
      </c>
    </row>
    <row r="1695">
      <c r="A1695" s="3" t="inlineStr">
        <is>
          <t>MAT-32-335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88.5</v>
      </c>
      <c r="L1695" s="6" t="n">
        <v>86</v>
      </c>
      <c r="M1695" s="6" t="n">
        <v>91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6"</t>
        </is>
      </c>
    </row>
    <row r="1696">
      <c r="A1696" s="3" t="inlineStr">
        <is>
          <t>MAT-32-336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78</v>
      </c>
      <c r="L1696" s="6" t="n">
        <v>78</v>
      </c>
      <c r="M1696" s="6" t="n">
        <v>78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niple · material: HG · medida: 2" x 2"</t>
        </is>
      </c>
    </row>
    <row r="1697">
      <c r="A1697" s="3" t="inlineStr">
        <is>
          <t>MAT-32-337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3"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218.5</v>
      </c>
      <c r="L1697" s="6" t="n">
        <v>99</v>
      </c>
      <c r="M1697" s="6" t="n">
        <v>338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2" x 3"</t>
        </is>
      </c>
    </row>
    <row r="1698">
      <c r="A1698" s="3" t="inlineStr">
        <is>
          <t>MAT-32-338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4"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245.5</v>
      </c>
      <c r="L1698" s="6" t="n">
        <v>123</v>
      </c>
      <c r="M1698" s="6" t="n">
        <v>368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4"</t>
        </is>
      </c>
    </row>
    <row r="1699">
      <c r="A1699" s="3" t="inlineStr">
        <is>
          <t>MAT-32-339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5"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222.5</v>
      </c>
      <c r="L1699" s="6" t="n">
        <v>188</v>
      </c>
      <c r="M1699" s="6" t="n">
        <v>257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5"</t>
        </is>
      </c>
    </row>
    <row r="1700">
      <c r="A1700" s="3" t="inlineStr">
        <is>
          <t>MAT-32-340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6"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234</v>
      </c>
      <c r="L1700" s="6" t="n">
        <v>234</v>
      </c>
      <c r="M1700" s="6" t="n">
        <v>234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2" x 6"</t>
        </is>
      </c>
    </row>
    <row r="1701">
      <c r="A1701" s="3" t="inlineStr">
        <is>
          <t>MAT-32-341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51.06</v>
      </c>
      <c r="L1701" s="6" t="n">
        <v>25.12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 1/2"</t>
        </is>
      </c>
    </row>
    <row r="1702">
      <c r="A1702" s="3" t="inlineStr">
        <is>
          <t>MAT-32-342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10"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88</v>
      </c>
      <c r="L1702" s="6" t="n">
        <v>88</v>
      </c>
      <c r="M1702" s="6" t="n">
        <v>88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3/4" x 10"</t>
        </is>
      </c>
    </row>
    <row r="1703">
      <c r="A1703" s="3" t="inlineStr">
        <is>
          <t>MAT-32-343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109</v>
      </c>
      <c r="L1703" s="6" t="n">
        <v>109</v>
      </c>
      <c r="M1703" s="6" t="n">
        <v>109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12"</t>
        </is>
      </c>
    </row>
    <row r="1704">
      <c r="A1704" s="3" t="inlineStr">
        <is>
          <t>MAT-32-344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41.77</v>
      </c>
      <c r="L1704" s="6" t="n">
        <v>21.54</v>
      </c>
      <c r="M1704" s="6" t="n">
        <v>62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3/4" x 1"</t>
        </is>
      </c>
    </row>
    <row r="1705">
      <c r="A1705" s="3" t="inlineStr">
        <is>
          <t>MAT-32-345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 1/2"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79.15000000000001</v>
      </c>
      <c r="L1705" s="6" t="n">
        <v>27.3</v>
      </c>
      <c r="M1705" s="6" t="n">
        <v>131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2 1/2"</t>
        </is>
      </c>
    </row>
    <row r="1706">
      <c r="A1706" s="3" t="inlineStr">
        <is>
          <t>MAT-32-346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70.92</v>
      </c>
      <c r="L1706" s="6" t="n">
        <v>21.84</v>
      </c>
      <c r="M1706" s="6" t="n">
        <v>120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2"</t>
        </is>
      </c>
    </row>
    <row r="1707">
      <c r="A1707" s="3" t="inlineStr">
        <is>
          <t>MAT-32-347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35.35</v>
      </c>
      <c r="L1707" s="6" t="n">
        <v>35.35</v>
      </c>
      <c r="M1707" s="6" t="n">
        <v>35.35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niple · material: HG · medida: 3/4" x 3 1/2"</t>
        </is>
      </c>
    </row>
    <row r="1708">
      <c r="A1708" s="3" t="inlineStr">
        <is>
          <t>MAT-32-348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91.39</v>
      </c>
      <c r="L1708" s="6" t="n">
        <v>33.77</v>
      </c>
      <c r="M1708" s="6" t="n">
        <v>149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3"</t>
        </is>
      </c>
    </row>
    <row r="1709">
      <c r="A1709" s="3" t="inlineStr">
        <is>
          <t>MAT-32-349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105.5</v>
      </c>
      <c r="L1709" s="6" t="n">
        <v>51</v>
      </c>
      <c r="M1709" s="6" t="n">
        <v>160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4"</t>
        </is>
      </c>
    </row>
    <row r="1710">
      <c r="A1710" s="3" t="inlineStr">
        <is>
          <t>MAT-32-350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5"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124</v>
      </c>
      <c r="L1710" s="6" t="n">
        <v>54</v>
      </c>
      <c r="M1710" s="6" t="n">
        <v>194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5"</t>
        </is>
      </c>
    </row>
    <row r="1711">
      <c r="A1711" s="3" t="inlineStr">
        <is>
          <t>MAT-32-351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6"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167.5</v>
      </c>
      <c r="L1711" s="6" t="n">
        <v>87</v>
      </c>
      <c r="M1711" s="6" t="n">
        <v>248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6"</t>
        </is>
      </c>
    </row>
    <row r="1712">
      <c r="A1712" s="3" t="inlineStr">
        <is>
          <t>MAT-32-352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8"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81</v>
      </c>
      <c r="L1712" s="6" t="n">
        <v>81</v>
      </c>
      <c r="M1712" s="6" t="n">
        <v>81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F1712" s="4" t="inlineStr">
        <is>
          <t>tipo: niple · material: HG · medida: 3/4" x 8"</t>
        </is>
      </c>
    </row>
    <row r="1713">
      <c r="A1713" s="3" t="inlineStr">
        <is>
          <t>MAT-32-353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89.87</v>
      </c>
      <c r="L1713" s="6" t="n">
        <v>24.74</v>
      </c>
      <c r="M1713" s="6" t="n">
        <v>155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2 1/2"</t>
        </is>
      </c>
    </row>
    <row r="1714">
      <c r="A1714" s="3" t="inlineStr">
        <is>
          <t>MAT-32-354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110.8</v>
      </c>
      <c r="L1714" s="6" t="n">
        <v>61.6</v>
      </c>
      <c r="M1714" s="6" t="n">
        <v>160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2"</t>
        </is>
      </c>
    </row>
    <row r="1715">
      <c r="A1715" s="3" t="inlineStr">
        <is>
          <t>MAT-32-355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194</v>
      </c>
      <c r="L1715" s="6" t="n">
        <v>194</v>
      </c>
      <c r="M1715" s="6" t="n">
        <v>194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3 1/2"</t>
        </is>
      </c>
    </row>
    <row r="1716">
      <c r="A1716" s="3" t="inlineStr">
        <is>
          <t>MAT-32-356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106.15</v>
      </c>
      <c r="L1716" s="6" t="n">
        <v>27.3</v>
      </c>
      <c r="M1716" s="6" t="n">
        <v>185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3/8" x 3"</t>
        </is>
      </c>
    </row>
    <row r="1717">
      <c r="A1717" s="3" t="inlineStr">
        <is>
          <t>MAT-32-357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4 1/2"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194</v>
      </c>
      <c r="L1717" s="6" t="n">
        <v>194</v>
      </c>
      <c r="M1717" s="6" t="n">
        <v>194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4 1/2"</t>
        </is>
      </c>
    </row>
    <row r="1718">
      <c r="A1718" s="3" t="inlineStr">
        <is>
          <t>MAT-32-359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229</v>
      </c>
      <c r="L1718" s="6" t="n">
        <v>229</v>
      </c>
      <c r="M1718" s="6" t="n">
        <v>229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5 1/2"</t>
        </is>
      </c>
    </row>
    <row r="1719">
      <c r="A1719" s="3" t="inlineStr">
        <is>
          <t>MAT-32-360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255</v>
      </c>
      <c r="L1719" s="6" t="n">
        <v>255</v>
      </c>
      <c r="M1719" s="6" t="n">
        <v>255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5"</t>
        </is>
      </c>
    </row>
    <row r="1720">
      <c r="A1720" s="3" t="inlineStr">
        <is>
          <t>MAT-32-361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6"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327</v>
      </c>
      <c r="L1720" s="6" t="n">
        <v>327</v>
      </c>
      <c r="M1720" s="6" t="n">
        <v>327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6"</t>
        </is>
      </c>
    </row>
    <row r="1721">
      <c r="A1721" s="3" t="inlineStr">
        <is>
          <t>MAT-32-362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3" x 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277</v>
      </c>
      <c r="L1721" s="6" t="n">
        <v>277</v>
      </c>
      <c r="M1721" s="6" t="n">
        <v>277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niple · material: HG · medida: 3" x 4"</t>
        </is>
      </c>
    </row>
    <row r="1722">
      <c r="A1722" s="3" t="inlineStr">
        <is>
          <t>MAT-32-363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1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17</v>
      </c>
      <c r="L1722" s="6" t="n">
        <v>17</v>
      </c>
      <c r="M1722" s="6" t="n">
        <v>17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1/2" x 1 1/2"</t>
        </is>
      </c>
    </row>
    <row r="1723">
      <c r="A1723" s="3" t="inlineStr">
        <is>
          <t>MAT-32-364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144.5</v>
      </c>
      <c r="L1723" s="6" t="n">
        <v>24</v>
      </c>
      <c r="M1723" s="6" t="n">
        <v>326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niple · material: niquelado · medida: 1/2" x 2 1/2"</t>
        </is>
      </c>
    </row>
    <row r="1724">
      <c r="A1724" s="3" t="inlineStr">
        <is>
          <t>MAT-32-365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101</v>
      </c>
      <c r="L1724" s="6" t="n">
        <v>15.75</v>
      </c>
      <c r="M1724" s="6" t="n">
        <v>224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2"</t>
        </is>
      </c>
    </row>
    <row r="1725">
      <c r="A1725" s="3" t="inlineStr">
        <is>
          <t>MAT-32-368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24.04</v>
      </c>
      <c r="L1725" s="6" t="n">
        <v>24.04</v>
      </c>
      <c r="M1725" s="6" t="n">
        <v>24.04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niple · material: niquelado · medida: 3/8" x 2 1/2"</t>
        </is>
      </c>
    </row>
    <row r="1726">
      <c r="A1726" s="3" t="inlineStr">
        <is>
          <t>MAT-32-369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47</v>
      </c>
      <c r="L1726" s="6" t="n">
        <v>47</v>
      </c>
      <c r="M1726" s="6" t="n">
        <v>47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niquelado · medida: 3/8" x 2"</t>
        </is>
      </c>
    </row>
    <row r="1727">
      <c r="A1727" s="3" t="inlineStr">
        <is>
          <t>MAT-32-370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3"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2</v>
      </c>
      <c r="K1727" s="6" t="n">
        <v>42.63</v>
      </c>
      <c r="L1727" s="6" t="n">
        <v>26.25</v>
      </c>
      <c r="M1727" s="6" t="n">
        <v>59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 · Ferretería Cima</t>
        </is>
      </c>
      <c r="AF1727" s="4" t="inlineStr">
        <is>
          <t>tipo: niple · material: niquelado · medida: 3/8" x 3"</t>
        </is>
      </c>
    </row>
    <row r="1728">
      <c r="A1728" s="3" t="inlineStr">
        <is>
          <t>MAT-32-371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1/4"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90</v>
      </c>
      <c r="L1728" s="6" t="n">
        <v>90</v>
      </c>
      <c r="M1728" s="6" t="n">
        <v>90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1/2" x 1/4"</t>
        </is>
      </c>
    </row>
    <row r="1729">
      <c r="A1729" s="3" t="inlineStr">
        <is>
          <t>MAT-32-372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102</v>
      </c>
      <c r="L1729" s="6" t="n">
        <v>102</v>
      </c>
      <c r="M1729" s="6" t="n">
        <v>102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1/8"</t>
        </is>
      </c>
    </row>
    <row r="1730">
      <c r="A1730" s="3" t="inlineStr">
        <is>
          <t>MAT-32-373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81</v>
      </c>
      <c r="L1730" s="6" t="n">
        <v>81</v>
      </c>
      <c r="M1730" s="6" t="n">
        <v>81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3/8"</t>
        </is>
      </c>
    </row>
    <row r="1731">
      <c r="A1731" s="3" t="inlineStr">
        <is>
          <t>MAT-32-374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1/8"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27.47</v>
      </c>
      <c r="L1731" s="6" t="n">
        <v>27.47</v>
      </c>
      <c r="M1731" s="6" t="n">
        <v>27.47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1/4" x 1/8"</t>
        </is>
      </c>
    </row>
    <row r="1732">
      <c r="A1732" s="3" t="inlineStr">
        <is>
          <t>MAT-32-375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3/8"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132</v>
      </c>
      <c r="L1732" s="6" t="n">
        <v>132</v>
      </c>
      <c r="M1732" s="6" t="n">
        <v>132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reduccion-bushing · material: bronce · medida: 1/4" x 3/8"</t>
        </is>
      </c>
    </row>
    <row r="1733">
      <c r="A1733" s="3" t="inlineStr">
        <is>
          <t>MAT-32-376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1/4"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101</v>
      </c>
      <c r="L1733" s="6" t="n">
        <v>101</v>
      </c>
      <c r="M1733" s="6" t="n">
        <v>101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1/8" x 1/4"</t>
        </is>
      </c>
    </row>
    <row r="1734">
      <c r="A1734" s="3" t="inlineStr">
        <is>
          <t>MAT-32-377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77</v>
      </c>
      <c r="L1734" s="6" t="n">
        <v>77</v>
      </c>
      <c r="M1734" s="6" t="n">
        <v>77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3/8"</t>
        </is>
      </c>
    </row>
    <row r="1735">
      <c r="A1735" s="3" t="inlineStr">
        <is>
          <t>MAT-32-378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1" x 3/4"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202</v>
      </c>
      <c r="L1735" s="6" t="n">
        <v>202</v>
      </c>
      <c r="M1735" s="6" t="n">
        <v>202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1" x 3/4"</t>
        </is>
      </c>
    </row>
    <row r="1736">
      <c r="A1736" s="3" t="inlineStr">
        <is>
          <t>MAT-32-379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1/2"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97.88</v>
      </c>
      <c r="L1736" s="6" t="n">
        <v>97.88</v>
      </c>
      <c r="M1736" s="6" t="n">
        <v>97.88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3/4" x 1/2"</t>
        </is>
      </c>
    </row>
    <row r="1737">
      <c r="A1737" s="3" t="inlineStr">
        <is>
          <t>MAT-32-380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3/8"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137</v>
      </c>
      <c r="L1737" s="6" t="n">
        <v>137</v>
      </c>
      <c r="M1737" s="6" t="n">
        <v>137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3/8"</t>
        </is>
      </c>
    </row>
    <row r="1738">
      <c r="A1738" s="3" t="inlineStr">
        <is>
          <t>MAT-32-381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78.73999999999999</v>
      </c>
      <c r="L1738" s="6" t="n">
        <v>78.73999999999999</v>
      </c>
      <c r="M1738" s="6" t="n">
        <v>78.73999999999999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3/8"</t>
        </is>
      </c>
    </row>
    <row r="1739">
      <c r="A1739" s="3" t="inlineStr">
        <is>
          <t>MAT-32-382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 x 1/8"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57</v>
      </c>
      <c r="L1739" s="6" t="n">
        <v>57</v>
      </c>
      <c r="M1739" s="6" t="n">
        <v>57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 x 1/8"</t>
        </is>
      </c>
    </row>
    <row r="1740">
      <c r="A1740" s="3" t="inlineStr">
        <is>
          <t>MAT-32-383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45.68</v>
      </c>
      <c r="L1740" s="6" t="n">
        <v>45.68</v>
      </c>
      <c r="M1740" s="6" t="n">
        <v>45.68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1" x 1/2"</t>
        </is>
      </c>
    </row>
    <row r="1741">
      <c r="A1741" s="3" t="inlineStr">
        <is>
          <t>MAT-32-384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13.97</v>
      </c>
      <c r="L1741" s="6" t="n">
        <v>13.97</v>
      </c>
      <c r="M1741" s="6" t="n">
        <v>13.97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3/4"</t>
        </is>
      </c>
    </row>
    <row r="1742">
      <c r="A1742" s="3" t="inlineStr">
        <is>
          <t>MAT-32-385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2" x 1"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322</v>
      </c>
      <c r="L1742" s="6" t="n">
        <v>322</v>
      </c>
      <c r="M1742" s="6" t="n">
        <v>322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2" x 1"</t>
        </is>
      </c>
    </row>
    <row r="1743">
      <c r="A1743" s="3" t="inlineStr">
        <is>
          <t>MAT-32-386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3/4"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10.62</v>
      </c>
      <c r="L1743" s="6" t="n">
        <v>10.62</v>
      </c>
      <c r="M1743" s="6" t="n">
        <v>10.62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3/4" x 1/2"</t>
        </is>
      </c>
    </row>
    <row r="1744">
      <c r="A1744" s="3" t="inlineStr">
        <is>
          <t>MAT-32-387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 1/4"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186</v>
      </c>
      <c r="L1744" s="6" t="n">
        <v>125</v>
      </c>
      <c r="M1744" s="6" t="n">
        <v>247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1 1/4"</t>
        </is>
      </c>
    </row>
    <row r="1745">
      <c r="A1745" s="3" t="inlineStr">
        <is>
          <t>MAT-32-388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89.5</v>
      </c>
      <c r="L1745" s="6" t="n">
        <v>76</v>
      </c>
      <c r="M1745" s="6" t="n">
        <v>103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1/2"</t>
        </is>
      </c>
    </row>
    <row r="1746">
      <c r="A1746" s="3" t="inlineStr">
        <is>
          <t>MAT-32-389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140.5</v>
      </c>
      <c r="L1746" s="6" t="n">
        <v>67</v>
      </c>
      <c r="M1746" s="6" t="n">
        <v>214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1"</t>
        </is>
      </c>
    </row>
    <row r="1747">
      <c r="A1747" s="3" t="inlineStr">
        <is>
          <t>MAT-32-390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98.5</v>
      </c>
      <c r="L1747" s="6" t="n">
        <v>87</v>
      </c>
      <c r="M1747" s="6" t="n">
        <v>110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3/4"</t>
        </is>
      </c>
    </row>
    <row r="1748">
      <c r="A1748" s="3" t="inlineStr">
        <is>
          <t>MAT-32-391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74</v>
      </c>
      <c r="L1748" s="6" t="n">
        <v>61</v>
      </c>
      <c r="M1748" s="6" t="n">
        <v>87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1/4" x 1/2"</t>
        </is>
      </c>
    </row>
    <row r="1749">
      <c r="A1749" s="3" t="inlineStr">
        <is>
          <t>MAT-32-392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124.5</v>
      </c>
      <c r="L1749" s="6" t="n">
        <v>51</v>
      </c>
      <c r="M1749" s="6" t="n">
        <v>198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1"</t>
        </is>
      </c>
    </row>
    <row r="1750">
      <c r="A1750" s="3" t="inlineStr">
        <is>
          <t>MAT-32-393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50</v>
      </c>
      <c r="L1750" s="6" t="n">
        <v>50</v>
      </c>
      <c r="M1750" s="6" t="n">
        <v>50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</t>
        </is>
      </c>
      <c r="AF1750" s="4" t="inlineStr">
        <is>
          <t>tipo: reduccion-bushing · material: HG · medida: 1 1/4" x 3/4"</t>
        </is>
      </c>
    </row>
    <row r="1751">
      <c r="A1751" s="3" t="inlineStr">
        <is>
          <t>MAT-32-394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80</v>
      </c>
      <c r="L1751" s="6" t="n">
        <v>80</v>
      </c>
      <c r="M1751" s="6" t="n">
        <v>80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HG · medida: 1/2" x 1/4"</t>
        </is>
      </c>
    </row>
    <row r="1752">
      <c r="A1752" s="3" t="inlineStr">
        <is>
          <t>MAT-32-395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3/8"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45</v>
      </c>
      <c r="L1752" s="6" t="n">
        <v>25</v>
      </c>
      <c r="M1752" s="6" t="n">
        <v>65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1/2" x 3/8"</t>
        </is>
      </c>
    </row>
    <row r="1753">
      <c r="A1753" s="3" t="inlineStr">
        <is>
          <t>MAT-32-396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66</v>
      </c>
      <c r="L1753" s="6" t="n">
        <v>40</v>
      </c>
      <c r="M1753" s="6" t="n">
        <v>92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1" x 1/2"</t>
        </is>
      </c>
    </row>
    <row r="1754">
      <c r="A1754" s="3" t="inlineStr">
        <is>
          <t>MAT-32-397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1/4"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58.94</v>
      </c>
      <c r="L1754" s="6" t="n">
        <v>58.94</v>
      </c>
      <c r="M1754" s="6" t="n">
        <v>58.94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HG · medida: 1" x 1/4"</t>
        </is>
      </c>
    </row>
    <row r="1755">
      <c r="A1755" s="3" t="inlineStr">
        <is>
          <t>MAT-32-398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64</v>
      </c>
      <c r="L1755" s="6" t="n">
        <v>31</v>
      </c>
      <c r="M1755" s="6" t="n">
        <v>97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1" x 3/4"</t>
        </is>
      </c>
    </row>
    <row r="1756">
      <c r="A1756" s="3" t="inlineStr">
        <is>
          <t>MAT-32-399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 1/2" x 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52.64</v>
      </c>
      <c r="L1756" s="6" t="n">
        <v>52.64</v>
      </c>
      <c r="M1756" s="6" t="n">
        <v>52.64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 1/2" x 2"</t>
        </is>
      </c>
    </row>
    <row r="1757">
      <c r="A1757" s="3" t="inlineStr">
        <is>
          <t>MAT-32-400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2</v>
      </c>
      <c r="K1757" s="6" t="n">
        <v>141.5</v>
      </c>
      <c r="L1757" s="6" t="n">
        <v>94</v>
      </c>
      <c r="M1757" s="6" t="n">
        <v>189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 · Ferretería Cima</t>
        </is>
      </c>
      <c r="AF1757" s="4" t="inlineStr">
        <is>
          <t>tipo: reduccion-bushing · material: HG · medida: 2" x 1 1/2"</t>
        </is>
      </c>
    </row>
    <row r="1758">
      <c r="A1758" s="3" t="inlineStr">
        <is>
          <t>MAT-32-401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95</v>
      </c>
      <c r="L1758" s="6" t="n">
        <v>95</v>
      </c>
      <c r="M1758" s="6" t="n">
        <v>95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</t>
        </is>
      </c>
      <c r="AF1758" s="4" t="inlineStr">
        <is>
          <t>tipo: reduccion-bushing · material: HG · medida: 2" x 1 1/4"</t>
        </is>
      </c>
    </row>
    <row r="1759">
      <c r="A1759" s="3" t="inlineStr">
        <is>
          <t>MAT-32-402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140</v>
      </c>
      <c r="L1759" s="6" t="n">
        <v>140</v>
      </c>
      <c r="M1759" s="6" t="n">
        <v>140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1/2"</t>
        </is>
      </c>
    </row>
    <row r="1760">
      <c r="A1760" s="3" t="inlineStr">
        <is>
          <t>MAT-32-403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95</v>
      </c>
      <c r="L1760" s="6" t="n">
        <v>95</v>
      </c>
      <c r="M1760" s="6" t="n">
        <v>95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1"</t>
        </is>
      </c>
    </row>
    <row r="1761">
      <c r="A1761" s="3" t="inlineStr">
        <is>
          <t>MAT-32-404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50</v>
      </c>
      <c r="L1761" s="6" t="n">
        <v>25</v>
      </c>
      <c r="M1761" s="6" t="n">
        <v>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3/4" x 1/2"</t>
        </is>
      </c>
    </row>
    <row r="1762">
      <c r="A1762" s="3" t="inlineStr">
        <is>
          <t>MAT-32-405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25</v>
      </c>
      <c r="L1762" s="6" t="n">
        <v>25</v>
      </c>
      <c r="M1762" s="6" t="n">
        <v>25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3/4" x 1/4"</t>
        </is>
      </c>
    </row>
    <row r="1763">
      <c r="A1763" s="3" t="inlineStr">
        <is>
          <t>MAT-32-406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3/8"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67</v>
      </c>
      <c r="L1763" s="6" t="n">
        <v>67</v>
      </c>
      <c r="M1763" s="6" t="n">
        <v>67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3/8"</t>
        </is>
      </c>
    </row>
    <row r="1764">
      <c r="A1764" s="3" t="inlineStr">
        <is>
          <t>MAT-32-407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3/8" x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34</v>
      </c>
      <c r="L1764" s="6" t="n">
        <v>34</v>
      </c>
      <c r="M1764" s="6" t="n">
        <v>34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3/8" x 1/4"</t>
        </is>
      </c>
    </row>
    <row r="1765">
      <c r="A1765" s="3" t="inlineStr">
        <is>
          <t>MAT-32-408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3" x 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261</v>
      </c>
      <c r="L1765" s="6" t="n">
        <v>261</v>
      </c>
      <c r="M1765" s="6" t="n">
        <v>261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3" x 2"</t>
        </is>
      </c>
    </row>
    <row r="1766">
      <c r="A1766" s="3" t="inlineStr">
        <is>
          <t>MAT-32-409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4" x 3"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454</v>
      </c>
      <c r="L1766" s="6" t="n">
        <v>454</v>
      </c>
      <c r="M1766" s="6" t="n">
        <v>454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4" x 3"</t>
        </is>
      </c>
    </row>
    <row r="1767">
      <c r="A1767" s="3" t="inlineStr">
        <is>
          <t>MAT-32-410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39.23</v>
      </c>
      <c r="L1767" s="6" t="n">
        <v>14.47</v>
      </c>
      <c r="M1767" s="6" t="n">
        <v>64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Cima · Ferretería MC</t>
        </is>
      </c>
      <c r="AF1767" s="4" t="inlineStr">
        <is>
          <t>tipo: reduccion-bushing · material: PVC drenaje · medida: 2" x 1/2"</t>
        </is>
      </c>
    </row>
    <row r="1768">
      <c r="A1768" s="3" t="inlineStr">
        <is>
          <t>MAT-32-411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16.8</v>
      </c>
      <c r="L1768" s="6" t="n">
        <v>16.8</v>
      </c>
      <c r="M1768" s="6" t="n">
        <v>16.8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2" x 1"</t>
        </is>
      </c>
    </row>
    <row r="1769">
      <c r="A1769" s="3" t="inlineStr">
        <is>
          <t>MAT-32-412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3/4"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16.32</v>
      </c>
      <c r="L1769" s="6" t="n">
        <v>16.32</v>
      </c>
      <c r="M1769" s="6" t="n">
        <v>16.32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3/4"</t>
        </is>
      </c>
    </row>
    <row r="1770">
      <c r="A1770" s="3" t="inlineStr">
        <is>
          <t>MAT-32-413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3"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39.19</v>
      </c>
      <c r="L1770" s="6" t="n">
        <v>39.19</v>
      </c>
      <c r="M1770" s="6" t="n">
        <v>39.19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3" x 2"</t>
        </is>
      </c>
    </row>
    <row r="1771">
      <c r="A1771" s="3" t="inlineStr">
        <is>
          <t>MAT-32-414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75.87</v>
      </c>
      <c r="L1771" s="6" t="n">
        <v>75.87</v>
      </c>
      <c r="M1771" s="6" t="n">
        <v>75.87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4" x 2"</t>
        </is>
      </c>
    </row>
    <row r="1772">
      <c r="A1772" s="3" t="inlineStr">
        <is>
          <t>MAT-32-415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75.40000000000001</v>
      </c>
      <c r="L1772" s="6" t="n">
        <v>75.40000000000001</v>
      </c>
      <c r="M1772" s="6" t="n">
        <v>75.40000000000001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3"</t>
        </is>
      </c>
    </row>
    <row r="1773">
      <c r="A1773" s="3" t="inlineStr">
        <is>
          <t>MAT-32-416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6" x 4"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280.01</v>
      </c>
      <c r="L1773" s="6" t="n">
        <v>132</v>
      </c>
      <c r="M1773" s="6" t="n">
        <v>370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 · Ferretería MC</t>
        </is>
      </c>
      <c r="AF1773" s="4" t="inlineStr">
        <is>
          <t>tipo: reduccion-bushing · material: PVC drenaje · medida: 6" x 4"</t>
        </is>
      </c>
    </row>
    <row r="1774">
      <c r="A1774" s="3" t="inlineStr">
        <is>
          <t>MAT-32-417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2509.51</v>
      </c>
      <c r="L1774" s="6" t="n">
        <v>2509.51</v>
      </c>
      <c r="M1774" s="6" t="n">
        <v>2509.51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8" x 4"</t>
        </is>
      </c>
    </row>
    <row r="1775">
      <c r="A1775" s="3" t="inlineStr">
        <is>
          <t>MAT-32-418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6"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1918.68</v>
      </c>
      <c r="L1775" s="6" t="n">
        <v>1918.68</v>
      </c>
      <c r="M1775" s="6" t="n">
        <v>1918.68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6"</t>
        </is>
      </c>
    </row>
    <row r="1776">
      <c r="A1776" s="3" t="inlineStr">
        <is>
          <t>MAT-32-419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1"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87</v>
      </c>
      <c r="L1776" s="6" t="n">
        <v>87</v>
      </c>
      <c r="M1776" s="6" t="n">
        <v>87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Cima</t>
        </is>
      </c>
      <c r="AF1776" s="4" t="inlineStr">
        <is>
          <t>tipo: reduccion-bushing · material: PVC · medida: 1 1/2" x 1"</t>
        </is>
      </c>
    </row>
    <row r="1777">
      <c r="A1777" s="3" t="inlineStr">
        <is>
          <t>MAT-32-420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3/4"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57.5</v>
      </c>
      <c r="L1777" s="6" t="n">
        <v>30</v>
      </c>
      <c r="M1777" s="6" t="n">
        <v>85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1 1/2" x 3/4"</t>
        </is>
      </c>
    </row>
    <row r="1778">
      <c r="A1778" s="3" t="inlineStr">
        <is>
          <t>MAT-32-421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1/2"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35</v>
      </c>
      <c r="L1778" s="6" t="n">
        <v>35</v>
      </c>
      <c r="M1778" s="6" t="n">
        <v>35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1" x 1/2"</t>
        </is>
      </c>
    </row>
    <row r="1779">
      <c r="A1779" s="3" t="inlineStr">
        <is>
          <t>MAT-32-422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19.44</v>
      </c>
      <c r="L1779" s="6" t="n">
        <v>12.88</v>
      </c>
      <c r="M1779" s="6" t="n">
        <v>26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Cima</t>
        </is>
      </c>
      <c r="AF1779" s="4" t="inlineStr">
        <is>
          <t>tipo: reduccion-bushing · material: PVC · medida: 1" x 3/4"</t>
        </is>
      </c>
    </row>
    <row r="1780">
      <c r="A1780" s="3" t="inlineStr">
        <is>
          <t>MAT-32-423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59</v>
      </c>
      <c r="L1780" s="6" t="n">
        <v>53</v>
      </c>
      <c r="M1780" s="6" t="n">
        <v>65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2" x 1 1/2"</t>
        </is>
      </c>
    </row>
    <row r="1781">
      <c r="A1781" s="3" t="inlineStr">
        <is>
          <t>MAT-32-424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64</v>
      </c>
      <c r="L1781" s="6" t="n">
        <v>64</v>
      </c>
      <c r="M1781" s="6" t="n">
        <v>64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2" x 1"</t>
        </is>
      </c>
    </row>
    <row r="1782">
      <c r="A1782" s="3" t="inlineStr">
        <is>
          <t>MAT-32-425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41</v>
      </c>
      <c r="L1782" s="6" t="n">
        <v>41</v>
      </c>
      <c r="M1782" s="6" t="n">
        <v>41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3/4"</t>
        </is>
      </c>
    </row>
    <row r="1783">
      <c r="A1783" s="3" t="inlineStr">
        <is>
          <t>MAT-32-426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3/4" x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20</v>
      </c>
      <c r="L1783" s="6" t="n">
        <v>20</v>
      </c>
      <c r="M1783" s="6" t="n">
        <v>20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3/4" x 1/2"</t>
        </is>
      </c>
    </row>
    <row r="1784">
      <c r="A1784" s="3" t="inlineStr">
        <is>
          <t>MAT-32-427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3" x 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210</v>
      </c>
      <c r="L1784" s="6" t="n">
        <v>210</v>
      </c>
      <c r="M1784" s="6" t="n">
        <v>210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3" x 2"</t>
        </is>
      </c>
    </row>
    <row r="1785">
      <c r="A1785" s="3" t="inlineStr">
        <is>
          <t>MAT-32-428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175</v>
      </c>
      <c r="L1785" s="6" t="n">
        <v>175</v>
      </c>
      <c r="M1785" s="6" t="n">
        <v>175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4" x 2"</t>
        </is>
      </c>
    </row>
    <row r="1786">
      <c r="A1786" s="3" t="inlineStr">
        <is>
          <t>MAT-32-429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3"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195</v>
      </c>
      <c r="L1786" s="6" t="n">
        <v>195</v>
      </c>
      <c r="M1786" s="6" t="n">
        <v>195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3"</t>
        </is>
      </c>
    </row>
    <row r="1787">
      <c r="A1787" s="3" t="inlineStr">
        <is>
          <t>MAT-32-430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1430</v>
      </c>
      <c r="L1787" s="6" t="n">
        <v>1430</v>
      </c>
      <c r="M1787" s="6" t="n">
        <v>1430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reduccion-bushing · material: PVC · medida: 6" x 3"</t>
        </is>
      </c>
    </row>
    <row r="1788">
      <c r="A1788" s="3" t="inlineStr">
        <is>
          <t>MAT-32-431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702</v>
      </c>
      <c r="L1788" s="6" t="n">
        <v>702</v>
      </c>
      <c r="M1788" s="6" t="n">
        <v>702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6" x 4"</t>
        </is>
      </c>
    </row>
    <row r="1789">
      <c r="A1789" s="3" t="inlineStr">
        <is>
          <t>MAT-32-432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26.85</v>
      </c>
      <c r="L1789" s="6" t="n">
        <v>26.85</v>
      </c>
      <c r="M1789" s="6" t="n">
        <v>26.85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MC</t>
        </is>
      </c>
      <c r="AF1789" s="4" t="inlineStr">
        <is>
          <t>tipo: reduccion-bushing · material: PVC presión · medida: 1 1/2" x 1/2"</t>
        </is>
      </c>
    </row>
    <row r="1790">
      <c r="A1790" s="3" t="inlineStr">
        <is>
          <t>MAT-32-433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26.41</v>
      </c>
      <c r="L1790" s="6" t="n">
        <v>26.41</v>
      </c>
      <c r="M1790" s="6" t="n">
        <v>26.41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1"</t>
        </is>
      </c>
    </row>
    <row r="1791">
      <c r="A1791" s="3" t="inlineStr">
        <is>
          <t>MAT-32-434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21.36</v>
      </c>
      <c r="L1791" s="6" t="n">
        <v>10.48</v>
      </c>
      <c r="M1791" s="6" t="n">
        <v>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MC</t>
        </is>
      </c>
      <c r="AF1791" s="4" t="inlineStr">
        <is>
          <t>tipo: reduccion-bushing · material: PVC presión · medida: 1 1/2" x 3/4"</t>
        </is>
      </c>
    </row>
    <row r="1792">
      <c r="A1792" s="3" t="inlineStr">
        <is>
          <t>MAT-32-435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12" x 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15891.21</v>
      </c>
      <c r="L1792" s="6" t="n">
        <v>15891.21</v>
      </c>
      <c r="M1792" s="6" t="n">
        <v>15891.21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reduccion-bushing · material: PVC presión · medida: 12" x 8"</t>
        </is>
      </c>
    </row>
    <row r="1793">
      <c r="A1793" s="3" t="inlineStr">
        <is>
          <t>MAT-32-436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10.56</v>
      </c>
      <c r="L1793" s="6" t="n">
        <v>10.56</v>
      </c>
      <c r="M1793" s="6" t="n">
        <v>10.56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1" x 1/2"</t>
        </is>
      </c>
    </row>
    <row r="1794">
      <c r="A1794" s="3" t="inlineStr">
        <is>
          <t>MAT-32-437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3/4"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8.300000000000001</v>
      </c>
      <c r="L1794" s="6" t="n">
        <v>8.300000000000001</v>
      </c>
      <c r="M1794" s="6" t="n">
        <v>8.300000000000001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3/4"</t>
        </is>
      </c>
    </row>
    <row r="1795">
      <c r="A1795" s="3" t="inlineStr">
        <is>
          <t>MAT-32-438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22.93</v>
      </c>
      <c r="L1795" s="6" t="n">
        <v>22.93</v>
      </c>
      <c r="M1795" s="6" t="n">
        <v>22.93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1 1/2"</t>
        </is>
      </c>
    </row>
    <row r="1796">
      <c r="A1796" s="3" t="inlineStr">
        <is>
          <t>MAT-32-439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30.85</v>
      </c>
      <c r="L1796" s="6" t="n">
        <v>30.85</v>
      </c>
      <c r="M1796" s="6" t="n">
        <v>30.85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1/2"</t>
        </is>
      </c>
    </row>
    <row r="1797">
      <c r="A1797" s="3" t="inlineStr">
        <is>
          <t>MAT-32-440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33.22</v>
      </c>
      <c r="L1797" s="6" t="n">
        <v>33.22</v>
      </c>
      <c r="M1797" s="6" t="n">
        <v>33.22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1"</t>
        </is>
      </c>
    </row>
    <row r="1798">
      <c r="A1798" s="3" t="inlineStr">
        <is>
          <t>MAT-32-441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3/4"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40.34</v>
      </c>
      <c r="L1798" s="6" t="n">
        <v>40.34</v>
      </c>
      <c r="M1798" s="6" t="n">
        <v>40.34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3/4"</t>
        </is>
      </c>
    </row>
    <row r="1799">
      <c r="A1799" s="3" t="inlineStr">
        <is>
          <t>MAT-32-442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4.96</v>
      </c>
      <c r="L1799" s="6" t="n">
        <v>4.96</v>
      </c>
      <c r="M1799" s="6" t="n">
        <v>4.96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3/4" x 1/2"</t>
        </is>
      </c>
    </row>
    <row r="1800">
      <c r="A1800" s="3" t="inlineStr">
        <is>
          <t>MAT-32-443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205.82</v>
      </c>
      <c r="L1800" s="6" t="n">
        <v>61.64</v>
      </c>
      <c r="M1800" s="6" t="n">
        <v>350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3" x 1 1/2"</t>
        </is>
      </c>
    </row>
    <row r="1801">
      <c r="A1801" s="3" t="inlineStr">
        <is>
          <t>MAT-32-444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350</v>
      </c>
      <c r="L1801" s="6" t="n">
        <v>350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1"</t>
        </is>
      </c>
    </row>
    <row r="1802">
      <c r="A1802" s="3" t="inlineStr">
        <is>
          <t>MAT-32-445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4"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195</v>
      </c>
      <c r="L1802" s="6" t="n">
        <v>195</v>
      </c>
      <c r="M1802" s="6" t="n">
        <v>195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4" x 2"</t>
        </is>
      </c>
    </row>
    <row r="1803">
      <c r="A1803" s="3" t="inlineStr">
        <is>
          <t>MAT-32-446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6" x 4"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435.5</v>
      </c>
      <c r="L1803" s="6" t="n">
        <v>136</v>
      </c>
      <c r="M1803" s="6" t="n">
        <v>735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6" x 4"</t>
        </is>
      </c>
    </row>
    <row r="1804">
      <c r="A1804" s="3" t="inlineStr">
        <is>
          <t>MAT-32-447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8" x 6"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3880</v>
      </c>
      <c r="L1804" s="6" t="n">
        <v>3880</v>
      </c>
      <c r="M1804" s="6" t="n">
        <v>3880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8" x 6"</t>
        </is>
      </c>
    </row>
    <row r="1805">
      <c r="A1805" s="3" t="inlineStr">
        <is>
          <t>MAT-32-448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3/8" x 5/8"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121</v>
      </c>
      <c r="L1805" s="6" t="n">
        <v>121</v>
      </c>
      <c r="M1805" s="6" t="n">
        <v>121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cobre · medida: 1 3/8" x 5/8"</t>
        </is>
      </c>
    </row>
    <row r="1806">
      <c r="A1806" s="3" t="inlineStr">
        <is>
          <t>MAT-32-449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5/8" x 1 1/8"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159</v>
      </c>
      <c r="L1806" s="6" t="n">
        <v>159</v>
      </c>
      <c r="M1806" s="6" t="n">
        <v>159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5/8" x 1 1/8"</t>
        </is>
      </c>
    </row>
    <row r="1807">
      <c r="A1807" s="3" t="inlineStr">
        <is>
          <t>MAT-32-450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7/8" x 5/8"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48.07</v>
      </c>
      <c r="L1807" s="6" t="n">
        <v>48.07</v>
      </c>
      <c r="M1807" s="6" t="n">
        <v>48.07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7/8" x 5/8"</t>
        </is>
      </c>
    </row>
    <row r="1808">
      <c r="A1808" s="3" t="inlineStr">
        <is>
          <t>MAT-32-451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 1/4"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120</v>
      </c>
      <c r="L1808" s="6" t="n">
        <v>120</v>
      </c>
      <c r="M1808" s="6" t="n">
        <v>120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1/2" x 1 1/4"</t>
        </is>
      </c>
    </row>
    <row r="1809">
      <c r="A1809" s="3" t="inlineStr">
        <is>
          <t>MAT-32-452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1/2"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83</v>
      </c>
      <c r="L1809" s="6" t="n">
        <v>83</v>
      </c>
      <c r="M1809" s="6" t="n">
        <v>83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1/2"</t>
        </is>
      </c>
    </row>
    <row r="1810">
      <c r="A1810" s="3" t="inlineStr">
        <is>
          <t>MAT-32-453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175</v>
      </c>
      <c r="L1810" s="6" t="n">
        <v>113</v>
      </c>
      <c r="M1810" s="6" t="n">
        <v>237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 1/2" x 1"</t>
        </is>
      </c>
    </row>
    <row r="1811">
      <c r="A1811" s="3" t="inlineStr">
        <is>
          <t>MAT-32-454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1/4"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62</v>
      </c>
      <c r="L1811" s="6" t="n">
        <v>62</v>
      </c>
      <c r="M1811" s="6" t="n">
        <v>62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HG · medida: 1 1/4" x 1"</t>
        </is>
      </c>
    </row>
    <row r="1812">
      <c r="A1812" s="3" t="inlineStr">
        <is>
          <t>MAT-32-455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1/4"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36.34</v>
      </c>
      <c r="L1812" s="6" t="n">
        <v>36.34</v>
      </c>
      <c r="M1812" s="6" t="n">
        <v>36.34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1/2" x 1/4"</t>
        </is>
      </c>
    </row>
    <row r="1813">
      <c r="A1813" s="3" t="inlineStr">
        <is>
          <t>MAT-32-456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3/8"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2</v>
      </c>
      <c r="K1813" s="6" t="n">
        <v>53.13</v>
      </c>
      <c r="L1813" s="6" t="n">
        <v>36.25</v>
      </c>
      <c r="M1813" s="6" t="n">
        <v>70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 · Ferretería Cima</t>
        </is>
      </c>
      <c r="AF1813" s="4" t="inlineStr">
        <is>
          <t>tipo: reduccion · material: HG · medida: 1/2" x 3/8"</t>
        </is>
      </c>
    </row>
    <row r="1814">
      <c r="A1814" s="3" t="inlineStr">
        <is>
          <t>MAT-32-457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71</v>
      </c>
      <c r="L1814" s="6" t="n">
        <v>47</v>
      </c>
      <c r="M1814" s="6" t="n">
        <v>95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1" x 1/2"</t>
        </is>
      </c>
    </row>
    <row r="1815">
      <c r="A1815" s="3" t="inlineStr">
        <is>
          <t>MAT-32-458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3/4"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74.48</v>
      </c>
      <c r="L1815" s="6" t="n">
        <v>47.96</v>
      </c>
      <c r="M1815" s="6" t="n">
        <v>101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3/4"</t>
        </is>
      </c>
    </row>
    <row r="1816">
      <c r="A1816" s="3" t="inlineStr">
        <is>
          <t>MAT-32-459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135</v>
      </c>
      <c r="L1816" s="6" t="n">
        <v>135</v>
      </c>
      <c r="M1816" s="6" t="n">
        <v>135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2" x 1 1/2"</t>
        </is>
      </c>
    </row>
    <row r="1817">
      <c r="A1817" s="3" t="inlineStr">
        <is>
          <t>MAT-32-460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117</v>
      </c>
      <c r="L1817" s="6" t="n">
        <v>117</v>
      </c>
      <c r="M1817" s="6" t="n">
        <v>117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1"</t>
        </is>
      </c>
    </row>
    <row r="1818">
      <c r="A1818" s="3" t="inlineStr">
        <is>
          <t>MAT-32-461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34</v>
      </c>
      <c r="L1818" s="6" t="n">
        <v>34</v>
      </c>
      <c r="M1818" s="6" t="n">
        <v>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3/4" x 1/2"</t>
        </is>
      </c>
    </row>
    <row r="1819">
      <c r="A1819" s="3" t="inlineStr">
        <is>
          <t>MAT-32-462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26.32</v>
      </c>
      <c r="L1819" s="6" t="n">
        <v>26.32</v>
      </c>
      <c r="M1819" s="6" t="n">
        <v>26.32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3/8"</t>
        </is>
      </c>
    </row>
    <row r="1820">
      <c r="A1820" s="3" t="inlineStr">
        <is>
          <t>MAT-32-463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3" x 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440</v>
      </c>
      <c r="L1820" s="6" t="n">
        <v>440</v>
      </c>
      <c r="M1820" s="6" t="n">
        <v>440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3" x 2"</t>
        </is>
      </c>
    </row>
    <row r="1821">
      <c r="A1821" s="3" t="inlineStr">
        <is>
          <t>MAT-32-464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7.36</v>
      </c>
      <c r="L1821" s="6" t="n">
        <v>7.36</v>
      </c>
      <c r="M1821" s="6" t="n">
        <v>7.36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1/2" x 1"</t>
        </is>
      </c>
    </row>
    <row r="1822">
      <c r="A1822" s="3" t="inlineStr">
        <is>
          <t>MAT-32-465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7/8"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3.5</v>
      </c>
      <c r="L1822" s="6" t="n">
        <v>3.5</v>
      </c>
      <c r="M1822" s="6" t="n">
        <v>3.5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7/8"</t>
        </is>
      </c>
    </row>
    <row r="1823">
      <c r="A1823" s="3" t="inlineStr">
        <is>
          <t>MAT-32-466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10.35</v>
      </c>
      <c r="L1823" s="6" t="n">
        <v>10.35</v>
      </c>
      <c r="M1823" s="6" t="n">
        <v>10.35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1/2"</t>
        </is>
      </c>
    </row>
    <row r="1824">
      <c r="A1824" s="3" t="inlineStr">
        <is>
          <t>MAT-32-467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3/4"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2.33</v>
      </c>
      <c r="L1824" s="6" t="n">
        <v>2.33</v>
      </c>
      <c r="M1824" s="6" t="n">
        <v>2.33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3/4"</t>
        </is>
      </c>
    </row>
    <row r="1825">
      <c r="A1825" s="3" t="inlineStr">
        <is>
          <t>MAT-32-468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5/8"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2.44</v>
      </c>
      <c r="L1825" s="6" t="n">
        <v>2.44</v>
      </c>
      <c r="M1825" s="6" t="n">
        <v>2.44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5/8"</t>
        </is>
      </c>
    </row>
    <row r="1826">
      <c r="A1826" s="3" t="inlineStr">
        <is>
          <t>MAT-32-469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7/8"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8.800000000000001</v>
      </c>
      <c r="L1826" s="6" t="n">
        <v>8.800000000000001</v>
      </c>
      <c r="M1826" s="6" t="n">
        <v>8.800000000000001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7/8"</t>
        </is>
      </c>
    </row>
    <row r="1827">
      <c r="A1827" s="3" t="inlineStr">
        <is>
          <t>MAT-32-470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20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6.84</v>
      </c>
      <c r="L1827" s="6" t="n">
        <v>5.59</v>
      </c>
      <c r="M1827" s="6" t="n">
        <v>8.08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20 mm</t>
        </is>
      </c>
    </row>
    <row r="1828">
      <c r="A1828" s="3" t="inlineStr">
        <is>
          <t>MAT-32-471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13.91</v>
      </c>
      <c r="L1828" s="6" t="n">
        <v>7.98</v>
      </c>
      <c r="M1828" s="6" t="n">
        <v>19.84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25 mm</t>
        </is>
      </c>
    </row>
    <row r="1829">
      <c r="A1829" s="3" t="inlineStr">
        <is>
          <t>MAT-32-472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 x 20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</v>
      </c>
      <c r="L1829" s="6" t="n">
        <v>53</v>
      </c>
      <c r="M1829" s="6" t="n">
        <v>53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2026-09-09</t>
        </is>
      </c>
      <c r="Q1829" s="4" t="inlineStr">
        <is>
          <t>Ferretería Cima</t>
        </is>
      </c>
      <c r="AF1829" s="4" t="inlineStr">
        <is>
          <t>tipo: reduccion · material: PPR · medida: 25 mm x 20 mm</t>
        </is>
      </c>
    </row>
    <row r="1830">
      <c r="A1830" s="3" t="inlineStr">
        <is>
          <t>MAT-32-473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32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22.53</v>
      </c>
      <c r="L1830" s="6" t="n">
        <v>22.53</v>
      </c>
      <c r="M1830" s="6" t="n">
        <v>22.53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PPR · medida: 32 mm</t>
        </is>
      </c>
    </row>
    <row r="1831">
      <c r="A1831" s="3" t="inlineStr">
        <is>
          <t>MAT-32-474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1 1/2" x 1"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15</v>
      </c>
      <c r="L1831" s="6" t="n">
        <v>15</v>
      </c>
      <c r="M1831" s="6" t="n">
        <v>15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1 1/2" x 1"</t>
        </is>
      </c>
    </row>
    <row r="1832">
      <c r="A1832" s="3" t="inlineStr">
        <is>
          <t>MAT-32-475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14.69</v>
      </c>
      <c r="L1832" s="6" t="n">
        <v>14.69</v>
      </c>
      <c r="M1832" s="6" t="n">
        <v>14.69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2" x 1/2"</t>
        </is>
      </c>
    </row>
    <row r="1833">
      <c r="A1833" s="3" t="inlineStr">
        <is>
          <t>MAT-32-476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14.96</v>
      </c>
      <c r="L1833" s="6" t="n">
        <v>14.96</v>
      </c>
      <c r="M1833" s="6" t="n">
        <v>14.96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1"</t>
        </is>
      </c>
    </row>
    <row r="1834">
      <c r="A1834" s="3" t="inlineStr">
        <is>
          <t>MAT-32-477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3/4"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14.52</v>
      </c>
      <c r="L1834" s="6" t="n">
        <v>14.52</v>
      </c>
      <c r="M1834" s="6" t="n">
        <v>14.52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3/4"</t>
        </is>
      </c>
    </row>
    <row r="1835">
      <c r="A1835" s="3" t="inlineStr">
        <is>
          <t>MAT-32-478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3" x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31.93</v>
      </c>
      <c r="L1835" s="6" t="n">
        <v>28.6</v>
      </c>
      <c r="M1835" s="6" t="n">
        <v>35.26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3" x 2"</t>
        </is>
      </c>
    </row>
    <row r="1836">
      <c r="A1836" s="3" t="inlineStr">
        <is>
          <t>MAT-32-479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66.90000000000001</v>
      </c>
      <c r="L1836" s="6" t="n">
        <v>57.06</v>
      </c>
      <c r="M1836" s="6" t="n">
        <v>76.73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4" x 2"</t>
        </is>
      </c>
    </row>
    <row r="1837">
      <c r="A1837" s="3" t="inlineStr">
        <is>
          <t>MAT-32-480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3"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59.26</v>
      </c>
      <c r="L1837" s="6" t="n">
        <v>52</v>
      </c>
      <c r="M1837" s="6" t="n">
        <v>66.51000000000001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3"</t>
        </is>
      </c>
    </row>
    <row r="1838">
      <c r="A1838" s="3" t="inlineStr">
        <is>
          <t>MAT-32-481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63</v>
      </c>
      <c r="L1838" s="6" t="n">
        <v>63</v>
      </c>
      <c r="M1838" s="6" t="n">
        <v>63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2026-09-09</t>
        </is>
      </c>
      <c r="Q1838" s="4" t="inlineStr">
        <is>
          <t>Ferretería Cima</t>
        </is>
      </c>
      <c r="AF1838" s="4" t="inlineStr">
        <is>
          <t>tipo: reduccion · material: PVC · medida: 1 1/2" x 1/2"</t>
        </is>
      </c>
    </row>
    <row r="1839">
      <c r="A1839" s="3" t="inlineStr">
        <is>
          <t>MAT-32-482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111</v>
      </c>
      <c r="L1839" s="6" t="n">
        <v>111</v>
      </c>
      <c r="M1839" s="6" t="n">
        <v>111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1"</t>
        </is>
      </c>
    </row>
    <row r="1840">
      <c r="A1840" s="3" t="inlineStr">
        <is>
          <t>MAT-32-483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85</v>
      </c>
      <c r="L1840" s="6" t="n">
        <v>85</v>
      </c>
      <c r="M1840" s="6" t="n">
        <v>85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3/4"</t>
        </is>
      </c>
    </row>
    <row r="1841">
      <c r="A1841" s="3" t="inlineStr">
        <is>
          <t>MAT-32-484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12" x 8"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13614</v>
      </c>
      <c r="L1841" s="6" t="n">
        <v>13614</v>
      </c>
      <c r="M1841" s="6" t="n">
        <v>13614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· medida: 12" x 8"</t>
        </is>
      </c>
    </row>
    <row r="1842">
      <c r="A1842" s="3" t="inlineStr">
        <is>
          <t>MAT-32-485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16" x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9256.889999999999</v>
      </c>
      <c r="L1842" s="6" t="n">
        <v>9256.889999999999</v>
      </c>
      <c r="M1842" s="6" t="n">
        <v>9256.889999999999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16" x 12"</t>
        </is>
      </c>
    </row>
    <row r="1843">
      <c r="A1843" s="3" t="inlineStr">
        <is>
          <t>MAT-32-486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2" x 1 1/2"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234</v>
      </c>
      <c r="L1843" s="6" t="n">
        <v>234</v>
      </c>
      <c r="M1843" s="6" t="n">
        <v>234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F1843" s="4" t="inlineStr">
        <is>
          <t>tipo: reduccion · material: PVC · medida: 2" x 1 1/2"</t>
        </is>
      </c>
    </row>
    <row r="1844">
      <c r="A1844" s="3" t="inlineStr">
        <is>
          <t>MAT-32-487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3/4"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21.47</v>
      </c>
      <c r="L1844" s="6" t="n">
        <v>5.77</v>
      </c>
      <c r="M1844" s="6" t="n">
        <v>46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reduccion · material: PVC · medida: 3/4" x 1/2"</t>
        </is>
      </c>
    </row>
    <row r="1845">
      <c r="A1845" s="3" t="inlineStr">
        <is>
          <t>MAT-32-488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348</v>
      </c>
      <c r="L1845" s="6" t="n">
        <v>348</v>
      </c>
      <c r="M1845" s="6" t="n">
        <v>348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· medida: 4" x 2"</t>
        </is>
      </c>
    </row>
    <row r="1846">
      <c r="A1846" s="3" t="inlineStr">
        <is>
          <t>MAT-32-489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3"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376</v>
      </c>
      <c r="L1846" s="6" t="n">
        <v>122</v>
      </c>
      <c r="M1846" s="6" t="n">
        <v>630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3"</t>
        </is>
      </c>
    </row>
    <row r="1847">
      <c r="A1847" s="3" t="inlineStr">
        <is>
          <t>MAT-32-490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25.53</v>
      </c>
      <c r="L1847" s="6" t="n">
        <v>25.53</v>
      </c>
      <c r="M1847" s="6" t="n">
        <v>25.53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 1/2"</t>
        </is>
      </c>
    </row>
    <row r="1848">
      <c r="A1848" s="3" t="inlineStr">
        <is>
          <t>MAT-32-491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 x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26.39</v>
      </c>
      <c r="L1848" s="6" t="n">
        <v>26.39</v>
      </c>
      <c r="M1848" s="6" t="n">
        <v>26.39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 x 1/2"</t>
        </is>
      </c>
    </row>
    <row r="1849">
      <c r="A1849" s="3" t="inlineStr">
        <is>
          <t>MAT-32-492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9.130000000000001</v>
      </c>
      <c r="L1849" s="6" t="n">
        <v>7.7</v>
      </c>
      <c r="M1849" s="6" t="n">
        <v>10.56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1" x 1/2"</t>
        </is>
      </c>
    </row>
    <row r="1850">
      <c r="A1850" s="3" t="inlineStr">
        <is>
          <t>MAT-32-493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3/4"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7.19</v>
      </c>
      <c r="L1850" s="6" t="n">
        <v>6.11</v>
      </c>
      <c r="M1850" s="6" t="n">
        <v>8.27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3/4"</t>
        </is>
      </c>
    </row>
    <row r="1851">
      <c r="A1851" s="3" t="inlineStr">
        <is>
          <t>MAT-32-494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 1/2"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22.64</v>
      </c>
      <c r="L1851" s="6" t="n">
        <v>22.64</v>
      </c>
      <c r="M1851" s="6" t="n">
        <v>22.64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1 1/2"</t>
        </is>
      </c>
    </row>
    <row r="1852">
      <c r="A1852" s="3" t="inlineStr">
        <is>
          <t>MAT-32-495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36.92</v>
      </c>
      <c r="L1852" s="6" t="n">
        <v>20</v>
      </c>
      <c r="M1852" s="6" t="n">
        <v>53.85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1/2"</t>
        </is>
      </c>
    </row>
    <row r="1853">
      <c r="A1853" s="3" t="inlineStr">
        <is>
          <t>MAT-32-496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53.85</v>
      </c>
      <c r="L1853" s="6" t="n">
        <v>53.85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1"</t>
        </is>
      </c>
    </row>
    <row r="1854">
      <c r="A1854" s="3" t="inlineStr">
        <is>
          <t>MAT-32-497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3/4"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53.61</v>
      </c>
      <c r="L1854" s="6" t="n">
        <v>53.61</v>
      </c>
      <c r="M1854" s="6" t="n">
        <v>53.61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3/4"</t>
        </is>
      </c>
    </row>
    <row r="1855">
      <c r="A1855" s="3" t="inlineStr">
        <is>
          <t>MAT-32-498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3/4"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3.09</v>
      </c>
      <c r="L1855" s="6" t="n">
        <v>2.28</v>
      </c>
      <c r="M1855" s="6" t="n">
        <v>3.9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3/4" x 1/2"</t>
        </is>
      </c>
    </row>
    <row r="1856">
      <c r="A1856" s="3" t="inlineStr">
        <is>
          <t>MAT-32-499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3" x 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104.52</v>
      </c>
      <c r="L1856" s="6" t="n">
        <v>104.52</v>
      </c>
      <c r="M1856" s="6" t="n">
        <v>104.52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3" x 2"</t>
        </is>
      </c>
    </row>
    <row r="1857">
      <c r="A1857" s="3" t="inlineStr">
        <is>
          <t>MAT-32-500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4" x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158.69</v>
      </c>
      <c r="L1857" s="6" t="n">
        <v>72.37</v>
      </c>
      <c r="M1857" s="6" t="n">
        <v>245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4" x 3"</t>
        </is>
      </c>
    </row>
    <row r="1858">
      <c r="A1858" s="3" t="inlineStr">
        <is>
          <t>MAT-32-501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101</v>
      </c>
      <c r="L1858" s="6" t="n">
        <v>101</v>
      </c>
      <c r="M1858" s="6" t="n">
        <v>101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2026-09-09</t>
        </is>
      </c>
      <c r="Q1858" s="4" t="inlineStr">
        <is>
          <t>Ferretería Cima</t>
        </is>
      </c>
      <c r="AF1858" s="4" t="inlineStr">
        <is>
          <t>tipo: tapon-hembra · material: bronce · medida: 1/4"</t>
        </is>
      </c>
    </row>
    <row r="1859">
      <c r="A1859" s="3" t="inlineStr">
        <is>
          <t>MAT-32-502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100</v>
      </c>
      <c r="L1859" s="6" t="n">
        <v>100</v>
      </c>
      <c r="M1859" s="6" t="n">
        <v>100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bronce · medida: 3/4"</t>
        </is>
      </c>
    </row>
    <row r="1860">
      <c r="A1860" s="3" t="inlineStr">
        <is>
          <t>MAT-32-503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3/8"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170</v>
      </c>
      <c r="L1860" s="6" t="n">
        <v>170</v>
      </c>
      <c r="M1860" s="6" t="n">
        <v>170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2026-09-09</t>
        </is>
      </c>
      <c r="Q1860" s="4" t="inlineStr">
        <is>
          <t>Ferretería Cima</t>
        </is>
      </c>
      <c r="AF1860" s="4" t="inlineStr">
        <is>
          <t>tipo: tapon-hembra · material: bronce · medida: 3/8"</t>
        </is>
      </c>
    </row>
    <row r="1861">
      <c r="A1861" s="3" t="inlineStr">
        <is>
          <t>MAT-32-504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5.78</v>
      </c>
      <c r="L1861" s="6" t="n">
        <v>5.78</v>
      </c>
      <c r="M1861" s="6" t="n">
        <v>5.78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tapon-hembra · material: CPVC · medida: 1/2"</t>
        </is>
      </c>
    </row>
    <row r="1862">
      <c r="A1862" s="3" t="inlineStr">
        <is>
          <t>MAT-32-505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21</v>
      </c>
      <c r="L1862" s="6" t="n">
        <v>21</v>
      </c>
      <c r="M1862" s="6" t="n">
        <v>21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1"</t>
        </is>
      </c>
    </row>
    <row r="1863">
      <c r="A1863" s="3" t="inlineStr">
        <is>
          <t>MAT-32-506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8.720000000000001</v>
      </c>
      <c r="L1863" s="6" t="n">
        <v>8.720000000000001</v>
      </c>
      <c r="M1863" s="6" t="n">
        <v>8.720000000000001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3/4"</t>
        </is>
      </c>
    </row>
    <row r="1864">
      <c r="A1864" s="3" t="inlineStr">
        <is>
          <t>MAT-32-507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270</v>
      </c>
      <c r="L1864" s="6" t="n">
        <v>270</v>
      </c>
      <c r="M1864" s="6" t="n">
        <v>270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 1/2"</t>
        </is>
      </c>
    </row>
    <row r="1865">
      <c r="A1865" s="3" t="inlineStr">
        <is>
          <t>MAT-32-508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20</v>
      </c>
      <c r="L1865" s="6" t="n">
        <v>20</v>
      </c>
      <c r="M1865" s="6" t="n">
        <v>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1/2"</t>
        </is>
      </c>
    </row>
    <row r="1866">
      <c r="A1866" s="3" t="inlineStr">
        <is>
          <t>MAT-32-509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1/4"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35</v>
      </c>
      <c r="L1866" s="6" t="n">
        <v>35</v>
      </c>
      <c r="M1866" s="6" t="n">
        <v>35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1/4"</t>
        </is>
      </c>
    </row>
    <row r="1867">
      <c r="A1867" s="3" t="inlineStr">
        <is>
          <t>MAT-32-510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44</v>
      </c>
      <c r="L1867" s="6" t="n">
        <v>44</v>
      </c>
      <c r="M1867" s="6" t="n">
        <v>44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1"</t>
        </is>
      </c>
    </row>
    <row r="1868">
      <c r="A1868" s="3" t="inlineStr">
        <is>
          <t>MAT-32-511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189</v>
      </c>
      <c r="L1868" s="6" t="n">
        <v>189</v>
      </c>
      <c r="M1868" s="6" t="n">
        <v>189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2"</t>
        </is>
      </c>
    </row>
    <row r="1869">
      <c r="A1869" s="3" t="inlineStr">
        <is>
          <t>MAT-32-513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25 mm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4.16</v>
      </c>
      <c r="L1869" s="6" t="n">
        <v>4.16</v>
      </c>
      <c r="M1869" s="6" t="n">
        <v>4.16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PPR · medida: 25 mm</t>
        </is>
      </c>
    </row>
    <row r="1870">
      <c r="A1870" s="3" t="inlineStr">
        <is>
          <t>MAT-32-514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32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7.47</v>
      </c>
      <c r="L1870" s="6" t="n">
        <v>7.47</v>
      </c>
      <c r="M1870" s="6" t="n">
        <v>7.47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32 mm</t>
        </is>
      </c>
    </row>
    <row r="1871">
      <c r="A1871" s="3" t="inlineStr">
        <is>
          <t>MAT-32-515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45.68</v>
      </c>
      <c r="L1871" s="6" t="n">
        <v>45.68</v>
      </c>
      <c r="M1871" s="6" t="n">
        <v>45.68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drenaje · medida: 2"</t>
        </is>
      </c>
    </row>
    <row r="1872">
      <c r="A1872" s="3" t="inlineStr">
        <is>
          <t>MAT-32-516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3"</t>
        </is>
      </c>
    </row>
    <row r="1873">
      <c r="A1873" s="3" t="inlineStr">
        <is>
          <t>MAT-32-517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4"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112</v>
      </c>
      <c r="L1873" s="6" t="n">
        <v>112</v>
      </c>
      <c r="M1873" s="6" t="n">
        <v>112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4"</t>
        </is>
      </c>
    </row>
    <row r="1874">
      <c r="A1874" s="3" t="inlineStr">
        <is>
          <t>MAT-32-518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4.22</v>
      </c>
      <c r="L1874" s="6" t="n">
        <v>4.22</v>
      </c>
      <c r="M1874" s="6" t="n">
        <v>4.22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· medida: 1/2"</t>
        </is>
      </c>
    </row>
    <row r="1875">
      <c r="A1875" s="3" t="inlineStr">
        <is>
          <t>MAT-32-519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8495</v>
      </c>
      <c r="L1875" s="6" t="n">
        <v>8495</v>
      </c>
      <c r="M1875" s="6" t="n">
        <v>8495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12"</t>
        </is>
      </c>
    </row>
    <row r="1876">
      <c r="A1876" s="3" t="inlineStr">
        <is>
          <t>MAT-32-520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8"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840</v>
      </c>
      <c r="L1876" s="6" t="n">
        <v>840</v>
      </c>
      <c r="M1876" s="6" t="n">
        <v>840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8"</t>
        </is>
      </c>
    </row>
    <row r="1877">
      <c r="A1877" s="3" t="inlineStr">
        <is>
          <t>MAT-32-521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 1/2"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2</v>
      </c>
      <c r="K1877" s="6" t="n">
        <v>16.56</v>
      </c>
      <c r="L1877" s="6" t="n">
        <v>11.93</v>
      </c>
      <c r="M1877" s="6" t="n">
        <v>50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 · Ferretería Cima</t>
        </is>
      </c>
      <c r="AF1877" s="4" t="inlineStr">
        <is>
          <t>tipo: tapon-hembra · material: PVC presión · medida: 1 1/2"</t>
        </is>
      </c>
    </row>
    <row r="1878">
      <c r="A1878" s="3" t="inlineStr">
        <is>
          <t>MAT-32-522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10.85</v>
      </c>
      <c r="L1878" s="6" t="n">
        <v>2.21</v>
      </c>
      <c r="M1878" s="6" t="n">
        <v>31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1/2"</t>
        </is>
      </c>
    </row>
    <row r="1879">
      <c r="A1879" s="3" t="inlineStr">
        <is>
          <t>MAT-32-523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21.98</v>
      </c>
      <c r="L1879" s="6" t="n">
        <v>5.41</v>
      </c>
      <c r="M1879" s="6" t="n">
        <v>48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1"</t>
        </is>
      </c>
    </row>
    <row r="1880">
      <c r="A1880" s="3" t="inlineStr">
        <is>
          <t>MAT-32-524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22.44</v>
      </c>
      <c r="L1880" s="6" t="n">
        <v>17.57</v>
      </c>
      <c r="M1880" s="6" t="n">
        <v>27.3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2"</t>
        </is>
      </c>
    </row>
    <row r="1881">
      <c r="A1881" s="3" t="inlineStr">
        <is>
          <t>MAT-32-525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3/4"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2</v>
      </c>
      <c r="K1881" s="6" t="n">
        <v>5.17</v>
      </c>
      <c r="L1881" s="6" t="n">
        <v>3.6</v>
      </c>
      <c r="M1881" s="6" t="n">
        <v>20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 · Ferretería Cima</t>
        </is>
      </c>
      <c r="AF1881" s="4" t="inlineStr">
        <is>
          <t>tipo: tapon-hembra · material: PVC presión · medida: 3/4"</t>
        </is>
      </c>
    </row>
    <row r="1882">
      <c r="A1882" s="3" t="inlineStr">
        <is>
          <t>MAT-32-526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74.88</v>
      </c>
      <c r="L1882" s="6" t="n">
        <v>50</v>
      </c>
      <c r="M1882" s="6" t="n">
        <v>205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3"</t>
        </is>
      </c>
    </row>
    <row r="1883">
      <c r="A1883" s="3" t="inlineStr">
        <is>
          <t>MAT-32-527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102.64</v>
      </c>
      <c r="L1883" s="6" t="n">
        <v>81.05</v>
      </c>
      <c r="M1883" s="6" t="n">
        <v>124.23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tapon-hembra · material: PVC presión · medida: 4"</t>
        </is>
      </c>
    </row>
    <row r="1884">
      <c r="A1884" s="3" t="inlineStr">
        <is>
          <t>MAT-32-528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6"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379.5</v>
      </c>
      <c r="L1884" s="6" t="n">
        <v>309</v>
      </c>
      <c r="M1884" s="6" t="n">
        <v>450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6"</t>
        </is>
      </c>
    </row>
    <row r="1885">
      <c r="A1885" s="3" t="inlineStr">
        <is>
          <t>MAT-32-529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80</v>
      </c>
      <c r="L1885" s="6" t="n">
        <v>80</v>
      </c>
      <c r="M1885" s="6" t="n">
        <v>80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1/2"</t>
        </is>
      </c>
    </row>
    <row r="1886">
      <c r="A1886" s="3" t="inlineStr">
        <is>
          <t>MAT-32-530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29.29</v>
      </c>
      <c r="L1886" s="6" t="n">
        <v>21.58</v>
      </c>
      <c r="M1886" s="6" t="n">
        <v>37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1/4"</t>
        </is>
      </c>
    </row>
    <row r="1887">
      <c r="A1887" s="3" t="inlineStr">
        <is>
          <t>MAT-32-531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1/8"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40.2</v>
      </c>
      <c r="L1887" s="6" t="n">
        <v>40.2</v>
      </c>
      <c r="M1887" s="6" t="n">
        <v>40.2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1/8"</t>
        </is>
      </c>
    </row>
    <row r="1888">
      <c r="A1888" s="3" t="inlineStr">
        <is>
          <t>MAT-32-532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3/4"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140</v>
      </c>
      <c r="L1888" s="6" t="n">
        <v>140</v>
      </c>
      <c r="M1888" s="6" t="n">
        <v>140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3/4"</t>
        </is>
      </c>
    </row>
    <row r="1889">
      <c r="A1889" s="3" t="inlineStr">
        <is>
          <t>MAT-32-533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1/2"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79</v>
      </c>
      <c r="L1889" s="6" t="n">
        <v>58</v>
      </c>
      <c r="M1889" s="6" t="n">
        <v>100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 1/2"</t>
        </is>
      </c>
    </row>
    <row r="1890">
      <c r="A1890" s="3" t="inlineStr">
        <is>
          <t>MAT-32-534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1/4"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91.27</v>
      </c>
      <c r="L1890" s="6" t="n">
        <v>41.54</v>
      </c>
      <c r="M1890" s="6" t="n">
        <v>141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1/4"</t>
        </is>
      </c>
    </row>
    <row r="1891">
      <c r="A1891" s="3" t="inlineStr">
        <is>
          <t>MAT-32-535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18.5</v>
      </c>
      <c r="L1891" s="6" t="n">
        <v>15</v>
      </c>
      <c r="M1891" s="6" t="n">
        <v>22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1/2"</t>
        </is>
      </c>
    </row>
    <row r="1892">
      <c r="A1892" s="3" t="inlineStr">
        <is>
          <t>MAT-32-536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21.09</v>
      </c>
      <c r="L1892" s="6" t="n">
        <v>19.18</v>
      </c>
      <c r="M1892" s="6" t="n">
        <v>23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1/4"</t>
        </is>
      </c>
    </row>
    <row r="1893">
      <c r="A1893" s="3" t="inlineStr">
        <is>
          <t>MAT-32-537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68.06</v>
      </c>
      <c r="L1893" s="6" t="n">
        <v>35.11</v>
      </c>
      <c r="M1893" s="6" t="n">
        <v>101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1"</t>
        </is>
      </c>
    </row>
    <row r="1894">
      <c r="A1894" s="3" t="inlineStr">
        <is>
          <t>MAT-32-538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105</v>
      </c>
      <c r="L1894" s="6" t="n">
        <v>105</v>
      </c>
      <c r="M1894" s="6" t="n">
        <v>105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HG · medida: 2"</t>
        </is>
      </c>
    </row>
    <row r="1895">
      <c r="A1895" s="3" t="inlineStr">
        <is>
          <t>MAT-32-539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29.44</v>
      </c>
      <c r="L1895" s="6" t="n">
        <v>25.87</v>
      </c>
      <c r="M1895" s="6" t="n">
        <v>33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3/4"</t>
        </is>
      </c>
    </row>
    <row r="1896">
      <c r="A1896" s="3" t="inlineStr">
        <is>
          <t>MAT-32-540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3/8"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21.55</v>
      </c>
      <c r="L1896" s="6" t="n">
        <v>21.1</v>
      </c>
      <c r="M1896" s="6" t="n">
        <v>22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3/8"</t>
        </is>
      </c>
    </row>
    <row r="1897">
      <c r="A1897" s="3" t="inlineStr">
        <is>
          <t>MAT-32-541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213</v>
      </c>
      <c r="L1897" s="6" t="n">
        <v>206</v>
      </c>
      <c r="M1897" s="6" t="n">
        <v>220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3"</t>
        </is>
      </c>
    </row>
    <row r="1898">
      <c r="A1898" s="3" t="inlineStr">
        <is>
          <t>MAT-32-542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20 mm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4.66</v>
      </c>
      <c r="L1898" s="6" t="n">
        <v>4.66</v>
      </c>
      <c r="M1898" s="6" t="n">
        <v>4.66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PPR · medida: 20 mm</t>
        </is>
      </c>
    </row>
    <row r="1899">
      <c r="A1899" s="3" t="inlineStr">
        <is>
          <t>MAT-32-543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25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8.23</v>
      </c>
      <c r="L1899" s="6" t="n">
        <v>8.23</v>
      </c>
      <c r="M1899" s="6" t="n">
        <v>8.23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25 mm</t>
        </is>
      </c>
    </row>
    <row r="1900">
      <c r="A1900" s="3" t="inlineStr">
        <is>
          <t>MAT-32-544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32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10.98</v>
      </c>
      <c r="L1900" s="6" t="n">
        <v>10.98</v>
      </c>
      <c r="M1900" s="6" t="n">
        <v>10.98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32 mm</t>
        </is>
      </c>
    </row>
    <row r="1901">
      <c r="A1901" s="3" t="inlineStr">
        <is>
          <t>MAT-32-545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30.65</v>
      </c>
      <c r="L1901" s="6" t="n">
        <v>30.65</v>
      </c>
      <c r="M1901" s="6" t="n">
        <v>30.65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1 1/2"</t>
        </is>
      </c>
    </row>
    <row r="1902">
      <c r="A1902" s="3" t="inlineStr">
        <is>
          <t>MAT-32-546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35.11</v>
      </c>
      <c r="L1902" s="6" t="n">
        <v>5.61</v>
      </c>
      <c r="M1902" s="6" t="n">
        <v>62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PVC · medida: 1"</t>
        </is>
      </c>
    </row>
    <row r="1903">
      <c r="A1903" s="3" t="inlineStr">
        <is>
          <t>MAT-32-547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31</v>
      </c>
      <c r="L1903" s="6" t="n">
        <v>31</v>
      </c>
      <c r="M1903" s="6" t="n">
        <v>31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tapon-macho · material: PVC · medida: 2"</t>
        </is>
      </c>
    </row>
    <row r="1904">
      <c r="A1904" s="3" t="inlineStr">
        <is>
          <t>MAT-32-548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3/4"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7.04</v>
      </c>
      <c r="L1904" s="6" t="n">
        <v>3.57</v>
      </c>
      <c r="M1904" s="6" t="n">
        <v>10.5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3/4"</t>
        </is>
      </c>
    </row>
    <row r="1905">
      <c r="A1905" s="3" t="inlineStr">
        <is>
          <t>MAT-32-549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 1/2"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71</v>
      </c>
      <c r="L1905" s="6" t="n">
        <v>71</v>
      </c>
      <c r="M1905" s="6" t="n">
        <v>71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1 1/2"</t>
        </is>
      </c>
    </row>
    <row r="1906">
      <c r="A1906" s="3" t="inlineStr">
        <is>
          <t>MAT-32-550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47.69</v>
      </c>
      <c r="L1906" s="6" t="n">
        <v>47.69</v>
      </c>
      <c r="M1906" s="6" t="n">
        <v>47.69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1/2"</t>
        </is>
      </c>
    </row>
    <row r="1907">
      <c r="A1907" s="3" t="inlineStr">
        <is>
          <t>MAT-32-551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35.13</v>
      </c>
      <c r="L1907" s="6" t="n">
        <v>35.13</v>
      </c>
      <c r="M1907" s="6" t="n">
        <v>35.13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1"</t>
        </is>
      </c>
    </row>
    <row r="1908">
      <c r="A1908" s="3" t="inlineStr">
        <is>
          <t>MAT-32-552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88</v>
      </c>
      <c r="L1908" s="6" t="n">
        <v>88</v>
      </c>
      <c r="M1908" s="6" t="n">
        <v>88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2"</t>
        </is>
      </c>
    </row>
    <row r="1909">
      <c r="A1909" s="3" t="inlineStr">
        <is>
          <t>MAT-32-553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25.2</v>
      </c>
      <c r="L1909" s="6" t="n">
        <v>25.2</v>
      </c>
      <c r="M1909" s="6" t="n">
        <v>25.2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3/4"</t>
        </is>
      </c>
    </row>
    <row r="1910">
      <c r="A1910" s="3" t="inlineStr">
        <is>
          <t>MAT-32-554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3/8"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28.78</v>
      </c>
      <c r="L1910" s="6" t="n">
        <v>28.78</v>
      </c>
      <c r="M1910" s="6" t="n">
        <v>28.78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3/8"</t>
        </is>
      </c>
    </row>
    <row r="1911">
      <c r="A1911" s="3" t="inlineStr">
        <is>
          <t>MAT-32-555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281</v>
      </c>
      <c r="L1911" s="6" t="n">
        <v>281</v>
      </c>
      <c r="M1911" s="6" t="n">
        <v>281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3"</t>
        </is>
      </c>
    </row>
    <row r="1912">
      <c r="A1912" s="3" t="inlineStr">
        <is>
          <t>MAT-32-556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454</v>
      </c>
      <c r="L1912" s="6" t="n">
        <v>454</v>
      </c>
      <c r="M1912" s="6" t="n">
        <v>454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4"</t>
        </is>
      </c>
    </row>
    <row r="1913">
      <c r="A1913" s="3" t="inlineStr">
        <is>
          <t>MAT-32-557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9.25</v>
      </c>
      <c r="L1913" s="6" t="n">
        <v>8.5</v>
      </c>
      <c r="M1913" s="6" t="n">
        <v>10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1 1/2"</t>
        </is>
      </c>
    </row>
    <row r="1914">
      <c r="A1914" s="3" t="inlineStr">
        <is>
          <t>MAT-32-558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16"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211</v>
      </c>
      <c r="L1914" s="6" t="n">
        <v>211</v>
      </c>
      <c r="M1914" s="6" t="n">
        <v>211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16"</t>
        </is>
      </c>
    </row>
    <row r="1915">
      <c r="A1915" s="3" t="inlineStr">
        <is>
          <t>MAT-32-559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5.27</v>
      </c>
      <c r="L1915" s="6" t="n">
        <v>3.9</v>
      </c>
      <c r="M1915" s="6" t="n">
        <v>6.63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1"</t>
        </is>
      </c>
    </row>
    <row r="1916">
      <c r="A1916" s="3" t="inlineStr">
        <is>
          <t>MAT-32-560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5.25</v>
      </c>
      <c r="L1916" s="6" t="n">
        <v>5.25</v>
      </c>
      <c r="M1916" s="6" t="n">
        <v>5.25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2"</t>
        </is>
      </c>
    </row>
    <row r="1917">
      <c r="A1917" s="3" t="inlineStr">
        <is>
          <t>MAT-32-561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4.48</v>
      </c>
      <c r="L1917" s="6" t="n">
        <v>4.48</v>
      </c>
      <c r="M1917" s="6" t="n">
        <v>4.48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3/4"</t>
        </is>
      </c>
    </row>
    <row r="1918">
      <c r="A1918" s="3" t="inlineStr">
        <is>
          <t>MAT-32-562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101</v>
      </c>
      <c r="L1918" s="6" t="n">
        <v>101</v>
      </c>
      <c r="M1918" s="6" t="n">
        <v>101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1 1/2"</t>
        </is>
      </c>
    </row>
    <row r="1919">
      <c r="A1919" s="3" t="inlineStr">
        <is>
          <t>MAT-32-563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135</v>
      </c>
      <c r="L1919" s="6" t="n">
        <v>135</v>
      </c>
      <c r="M1919" s="6" t="n">
        <v>135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2"</t>
        </is>
      </c>
    </row>
    <row r="1920">
      <c r="A1920" s="3" t="inlineStr">
        <is>
          <t>MAT-32-564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263</v>
      </c>
      <c r="L1920" s="6" t="n">
        <v>263</v>
      </c>
      <c r="M1920" s="6" t="n">
        <v>263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3"</t>
        </is>
      </c>
    </row>
    <row r="1921">
      <c r="A1921" s="3" t="inlineStr">
        <is>
          <t>MAT-32-565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372</v>
      </c>
      <c r="L1921" s="6" t="n">
        <v>372</v>
      </c>
      <c r="M1921" s="6" t="n">
        <v>372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4"</t>
        </is>
      </c>
    </row>
    <row r="1922">
      <c r="A1922" s="3" t="inlineStr">
        <is>
          <t>MAT-32-566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6"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374.5</v>
      </c>
      <c r="L1922" s="6" t="n">
        <v>279</v>
      </c>
      <c r="M1922" s="6" t="n">
        <v>470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· medida: 6"</t>
        </is>
      </c>
    </row>
    <row r="1923">
      <c r="A1923" s="3" t="inlineStr">
        <is>
          <t>MAT-32-567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1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24.74</v>
      </c>
      <c r="L1923" s="6" t="n">
        <v>24.74</v>
      </c>
      <c r="M1923" s="6" t="n">
        <v>24.74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1 1/2"</t>
        </is>
      </c>
    </row>
    <row r="1924">
      <c r="A1924" s="3" t="inlineStr">
        <is>
          <t>MAT-32-568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34.88</v>
      </c>
      <c r="L1924" s="6" t="n">
        <v>28.27</v>
      </c>
      <c r="M1924" s="6" t="n">
        <v>41.49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2"</t>
        </is>
      </c>
    </row>
    <row r="1925">
      <c r="A1925" s="3" t="inlineStr">
        <is>
          <t>MAT-32-569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3"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100.24</v>
      </c>
      <c r="L1925" s="6" t="n">
        <v>100.24</v>
      </c>
      <c r="M1925" s="6" t="n">
        <v>100.24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3"</t>
        </is>
      </c>
    </row>
    <row r="1926">
      <c r="A1926" s="3" t="inlineStr">
        <is>
          <t>MAT-32-570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4"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159</v>
      </c>
      <c r="L1926" s="6" t="n">
        <v>159</v>
      </c>
      <c r="M1926" s="6" t="n">
        <v>159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4"</t>
        </is>
      </c>
    </row>
    <row r="1927">
      <c r="A1927" s="3" t="inlineStr">
        <is>
          <t>MAT-32-571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1/2"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150</v>
      </c>
      <c r="L1927" s="6" t="n">
        <v>150</v>
      </c>
      <c r="M1927" s="6" t="n">
        <v>150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1/2"</t>
        </is>
      </c>
    </row>
    <row r="1928">
      <c r="A1928" s="3" t="inlineStr">
        <is>
          <t>MAT-32-572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85.5</v>
      </c>
      <c r="L1928" s="6" t="n">
        <v>52</v>
      </c>
      <c r="M1928" s="6" t="n">
        <v>119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1/4"</t>
        </is>
      </c>
    </row>
    <row r="1929">
      <c r="A1929" s="3" t="inlineStr">
        <is>
          <t>MAT-32-573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686</v>
      </c>
      <c r="L1929" s="6" t="n">
        <v>686</v>
      </c>
      <c r="M1929" s="6" t="n">
        <v>686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12"</t>
        </is>
      </c>
    </row>
    <row r="1930">
      <c r="A1930" s="3" t="inlineStr">
        <is>
          <t>MAT-32-574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15"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605</v>
      </c>
      <c r="L1930" s="6" t="n">
        <v>473</v>
      </c>
      <c r="M1930" s="6" t="n">
        <v>628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15"</t>
        </is>
      </c>
    </row>
    <row r="1931">
      <c r="A1931" s="3" t="inlineStr">
        <is>
          <t>MAT-32-575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18"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702</v>
      </c>
      <c r="L1931" s="6" t="n">
        <v>207</v>
      </c>
      <c r="M1931" s="6" t="n">
        <v>770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18"</t>
        </is>
      </c>
    </row>
    <row r="1932">
      <c r="A1932" s="3" t="inlineStr">
        <is>
          <t>MAT-32-576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25"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1255</v>
      </c>
      <c r="L1932" s="6" t="n">
        <v>1255</v>
      </c>
      <c r="M1932" s="6" t="n">
        <v>1255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25"</t>
        </is>
      </c>
    </row>
    <row r="1933">
      <c r="A1933" s="3" t="inlineStr">
        <is>
          <t>MAT-32-577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3/8"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179</v>
      </c>
      <c r="L1933" s="6" t="n">
        <v>78</v>
      </c>
      <c r="M1933" s="6" t="n">
        <v>186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bronce · medida: 3/8"</t>
        </is>
      </c>
    </row>
    <row r="1934">
      <c r="A1934" s="3" t="inlineStr">
        <is>
          <t>MAT-32-578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2108</v>
      </c>
      <c r="L1934" s="6" t="n">
        <v>2108</v>
      </c>
      <c r="M1934" s="6" t="n">
        <v>2108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32"</t>
        </is>
      </c>
    </row>
    <row r="1935">
      <c r="A1935" s="3" t="inlineStr">
        <is>
          <t>MAT-32-579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1/8"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143</v>
      </c>
      <c r="L1935" s="6" t="n">
        <v>143</v>
      </c>
      <c r="M1935" s="6" t="n">
        <v>143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1 1/8"</t>
        </is>
      </c>
    </row>
    <row r="1936">
      <c r="A1936" s="3" t="inlineStr">
        <is>
          <t>MAT-32-580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66</v>
      </c>
      <c r="L1936" s="6" t="n">
        <v>66</v>
      </c>
      <c r="M1936" s="6" t="n">
        <v>66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1/2"</t>
        </is>
      </c>
    </row>
    <row r="1937">
      <c r="A1937" s="3" t="inlineStr">
        <is>
          <t>MAT-32-581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 3/8"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293</v>
      </c>
      <c r="L1937" s="6" t="n">
        <v>293</v>
      </c>
      <c r="M1937" s="6" t="n">
        <v>293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 3/8"</t>
        </is>
      </c>
    </row>
    <row r="1938">
      <c r="A1938" s="3" t="inlineStr">
        <is>
          <t>MAT-32-582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237</v>
      </c>
      <c r="L1938" s="6" t="n">
        <v>237</v>
      </c>
      <c r="M1938" s="6" t="n">
        <v>237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3/4"</t>
        </is>
      </c>
    </row>
    <row r="1939">
      <c r="A1939" s="3" t="inlineStr">
        <is>
          <t>MAT-32-583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256</v>
      </c>
      <c r="L1939" s="6" t="n">
        <v>256</v>
      </c>
      <c r="M1939" s="6" t="n">
        <v>256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2026-09-09</t>
        </is>
      </c>
      <c r="Q1939" s="4" t="inlineStr">
        <is>
          <t>Ferretería Cima</t>
        </is>
      </c>
      <c r="AF1939" s="4" t="inlineStr">
        <is>
          <t>tipo: tee · material: cobre · medida: 3/8"</t>
        </is>
      </c>
    </row>
    <row r="1940">
      <c r="A1940" s="3" t="inlineStr">
        <is>
          <t>MAT-32-584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7/8"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257</v>
      </c>
      <c r="L1940" s="6" t="n">
        <v>257</v>
      </c>
      <c r="M1940" s="6" t="n">
        <v>257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cobre · medida: 7/8"</t>
        </is>
      </c>
    </row>
    <row r="1941">
      <c r="A1941" s="3" t="inlineStr">
        <is>
          <t>MAT-32-585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10.34</v>
      </c>
      <c r="L1941" s="6" t="n">
        <v>10.34</v>
      </c>
      <c r="M1941" s="6" t="n">
        <v>10.34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CPVC · medida: 1/2"</t>
        </is>
      </c>
    </row>
    <row r="1942">
      <c r="A1942" s="3" t="inlineStr">
        <is>
          <t>MAT-32-586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40.95</v>
      </c>
      <c r="L1942" s="6" t="n">
        <v>40.95</v>
      </c>
      <c r="M1942" s="6" t="n">
        <v>40.95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1"</t>
        </is>
      </c>
    </row>
    <row r="1943">
      <c r="A1943" s="3" t="inlineStr">
        <is>
          <t>MAT-32-587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3/4"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27.04</v>
      </c>
      <c r="L1943" s="6" t="n">
        <v>27.04</v>
      </c>
      <c r="M1943" s="6" t="n">
        <v>27.04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3/4"</t>
        </is>
      </c>
    </row>
    <row r="1944">
      <c r="A1944" s="3" t="inlineStr">
        <is>
          <t>MAT-32-588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210</v>
      </c>
      <c r="L1944" s="6" t="n">
        <v>143</v>
      </c>
      <c r="M1944" s="6" t="n">
        <v>277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 1/2"</t>
        </is>
      </c>
    </row>
    <row r="1945">
      <c r="A1945" s="3" t="inlineStr">
        <is>
          <t>MAT-32-589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119</v>
      </c>
      <c r="L1945" s="6" t="n">
        <v>119</v>
      </c>
      <c r="M1945" s="6" t="n">
        <v>119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F1945" s="4" t="inlineStr">
        <is>
          <t>tipo: tee · material: HG · medida: 1 1/4"</t>
        </is>
      </c>
    </row>
    <row r="1946">
      <c r="A1946" s="3" t="inlineStr">
        <is>
          <t>MAT-32-590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37</v>
      </c>
      <c r="L1946" s="6" t="n">
        <v>34</v>
      </c>
      <c r="M1946" s="6" t="n">
        <v>40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HG · medida: 1/2"</t>
        </is>
      </c>
    </row>
    <row r="1947">
      <c r="A1947" s="3" t="inlineStr">
        <is>
          <t>MAT-32-591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83.5</v>
      </c>
      <c r="L1947" s="6" t="n">
        <v>37</v>
      </c>
      <c r="M1947" s="6" t="n">
        <v>130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1/4"</t>
        </is>
      </c>
    </row>
    <row r="1948">
      <c r="A1948" s="3" t="inlineStr">
        <is>
          <t>MAT-32-592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118.5</v>
      </c>
      <c r="L1948" s="6" t="n">
        <v>77</v>
      </c>
      <c r="M1948" s="6" t="n">
        <v>160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1"</t>
        </is>
      </c>
    </row>
    <row r="1949">
      <c r="A1949" s="3" t="inlineStr">
        <is>
          <t>MAT-32-593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526</v>
      </c>
      <c r="L1949" s="6" t="n">
        <v>526</v>
      </c>
      <c r="M1949" s="6" t="n">
        <v>526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HG · medida: 2 1/2"</t>
        </is>
      </c>
    </row>
    <row r="1950">
      <c r="A1950" s="3" t="inlineStr">
        <is>
          <t>MAT-32-594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297.5</v>
      </c>
      <c r="L1950" s="6" t="n">
        <v>212</v>
      </c>
      <c r="M1950" s="6" t="n">
        <v>383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2"</t>
        </is>
      </c>
    </row>
    <row r="1951">
      <c r="A1951" s="3" t="inlineStr">
        <is>
          <t>MAT-32-595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72</v>
      </c>
      <c r="L1951" s="6" t="n">
        <v>49</v>
      </c>
      <c r="M1951" s="6" t="n">
        <v>95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3/4"</t>
        </is>
      </c>
    </row>
    <row r="1952">
      <c r="A1952" s="3" t="inlineStr">
        <is>
          <t>MAT-32-596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50.11</v>
      </c>
      <c r="L1952" s="6" t="n">
        <v>42.23</v>
      </c>
      <c r="M1952" s="6" t="n">
        <v>58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3/8"</t>
        </is>
      </c>
    </row>
    <row r="1953">
      <c r="A1953" s="3" t="inlineStr">
        <is>
          <t>MAT-32-597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603</v>
      </c>
      <c r="L1953" s="6" t="n">
        <v>603</v>
      </c>
      <c r="M1953" s="6" t="n">
        <v>603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HG · medida: 3"</t>
        </is>
      </c>
    </row>
    <row r="1954">
      <c r="A1954" s="3" t="inlineStr">
        <is>
          <t>MAT-32-598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1187</v>
      </c>
      <c r="L1954" s="6" t="n">
        <v>1187</v>
      </c>
      <c r="M1954" s="6" t="n">
        <v>1187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4"</t>
        </is>
      </c>
    </row>
    <row r="1955">
      <c r="A1955" s="3" t="inlineStr">
        <is>
          <t>MAT-32-599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niquelado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444</v>
      </c>
      <c r="L1955" s="6" t="n">
        <v>444</v>
      </c>
      <c r="M1955" s="6" t="n">
        <v>444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tee · material: niquelado · medida: 1/2"</t>
        </is>
      </c>
    </row>
    <row r="1956">
      <c r="A1956" s="3" t="inlineStr">
        <is>
          <t>MAT-32-600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plástico 63"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1020</v>
      </c>
      <c r="L1956" s="6" t="n">
        <v>1020</v>
      </c>
      <c r="M1956" s="6" t="n">
        <v>1020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F1956" s="4" t="inlineStr">
        <is>
          <t>tipo: tee · material: plástico · medida: 63"</t>
        </is>
      </c>
    </row>
    <row r="1957">
      <c r="A1957" s="3" t="inlineStr">
        <is>
          <t>MAT-32-601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28.95</v>
      </c>
      <c r="L1957" s="6" t="n">
        <v>7.98</v>
      </c>
      <c r="M1957" s="6" t="n">
        <v>293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PPR · medida: 20 mm</t>
        </is>
      </c>
    </row>
    <row r="1958">
      <c r="A1958" s="3" t="inlineStr">
        <is>
          <t>MAT-32-602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25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29.36</v>
      </c>
      <c r="L1958" s="6" t="n">
        <v>12.12</v>
      </c>
      <c r="M1958" s="6" t="n">
        <v>50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25 mm</t>
        </is>
      </c>
    </row>
    <row r="1959">
      <c r="A1959" s="3" t="inlineStr">
        <is>
          <t>MAT-32-603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32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51.19</v>
      </c>
      <c r="L1959" s="6" t="n">
        <v>19.4</v>
      </c>
      <c r="M1959" s="6" t="n">
        <v>75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32 mm</t>
        </is>
      </c>
    </row>
    <row r="1960">
      <c r="A1960" s="3" t="inlineStr">
        <is>
          <t>MAT-32-604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50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63.12</v>
      </c>
      <c r="L1960" s="6" t="n">
        <v>63.12</v>
      </c>
      <c r="M1960" s="6" t="n">
        <v>63.12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PPR · medida: 50 mm</t>
        </is>
      </c>
    </row>
    <row r="1961">
      <c r="A1961" s="3" t="inlineStr">
        <is>
          <t>MAT-32-605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1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2</v>
      </c>
      <c r="K1961" s="6" t="n">
        <v>31.55</v>
      </c>
      <c r="L1961" s="6" t="n">
        <v>22.5</v>
      </c>
      <c r="M1961" s="6" t="n">
        <v>86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 · Ferretería Cima</t>
        </is>
      </c>
      <c r="AF1961" s="4" t="inlineStr">
        <is>
          <t>tipo: tee · material: PVC drenaje · medida: 1 1/2"</t>
        </is>
      </c>
    </row>
    <row r="1962">
      <c r="A1962" s="3" t="inlineStr">
        <is>
          <t>MAT-32-606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47.64</v>
      </c>
      <c r="L1962" s="6" t="n">
        <v>33.78</v>
      </c>
      <c r="M1962" s="6" t="n">
        <v>135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2"</t>
        </is>
      </c>
    </row>
    <row r="1963">
      <c r="A1963" s="3" t="inlineStr">
        <is>
          <t>MAT-32-607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153.5</v>
      </c>
      <c r="L1963" s="6" t="n">
        <v>108</v>
      </c>
      <c r="M1963" s="6" t="n">
        <v>257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3"</t>
        </is>
      </c>
    </row>
    <row r="1964">
      <c r="A1964" s="3" t="inlineStr">
        <is>
          <t>MAT-32-608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 x 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84.17</v>
      </c>
      <c r="L1964" s="6" t="n">
        <v>84.17</v>
      </c>
      <c r="M1964" s="6" t="n">
        <v>84.17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3" x 2"</t>
        </is>
      </c>
    </row>
    <row r="1965">
      <c r="A1965" s="3" t="inlineStr">
        <is>
          <t>MAT-32-609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227.32</v>
      </c>
      <c r="L1965" s="6" t="n">
        <v>139</v>
      </c>
      <c r="M1965" s="6" t="n">
        <v>429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PVC drenaje · medida: 4"</t>
        </is>
      </c>
    </row>
    <row r="1966">
      <c r="A1966" s="3" t="inlineStr">
        <is>
          <t>MAT-32-610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100.25</v>
      </c>
      <c r="L1966" s="6" t="n">
        <v>88.56</v>
      </c>
      <c r="M1966" s="6" t="n">
        <v>111.93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drenaje · medida: 4" x 2"</t>
        </is>
      </c>
    </row>
    <row r="1967">
      <c r="A1967" s="3" t="inlineStr">
        <is>
          <t>MAT-32-611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3"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153.77</v>
      </c>
      <c r="L1967" s="6" t="n">
        <v>153.77</v>
      </c>
      <c r="M1967" s="6" t="n">
        <v>153.77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3"</t>
        </is>
      </c>
    </row>
    <row r="1968">
      <c r="A1968" s="3" t="inlineStr">
        <is>
          <t>MAT-32-612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6"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458</v>
      </c>
      <c r="L1968" s="6" t="n">
        <v>291</v>
      </c>
      <c r="M1968" s="6" t="n">
        <v>625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6"</t>
        </is>
      </c>
    </row>
    <row r="1969">
      <c r="A1969" s="3" t="inlineStr">
        <is>
          <t>MAT-32-613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 1/2"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100</v>
      </c>
      <c r="L1969" s="6" t="n">
        <v>92</v>
      </c>
      <c r="M1969" s="6" t="n">
        <v>108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1 1/2"</t>
        </is>
      </c>
    </row>
    <row r="1970">
      <c r="A1970" s="3" t="inlineStr">
        <is>
          <t>MAT-32-614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48</v>
      </c>
      <c r="L1970" s="6" t="n">
        <v>48</v>
      </c>
      <c r="M1970" s="6" t="n">
        <v>48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1"</t>
        </is>
      </c>
    </row>
    <row r="1971">
      <c r="A1971" s="3" t="inlineStr">
        <is>
          <t>MAT-32-615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 x 3/4"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37.36</v>
      </c>
      <c r="L1971" s="6" t="n">
        <v>37.36</v>
      </c>
      <c r="M1971" s="6" t="n">
        <v>37.36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 x 3/4"</t>
        </is>
      </c>
    </row>
    <row r="1972">
      <c r="A1972" s="3" t="inlineStr">
        <is>
          <t>MAT-32-616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165</v>
      </c>
      <c r="L1972" s="6" t="n">
        <v>165</v>
      </c>
      <c r="M1972" s="6" t="n">
        <v>165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2"</t>
        </is>
      </c>
    </row>
    <row r="1973">
      <c r="A1973" s="3" t="inlineStr">
        <is>
          <t>MAT-32-617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3/4"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46.68</v>
      </c>
      <c r="L1973" s="6" t="n">
        <v>33.35</v>
      </c>
      <c r="M1973" s="6" t="n">
        <v>60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3/4"</t>
        </is>
      </c>
    </row>
    <row r="1974">
      <c r="A1974" s="3" t="inlineStr">
        <is>
          <t>MAT-32-618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502</v>
      </c>
      <c r="L1974" s="6" t="n">
        <v>502</v>
      </c>
      <c r="M1974" s="6" t="n">
        <v>502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3"</t>
        </is>
      </c>
    </row>
    <row r="1975">
      <c r="A1975" s="3" t="inlineStr">
        <is>
          <t>MAT-32-619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54.48</v>
      </c>
      <c r="L1975" s="6" t="n">
        <v>45.97</v>
      </c>
      <c r="M1975" s="6" t="n">
        <v>135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1 1/2"</t>
        </is>
      </c>
    </row>
    <row r="1976">
      <c r="A1976" s="3" t="inlineStr">
        <is>
          <t>MAT-32-620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13.68</v>
      </c>
      <c r="L1976" s="6" t="n">
        <v>8.140000000000001</v>
      </c>
      <c r="M1976" s="6" t="n">
        <v>28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1/2"</t>
        </is>
      </c>
    </row>
    <row r="1977">
      <c r="A1977" s="3" t="inlineStr">
        <is>
          <t>MAT-32-621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27.06</v>
      </c>
      <c r="L1977" s="6" t="n">
        <v>16</v>
      </c>
      <c r="M1977" s="6" t="n">
        <v>56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1"</t>
        </is>
      </c>
    </row>
    <row r="1978">
      <c r="A1978" s="3" t="inlineStr">
        <is>
          <t>MAT-32-622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82.48999999999999</v>
      </c>
      <c r="L1978" s="6" t="n">
        <v>45.98</v>
      </c>
      <c r="M1978" s="6" t="n">
        <v>195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2"</t>
        </is>
      </c>
    </row>
    <row r="1979">
      <c r="A1979" s="3" t="inlineStr">
        <is>
          <t>MAT-32-623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17.7</v>
      </c>
      <c r="L1979" s="6" t="n">
        <v>8.83</v>
      </c>
      <c r="M1979" s="6" t="n">
        <v>35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3/4"</t>
        </is>
      </c>
    </row>
    <row r="1980">
      <c r="A1980" s="3" t="inlineStr">
        <is>
          <t>MAT-32-624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235.03</v>
      </c>
      <c r="L1980" s="6" t="n">
        <v>169</v>
      </c>
      <c r="M1980" s="6" t="n">
        <v>453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3"</t>
        </is>
      </c>
    </row>
    <row r="1981">
      <c r="A1981" s="3" t="inlineStr">
        <is>
          <t>MAT-32-625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336.44</v>
      </c>
      <c r="L1981" s="6" t="n">
        <v>278</v>
      </c>
      <c r="M1981" s="6" t="n">
        <v>394.88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4"</t>
        </is>
      </c>
    </row>
    <row r="1982">
      <c r="A1982" s="3" t="inlineStr">
        <is>
          <t>MAT-32-626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 x 3"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687.34</v>
      </c>
      <c r="L1982" s="6" t="n">
        <v>687.34</v>
      </c>
      <c r="M1982" s="6" t="n">
        <v>687.34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 x 3"</t>
        </is>
      </c>
    </row>
    <row r="1983">
      <c r="A1983" s="3" t="inlineStr">
        <is>
          <t>MAT-32-627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6"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1002.5</v>
      </c>
      <c r="L1983" s="6" t="n">
        <v>915</v>
      </c>
      <c r="M1983" s="6" t="n">
        <v>1090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6"</t>
        </is>
      </c>
    </row>
    <row r="1984">
      <c r="A1984" s="3" t="inlineStr">
        <is>
          <t>MAT-32-628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8379</v>
      </c>
      <c r="L1984" s="6" t="n">
        <v>8379</v>
      </c>
      <c r="M1984" s="6" t="n">
        <v>8379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8"</t>
        </is>
      </c>
    </row>
    <row r="1985">
      <c r="A1985" s="3" t="inlineStr">
        <is>
          <t>MAT-32-629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PPR 25 mm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45</v>
      </c>
      <c r="L1985" s="6" t="n">
        <v>45</v>
      </c>
      <c r="M1985" s="6" t="n">
        <v>45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tee-reducida · material: PPR · medida: 25 mm</t>
        </is>
      </c>
    </row>
    <row r="1986">
      <c r="A1986" s="3" t="inlineStr">
        <is>
          <t>MAT-32-630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PVC 1" x 3/4"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144</v>
      </c>
      <c r="L1986" s="6" t="n">
        <v>144</v>
      </c>
      <c r="M1986" s="6" t="n">
        <v>144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PVC · medida: 1" x 3/4"</t>
        </is>
      </c>
    </row>
    <row r="1987">
      <c r="A1987" s="3" t="inlineStr">
        <is>
          <t>MAT-32-631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1/2"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235</v>
      </c>
      <c r="L1987" s="6" t="n">
        <v>235</v>
      </c>
      <c r="M1987" s="6" t="n">
        <v>235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bronce · medida: 1/2"</t>
        </is>
      </c>
    </row>
    <row r="1988">
      <c r="A1988" s="3" t="inlineStr">
        <is>
          <t>MAT-32-632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3/4"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275</v>
      </c>
      <c r="L1988" s="6" t="n">
        <v>275</v>
      </c>
      <c r="M1988" s="6" t="n">
        <v>275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3/4"</t>
        </is>
      </c>
    </row>
    <row r="1989">
      <c r="A1989" s="3" t="inlineStr">
        <is>
          <t>MAT-32-633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5/8"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335</v>
      </c>
      <c r="L1989" s="6" t="n">
        <v>335</v>
      </c>
      <c r="M1989" s="6" t="n">
        <v>335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5/8"</t>
        </is>
      </c>
    </row>
    <row r="1990">
      <c r="A1990" s="3" t="inlineStr">
        <is>
          <t>MAT-32-634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cobre 1"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319</v>
      </c>
      <c r="L1990" s="6" t="n">
        <v>319</v>
      </c>
      <c r="M1990" s="6" t="n">
        <v>319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cobre · medida: 1"</t>
        </is>
      </c>
    </row>
    <row r="1991">
      <c r="A1991" s="3" t="inlineStr">
        <is>
          <t>MAT-32-635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165.5</v>
      </c>
      <c r="L1991" s="6" t="n">
        <v>131</v>
      </c>
      <c r="M1991" s="6" t="n">
        <v>210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1/2"</t>
        </is>
      </c>
    </row>
    <row r="1992">
      <c r="A1992" s="3" t="inlineStr">
        <is>
          <t>MAT-32-636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247</v>
      </c>
      <c r="L1992" s="6" t="n">
        <v>247</v>
      </c>
      <c r="M1992" s="6" t="n">
        <v>247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3/4"</t>
        </is>
      </c>
    </row>
    <row r="1993">
      <c r="A1993" s="3" t="inlineStr">
        <is>
          <t>MAT-32-637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5/8"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233</v>
      </c>
      <c r="L1993" s="6" t="n">
        <v>233</v>
      </c>
      <c r="M1993" s="6" t="n">
        <v>233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5/8"</t>
        </is>
      </c>
    </row>
    <row r="1994">
      <c r="A1994" s="3" t="inlineStr">
        <is>
          <t>MAT-32-638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295</v>
      </c>
      <c r="L1994" s="6" t="n">
        <v>295</v>
      </c>
      <c r="M1994" s="6" t="n">
        <v>295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5"</t>
        </is>
      </c>
    </row>
    <row r="1995">
      <c r="A1995" s="3" t="inlineStr">
        <is>
          <t>MAT-32-639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0.19"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35.78</v>
      </c>
      <c r="L1995" s="6" t="n">
        <v>35.78</v>
      </c>
      <c r="M1995" s="6" t="n">
        <v>35.78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0.19"</t>
        </is>
      </c>
    </row>
    <row r="1996">
      <c r="A1996" s="3" t="inlineStr">
        <is>
          <t>MAT-32-640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115.6</v>
      </c>
      <c r="L1996" s="6" t="n">
        <v>66.19</v>
      </c>
      <c r="M1996" s="6" t="n">
        <v>165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</t>
        </is>
      </c>
      <c r="AF1996" s="4" t="inlineStr">
        <is>
          <t>tipo: union · material: bronce · medida: 1/2"</t>
        </is>
      </c>
    </row>
    <row r="1997">
      <c r="A1997" s="3" t="inlineStr">
        <is>
          <t>MAT-32-641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69</v>
      </c>
      <c r="L1997" s="6" t="n">
        <v>28</v>
      </c>
      <c r="M1997" s="6" t="n">
        <v>110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1/4"</t>
        </is>
      </c>
    </row>
    <row r="1998">
      <c r="A1998" s="3" t="inlineStr">
        <is>
          <t>MAT-32-642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16</v>
      </c>
      <c r="L1998" s="6" t="n">
        <v>16</v>
      </c>
      <c r="M1998" s="6" t="n">
        <v>16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1/8"</t>
        </is>
      </c>
    </row>
    <row r="1999">
      <c r="A1999" s="3" t="inlineStr">
        <is>
          <t>MAT-32-643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346</v>
      </c>
      <c r="L1999" s="6" t="n">
        <v>346</v>
      </c>
      <c r="M1999" s="6" t="n">
        <v>346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12"</t>
        </is>
      </c>
    </row>
    <row r="2000">
      <c r="A2000" s="3" t="inlineStr">
        <is>
          <t>MAT-32-644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375</v>
      </c>
      <c r="L2000" s="6" t="n">
        <v>375</v>
      </c>
      <c r="M2000" s="6" t="n">
        <v>375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15"</t>
        </is>
      </c>
    </row>
    <row r="2001">
      <c r="A2001" s="3" t="inlineStr">
        <is>
          <t>MAT-32-645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18"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413</v>
      </c>
      <c r="L2001" s="6" t="n">
        <v>413</v>
      </c>
      <c r="M2001" s="6" t="n">
        <v>413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18"</t>
        </is>
      </c>
    </row>
    <row r="2002">
      <c r="A2002" s="3" t="inlineStr">
        <is>
          <t>MAT-32-646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25"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796</v>
      </c>
      <c r="L2002" s="6" t="n">
        <v>796</v>
      </c>
      <c r="M2002" s="6" t="n">
        <v>796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25"</t>
        </is>
      </c>
    </row>
    <row r="2003">
      <c r="A2003" s="3" t="inlineStr">
        <is>
          <t>MAT-32-647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118</v>
      </c>
      <c r="L2003" s="6" t="n">
        <v>44</v>
      </c>
      <c r="M2003" s="6" t="n">
        <v>147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union · material: bronce · medida: 3/8"</t>
        </is>
      </c>
    </row>
    <row r="2004">
      <c r="A2004" s="3" t="inlineStr">
        <is>
          <t>MAT-32-648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32 mm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906</v>
      </c>
      <c r="L2004" s="6" t="n">
        <v>906</v>
      </c>
      <c r="M2004" s="6" t="n">
        <v>906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32 mm</t>
        </is>
      </c>
    </row>
    <row r="2005">
      <c r="A2005" s="3" t="inlineStr">
        <is>
          <t>MAT-32-649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1/2"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145.5</v>
      </c>
      <c r="L2005" s="6" t="n">
        <v>111</v>
      </c>
      <c r="M2005" s="6" t="n">
        <v>180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union · material: plástico · medida: 1/2"</t>
        </is>
      </c>
    </row>
    <row r="2006">
      <c r="A2006" s="3" t="inlineStr">
        <is>
          <t>MAT-32-650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5/8"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131</v>
      </c>
      <c r="L2006" s="6" t="n">
        <v>131</v>
      </c>
      <c r="M2006" s="6" t="n">
        <v>131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plástico · medida: 5/8"</t>
        </is>
      </c>
    </row>
    <row r="2007">
      <c r="A2007" s="3" t="inlineStr">
        <is>
          <t>MAT-32-651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31.5</v>
      </c>
      <c r="L2007" s="6" t="n">
        <v>31.5</v>
      </c>
      <c r="M2007" s="6" t="n">
        <v>31.5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union-universal · material: CPVC · medida: 1/2"</t>
        </is>
      </c>
    </row>
    <row r="2008">
      <c r="A2008" s="3" t="inlineStr">
        <is>
          <t>MAT-32-652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150</v>
      </c>
      <c r="L2008" s="6" t="n">
        <v>150</v>
      </c>
      <c r="M2008" s="6" t="n">
        <v>150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1"</t>
        </is>
      </c>
    </row>
    <row r="2009">
      <c r="A2009" s="3" t="inlineStr">
        <is>
          <t>MAT-32-653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3/4"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100</v>
      </c>
      <c r="L2009" s="6" t="n">
        <v>100</v>
      </c>
      <c r="M2009" s="6" t="n">
        <v>100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3/4"</t>
        </is>
      </c>
    </row>
    <row r="2010">
      <c r="A2010" s="3" t="inlineStr">
        <is>
          <t>MAT-32-654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437.5</v>
      </c>
      <c r="L2010" s="6" t="n">
        <v>350</v>
      </c>
      <c r="M2010" s="6" t="n">
        <v>525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F2010" s="4" t="inlineStr">
        <is>
          <t>tipo: union-universal · material: HG · medida: 1 1/2"</t>
        </is>
      </c>
    </row>
    <row r="2011">
      <c r="A2011" s="3" t="inlineStr">
        <is>
          <t>MAT-32-655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1/4"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335.5</v>
      </c>
      <c r="L2011" s="6" t="n">
        <v>249</v>
      </c>
      <c r="M2011" s="6" t="n">
        <v>422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1/4"</t>
        </is>
      </c>
    </row>
    <row r="2012">
      <c r="A2012" s="3" t="inlineStr">
        <is>
          <t>MAT-32-656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142.5</v>
      </c>
      <c r="L2012" s="6" t="n">
        <v>115</v>
      </c>
      <c r="M2012" s="6" t="n">
        <v>170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1/2"</t>
        </is>
      </c>
    </row>
    <row r="2013">
      <c r="A2013" s="3" t="inlineStr">
        <is>
          <t>MAT-32-657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44</v>
      </c>
      <c r="L2013" s="6" t="n">
        <v>44</v>
      </c>
      <c r="M2013" s="6" t="n">
        <v>44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2026-09-09</t>
        </is>
      </c>
      <c r="Q2013" s="4" t="inlineStr">
        <is>
          <t>Ferretería Cima</t>
        </is>
      </c>
      <c r="AF2013" s="4" t="inlineStr">
        <is>
          <t>tipo: union-universal · material: HG · medida: 1/4"</t>
        </is>
      </c>
    </row>
    <row r="2014">
      <c r="A2014" s="3" t="inlineStr">
        <is>
          <t>MAT-32-658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174</v>
      </c>
      <c r="L2014" s="6" t="n">
        <v>174</v>
      </c>
      <c r="M2014" s="6" t="n">
        <v>174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HG · medida: 1"</t>
        </is>
      </c>
    </row>
    <row r="2015">
      <c r="A2015" s="3" t="inlineStr">
        <is>
          <t>MAT-32-659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2</v>
      </c>
      <c r="K2015" s="6" t="n">
        <v>638.5</v>
      </c>
      <c r="L2015" s="6" t="n">
        <v>450</v>
      </c>
      <c r="M2015" s="6" t="n">
        <v>827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 · Ferretería Cima</t>
        </is>
      </c>
      <c r="AF2015" s="4" t="inlineStr">
        <is>
          <t>tipo: union-universal · material: HG · medida: 2"</t>
        </is>
      </c>
    </row>
    <row r="2016">
      <c r="A2016" s="3" t="inlineStr">
        <is>
          <t>MAT-32-660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171</v>
      </c>
      <c r="L2016" s="6" t="n">
        <v>162</v>
      </c>
      <c r="M2016" s="6" t="n">
        <v>180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3/4"</t>
        </is>
      </c>
    </row>
    <row r="2017">
      <c r="A2017" s="3" t="inlineStr">
        <is>
          <t>MAT-32-661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3/8"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12</v>
      </c>
      <c r="L2017" s="6" t="n">
        <v>12</v>
      </c>
      <c r="M2017" s="6" t="n">
        <v>12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2026-09-09</t>
        </is>
      </c>
      <c r="Q2017" s="4" t="inlineStr">
        <is>
          <t>Ferretería Cima</t>
        </is>
      </c>
      <c r="AF2017" s="4" t="inlineStr">
        <is>
          <t>tipo: union-universal · material: HG · medida: 3/8"</t>
        </is>
      </c>
    </row>
    <row r="2018">
      <c r="A2018" s="3" t="inlineStr">
        <is>
          <t>MAT-32-662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1376</v>
      </c>
      <c r="L2018" s="6" t="n">
        <v>1376</v>
      </c>
      <c r="M2018" s="6" t="n">
        <v>1376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union-universal · material: HG · medida: 3"</t>
        </is>
      </c>
    </row>
    <row r="2019">
      <c r="A2019" s="3" t="inlineStr">
        <is>
          <t>MAT-32-663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1835</v>
      </c>
      <c r="L2019" s="6" t="n">
        <v>1835</v>
      </c>
      <c r="M2019" s="6" t="n">
        <v>1835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4"</t>
        </is>
      </c>
    </row>
    <row r="2020">
      <c r="A2020" s="3" t="inlineStr">
        <is>
          <t>MAT-32-664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25.14</v>
      </c>
      <c r="L2020" s="6" t="n">
        <v>25.14</v>
      </c>
      <c r="M2020" s="6" t="n">
        <v>25.14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20 mm</t>
        </is>
      </c>
    </row>
    <row r="2021">
      <c r="A2021" s="3" t="inlineStr">
        <is>
          <t>MAT-32-665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25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99.56999999999999</v>
      </c>
      <c r="L2021" s="6" t="n">
        <v>33.14</v>
      </c>
      <c r="M2021" s="6" t="n">
        <v>166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PPR · medida: 25 mm</t>
        </is>
      </c>
    </row>
    <row r="2022">
      <c r="A2022" s="3" t="inlineStr">
        <is>
          <t>MAT-32-666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32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50.46</v>
      </c>
      <c r="L2022" s="6" t="n">
        <v>50.46</v>
      </c>
      <c r="M2022" s="6" t="n">
        <v>50.46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F2022" s="4" t="inlineStr">
        <is>
          <t>tipo: union-universal · material: PPR · medida: 32 mm</t>
        </is>
      </c>
    </row>
    <row r="2023">
      <c r="A2023" s="3" t="inlineStr">
        <is>
          <t>MAT-32-667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50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120</v>
      </c>
      <c r="L2023" s="6" t="n">
        <v>120</v>
      </c>
      <c r="M2023" s="6" t="n">
        <v>120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50 mm</t>
        </is>
      </c>
    </row>
    <row r="2024">
      <c r="A2024" s="3" t="inlineStr">
        <is>
          <t>MAT-32-668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 1/2"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2</v>
      </c>
      <c r="K2024" s="6" t="n">
        <v>104.52</v>
      </c>
      <c r="L2024" s="6" t="n">
        <v>74.06</v>
      </c>
      <c r="M2024" s="6" t="n">
        <v>217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MC</t>
        </is>
      </c>
      <c r="AF2024" s="4" t="inlineStr">
        <is>
          <t>tipo: union-universal · material: PVC · medida: 1 1/2"</t>
        </is>
      </c>
    </row>
    <row r="2025">
      <c r="A2025" s="3" t="inlineStr">
        <is>
          <t>MAT-32-669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30.27</v>
      </c>
      <c r="L2025" s="6" t="n">
        <v>17.7</v>
      </c>
      <c r="M2025" s="6" t="n">
        <v>75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1/2"</t>
        </is>
      </c>
    </row>
    <row r="2026">
      <c r="A2026" s="3" t="inlineStr">
        <is>
          <t>MAT-32-670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49.47</v>
      </c>
      <c r="L2026" s="6" t="n">
        <v>37</v>
      </c>
      <c r="M2026" s="6" t="n">
        <v>147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1"</t>
        </is>
      </c>
    </row>
    <row r="2027">
      <c r="A2027" s="3" t="inlineStr">
        <is>
          <t>MAT-32-671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161.66</v>
      </c>
      <c r="L2027" s="6" t="n">
        <v>125.07</v>
      </c>
      <c r="M2027" s="6" t="n">
        <v>401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2"</t>
        </is>
      </c>
    </row>
    <row r="2028">
      <c r="A2028" s="3" t="inlineStr">
        <is>
          <t>MAT-32-672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33.24</v>
      </c>
      <c r="L2028" s="6" t="n">
        <v>23.2</v>
      </c>
      <c r="M2028" s="6" t="n">
        <v>105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3/4"</t>
        </is>
      </c>
    </row>
    <row r="2029">
      <c r="A2029" s="3" t="inlineStr">
        <is>
          <t>MAT-32-673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588</v>
      </c>
      <c r="L2029" s="6" t="n">
        <v>531</v>
      </c>
      <c r="M2029" s="6" t="n">
        <v>645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MC</t>
        </is>
      </c>
      <c r="AF2029" s="4" t="inlineStr">
        <is>
          <t>tipo: union-universal · material: PVC · medida: 3"</t>
        </is>
      </c>
    </row>
    <row r="2030">
      <c r="A2030" s="3" t="inlineStr">
        <is>
          <t>MAT-32-674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4"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1256</v>
      </c>
      <c r="L2030" s="6" t="n">
        <v>895</v>
      </c>
      <c r="M2030" s="6" t="n">
        <v>1617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</t>
        </is>
      </c>
      <c r="AF2030" s="4" t="inlineStr">
        <is>
          <t>tipo: union-universal · material: PVC · medida: 4"</t>
        </is>
      </c>
    </row>
    <row r="2031">
      <c r="A2031" s="3" t="inlineStr">
        <is>
          <t>MAT-32-675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SCH-80 1"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98.28</v>
      </c>
      <c r="L2031" s="6" t="n">
        <v>98.28</v>
      </c>
      <c r="M2031" s="6" t="n">
        <v>98.28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MC</t>
        </is>
      </c>
      <c r="AF2031" s="4" t="inlineStr">
        <is>
          <t>tipo: union-universal · material: PVC SCH-80 · medida: 1"</t>
        </is>
      </c>
    </row>
    <row r="2032">
      <c r="A2032" s="3" t="inlineStr">
        <is>
          <t>MAT-32-676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1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43.45</v>
      </c>
      <c r="L2032" s="6" t="n">
        <v>39.9</v>
      </c>
      <c r="M2032" s="6" t="n">
        <v>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1 1/2"</t>
        </is>
      </c>
    </row>
    <row r="2033">
      <c r="A2033" s="3" t="inlineStr">
        <is>
          <t>MAT-32-677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46.1</v>
      </c>
      <c r="L2033" s="6" t="n">
        <v>39.22</v>
      </c>
      <c r="M2033" s="6" t="n">
        <v>145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2"</t>
        </is>
      </c>
    </row>
    <row r="2034">
      <c r="A2034" s="3" t="inlineStr">
        <is>
          <t>MAT-32-678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113.54</v>
      </c>
      <c r="L2034" s="6" t="n">
        <v>76.79000000000001</v>
      </c>
      <c r="M2034" s="6" t="n">
        <v>150.29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</t>
        </is>
      </c>
      <c r="AF2034" s="4" t="inlineStr">
        <is>
          <t>tipo: yee · material: PVC drenaje · medida: 3"</t>
        </is>
      </c>
    </row>
    <row r="2035">
      <c r="A2035" s="3" t="inlineStr">
        <is>
          <t>MAT-32-679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 x 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147.29</v>
      </c>
      <c r="L2035" s="6" t="n">
        <v>89.56999999999999</v>
      </c>
      <c r="M2035" s="6" t="n">
        <v>205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Cima</t>
        </is>
      </c>
      <c r="AF2035" s="4" t="inlineStr">
        <is>
          <t>tipo: yee · material: PVC drenaje · medida: 3" x 2"</t>
        </is>
      </c>
    </row>
    <row r="2036">
      <c r="A2036" s="3" t="inlineStr">
        <is>
          <t>MAT-32-680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224.26</v>
      </c>
      <c r="L2036" s="6" t="n">
        <v>160</v>
      </c>
      <c r="M2036" s="6" t="n">
        <v>425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4"</t>
        </is>
      </c>
    </row>
    <row r="2037">
      <c r="A2037" s="3" t="inlineStr">
        <is>
          <t>MAT-32-681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120.22</v>
      </c>
      <c r="L2037" s="6" t="n">
        <v>97</v>
      </c>
      <c r="M2037" s="6" t="n">
        <v>265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 x 2"</t>
        </is>
      </c>
    </row>
    <row r="2038">
      <c r="A2038" s="3" t="inlineStr">
        <is>
          <t>MAT-32-682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3"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191.92</v>
      </c>
      <c r="L2038" s="6" t="n">
        <v>191.92</v>
      </c>
      <c r="M2038" s="6" t="n">
        <v>191.92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4" x 3"</t>
        </is>
      </c>
    </row>
    <row r="2039">
      <c r="A2039" s="3" t="inlineStr">
        <is>
          <t>MAT-32-683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923.5</v>
      </c>
      <c r="L2039" s="6" t="n">
        <v>875</v>
      </c>
      <c r="M2039" s="6" t="n">
        <v>972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6"</t>
        </is>
      </c>
    </row>
    <row r="2040">
      <c r="A2040" s="3" t="inlineStr">
        <is>
          <t>MAT-32-684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 x 4"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855</v>
      </c>
      <c r="L2040" s="6" t="n">
        <v>855</v>
      </c>
      <c r="M2040" s="6" t="n">
        <v>855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 x 4"</t>
        </is>
      </c>
    </row>
    <row r="2041">
      <c r="A2041" s="3" t="inlineStr">
        <is>
          <t>MAT-32-685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8"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5151</v>
      </c>
      <c r="L2041" s="6" t="n">
        <v>5151</v>
      </c>
      <c r="M2041" s="6" t="n">
        <v>5151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8" x 4"</t>
        </is>
      </c>
    </row>
    <row r="2042">
      <c r="A2042" s="3" t="inlineStr">
        <is>
          <t>MAT-32-686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3" x 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546</v>
      </c>
      <c r="L2042" s="6" t="n">
        <v>546</v>
      </c>
      <c r="M2042" s="6" t="n">
        <v>546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presión · medida: 3" x 2"</t>
        </is>
      </c>
    </row>
    <row r="2043">
      <c r="A2043" s="3" t="inlineStr">
        <is>
          <t>MAT-32-687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429</v>
      </c>
      <c r="L2043" s="6" t="n">
        <v>429</v>
      </c>
      <c r="M2043" s="6" t="n">
        <v>429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4" x 2"</t>
        </is>
      </c>
    </row>
    <row r="2044">
      <c r="A2044" s="3" t="inlineStr">
        <is>
          <t>MAT-32-688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latón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375</v>
      </c>
      <c r="L2044" s="6" t="n">
        <v>355</v>
      </c>
      <c r="M2044" s="6" t="n">
        <v>395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Ferremix (Grupo Alterra)</t>
        </is>
      </c>
      <c r="AF2044" s="4" t="inlineStr">
        <is>
          <t>tipo: angular · material: latón · medida: 1/2"</t>
        </is>
      </c>
    </row>
    <row r="2045">
      <c r="A2045" s="3" t="inlineStr">
        <is>
          <t>MAT-32-689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271</v>
      </c>
      <c r="L2045" s="6" t="n">
        <v>140</v>
      </c>
      <c r="M2045" s="6" t="n">
        <v>565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 · Ferretería Cima</t>
        </is>
      </c>
      <c r="AF2045" s="4" t="inlineStr">
        <is>
          <t>tipo: angular · material: metal · medida: 1/2"</t>
        </is>
      </c>
    </row>
    <row r="2046">
      <c r="A2046" s="3" t="inlineStr">
        <is>
          <t>MAT-32-690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3/8"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285</v>
      </c>
      <c r="L2046" s="6" t="n">
        <v>257</v>
      </c>
      <c r="M2046" s="6" t="n">
        <v>453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3/8"</t>
        </is>
      </c>
    </row>
    <row r="2047">
      <c r="A2047" s="3" t="inlineStr">
        <is>
          <t>MAT-32-691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205</v>
      </c>
      <c r="L2047" s="6" t="n">
        <v>205</v>
      </c>
      <c r="M2047" s="6" t="n">
        <v>205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PPR · medida: 1/2"</t>
        </is>
      </c>
    </row>
    <row r="2048">
      <c r="A2048" s="3" t="inlineStr">
        <is>
          <t>MAT-32-692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270</v>
      </c>
      <c r="L2048" s="6" t="n">
        <v>270</v>
      </c>
      <c r="M2048" s="6" t="n">
        <v>270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1"</t>
        </is>
      </c>
    </row>
    <row r="2049">
      <c r="A2049" s="3" t="inlineStr">
        <is>
          <t>MAT-32-693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255</v>
      </c>
      <c r="L2049" s="6" t="n">
        <v>255</v>
      </c>
      <c r="M2049" s="6" t="n">
        <v>255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3/4"</t>
        </is>
      </c>
    </row>
    <row r="2050">
      <c r="A2050" s="3" t="inlineStr">
        <is>
          <t>MAT-32-694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1"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388</v>
      </c>
      <c r="L2050" s="6" t="n">
        <v>388</v>
      </c>
      <c r="M2050" s="6" t="n">
        <v>388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PVC · medida: 1"</t>
        </is>
      </c>
    </row>
    <row r="2051">
      <c r="A2051" s="3" t="inlineStr">
        <is>
          <t>MAT-32-695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3/4"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311</v>
      </c>
      <c r="L2051" s="6" t="n">
        <v>311</v>
      </c>
      <c r="M2051" s="6" t="n">
        <v>311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3/4"</t>
        </is>
      </c>
    </row>
    <row r="2052">
      <c r="A2052" s="3" t="inlineStr">
        <is>
          <t>MAT-32-696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1299</v>
      </c>
      <c r="L2052" s="6" t="n">
        <v>1299</v>
      </c>
      <c r="M2052" s="6" t="n">
        <v>1299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 1/2"</t>
        </is>
      </c>
    </row>
    <row r="2053">
      <c r="A2053" s="3" t="inlineStr">
        <is>
          <t>MAT-32-697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1075</v>
      </c>
      <c r="L2053" s="6" t="n">
        <v>1075</v>
      </c>
      <c r="M2053" s="6" t="n">
        <v>1075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1/4"</t>
        </is>
      </c>
    </row>
    <row r="2054">
      <c r="A2054" s="3" t="inlineStr">
        <is>
          <t>MAT-32-698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1/2"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355</v>
      </c>
      <c r="L2054" s="6" t="n">
        <v>355</v>
      </c>
      <c r="M2054" s="6" t="n">
        <v>355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1/2"</t>
        </is>
      </c>
    </row>
    <row r="2055">
      <c r="A2055" s="3" t="inlineStr">
        <is>
          <t>MAT-32-699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655</v>
      </c>
      <c r="L2055" s="6" t="n">
        <v>655</v>
      </c>
      <c r="M2055" s="6" t="n">
        <v>655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1"</t>
        </is>
      </c>
    </row>
    <row r="2056">
      <c r="A2056" s="3" t="inlineStr">
        <is>
          <t>MAT-32-700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1855</v>
      </c>
      <c r="L2056" s="6" t="n">
        <v>1855</v>
      </c>
      <c r="M2056" s="6" t="n">
        <v>1855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2"</t>
        </is>
      </c>
    </row>
    <row r="2057">
      <c r="A2057" s="3" t="inlineStr">
        <is>
          <t>MAT-32-701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449</v>
      </c>
      <c r="L2057" s="6" t="n">
        <v>449</v>
      </c>
      <c r="M2057" s="6" t="n">
        <v>449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3/4"</t>
        </is>
      </c>
    </row>
    <row r="2058">
      <c r="A2058" s="3" t="inlineStr">
        <is>
          <t>MAT-32-702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CPVC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435</v>
      </c>
      <c r="L2058" s="6" t="n">
        <v>435</v>
      </c>
      <c r="M2058" s="6" t="n">
        <v>435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CPVC · medida: 1/2"</t>
        </is>
      </c>
    </row>
    <row r="2059">
      <c r="A2059" s="3" t="inlineStr">
        <is>
          <t>MAT-32-703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1961</v>
      </c>
      <c r="L2059" s="6" t="n">
        <v>1961</v>
      </c>
      <c r="M2059" s="6" t="n">
        <v>1961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 1/2"</t>
        </is>
      </c>
    </row>
    <row r="2060">
      <c r="A2060" s="3" t="inlineStr">
        <is>
          <t>MAT-32-704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545</v>
      </c>
      <c r="L2060" s="6" t="n">
        <v>259</v>
      </c>
      <c r="M2060" s="6" t="n">
        <v>635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1/2"</t>
        </is>
      </c>
    </row>
    <row r="2061">
      <c r="A2061" s="3" t="inlineStr">
        <is>
          <t>MAT-32-705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343</v>
      </c>
      <c r="L2061" s="6" t="n">
        <v>343</v>
      </c>
      <c r="M2061" s="6" t="n">
        <v>343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1/4"</t>
        </is>
      </c>
    </row>
    <row r="2062">
      <c r="A2062" s="3" t="inlineStr">
        <is>
          <t>MAT-32-706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831</v>
      </c>
      <c r="L2062" s="6" t="n">
        <v>831</v>
      </c>
      <c r="M2062" s="6" t="n">
        <v>831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1"</t>
        </is>
      </c>
    </row>
    <row r="2063">
      <c r="A2063" s="3" t="inlineStr">
        <is>
          <t>MAT-32-707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3227</v>
      </c>
      <c r="L2063" s="6" t="n">
        <v>3227</v>
      </c>
      <c r="M2063" s="6" t="n">
        <v>3227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2"</t>
        </is>
      </c>
    </row>
    <row r="2064">
      <c r="A2064" s="3" t="inlineStr">
        <is>
          <t>MAT-32-708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3/4"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592.5</v>
      </c>
      <c r="L2064" s="6" t="n">
        <v>555</v>
      </c>
      <c r="M2064" s="6" t="n">
        <v>630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3/4"</t>
        </is>
      </c>
    </row>
    <row r="2065">
      <c r="A2065" s="3" t="inlineStr">
        <is>
          <t>MAT-32-709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3/8"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336</v>
      </c>
      <c r="L2065" s="6" t="n">
        <v>327</v>
      </c>
      <c r="M2065" s="6" t="n">
        <v>455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3/8"</t>
        </is>
      </c>
    </row>
    <row r="2066">
      <c r="A2066" s="3" t="inlineStr">
        <is>
          <t>MAT-32-710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465</v>
      </c>
      <c r="L2066" s="6" t="n">
        <v>465</v>
      </c>
      <c r="M2066" s="6" t="n">
        <v>465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1 1/2"</t>
        </is>
      </c>
    </row>
    <row r="2067">
      <c r="A2067" s="3" t="inlineStr">
        <is>
          <t>MAT-32-711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83</v>
      </c>
      <c r="L2067" s="6" t="n">
        <v>41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1/2"</t>
        </is>
      </c>
    </row>
    <row r="2068">
      <c r="A2068" s="3" t="inlineStr">
        <is>
          <t>MAT-32-712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170</v>
      </c>
      <c r="L2068" s="6" t="n">
        <v>170</v>
      </c>
      <c r="M2068" s="6" t="n">
        <v>170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1"</t>
        </is>
      </c>
    </row>
    <row r="2069">
      <c r="A2069" s="3" t="inlineStr">
        <is>
          <t>MAT-32-713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616</v>
      </c>
      <c r="L2069" s="6" t="n">
        <v>616</v>
      </c>
      <c r="M2069" s="6" t="n">
        <v>616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2"</t>
        </is>
      </c>
    </row>
    <row r="2070">
      <c r="A2070" s="3" t="inlineStr">
        <is>
          <t>MAT-32-714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116</v>
      </c>
      <c r="L2070" s="6" t="n">
        <v>107</v>
      </c>
      <c r="M2070" s="6" t="n">
        <v>125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3/4"</t>
        </is>
      </c>
    </row>
    <row r="2071">
      <c r="A2071" s="3" t="inlineStr">
        <is>
          <t>MAT-32-715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2262</v>
      </c>
      <c r="L2071" s="6" t="n">
        <v>2262</v>
      </c>
      <c r="M2071" s="6" t="n">
        <v>2262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1 1/2"</t>
        </is>
      </c>
    </row>
    <row r="2072">
      <c r="A2072" s="3" t="inlineStr">
        <is>
          <t>MAT-32-716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858</v>
      </c>
      <c r="L2072" s="6" t="n">
        <v>858</v>
      </c>
      <c r="M2072" s="6" t="n">
        <v>858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1/2"</t>
        </is>
      </c>
    </row>
    <row r="2073">
      <c r="A2073" s="3" t="inlineStr">
        <is>
          <t>MAT-32-717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1595</v>
      </c>
      <c r="L2073" s="6" t="n">
        <v>1595</v>
      </c>
      <c r="M2073" s="6" t="n">
        <v>1595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1"</t>
        </is>
      </c>
    </row>
    <row r="2074">
      <c r="A2074" s="3" t="inlineStr">
        <is>
          <t>MAT-32-718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3/4"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1248</v>
      </c>
      <c r="L2074" s="6" t="n">
        <v>1248</v>
      </c>
      <c r="M2074" s="6" t="n">
        <v>1248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3/4"</t>
        </is>
      </c>
    </row>
    <row r="2075">
      <c r="A2075" s="3" t="inlineStr">
        <is>
          <t>MAT-32-719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875</v>
      </c>
      <c r="L2075" s="6" t="n">
        <v>338</v>
      </c>
      <c r="M2075" s="6" t="n">
        <v>1071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rosca macho · material: metal · medida: 1/2"</t>
        </is>
      </c>
    </row>
    <row r="2076">
      <c r="A2076" s="3" t="inlineStr">
        <is>
          <t>MAT-32-720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816</v>
      </c>
      <c r="L2076" s="6" t="n">
        <v>487</v>
      </c>
      <c r="M2076" s="6" t="n">
        <v>1145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3/4"</t>
        </is>
      </c>
    </row>
    <row r="2077">
      <c r="A2077" s="3" t="inlineStr">
        <is>
          <t>MAT-32-721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1858</v>
      </c>
      <c r="L2077" s="6" t="n">
        <v>995</v>
      </c>
      <c r="M2077" s="6" t="n">
        <v>2465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 1/2"</t>
        </is>
      </c>
    </row>
    <row r="2078">
      <c r="A2078" s="3" t="inlineStr">
        <is>
          <t>MAT-32-722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1/4"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1444.5</v>
      </c>
      <c r="L2078" s="6" t="n">
        <v>1394</v>
      </c>
      <c r="M2078" s="6" t="n">
        <v>1495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4" t="inlineStr">
        <is>
          <t>medida: 1 1/4"</t>
        </is>
      </c>
    </row>
    <row r="2079">
      <c r="A2079" s="3" t="inlineStr">
        <is>
          <t>MAT-32-723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1/2"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535</v>
      </c>
      <c r="L2079" s="6" t="n">
        <v>502</v>
      </c>
      <c r="M2079" s="6" t="n">
        <v>629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1/2"</t>
        </is>
      </c>
    </row>
    <row r="2080">
      <c r="A2080" s="3" t="inlineStr">
        <is>
          <t>MAT-32-724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955</v>
      </c>
      <c r="L2080" s="6" t="n">
        <v>399</v>
      </c>
      <c r="M2080" s="6" t="n">
        <v>1073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1"</t>
        </is>
      </c>
    </row>
    <row r="2081">
      <c r="A2081" s="3" t="inlineStr">
        <is>
          <t>MAT-32-725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2864</v>
      </c>
      <c r="L2081" s="6" t="n">
        <v>435</v>
      </c>
      <c r="M2081" s="6" t="n">
        <v>3499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2"</t>
        </is>
      </c>
    </row>
    <row r="2082">
      <c r="A2082" s="3" t="inlineStr">
        <is>
          <t>MAT-32-726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695</v>
      </c>
      <c r="L2082" s="6" t="n">
        <v>586</v>
      </c>
      <c r="M2082" s="6" t="n">
        <v>975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3/4"</t>
        </is>
      </c>
    </row>
    <row r="2083">
      <c r="A2083" s="3" t="inlineStr">
        <is>
          <t>MAT-32-727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7885</v>
      </c>
      <c r="L2083" s="6" t="n">
        <v>6059</v>
      </c>
      <c r="M2083" s="6" t="n">
        <v>11058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4" t="inlineStr">
        <is>
          <t>medida: 3"</t>
        </is>
      </c>
    </row>
    <row r="2084">
      <c r="A2084" s="3" t="inlineStr">
        <is>
          <t>MAT-32-728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14372</v>
      </c>
      <c r="L2084" s="6" t="n">
        <v>12582</v>
      </c>
      <c r="M2084" s="6" t="n">
        <v>18722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4"</t>
        </is>
      </c>
    </row>
    <row r="2085">
      <c r="A2085" s="3" t="inlineStr">
        <is>
          <t>MAT-32-729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734.5</v>
      </c>
      <c r="L2085" s="6" t="n">
        <v>616</v>
      </c>
      <c r="M2085" s="6" t="n">
        <v>853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1/2"</t>
        </is>
      </c>
    </row>
    <row r="2086">
      <c r="A2086" s="3" t="inlineStr">
        <is>
          <t>MAT-32-730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3/4"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943</v>
      </c>
      <c r="L2086" s="6" t="n">
        <v>615</v>
      </c>
      <c r="M2086" s="6" t="n">
        <v>1271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3/4"</t>
        </is>
      </c>
    </row>
    <row r="2087">
      <c r="A2087" s="3" t="inlineStr">
        <is>
          <t>MAT-32-731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 x 10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310</v>
      </c>
      <c r="L2087" s="6" t="n">
        <v>306</v>
      </c>
      <c r="M2087" s="6" t="n">
        <v>685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10 x 10 cm</t>
        </is>
      </c>
    </row>
    <row r="2088">
      <c r="A2088" s="3" t="inlineStr">
        <is>
          <t>MAT-32-732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100 x 100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1173</v>
      </c>
      <c r="L2088" s="6" t="n">
        <v>1173</v>
      </c>
      <c r="M2088" s="6" t="n">
        <v>1173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100 x 100 cm</t>
        </is>
      </c>
    </row>
    <row r="2089">
      <c r="A2089" s="3" t="inlineStr">
        <is>
          <t>MAT-32-733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1196</v>
      </c>
      <c r="L2089" s="6" t="n">
        <v>968</v>
      </c>
      <c r="M2089" s="6" t="n">
        <v>1510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10" · material: acero inoxidable</t>
        </is>
      </c>
    </row>
    <row r="2090">
      <c r="A2090" s="3" t="inlineStr">
        <is>
          <t>MAT-32-734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15 x 15 cm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1233.5</v>
      </c>
      <c r="L2090" s="6" t="n">
        <v>413</v>
      </c>
      <c r="M2090" s="6" t="n">
        <v>2054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15 x 15 cm · material: acero inoxidable</t>
        </is>
      </c>
    </row>
    <row r="2091">
      <c r="A2091" s="3" t="inlineStr">
        <is>
          <t>MAT-32-735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20 x 20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572</v>
      </c>
      <c r="L2091" s="6" t="n">
        <v>572</v>
      </c>
      <c r="M2091" s="6" t="n">
        <v>572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20 x 20 cm</t>
        </is>
      </c>
    </row>
    <row r="2092">
      <c r="A2092" s="3" t="inlineStr">
        <is>
          <t>MAT-32-736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648</v>
      </c>
      <c r="L2092" s="6" t="n">
        <v>199</v>
      </c>
      <c r="M2092" s="6" t="n">
        <v>858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2" · material: aluminio</t>
        </is>
      </c>
    </row>
    <row r="2093">
      <c r="A2093" s="3" t="inlineStr">
        <is>
          <t>MAT-32-737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 1/2"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384.5</v>
      </c>
      <c r="L2093" s="6" t="n">
        <v>368</v>
      </c>
      <c r="M2093" s="6" t="n">
        <v>401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3 1/2"</t>
        </is>
      </c>
    </row>
    <row r="2094">
      <c r="A2094" s="3" t="inlineStr">
        <is>
          <t>MAT-32-738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460.5</v>
      </c>
      <c r="L2094" s="6" t="n">
        <v>356</v>
      </c>
      <c r="M2094" s="6" t="n">
        <v>565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3" · material: aluminio</t>
        </is>
      </c>
    </row>
    <row r="2095">
      <c r="A2095" s="3" t="inlineStr">
        <is>
          <t>MAT-32-739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4"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481.5</v>
      </c>
      <c r="L2095" s="6" t="n">
        <v>453</v>
      </c>
      <c r="M2095" s="6" t="n">
        <v>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4" · material: aluminio</t>
        </is>
      </c>
    </row>
    <row r="2096">
      <c r="A2096" s="3" t="inlineStr">
        <is>
          <t>MAT-32-740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 x 6"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3129</v>
      </c>
      <c r="L2096" s="6" t="n">
        <v>3129</v>
      </c>
      <c r="M2096" s="6" t="n">
        <v>3129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2026-09-10</t>
        </is>
      </c>
      <c r="Q2096" s="4" t="inlineStr">
        <is>
          <t>Ferremix (Grupo Alterra)</t>
        </is>
      </c>
      <c r="AF2096" s="4" t="inlineStr">
        <is>
          <t>medida: 6 x 6"</t>
        </is>
      </c>
    </row>
    <row r="2097">
      <c r="A2097" s="3" t="inlineStr">
        <is>
          <t>MAT-32-741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2403</v>
      </c>
      <c r="L2097" s="6" t="n">
        <v>2403</v>
      </c>
      <c r="M2097" s="6" t="n">
        <v>2403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6" · material: aluminio</t>
        </is>
      </c>
    </row>
    <row r="2098">
      <c r="A2098" s="3" t="inlineStr">
        <is>
          <t>MAT-32-742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80 x 80 cm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865</v>
      </c>
      <c r="L2098" s="6" t="n">
        <v>865</v>
      </c>
      <c r="M2098" s="6" t="n">
        <v>865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80 x 80 cm</t>
        </is>
      </c>
    </row>
    <row r="2099">
      <c r="A2099" s="3" t="inlineStr">
        <is>
          <t>MAT-32-743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metal cromado para desagüe 1 1/4"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1425</v>
      </c>
      <c r="L2099" s="6" t="n">
        <v>1425</v>
      </c>
      <c r="M2099" s="6" t="n">
        <v>1425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desagüe</t>
        </is>
      </c>
      <c r="AF2099" s="4" t="inlineStr">
        <is>
          <t>material: metal cromado · medida: 1 1/4"</t>
        </is>
      </c>
    </row>
    <row r="2100">
      <c r="A2100" s="3" t="inlineStr">
        <is>
          <t>MAT-32-744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1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501.5</v>
      </c>
      <c r="L2100" s="6" t="n">
        <v>356</v>
      </c>
      <c r="M2100" s="6" t="n">
        <v>647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PVC · medida: 1 1/2"</t>
        </is>
      </c>
    </row>
    <row r="2101">
      <c r="A2101" s="3" t="inlineStr">
        <is>
          <t>MAT-32-745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225</v>
      </c>
      <c r="L2101" s="6" t="n">
        <v>225</v>
      </c>
      <c r="M2101" s="6" t="n">
        <v>225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2"</t>
        </is>
      </c>
    </row>
    <row r="2102">
      <c r="A2102" s="3" t="inlineStr">
        <is>
          <t>MAT-32-746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475</v>
      </c>
      <c r="L2102" s="6" t="n">
        <v>475</v>
      </c>
      <c r="M2102" s="6" t="n">
        <v>475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fregadero</t>
        </is>
      </c>
      <c r="AF2102" s="4" t="inlineStr">
        <is>
          <t>material: PVC · medida: 1 1/2"</t>
        </is>
      </c>
    </row>
    <row r="2103">
      <c r="A2103" s="3" t="inlineStr">
        <is>
          <t>MAT-32-747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585</v>
      </c>
      <c r="L2103" s="6" t="n">
        <v>585</v>
      </c>
      <c r="M2103" s="6" t="n">
        <v>585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1/4"</t>
        </is>
      </c>
    </row>
    <row r="2104">
      <c r="A2104" s="3" t="inlineStr">
        <is>
          <t>MAT-32-748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1252</v>
      </c>
      <c r="L2104" s="6" t="n">
        <v>1252</v>
      </c>
      <c r="M2104" s="6" t="n">
        <v>1252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metal · medida: 1 1/2"</t>
        </is>
      </c>
    </row>
    <row r="2105">
      <c r="A2105" s="3" t="inlineStr">
        <is>
          <t>MAT-32-749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1274</v>
      </c>
      <c r="L2105" s="6" t="n">
        <v>1274</v>
      </c>
      <c r="M2105" s="6" t="n">
        <v>1274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1/4"</t>
        </is>
      </c>
    </row>
    <row r="2106">
      <c r="A2106" s="3" t="inlineStr">
        <is>
          <t>MAT-32-750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925</v>
      </c>
      <c r="L2106" s="6" t="n">
        <v>925</v>
      </c>
      <c r="M2106" s="6" t="n">
        <v>925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Ferremix (Grupo Alterra)</t>
        </is>
      </c>
      <c r="AE2106" s="7" t="inlineStr">
        <is>
          <t>lavamanos</t>
        </is>
      </c>
      <c r="AF2106" s="4" t="inlineStr">
        <is>
          <t>material: metal · medida: 1/4"</t>
        </is>
      </c>
    </row>
    <row r="2107">
      <c r="A2107" s="3" t="inlineStr">
        <is>
          <t>MAT-32-751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150</v>
      </c>
      <c r="L2107" s="6" t="n">
        <v>70.38</v>
      </c>
      <c r="M2107" s="6" t="n">
        <v>912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Bellón</t>
        </is>
      </c>
      <c r="AE2107" s="7" t="inlineStr">
        <is>
          <t>lavamanos</t>
        </is>
      </c>
      <c r="AF2107" s="4" t="inlineStr">
        <is>
          <t>material: PVC · medida: 1 1/2"</t>
        </is>
      </c>
    </row>
    <row r="2108">
      <c r="A2108" s="3" t="inlineStr">
        <is>
          <t>MAT-32-752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1/4"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312.5</v>
      </c>
      <c r="L2108" s="6" t="n">
        <v>93.86</v>
      </c>
      <c r="M2108" s="6" t="n">
        <v>345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 · Ferremix (Grupo Alterra)</t>
        </is>
      </c>
      <c r="AE2108" s="7" t="inlineStr">
        <is>
          <t>lavamanos</t>
        </is>
      </c>
      <c r="AF2108" s="4" t="inlineStr">
        <is>
          <t>material: PVC · medida: 1 1/4"</t>
        </is>
      </c>
    </row>
    <row r="2109">
      <c r="A2109" s="3" t="inlineStr">
        <is>
          <t>MAT-32-753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2"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96.84999999999999</v>
      </c>
      <c r="L2109" s="6" t="n">
        <v>81.5</v>
      </c>
      <c r="M2109" s="6" t="n">
        <v>112.21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</t>
        </is>
      </c>
      <c r="AE2109" s="7" t="inlineStr">
        <is>
          <t>lavamanos</t>
        </is>
      </c>
      <c r="AF2109" s="4" t="inlineStr">
        <is>
          <t>material: PVC · medida: 2"</t>
        </is>
      </c>
    </row>
    <row r="2110">
      <c r="A2110" s="3" t="inlineStr">
        <is>
          <t>MAT-32-754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fregadero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470</v>
      </c>
      <c r="L2110" s="6" t="n">
        <v>470</v>
      </c>
      <c r="M2110" s="6" t="n">
        <v>470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fregadero</t>
        </is>
      </c>
      <c r="AF2110" s="4" t="inlineStr">
        <is>
          <t>material: metal</t>
        </is>
      </c>
    </row>
    <row r="2111">
      <c r="A2111" s="3" t="inlineStr">
        <is>
          <t>MAT-32-755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563.55</v>
      </c>
      <c r="L2111" s="6" t="n">
        <v>285</v>
      </c>
      <c r="M2111" s="6" t="n">
        <v>842.11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Ferretería Cima</t>
        </is>
      </c>
      <c r="AE2111" s="7" t="inlineStr">
        <is>
          <t>fregadero</t>
        </is>
      </c>
      <c r="AF2111" s="4" t="inlineStr">
        <is>
          <t>material: plástico</t>
        </is>
      </c>
    </row>
    <row r="2112">
      <c r="A2112" s="3" t="inlineStr">
        <is>
          <t>MAT-32-756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429</v>
      </c>
      <c r="L2112" s="6" t="n">
        <v>429</v>
      </c>
      <c r="M2112" s="6" t="n">
        <v>429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lavadero</t>
        </is>
      </c>
      <c r="AF2112" s="4" t="inlineStr">
        <is>
          <t>material: metal</t>
        </is>
      </c>
    </row>
    <row r="2113">
      <c r="A2113" s="3" t="inlineStr">
        <is>
          <t>MAT-32-757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lavamanos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2</v>
      </c>
      <c r="K2113" s="6" t="n">
        <v>1145</v>
      </c>
      <c r="L2113" s="6" t="n">
        <v>255</v>
      </c>
      <c r="M2113" s="6" t="n">
        <v>5990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Ferretería Cima · La Ibérica</t>
        </is>
      </c>
      <c r="AE2113" s="7" t="inlineStr">
        <is>
          <t>lavamanos</t>
        </is>
      </c>
      <c r="AF2113" s="4" t="inlineStr">
        <is>
          <t>material: metal</t>
        </is>
      </c>
    </row>
    <row r="2114">
      <c r="A2114" s="3" t="inlineStr">
        <is>
          <t>MAT-32-758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plástico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955.51</v>
      </c>
      <c r="L2114" s="6" t="n">
        <v>265.5</v>
      </c>
      <c r="M2114" s="6" t="n">
        <v>5590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CerArte · La Ibérica</t>
        </is>
      </c>
      <c r="AE2114" s="7" t="inlineStr">
        <is>
          <t>lavamanos</t>
        </is>
      </c>
      <c r="AF2114" s="4" t="inlineStr">
        <is>
          <t>material: plástico</t>
        </is>
      </c>
    </row>
    <row r="2115">
      <c r="A2115" s="3" t="inlineStr">
        <is>
          <t>MAT-32-759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24"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970</v>
      </c>
      <c r="L2115" s="6" t="n">
        <v>970</v>
      </c>
      <c r="M2115" s="6" t="n">
        <v>970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bomba</t>
        </is>
      </c>
      <c r="AF2115" s="4" t="inlineStr">
        <is>
          <t>medida: 24"</t>
        </is>
      </c>
    </row>
    <row r="2116">
      <c r="A2116" s="3" t="inlineStr">
        <is>
          <t>MAT-32-760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36"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475</v>
      </c>
      <c r="L2116" s="6" t="n">
        <v>475</v>
      </c>
      <c r="M2116" s="6" t="n">
        <v>475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36"</t>
        </is>
      </c>
    </row>
    <row r="2117">
      <c r="A2117" s="3" t="inlineStr">
        <is>
          <t>MAT-32-761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24"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895</v>
      </c>
      <c r="L2117" s="6" t="n">
        <v>895</v>
      </c>
      <c r="M2117" s="6" t="n">
        <v>895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24"</t>
        </is>
      </c>
    </row>
    <row r="2118">
      <c r="A2118" s="3" t="inlineStr">
        <is>
          <t>MAT-32-762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1 pulgadas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620</v>
      </c>
      <c r="L2118" s="6" t="n">
        <v>620</v>
      </c>
      <c r="M2118" s="6" t="n">
        <v>620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3/4" x 1 pulgadas</t>
        </is>
      </c>
    </row>
    <row r="2119">
      <c r="A2119" s="3" t="inlineStr">
        <is>
          <t>MAT-32-763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2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878</v>
      </c>
      <c r="L2119" s="6" t="n">
        <v>685</v>
      </c>
      <c r="M2119" s="6" t="n">
        <v>1071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2 pulgadas</t>
        </is>
      </c>
    </row>
    <row r="2120">
      <c r="A2120" s="3" t="inlineStr">
        <is>
          <t>MAT-32-764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60"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1094</v>
      </c>
      <c r="L2120" s="6" t="n">
        <v>1094</v>
      </c>
      <c r="M2120" s="6" t="n">
        <v>1094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60"</t>
        </is>
      </c>
    </row>
    <row r="2121">
      <c r="A2121" s="3" t="inlineStr">
        <is>
          <t>MAT-32-765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50</v>
      </c>
      <c r="L2121" s="6" t="n">
        <v>50</v>
      </c>
      <c r="M2121" s="6" t="n">
        <v>50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gas</t>
        </is>
      </c>
      <c r="AF2121" s="4" t="inlineStr">
        <is>
          <t>medida: 12"</t>
        </is>
      </c>
    </row>
    <row r="2122">
      <c r="A2122" s="3" t="inlineStr">
        <is>
          <t>MAT-32-766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18"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65</v>
      </c>
      <c r="L2122" s="6" t="n">
        <v>65</v>
      </c>
      <c r="M2122" s="6" t="n">
        <v>65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18"</t>
        </is>
      </c>
    </row>
    <row r="2123">
      <c r="A2123" s="3" t="inlineStr">
        <is>
          <t>MAT-32-767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inodoro 16"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250</v>
      </c>
      <c r="L2123" s="6" t="n">
        <v>250</v>
      </c>
      <c r="M2123" s="6" t="n">
        <v>250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inodoro</t>
        </is>
      </c>
      <c r="AF2123" s="4" t="inlineStr">
        <is>
          <t>medida: 16"</t>
        </is>
      </c>
    </row>
    <row r="2124">
      <c r="A2124" s="3" t="inlineStr">
        <is>
          <t>MAT-32-768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1288</v>
      </c>
      <c r="L2124" s="6" t="n">
        <v>535</v>
      </c>
      <c r="M2124" s="6" t="n">
        <v>1940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</t>
        </is>
      </c>
    </row>
    <row r="2125">
      <c r="A2125" s="3" t="inlineStr">
        <is>
          <t>MAT-32-769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100 pies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1475</v>
      </c>
      <c r="L2125" s="6" t="n">
        <v>1475</v>
      </c>
      <c r="M2125" s="6" t="n">
        <v>1475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 x 100 pies</t>
        </is>
      </c>
    </row>
    <row r="2126">
      <c r="A2126" s="3" t="inlineStr">
        <is>
          <t>MAT-32-770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25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544</v>
      </c>
      <c r="L2126" s="6" t="n">
        <v>544</v>
      </c>
      <c r="M2126" s="6" t="n">
        <v>544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25 pies</t>
        </is>
      </c>
    </row>
    <row r="2127">
      <c r="A2127" s="3" t="inlineStr">
        <is>
          <t>MAT-32-771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50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1042</v>
      </c>
      <c r="L2127" s="6" t="n">
        <v>1042</v>
      </c>
      <c r="M2127" s="6" t="n">
        <v>1042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50 pies</t>
        </is>
      </c>
    </row>
    <row r="2128">
      <c r="A2128" s="3" t="inlineStr">
        <is>
          <t>MAT-32-772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2397</v>
      </c>
      <c r="L2128" s="6" t="n">
        <v>2054</v>
      </c>
      <c r="M2128" s="6" t="n">
        <v>2741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5/8"</t>
        </is>
      </c>
    </row>
    <row r="2129">
      <c r="A2129" s="3" t="inlineStr">
        <is>
          <t>MAT-32-773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 x 75 pies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1365</v>
      </c>
      <c r="L2129" s="6" t="n">
        <v>1365</v>
      </c>
      <c r="M2129" s="6" t="n">
        <v>1365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 x 75 pies</t>
        </is>
      </c>
    </row>
    <row r="2130">
      <c r="A2130" s="3" t="inlineStr">
        <is>
          <t>MAT-32-774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48"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556</v>
      </c>
      <c r="L2130" s="6" t="n">
        <v>556</v>
      </c>
      <c r="M2130" s="6" t="n">
        <v>556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lavadora</t>
        </is>
      </c>
      <c r="AF2130" s="4" t="inlineStr">
        <is>
          <t>medida: 48"</t>
        </is>
      </c>
    </row>
    <row r="2131">
      <c r="A2131" s="3" t="inlineStr">
        <is>
          <t>MAT-32-775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60"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410</v>
      </c>
      <c r="L2131" s="6" t="n">
        <v>410</v>
      </c>
      <c r="M2131" s="6" t="n">
        <v>410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60"</t>
        </is>
      </c>
    </row>
    <row r="2132">
      <c r="A2132" s="3" t="inlineStr">
        <is>
          <t>MAT-32-776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72"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375</v>
      </c>
      <c r="L2132" s="6" t="n">
        <v>375</v>
      </c>
      <c r="M2132" s="6" t="n">
        <v>375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72"</t>
        </is>
      </c>
    </row>
    <row r="2133">
      <c r="A2133" s="3" t="inlineStr">
        <is>
          <t>MAT-32-777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1/2"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384</v>
      </c>
      <c r="L2133" s="6" t="n">
        <v>295</v>
      </c>
      <c r="M2133" s="6" t="n">
        <v>451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1/2"</t>
        </is>
      </c>
    </row>
    <row r="2134">
      <c r="A2134" s="3" t="inlineStr">
        <is>
          <t>MAT-32-778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16"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265</v>
      </c>
      <c r="L2134" s="6" t="n">
        <v>265</v>
      </c>
      <c r="M2134" s="6" t="n">
        <v>265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16"</t>
        </is>
      </c>
    </row>
    <row r="2135">
      <c r="A2135" s="3" t="inlineStr">
        <is>
          <t>MAT-32-779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20"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325</v>
      </c>
      <c r="L2135" s="6" t="n">
        <v>325</v>
      </c>
      <c r="M2135" s="6" t="n">
        <v>325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20"</t>
        </is>
      </c>
    </row>
    <row r="2136">
      <c r="A2136" s="3" t="inlineStr">
        <is>
          <t>MAT-32-780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22"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425</v>
      </c>
      <c r="L2136" s="6" t="n">
        <v>365</v>
      </c>
      <c r="M2136" s="6" t="n">
        <v>499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22"</t>
        </is>
      </c>
    </row>
    <row r="2137">
      <c r="A2137" s="3" t="inlineStr">
        <is>
          <t>MAT-32-781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24"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279</v>
      </c>
      <c r="L2137" s="6" t="n">
        <v>265</v>
      </c>
      <c r="M2137" s="6" t="n">
        <v>293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24"</t>
        </is>
      </c>
    </row>
    <row r="2138">
      <c r="A2138" s="3" t="inlineStr">
        <is>
          <t>MAT-32-782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505</v>
      </c>
      <c r="L2138" s="6" t="n">
        <v>505</v>
      </c>
      <c r="M2138" s="6" t="n">
        <v>505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3/8"</t>
        </is>
      </c>
    </row>
    <row r="2139">
      <c r="A2139" s="3" t="inlineStr">
        <is>
          <t>MAT-32-783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 x 32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198</v>
      </c>
      <c r="L2139" s="6" t="n">
        <v>198</v>
      </c>
      <c r="M2139" s="6" t="n">
        <v>198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 x 32 pulgadas</t>
        </is>
      </c>
    </row>
    <row r="2140">
      <c r="A2140" s="3" t="inlineStr">
        <is>
          <t>MAT-32-784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30"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330</v>
      </c>
      <c r="L2140" s="6" t="n">
        <v>330</v>
      </c>
      <c r="M2140" s="6" t="n">
        <v>330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30"</t>
        </is>
      </c>
    </row>
    <row r="2141">
      <c r="A2141" s="3" t="inlineStr">
        <is>
          <t>MAT-32-785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36"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319</v>
      </c>
      <c r="L2141" s="6" t="n">
        <v>319</v>
      </c>
      <c r="M2141" s="6" t="n">
        <v>319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36"</t>
        </is>
      </c>
    </row>
    <row r="2142">
      <c r="A2142" s="3" t="inlineStr">
        <is>
          <t>MAT-32-786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3/8" x 20 pulgadas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195</v>
      </c>
      <c r="L2142" s="6" t="n">
        <v>195</v>
      </c>
      <c r="M2142" s="6" t="n">
        <v>195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mezcladora</t>
        </is>
      </c>
      <c r="AF2142" s="4" t="inlineStr">
        <is>
          <t>medida: 3/8" x 20 pulgadas</t>
        </is>
      </c>
    </row>
    <row r="2143">
      <c r="A2143" s="3" t="inlineStr">
        <is>
          <t>MAT-32-787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32"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297</v>
      </c>
      <c r="L2143" s="6" t="n">
        <v>297</v>
      </c>
      <c r="M2143" s="6" t="n">
        <v>297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32"</t>
        </is>
      </c>
    </row>
    <row r="2144">
      <c r="A2144" s="3" t="inlineStr">
        <is>
          <t>MAT-32-788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0.31"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25</v>
      </c>
      <c r="L2144" s="6" t="n">
        <v>25</v>
      </c>
      <c r="M2144" s="6" t="n">
        <v>25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0.31"</t>
        </is>
      </c>
    </row>
    <row r="2145">
      <c r="A2145" s="3" t="inlineStr">
        <is>
          <t>MAT-32-789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1/2"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43.5</v>
      </c>
      <c r="L2145" s="6" t="n">
        <v>40</v>
      </c>
      <c r="M2145" s="6" t="n">
        <v>47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1/2"</t>
        </is>
      </c>
    </row>
    <row r="2146">
      <c r="A2146" s="3" t="inlineStr">
        <is>
          <t>MAT-32-790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1/4"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35</v>
      </c>
      <c r="L2146" s="6" t="n">
        <v>35</v>
      </c>
      <c r="M2146" s="6" t="n">
        <v>35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1/4"</t>
        </is>
      </c>
    </row>
    <row r="2147">
      <c r="A2147" s="3" t="inlineStr">
        <is>
          <t>MAT-32-791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100</v>
      </c>
      <c r="L2147" s="6" t="n">
        <v>100</v>
      </c>
      <c r="M2147" s="6" t="n">
        <v>100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1"</t>
        </is>
      </c>
    </row>
    <row r="2148">
      <c r="A2148" s="3" t="inlineStr">
        <is>
          <t>MAT-32-792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3/4"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36</v>
      </c>
      <c r="L2148" s="6" t="n">
        <v>36</v>
      </c>
      <c r="M2148" s="6" t="n">
        <v>36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3/4"</t>
        </is>
      </c>
    </row>
    <row r="2149">
      <c r="A2149" s="3" t="inlineStr">
        <is>
          <t>MAT-32-793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3/8"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32</v>
      </c>
      <c r="L2149" s="6" t="n">
        <v>32</v>
      </c>
      <c r="M2149" s="6" t="n">
        <v>32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3/8"</t>
        </is>
      </c>
    </row>
    <row r="2150">
      <c r="A2150" s="3" t="inlineStr">
        <is>
          <t>MAT-32-794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1"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75</v>
      </c>
      <c r="L2150" s="6" t="n">
        <v>75</v>
      </c>
      <c r="M2150" s="6" t="n">
        <v>75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1"</t>
        </is>
      </c>
    </row>
    <row r="2151">
      <c r="A2151" s="3" t="inlineStr">
        <is>
          <t>MAT-32-795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3/4"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117.5</v>
      </c>
      <c r="L2151" s="6" t="n">
        <v>60</v>
      </c>
      <c r="M2151" s="6" t="n">
        <v>175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3/4"</t>
        </is>
      </c>
    </row>
    <row r="2152">
      <c r="A2152" s="3" t="inlineStr">
        <is>
          <t>MAT-32-796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0.19" x 15 pies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304</v>
      </c>
      <c r="L2152" s="6" t="n">
        <v>304</v>
      </c>
      <c r="M2152" s="6" t="n">
        <v>304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0.19" x 15 pies</t>
        </is>
      </c>
    </row>
    <row r="2153">
      <c r="A2153" s="3" t="inlineStr">
        <is>
          <t>MAT-32-797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1/2" x 50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2525</v>
      </c>
      <c r="L2153" s="6" t="n">
        <v>2525</v>
      </c>
      <c r="M2153" s="6" t="n">
        <v>2525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1/2" x 50 pies</t>
        </is>
      </c>
    </row>
    <row r="2154">
      <c r="A2154" s="3" t="inlineStr">
        <is>
          <t>MAT-32-798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1/8" x 25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412</v>
      </c>
      <c r="L2154" s="6" t="n">
        <v>412</v>
      </c>
      <c r="M2154" s="6" t="n">
        <v>412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1/8" x 25 pies</t>
        </is>
      </c>
    </row>
    <row r="2155">
      <c r="A2155" s="3" t="inlineStr">
        <is>
          <t>MAT-32-799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16 oz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979</v>
      </c>
      <c r="L2155" s="6" t="n">
        <v>979</v>
      </c>
      <c r="M2155" s="6" t="n">
        <v>979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16 oz</t>
        </is>
      </c>
    </row>
    <row r="2156">
      <c r="A2156" s="3" t="inlineStr">
        <is>
          <t>MAT-32-800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32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1765</v>
      </c>
      <c r="L2156" s="6" t="n">
        <v>1765</v>
      </c>
      <c r="M2156" s="6" t="n">
        <v>1765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32 oz</t>
        </is>
      </c>
    </row>
    <row r="2157">
      <c r="A2157" s="3" t="inlineStr">
        <is>
          <t>MAT-32-801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4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391.5</v>
      </c>
      <c r="L2157" s="6" t="n">
        <v>335</v>
      </c>
      <c r="M2157" s="6" t="n">
        <v>522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4 oz</t>
        </is>
      </c>
    </row>
    <row r="2158">
      <c r="A2158" s="3" t="inlineStr">
        <is>
          <t>MAT-32-802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50 ml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205</v>
      </c>
      <c r="L2158" s="6" t="n">
        <v>205</v>
      </c>
      <c r="M2158" s="6" t="n">
        <v>205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50 ml</t>
        </is>
      </c>
    </row>
    <row r="2159">
      <c r="A2159" s="3" t="inlineStr">
        <is>
          <t>MAT-32-803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8 oz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520</v>
      </c>
      <c r="L2159" s="6" t="n">
        <v>473</v>
      </c>
      <c r="M2159" s="6" t="n">
        <v>567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8 oz</t>
        </is>
      </c>
    </row>
    <row r="2160">
      <c r="A2160" s="3" t="inlineStr">
        <is>
          <t>MAT-33-001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mesa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4000</v>
      </c>
      <c r="L2160" s="6" t="n">
        <v>1200</v>
      </c>
      <c r="M2160" s="6" t="n">
        <v>29561.63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mesa</t>
        </is>
      </c>
    </row>
    <row r="2161">
      <c r="A2161" s="3" t="inlineStr">
        <is>
          <t>MAT-33-002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pared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2850</v>
      </c>
      <c r="L2161" s="6" t="n">
        <v>500</v>
      </c>
      <c r="M2161" s="6" t="n">
        <v>28045.43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pared</t>
        </is>
      </c>
    </row>
    <row r="2162">
      <c r="A2162" s="3" t="inlineStr">
        <is>
          <t>MAT-33-003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pie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2</v>
      </c>
      <c r="K2162" s="6" t="n">
        <v>8250</v>
      </c>
      <c r="L2162" s="6" t="n">
        <v>4000</v>
      </c>
      <c r="M2162" s="6" t="n">
        <v>36560.58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2026-09-10</t>
        </is>
      </c>
      <c r="Q2162" s="4" t="inlineStr">
        <is>
          <t>Luminatti · Mundo LED</t>
        </is>
      </c>
      <c r="S2162" s="7" t="inlineStr">
        <is>
          <t>pie</t>
        </is>
      </c>
    </row>
    <row r="2163">
      <c r="A2163" s="3" t="inlineStr">
        <is>
          <t>MAT-33-004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techo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6025</v>
      </c>
      <c r="L2163" s="6" t="n">
        <v>1200</v>
      </c>
      <c r="M2163" s="6" t="n">
        <v>186717.45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techo</t>
        </is>
      </c>
    </row>
    <row r="2164">
      <c r="A2164" s="3" t="inlineStr">
        <is>
          <t>MAT-34-001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 acústico, 21 mm</t>
        </is>
      </c>
      <c r="E2164" s="4" t="inlineStr"/>
      <c r="F2164" s="3" t="inlineStr">
        <is>
          <t>m²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1609.2</v>
      </c>
      <c r="L2164" s="6" t="n">
        <v>1609.2</v>
      </c>
      <c r="M2164" s="6" t="n">
        <v>1609.2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2026-09-10</t>
        </is>
      </c>
      <c r="Q2164" s="4" t="inlineStr">
        <is>
          <t>Hogardeco</t>
        </is>
      </c>
      <c r="AF2164" s="4" t="inlineStr">
        <is>
          <t>material: PVC acústico · espesor_mm: 21</t>
        </is>
      </c>
    </row>
    <row r="2165">
      <c r="A2165" s="3" t="inlineStr">
        <is>
          <t>MAT-34-002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10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1354.68</v>
      </c>
      <c r="L2165" s="6" t="n">
        <v>1354.68</v>
      </c>
      <c r="M2165" s="6" t="n">
        <v>1354.68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· espesor_mm: 10</t>
        </is>
      </c>
    </row>
    <row r="2166">
      <c r="A2166" s="3" t="inlineStr">
        <is>
          <t>MAT-34-003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12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998.1900000000001</v>
      </c>
      <c r="L2166" s="6" t="n">
        <v>998.1900000000001</v>
      </c>
      <c r="M2166" s="6" t="n">
        <v>998.1900000000001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12</t>
        </is>
      </c>
    </row>
    <row r="2167">
      <c r="A2167" s="3" t="inlineStr">
        <is>
          <t>MAT-34-004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13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1252.27</v>
      </c>
      <c r="L2167" s="6" t="n">
        <v>1252.27</v>
      </c>
      <c r="M2167" s="6" t="n">
        <v>1252.27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13</t>
        </is>
      </c>
    </row>
    <row r="2168">
      <c r="A2168" s="3" t="inlineStr">
        <is>
          <t>MAT-34-005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14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1133</v>
      </c>
      <c r="L2168" s="6" t="n">
        <v>1133</v>
      </c>
      <c r="M2168" s="6" t="n">
        <v>1586.21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14</t>
        </is>
      </c>
    </row>
    <row r="2169">
      <c r="A2169" s="3" t="inlineStr">
        <is>
          <t>MAT-34-006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15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1586.21</v>
      </c>
      <c r="L2169" s="6" t="n">
        <v>1252.27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15</t>
        </is>
      </c>
    </row>
    <row r="2170">
      <c r="A2170" s="3" t="inlineStr">
        <is>
          <t>MAT-34-007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20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1487.07</v>
      </c>
      <c r="L2170" s="6" t="n">
        <v>1487.07</v>
      </c>
      <c r="M2170" s="6" t="n">
        <v>1487.07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20</t>
        </is>
      </c>
    </row>
    <row r="2171">
      <c r="A2171" s="3" t="inlineStr">
        <is>
          <t>MAT-34-008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24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24</t>
        </is>
      </c>
    </row>
    <row r="2172">
      <c r="A2172" s="3" t="inlineStr">
        <is>
          <t>MAT-34-009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13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3266.79</v>
      </c>
      <c r="L2172" s="6" t="n">
        <v>3266.79</v>
      </c>
      <c r="M2172" s="6" t="n">
        <v>3266.79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WPC · espesor_mm: 13</t>
        </is>
      </c>
    </row>
    <row r="2173">
      <c r="A2173" s="3" t="inlineStr">
        <is>
          <t>MAT-34-010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26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2955.67</v>
      </c>
      <c r="L2173" s="6" t="n">
        <v>2955.67</v>
      </c>
      <c r="M2173" s="6" t="n">
        <v>2955.67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26</t>
        </is>
      </c>
    </row>
    <row r="2174">
      <c r="A2174" s="3" t="inlineStr">
        <is>
          <t>MAT-34-011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bambú, 8 mm</t>
        </is>
      </c>
      <c r="E2174" s="4" t="inlineStr">
        <is>
          <t>Formato de 1.22 m de ancho</t>
        </is>
      </c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791.41</v>
      </c>
      <c r="L2174" s="6" t="n">
        <v>791.41</v>
      </c>
      <c r="M2174" s="6" t="n">
        <v>791.41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bambú · espesor_mm: 8</t>
        </is>
      </c>
    </row>
    <row r="2175">
      <c r="A2175" s="3" t="inlineStr">
        <is>
          <t>MAT-34-012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mármol, 3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650.08</v>
      </c>
      <c r="L2175" s="6" t="n">
        <v>650.08</v>
      </c>
      <c r="M2175" s="6" t="n">
        <v>772.64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mármol · espesor_mm: 3</t>
        </is>
      </c>
    </row>
    <row r="2176">
      <c r="A2176" s="3" t="inlineStr">
        <is>
          <t>MAT-34-013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ónix, 6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3512.88</v>
      </c>
      <c r="L2176" s="6" t="n">
        <v>1463.7</v>
      </c>
      <c r="M2176" s="6" t="n">
        <v>4391.1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ónix · espesor_mm: 6</t>
        </is>
      </c>
    </row>
    <row r="2177">
      <c r="A2177" s="3" t="inlineStr">
        <is>
          <t>MAT-34-014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poliuretano, 8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791.41</v>
      </c>
      <c r="L2177" s="6" t="n">
        <v>791.41</v>
      </c>
      <c r="M2177" s="6" t="n">
        <v>791.41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poliuretano · espesor_mm: 8</t>
        </is>
      </c>
    </row>
    <row r="2178">
      <c r="A2178" s="3" t="inlineStr">
        <is>
          <t>MAT-34-015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PVC, 9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1379.31</v>
      </c>
      <c r="L2178" s="6" t="n">
        <v>1379.31</v>
      </c>
      <c r="M2178" s="6" t="n">
        <v>1379.31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PVC · espesor_mm: 9</t>
        </is>
      </c>
    </row>
    <row r="2179">
      <c r="A2179" s="3" t="inlineStr">
        <is>
          <t>MAT-34-016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Papel tapiz</t>
        </is>
      </c>
      <c r="E2179" s="4" t="inlineStr">
        <is>
          <t>Se presupuesta por rango: el rollo se elige por diseño y el catálogo no lo compara modelo a modelo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3</v>
      </c>
      <c r="K2179" s="6" t="n">
        <v>1051.59</v>
      </c>
      <c r="L2179" s="6" t="n">
        <v>310</v>
      </c>
      <c r="M2179" s="6" t="n">
        <v>3055.16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2026-09-11</t>
        </is>
      </c>
      <c r="Q2179" s="4" t="inlineStr">
        <is>
          <t>Cortinaje · DCO · Hogardeco</t>
        </is>
      </c>
    </row>
    <row r="2180">
      <c r="A2180" s="3" t="inlineStr">
        <is>
          <t>MAT-34-017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Revestimiento flexible de piedra, de interior</t>
        </is>
      </c>
      <c r="E2180" s="4" t="inlineStr">
        <is>
          <t>Lámina flexible que sigue la curva del muro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2013.89</v>
      </c>
      <c r="L2180" s="6" t="n">
        <v>937.5</v>
      </c>
      <c r="M2180" s="6" t="n">
        <v>2708.33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E2180" s="7" t="inlineStr">
        <is>
          <t>interior</t>
        </is>
      </c>
    </row>
    <row r="2181">
      <c r="A2181" s="3" t="inlineStr">
        <is>
          <t>MAT-34-018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madera</t>
        </is>
      </c>
      <c r="E2181" s="4" t="inlineStr"/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9444.440000000001</v>
      </c>
      <c r="L2181" s="6" t="n">
        <v>4714.29</v>
      </c>
      <c r="M2181" s="6" t="n">
        <v>11666.67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F2181" s="4" t="inlineStr">
        <is>
          <t>material: madera</t>
        </is>
      </c>
    </row>
    <row r="2182">
      <c r="A2182" s="3" t="inlineStr">
        <is>
          <t>MAT-34-019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mármol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10337.55</v>
      </c>
      <c r="L2182" s="6" t="n">
        <v>4166.67</v>
      </c>
      <c r="M2182" s="6" t="n">
        <v>14518.76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mármol</t>
        </is>
      </c>
    </row>
    <row r="2183">
      <c r="A2183" s="3" t="inlineStr">
        <is>
          <t>MAT-34-020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piedra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8489.209999999999</v>
      </c>
      <c r="L2183" s="6" t="n">
        <v>6111.11</v>
      </c>
      <c r="M2183" s="6" t="n">
        <v>13888.89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piedra</t>
        </is>
      </c>
    </row>
    <row r="2184">
      <c r="A2184" s="3" t="inlineStr">
        <is>
          <t>MAT-34-021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Pieza 3D de pared de cuero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4669.54</v>
      </c>
      <c r="L2184" s="6" t="n">
        <v>3277.78</v>
      </c>
      <c r="M2184" s="6" t="n">
        <v>6357.76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cuero</t>
        </is>
      </c>
    </row>
    <row r="2185">
      <c r="A2185" s="3" t="inlineStr">
        <is>
          <t>MAT-34-022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Malla decorativa de ratán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1247.69</v>
      </c>
      <c r="L2185" s="6" t="n">
        <v>1247.69</v>
      </c>
      <c r="M2185" s="6" t="n">
        <v>1247.69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ratán</t>
        </is>
      </c>
    </row>
    <row r="2186">
      <c r="A2186" s="3" t="inlineStr">
        <is>
          <t>MAT-34-023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Tirador para mueble</t>
        </is>
      </c>
      <c r="E2186" s="4" t="inlineStr">
        <is>
          <t>Se presupuesta por rango: la pieza se elige por diseño</t>
        </is>
      </c>
      <c r="F2186" s="3" t="inlineStr">
        <is>
          <t>unidad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350</v>
      </c>
      <c r="L2186" s="6" t="n">
        <v>350</v>
      </c>
      <c r="M2186" s="6" t="n">
        <v>900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</row>
  </sheetData>
  <autoFilter ref="A2:AF2186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3" customWidth="1" min="20" max="20"/>
    <col width="13" customWidth="1" min="21" max="21"/>
    <col width="13" customWidth="1" min="22" max="22"/>
    <col width="11" customWidth="1" min="23" max="23"/>
    <col width="24" customWidth="1" min="24" max="24"/>
    <col width="15" customWidth="1" min="25" max="25"/>
    <col width="11" customWidth="1" min="26" max="2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Hogardeco</t>
        </is>
      </c>
      <c r="P2" s="2" t="inlineStr">
        <is>
          <t>Luminatti</t>
        </is>
      </c>
      <c r="Q2" s="2" t="inlineStr">
        <is>
          <t>DCO</t>
        </is>
      </c>
      <c r="R2" s="2" t="inlineStr">
        <is>
          <t>Imper System (Impersystem Tecnologies)</t>
        </is>
      </c>
      <c r="S2" s="2" t="inlineStr">
        <is>
          <t>Cortinaje</t>
        </is>
      </c>
      <c r="T2" s="2" t="inlineStr">
        <is>
          <t>Mínimo (RD$)</t>
        </is>
      </c>
      <c r="U2" s="2" t="inlineStr">
        <is>
          <t>Mediana (RD$)</t>
        </is>
      </c>
      <c r="V2" s="2" t="inlineStr">
        <is>
          <t>Máximo (RD$)</t>
        </is>
      </c>
      <c r="W2" s="2" t="inlineStr">
        <is>
          <t>Dispersión</t>
        </is>
      </c>
      <c r="X2" s="2" t="inlineStr">
        <is>
          <t>Más barato</t>
        </is>
      </c>
      <c r="Y2" s="2" t="inlineStr">
        <is>
          <t>Referencia del sitio (RD$)</t>
        </is>
      </c>
      <c r="Z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>
        <v>26589.51</v>
      </c>
      <c r="S3" s="8" t="n"/>
      <c r="T3" s="8">
        <f>IF(COUNT(D3:S3)=0,"",MIN(D3:S3))</f>
        <v/>
      </c>
      <c r="U3" s="8">
        <f>IF(COUNT(D3:S3)=0,"",MEDIAN(D3:S3))</f>
        <v/>
      </c>
      <c r="V3" s="8">
        <f>IF(COUNT(D3:S3)=0,"",MAX(D3:S3))</f>
        <v/>
      </c>
      <c r="W3" s="9">
        <f>IF(OR(T3="",T3=0),"",(V3-T3)/T3)</f>
        <v/>
      </c>
      <c r="X3" s="7">
        <f>IF(COUNT(D3:S3)=0,"",INDEX($D$1:$S$1,MATCH(MIN(D3:S3),D3:S3,0)))</f>
        <v/>
      </c>
      <c r="Y3" s="8" t="n">
        <v>31375.62</v>
      </c>
      <c r="Z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>
        <v>112266.82</v>
      </c>
      <c r="S4" s="8" t="n"/>
      <c r="T4" s="8">
        <f>IF(COUNT(D4:S4)=0,"",MIN(D4:S4))</f>
        <v/>
      </c>
      <c r="U4" s="8">
        <f>IF(COUNT(D4:S4)=0,"",MEDIAN(D4:S4))</f>
        <v/>
      </c>
      <c r="V4" s="8">
        <f>IF(COUNT(D4:S4)=0,"",MAX(D4:S4))</f>
        <v/>
      </c>
      <c r="W4" s="9">
        <f>IF(OR(T4="",T4=0),"",(V4-T4)/T4)</f>
        <v/>
      </c>
      <c r="X4" s="7">
        <f>IF(COUNT(D4:S4)=0,"",INDEX($D$1:$S$1,MATCH(MIN(D4:S4),D4:S4,0)))</f>
        <v/>
      </c>
      <c r="Y4" s="8" t="n">
        <v>132474.85</v>
      </c>
      <c r="Z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>
        <v>472702.4</v>
      </c>
      <c r="S5" s="8" t="n"/>
      <c r="T5" s="8">
        <f>IF(COUNT(D5:S5)=0,"",MIN(D5:S5))</f>
        <v/>
      </c>
      <c r="U5" s="8">
        <f>IF(COUNT(D5:S5)=0,"",MEDIAN(D5:S5))</f>
        <v/>
      </c>
      <c r="V5" s="8">
        <f>IF(COUNT(D5:S5)=0,"",MAX(D5:S5))</f>
        <v/>
      </c>
      <c r="W5" s="9">
        <f>IF(OR(T5="",T5=0),"",(V5-T5)/T5)</f>
        <v/>
      </c>
      <c r="X5" s="7">
        <f>IF(COUNT(D5:S5)=0,"",INDEX($D$1:$S$1,MATCH(MIN(D5:S5),D5:S5,0)))</f>
        <v/>
      </c>
      <c r="Y5" s="8" t="n">
        <v>557788.83</v>
      </c>
      <c r="Z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>
        <v>20680.73</v>
      </c>
      <c r="S6" s="8" t="n"/>
      <c r="T6" s="8">
        <f>IF(COUNT(D6:S6)=0,"",MIN(D6:S6))</f>
        <v/>
      </c>
      <c r="U6" s="8">
        <f>IF(COUNT(D6:S6)=0,"",MEDIAN(D6:S6))</f>
        <v/>
      </c>
      <c r="V6" s="8">
        <f>IF(COUNT(D6:S6)=0,"",MAX(D6:S6))</f>
        <v/>
      </c>
      <c r="W6" s="9">
        <f>IF(OR(T6="",T6=0),"",(V6-T6)/T6)</f>
        <v/>
      </c>
      <c r="X6" s="7">
        <f>IF(COUNT(D6:S6)=0,"",INDEX($D$1:$S$1,MATCH(MIN(D6:S6),D6:S6,0)))</f>
        <v/>
      </c>
      <c r="Y6" s="8" t="n">
        <v>24403.26</v>
      </c>
      <c r="Z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>
        <v>94540.48</v>
      </c>
      <c r="S7" s="8" t="n"/>
      <c r="T7" s="8">
        <f>IF(COUNT(D7:S7)=0,"",MIN(D7:S7))</f>
        <v/>
      </c>
      <c r="U7" s="8">
        <f>IF(COUNT(D7:S7)=0,"",MEDIAN(D7:S7))</f>
        <v/>
      </c>
      <c r="V7" s="8">
        <f>IF(COUNT(D7:S7)=0,"",MAX(D7:S7))</f>
        <v/>
      </c>
      <c r="W7" s="9">
        <f>IF(OR(T7="",T7=0),"",(V7-T7)/T7)</f>
        <v/>
      </c>
      <c r="X7" s="7">
        <f>IF(COUNT(D7:S7)=0,"",INDEX($D$1:$S$1,MATCH(MIN(D7:S7),D7:S7,0)))</f>
        <v/>
      </c>
      <c r="Y7" s="8" t="n">
        <v>111557.77</v>
      </c>
      <c r="Z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>
        <v>389979.48</v>
      </c>
      <c r="S8" s="8" t="n"/>
      <c r="T8" s="8">
        <f>IF(COUNT(D8:S8)=0,"",MIN(D8:S8))</f>
        <v/>
      </c>
      <c r="U8" s="8">
        <f>IF(COUNT(D8:S8)=0,"",MEDIAN(D8:S8))</f>
        <v/>
      </c>
      <c r="V8" s="8">
        <f>IF(COUNT(D8:S8)=0,"",MAX(D8:S8))</f>
        <v/>
      </c>
      <c r="W8" s="9">
        <f>IF(OR(T8="",T8=0),"",(V8-T8)/T8)</f>
        <v/>
      </c>
      <c r="X8" s="7">
        <f>IF(COUNT(D8:S8)=0,"",INDEX($D$1:$S$1,MATCH(MIN(D8:S8),D8:S8,0)))</f>
        <v/>
      </c>
      <c r="Y8" s="8" t="n">
        <v>460175.79</v>
      </c>
      <c r="Z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>
        <v>47270.24</v>
      </c>
      <c r="S9" s="8" t="n"/>
      <c r="T9" s="8">
        <f>IF(COUNT(D9:S9)=0,"",MIN(D9:S9))</f>
        <v/>
      </c>
      <c r="U9" s="8">
        <f>IF(COUNT(D9:S9)=0,"",MEDIAN(D9:S9))</f>
        <v/>
      </c>
      <c r="V9" s="8">
        <f>IF(COUNT(D9:S9)=0,"",MAX(D9:S9))</f>
        <v/>
      </c>
      <c r="W9" s="9">
        <f>IF(OR(T9="",T9=0),"",(V9-T9)/T9)</f>
        <v/>
      </c>
      <c r="X9" s="7">
        <f>IF(COUNT(D9:S9)=0,"",INDEX($D$1:$S$1,MATCH(MIN(D9:S9),D9:S9,0)))</f>
        <v/>
      </c>
      <c r="Y9" s="8" t="n">
        <v>55778.88</v>
      </c>
      <c r="Z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>
        <v>177263.4</v>
      </c>
      <c r="S10" s="8" t="n"/>
      <c r="T10" s="8">
        <f>IF(COUNT(D10:S10)=0,"",MIN(D10:S10))</f>
        <v/>
      </c>
      <c r="U10" s="8">
        <f>IF(COUNT(D10:S10)=0,"",MEDIAN(D10:S10))</f>
        <v/>
      </c>
      <c r="V10" s="8">
        <f>IF(COUNT(D10:S10)=0,"",MAX(D10:S10))</f>
        <v/>
      </c>
      <c r="W10" s="9">
        <f>IF(OR(T10="",T10=0),"",(V10-T10)/T10)</f>
        <v/>
      </c>
      <c r="X10" s="7">
        <f>IF(COUNT(D10:S10)=0,"",INDEX($D$1:$S$1,MATCH(MIN(D10:S10),D10:S10,0)))</f>
        <v/>
      </c>
      <c r="Y10" s="8" t="n">
        <v>209170.81</v>
      </c>
      <c r="Z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>
        <v>763709.8199999999</v>
      </c>
      <c r="S11" s="8" t="n"/>
      <c r="T11" s="8">
        <f>IF(COUNT(D11:S11)=0,"",MIN(D11:S11))</f>
        <v/>
      </c>
      <c r="U11" s="8">
        <f>IF(COUNT(D11:S11)=0,"",MEDIAN(D11:S11))</f>
        <v/>
      </c>
      <c r="V11" s="8">
        <f>IF(COUNT(D11:S11)=0,"",MAX(D11:S11))</f>
        <v/>
      </c>
      <c r="W11" s="9">
        <f>IF(OR(T11="",T11=0),"",(V11-T11)/T11)</f>
        <v/>
      </c>
      <c r="X11" s="7">
        <f>IF(COUNT(D11:S11)=0,"",INDEX($D$1:$S$1,MATCH(MIN(D11:S11),D11:S11,0)))</f>
        <v/>
      </c>
      <c r="Y11" s="8" t="n">
        <v>901177.59</v>
      </c>
      <c r="Z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>
        <v>15362.83</v>
      </c>
      <c r="S12" s="8" t="n"/>
      <c r="T12" s="8">
        <f>IF(COUNT(D12:S12)=0,"",MIN(D12:S12))</f>
        <v/>
      </c>
      <c r="U12" s="8">
        <f>IF(COUNT(D12:S12)=0,"",MEDIAN(D12:S12))</f>
        <v/>
      </c>
      <c r="V12" s="8">
        <f>IF(COUNT(D12:S12)=0,"",MAX(D12:S12))</f>
        <v/>
      </c>
      <c r="W12" s="9">
        <f>IF(OR(T12="",T12=0),"",(V12-T12)/T12)</f>
        <v/>
      </c>
      <c r="X12" s="7">
        <f>IF(COUNT(D12:S12)=0,"",INDEX($D$1:$S$1,MATCH(MIN(D12:S12),D12:S12,0)))</f>
        <v/>
      </c>
      <c r="Y12" s="8" t="n">
        <v>18128.14</v>
      </c>
      <c r="Z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>
        <v>64996.58</v>
      </c>
      <c r="S13" s="8" t="n"/>
      <c r="T13" s="8">
        <f>IF(COUNT(D13:S13)=0,"",MIN(D13:S13))</f>
        <v/>
      </c>
      <c r="U13" s="8">
        <f>IF(COUNT(D13:S13)=0,"",MEDIAN(D13:S13))</f>
        <v/>
      </c>
      <c r="V13" s="8">
        <f>IF(COUNT(D13:S13)=0,"",MAX(D13:S13))</f>
        <v/>
      </c>
      <c r="W13" s="9">
        <f>IF(OR(T13="",T13=0),"",(V13-T13)/T13)</f>
        <v/>
      </c>
      <c r="X13" s="7">
        <f>IF(COUNT(D13:S13)=0,"",INDEX($D$1:$S$1,MATCH(MIN(D13:S13),D13:S13,0)))</f>
        <v/>
      </c>
      <c r="Y13" s="8" t="n">
        <v>76695.96000000001</v>
      </c>
      <c r="Z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>
        <v>307256.56</v>
      </c>
      <c r="S14" s="8" t="n"/>
      <c r="T14" s="8">
        <f>IF(COUNT(D14:S14)=0,"",MIN(D14:S14))</f>
        <v/>
      </c>
      <c r="U14" s="8">
        <f>IF(COUNT(D14:S14)=0,"",MEDIAN(D14:S14))</f>
        <v/>
      </c>
      <c r="V14" s="8">
        <f>IF(COUNT(D14:S14)=0,"",MAX(D14:S14))</f>
        <v/>
      </c>
      <c r="W14" s="9">
        <f>IF(OR(T14="",T14=0),"",(V14-T14)/T14)</f>
        <v/>
      </c>
      <c r="X14" s="7">
        <f>IF(COUNT(D14:S14)=0,"",INDEX($D$1:$S$1,MATCH(MIN(D14:S14),D14:S14,0)))</f>
        <v/>
      </c>
      <c r="Y14" s="8" t="n">
        <v>362562.74</v>
      </c>
      <c r="Z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>
        <v>11226.68</v>
      </c>
      <c r="S15" s="8" t="n"/>
      <c r="T15" s="8">
        <f>IF(COUNT(D15:S15)=0,"",MIN(D15:S15))</f>
        <v/>
      </c>
      <c r="U15" s="8">
        <f>IF(COUNT(D15:S15)=0,"",MEDIAN(D15:S15))</f>
        <v/>
      </c>
      <c r="V15" s="8">
        <f>IF(COUNT(D15:S15)=0,"",MAX(D15:S15))</f>
        <v/>
      </c>
      <c r="W15" s="9">
        <f>IF(OR(T15="",T15=0),"",(V15-T15)/T15)</f>
        <v/>
      </c>
      <c r="X15" s="7">
        <f>IF(COUNT(D15:S15)=0,"",INDEX($D$1:$S$1,MATCH(MIN(D15:S15),D15:S15,0)))</f>
        <v/>
      </c>
      <c r="Y15" s="8" t="n">
        <v>13247.48</v>
      </c>
      <c r="Z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>
        <v>50224.63</v>
      </c>
      <c r="S16" s="8" t="n"/>
      <c r="T16" s="8">
        <f>IF(COUNT(D16:S16)=0,"",MIN(D16:S16))</f>
        <v/>
      </c>
      <c r="U16" s="8">
        <f>IF(COUNT(D16:S16)=0,"",MEDIAN(D16:S16))</f>
        <v/>
      </c>
      <c r="V16" s="8">
        <f>IF(COUNT(D16:S16)=0,"",MAX(D16:S16))</f>
        <v/>
      </c>
      <c r="W16" s="9">
        <f>IF(OR(T16="",T16=0),"",(V16-T16)/T16)</f>
        <v/>
      </c>
      <c r="X16" s="7">
        <f>IF(COUNT(D16:S16)=0,"",INDEX($D$1:$S$1,MATCH(MIN(D16:S16),D16:S16,0)))</f>
        <v/>
      </c>
      <c r="Y16" s="8" t="n">
        <v>59265.06</v>
      </c>
      <c r="Z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>
        <v>224533.64</v>
      </c>
      <c r="S17" s="8" t="n"/>
      <c r="T17" s="8">
        <f>IF(COUNT(D17:S17)=0,"",MIN(D17:S17))</f>
        <v/>
      </c>
      <c r="U17" s="8">
        <f>IF(COUNT(D17:S17)=0,"",MEDIAN(D17:S17))</f>
        <v/>
      </c>
      <c r="V17" s="8">
        <f>IF(COUNT(D17:S17)=0,"",MAX(D17:S17))</f>
        <v/>
      </c>
      <c r="W17" s="9">
        <f>IF(OR(T17="",T17=0),"",(V17-T17)/T17)</f>
        <v/>
      </c>
      <c r="X17" s="7">
        <f>IF(COUNT(D17:S17)=0,"",INDEX($D$1:$S$1,MATCH(MIN(D17:S17),D17:S17,0)))</f>
        <v/>
      </c>
      <c r="Y17" s="8" t="n">
        <v>264949.7</v>
      </c>
      <c r="Z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>
        <f>IF(COUNT(D18:S18)=0,"",MIN(D18:S18))</f>
        <v/>
      </c>
      <c r="U18" s="8">
        <f>IF(COUNT(D18:S18)=0,"",MEDIAN(D18:S18))</f>
        <v/>
      </c>
      <c r="V18" s="8">
        <f>IF(COUNT(D18:S18)=0,"",MAX(D18:S18))</f>
        <v/>
      </c>
      <c r="W18" s="9">
        <f>IF(OR(T18="",T18=0),"",(V18-T18)/T18)</f>
        <v/>
      </c>
      <c r="X18" s="7">
        <f>IF(COUNT(D18:S18)=0,"",INDEX($D$1:$S$1,MATCH(MIN(D18:S18),D18:S18,0)))</f>
        <v/>
      </c>
      <c r="Y18" s="8" t="n">
        <v>595</v>
      </c>
      <c r="Z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>
        <f>IF(COUNT(D19:S19)=0,"",MIN(D19:S19))</f>
        <v/>
      </c>
      <c r="U19" s="8">
        <f>IF(COUNT(D19:S19)=0,"",MEDIAN(D19:S19))</f>
        <v/>
      </c>
      <c r="V19" s="8">
        <f>IF(COUNT(D19:S19)=0,"",MAX(D19:S19))</f>
        <v/>
      </c>
      <c r="W19" s="9">
        <f>IF(OR(T19="",T19=0),"",(V19-T19)/T19)</f>
        <v/>
      </c>
      <c r="X19" s="7">
        <f>IF(COUNT(D19:S19)=0,"",INDEX($D$1:$S$1,MATCH(MIN(D19:S19),D19:S19,0)))</f>
        <v/>
      </c>
      <c r="Y19" s="8" t="n">
        <v>755</v>
      </c>
      <c r="Z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>
        <f>IF(COUNT(D20:S20)=0,"",MIN(D20:S20))</f>
        <v/>
      </c>
      <c r="U20" s="8">
        <f>IF(COUNT(D20:S20)=0,"",MEDIAN(D20:S20))</f>
        <v/>
      </c>
      <c r="V20" s="8">
        <f>IF(COUNT(D20:S20)=0,"",MAX(D20:S20))</f>
        <v/>
      </c>
      <c r="W20" s="9">
        <f>IF(OR(T20="",T20=0),"",(V20-T20)/T20)</f>
        <v/>
      </c>
      <c r="X20" s="7">
        <f>IF(COUNT(D20:S20)=0,"",INDEX($D$1:$S$1,MATCH(MIN(D20:S20),D20:S20,0)))</f>
        <v/>
      </c>
      <c r="Y20" s="8" t="n">
        <v>1295</v>
      </c>
      <c r="Z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>
        <f>IF(COUNT(D21:S21)=0,"",MIN(D21:S21))</f>
        <v/>
      </c>
      <c r="U21" s="8">
        <f>IF(COUNT(D21:S21)=0,"",MEDIAN(D21:S21))</f>
        <v/>
      </c>
      <c r="V21" s="8">
        <f>IF(COUNT(D21:S21)=0,"",MAX(D21:S21))</f>
        <v/>
      </c>
      <c r="W21" s="9">
        <f>IF(OR(T21="",T21=0),"",(V21-T21)/T21)</f>
        <v/>
      </c>
      <c r="X21" s="7">
        <f>IF(COUNT(D21:S21)=0,"",INDEX($D$1:$S$1,MATCH(MIN(D21:S21),D21:S21,0)))</f>
        <v/>
      </c>
      <c r="Y21" s="8" t="n">
        <v>503.66</v>
      </c>
      <c r="Z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>
        <f>IF(COUNT(D22:S22)=0,"",MIN(D22:S22))</f>
        <v/>
      </c>
      <c r="U22" s="8">
        <f>IF(COUNT(D22:S22)=0,"",MEDIAN(D22:S22))</f>
        <v/>
      </c>
      <c r="V22" s="8">
        <f>IF(COUNT(D22:S22)=0,"",MAX(D22:S22))</f>
        <v/>
      </c>
      <c r="W22" s="9">
        <f>IF(OR(T22="",T22=0),"",(V22-T22)/T22)</f>
        <v/>
      </c>
      <c r="X22" s="7">
        <f>IF(COUNT(D22:S22)=0,"",INDEX($D$1:$S$1,MATCH(MIN(D22:S22),D22:S22,0)))</f>
        <v/>
      </c>
      <c r="Y22" s="8" t="n">
        <v>345</v>
      </c>
      <c r="Z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>
        <f>IF(COUNT(D23:S23)=0,"",MIN(D23:S23))</f>
        <v/>
      </c>
      <c r="U23" s="8">
        <f>IF(COUNT(D23:S23)=0,"",MEDIAN(D23:S23))</f>
        <v/>
      </c>
      <c r="V23" s="8">
        <f>IF(COUNT(D23:S23)=0,"",MAX(D23:S23))</f>
        <v/>
      </c>
      <c r="W23" s="9">
        <f>IF(OR(T23="",T23=0),"",(V23-T23)/T23)</f>
        <v/>
      </c>
      <c r="X23" s="7">
        <f>IF(COUNT(D23:S23)=0,"",INDEX($D$1:$S$1,MATCH(MIN(D23:S23),D23:S23,0)))</f>
        <v/>
      </c>
      <c r="Y23" s="8" t="n">
        <v>825</v>
      </c>
      <c r="Z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>
        <f>IF(COUNT(D24:S24)=0,"",MIN(D24:S24))</f>
        <v/>
      </c>
      <c r="U24" s="8">
        <f>IF(COUNT(D24:S24)=0,"",MEDIAN(D24:S24))</f>
        <v/>
      </c>
      <c r="V24" s="8">
        <f>IF(COUNT(D24:S24)=0,"",MAX(D24:S24))</f>
        <v/>
      </c>
      <c r="W24" s="9">
        <f>IF(OR(T24="",T24=0),"",(V24-T24)/T24)</f>
        <v/>
      </c>
      <c r="X24" s="7">
        <f>IF(COUNT(D24:S24)=0,"",INDEX($D$1:$S$1,MATCH(MIN(D24:S24),D24:S24,0)))</f>
        <v/>
      </c>
      <c r="Y24" s="8" t="n">
        <v>365</v>
      </c>
      <c r="Z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>
        <f>IF(COUNT(D25:S25)=0,"",MIN(D25:S25))</f>
        <v/>
      </c>
      <c r="U25" s="8">
        <f>IF(COUNT(D25:S25)=0,"",MEDIAN(D25:S25))</f>
        <v/>
      </c>
      <c r="V25" s="8">
        <f>IF(COUNT(D25:S25)=0,"",MAX(D25:S25))</f>
        <v/>
      </c>
      <c r="W25" s="9">
        <f>IF(OR(T25="",T25=0),"",(V25-T25)/T25)</f>
        <v/>
      </c>
      <c r="X25" s="7">
        <f>IF(COUNT(D25:S25)=0,"",INDEX($D$1:$S$1,MATCH(MIN(D25:S25),D25:S25,0)))</f>
        <v/>
      </c>
      <c r="Y25" s="8" t="n">
        <v>323.12</v>
      </c>
      <c r="Z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 t="n"/>
      <c r="R26" s="8" t="n"/>
      <c r="S26" s="8" t="n"/>
      <c r="T26" s="8">
        <f>IF(COUNT(D26:S26)=0,"",MIN(D26:S26))</f>
        <v/>
      </c>
      <c r="U26" s="8">
        <f>IF(COUNT(D26:S26)=0,"",MEDIAN(D26:S26))</f>
        <v/>
      </c>
      <c r="V26" s="8">
        <f>IF(COUNT(D26:S26)=0,"",MAX(D26:S26))</f>
        <v/>
      </c>
      <c r="W26" s="9">
        <f>IF(OR(T26="",T26=0),"",(V26-T26)/T26)</f>
        <v/>
      </c>
      <c r="X26" s="7">
        <f>IF(COUNT(D26:S26)=0,"",INDEX($D$1:$S$1,MATCH(MIN(D26:S26),D26:S26,0)))</f>
        <v/>
      </c>
      <c r="Y26" s="8" t="n">
        <v>249.98</v>
      </c>
      <c r="Z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 t="n"/>
      <c r="R27" s="8" t="n"/>
      <c r="S27" s="8" t="n"/>
      <c r="T27" s="8">
        <f>IF(COUNT(D27:S27)=0,"",MIN(D27:S27))</f>
        <v/>
      </c>
      <c r="U27" s="8">
        <f>IF(COUNT(D27:S27)=0,"",MEDIAN(D27:S27))</f>
        <v/>
      </c>
      <c r="V27" s="8">
        <f>IF(COUNT(D27:S27)=0,"",MAX(D27:S27))</f>
        <v/>
      </c>
      <c r="W27" s="9">
        <f>IF(OR(T27="",T27=0),"",(V27-T27)/T27)</f>
        <v/>
      </c>
      <c r="X27" s="7">
        <f>IF(COUNT(D27:S27)=0,"",INDEX($D$1:$S$1,MATCH(MIN(D27:S27),D27:S27,0)))</f>
        <v/>
      </c>
      <c r="Y27" s="8" t="n">
        <v>445.88</v>
      </c>
      <c r="Z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 t="n"/>
      <c r="R28" s="8" t="n"/>
      <c r="S28" s="8" t="n"/>
      <c r="T28" s="8">
        <f>IF(COUNT(D28:S28)=0,"",MIN(D28:S28))</f>
        <v/>
      </c>
      <c r="U28" s="8">
        <f>IF(COUNT(D28:S28)=0,"",MEDIAN(D28:S28))</f>
        <v/>
      </c>
      <c r="V28" s="8">
        <f>IF(COUNT(D28:S28)=0,"",MAX(D28:S28))</f>
        <v/>
      </c>
      <c r="W28" s="9">
        <f>IF(OR(T28="",T28=0),"",(V28-T28)/T28)</f>
        <v/>
      </c>
      <c r="X28" s="7">
        <f>IF(COUNT(D28:S28)=0,"",INDEX($D$1:$S$1,MATCH(MIN(D28:S28),D28:S28,0)))</f>
        <v/>
      </c>
      <c r="Y28" s="8" t="n">
        <v>1006.75</v>
      </c>
      <c r="Z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 t="n"/>
      <c r="R29" s="8" t="n"/>
      <c r="S29" s="8" t="n"/>
      <c r="T29" s="8">
        <f>IF(COUNT(D29:S29)=0,"",MIN(D29:S29))</f>
        <v/>
      </c>
      <c r="U29" s="8">
        <f>IF(COUNT(D29:S29)=0,"",MEDIAN(D29:S29))</f>
        <v/>
      </c>
      <c r="V29" s="8">
        <f>IF(COUNT(D29:S29)=0,"",MAX(D29:S29))</f>
        <v/>
      </c>
      <c r="W29" s="9">
        <f>IF(OR(T29="",T29=0),"",(V29-T29)/T29)</f>
        <v/>
      </c>
      <c r="X29" s="7">
        <f>IF(COUNT(D29:S29)=0,"",INDEX($D$1:$S$1,MATCH(MIN(D29:S29),D29:S29,0)))</f>
        <v/>
      </c>
      <c r="Y29" s="8" t="n">
        <v>1773.79</v>
      </c>
      <c r="Z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 t="n"/>
      <c r="R30" s="8" t="n"/>
      <c r="S30" s="8" t="n"/>
      <c r="T30" s="8">
        <f>IF(COUNT(D30:S30)=0,"",MIN(D30:S30))</f>
        <v/>
      </c>
      <c r="U30" s="8">
        <f>IF(COUNT(D30:S30)=0,"",MEDIAN(D30:S30))</f>
        <v/>
      </c>
      <c r="V30" s="8">
        <f>IF(COUNT(D30:S30)=0,"",MAX(D30:S30))</f>
        <v/>
      </c>
      <c r="W30" s="9">
        <f>IF(OR(T30="",T30=0),"",(V30-T30)/T30)</f>
        <v/>
      </c>
      <c r="X30" s="7">
        <f>IF(COUNT(D30:S30)=0,"",INDEX($D$1:$S$1,MATCH(MIN(D30:S30),D30:S30,0)))</f>
        <v/>
      </c>
      <c r="Y30" s="8" t="n">
        <v>18252.92</v>
      </c>
      <c r="Z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 t="n"/>
      <c r="R31" s="8" t="n"/>
      <c r="S31" s="8" t="n"/>
      <c r="T31" s="8">
        <f>IF(COUNT(D31:S31)=0,"",MIN(D31:S31))</f>
        <v/>
      </c>
      <c r="U31" s="8">
        <f>IF(COUNT(D31:S31)=0,"",MEDIAN(D31:S31))</f>
        <v/>
      </c>
      <c r="V31" s="8">
        <f>IF(COUNT(D31:S31)=0,"",MAX(D31:S31))</f>
        <v/>
      </c>
      <c r="W31" s="9">
        <f>IF(OR(T31="",T31=0),"",(V31-T31)/T31)</f>
        <v/>
      </c>
      <c r="X31" s="7">
        <f>IF(COUNT(D31:S31)=0,"",INDEX($D$1:$S$1,MATCH(MIN(D31:S31),D31:S31,0)))</f>
        <v/>
      </c>
      <c r="Y31" s="8" t="n">
        <v>20871.84</v>
      </c>
      <c r="Z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>
        <f>IF(COUNT(D32:S32)=0,"",MIN(D32:S32))</f>
        <v/>
      </c>
      <c r="U32" s="8">
        <f>IF(COUNT(D32:S32)=0,"",MEDIAN(D32:S32))</f>
        <v/>
      </c>
      <c r="V32" s="8">
        <f>IF(COUNT(D32:S32)=0,"",MAX(D32:S32))</f>
        <v/>
      </c>
      <c r="W32" s="9">
        <f>IF(OR(T32="",T32=0),"",(V32-T32)/T32)</f>
        <v/>
      </c>
      <c r="X32" s="7">
        <f>IF(COUNT(D32:S32)=0,"",INDEX($D$1:$S$1,MATCH(MIN(D32:S32),D32:S32,0)))</f>
        <v/>
      </c>
      <c r="Y32" s="8" t="n">
        <v>20629.26</v>
      </c>
      <c r="Z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>
        <f>IF(COUNT(D33:S33)=0,"",MIN(D33:S33))</f>
        <v/>
      </c>
      <c r="U33" s="8">
        <f>IF(COUNT(D33:S33)=0,"",MEDIAN(D33:S33))</f>
        <v/>
      </c>
      <c r="V33" s="8">
        <f>IF(COUNT(D33:S33)=0,"",MAX(D33:S33))</f>
        <v/>
      </c>
      <c r="W33" s="9">
        <f>IF(OR(T33="",T33=0),"",(V33-T33)/T33)</f>
        <v/>
      </c>
      <c r="X33" s="7">
        <f>IF(COUNT(D33:S33)=0,"",INDEX($D$1:$S$1,MATCH(MIN(D33:S33),D33:S33,0)))</f>
        <v/>
      </c>
      <c r="Y33" s="8" t="n">
        <v>62.48</v>
      </c>
      <c r="Z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>
        <f>IF(COUNT(D34:S34)=0,"",MIN(D34:S34))</f>
        <v/>
      </c>
      <c r="U34" s="8">
        <f>IF(COUNT(D34:S34)=0,"",MEDIAN(D34:S34))</f>
        <v/>
      </c>
      <c r="V34" s="8">
        <f>IF(COUNT(D34:S34)=0,"",MAX(D34:S34))</f>
        <v/>
      </c>
      <c r="W34" s="9">
        <f>IF(OR(T34="",T34=0),"",(V34-T34)/T34)</f>
        <v/>
      </c>
      <c r="X34" s="7">
        <f>IF(COUNT(D34:S34)=0,"",INDEX($D$1:$S$1,MATCH(MIN(D34:S34),D34:S34,0)))</f>
        <v/>
      </c>
      <c r="Y34" s="8" t="n">
        <v>61.12</v>
      </c>
      <c r="Z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>
        <f>IF(COUNT(D35:S35)=0,"",MIN(D35:S35))</f>
        <v/>
      </c>
      <c r="U35" s="8">
        <f>IF(COUNT(D35:S35)=0,"",MEDIAN(D35:S35))</f>
        <v/>
      </c>
      <c r="V35" s="8">
        <f>IF(COUNT(D35:S35)=0,"",MAX(D35:S35))</f>
        <v/>
      </c>
      <c r="W35" s="9">
        <f>IF(OR(T35="",T35=0),"",(V35-T35)/T35)</f>
        <v/>
      </c>
      <c r="X35" s="7">
        <f>IF(COUNT(D35:S35)=0,"",INDEX($D$1:$S$1,MATCH(MIN(D35:S35),D35:S35,0)))</f>
        <v/>
      </c>
      <c r="Y35" s="8" t="n">
        <v>861</v>
      </c>
      <c r="Z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>
        <f>IF(COUNT(D36:S36)=0,"",MIN(D36:S36))</f>
        <v/>
      </c>
      <c r="U36" s="8">
        <f>IF(COUNT(D36:S36)=0,"",MEDIAN(D36:S36))</f>
        <v/>
      </c>
      <c r="V36" s="8">
        <f>IF(COUNT(D36:S36)=0,"",MAX(D36:S36))</f>
        <v/>
      </c>
      <c r="W36" s="9">
        <f>IF(OR(T36="",T36=0),"",(V36-T36)/T36)</f>
        <v/>
      </c>
      <c r="X36" s="7">
        <f>IF(COUNT(D36:S36)=0,"",INDEX($D$1:$S$1,MATCH(MIN(D36:S36),D36:S36,0)))</f>
        <v/>
      </c>
      <c r="Y36" s="8" t="n">
        <v>860</v>
      </c>
      <c r="Z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>
        <f>IF(COUNT(D37:S37)=0,"",MIN(D37:S37))</f>
        <v/>
      </c>
      <c r="U37" s="8">
        <f>IF(COUNT(D37:S37)=0,"",MEDIAN(D37:S37))</f>
        <v/>
      </c>
      <c r="V37" s="8">
        <f>IF(COUNT(D37:S37)=0,"",MAX(D37:S37))</f>
        <v/>
      </c>
      <c r="W37" s="9">
        <f>IF(OR(T37="",T37=0),"",(V37-T37)/T37)</f>
        <v/>
      </c>
      <c r="X37" s="7">
        <f>IF(COUNT(D37:S37)=0,"",INDEX($D$1:$S$1,MATCH(MIN(D37:S37),D37:S37,0)))</f>
        <v/>
      </c>
      <c r="Y37" s="8" t="n">
        <v>1472.5</v>
      </c>
      <c r="Z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>
        <f>IF(COUNT(D38:S38)=0,"",MIN(D38:S38))</f>
        <v/>
      </c>
      <c r="U38" s="8">
        <f>IF(COUNT(D38:S38)=0,"",MEDIAN(D38:S38))</f>
        <v/>
      </c>
      <c r="V38" s="8">
        <f>IF(COUNT(D38:S38)=0,"",MAX(D38:S38))</f>
        <v/>
      </c>
      <c r="W38" s="9">
        <f>IF(OR(T38="",T38=0),"",(V38-T38)/T38)</f>
        <v/>
      </c>
      <c r="X38" s="7">
        <f>IF(COUNT(D38:S38)=0,"",INDEX($D$1:$S$1,MATCH(MIN(D38:S38),D38:S38,0)))</f>
        <v/>
      </c>
      <c r="Y38" s="8" t="n">
        <v>1992.5</v>
      </c>
      <c r="Z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>
        <f>IF(COUNT(D39:S39)=0,"",MIN(D39:S39))</f>
        <v/>
      </c>
      <c r="U39" s="8">
        <f>IF(COUNT(D39:S39)=0,"",MEDIAN(D39:S39))</f>
        <v/>
      </c>
      <c r="V39" s="8">
        <f>IF(COUNT(D39:S39)=0,"",MAX(D39:S39))</f>
        <v/>
      </c>
      <c r="W39" s="9">
        <f>IF(OR(T39="",T39=0),"",(V39-T39)/T39)</f>
        <v/>
      </c>
      <c r="X39" s="7">
        <f>IF(COUNT(D39:S39)=0,"",INDEX($D$1:$S$1,MATCH(MIN(D39:S39),D39:S39,0)))</f>
        <v/>
      </c>
      <c r="Y39" s="8" t="n">
        <v>764.63</v>
      </c>
      <c r="Z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>
        <f>IF(COUNT(D40:S40)=0,"",MIN(D40:S40))</f>
        <v/>
      </c>
      <c r="U40" s="8">
        <f>IF(COUNT(D40:S40)=0,"",MEDIAN(D40:S40))</f>
        <v/>
      </c>
      <c r="V40" s="8">
        <f>IF(COUNT(D40:S40)=0,"",MAX(D40:S40))</f>
        <v/>
      </c>
      <c r="W40" s="9">
        <f>IF(OR(T40="",T40=0),"",(V40-T40)/T40)</f>
        <v/>
      </c>
      <c r="X40" s="7">
        <f>IF(COUNT(D40:S40)=0,"",INDEX($D$1:$S$1,MATCH(MIN(D40:S40),D40:S40,0)))</f>
        <v/>
      </c>
      <c r="Y40" s="8" t="n">
        <v>1266.7</v>
      </c>
      <c r="Z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>
        <f>IF(COUNT(D41:S41)=0,"",MIN(D41:S41))</f>
        <v/>
      </c>
      <c r="U41" s="8">
        <f>IF(COUNT(D41:S41)=0,"",MEDIAN(D41:S41))</f>
        <v/>
      </c>
      <c r="V41" s="8">
        <f>IF(COUNT(D41:S41)=0,"",MAX(D41:S41))</f>
        <v/>
      </c>
      <c r="W41" s="9">
        <f>IF(OR(T41="",T41=0),"",(V41-T41)/T41)</f>
        <v/>
      </c>
      <c r="X41" s="7">
        <f>IF(COUNT(D41:S41)=0,"",INDEX($D$1:$S$1,MATCH(MIN(D41:S41),D41:S41,0)))</f>
        <v/>
      </c>
      <c r="Y41" s="8" t="n">
        <v>1101.34</v>
      </c>
      <c r="Z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>
        <f>IF(COUNT(D42:S42)=0,"",MIN(D42:S42))</f>
        <v/>
      </c>
      <c r="U42" s="8">
        <f>IF(COUNT(D42:S42)=0,"",MEDIAN(D42:S42))</f>
        <v/>
      </c>
      <c r="V42" s="8">
        <f>IF(COUNT(D42:S42)=0,"",MAX(D42:S42))</f>
        <v/>
      </c>
      <c r="W42" s="9">
        <f>IF(OR(T42="",T42=0),"",(V42-T42)/T42)</f>
        <v/>
      </c>
      <c r="X42" s="7">
        <f>IF(COUNT(D42:S42)=0,"",INDEX($D$1:$S$1,MATCH(MIN(D42:S42),D42:S42,0)))</f>
        <v/>
      </c>
      <c r="Y42" s="8" t="n">
        <v>1494.58</v>
      </c>
      <c r="Z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>
        <f>IF(COUNT(D43:S43)=0,"",MIN(D43:S43))</f>
        <v/>
      </c>
      <c r="U43" s="8">
        <f>IF(COUNT(D43:S43)=0,"",MEDIAN(D43:S43))</f>
        <v/>
      </c>
      <c r="V43" s="8">
        <f>IF(COUNT(D43:S43)=0,"",MAX(D43:S43))</f>
        <v/>
      </c>
      <c r="W43" s="9">
        <f>IF(OR(T43="",T43=0),"",(V43-T43)/T43)</f>
        <v/>
      </c>
      <c r="X43" s="7">
        <f>IF(COUNT(D43:S43)=0,"",INDEX($D$1:$S$1,MATCH(MIN(D43:S43),D43:S43,0)))</f>
        <v/>
      </c>
      <c r="Y43" s="8" t="n">
        <v>503.78</v>
      </c>
      <c r="Z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>
        <f>IF(COUNT(D44:S44)=0,"",MIN(D44:S44))</f>
        <v/>
      </c>
      <c r="U44" s="8">
        <f>IF(COUNT(D44:S44)=0,"",MEDIAN(D44:S44))</f>
        <v/>
      </c>
      <c r="V44" s="8">
        <f>IF(COUNT(D44:S44)=0,"",MAX(D44:S44))</f>
        <v/>
      </c>
      <c r="W44" s="9">
        <f>IF(OR(T44="",T44=0),"",(V44-T44)/T44)</f>
        <v/>
      </c>
      <c r="X44" s="7">
        <f>IF(COUNT(D44:S44)=0,"",INDEX($D$1:$S$1,MATCH(MIN(D44:S44),D44:S44,0)))</f>
        <v/>
      </c>
      <c r="Y44" s="8" t="n">
        <v>2900</v>
      </c>
      <c r="Z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>
        <f>IF(COUNT(D45:S45)=0,"",MIN(D45:S45))</f>
        <v/>
      </c>
      <c r="U45" s="8">
        <f>IF(COUNT(D45:S45)=0,"",MEDIAN(D45:S45))</f>
        <v/>
      </c>
      <c r="V45" s="8">
        <f>IF(COUNT(D45:S45)=0,"",MAX(D45:S45))</f>
        <v/>
      </c>
      <c r="W45" s="9">
        <f>IF(OR(T45="",T45=0),"",(V45-T45)/T45)</f>
        <v/>
      </c>
      <c r="X45" s="7">
        <f>IF(COUNT(D45:S45)=0,"",INDEX($D$1:$S$1,MATCH(MIN(D45:S45),D45:S45,0)))</f>
        <v/>
      </c>
      <c r="Y45" s="8" t="n">
        <v>245.01</v>
      </c>
      <c r="Z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>
        <f>IF(COUNT(D46:S46)=0,"",MIN(D46:S46))</f>
        <v/>
      </c>
      <c r="U46" s="8">
        <f>IF(COUNT(D46:S46)=0,"",MEDIAN(D46:S46))</f>
        <v/>
      </c>
      <c r="V46" s="8">
        <f>IF(COUNT(D46:S46)=0,"",MAX(D46:S46))</f>
        <v/>
      </c>
      <c r="W46" s="9">
        <f>IF(OR(T46="",T46=0),"",(V46-T46)/T46)</f>
        <v/>
      </c>
      <c r="X46" s="7">
        <f>IF(COUNT(D46:S46)=0,"",INDEX($D$1:$S$1,MATCH(MIN(D46:S46),D46:S46,0)))</f>
        <v/>
      </c>
      <c r="Y46" s="8" t="n">
        <v>165</v>
      </c>
      <c r="Z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>
        <f>IF(COUNT(D47:S47)=0,"",MIN(D47:S47))</f>
        <v/>
      </c>
      <c r="U47" s="8">
        <f>IF(COUNT(D47:S47)=0,"",MEDIAN(D47:S47))</f>
        <v/>
      </c>
      <c r="V47" s="8">
        <f>IF(COUNT(D47:S47)=0,"",MAX(D47:S47))</f>
        <v/>
      </c>
      <c r="W47" s="9">
        <f>IF(OR(T47="",T47=0),"",(V47-T47)/T47)</f>
        <v/>
      </c>
      <c r="X47" s="7">
        <f>IF(COUNT(D47:S47)=0,"",INDEX($D$1:$S$1,MATCH(MIN(D47:S47),D47:S47,0)))</f>
        <v/>
      </c>
      <c r="Y47" s="8" t="n">
        <v>6107.2</v>
      </c>
      <c r="Z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 t="n"/>
      <c r="R48" s="8" t="n"/>
      <c r="S48" s="8" t="n"/>
      <c r="T48" s="8">
        <f>IF(COUNT(D48:S48)=0,"",MIN(D48:S48))</f>
        <v/>
      </c>
      <c r="U48" s="8">
        <f>IF(COUNT(D48:S48)=0,"",MEDIAN(D48:S48))</f>
        <v/>
      </c>
      <c r="V48" s="8">
        <f>IF(COUNT(D48:S48)=0,"",MAX(D48:S48))</f>
        <v/>
      </c>
      <c r="W48" s="9">
        <f>IF(OR(T48="",T48=0),"",(V48-T48)/T48)</f>
        <v/>
      </c>
      <c r="X48" s="7">
        <f>IF(COUNT(D48:S48)=0,"",INDEX($D$1:$S$1,MATCH(MIN(D48:S48),D48:S48,0)))</f>
        <v/>
      </c>
      <c r="Y48" s="8" t="n">
        <v>1614.24</v>
      </c>
      <c r="Z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 t="n"/>
      <c r="R49" s="8" t="n"/>
      <c r="S49" s="8" t="n"/>
      <c r="T49" s="8">
        <f>IF(COUNT(D49:S49)=0,"",MIN(D49:S49))</f>
        <v/>
      </c>
      <c r="U49" s="8">
        <f>IF(COUNT(D49:S49)=0,"",MEDIAN(D49:S49))</f>
        <v/>
      </c>
      <c r="V49" s="8">
        <f>IF(COUNT(D49:S49)=0,"",MAX(D49:S49))</f>
        <v/>
      </c>
      <c r="W49" s="9">
        <f>IF(OR(T49="",T49=0),"",(V49-T49)/T49)</f>
        <v/>
      </c>
      <c r="X49" s="7">
        <f>IF(COUNT(D49:S49)=0,"",INDEX($D$1:$S$1,MATCH(MIN(D49:S49),D49:S49,0)))</f>
        <v/>
      </c>
      <c r="Y49" s="8" t="n">
        <v>2560.6</v>
      </c>
      <c r="Z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 t="n"/>
      <c r="R50" s="8" t="n"/>
      <c r="S50" s="8" t="n"/>
      <c r="T50" s="8">
        <f>IF(COUNT(D50:S50)=0,"",MIN(D50:S50))</f>
        <v/>
      </c>
      <c r="U50" s="8">
        <f>IF(COUNT(D50:S50)=0,"",MEDIAN(D50:S50))</f>
        <v/>
      </c>
      <c r="V50" s="8">
        <f>IF(COUNT(D50:S50)=0,"",MAX(D50:S50))</f>
        <v/>
      </c>
      <c r="W50" s="9">
        <f>IF(OR(T50="",T50=0),"",(V50-T50)/T50)</f>
        <v/>
      </c>
      <c r="X50" s="7">
        <f>IF(COUNT(D50:S50)=0,"",INDEX($D$1:$S$1,MATCH(MIN(D50:S50),D50:S50,0)))</f>
        <v/>
      </c>
      <c r="Y50" s="8" t="n">
        <v>4092.24</v>
      </c>
      <c r="Z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>
        <f>IF(COUNT(D51:S51)=0,"",MIN(D51:S51))</f>
        <v/>
      </c>
      <c r="U51" s="8">
        <f>IF(COUNT(D51:S51)=0,"",MEDIAN(D51:S51))</f>
        <v/>
      </c>
      <c r="V51" s="8">
        <f>IF(COUNT(D51:S51)=0,"",MAX(D51:S51))</f>
        <v/>
      </c>
      <c r="W51" s="9">
        <f>IF(OR(T51="",T51=0),"",(V51-T51)/T51)</f>
        <v/>
      </c>
      <c r="X51" s="7">
        <f>IF(COUNT(D51:S51)=0,"",INDEX($D$1:$S$1,MATCH(MIN(D51:S51),D51:S51,0)))</f>
        <v/>
      </c>
      <c r="Y51" s="8" t="n">
        <v>194.99</v>
      </c>
      <c r="Z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>
        <f>IF(COUNT(D52:S52)=0,"",MIN(D52:S52))</f>
        <v/>
      </c>
      <c r="U52" s="8">
        <f>IF(COUNT(D52:S52)=0,"",MEDIAN(D52:S52))</f>
        <v/>
      </c>
      <c r="V52" s="8">
        <f>IF(COUNT(D52:S52)=0,"",MAX(D52:S52))</f>
        <v/>
      </c>
      <c r="W52" s="9">
        <f>IF(OR(T52="",T52=0),"",(V52-T52)/T52)</f>
        <v/>
      </c>
      <c r="X52" s="7">
        <f>IF(COUNT(D52:S52)=0,"",INDEX($D$1:$S$1,MATCH(MIN(D52:S52),D52:S52,0)))</f>
        <v/>
      </c>
      <c r="Y52" s="8" t="n">
        <v>194.99</v>
      </c>
      <c r="Z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>
        <f>IF(COUNT(D53:S53)=0,"",MIN(D53:S53))</f>
        <v/>
      </c>
      <c r="U53" s="8">
        <f>IF(COUNT(D53:S53)=0,"",MEDIAN(D53:S53))</f>
        <v/>
      </c>
      <c r="V53" s="8">
        <f>IF(COUNT(D53:S53)=0,"",MAX(D53:S53))</f>
        <v/>
      </c>
      <c r="W53" s="9">
        <f>IF(OR(T53="",T53=0),"",(V53-T53)/T53)</f>
        <v/>
      </c>
      <c r="X53" s="7">
        <f>IF(COUNT(D53:S53)=0,"",INDEX($D$1:$S$1,MATCH(MIN(D53:S53),D53:S53,0)))</f>
        <v/>
      </c>
      <c r="Y53" s="8" t="n">
        <v>472.72</v>
      </c>
      <c r="Z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>
        <f>IF(COUNT(D54:S54)=0,"",MIN(D54:S54))</f>
        <v/>
      </c>
      <c r="U54" s="8">
        <f>IF(COUNT(D54:S54)=0,"",MEDIAN(D54:S54))</f>
        <v/>
      </c>
      <c r="V54" s="8">
        <f>IF(COUNT(D54:S54)=0,"",MAX(D54:S54))</f>
        <v/>
      </c>
      <c r="W54" s="9">
        <f>IF(OR(T54="",T54=0),"",(V54-T54)/T54)</f>
        <v/>
      </c>
      <c r="X54" s="7">
        <f>IF(COUNT(D54:S54)=0,"",INDEX($D$1:$S$1,MATCH(MIN(D54:S54),D54:S54,0)))</f>
        <v/>
      </c>
      <c r="Y54" s="8" t="n">
        <v>925.59</v>
      </c>
      <c r="Z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>
        <f>IF(COUNT(D55:S55)=0,"",MIN(D55:S55))</f>
        <v/>
      </c>
      <c r="U55" s="8">
        <f>IF(COUNT(D55:S55)=0,"",MEDIAN(D55:S55))</f>
        <v/>
      </c>
      <c r="V55" s="8">
        <f>IF(COUNT(D55:S55)=0,"",MAX(D55:S55))</f>
        <v/>
      </c>
      <c r="W55" s="9">
        <f>IF(OR(T55="",T55=0),"",(V55-T55)/T55)</f>
        <v/>
      </c>
      <c r="X55" s="7">
        <f>IF(COUNT(D55:S55)=0,"",INDEX($D$1:$S$1,MATCH(MIN(D55:S55),D55:S55,0)))</f>
        <v/>
      </c>
      <c r="Y55" s="8" t="n">
        <v>595</v>
      </c>
      <c r="Z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 t="n"/>
      <c r="R56" s="8" t="n"/>
      <c r="S56" s="8" t="n"/>
      <c r="T56" s="8">
        <f>IF(COUNT(D56:S56)=0,"",MIN(D56:S56))</f>
        <v/>
      </c>
      <c r="U56" s="8">
        <f>IF(COUNT(D56:S56)=0,"",MEDIAN(D56:S56))</f>
        <v/>
      </c>
      <c r="V56" s="8">
        <f>IF(COUNT(D56:S56)=0,"",MAX(D56:S56))</f>
        <v/>
      </c>
      <c r="W56" s="9">
        <f>IF(OR(T56="",T56=0),"",(V56-T56)/T56)</f>
        <v/>
      </c>
      <c r="X56" s="7">
        <f>IF(COUNT(D56:S56)=0,"",INDEX($D$1:$S$1,MATCH(MIN(D56:S56),D56:S56,0)))</f>
        <v/>
      </c>
      <c r="Y56" s="8" t="n">
        <v>85.88</v>
      </c>
      <c r="Z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 t="n"/>
      <c r="R57" s="8" t="n"/>
      <c r="S57" s="8" t="n"/>
      <c r="T57" s="8">
        <f>IF(COUNT(D57:S57)=0,"",MIN(D57:S57))</f>
        <v/>
      </c>
      <c r="U57" s="8">
        <f>IF(COUNT(D57:S57)=0,"",MEDIAN(D57:S57))</f>
        <v/>
      </c>
      <c r="V57" s="8">
        <f>IF(COUNT(D57:S57)=0,"",MAX(D57:S57))</f>
        <v/>
      </c>
      <c r="W57" s="9">
        <f>IF(OR(T57="",T57=0),"",(V57-T57)/T57)</f>
        <v/>
      </c>
      <c r="X57" s="7">
        <f>IF(COUNT(D57:S57)=0,"",INDEX($D$1:$S$1,MATCH(MIN(D57:S57),D57:S57,0)))</f>
        <v/>
      </c>
      <c r="Y57" s="8" t="n">
        <v>75.15000000000001</v>
      </c>
      <c r="Z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>
        <f>IF(COUNT(D58:S58)=0,"",MIN(D58:S58))</f>
        <v/>
      </c>
      <c r="U58" s="8">
        <f>IF(COUNT(D58:S58)=0,"",MEDIAN(D58:S58))</f>
        <v/>
      </c>
      <c r="V58" s="8">
        <f>IF(COUNT(D58:S58)=0,"",MAX(D58:S58))</f>
        <v/>
      </c>
      <c r="W58" s="9">
        <f>IF(OR(T58="",T58=0),"",(V58-T58)/T58)</f>
        <v/>
      </c>
      <c r="X58" s="7">
        <f>IF(COUNT(D58:S58)=0,"",INDEX($D$1:$S$1,MATCH(MIN(D58:S58),D58:S58,0)))</f>
        <v/>
      </c>
      <c r="Y58" s="8" t="n">
        <v>45</v>
      </c>
      <c r="Z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 t="n"/>
      <c r="R59" s="8" t="n"/>
      <c r="S59" s="8" t="n"/>
      <c r="T59" s="8">
        <f>IF(COUNT(D59:S59)=0,"",MIN(D59:S59))</f>
        <v/>
      </c>
      <c r="U59" s="8">
        <f>IF(COUNT(D59:S59)=0,"",MEDIAN(D59:S59))</f>
        <v/>
      </c>
      <c r="V59" s="8">
        <f>IF(COUNT(D59:S59)=0,"",MAX(D59:S59))</f>
        <v/>
      </c>
      <c r="W59" s="9">
        <f>IF(OR(T59="",T59=0),"",(V59-T59)/T59)</f>
        <v/>
      </c>
      <c r="X59" s="7">
        <f>IF(COUNT(D59:S59)=0,"",INDEX($D$1:$S$1,MATCH(MIN(D59:S59),D59:S59,0)))</f>
        <v/>
      </c>
      <c r="Y59" s="8" t="n">
        <v>101.99</v>
      </c>
      <c r="Z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 t="n"/>
      <c r="R60" s="8" t="n"/>
      <c r="S60" s="8" t="n"/>
      <c r="T60" s="8">
        <f>IF(COUNT(D60:S60)=0,"",MIN(D60:S60))</f>
        <v/>
      </c>
      <c r="U60" s="8">
        <f>IF(COUNT(D60:S60)=0,"",MEDIAN(D60:S60))</f>
        <v/>
      </c>
      <c r="V60" s="8">
        <f>IF(COUNT(D60:S60)=0,"",MAX(D60:S60))</f>
        <v/>
      </c>
      <c r="W60" s="9">
        <f>IF(OR(T60="",T60=0),"",(V60-T60)/T60)</f>
        <v/>
      </c>
      <c r="X60" s="7">
        <f>IF(COUNT(D60:S60)=0,"",INDEX($D$1:$S$1,MATCH(MIN(D60:S60),D60:S60,0)))</f>
        <v/>
      </c>
      <c r="Y60" s="8" t="n">
        <v>123.46</v>
      </c>
      <c r="Z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 t="n"/>
      <c r="R61" s="8" t="n"/>
      <c r="S61" s="8" t="n"/>
      <c r="T61" s="8">
        <f>IF(COUNT(D61:S61)=0,"",MIN(D61:S61))</f>
        <v/>
      </c>
      <c r="U61" s="8">
        <f>IF(COUNT(D61:S61)=0,"",MEDIAN(D61:S61))</f>
        <v/>
      </c>
      <c r="V61" s="8">
        <f>IF(COUNT(D61:S61)=0,"",MAX(D61:S61))</f>
        <v/>
      </c>
      <c r="W61" s="9">
        <f>IF(OR(T61="",T61=0),"",(V61-T61)/T61)</f>
        <v/>
      </c>
      <c r="X61" s="7">
        <f>IF(COUNT(D61:S61)=0,"",INDEX($D$1:$S$1,MATCH(MIN(D61:S61),D61:S61,0)))</f>
        <v/>
      </c>
      <c r="Y61" s="8" t="n">
        <v>150.31</v>
      </c>
      <c r="Z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 t="n"/>
      <c r="R62" s="8" t="n"/>
      <c r="S62" s="8" t="n"/>
      <c r="T62" s="8">
        <f>IF(COUNT(D62:S62)=0,"",MIN(D62:S62))</f>
        <v/>
      </c>
      <c r="U62" s="8">
        <f>IF(COUNT(D62:S62)=0,"",MEDIAN(D62:S62))</f>
        <v/>
      </c>
      <c r="V62" s="8">
        <f>IF(COUNT(D62:S62)=0,"",MAX(D62:S62))</f>
        <v/>
      </c>
      <c r="W62" s="9">
        <f>IF(OR(T62="",T62=0),"",(V62-T62)/T62)</f>
        <v/>
      </c>
      <c r="X62" s="7">
        <f>IF(COUNT(D62:S62)=0,"",INDEX($D$1:$S$1,MATCH(MIN(D62:S62),D62:S62,0)))</f>
        <v/>
      </c>
      <c r="Y62" s="8" t="n">
        <v>203.99</v>
      </c>
      <c r="Z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>
        <f>IF(COUNT(D63:S63)=0,"",MIN(D63:S63))</f>
        <v/>
      </c>
      <c r="U63" s="8">
        <f>IF(COUNT(D63:S63)=0,"",MEDIAN(D63:S63))</f>
        <v/>
      </c>
      <c r="V63" s="8">
        <f>IF(COUNT(D63:S63)=0,"",MAX(D63:S63))</f>
        <v/>
      </c>
      <c r="W63" s="9">
        <f>IF(OR(T63="",T63=0),"",(V63-T63)/T63)</f>
        <v/>
      </c>
      <c r="X63" s="7">
        <f>IF(COUNT(D63:S63)=0,"",INDEX($D$1:$S$1,MATCH(MIN(D63:S63),D63:S63,0)))</f>
        <v/>
      </c>
      <c r="Y63" s="8" t="n">
        <v>305</v>
      </c>
      <c r="Z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>
        <f>IF(COUNT(D64:S64)=0,"",MIN(D64:S64))</f>
        <v/>
      </c>
      <c r="U64" s="8">
        <f>IF(COUNT(D64:S64)=0,"",MEDIAN(D64:S64))</f>
        <v/>
      </c>
      <c r="V64" s="8">
        <f>IF(COUNT(D64:S64)=0,"",MAX(D64:S64))</f>
        <v/>
      </c>
      <c r="W64" s="9">
        <f>IF(OR(T64="",T64=0),"",(V64-T64)/T64)</f>
        <v/>
      </c>
      <c r="X64" s="7">
        <f>IF(COUNT(D64:S64)=0,"",INDEX($D$1:$S$1,MATCH(MIN(D64:S64),D64:S64,0)))</f>
        <v/>
      </c>
      <c r="Y64" s="8" t="n">
        <v>335</v>
      </c>
      <c r="Z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>
        <f>IF(COUNT(D65:S65)=0,"",MIN(D65:S65))</f>
        <v/>
      </c>
      <c r="U65" s="8">
        <f>IF(COUNT(D65:S65)=0,"",MEDIAN(D65:S65))</f>
        <v/>
      </c>
      <c r="V65" s="8">
        <f>IF(COUNT(D65:S65)=0,"",MAX(D65:S65))</f>
        <v/>
      </c>
      <c r="W65" s="9">
        <f>IF(OR(T65="",T65=0),"",(V65-T65)/T65)</f>
        <v/>
      </c>
      <c r="X65" s="7">
        <f>IF(COUNT(D65:S65)=0,"",INDEX($D$1:$S$1,MATCH(MIN(D65:S65),D65:S65,0)))</f>
        <v/>
      </c>
      <c r="Y65" s="8" t="n">
        <v>237.5</v>
      </c>
      <c r="Z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>
        <f>IF(COUNT(D66:S66)=0,"",MIN(D66:S66))</f>
        <v/>
      </c>
      <c r="U66" s="8">
        <f>IF(COUNT(D66:S66)=0,"",MEDIAN(D66:S66))</f>
        <v/>
      </c>
      <c r="V66" s="8">
        <f>IF(COUNT(D66:S66)=0,"",MAX(D66:S66))</f>
        <v/>
      </c>
      <c r="W66" s="9">
        <f>IF(OR(T66="",T66=0),"",(V66-T66)/T66)</f>
        <v/>
      </c>
      <c r="X66" s="7">
        <f>IF(COUNT(D66:S66)=0,"",INDEX($D$1:$S$1,MATCH(MIN(D66:S66),D66:S66,0)))</f>
        <v/>
      </c>
      <c r="Y66" s="8" t="n">
        <v>249</v>
      </c>
      <c r="Z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 t="n"/>
      <c r="R67" s="8" t="n"/>
      <c r="S67" s="8" t="n"/>
      <c r="T67" s="8">
        <f>IF(COUNT(D67:S67)=0,"",MIN(D67:S67))</f>
        <v/>
      </c>
      <c r="U67" s="8">
        <f>IF(COUNT(D67:S67)=0,"",MEDIAN(D67:S67))</f>
        <v/>
      </c>
      <c r="V67" s="8">
        <f>IF(COUNT(D67:S67)=0,"",MAX(D67:S67))</f>
        <v/>
      </c>
      <c r="W67" s="9">
        <f>IF(OR(T67="",T67=0),"",(V67-T67)/T67)</f>
        <v/>
      </c>
      <c r="X67" s="7">
        <f>IF(COUNT(D67:S67)=0,"",INDEX($D$1:$S$1,MATCH(MIN(D67:S67),D67:S67,0)))</f>
        <v/>
      </c>
      <c r="Y67" s="8" t="n">
        <v>128.83</v>
      </c>
      <c r="Z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>
        <f>IF(COUNT(D68:S68)=0,"",MIN(D68:S68))</f>
        <v/>
      </c>
      <c r="U68" s="8">
        <f>IF(COUNT(D68:S68)=0,"",MEDIAN(D68:S68))</f>
        <v/>
      </c>
      <c r="V68" s="8">
        <f>IF(COUNT(D68:S68)=0,"",MAX(D68:S68))</f>
        <v/>
      </c>
      <c r="W68" s="9">
        <f>IF(OR(T68="",T68=0),"",(V68-T68)/T68)</f>
        <v/>
      </c>
      <c r="X68" s="7">
        <f>IF(COUNT(D68:S68)=0,"",INDEX($D$1:$S$1,MATCH(MIN(D68:S68),D68:S68,0)))</f>
        <v/>
      </c>
      <c r="Y68" s="8" t="n">
        <v>380</v>
      </c>
      <c r="Z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>
        <f>IF(COUNT(D69:S69)=0,"",MIN(D69:S69))</f>
        <v/>
      </c>
      <c r="U69" s="8">
        <f>IF(COUNT(D69:S69)=0,"",MEDIAN(D69:S69))</f>
        <v/>
      </c>
      <c r="V69" s="8">
        <f>IF(COUNT(D69:S69)=0,"",MAX(D69:S69))</f>
        <v/>
      </c>
      <c r="W69" s="9">
        <f>IF(OR(T69="",T69=0),"",(V69-T69)/T69)</f>
        <v/>
      </c>
      <c r="X69" s="7">
        <f>IF(COUNT(D69:S69)=0,"",INDEX($D$1:$S$1,MATCH(MIN(D69:S69),D69:S69,0)))</f>
        <v/>
      </c>
      <c r="Y69" s="8" t="n">
        <v>265</v>
      </c>
      <c r="Z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>
        <f>IF(COUNT(D70:S70)=0,"",MIN(D70:S70))</f>
        <v/>
      </c>
      <c r="U70" s="8">
        <f>IF(COUNT(D70:S70)=0,"",MEDIAN(D70:S70))</f>
        <v/>
      </c>
      <c r="V70" s="8">
        <f>IF(COUNT(D70:S70)=0,"",MAX(D70:S70))</f>
        <v/>
      </c>
      <c r="W70" s="9">
        <f>IF(OR(T70="",T70=0),"",(V70-T70)/T70)</f>
        <v/>
      </c>
      <c r="X70" s="7">
        <f>IF(COUNT(D70:S70)=0,"",INDEX($D$1:$S$1,MATCH(MIN(D70:S70),D70:S70,0)))</f>
        <v/>
      </c>
      <c r="Y70" s="8" t="n">
        <v>249</v>
      </c>
      <c r="Z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>
        <f>IF(COUNT(D71:S71)=0,"",MIN(D71:S71))</f>
        <v/>
      </c>
      <c r="U71" s="8">
        <f>IF(COUNT(D71:S71)=0,"",MEDIAN(D71:S71))</f>
        <v/>
      </c>
      <c r="V71" s="8">
        <f>IF(COUNT(D71:S71)=0,"",MAX(D71:S71))</f>
        <v/>
      </c>
      <c r="W71" s="9">
        <f>IF(OR(T71="",T71=0),"",(V71-T71)/T71)</f>
        <v/>
      </c>
      <c r="X71" s="7">
        <f>IF(COUNT(D71:S71)=0,"",INDEX($D$1:$S$1,MATCH(MIN(D71:S71),D71:S71,0)))</f>
        <v/>
      </c>
      <c r="Y71" s="8" t="n">
        <v>115</v>
      </c>
      <c r="Z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>
        <f>IF(COUNT(D72:S72)=0,"",MIN(D72:S72))</f>
        <v/>
      </c>
      <c r="U72" s="8">
        <f>IF(COUNT(D72:S72)=0,"",MEDIAN(D72:S72))</f>
        <v/>
      </c>
      <c r="V72" s="8">
        <f>IF(COUNT(D72:S72)=0,"",MAX(D72:S72))</f>
        <v/>
      </c>
      <c r="W72" s="9">
        <f>IF(OR(T72="",T72=0),"",(V72-T72)/T72)</f>
        <v/>
      </c>
      <c r="X72" s="7">
        <f>IF(COUNT(D72:S72)=0,"",INDEX($D$1:$S$1,MATCH(MIN(D72:S72),D72:S72,0)))</f>
        <v/>
      </c>
      <c r="Y72" s="8" t="n">
        <v>119</v>
      </c>
      <c r="Z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>
        <f>IF(COUNT(D73:S73)=0,"",MIN(D73:S73))</f>
        <v/>
      </c>
      <c r="U73" s="8">
        <f>IF(COUNT(D73:S73)=0,"",MEDIAN(D73:S73))</f>
        <v/>
      </c>
      <c r="V73" s="8">
        <f>IF(COUNT(D73:S73)=0,"",MAX(D73:S73))</f>
        <v/>
      </c>
      <c r="W73" s="9">
        <f>IF(OR(T73="",T73=0),"",(V73-T73)/T73)</f>
        <v/>
      </c>
      <c r="X73" s="7">
        <f>IF(COUNT(D73:S73)=0,"",INDEX($D$1:$S$1,MATCH(MIN(D73:S73),D73:S73,0)))</f>
        <v/>
      </c>
      <c r="Y73" s="8" t="n">
        <v>240</v>
      </c>
      <c r="Z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>
        <f>IF(COUNT(D74:S74)=0,"",MIN(D74:S74))</f>
        <v/>
      </c>
      <c r="U74" s="8">
        <f>IF(COUNT(D74:S74)=0,"",MEDIAN(D74:S74))</f>
        <v/>
      </c>
      <c r="V74" s="8">
        <f>IF(COUNT(D74:S74)=0,"",MAX(D74:S74))</f>
        <v/>
      </c>
      <c r="W74" s="9">
        <f>IF(OR(T74="",T74=0),"",(V74-T74)/T74)</f>
        <v/>
      </c>
      <c r="X74" s="7">
        <f>IF(COUNT(D74:S74)=0,"",INDEX($D$1:$S$1,MATCH(MIN(D74:S74),D74:S74,0)))</f>
        <v/>
      </c>
      <c r="Y74" s="8" t="n">
        <v>70</v>
      </c>
      <c r="Z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>
        <f>IF(COUNT(D75:S75)=0,"",MIN(D75:S75))</f>
        <v/>
      </c>
      <c r="U75" s="8">
        <f>IF(COUNT(D75:S75)=0,"",MEDIAN(D75:S75))</f>
        <v/>
      </c>
      <c r="V75" s="8">
        <f>IF(COUNT(D75:S75)=0,"",MAX(D75:S75))</f>
        <v/>
      </c>
      <c r="W75" s="9">
        <f>IF(OR(T75="",T75=0),"",(V75-T75)/T75)</f>
        <v/>
      </c>
      <c r="X75" s="7">
        <f>IF(COUNT(D75:S75)=0,"",INDEX($D$1:$S$1,MATCH(MIN(D75:S75),D75:S75,0)))</f>
        <v/>
      </c>
      <c r="Y75" s="8" t="n">
        <v>395</v>
      </c>
      <c r="Z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>
        <f>IF(COUNT(D76:S76)=0,"",MIN(D76:S76))</f>
        <v/>
      </c>
      <c r="U76" s="8">
        <f>IF(COUNT(D76:S76)=0,"",MEDIAN(D76:S76))</f>
        <v/>
      </c>
      <c r="V76" s="8">
        <f>IF(COUNT(D76:S76)=0,"",MAX(D76:S76))</f>
        <v/>
      </c>
      <c r="W76" s="9">
        <f>IF(OR(T76="",T76=0),"",(V76-T76)/T76)</f>
        <v/>
      </c>
      <c r="X76" s="7">
        <f>IF(COUNT(D76:S76)=0,"",INDEX($D$1:$S$1,MATCH(MIN(D76:S76),D76:S76,0)))</f>
        <v/>
      </c>
      <c r="Y76" s="8" t="n">
        <v>102.5</v>
      </c>
      <c r="Z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 t="n"/>
      <c r="R77" s="8" t="n"/>
      <c r="S77" s="8" t="n"/>
      <c r="T77" s="8">
        <f>IF(COUNT(D77:S77)=0,"",MIN(D77:S77))</f>
        <v/>
      </c>
      <c r="U77" s="8">
        <f>IF(COUNT(D77:S77)=0,"",MEDIAN(D77:S77))</f>
        <v/>
      </c>
      <c r="V77" s="8">
        <f>IF(COUNT(D77:S77)=0,"",MAX(D77:S77))</f>
        <v/>
      </c>
      <c r="W77" s="9">
        <f>IF(OR(T77="",T77=0),"",(V77-T77)/T77)</f>
        <v/>
      </c>
      <c r="X77" s="7">
        <f>IF(COUNT(D77:S77)=0,"",INDEX($D$1:$S$1,MATCH(MIN(D77:S77),D77:S77,0)))</f>
        <v/>
      </c>
      <c r="Y77" s="8" t="n">
        <v>169</v>
      </c>
      <c r="Z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>
        <f>IF(COUNT(D78:S78)=0,"",MIN(D78:S78))</f>
        <v/>
      </c>
      <c r="U78" s="8">
        <f>IF(COUNT(D78:S78)=0,"",MEDIAN(D78:S78))</f>
        <v/>
      </c>
      <c r="V78" s="8">
        <f>IF(COUNT(D78:S78)=0,"",MAX(D78:S78))</f>
        <v/>
      </c>
      <c r="W78" s="9">
        <f>IF(OR(T78="",T78=0),"",(V78-T78)/T78)</f>
        <v/>
      </c>
      <c r="X78" s="7">
        <f>IF(COUNT(D78:S78)=0,"",INDEX($D$1:$S$1,MATCH(MIN(D78:S78),D78:S78,0)))</f>
        <v/>
      </c>
      <c r="Y78" s="8" t="n">
        <v>35818.07</v>
      </c>
      <c r="Z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>
        <f>IF(COUNT(D79:S79)=0,"",MIN(D79:S79))</f>
        <v/>
      </c>
      <c r="U79" s="8">
        <f>IF(COUNT(D79:S79)=0,"",MEDIAN(D79:S79))</f>
        <v/>
      </c>
      <c r="V79" s="8">
        <f>IF(COUNT(D79:S79)=0,"",MAX(D79:S79))</f>
        <v/>
      </c>
      <c r="W79" s="9">
        <f>IF(OR(T79="",T79=0),"",(V79-T79)/T79)</f>
        <v/>
      </c>
      <c r="X79" s="7">
        <f>IF(COUNT(D79:S79)=0,"",INDEX($D$1:$S$1,MATCH(MIN(D79:S79),D79:S79,0)))</f>
        <v/>
      </c>
      <c r="Y79" s="8" t="n">
        <v>32070.28</v>
      </c>
      <c r="Z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>
        <f>IF(COUNT(D80:S80)=0,"",MIN(D80:S80))</f>
        <v/>
      </c>
      <c r="U80" s="8">
        <f>IF(COUNT(D80:S80)=0,"",MEDIAN(D80:S80))</f>
        <v/>
      </c>
      <c r="V80" s="8">
        <f>IF(COUNT(D80:S80)=0,"",MAX(D80:S80))</f>
        <v/>
      </c>
      <c r="W80" s="9">
        <f>IF(OR(T80="",T80=0),"",(V80-T80)/T80)</f>
        <v/>
      </c>
      <c r="X80" s="7">
        <f>IF(COUNT(D80:S80)=0,"",INDEX($D$1:$S$1,MATCH(MIN(D80:S80),D80:S80,0)))</f>
        <v/>
      </c>
      <c r="Y80" s="8" t="n">
        <v>2857.38</v>
      </c>
      <c r="Z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>
        <f>IF(COUNT(D81:S81)=0,"",MIN(D81:S81))</f>
        <v/>
      </c>
      <c r="U81" s="8">
        <f>IF(COUNT(D81:S81)=0,"",MEDIAN(D81:S81))</f>
        <v/>
      </c>
      <c r="V81" s="8">
        <f>IF(COUNT(D81:S81)=0,"",MAX(D81:S81))</f>
        <v/>
      </c>
      <c r="W81" s="9">
        <f>IF(OR(T81="",T81=0),"",(V81-T81)/T81)</f>
        <v/>
      </c>
      <c r="X81" s="7">
        <f>IF(COUNT(D81:S81)=0,"",INDEX($D$1:$S$1,MATCH(MIN(D81:S81),D81:S81,0)))</f>
        <v/>
      </c>
      <c r="Y81" s="8" t="n">
        <v>6482.72</v>
      </c>
      <c r="Z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>
        <f>IF(COUNT(D82:S82)=0,"",MIN(D82:S82))</f>
        <v/>
      </c>
      <c r="U82" s="8">
        <f>IF(COUNT(D82:S82)=0,"",MEDIAN(D82:S82))</f>
        <v/>
      </c>
      <c r="V82" s="8">
        <f>IF(COUNT(D82:S82)=0,"",MAX(D82:S82))</f>
        <v/>
      </c>
      <c r="W82" s="9">
        <f>IF(OR(T82="",T82=0),"",(V82-T82)/T82)</f>
        <v/>
      </c>
      <c r="X82" s="7">
        <f>IF(COUNT(D82:S82)=0,"",INDEX($D$1:$S$1,MATCH(MIN(D82:S82),D82:S82,0)))</f>
        <v/>
      </c>
      <c r="Y82" s="8" t="n">
        <v>9559.049999999999</v>
      </c>
      <c r="Z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>
        <f>IF(COUNT(D83:S83)=0,"",MIN(D83:S83))</f>
        <v/>
      </c>
      <c r="U83" s="8">
        <f>IF(COUNT(D83:S83)=0,"",MEDIAN(D83:S83))</f>
        <v/>
      </c>
      <c r="V83" s="8">
        <f>IF(COUNT(D83:S83)=0,"",MAX(D83:S83))</f>
        <v/>
      </c>
      <c r="W83" s="9">
        <f>IF(OR(T83="",T83=0),"",(V83-T83)/T83)</f>
        <v/>
      </c>
      <c r="X83" s="7">
        <f>IF(COUNT(D83:S83)=0,"",INDEX($D$1:$S$1,MATCH(MIN(D83:S83),D83:S83,0)))</f>
        <v/>
      </c>
      <c r="Y83" s="8" t="n">
        <v>15050.43</v>
      </c>
      <c r="Z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>
        <f>IF(COUNT(D84:S84)=0,"",MIN(D84:S84))</f>
        <v/>
      </c>
      <c r="U84" s="8">
        <f>IF(COUNT(D84:S84)=0,"",MEDIAN(D84:S84))</f>
        <v/>
      </c>
      <c r="V84" s="8">
        <f>IF(COUNT(D84:S84)=0,"",MAX(D84:S84))</f>
        <v/>
      </c>
      <c r="W84" s="9">
        <f>IF(OR(T84="",T84=0),"",(V84-T84)/T84)</f>
        <v/>
      </c>
      <c r="X84" s="7">
        <f>IF(COUNT(D84:S84)=0,"",INDEX($D$1:$S$1,MATCH(MIN(D84:S84),D84:S84,0)))</f>
        <v/>
      </c>
      <c r="Y84" s="8" t="n">
        <v>814.6799999999999</v>
      </c>
      <c r="Z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>
        <f>IF(COUNT(D85:S85)=0,"",MIN(D85:S85))</f>
        <v/>
      </c>
      <c r="U85" s="8">
        <f>IF(COUNT(D85:S85)=0,"",MEDIAN(D85:S85))</f>
        <v/>
      </c>
      <c r="V85" s="8">
        <f>IF(COUNT(D85:S85)=0,"",MAX(D85:S85))</f>
        <v/>
      </c>
      <c r="W85" s="9">
        <f>IF(OR(T85="",T85=0),"",(V85-T85)/T85)</f>
        <v/>
      </c>
      <c r="X85" s="7">
        <f>IF(COUNT(D85:S85)=0,"",INDEX($D$1:$S$1,MATCH(MIN(D85:S85),D85:S85,0)))</f>
        <v/>
      </c>
      <c r="Y85" s="8" t="n">
        <v>2931.73</v>
      </c>
      <c r="Z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>
        <f>IF(COUNT(D86:S86)=0,"",MIN(D86:S86))</f>
        <v/>
      </c>
      <c r="U86" s="8">
        <f>IF(COUNT(D86:S86)=0,"",MEDIAN(D86:S86))</f>
        <v/>
      </c>
      <c r="V86" s="8">
        <f>IF(COUNT(D86:S86)=0,"",MAX(D86:S86))</f>
        <v/>
      </c>
      <c r="W86" s="9">
        <f>IF(OR(T86="",T86=0),"",(V86-T86)/T86)</f>
        <v/>
      </c>
      <c r="X86" s="7">
        <f>IF(COUNT(D86:S86)=0,"",INDEX($D$1:$S$1,MATCH(MIN(D86:S86),D86:S86,0)))</f>
        <v/>
      </c>
      <c r="Y86" s="8" t="n">
        <v>4694.51</v>
      </c>
      <c r="Z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>
        <f>IF(COUNT(D87:S87)=0,"",MIN(D87:S87))</f>
        <v/>
      </c>
      <c r="U87" s="8">
        <f>IF(COUNT(D87:S87)=0,"",MEDIAN(D87:S87))</f>
        <v/>
      </c>
      <c r="V87" s="8">
        <f>IF(COUNT(D87:S87)=0,"",MAX(D87:S87))</f>
        <v/>
      </c>
      <c r="W87" s="9">
        <f>IF(OR(T87="",T87=0),"",(V87-T87)/T87)</f>
        <v/>
      </c>
      <c r="X87" s="7">
        <f>IF(COUNT(D87:S87)=0,"",INDEX($D$1:$S$1,MATCH(MIN(D87:S87),D87:S87,0)))</f>
        <v/>
      </c>
      <c r="Y87" s="8" t="n">
        <v>323.68</v>
      </c>
      <c r="Z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>
        <f>IF(COUNT(D88:S88)=0,"",MIN(D88:S88))</f>
        <v/>
      </c>
      <c r="U88" s="8">
        <f>IF(COUNT(D88:S88)=0,"",MEDIAN(D88:S88))</f>
        <v/>
      </c>
      <c r="V88" s="8">
        <f>IF(COUNT(D88:S88)=0,"",MAX(D88:S88))</f>
        <v/>
      </c>
      <c r="W88" s="9">
        <f>IF(OR(T88="",T88=0),"",(V88-T88)/T88)</f>
        <v/>
      </c>
      <c r="X88" s="7">
        <f>IF(COUNT(D88:S88)=0,"",INDEX($D$1:$S$1,MATCH(MIN(D88:S88),D88:S88,0)))</f>
        <v/>
      </c>
      <c r="Y88" s="8" t="n">
        <v>1279.54</v>
      </c>
      <c r="Z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>
        <f>IF(COUNT(D89:S89)=0,"",MIN(D89:S89))</f>
        <v/>
      </c>
      <c r="U89" s="8">
        <f>IF(COUNT(D89:S89)=0,"",MEDIAN(D89:S89))</f>
        <v/>
      </c>
      <c r="V89" s="8">
        <f>IF(COUNT(D89:S89)=0,"",MAX(D89:S89))</f>
        <v/>
      </c>
      <c r="W89" s="9">
        <f>IF(OR(T89="",T89=0),"",(V89-T89)/T89)</f>
        <v/>
      </c>
      <c r="X89" s="7">
        <f>IF(COUNT(D89:S89)=0,"",INDEX($D$1:$S$1,MATCH(MIN(D89:S89),D89:S89,0)))</f>
        <v/>
      </c>
      <c r="Y89" s="8" t="n">
        <v>5321.25</v>
      </c>
      <c r="Z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>
        <f>IF(COUNT(D90:S90)=0,"",MIN(D90:S90))</f>
        <v/>
      </c>
      <c r="U90" s="8">
        <f>IF(COUNT(D90:S90)=0,"",MEDIAN(D90:S90))</f>
        <v/>
      </c>
      <c r="V90" s="8">
        <f>IF(COUNT(D90:S90)=0,"",MAX(D90:S90))</f>
        <v/>
      </c>
      <c r="W90" s="9">
        <f>IF(OR(T90="",T90=0),"",(V90-T90)/T90)</f>
        <v/>
      </c>
      <c r="X90" s="7">
        <f>IF(COUNT(D90:S90)=0,"",INDEX($D$1:$S$1,MATCH(MIN(D90:S90),D90:S90,0)))</f>
        <v/>
      </c>
      <c r="Y90" s="8" t="n">
        <v>1644.46</v>
      </c>
      <c r="Z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>
        <f>IF(COUNT(D91:S91)=0,"",MIN(D91:S91))</f>
        <v/>
      </c>
      <c r="U91" s="8">
        <f>IF(COUNT(D91:S91)=0,"",MEDIAN(D91:S91))</f>
        <v/>
      </c>
      <c r="V91" s="8">
        <f>IF(COUNT(D91:S91)=0,"",MAX(D91:S91))</f>
        <v/>
      </c>
      <c r="W91" s="9">
        <f>IF(OR(T91="",T91=0),"",(V91-T91)/T91)</f>
        <v/>
      </c>
      <c r="X91" s="7">
        <f>IF(COUNT(D91:S91)=0,"",INDEX($D$1:$S$1,MATCH(MIN(D91:S91),D91:S91,0)))</f>
        <v/>
      </c>
      <c r="Y91" s="8" t="n">
        <v>358.67</v>
      </c>
      <c r="Z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>
        <f>IF(COUNT(D92:S92)=0,"",MIN(D92:S92))</f>
        <v/>
      </c>
      <c r="U92" s="8">
        <f>IF(COUNT(D92:S92)=0,"",MEDIAN(D92:S92))</f>
        <v/>
      </c>
      <c r="V92" s="8">
        <f>IF(COUNT(D92:S92)=0,"",MAX(D92:S92))</f>
        <v/>
      </c>
      <c r="W92" s="9">
        <f>IF(OR(T92="",T92=0),"",(V92-T92)/T92)</f>
        <v/>
      </c>
      <c r="X92" s="7">
        <f>IF(COUNT(D92:S92)=0,"",INDEX($D$1:$S$1,MATCH(MIN(D92:S92),D92:S92,0)))</f>
        <v/>
      </c>
      <c r="Y92" s="8" t="n">
        <v>234.67</v>
      </c>
      <c r="Z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>
        <f>IF(COUNT(D93:S93)=0,"",MIN(D93:S93))</f>
        <v/>
      </c>
      <c r="U93" s="8">
        <f>IF(COUNT(D93:S93)=0,"",MEDIAN(D93:S93))</f>
        <v/>
      </c>
      <c r="V93" s="8">
        <f>IF(COUNT(D93:S93)=0,"",MAX(D93:S93))</f>
        <v/>
      </c>
      <c r="W93" s="9">
        <f>IF(OR(T93="",T93=0),"",(V93-T93)/T93)</f>
        <v/>
      </c>
      <c r="X93" s="7">
        <f>IF(COUNT(D93:S93)=0,"",INDEX($D$1:$S$1,MATCH(MIN(D93:S93),D93:S93,0)))</f>
        <v/>
      </c>
      <c r="Y93" s="8" t="n">
        <v>151.87</v>
      </c>
      <c r="Z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>
        <f>IF(COUNT(D94:S94)=0,"",MIN(D94:S94))</f>
        <v/>
      </c>
      <c r="U94" s="8">
        <f>IF(COUNT(D94:S94)=0,"",MEDIAN(D94:S94))</f>
        <v/>
      </c>
      <c r="V94" s="8">
        <f>IF(COUNT(D94:S94)=0,"",MAX(D94:S94))</f>
        <v/>
      </c>
      <c r="W94" s="9">
        <f>IF(OR(T94="",T94=0),"",(V94-T94)/T94)</f>
        <v/>
      </c>
      <c r="X94" s="7">
        <f>IF(COUNT(D94:S94)=0,"",INDEX($D$1:$S$1,MATCH(MIN(D94:S94),D94:S94,0)))</f>
        <v/>
      </c>
      <c r="Y94" s="8" t="n">
        <v>448.34</v>
      </c>
      <c r="Z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>
        <f>IF(COUNT(D95:S95)=0,"",MIN(D95:S95))</f>
        <v/>
      </c>
      <c r="U95" s="8">
        <f>IF(COUNT(D95:S95)=0,"",MEDIAN(D95:S95))</f>
        <v/>
      </c>
      <c r="V95" s="8">
        <f>IF(COUNT(D95:S95)=0,"",MAX(D95:S95))</f>
        <v/>
      </c>
      <c r="W95" s="9">
        <f>IF(OR(T95="",T95=0),"",(V95-T95)/T95)</f>
        <v/>
      </c>
      <c r="X95" s="7">
        <f>IF(COUNT(D95:S95)=0,"",INDEX($D$1:$S$1,MATCH(MIN(D95:S95),D95:S95,0)))</f>
        <v/>
      </c>
      <c r="Y95" s="8" t="n">
        <v>151.87</v>
      </c>
      <c r="Z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>
        <f>IF(COUNT(D96:S96)=0,"",MIN(D96:S96))</f>
        <v/>
      </c>
      <c r="U96" s="8">
        <f>IF(COUNT(D96:S96)=0,"",MEDIAN(D96:S96))</f>
        <v/>
      </c>
      <c r="V96" s="8">
        <f>IF(COUNT(D96:S96)=0,"",MAX(D96:S96))</f>
        <v/>
      </c>
      <c r="W96" s="9">
        <f>IF(OR(T96="",T96=0),"",(V96-T96)/T96)</f>
        <v/>
      </c>
      <c r="X96" s="7">
        <f>IF(COUNT(D96:S96)=0,"",INDEX($D$1:$S$1,MATCH(MIN(D96:S96),D96:S96,0)))</f>
        <v/>
      </c>
      <c r="Y96" s="8" t="n">
        <v>1160</v>
      </c>
      <c r="Z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>
        <f>IF(COUNT(D97:S97)=0,"",MIN(D97:S97))</f>
        <v/>
      </c>
      <c r="U97" s="8">
        <f>IF(COUNT(D97:S97)=0,"",MEDIAN(D97:S97))</f>
        <v/>
      </c>
      <c r="V97" s="8">
        <f>IF(COUNT(D97:S97)=0,"",MAX(D97:S97))</f>
        <v/>
      </c>
      <c r="W97" s="9">
        <f>IF(OR(T97="",T97=0),"",(V97-T97)/T97)</f>
        <v/>
      </c>
      <c r="X97" s="7">
        <f>IF(COUNT(D97:S97)=0,"",INDEX($D$1:$S$1,MATCH(MIN(D97:S97),D97:S97,0)))</f>
        <v/>
      </c>
      <c r="Y97" s="8" t="n">
        <v>322.97</v>
      </c>
      <c r="Z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>
        <f>IF(COUNT(D98:S98)=0,"",MIN(D98:S98))</f>
        <v/>
      </c>
      <c r="U98" s="8">
        <f>IF(COUNT(D98:S98)=0,"",MEDIAN(D98:S98))</f>
        <v/>
      </c>
      <c r="V98" s="8">
        <f>IF(COUNT(D98:S98)=0,"",MAX(D98:S98))</f>
        <v/>
      </c>
      <c r="W98" s="9">
        <f>IF(OR(T98="",T98=0),"",(V98-T98)/T98)</f>
        <v/>
      </c>
      <c r="X98" s="7">
        <f>IF(COUNT(D98:S98)=0,"",INDEX($D$1:$S$1,MATCH(MIN(D98:S98),D98:S98,0)))</f>
        <v/>
      </c>
      <c r="Y98" s="8" t="n">
        <v>885</v>
      </c>
      <c r="Z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>
        <f>IF(COUNT(D99:S99)=0,"",MIN(D99:S99))</f>
        <v/>
      </c>
      <c r="U99" s="8">
        <f>IF(COUNT(D99:S99)=0,"",MEDIAN(D99:S99))</f>
        <v/>
      </c>
      <c r="V99" s="8">
        <f>IF(COUNT(D99:S99)=0,"",MAX(D99:S99))</f>
        <v/>
      </c>
      <c r="W99" s="9">
        <f>IF(OR(T99="",T99=0),"",(V99-T99)/T99)</f>
        <v/>
      </c>
      <c r="X99" s="7">
        <f>IF(COUNT(D99:S99)=0,"",INDEX($D$1:$S$1,MATCH(MIN(D99:S99),D99:S99,0)))</f>
        <v/>
      </c>
      <c r="Y99" s="8" t="n">
        <v>1403.29</v>
      </c>
      <c r="Z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>
        <f>IF(COUNT(D100:S100)=0,"",MIN(D100:S100))</f>
        <v/>
      </c>
      <c r="U100" s="8">
        <f>IF(COUNT(D100:S100)=0,"",MEDIAN(D100:S100))</f>
        <v/>
      </c>
      <c r="V100" s="8">
        <f>IF(COUNT(D100:S100)=0,"",MAX(D100:S100))</f>
        <v/>
      </c>
      <c r="W100" s="9">
        <f>IF(OR(T100="",T100=0),"",(V100-T100)/T100)</f>
        <v/>
      </c>
      <c r="X100" s="7">
        <f>IF(COUNT(D100:S100)=0,"",INDEX($D$1:$S$1,MATCH(MIN(D100:S100),D100:S100,0)))</f>
        <v/>
      </c>
      <c r="Y100" s="8" t="n">
        <v>4784.99</v>
      </c>
      <c r="Z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>
        <f>IF(COUNT(D101:S101)=0,"",MIN(D101:S101))</f>
        <v/>
      </c>
      <c r="U101" s="8">
        <f>IF(COUNT(D101:S101)=0,"",MEDIAN(D101:S101))</f>
        <v/>
      </c>
      <c r="V101" s="8">
        <f>IF(COUNT(D101:S101)=0,"",MAX(D101:S101))</f>
        <v/>
      </c>
      <c r="W101" s="9">
        <f>IF(OR(T101="",T101=0),"",(V101-T101)/T101)</f>
        <v/>
      </c>
      <c r="X101" s="7">
        <f>IF(COUNT(D101:S101)=0,"",INDEX($D$1:$S$1,MATCH(MIN(D101:S101),D101:S101,0)))</f>
        <v/>
      </c>
      <c r="Y101" s="8" t="n">
        <v>2490</v>
      </c>
      <c r="Z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>
        <f>IF(COUNT(D102:S102)=0,"",MIN(D102:S102))</f>
        <v/>
      </c>
      <c r="U102" s="8">
        <f>IF(COUNT(D102:S102)=0,"",MEDIAN(D102:S102))</f>
        <v/>
      </c>
      <c r="V102" s="8">
        <f>IF(COUNT(D102:S102)=0,"",MAX(D102:S102))</f>
        <v/>
      </c>
      <c r="W102" s="9">
        <f>IF(OR(T102="",T102=0),"",(V102-T102)/T102)</f>
        <v/>
      </c>
      <c r="X102" s="7">
        <f>IF(COUNT(D102:S102)=0,"",INDEX($D$1:$S$1,MATCH(MIN(D102:S102),D102:S102,0)))</f>
        <v/>
      </c>
      <c r="Y102" s="8" t="n">
        <v>1497.5</v>
      </c>
      <c r="Z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>
        <f>IF(COUNT(D103:S103)=0,"",MIN(D103:S103))</f>
        <v/>
      </c>
      <c r="U103" s="8">
        <f>IF(COUNT(D103:S103)=0,"",MEDIAN(D103:S103))</f>
        <v/>
      </c>
      <c r="V103" s="8">
        <f>IF(COUNT(D103:S103)=0,"",MAX(D103:S103))</f>
        <v/>
      </c>
      <c r="W103" s="9">
        <f>IF(OR(T103="",T103=0),"",(V103-T103)/T103)</f>
        <v/>
      </c>
      <c r="X103" s="7">
        <f>IF(COUNT(D103:S103)=0,"",INDEX($D$1:$S$1,MATCH(MIN(D103:S103),D103:S103,0)))</f>
        <v/>
      </c>
      <c r="Y103" s="8" t="n">
        <v>1245.72</v>
      </c>
      <c r="Z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>
        <f>IF(COUNT(D104:S104)=0,"",MIN(D104:S104))</f>
        <v/>
      </c>
      <c r="U104" s="8">
        <f>IF(COUNT(D104:S104)=0,"",MEDIAN(D104:S104))</f>
        <v/>
      </c>
      <c r="V104" s="8">
        <f>IF(COUNT(D104:S104)=0,"",MAX(D104:S104))</f>
        <v/>
      </c>
      <c r="W104" s="9">
        <f>IF(OR(T104="",T104=0),"",(V104-T104)/T104)</f>
        <v/>
      </c>
      <c r="X104" s="7">
        <f>IF(COUNT(D104:S104)=0,"",INDEX($D$1:$S$1,MATCH(MIN(D104:S104),D104:S104,0)))</f>
        <v/>
      </c>
      <c r="Y104" s="8" t="n">
        <v>581.85</v>
      </c>
      <c r="Z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>
        <f>IF(COUNT(D105:S105)=0,"",MIN(D105:S105))</f>
        <v/>
      </c>
      <c r="U105" s="8">
        <f>IF(COUNT(D105:S105)=0,"",MEDIAN(D105:S105))</f>
        <v/>
      </c>
      <c r="V105" s="8">
        <f>IF(COUNT(D105:S105)=0,"",MAX(D105:S105))</f>
        <v/>
      </c>
      <c r="W105" s="9">
        <f>IF(OR(T105="",T105=0),"",(V105-T105)/T105)</f>
        <v/>
      </c>
      <c r="X105" s="7">
        <f>IF(COUNT(D105:S105)=0,"",INDEX($D$1:$S$1,MATCH(MIN(D105:S105),D105:S105,0)))</f>
        <v/>
      </c>
      <c r="Y105" s="8" t="n">
        <v>1926.69</v>
      </c>
      <c r="Z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>
        <f>IF(COUNT(D106:S106)=0,"",MIN(D106:S106))</f>
        <v/>
      </c>
      <c r="U106" s="8">
        <f>IF(COUNT(D106:S106)=0,"",MEDIAN(D106:S106))</f>
        <v/>
      </c>
      <c r="V106" s="8">
        <f>IF(COUNT(D106:S106)=0,"",MAX(D106:S106))</f>
        <v/>
      </c>
      <c r="W106" s="9">
        <f>IF(OR(T106="",T106=0),"",(V106-T106)/T106)</f>
        <v/>
      </c>
      <c r="X106" s="7">
        <f>IF(COUNT(D106:S106)=0,"",INDEX($D$1:$S$1,MATCH(MIN(D106:S106),D106:S106,0)))</f>
        <v/>
      </c>
      <c r="Y106" s="8" t="n">
        <v>3100</v>
      </c>
      <c r="Z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>
        <f>IF(COUNT(D107:S107)=0,"",MIN(D107:S107))</f>
        <v/>
      </c>
      <c r="U107" s="8">
        <f>IF(COUNT(D107:S107)=0,"",MEDIAN(D107:S107))</f>
        <v/>
      </c>
      <c r="V107" s="8">
        <f>IF(COUNT(D107:S107)=0,"",MAX(D107:S107))</f>
        <v/>
      </c>
      <c r="W107" s="9">
        <f>IF(OR(T107="",T107=0),"",(V107-T107)/T107)</f>
        <v/>
      </c>
      <c r="X107" s="7">
        <f>IF(COUNT(D107:S107)=0,"",INDEX($D$1:$S$1,MATCH(MIN(D107:S107),D107:S107,0)))</f>
        <v/>
      </c>
      <c r="Y107" s="8" t="n">
        <v>1365.01</v>
      </c>
      <c r="Z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>
        <f>IF(COUNT(D108:S108)=0,"",MIN(D108:S108))</f>
        <v/>
      </c>
      <c r="U108" s="8">
        <f>IF(COUNT(D108:S108)=0,"",MEDIAN(D108:S108))</f>
        <v/>
      </c>
      <c r="V108" s="8">
        <f>IF(COUNT(D108:S108)=0,"",MAX(D108:S108))</f>
        <v/>
      </c>
      <c r="W108" s="9">
        <f>IF(OR(T108="",T108=0),"",(V108-T108)/T108)</f>
        <v/>
      </c>
      <c r="X108" s="7">
        <f>IF(COUNT(D108:S108)=0,"",INDEX($D$1:$S$1,MATCH(MIN(D108:S108),D108:S108,0)))</f>
        <v/>
      </c>
      <c r="Y108" s="8" t="n">
        <v>1400</v>
      </c>
      <c r="Z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>
        <f>IF(COUNT(D109:S109)=0,"",MIN(D109:S109))</f>
        <v/>
      </c>
      <c r="U109" s="8">
        <f>IF(COUNT(D109:S109)=0,"",MEDIAN(D109:S109))</f>
        <v/>
      </c>
      <c r="V109" s="8">
        <f>IF(COUNT(D109:S109)=0,"",MAX(D109:S109))</f>
        <v/>
      </c>
      <c r="W109" s="9">
        <f>IF(OR(T109="",T109=0),"",(V109-T109)/T109)</f>
        <v/>
      </c>
      <c r="X109" s="7">
        <f>IF(COUNT(D109:S109)=0,"",INDEX($D$1:$S$1,MATCH(MIN(D109:S109),D109:S109,0)))</f>
        <v/>
      </c>
      <c r="Y109" s="8" t="n">
        <v>590.12</v>
      </c>
      <c r="Z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>
        <f>IF(COUNT(D110:S110)=0,"",MIN(D110:S110))</f>
        <v/>
      </c>
      <c r="U110" s="8">
        <f>IF(COUNT(D110:S110)=0,"",MEDIAN(D110:S110))</f>
        <v/>
      </c>
      <c r="V110" s="8">
        <f>IF(COUNT(D110:S110)=0,"",MAX(D110:S110))</f>
        <v/>
      </c>
      <c r="W110" s="9">
        <f>IF(OR(T110="",T110=0),"",(V110-T110)/T110)</f>
        <v/>
      </c>
      <c r="X110" s="7">
        <f>IF(COUNT(D110:S110)=0,"",INDEX($D$1:$S$1,MATCH(MIN(D110:S110),D110:S110,0)))</f>
        <v/>
      </c>
      <c r="Y110" s="8" t="n">
        <v>745</v>
      </c>
      <c r="Z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>
        <f>IF(COUNT(D111:S111)=0,"",MIN(D111:S111))</f>
        <v/>
      </c>
      <c r="U111" s="8">
        <f>IF(COUNT(D111:S111)=0,"",MEDIAN(D111:S111))</f>
        <v/>
      </c>
      <c r="V111" s="8">
        <f>IF(COUNT(D111:S111)=0,"",MAX(D111:S111))</f>
        <v/>
      </c>
      <c r="W111" s="9">
        <f>IF(OR(T111="",T111=0),"",(V111-T111)/T111)</f>
        <v/>
      </c>
      <c r="X111" s="7">
        <f>IF(COUNT(D111:S111)=0,"",INDEX($D$1:$S$1,MATCH(MIN(D111:S111),D111:S111,0)))</f>
        <v/>
      </c>
      <c r="Y111" s="8" t="n">
        <v>435</v>
      </c>
      <c r="Z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>
        <f>IF(COUNT(D112:S112)=0,"",MIN(D112:S112))</f>
        <v/>
      </c>
      <c r="U112" s="8">
        <f>IF(COUNT(D112:S112)=0,"",MEDIAN(D112:S112))</f>
        <v/>
      </c>
      <c r="V112" s="8">
        <f>IF(COUNT(D112:S112)=0,"",MAX(D112:S112))</f>
        <v/>
      </c>
      <c r="W112" s="9">
        <f>IF(OR(T112="",T112=0),"",(V112-T112)/T112)</f>
        <v/>
      </c>
      <c r="X112" s="7">
        <f>IF(COUNT(D112:S112)=0,"",INDEX($D$1:$S$1,MATCH(MIN(D112:S112),D112:S112,0)))</f>
        <v/>
      </c>
      <c r="Y112" s="8" t="n">
        <v>1720</v>
      </c>
      <c r="Z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>
        <f>IF(COUNT(D113:S113)=0,"",MIN(D113:S113))</f>
        <v/>
      </c>
      <c r="U113" s="8">
        <f>IF(COUNT(D113:S113)=0,"",MEDIAN(D113:S113))</f>
        <v/>
      </c>
      <c r="V113" s="8">
        <f>IF(COUNT(D113:S113)=0,"",MAX(D113:S113))</f>
        <v/>
      </c>
      <c r="W113" s="9">
        <f>IF(OR(T113="",T113=0),"",(V113-T113)/T113)</f>
        <v/>
      </c>
      <c r="X113" s="7">
        <f>IF(COUNT(D113:S113)=0,"",INDEX($D$1:$S$1,MATCH(MIN(D113:S113),D113:S113,0)))</f>
        <v/>
      </c>
      <c r="Y113" s="8" t="n">
        <v>330</v>
      </c>
      <c r="Z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>
        <f>IF(COUNT(D114:S114)=0,"",MIN(D114:S114))</f>
        <v/>
      </c>
      <c r="U114" s="8">
        <f>IF(COUNT(D114:S114)=0,"",MEDIAN(D114:S114))</f>
        <v/>
      </c>
      <c r="V114" s="8">
        <f>IF(COUNT(D114:S114)=0,"",MAX(D114:S114))</f>
        <v/>
      </c>
      <c r="W114" s="9">
        <f>IF(OR(T114="",T114=0),"",(V114-T114)/T114)</f>
        <v/>
      </c>
      <c r="X114" s="7">
        <f>IF(COUNT(D114:S114)=0,"",INDEX($D$1:$S$1,MATCH(MIN(D114:S114),D114:S114,0)))</f>
        <v/>
      </c>
      <c r="Y114" s="8" t="n">
        <v>245.85</v>
      </c>
      <c r="Z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>
        <f>IF(COUNT(D115:S115)=0,"",MIN(D115:S115))</f>
        <v/>
      </c>
      <c r="U115" s="8">
        <f>IF(COUNT(D115:S115)=0,"",MEDIAN(D115:S115))</f>
        <v/>
      </c>
      <c r="V115" s="8">
        <f>IF(COUNT(D115:S115)=0,"",MAX(D115:S115))</f>
        <v/>
      </c>
      <c r="W115" s="9">
        <f>IF(OR(T115="",T115=0),"",(V115-T115)/T115)</f>
        <v/>
      </c>
      <c r="X115" s="7">
        <f>IF(COUNT(D115:S115)=0,"",INDEX($D$1:$S$1,MATCH(MIN(D115:S115),D115:S115,0)))</f>
        <v/>
      </c>
      <c r="Y115" s="8" t="n">
        <v>253.1</v>
      </c>
      <c r="Z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>
        <f>IF(COUNT(D116:S116)=0,"",MIN(D116:S116))</f>
        <v/>
      </c>
      <c r="U116" s="8">
        <f>IF(COUNT(D116:S116)=0,"",MEDIAN(D116:S116))</f>
        <v/>
      </c>
      <c r="V116" s="8">
        <f>IF(COUNT(D116:S116)=0,"",MAX(D116:S116))</f>
        <v/>
      </c>
      <c r="W116" s="9">
        <f>IF(OR(T116="",T116=0),"",(V116-T116)/T116)</f>
        <v/>
      </c>
      <c r="X116" s="7">
        <f>IF(COUNT(D116:S116)=0,"",INDEX($D$1:$S$1,MATCH(MIN(D116:S116),D116:S116,0)))</f>
        <v/>
      </c>
      <c r="Y116" s="8" t="n">
        <v>1460</v>
      </c>
      <c r="Z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>
        <f>IF(COUNT(D117:S117)=0,"",MIN(D117:S117))</f>
        <v/>
      </c>
      <c r="U117" s="8">
        <f>IF(COUNT(D117:S117)=0,"",MEDIAN(D117:S117))</f>
        <v/>
      </c>
      <c r="V117" s="8">
        <f>IF(COUNT(D117:S117)=0,"",MAX(D117:S117))</f>
        <v/>
      </c>
      <c r="W117" s="9">
        <f>IF(OR(T117="",T117=0),"",(V117-T117)/T117)</f>
        <v/>
      </c>
      <c r="X117" s="7">
        <f>IF(COUNT(D117:S117)=0,"",INDEX($D$1:$S$1,MATCH(MIN(D117:S117),D117:S117,0)))</f>
        <v/>
      </c>
      <c r="Y117" s="8" t="n">
        <v>6055</v>
      </c>
      <c r="Z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>
        <f>IF(COUNT(D118:S118)=0,"",MIN(D118:S118))</f>
        <v/>
      </c>
      <c r="U118" s="8">
        <f>IF(COUNT(D118:S118)=0,"",MEDIAN(D118:S118))</f>
        <v/>
      </c>
      <c r="V118" s="8">
        <f>IF(COUNT(D118:S118)=0,"",MAX(D118:S118))</f>
        <v/>
      </c>
      <c r="W118" s="9">
        <f>IF(OR(T118="",T118=0),"",(V118-T118)/T118)</f>
        <v/>
      </c>
      <c r="X118" s="7">
        <f>IF(COUNT(D118:S118)=0,"",INDEX($D$1:$S$1,MATCH(MIN(D118:S118),D118:S118,0)))</f>
        <v/>
      </c>
      <c r="Y118" s="8" t="n">
        <v>454.75</v>
      </c>
      <c r="Z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>
        <f>IF(COUNT(D119:S119)=0,"",MIN(D119:S119))</f>
        <v/>
      </c>
      <c r="U119" s="8">
        <f>IF(COUNT(D119:S119)=0,"",MEDIAN(D119:S119))</f>
        <v/>
      </c>
      <c r="V119" s="8">
        <f>IF(COUNT(D119:S119)=0,"",MAX(D119:S119))</f>
        <v/>
      </c>
      <c r="W119" s="9">
        <f>IF(OR(T119="",T119=0),"",(V119-T119)/T119)</f>
        <v/>
      </c>
      <c r="X119" s="7">
        <f>IF(COUNT(D119:S119)=0,"",INDEX($D$1:$S$1,MATCH(MIN(D119:S119),D119:S119,0)))</f>
        <v/>
      </c>
      <c r="Y119" s="8" t="n">
        <v>535</v>
      </c>
      <c r="Z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>
        <f>IF(COUNT(D120:S120)=0,"",MIN(D120:S120))</f>
        <v/>
      </c>
      <c r="U120" s="8">
        <f>IF(COUNT(D120:S120)=0,"",MEDIAN(D120:S120))</f>
        <v/>
      </c>
      <c r="V120" s="8">
        <f>IF(COUNT(D120:S120)=0,"",MAX(D120:S120))</f>
        <v/>
      </c>
      <c r="W120" s="9">
        <f>IF(OR(T120="",T120=0),"",(V120-T120)/T120)</f>
        <v/>
      </c>
      <c r="X120" s="7">
        <f>IF(COUNT(D120:S120)=0,"",INDEX($D$1:$S$1,MATCH(MIN(D120:S120),D120:S120,0)))</f>
        <v/>
      </c>
      <c r="Y120" s="8" t="n">
        <v>395</v>
      </c>
      <c r="Z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>
        <f>IF(COUNT(D121:S121)=0,"",MIN(D121:S121))</f>
        <v/>
      </c>
      <c r="U121" s="8">
        <f>IF(COUNT(D121:S121)=0,"",MEDIAN(D121:S121))</f>
        <v/>
      </c>
      <c r="V121" s="8">
        <f>IF(COUNT(D121:S121)=0,"",MAX(D121:S121))</f>
        <v/>
      </c>
      <c r="W121" s="9">
        <f>IF(OR(T121="",T121=0),"",(V121-T121)/T121)</f>
        <v/>
      </c>
      <c r="X121" s="7">
        <f>IF(COUNT(D121:S121)=0,"",INDEX($D$1:$S$1,MATCH(MIN(D121:S121),D121:S121,0)))</f>
        <v/>
      </c>
      <c r="Y121" s="8" t="n">
        <v>1072.5</v>
      </c>
      <c r="Z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>
        <f>IF(COUNT(D122:S122)=0,"",MIN(D122:S122))</f>
        <v/>
      </c>
      <c r="U122" s="8">
        <f>IF(COUNT(D122:S122)=0,"",MEDIAN(D122:S122))</f>
        <v/>
      </c>
      <c r="V122" s="8">
        <f>IF(COUNT(D122:S122)=0,"",MAX(D122:S122))</f>
        <v/>
      </c>
      <c r="W122" s="9">
        <f>IF(OR(T122="",T122=0),"",(V122-T122)/T122)</f>
        <v/>
      </c>
      <c r="X122" s="7">
        <f>IF(COUNT(D122:S122)=0,"",INDEX($D$1:$S$1,MATCH(MIN(D122:S122),D122:S122,0)))</f>
        <v/>
      </c>
      <c r="Y122" s="8" t="n">
        <v>285</v>
      </c>
      <c r="Z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>
        <f>IF(COUNT(D123:S123)=0,"",MIN(D123:S123))</f>
        <v/>
      </c>
      <c r="U123" s="8">
        <f>IF(COUNT(D123:S123)=0,"",MEDIAN(D123:S123))</f>
        <v/>
      </c>
      <c r="V123" s="8">
        <f>IF(COUNT(D123:S123)=0,"",MAX(D123:S123))</f>
        <v/>
      </c>
      <c r="W123" s="9">
        <f>IF(OR(T123="",T123=0),"",(V123-T123)/T123)</f>
        <v/>
      </c>
      <c r="X123" s="7">
        <f>IF(COUNT(D123:S123)=0,"",INDEX($D$1:$S$1,MATCH(MIN(D123:S123),D123:S123,0)))</f>
        <v/>
      </c>
      <c r="Y123" s="8" t="n">
        <v>8617.5</v>
      </c>
      <c r="Z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>
        <f>IF(COUNT(D124:S124)=0,"",MIN(D124:S124))</f>
        <v/>
      </c>
      <c r="U124" s="8">
        <f>IF(COUNT(D124:S124)=0,"",MEDIAN(D124:S124))</f>
        <v/>
      </c>
      <c r="V124" s="8">
        <f>IF(COUNT(D124:S124)=0,"",MAX(D124:S124))</f>
        <v/>
      </c>
      <c r="W124" s="9">
        <f>IF(OR(T124="",T124=0),"",(V124-T124)/T124)</f>
        <v/>
      </c>
      <c r="X124" s="7">
        <f>IF(COUNT(D124:S124)=0,"",INDEX($D$1:$S$1,MATCH(MIN(D124:S124),D124:S124,0)))</f>
        <v/>
      </c>
      <c r="Y124" s="8" t="n">
        <v>1610.75</v>
      </c>
      <c r="Z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>
        <f>IF(COUNT(D125:S125)=0,"",MIN(D125:S125))</f>
        <v/>
      </c>
      <c r="U125" s="8">
        <f>IF(COUNT(D125:S125)=0,"",MEDIAN(D125:S125))</f>
        <v/>
      </c>
      <c r="V125" s="8">
        <f>IF(COUNT(D125:S125)=0,"",MAX(D125:S125))</f>
        <v/>
      </c>
      <c r="W125" s="9">
        <f>IF(OR(T125="",T125=0),"",(V125-T125)/T125)</f>
        <v/>
      </c>
      <c r="X125" s="7">
        <f>IF(COUNT(D125:S125)=0,"",INDEX($D$1:$S$1,MATCH(MIN(D125:S125),D125:S125,0)))</f>
        <v/>
      </c>
      <c r="Y125" s="8" t="n">
        <v>2005</v>
      </c>
      <c r="Z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>
        <f>IF(COUNT(D126:S126)=0,"",MIN(D126:S126))</f>
        <v/>
      </c>
      <c r="U126" s="8">
        <f>IF(COUNT(D126:S126)=0,"",MEDIAN(D126:S126))</f>
        <v/>
      </c>
      <c r="V126" s="8">
        <f>IF(COUNT(D126:S126)=0,"",MAX(D126:S126))</f>
        <v/>
      </c>
      <c r="W126" s="9">
        <f>IF(OR(T126="",T126=0),"",(V126-T126)/T126)</f>
        <v/>
      </c>
      <c r="X126" s="7">
        <f>IF(COUNT(D126:S126)=0,"",INDEX($D$1:$S$1,MATCH(MIN(D126:S126),D126:S126,0)))</f>
        <v/>
      </c>
      <c r="Y126" s="8" t="n">
        <v>3952.5</v>
      </c>
      <c r="Z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>
        <f>IF(COUNT(D127:S127)=0,"",MIN(D127:S127))</f>
        <v/>
      </c>
      <c r="U127" s="8">
        <f>IF(COUNT(D127:S127)=0,"",MEDIAN(D127:S127))</f>
        <v/>
      </c>
      <c r="V127" s="8">
        <f>IF(COUNT(D127:S127)=0,"",MAX(D127:S127))</f>
        <v/>
      </c>
      <c r="W127" s="9">
        <f>IF(OR(T127="",T127=0),"",(V127-T127)/T127)</f>
        <v/>
      </c>
      <c r="X127" s="7">
        <f>IF(COUNT(D127:S127)=0,"",INDEX($D$1:$S$1,MATCH(MIN(D127:S127),D127:S127,0)))</f>
        <v/>
      </c>
      <c r="Y127" s="8" t="n">
        <v>533.8</v>
      </c>
      <c r="Z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>
        <f>IF(COUNT(D128:S128)=0,"",MIN(D128:S128))</f>
        <v/>
      </c>
      <c r="U128" s="8">
        <f>IF(COUNT(D128:S128)=0,"",MEDIAN(D128:S128))</f>
        <v/>
      </c>
      <c r="V128" s="8">
        <f>IF(COUNT(D128:S128)=0,"",MAX(D128:S128))</f>
        <v/>
      </c>
      <c r="W128" s="9">
        <f>IF(OR(T128="",T128=0),"",(V128-T128)/T128)</f>
        <v/>
      </c>
      <c r="X128" s="7">
        <f>IF(COUNT(D128:S128)=0,"",INDEX($D$1:$S$1,MATCH(MIN(D128:S128),D128:S128,0)))</f>
        <v/>
      </c>
      <c r="Y128" s="8" t="n">
        <v>377.4</v>
      </c>
      <c r="Z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>
        <f>IF(COUNT(D129:S129)=0,"",MIN(D129:S129))</f>
        <v/>
      </c>
      <c r="U129" s="8">
        <f>IF(COUNT(D129:S129)=0,"",MEDIAN(D129:S129))</f>
        <v/>
      </c>
      <c r="V129" s="8">
        <f>IF(COUNT(D129:S129)=0,"",MAX(D129:S129))</f>
        <v/>
      </c>
      <c r="W129" s="9">
        <f>IF(OR(T129="",T129=0),"",(V129-T129)/T129)</f>
        <v/>
      </c>
      <c r="X129" s="7">
        <f>IF(COUNT(D129:S129)=0,"",INDEX($D$1:$S$1,MATCH(MIN(D129:S129),D129:S129,0)))</f>
        <v/>
      </c>
      <c r="Y129" s="8" t="n">
        <v>949.45</v>
      </c>
      <c r="Z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>
        <f>IF(COUNT(D130:S130)=0,"",MIN(D130:S130))</f>
        <v/>
      </c>
      <c r="U130" s="8">
        <f>IF(COUNT(D130:S130)=0,"",MEDIAN(D130:S130))</f>
        <v/>
      </c>
      <c r="V130" s="8">
        <f>IF(COUNT(D130:S130)=0,"",MAX(D130:S130))</f>
        <v/>
      </c>
      <c r="W130" s="9">
        <f>IF(OR(T130="",T130=0),"",(V130-T130)/T130)</f>
        <v/>
      </c>
      <c r="X130" s="7">
        <f>IF(COUNT(D130:S130)=0,"",INDEX($D$1:$S$1,MATCH(MIN(D130:S130),D130:S130,0)))</f>
        <v/>
      </c>
      <c r="Y130" s="8" t="n">
        <v>2817.75</v>
      </c>
      <c r="Z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>
        <f>IF(COUNT(D131:S131)=0,"",MIN(D131:S131))</f>
        <v/>
      </c>
      <c r="U131" s="8">
        <f>IF(COUNT(D131:S131)=0,"",MEDIAN(D131:S131))</f>
        <v/>
      </c>
      <c r="V131" s="8">
        <f>IF(COUNT(D131:S131)=0,"",MAX(D131:S131))</f>
        <v/>
      </c>
      <c r="W131" s="9">
        <f>IF(OR(T131="",T131=0),"",(V131-T131)/T131)</f>
        <v/>
      </c>
      <c r="X131" s="7">
        <f>IF(COUNT(D131:S131)=0,"",INDEX($D$1:$S$1,MATCH(MIN(D131:S131),D131:S131,0)))</f>
        <v/>
      </c>
      <c r="Y131" s="8" t="n">
        <v>712</v>
      </c>
      <c r="Z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>
        <f>IF(COUNT(D132:S132)=0,"",MIN(D132:S132))</f>
        <v/>
      </c>
      <c r="U132" s="8">
        <f>IF(COUNT(D132:S132)=0,"",MEDIAN(D132:S132))</f>
        <v/>
      </c>
      <c r="V132" s="8">
        <f>IF(COUNT(D132:S132)=0,"",MAX(D132:S132))</f>
        <v/>
      </c>
      <c r="W132" s="9">
        <f>IF(OR(T132="",T132=0),"",(V132-T132)/T132)</f>
        <v/>
      </c>
      <c r="X132" s="7">
        <f>IF(COUNT(D132:S132)=0,"",INDEX($D$1:$S$1,MATCH(MIN(D132:S132),D132:S132,0)))</f>
        <v/>
      </c>
      <c r="Y132" s="8" t="n">
        <v>328</v>
      </c>
      <c r="Z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>
        <f>IF(COUNT(D133:S133)=0,"",MIN(D133:S133))</f>
        <v/>
      </c>
      <c r="U133" s="8">
        <f>IF(COUNT(D133:S133)=0,"",MEDIAN(D133:S133))</f>
        <v/>
      </c>
      <c r="V133" s="8">
        <f>IF(COUNT(D133:S133)=0,"",MAX(D133:S133))</f>
        <v/>
      </c>
      <c r="W133" s="9">
        <f>IF(OR(T133="",T133=0),"",(V133-T133)/T133)</f>
        <v/>
      </c>
      <c r="X133" s="7">
        <f>IF(COUNT(D133:S133)=0,"",INDEX($D$1:$S$1,MATCH(MIN(D133:S133),D133:S133,0)))</f>
        <v/>
      </c>
      <c r="Y133" s="8" t="n">
        <v>555.05</v>
      </c>
      <c r="Z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>
        <f>IF(COUNT(D134:S134)=0,"",MIN(D134:S134))</f>
        <v/>
      </c>
      <c r="U134" s="8">
        <f>IF(COUNT(D134:S134)=0,"",MEDIAN(D134:S134))</f>
        <v/>
      </c>
      <c r="V134" s="8">
        <f>IF(COUNT(D134:S134)=0,"",MAX(D134:S134))</f>
        <v/>
      </c>
      <c r="W134" s="9">
        <f>IF(OR(T134="",T134=0),"",(V134-T134)/T134)</f>
        <v/>
      </c>
      <c r="X134" s="7">
        <f>IF(COUNT(D134:S134)=0,"",INDEX($D$1:$S$1,MATCH(MIN(D134:S134),D134:S134,0)))</f>
        <v/>
      </c>
      <c r="Y134" s="8" t="n">
        <v>1365.1</v>
      </c>
      <c r="Z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>
        <f>IF(COUNT(D135:S135)=0,"",MIN(D135:S135))</f>
        <v/>
      </c>
      <c r="U135" s="8">
        <f>IF(COUNT(D135:S135)=0,"",MEDIAN(D135:S135))</f>
        <v/>
      </c>
      <c r="V135" s="8">
        <f>IF(COUNT(D135:S135)=0,"",MAX(D135:S135))</f>
        <v/>
      </c>
      <c r="W135" s="9">
        <f>IF(OR(T135="",T135=0),"",(V135-T135)/T135)</f>
        <v/>
      </c>
      <c r="X135" s="7">
        <f>IF(COUNT(D135:S135)=0,"",INDEX($D$1:$S$1,MATCH(MIN(D135:S135),D135:S135,0)))</f>
        <v/>
      </c>
      <c r="Y135" s="8" t="n">
        <v>1270.75</v>
      </c>
      <c r="Z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>
        <f>IF(COUNT(D136:S136)=0,"",MIN(D136:S136))</f>
        <v/>
      </c>
      <c r="U136" s="8">
        <f>IF(COUNT(D136:S136)=0,"",MEDIAN(D136:S136))</f>
        <v/>
      </c>
      <c r="V136" s="8">
        <f>IF(COUNT(D136:S136)=0,"",MAX(D136:S136))</f>
        <v/>
      </c>
      <c r="W136" s="9">
        <f>IF(OR(T136="",T136=0),"",(V136-T136)/T136)</f>
        <v/>
      </c>
      <c r="X136" s="7">
        <f>IF(COUNT(D136:S136)=0,"",INDEX($D$1:$S$1,MATCH(MIN(D136:S136),D136:S136,0)))</f>
        <v/>
      </c>
      <c r="Y136" s="8" t="n">
        <v>135</v>
      </c>
      <c r="Z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>
        <f>IF(COUNT(D137:S137)=0,"",MIN(D137:S137))</f>
        <v/>
      </c>
      <c r="U137" s="8">
        <f>IF(COUNT(D137:S137)=0,"",MEDIAN(D137:S137))</f>
        <v/>
      </c>
      <c r="V137" s="8">
        <f>IF(COUNT(D137:S137)=0,"",MAX(D137:S137))</f>
        <v/>
      </c>
      <c r="W137" s="9">
        <f>IF(OR(T137="",T137=0),"",(V137-T137)/T137)</f>
        <v/>
      </c>
      <c r="X137" s="7">
        <f>IF(COUNT(D137:S137)=0,"",INDEX($D$1:$S$1,MATCH(MIN(D137:S137),D137:S137,0)))</f>
        <v/>
      </c>
      <c r="Y137" s="8" t="n">
        <v>1308</v>
      </c>
      <c r="Z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>
        <f>IF(COUNT(D138:S138)=0,"",MIN(D138:S138))</f>
        <v/>
      </c>
      <c r="U138" s="8">
        <f>IF(COUNT(D138:S138)=0,"",MEDIAN(D138:S138))</f>
        <v/>
      </c>
      <c r="V138" s="8">
        <f>IF(COUNT(D138:S138)=0,"",MAX(D138:S138))</f>
        <v/>
      </c>
      <c r="W138" s="9">
        <f>IF(OR(T138="",T138=0),"",(V138-T138)/T138)</f>
        <v/>
      </c>
      <c r="X138" s="7">
        <f>IF(COUNT(D138:S138)=0,"",INDEX($D$1:$S$1,MATCH(MIN(D138:S138),D138:S138,0)))</f>
        <v/>
      </c>
      <c r="Y138" s="8" t="n">
        <v>2715.75</v>
      </c>
      <c r="Z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>
        <f>IF(COUNT(D139:S139)=0,"",MIN(D139:S139))</f>
        <v/>
      </c>
      <c r="U139" s="8">
        <f>IF(COUNT(D139:S139)=0,"",MEDIAN(D139:S139))</f>
        <v/>
      </c>
      <c r="V139" s="8">
        <f>IF(COUNT(D139:S139)=0,"",MAX(D139:S139))</f>
        <v/>
      </c>
      <c r="W139" s="9">
        <f>IF(OR(T139="",T139=0),"",(V139-T139)/T139)</f>
        <v/>
      </c>
      <c r="X139" s="7">
        <f>IF(COUNT(D139:S139)=0,"",INDEX($D$1:$S$1,MATCH(MIN(D139:S139),D139:S139,0)))</f>
        <v/>
      </c>
      <c r="Y139" s="8" t="n">
        <v>2396</v>
      </c>
      <c r="Z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>
        <f>IF(COUNT(D140:S140)=0,"",MIN(D140:S140))</f>
        <v/>
      </c>
      <c r="U140" s="8">
        <f>IF(COUNT(D140:S140)=0,"",MEDIAN(D140:S140))</f>
        <v/>
      </c>
      <c r="V140" s="8">
        <f>IF(COUNT(D140:S140)=0,"",MAX(D140:S140))</f>
        <v/>
      </c>
      <c r="W140" s="9">
        <f>IF(OR(T140="",T140=0),"",(V140-T140)/T140)</f>
        <v/>
      </c>
      <c r="X140" s="7">
        <f>IF(COUNT(D140:S140)=0,"",INDEX($D$1:$S$1,MATCH(MIN(D140:S140),D140:S140,0)))</f>
        <v/>
      </c>
      <c r="Y140" s="8" t="n">
        <v>625</v>
      </c>
      <c r="Z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>
        <f>IF(COUNT(D141:S141)=0,"",MIN(D141:S141))</f>
        <v/>
      </c>
      <c r="U141" s="8">
        <f>IF(COUNT(D141:S141)=0,"",MEDIAN(D141:S141))</f>
        <v/>
      </c>
      <c r="V141" s="8">
        <f>IF(COUNT(D141:S141)=0,"",MAX(D141:S141))</f>
        <v/>
      </c>
      <c r="W141" s="9">
        <f>IF(OR(T141="",T141=0),"",(V141-T141)/T141)</f>
        <v/>
      </c>
      <c r="X141" s="7">
        <f>IF(COUNT(D141:S141)=0,"",INDEX($D$1:$S$1,MATCH(MIN(D141:S141),D141:S141,0)))</f>
        <v/>
      </c>
      <c r="Y141" s="8" t="n">
        <v>1845</v>
      </c>
      <c r="Z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>
        <f>IF(COUNT(D142:S142)=0,"",MIN(D142:S142))</f>
        <v/>
      </c>
      <c r="U142" s="8">
        <f>IF(COUNT(D142:S142)=0,"",MEDIAN(D142:S142))</f>
        <v/>
      </c>
      <c r="V142" s="8">
        <f>IF(COUNT(D142:S142)=0,"",MAX(D142:S142))</f>
        <v/>
      </c>
      <c r="W142" s="9">
        <f>IF(OR(T142="",T142=0),"",(V142-T142)/T142)</f>
        <v/>
      </c>
      <c r="X142" s="7">
        <f>IF(COUNT(D142:S142)=0,"",INDEX($D$1:$S$1,MATCH(MIN(D142:S142),D142:S142,0)))</f>
        <v/>
      </c>
      <c r="Y142" s="8" t="n">
        <v>569.5</v>
      </c>
      <c r="Z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>
        <f>IF(COUNT(D143:S143)=0,"",MIN(D143:S143))</f>
        <v/>
      </c>
      <c r="U143" s="8">
        <f>IF(COUNT(D143:S143)=0,"",MEDIAN(D143:S143))</f>
        <v/>
      </c>
      <c r="V143" s="8">
        <f>IF(COUNT(D143:S143)=0,"",MAX(D143:S143))</f>
        <v/>
      </c>
      <c r="W143" s="9">
        <f>IF(OR(T143="",T143=0),"",(V143-T143)/T143)</f>
        <v/>
      </c>
      <c r="X143" s="7">
        <f>IF(COUNT(D143:S143)=0,"",INDEX($D$1:$S$1,MATCH(MIN(D143:S143),D143:S143,0)))</f>
        <v/>
      </c>
      <c r="Y143" s="8" t="n">
        <v>330.5</v>
      </c>
      <c r="Z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>
        <f>IF(COUNT(D144:S144)=0,"",MIN(D144:S144))</f>
        <v/>
      </c>
      <c r="U144" s="8">
        <f>IF(COUNT(D144:S144)=0,"",MEDIAN(D144:S144))</f>
        <v/>
      </c>
      <c r="V144" s="8">
        <f>IF(COUNT(D144:S144)=0,"",MAX(D144:S144))</f>
        <v/>
      </c>
      <c r="W144" s="9">
        <f>IF(OR(T144="",T144=0),"",(V144-T144)/T144)</f>
        <v/>
      </c>
      <c r="X144" s="7">
        <f>IF(COUNT(D144:S144)=0,"",INDEX($D$1:$S$1,MATCH(MIN(D144:S144),D144:S144,0)))</f>
        <v/>
      </c>
      <c r="Y144" s="8" t="n">
        <v>167</v>
      </c>
      <c r="Z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>
        <f>IF(COUNT(D145:S145)=0,"",MIN(D145:S145))</f>
        <v/>
      </c>
      <c r="U145" s="8">
        <f>IF(COUNT(D145:S145)=0,"",MEDIAN(D145:S145))</f>
        <v/>
      </c>
      <c r="V145" s="8">
        <f>IF(COUNT(D145:S145)=0,"",MAX(D145:S145))</f>
        <v/>
      </c>
      <c r="W145" s="9">
        <f>IF(OR(T145="",T145=0),"",(V145-T145)/T145)</f>
        <v/>
      </c>
      <c r="X145" s="7">
        <f>IF(COUNT(D145:S145)=0,"",INDEX($D$1:$S$1,MATCH(MIN(D145:S145),D145:S145,0)))</f>
        <v/>
      </c>
      <c r="Y145" s="8" t="n">
        <v>30</v>
      </c>
      <c r="Z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>
        <f>IF(COUNT(D146:S146)=0,"",MIN(D146:S146))</f>
        <v/>
      </c>
      <c r="U146" s="8">
        <f>IF(COUNT(D146:S146)=0,"",MEDIAN(D146:S146))</f>
        <v/>
      </c>
      <c r="V146" s="8">
        <f>IF(COUNT(D146:S146)=0,"",MAX(D146:S146))</f>
        <v/>
      </c>
      <c r="W146" s="9">
        <f>IF(OR(T146="",T146=0),"",(V146-T146)/T146)</f>
        <v/>
      </c>
      <c r="X146" s="7">
        <f>IF(COUNT(D146:S146)=0,"",INDEX($D$1:$S$1,MATCH(MIN(D146:S146),D146:S146,0)))</f>
        <v/>
      </c>
      <c r="Y146" s="8" t="n">
        <v>54.68</v>
      </c>
      <c r="Z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>
        <f>IF(COUNT(D147:S147)=0,"",MIN(D147:S147))</f>
        <v/>
      </c>
      <c r="U147" s="8">
        <f>IF(COUNT(D147:S147)=0,"",MEDIAN(D147:S147))</f>
        <v/>
      </c>
      <c r="V147" s="8">
        <f>IF(COUNT(D147:S147)=0,"",MAX(D147:S147))</f>
        <v/>
      </c>
      <c r="W147" s="9">
        <f>IF(OR(T147="",T147=0),"",(V147-T147)/T147)</f>
        <v/>
      </c>
      <c r="X147" s="7">
        <f>IF(COUNT(D147:S147)=0,"",INDEX($D$1:$S$1,MATCH(MIN(D147:S147),D147:S147,0)))</f>
        <v/>
      </c>
      <c r="Y147" s="8" t="n">
        <v>119.48</v>
      </c>
      <c r="Z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>
        <f>IF(COUNT(D148:S148)=0,"",MIN(D148:S148))</f>
        <v/>
      </c>
      <c r="U148" s="8">
        <f>IF(COUNT(D148:S148)=0,"",MEDIAN(D148:S148))</f>
        <v/>
      </c>
      <c r="V148" s="8">
        <f>IF(COUNT(D148:S148)=0,"",MAX(D148:S148))</f>
        <v/>
      </c>
      <c r="W148" s="9">
        <f>IF(OR(T148="",T148=0),"",(V148-T148)/T148)</f>
        <v/>
      </c>
      <c r="X148" s="7">
        <f>IF(COUNT(D148:S148)=0,"",INDEX($D$1:$S$1,MATCH(MIN(D148:S148),D148:S148,0)))</f>
        <v/>
      </c>
      <c r="Y148" s="8" t="n">
        <v>57</v>
      </c>
      <c r="Z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>
        <f>IF(COUNT(D149:S149)=0,"",MIN(D149:S149))</f>
        <v/>
      </c>
      <c r="U149" s="8">
        <f>IF(COUNT(D149:S149)=0,"",MEDIAN(D149:S149))</f>
        <v/>
      </c>
      <c r="V149" s="8">
        <f>IF(COUNT(D149:S149)=0,"",MAX(D149:S149))</f>
        <v/>
      </c>
      <c r="W149" s="9">
        <f>IF(OR(T149="",T149=0),"",(V149-T149)/T149)</f>
        <v/>
      </c>
      <c r="X149" s="7">
        <f>IF(COUNT(D149:S149)=0,"",INDEX($D$1:$S$1,MATCH(MIN(D149:S149),D149:S149,0)))</f>
        <v/>
      </c>
      <c r="Y149" s="8" t="n">
        <v>138.5</v>
      </c>
      <c r="Z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>
        <f>IF(COUNT(D150:S150)=0,"",MIN(D150:S150))</f>
        <v/>
      </c>
      <c r="U150" s="8">
        <f>IF(COUNT(D150:S150)=0,"",MEDIAN(D150:S150))</f>
        <v/>
      </c>
      <c r="V150" s="8">
        <f>IF(COUNT(D150:S150)=0,"",MAX(D150:S150))</f>
        <v/>
      </c>
      <c r="W150" s="9">
        <f>IF(OR(T150="",T150=0),"",(V150-T150)/T150)</f>
        <v/>
      </c>
      <c r="X150" s="7">
        <f>IF(COUNT(D150:S150)=0,"",INDEX($D$1:$S$1,MATCH(MIN(D150:S150),D150:S150,0)))</f>
        <v/>
      </c>
      <c r="Y150" s="8" t="n">
        <v>159.1</v>
      </c>
      <c r="Z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>
        <f>IF(COUNT(D151:S151)=0,"",MIN(D151:S151))</f>
        <v/>
      </c>
      <c r="U151" s="8">
        <f>IF(COUNT(D151:S151)=0,"",MEDIAN(D151:S151))</f>
        <v/>
      </c>
      <c r="V151" s="8">
        <f>IF(COUNT(D151:S151)=0,"",MAX(D151:S151))</f>
        <v/>
      </c>
      <c r="W151" s="9">
        <f>IF(OR(T151="",T151=0),"",(V151-T151)/T151)</f>
        <v/>
      </c>
      <c r="X151" s="7">
        <f>IF(COUNT(D151:S151)=0,"",INDEX($D$1:$S$1,MATCH(MIN(D151:S151),D151:S151,0)))</f>
        <v/>
      </c>
      <c r="Y151" s="8" t="n">
        <v>4.8</v>
      </c>
      <c r="Z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>
        <f>IF(COUNT(D152:S152)=0,"",MIN(D152:S152))</f>
        <v/>
      </c>
      <c r="U152" s="8">
        <f>IF(COUNT(D152:S152)=0,"",MEDIAN(D152:S152))</f>
        <v/>
      </c>
      <c r="V152" s="8">
        <f>IF(COUNT(D152:S152)=0,"",MAX(D152:S152))</f>
        <v/>
      </c>
      <c r="W152" s="9">
        <f>IF(OR(T152="",T152=0),"",(V152-T152)/T152)</f>
        <v/>
      </c>
      <c r="X152" s="7">
        <f>IF(COUNT(D152:S152)=0,"",INDEX($D$1:$S$1,MATCH(MIN(D152:S152),D152:S152,0)))</f>
        <v/>
      </c>
      <c r="Y152" s="8" t="n">
        <v>37.93</v>
      </c>
      <c r="Z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>
        <f>IF(COUNT(D153:S153)=0,"",MIN(D153:S153))</f>
        <v/>
      </c>
      <c r="U153" s="8">
        <f>IF(COUNT(D153:S153)=0,"",MEDIAN(D153:S153))</f>
        <v/>
      </c>
      <c r="V153" s="8">
        <f>IF(COUNT(D153:S153)=0,"",MAX(D153:S153))</f>
        <v/>
      </c>
      <c r="W153" s="9">
        <f>IF(OR(T153="",T153=0),"",(V153-T153)/T153)</f>
        <v/>
      </c>
      <c r="X153" s="7">
        <f>IF(COUNT(D153:S153)=0,"",INDEX($D$1:$S$1,MATCH(MIN(D153:S153),D153:S153,0)))</f>
        <v/>
      </c>
      <c r="Y153" s="8" t="n">
        <v>373.64</v>
      </c>
      <c r="Z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>
        <f>IF(COUNT(D154:S154)=0,"",MIN(D154:S154))</f>
        <v/>
      </c>
      <c r="U154" s="8">
        <f>IF(COUNT(D154:S154)=0,"",MEDIAN(D154:S154))</f>
        <v/>
      </c>
      <c r="V154" s="8">
        <f>IF(COUNT(D154:S154)=0,"",MAX(D154:S154))</f>
        <v/>
      </c>
      <c r="W154" s="9">
        <f>IF(OR(T154="",T154=0),"",(V154-T154)/T154)</f>
        <v/>
      </c>
      <c r="X154" s="7">
        <f>IF(COUNT(D154:S154)=0,"",INDEX($D$1:$S$1,MATCH(MIN(D154:S154),D154:S154,0)))</f>
        <v/>
      </c>
      <c r="Y154" s="8" t="n">
        <v>1295.68</v>
      </c>
      <c r="Z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>
        <f>IF(COUNT(D155:S155)=0,"",MIN(D155:S155))</f>
        <v/>
      </c>
      <c r="U155" s="8">
        <f>IF(COUNT(D155:S155)=0,"",MEDIAN(D155:S155))</f>
        <v/>
      </c>
      <c r="V155" s="8">
        <f>IF(COUNT(D155:S155)=0,"",MAX(D155:S155))</f>
        <v/>
      </c>
      <c r="W155" s="9">
        <f>IF(OR(T155="",T155=0),"",(V155-T155)/T155)</f>
        <v/>
      </c>
      <c r="X155" s="7">
        <f>IF(COUNT(D155:S155)=0,"",INDEX($D$1:$S$1,MATCH(MIN(D155:S155),D155:S155,0)))</f>
        <v/>
      </c>
      <c r="Y155" s="8" t="n">
        <v>807.79</v>
      </c>
      <c r="Z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>
        <f>IF(COUNT(D156:S156)=0,"",MIN(D156:S156))</f>
        <v/>
      </c>
      <c r="U156" s="8">
        <f>IF(COUNT(D156:S156)=0,"",MEDIAN(D156:S156))</f>
        <v/>
      </c>
      <c r="V156" s="8">
        <f>IF(COUNT(D156:S156)=0,"",MAX(D156:S156))</f>
        <v/>
      </c>
      <c r="W156" s="9">
        <f>IF(OR(T156="",T156=0),"",(V156-T156)/T156)</f>
        <v/>
      </c>
      <c r="X156" s="7">
        <f>IF(COUNT(D156:S156)=0,"",INDEX($D$1:$S$1,MATCH(MIN(D156:S156),D156:S156,0)))</f>
        <v/>
      </c>
      <c r="Y156" s="8" t="n">
        <v>5692.31</v>
      </c>
      <c r="Z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>
        <f>IF(COUNT(D157:S157)=0,"",MIN(D157:S157))</f>
        <v/>
      </c>
      <c r="U157" s="8">
        <f>IF(COUNT(D157:S157)=0,"",MEDIAN(D157:S157))</f>
        <v/>
      </c>
      <c r="V157" s="8">
        <f>IF(COUNT(D157:S157)=0,"",MAX(D157:S157))</f>
        <v/>
      </c>
      <c r="W157" s="9">
        <f>IF(OR(T157="",T157=0),"",(V157-T157)/T157)</f>
        <v/>
      </c>
      <c r="X157" s="7">
        <f>IF(COUNT(D157:S157)=0,"",INDEX($D$1:$S$1,MATCH(MIN(D157:S157),D157:S157,0)))</f>
        <v/>
      </c>
      <c r="Y157" s="8" t="n">
        <v>556</v>
      </c>
      <c r="Z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>
        <f>IF(COUNT(D158:S158)=0,"",MIN(D158:S158))</f>
        <v/>
      </c>
      <c r="U158" s="8">
        <f>IF(COUNT(D158:S158)=0,"",MEDIAN(D158:S158))</f>
        <v/>
      </c>
      <c r="V158" s="8">
        <f>IF(COUNT(D158:S158)=0,"",MAX(D158:S158))</f>
        <v/>
      </c>
      <c r="W158" s="9">
        <f>IF(OR(T158="",T158=0),"",(V158-T158)/T158)</f>
        <v/>
      </c>
      <c r="X158" s="7">
        <f>IF(COUNT(D158:S158)=0,"",INDEX($D$1:$S$1,MATCH(MIN(D158:S158),D158:S158,0)))</f>
        <v/>
      </c>
      <c r="Y158" s="8" t="n">
        <v>673</v>
      </c>
      <c r="Z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>
        <f>IF(COUNT(D159:S159)=0,"",MIN(D159:S159))</f>
        <v/>
      </c>
      <c r="U159" s="8">
        <f>IF(COUNT(D159:S159)=0,"",MEDIAN(D159:S159))</f>
        <v/>
      </c>
      <c r="V159" s="8">
        <f>IF(COUNT(D159:S159)=0,"",MAX(D159:S159))</f>
        <v/>
      </c>
      <c r="W159" s="9">
        <f>IF(OR(T159="",T159=0),"",(V159-T159)/T159)</f>
        <v/>
      </c>
      <c r="X159" s="7">
        <f>IF(COUNT(D159:S159)=0,"",INDEX($D$1:$S$1,MATCH(MIN(D159:S159),D159:S159,0)))</f>
        <v/>
      </c>
      <c r="Y159" s="8" t="n">
        <v>778.95</v>
      </c>
      <c r="Z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>
        <f>IF(COUNT(D160:S160)=0,"",MIN(D160:S160))</f>
        <v/>
      </c>
      <c r="U160" s="8">
        <f>IF(COUNT(D160:S160)=0,"",MEDIAN(D160:S160))</f>
        <v/>
      </c>
      <c r="V160" s="8">
        <f>IF(COUNT(D160:S160)=0,"",MAX(D160:S160))</f>
        <v/>
      </c>
      <c r="W160" s="9">
        <f>IF(OR(T160="",T160=0),"",(V160-T160)/T160)</f>
        <v/>
      </c>
      <c r="X160" s="7">
        <f>IF(COUNT(D160:S160)=0,"",INDEX($D$1:$S$1,MATCH(MIN(D160:S160),D160:S160,0)))</f>
        <v/>
      </c>
      <c r="Y160" s="8" t="n">
        <v>892</v>
      </c>
      <c r="Z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>
        <f>IF(COUNT(D161:S161)=0,"",MIN(D161:S161))</f>
        <v/>
      </c>
      <c r="U161" s="8">
        <f>IF(COUNT(D161:S161)=0,"",MEDIAN(D161:S161))</f>
        <v/>
      </c>
      <c r="V161" s="8">
        <f>IF(COUNT(D161:S161)=0,"",MAX(D161:S161))</f>
        <v/>
      </c>
      <c r="W161" s="9">
        <f>IF(OR(T161="",T161=0),"",(V161-T161)/T161)</f>
        <v/>
      </c>
      <c r="X161" s="7">
        <f>IF(COUNT(D161:S161)=0,"",INDEX($D$1:$S$1,MATCH(MIN(D161:S161),D161:S161,0)))</f>
        <v/>
      </c>
      <c r="Y161" s="8" t="n">
        <v>2176.47</v>
      </c>
      <c r="Z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>
        <f>IF(COUNT(D162:S162)=0,"",MIN(D162:S162))</f>
        <v/>
      </c>
      <c r="U162" s="8">
        <f>IF(COUNT(D162:S162)=0,"",MEDIAN(D162:S162))</f>
        <v/>
      </c>
      <c r="V162" s="8">
        <f>IF(COUNT(D162:S162)=0,"",MAX(D162:S162))</f>
        <v/>
      </c>
      <c r="W162" s="9">
        <f>IF(OR(T162="",T162=0),"",(V162-T162)/T162)</f>
        <v/>
      </c>
      <c r="X162" s="7">
        <f>IF(COUNT(D162:S162)=0,"",INDEX($D$1:$S$1,MATCH(MIN(D162:S162),D162:S162,0)))</f>
        <v/>
      </c>
      <c r="Y162" s="8" t="n">
        <v>2642.86</v>
      </c>
      <c r="Z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>
        <f>IF(COUNT(D163:S163)=0,"",MIN(D163:S163))</f>
        <v/>
      </c>
      <c r="U163" s="8">
        <f>IF(COUNT(D163:S163)=0,"",MEDIAN(D163:S163))</f>
        <v/>
      </c>
      <c r="V163" s="8">
        <f>IF(COUNT(D163:S163)=0,"",MAX(D163:S163))</f>
        <v/>
      </c>
      <c r="W163" s="9">
        <f>IF(OR(T163="",T163=0),"",(V163-T163)/T163)</f>
        <v/>
      </c>
      <c r="X163" s="7">
        <f>IF(COUNT(D163:S163)=0,"",INDEX($D$1:$S$1,MATCH(MIN(D163:S163),D163:S163,0)))</f>
        <v/>
      </c>
      <c r="Y163" s="8" t="n">
        <v>3083.33</v>
      </c>
      <c r="Z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>
        <f>IF(COUNT(D164:S164)=0,"",MIN(D164:S164))</f>
        <v/>
      </c>
      <c r="U164" s="8">
        <f>IF(COUNT(D164:S164)=0,"",MEDIAN(D164:S164))</f>
        <v/>
      </c>
      <c r="V164" s="8">
        <f>IF(COUNT(D164:S164)=0,"",MAX(D164:S164))</f>
        <v/>
      </c>
      <c r="W164" s="9">
        <f>IF(OR(T164="",T164=0),"",(V164-T164)/T164)</f>
        <v/>
      </c>
      <c r="X164" s="7">
        <f>IF(COUNT(D164:S164)=0,"",INDEX($D$1:$S$1,MATCH(MIN(D164:S164),D164:S164,0)))</f>
        <v/>
      </c>
      <c r="Y164" s="8" t="n">
        <v>3476</v>
      </c>
      <c r="Z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>
        <f>IF(COUNT(D165:S165)=0,"",MIN(D165:S165))</f>
        <v/>
      </c>
      <c r="U165" s="8">
        <f>IF(COUNT(D165:S165)=0,"",MEDIAN(D165:S165))</f>
        <v/>
      </c>
      <c r="V165" s="8">
        <f>IF(COUNT(D165:S165)=0,"",MAX(D165:S165))</f>
        <v/>
      </c>
      <c r="W165" s="9">
        <f>IF(OR(T165="",T165=0),"",(V165-T165)/T165)</f>
        <v/>
      </c>
      <c r="X165" s="7">
        <f>IF(COUNT(D165:S165)=0,"",INDEX($D$1:$S$1,MATCH(MIN(D165:S165),D165:S165,0)))</f>
        <v/>
      </c>
      <c r="Y165" s="8" t="n">
        <v>1233</v>
      </c>
      <c r="Z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>
        <f>IF(COUNT(D166:S166)=0,"",MIN(D166:S166))</f>
        <v/>
      </c>
      <c r="U166" s="8">
        <f>IF(COUNT(D166:S166)=0,"",MEDIAN(D166:S166))</f>
        <v/>
      </c>
      <c r="V166" s="8">
        <f>IF(COUNT(D166:S166)=0,"",MAX(D166:S166))</f>
        <v/>
      </c>
      <c r="W166" s="9">
        <f>IF(OR(T166="",T166=0),"",(V166-T166)/T166)</f>
        <v/>
      </c>
      <c r="X166" s="7">
        <f>IF(COUNT(D166:S166)=0,"",INDEX($D$1:$S$1,MATCH(MIN(D166:S166),D166:S166,0)))</f>
        <v/>
      </c>
      <c r="Y166" s="8" t="n">
        <v>1460</v>
      </c>
      <c r="Z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>
        <f>IF(COUNT(D167:S167)=0,"",MIN(D167:S167))</f>
        <v/>
      </c>
      <c r="U167" s="8">
        <f>IF(COUNT(D167:S167)=0,"",MEDIAN(D167:S167))</f>
        <v/>
      </c>
      <c r="V167" s="8">
        <f>IF(COUNT(D167:S167)=0,"",MAX(D167:S167))</f>
        <v/>
      </c>
      <c r="W167" s="9">
        <f>IF(OR(T167="",T167=0),"",(V167-T167)/T167)</f>
        <v/>
      </c>
      <c r="X167" s="7">
        <f>IF(COUNT(D167:S167)=0,"",INDEX($D$1:$S$1,MATCH(MIN(D167:S167),D167:S167,0)))</f>
        <v/>
      </c>
      <c r="Y167" s="8" t="n">
        <v>1761.9</v>
      </c>
      <c r="Z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>
        <f>IF(COUNT(D168:S168)=0,"",MIN(D168:S168))</f>
        <v/>
      </c>
      <c r="U168" s="8">
        <f>IF(COUNT(D168:S168)=0,"",MEDIAN(D168:S168))</f>
        <v/>
      </c>
      <c r="V168" s="8">
        <f>IF(COUNT(D168:S168)=0,"",MAX(D168:S168))</f>
        <v/>
      </c>
      <c r="W168" s="9">
        <f>IF(OR(T168="",T168=0),"",(V168-T168)/T168)</f>
        <v/>
      </c>
      <c r="X168" s="7">
        <f>IF(COUNT(D168:S168)=0,"",INDEX($D$1:$S$1,MATCH(MIN(D168:S168),D168:S168,0)))</f>
        <v/>
      </c>
      <c r="Y168" s="8" t="n">
        <v>1973</v>
      </c>
      <c r="Z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>
        <f>IF(COUNT(D169:S169)=0,"",MIN(D169:S169))</f>
        <v/>
      </c>
      <c r="U169" s="8">
        <f>IF(COUNT(D169:S169)=0,"",MEDIAN(D169:S169))</f>
        <v/>
      </c>
      <c r="V169" s="8">
        <f>IF(COUNT(D169:S169)=0,"",MAX(D169:S169))</f>
        <v/>
      </c>
      <c r="W169" s="9">
        <f>IF(OR(T169="",T169=0),"",(V169-T169)/T169)</f>
        <v/>
      </c>
      <c r="X169" s="7">
        <f>IF(COUNT(D169:S169)=0,"",INDEX($D$1:$S$1,MATCH(MIN(D169:S169),D169:S169,0)))</f>
        <v/>
      </c>
      <c r="Y169" s="8" t="n">
        <v>312.24</v>
      </c>
      <c r="Z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>
        <f>IF(COUNT(D170:S170)=0,"",MIN(D170:S170))</f>
        <v/>
      </c>
      <c r="U170" s="8">
        <f>IF(COUNT(D170:S170)=0,"",MEDIAN(D170:S170))</f>
        <v/>
      </c>
      <c r="V170" s="8">
        <f>IF(COUNT(D170:S170)=0,"",MAX(D170:S170))</f>
        <v/>
      </c>
      <c r="W170" s="9">
        <f>IF(OR(T170="",T170=0),"",(V170-T170)/T170)</f>
        <v/>
      </c>
      <c r="X170" s="7">
        <f>IF(COUNT(D170:S170)=0,"",INDEX($D$1:$S$1,MATCH(MIN(D170:S170),D170:S170,0)))</f>
        <v/>
      </c>
      <c r="Y170" s="8" t="n">
        <v>378</v>
      </c>
      <c r="Z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>
        <f>IF(COUNT(D171:S171)=0,"",MIN(D171:S171))</f>
        <v/>
      </c>
      <c r="U171" s="8">
        <f>IF(COUNT(D171:S171)=0,"",MEDIAN(D171:S171))</f>
        <v/>
      </c>
      <c r="V171" s="8">
        <f>IF(COUNT(D171:S171)=0,"",MAX(D171:S171))</f>
        <v/>
      </c>
      <c r="W171" s="9">
        <f>IF(OR(T171="",T171=0),"",(V171-T171)/T171)</f>
        <v/>
      </c>
      <c r="X171" s="7">
        <f>IF(COUNT(D171:S171)=0,"",INDEX($D$1:$S$1,MATCH(MIN(D171:S171),D171:S171,0)))</f>
        <v/>
      </c>
      <c r="Y171" s="8" t="n">
        <v>440.48</v>
      </c>
      <c r="Z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>
        <f>IF(COUNT(D172:S172)=0,"",MIN(D172:S172))</f>
        <v/>
      </c>
      <c r="U172" s="8">
        <f>IF(COUNT(D172:S172)=0,"",MEDIAN(D172:S172))</f>
        <v/>
      </c>
      <c r="V172" s="8">
        <f>IF(COUNT(D172:S172)=0,"",MAX(D172:S172))</f>
        <v/>
      </c>
      <c r="W172" s="9">
        <f>IF(OR(T172="",T172=0),"",(V172-T172)/T172)</f>
        <v/>
      </c>
      <c r="X172" s="7">
        <f>IF(COUNT(D172:S172)=0,"",INDEX($D$1:$S$1,MATCH(MIN(D172:S172),D172:S172,0)))</f>
        <v/>
      </c>
      <c r="Y172" s="8" t="n">
        <v>497</v>
      </c>
      <c r="Z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>
        <f>IF(COUNT(D173:S173)=0,"",MIN(D173:S173))</f>
        <v/>
      </c>
      <c r="U173" s="8">
        <f>IF(COUNT(D173:S173)=0,"",MEDIAN(D173:S173))</f>
        <v/>
      </c>
      <c r="V173" s="8">
        <f>IF(COUNT(D173:S173)=0,"",MAX(D173:S173))</f>
        <v/>
      </c>
      <c r="W173" s="9">
        <f>IF(OR(T173="",T173=0),"",(V173-T173)/T173)</f>
        <v/>
      </c>
      <c r="X173" s="7">
        <f>IF(COUNT(D173:S173)=0,"",INDEX($D$1:$S$1,MATCH(MIN(D173:S173),D173:S173,0)))</f>
        <v/>
      </c>
      <c r="Y173" s="8" t="n">
        <v>61.12</v>
      </c>
      <c r="Z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>
        <f>IF(COUNT(D174:S174)=0,"",MIN(D174:S174))</f>
        <v/>
      </c>
      <c r="U174" s="8">
        <f>IF(COUNT(D174:S174)=0,"",MEDIAN(D174:S174))</f>
        <v/>
      </c>
      <c r="V174" s="8">
        <f>IF(COUNT(D174:S174)=0,"",MAX(D174:S174))</f>
        <v/>
      </c>
      <c r="W174" s="9">
        <f>IF(OR(T174="",T174=0),"",(V174-T174)/T174)</f>
        <v/>
      </c>
      <c r="X174" s="7">
        <f>IF(COUNT(D174:S174)=0,"",INDEX($D$1:$S$1,MATCH(MIN(D174:S174),D174:S174,0)))</f>
        <v/>
      </c>
      <c r="Y174" s="8" t="n">
        <v>61.12</v>
      </c>
      <c r="Z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>
        <f>IF(COUNT(D175:S175)=0,"",MIN(D175:S175))</f>
        <v/>
      </c>
      <c r="U175" s="8">
        <f>IF(COUNT(D175:S175)=0,"",MEDIAN(D175:S175))</f>
        <v/>
      </c>
      <c r="V175" s="8">
        <f>IF(COUNT(D175:S175)=0,"",MAX(D175:S175))</f>
        <v/>
      </c>
      <c r="W175" s="9">
        <f>IF(OR(T175="",T175=0),"",(V175-T175)/T175)</f>
        <v/>
      </c>
      <c r="X175" s="7">
        <f>IF(COUNT(D175:S175)=0,"",INDEX($D$1:$S$1,MATCH(MIN(D175:S175),D175:S175,0)))</f>
        <v/>
      </c>
      <c r="Y175" s="8" t="n">
        <v>56.59</v>
      </c>
      <c r="Z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>
        <f>IF(COUNT(D176:S176)=0,"",MIN(D176:S176))</f>
        <v/>
      </c>
      <c r="U176" s="8">
        <f>IF(COUNT(D176:S176)=0,"",MEDIAN(D176:S176))</f>
        <v/>
      </c>
      <c r="V176" s="8">
        <f>IF(COUNT(D176:S176)=0,"",MAX(D176:S176))</f>
        <v/>
      </c>
      <c r="W176" s="9">
        <f>IF(OR(T176="",T176=0),"",(V176-T176)/T176)</f>
        <v/>
      </c>
      <c r="X176" s="7">
        <f>IF(COUNT(D176:S176)=0,"",INDEX($D$1:$S$1,MATCH(MIN(D176:S176),D176:S176,0)))</f>
        <v/>
      </c>
      <c r="Y176" s="8" t="n">
        <v>30.48</v>
      </c>
      <c r="Z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>
        <f>IF(COUNT(D177:S177)=0,"",MIN(D177:S177))</f>
        <v/>
      </c>
      <c r="U177" s="8">
        <f>IF(COUNT(D177:S177)=0,"",MEDIAN(D177:S177))</f>
        <v/>
      </c>
      <c r="V177" s="8">
        <f>IF(COUNT(D177:S177)=0,"",MAX(D177:S177))</f>
        <v/>
      </c>
      <c r="W177" s="9">
        <f>IF(OR(T177="",T177=0),"",(V177-T177)/T177)</f>
        <v/>
      </c>
      <c r="X177" s="7">
        <f>IF(COUNT(D177:S177)=0,"",INDEX($D$1:$S$1,MATCH(MIN(D177:S177),D177:S177,0)))</f>
        <v/>
      </c>
      <c r="Y177" s="8" t="n">
        <v>45.71</v>
      </c>
      <c r="Z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>
        <f>IF(COUNT(D178:S178)=0,"",MIN(D178:S178))</f>
        <v/>
      </c>
      <c r="U178" s="8">
        <f>IF(COUNT(D178:S178)=0,"",MEDIAN(D178:S178))</f>
        <v/>
      </c>
      <c r="V178" s="8">
        <f>IF(COUNT(D178:S178)=0,"",MAX(D178:S178))</f>
        <v/>
      </c>
      <c r="W178" s="9">
        <f>IF(OR(T178="",T178=0),"",(V178-T178)/T178)</f>
        <v/>
      </c>
      <c r="X178" s="7">
        <f>IF(COUNT(D178:S178)=0,"",INDEX($D$1:$S$1,MATCH(MIN(D178:S178),D178:S178,0)))</f>
        <v/>
      </c>
      <c r="Y178" s="8" t="n">
        <v>54.43</v>
      </c>
      <c r="Z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>
        <f>IF(COUNT(D179:S179)=0,"",MIN(D179:S179))</f>
        <v/>
      </c>
      <c r="U179" s="8">
        <f>IF(COUNT(D179:S179)=0,"",MEDIAN(D179:S179))</f>
        <v/>
      </c>
      <c r="V179" s="8">
        <f>IF(COUNT(D179:S179)=0,"",MAX(D179:S179))</f>
        <v/>
      </c>
      <c r="W179" s="9">
        <f>IF(OR(T179="",T179=0),"",(V179-T179)/T179)</f>
        <v/>
      </c>
      <c r="X179" s="7">
        <f>IF(COUNT(D179:S179)=0,"",INDEX($D$1:$S$1,MATCH(MIN(D179:S179),D179:S179,0)))</f>
        <v/>
      </c>
      <c r="Y179" s="8" t="n">
        <v>63.13</v>
      </c>
      <c r="Z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>
        <f>IF(COUNT(D180:S180)=0,"",MIN(D180:S180))</f>
        <v/>
      </c>
      <c r="U180" s="8">
        <f>IF(COUNT(D180:S180)=0,"",MEDIAN(D180:S180))</f>
        <v/>
      </c>
      <c r="V180" s="8">
        <f>IF(COUNT(D180:S180)=0,"",MAX(D180:S180))</f>
        <v/>
      </c>
      <c r="W180" s="9">
        <f>IF(OR(T180="",T180=0),"",(V180-T180)/T180)</f>
        <v/>
      </c>
      <c r="X180" s="7">
        <f>IF(COUNT(D180:S180)=0,"",INDEX($D$1:$S$1,MATCH(MIN(D180:S180),D180:S180,0)))</f>
        <v/>
      </c>
      <c r="Y180" s="8" t="n">
        <v>70.75</v>
      </c>
      <c r="Z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>
        <f>IF(COUNT(D181:S181)=0,"",MIN(D181:S181))</f>
        <v/>
      </c>
      <c r="U181" s="8">
        <f>IF(COUNT(D181:S181)=0,"",MEDIAN(D181:S181))</f>
        <v/>
      </c>
      <c r="V181" s="8">
        <f>IF(COUNT(D181:S181)=0,"",MAX(D181:S181))</f>
        <v/>
      </c>
      <c r="W181" s="9">
        <f>IF(OR(T181="",T181=0),"",(V181-T181)/T181)</f>
        <v/>
      </c>
      <c r="X181" s="7">
        <f>IF(COUNT(D181:S181)=0,"",INDEX($D$1:$S$1,MATCH(MIN(D181:S181),D181:S181,0)))</f>
        <v/>
      </c>
      <c r="Y181" s="8" t="n">
        <v>78.36</v>
      </c>
      <c r="Z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>
        <f>IF(COUNT(D182:S182)=0,"",MIN(D182:S182))</f>
        <v/>
      </c>
      <c r="U182" s="8">
        <f>IF(COUNT(D182:S182)=0,"",MEDIAN(D182:S182))</f>
        <v/>
      </c>
      <c r="V182" s="8">
        <f>IF(COUNT(D182:S182)=0,"",MAX(D182:S182))</f>
        <v/>
      </c>
      <c r="W182" s="9">
        <f>IF(OR(T182="",T182=0),"",(V182-T182)/T182)</f>
        <v/>
      </c>
      <c r="X182" s="7">
        <f>IF(COUNT(D182:S182)=0,"",INDEX($D$1:$S$1,MATCH(MIN(D182:S182),D182:S182,0)))</f>
        <v/>
      </c>
      <c r="Y182" s="8" t="n">
        <v>228.57</v>
      </c>
      <c r="Z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>
        <f>IF(COUNT(D183:S183)=0,"",MIN(D183:S183))</f>
        <v/>
      </c>
      <c r="U183" s="8">
        <f>IF(COUNT(D183:S183)=0,"",MEDIAN(D183:S183))</f>
        <v/>
      </c>
      <c r="V183" s="8">
        <f>IF(COUNT(D183:S183)=0,"",MAX(D183:S183))</f>
        <v/>
      </c>
      <c r="W183" s="9">
        <f>IF(OR(T183="",T183=0),"",(V183-T183)/T183)</f>
        <v/>
      </c>
      <c r="X183" s="7">
        <f>IF(COUNT(D183:S183)=0,"",INDEX($D$1:$S$1,MATCH(MIN(D183:S183),D183:S183,0)))</f>
        <v/>
      </c>
      <c r="Y183" s="8" t="n">
        <v>434.26</v>
      </c>
      <c r="Z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>
        <f>IF(COUNT(D184:S184)=0,"",MIN(D184:S184))</f>
        <v/>
      </c>
      <c r="U184" s="8">
        <f>IF(COUNT(D184:S184)=0,"",MEDIAN(D184:S184))</f>
        <v/>
      </c>
      <c r="V184" s="8">
        <f>IF(COUNT(D184:S184)=0,"",MAX(D184:S184))</f>
        <v/>
      </c>
      <c r="W184" s="9">
        <f>IF(OR(T184="",T184=0),"",(V184-T184)/T184)</f>
        <v/>
      </c>
      <c r="X184" s="7">
        <f>IF(COUNT(D184:S184)=0,"",INDEX($D$1:$S$1,MATCH(MIN(D184:S184),D184:S184,0)))</f>
        <v/>
      </c>
      <c r="Y184" s="8" t="n">
        <v>697.6799999999999</v>
      </c>
      <c r="Z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>
        <f>IF(COUNT(D185:S185)=0,"",MIN(D185:S185))</f>
        <v/>
      </c>
      <c r="U185" s="8">
        <f>IF(COUNT(D185:S185)=0,"",MEDIAN(D185:S185))</f>
        <v/>
      </c>
      <c r="V185" s="8">
        <f>IF(COUNT(D185:S185)=0,"",MAX(D185:S185))</f>
        <v/>
      </c>
      <c r="W185" s="9">
        <f>IF(OR(T185="",T185=0),"",(V185-T185)/T185)</f>
        <v/>
      </c>
      <c r="X185" s="7">
        <f>IF(COUNT(D185:S185)=0,"",INDEX($D$1:$S$1,MATCH(MIN(D185:S185),D185:S185,0)))</f>
        <v/>
      </c>
      <c r="Y185" s="8" t="n">
        <v>854.4</v>
      </c>
      <c r="Z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>
        <f>IF(COUNT(D186:S186)=0,"",MIN(D186:S186))</f>
        <v/>
      </c>
      <c r="U186" s="8">
        <f>IF(COUNT(D186:S186)=0,"",MEDIAN(D186:S186))</f>
        <v/>
      </c>
      <c r="V186" s="8">
        <f>IF(COUNT(D186:S186)=0,"",MAX(D186:S186))</f>
        <v/>
      </c>
      <c r="W186" s="9">
        <f>IF(OR(T186="",T186=0),"",(V186-T186)/T186)</f>
        <v/>
      </c>
      <c r="X186" s="7">
        <f>IF(COUNT(D186:S186)=0,"",INDEX($D$1:$S$1,MATCH(MIN(D186:S186),D186:S186,0)))</f>
        <v/>
      </c>
      <c r="Y186" s="8" t="n">
        <v>1066.64</v>
      </c>
      <c r="Z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>
        <f>IF(COUNT(D187:S187)=0,"",MIN(D187:S187))</f>
        <v/>
      </c>
      <c r="U187" s="8">
        <f>IF(COUNT(D187:S187)=0,"",MEDIAN(D187:S187))</f>
        <v/>
      </c>
      <c r="V187" s="8">
        <f>IF(COUNT(D187:S187)=0,"",MAX(D187:S187))</f>
        <v/>
      </c>
      <c r="W187" s="9">
        <f>IF(OR(T187="",T187=0),"",(V187-T187)/T187)</f>
        <v/>
      </c>
      <c r="X187" s="7">
        <f>IF(COUNT(D187:S187)=0,"",INDEX($D$1:$S$1,MATCH(MIN(D187:S187),D187:S187,0)))</f>
        <v/>
      </c>
      <c r="Y187" s="8" t="n">
        <v>2488.96</v>
      </c>
      <c r="Z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>
        <f>IF(COUNT(D188:S188)=0,"",MIN(D188:S188))</f>
        <v/>
      </c>
      <c r="U188" s="8">
        <f>IF(COUNT(D188:S188)=0,"",MEDIAN(D188:S188))</f>
        <v/>
      </c>
      <c r="V188" s="8">
        <f>IF(COUNT(D188:S188)=0,"",MAX(D188:S188))</f>
        <v/>
      </c>
      <c r="W188" s="9">
        <f>IF(OR(T188="",T188=0),"",(V188-T188)/T188)</f>
        <v/>
      </c>
      <c r="X188" s="7">
        <f>IF(COUNT(D188:S188)=0,"",INDEX($D$1:$S$1,MATCH(MIN(D188:S188),D188:S188,0)))</f>
        <v/>
      </c>
      <c r="Y188" s="8" t="n">
        <v>619.63</v>
      </c>
      <c r="Z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>
        <f>IF(COUNT(D189:S189)=0,"",MIN(D189:S189))</f>
        <v/>
      </c>
      <c r="U189" s="8">
        <f>IF(COUNT(D189:S189)=0,"",MEDIAN(D189:S189))</f>
        <v/>
      </c>
      <c r="V189" s="8">
        <f>IF(COUNT(D189:S189)=0,"",MAX(D189:S189))</f>
        <v/>
      </c>
      <c r="W189" s="9">
        <f>IF(OR(T189="",T189=0),"",(V189-T189)/T189)</f>
        <v/>
      </c>
      <c r="X189" s="7">
        <f>IF(COUNT(D189:S189)=0,"",INDEX($D$1:$S$1,MATCH(MIN(D189:S189),D189:S189,0)))</f>
        <v/>
      </c>
      <c r="Y189" s="8" t="n">
        <v>1425</v>
      </c>
      <c r="Z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>
        <f>IF(COUNT(D190:S190)=0,"",MIN(D190:S190))</f>
        <v/>
      </c>
      <c r="U190" s="8">
        <f>IF(COUNT(D190:S190)=0,"",MEDIAN(D190:S190))</f>
        <v/>
      </c>
      <c r="V190" s="8">
        <f>IF(COUNT(D190:S190)=0,"",MAX(D190:S190))</f>
        <v/>
      </c>
      <c r="W190" s="9">
        <f>IF(OR(T190="",T190=0),"",(V190-T190)/T190)</f>
        <v/>
      </c>
      <c r="X190" s="7">
        <f>IF(COUNT(D190:S190)=0,"",INDEX($D$1:$S$1,MATCH(MIN(D190:S190),D190:S190,0)))</f>
        <v/>
      </c>
      <c r="Y190" s="8" t="n">
        <v>310.01</v>
      </c>
      <c r="Z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>
        <f>IF(COUNT(D191:S191)=0,"",MIN(D191:S191))</f>
        <v/>
      </c>
      <c r="U191" s="8">
        <f>IF(COUNT(D191:S191)=0,"",MEDIAN(D191:S191))</f>
        <v/>
      </c>
      <c r="V191" s="8">
        <f>IF(COUNT(D191:S191)=0,"",MAX(D191:S191))</f>
        <v/>
      </c>
      <c r="W191" s="9">
        <f>IF(OR(T191="",T191=0),"",(V191-T191)/T191)</f>
        <v/>
      </c>
      <c r="X191" s="7">
        <f>IF(COUNT(D191:S191)=0,"",INDEX($D$1:$S$1,MATCH(MIN(D191:S191),D191:S191,0)))</f>
        <v/>
      </c>
      <c r="Y191" s="8" t="n">
        <v>635.01</v>
      </c>
      <c r="Z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>
        <f>IF(COUNT(D192:S192)=0,"",MIN(D192:S192))</f>
        <v/>
      </c>
      <c r="U192" s="8">
        <f>IF(COUNT(D192:S192)=0,"",MEDIAN(D192:S192))</f>
        <v/>
      </c>
      <c r="V192" s="8">
        <f>IF(COUNT(D192:S192)=0,"",MAX(D192:S192))</f>
        <v/>
      </c>
      <c r="W192" s="9">
        <f>IF(OR(T192="",T192=0),"",(V192-T192)/T192)</f>
        <v/>
      </c>
      <c r="X192" s="7">
        <f>IF(COUNT(D192:S192)=0,"",INDEX($D$1:$S$1,MATCH(MIN(D192:S192),D192:S192,0)))</f>
        <v/>
      </c>
      <c r="Y192" s="8" t="n">
        <v>1010</v>
      </c>
      <c r="Z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>
        <f>IF(COUNT(D193:S193)=0,"",MIN(D193:S193))</f>
        <v/>
      </c>
      <c r="U193" s="8">
        <f>IF(COUNT(D193:S193)=0,"",MEDIAN(D193:S193))</f>
        <v/>
      </c>
      <c r="V193" s="8">
        <f>IF(COUNT(D193:S193)=0,"",MAX(D193:S193))</f>
        <v/>
      </c>
      <c r="W193" s="9">
        <f>IF(OR(T193="",T193=0),"",(V193-T193)/T193)</f>
        <v/>
      </c>
      <c r="X193" s="7">
        <f>IF(COUNT(D193:S193)=0,"",INDEX($D$1:$S$1,MATCH(MIN(D193:S193),D193:S193,0)))</f>
        <v/>
      </c>
      <c r="Y193" s="8" t="n">
        <v>2733</v>
      </c>
      <c r="Z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>
        <f>IF(COUNT(D194:S194)=0,"",MIN(D194:S194))</f>
        <v/>
      </c>
      <c r="U194" s="8">
        <f>IF(COUNT(D194:S194)=0,"",MEDIAN(D194:S194))</f>
        <v/>
      </c>
      <c r="V194" s="8">
        <f>IF(COUNT(D194:S194)=0,"",MAX(D194:S194))</f>
        <v/>
      </c>
      <c r="W194" s="9">
        <f>IF(OR(T194="",T194=0),"",(V194-T194)/T194)</f>
        <v/>
      </c>
      <c r="X194" s="7">
        <f>IF(COUNT(D194:S194)=0,"",INDEX($D$1:$S$1,MATCH(MIN(D194:S194),D194:S194,0)))</f>
        <v/>
      </c>
      <c r="Y194" s="8" t="n">
        <v>430</v>
      </c>
      <c r="Z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>
        <f>IF(COUNT(D195:S195)=0,"",MIN(D195:S195))</f>
        <v/>
      </c>
      <c r="U195" s="8">
        <f>IF(COUNT(D195:S195)=0,"",MEDIAN(D195:S195))</f>
        <v/>
      </c>
      <c r="V195" s="8">
        <f>IF(COUNT(D195:S195)=0,"",MAX(D195:S195))</f>
        <v/>
      </c>
      <c r="W195" s="9">
        <f>IF(OR(T195="",T195=0),"",(V195-T195)/T195)</f>
        <v/>
      </c>
      <c r="X195" s="7">
        <f>IF(COUNT(D195:S195)=0,"",INDEX($D$1:$S$1,MATCH(MIN(D195:S195),D195:S195,0)))</f>
        <v/>
      </c>
      <c r="Y195" s="8" t="n">
        <v>501</v>
      </c>
      <c r="Z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>
        <f>IF(COUNT(D196:S196)=0,"",MIN(D196:S196))</f>
        <v/>
      </c>
      <c r="U196" s="8">
        <f>IF(COUNT(D196:S196)=0,"",MEDIAN(D196:S196))</f>
        <v/>
      </c>
      <c r="V196" s="8">
        <f>IF(COUNT(D196:S196)=0,"",MAX(D196:S196))</f>
        <v/>
      </c>
      <c r="W196" s="9">
        <f>IF(OR(T196="",T196=0),"",(V196-T196)/T196)</f>
        <v/>
      </c>
      <c r="X196" s="7">
        <f>IF(COUNT(D196:S196)=0,"",INDEX($D$1:$S$1,MATCH(MIN(D196:S196),D196:S196,0)))</f>
        <v/>
      </c>
      <c r="Y196" s="8" t="n">
        <v>1235</v>
      </c>
      <c r="Z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>
        <f>IF(COUNT(D197:S197)=0,"",MIN(D197:S197))</f>
        <v/>
      </c>
      <c r="U197" s="8">
        <f>IF(COUNT(D197:S197)=0,"",MEDIAN(D197:S197))</f>
        <v/>
      </c>
      <c r="V197" s="8">
        <f>IF(COUNT(D197:S197)=0,"",MAX(D197:S197))</f>
        <v/>
      </c>
      <c r="W197" s="9">
        <f>IF(OR(T197="",T197=0),"",(V197-T197)/T197)</f>
        <v/>
      </c>
      <c r="X197" s="7">
        <f>IF(COUNT(D197:S197)=0,"",INDEX($D$1:$S$1,MATCH(MIN(D197:S197),D197:S197,0)))</f>
        <v/>
      </c>
      <c r="Y197" s="8" t="n">
        <v>809.8</v>
      </c>
      <c r="Z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>
        <f>IF(COUNT(D198:S198)=0,"",MIN(D198:S198))</f>
        <v/>
      </c>
      <c r="U198" s="8">
        <f>IF(COUNT(D198:S198)=0,"",MEDIAN(D198:S198))</f>
        <v/>
      </c>
      <c r="V198" s="8">
        <f>IF(COUNT(D198:S198)=0,"",MAX(D198:S198))</f>
        <v/>
      </c>
      <c r="W198" s="9">
        <f>IF(OR(T198="",T198=0),"",(V198-T198)/T198)</f>
        <v/>
      </c>
      <c r="X198" s="7">
        <f>IF(COUNT(D198:S198)=0,"",INDEX($D$1:$S$1,MATCH(MIN(D198:S198),D198:S198,0)))</f>
        <v/>
      </c>
      <c r="Y198" s="8" t="n">
        <v>450</v>
      </c>
      <c r="Z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>
        <f>IF(COUNT(D199:S199)=0,"",MIN(D199:S199))</f>
        <v/>
      </c>
      <c r="U199" s="8">
        <f>IF(COUNT(D199:S199)=0,"",MEDIAN(D199:S199))</f>
        <v/>
      </c>
      <c r="V199" s="8">
        <f>IF(COUNT(D199:S199)=0,"",MAX(D199:S199))</f>
        <v/>
      </c>
      <c r="W199" s="9">
        <f>IF(OR(T199="",T199=0),"",(V199-T199)/T199)</f>
        <v/>
      </c>
      <c r="X199" s="7">
        <f>IF(COUNT(D199:S199)=0,"",INDEX($D$1:$S$1,MATCH(MIN(D199:S199),D199:S199,0)))</f>
        <v/>
      </c>
      <c r="Y199" s="8" t="n">
        <v>2121</v>
      </c>
      <c r="Z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>
        <f>IF(COUNT(D200:S200)=0,"",MIN(D200:S200))</f>
        <v/>
      </c>
      <c r="U200" s="8">
        <f>IF(COUNT(D200:S200)=0,"",MEDIAN(D200:S200))</f>
        <v/>
      </c>
      <c r="V200" s="8">
        <f>IF(COUNT(D200:S200)=0,"",MAX(D200:S200))</f>
        <v/>
      </c>
      <c r="W200" s="9">
        <f>IF(OR(T200="",T200=0),"",(V200-T200)/T200)</f>
        <v/>
      </c>
      <c r="X200" s="7">
        <f>IF(COUNT(D200:S200)=0,"",INDEX($D$1:$S$1,MATCH(MIN(D200:S200),D200:S200,0)))</f>
        <v/>
      </c>
      <c r="Y200" s="8" t="n">
        <v>1249</v>
      </c>
      <c r="Z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>
        <f>IF(COUNT(D201:S201)=0,"",MIN(D201:S201))</f>
        <v/>
      </c>
      <c r="U201" s="8">
        <f>IF(COUNT(D201:S201)=0,"",MEDIAN(D201:S201))</f>
        <v/>
      </c>
      <c r="V201" s="8">
        <f>IF(COUNT(D201:S201)=0,"",MAX(D201:S201))</f>
        <v/>
      </c>
      <c r="W201" s="9">
        <f>IF(OR(T201="",T201=0),"",(V201-T201)/T201)</f>
        <v/>
      </c>
      <c r="X201" s="7">
        <f>IF(COUNT(D201:S201)=0,"",INDEX($D$1:$S$1,MATCH(MIN(D201:S201),D201:S201,0)))</f>
        <v/>
      </c>
      <c r="Y201" s="8" t="n">
        <v>705</v>
      </c>
      <c r="Z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>
        <f>IF(COUNT(D202:S202)=0,"",MIN(D202:S202))</f>
        <v/>
      </c>
      <c r="U202" s="8">
        <f>IF(COUNT(D202:S202)=0,"",MEDIAN(D202:S202))</f>
        <v/>
      </c>
      <c r="V202" s="8">
        <f>IF(COUNT(D202:S202)=0,"",MAX(D202:S202))</f>
        <v/>
      </c>
      <c r="W202" s="9">
        <f>IF(OR(T202="",T202=0),"",(V202-T202)/T202)</f>
        <v/>
      </c>
      <c r="X202" s="7">
        <f>IF(COUNT(D202:S202)=0,"",INDEX($D$1:$S$1,MATCH(MIN(D202:S202),D202:S202,0)))</f>
        <v/>
      </c>
      <c r="Y202" s="8" t="n">
        <v>875</v>
      </c>
      <c r="Z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>
        <f>IF(COUNT(D203:S203)=0,"",MIN(D203:S203))</f>
        <v/>
      </c>
      <c r="U203" s="8">
        <f>IF(COUNT(D203:S203)=0,"",MEDIAN(D203:S203))</f>
        <v/>
      </c>
      <c r="V203" s="8">
        <f>IF(COUNT(D203:S203)=0,"",MAX(D203:S203))</f>
        <v/>
      </c>
      <c r="W203" s="9">
        <f>IF(OR(T203="",T203=0),"",(V203-T203)/T203)</f>
        <v/>
      </c>
      <c r="X203" s="7">
        <f>IF(COUNT(D203:S203)=0,"",INDEX($D$1:$S$1,MATCH(MIN(D203:S203),D203:S203,0)))</f>
        <v/>
      </c>
      <c r="Y203" s="8" t="n">
        <v>1030</v>
      </c>
      <c r="Z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>
        <f>IF(COUNT(D204:S204)=0,"",MIN(D204:S204))</f>
        <v/>
      </c>
      <c r="U204" s="8">
        <f>IF(COUNT(D204:S204)=0,"",MEDIAN(D204:S204))</f>
        <v/>
      </c>
      <c r="V204" s="8">
        <f>IF(COUNT(D204:S204)=0,"",MAX(D204:S204))</f>
        <v/>
      </c>
      <c r="W204" s="9">
        <f>IF(OR(T204="",T204=0),"",(V204-T204)/T204)</f>
        <v/>
      </c>
      <c r="X204" s="7">
        <f>IF(COUNT(D204:S204)=0,"",INDEX($D$1:$S$1,MATCH(MIN(D204:S204),D204:S204,0)))</f>
        <v/>
      </c>
      <c r="Y204" s="8" t="n">
        <v>875</v>
      </c>
      <c r="Z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>
        <f>IF(COUNT(D205:S205)=0,"",MIN(D205:S205))</f>
        <v/>
      </c>
      <c r="U205" s="8">
        <f>IF(COUNT(D205:S205)=0,"",MEDIAN(D205:S205))</f>
        <v/>
      </c>
      <c r="V205" s="8">
        <f>IF(COUNT(D205:S205)=0,"",MAX(D205:S205))</f>
        <v/>
      </c>
      <c r="W205" s="9">
        <f>IF(OR(T205="",T205=0),"",(V205-T205)/T205)</f>
        <v/>
      </c>
      <c r="X205" s="7">
        <f>IF(COUNT(D205:S205)=0,"",INDEX($D$1:$S$1,MATCH(MIN(D205:S205),D205:S205,0)))</f>
        <v/>
      </c>
      <c r="Y205" s="8" t="n">
        <v>1735</v>
      </c>
      <c r="Z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>
        <f>IF(COUNT(D206:S206)=0,"",MIN(D206:S206))</f>
        <v/>
      </c>
      <c r="U206" s="8">
        <f>IF(COUNT(D206:S206)=0,"",MEDIAN(D206:S206))</f>
        <v/>
      </c>
      <c r="V206" s="8">
        <f>IF(COUNT(D206:S206)=0,"",MAX(D206:S206))</f>
        <v/>
      </c>
      <c r="W206" s="9">
        <f>IF(OR(T206="",T206=0),"",(V206-T206)/T206)</f>
        <v/>
      </c>
      <c r="X206" s="7">
        <f>IF(COUNT(D206:S206)=0,"",INDEX($D$1:$S$1,MATCH(MIN(D206:S206),D206:S206,0)))</f>
        <v/>
      </c>
      <c r="Y206" s="8" t="n">
        <v>825</v>
      </c>
      <c r="Z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>
        <f>IF(COUNT(D207:S207)=0,"",MIN(D207:S207))</f>
        <v/>
      </c>
      <c r="U207" s="8">
        <f>IF(COUNT(D207:S207)=0,"",MEDIAN(D207:S207))</f>
        <v/>
      </c>
      <c r="V207" s="8">
        <f>IF(COUNT(D207:S207)=0,"",MAX(D207:S207))</f>
        <v/>
      </c>
      <c r="W207" s="9">
        <f>IF(OR(T207="",T207=0),"",(V207-T207)/T207)</f>
        <v/>
      </c>
      <c r="X207" s="7">
        <f>IF(COUNT(D207:S207)=0,"",INDEX($D$1:$S$1,MATCH(MIN(D207:S207),D207:S207,0)))</f>
        <v/>
      </c>
      <c r="Y207" s="8" t="n">
        <v>780</v>
      </c>
      <c r="Z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>
        <f>IF(COUNT(D208:S208)=0,"",MIN(D208:S208))</f>
        <v/>
      </c>
      <c r="U208" s="8">
        <f>IF(COUNT(D208:S208)=0,"",MEDIAN(D208:S208))</f>
        <v/>
      </c>
      <c r="V208" s="8">
        <f>IF(COUNT(D208:S208)=0,"",MAX(D208:S208))</f>
        <v/>
      </c>
      <c r="W208" s="9">
        <f>IF(OR(T208="",T208=0),"",(V208-T208)/T208)</f>
        <v/>
      </c>
      <c r="X208" s="7">
        <f>IF(COUNT(D208:S208)=0,"",INDEX($D$1:$S$1,MATCH(MIN(D208:S208),D208:S208,0)))</f>
        <v/>
      </c>
      <c r="Y208" s="8" t="n">
        <v>475</v>
      </c>
      <c r="Z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>
        <f>IF(COUNT(D209:S209)=0,"",MIN(D209:S209))</f>
        <v/>
      </c>
      <c r="U209" s="8">
        <f>IF(COUNT(D209:S209)=0,"",MEDIAN(D209:S209))</f>
        <v/>
      </c>
      <c r="V209" s="8">
        <f>IF(COUNT(D209:S209)=0,"",MAX(D209:S209))</f>
        <v/>
      </c>
      <c r="W209" s="9">
        <f>IF(OR(T209="",T209=0),"",(V209-T209)/T209)</f>
        <v/>
      </c>
      <c r="X209" s="7">
        <f>IF(COUNT(D209:S209)=0,"",INDEX($D$1:$S$1,MATCH(MIN(D209:S209),D209:S209,0)))</f>
        <v/>
      </c>
      <c r="Y209" s="8" t="n">
        <v>1180</v>
      </c>
      <c r="Z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>
        <f>IF(COUNT(D210:S210)=0,"",MIN(D210:S210))</f>
        <v/>
      </c>
      <c r="U210" s="8">
        <f>IF(COUNT(D210:S210)=0,"",MEDIAN(D210:S210))</f>
        <v/>
      </c>
      <c r="V210" s="8">
        <f>IF(COUNT(D210:S210)=0,"",MAX(D210:S210))</f>
        <v/>
      </c>
      <c r="W210" s="9">
        <f>IF(OR(T210="",T210=0),"",(V210-T210)/T210)</f>
        <v/>
      </c>
      <c r="X210" s="7">
        <f>IF(COUNT(D210:S210)=0,"",INDEX($D$1:$S$1,MATCH(MIN(D210:S210),D210:S210,0)))</f>
        <v/>
      </c>
      <c r="Y210" s="8" t="n">
        <v>1995</v>
      </c>
      <c r="Z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>
        <f>IF(COUNT(D211:S211)=0,"",MIN(D211:S211))</f>
        <v/>
      </c>
      <c r="U211" s="8">
        <f>IF(COUNT(D211:S211)=0,"",MEDIAN(D211:S211))</f>
        <v/>
      </c>
      <c r="V211" s="8">
        <f>IF(COUNT(D211:S211)=0,"",MAX(D211:S211))</f>
        <v/>
      </c>
      <c r="W211" s="9">
        <f>IF(OR(T211="",T211=0),"",(V211-T211)/T211)</f>
        <v/>
      </c>
      <c r="X211" s="7">
        <f>IF(COUNT(D211:S211)=0,"",INDEX($D$1:$S$1,MATCH(MIN(D211:S211),D211:S211,0)))</f>
        <v/>
      </c>
      <c r="Y211" s="8" t="n">
        <v>296.18</v>
      </c>
      <c r="Z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>
        <f>IF(COUNT(D212:S212)=0,"",MIN(D212:S212))</f>
        <v/>
      </c>
      <c r="U212" s="8">
        <f>IF(COUNT(D212:S212)=0,"",MEDIAN(D212:S212))</f>
        <v/>
      </c>
      <c r="V212" s="8">
        <f>IF(COUNT(D212:S212)=0,"",MAX(D212:S212))</f>
        <v/>
      </c>
      <c r="W212" s="9">
        <f>IF(OR(T212="",T212=0),"",(V212-T212)/T212)</f>
        <v/>
      </c>
      <c r="X212" s="7">
        <f>IF(COUNT(D212:S212)=0,"",INDEX($D$1:$S$1,MATCH(MIN(D212:S212),D212:S212,0)))</f>
        <v/>
      </c>
      <c r="Y212" s="8" t="n">
        <v>592.36</v>
      </c>
      <c r="Z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>
        <f>IF(COUNT(D213:S213)=0,"",MIN(D213:S213))</f>
        <v/>
      </c>
      <c r="U213" s="8">
        <f>IF(COUNT(D213:S213)=0,"",MEDIAN(D213:S213))</f>
        <v/>
      </c>
      <c r="V213" s="8">
        <f>IF(COUNT(D213:S213)=0,"",MAX(D213:S213))</f>
        <v/>
      </c>
      <c r="W213" s="9">
        <f>IF(OR(T213="",T213=0),"",(V213-T213)/T213)</f>
        <v/>
      </c>
      <c r="X213" s="7">
        <f>IF(COUNT(D213:S213)=0,"",INDEX($D$1:$S$1,MATCH(MIN(D213:S213),D213:S213,0)))</f>
        <v/>
      </c>
      <c r="Y213" s="8" t="n">
        <v>219</v>
      </c>
      <c r="Z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>
        <f>IF(COUNT(D214:S214)=0,"",MIN(D214:S214))</f>
        <v/>
      </c>
      <c r="U214" s="8">
        <f>IF(COUNT(D214:S214)=0,"",MEDIAN(D214:S214))</f>
        <v/>
      </c>
      <c r="V214" s="8">
        <f>IF(COUNT(D214:S214)=0,"",MAX(D214:S214))</f>
        <v/>
      </c>
      <c r="W214" s="9">
        <f>IF(OR(T214="",T214=0),"",(V214-T214)/T214)</f>
        <v/>
      </c>
      <c r="X214" s="7">
        <f>IF(COUNT(D214:S214)=0,"",INDEX($D$1:$S$1,MATCH(MIN(D214:S214),D214:S214,0)))</f>
        <v/>
      </c>
      <c r="Y214" s="8" t="n">
        <v>452</v>
      </c>
      <c r="Z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>
        <f>IF(COUNT(D215:S215)=0,"",MIN(D215:S215))</f>
        <v/>
      </c>
      <c r="U215" s="8">
        <f>IF(COUNT(D215:S215)=0,"",MEDIAN(D215:S215))</f>
        <v/>
      </c>
      <c r="V215" s="8">
        <f>IF(COUNT(D215:S215)=0,"",MAX(D215:S215))</f>
        <v/>
      </c>
      <c r="W215" s="9">
        <f>IF(OR(T215="",T215=0),"",(V215-T215)/T215)</f>
        <v/>
      </c>
      <c r="X215" s="7">
        <f>IF(COUNT(D215:S215)=0,"",INDEX($D$1:$S$1,MATCH(MIN(D215:S215),D215:S215,0)))</f>
        <v/>
      </c>
      <c r="Y215" s="8" t="n">
        <v>1026.24</v>
      </c>
      <c r="Z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>
        <f>IF(COUNT(D216:S216)=0,"",MIN(D216:S216))</f>
        <v/>
      </c>
      <c r="U216" s="8">
        <f>IF(COUNT(D216:S216)=0,"",MEDIAN(D216:S216))</f>
        <v/>
      </c>
      <c r="V216" s="8">
        <f>IF(COUNT(D216:S216)=0,"",MAX(D216:S216))</f>
        <v/>
      </c>
      <c r="W216" s="9">
        <f>IF(OR(T216="",T216=0),"",(V216-T216)/T216)</f>
        <v/>
      </c>
      <c r="X216" s="7">
        <f>IF(COUNT(D216:S216)=0,"",INDEX($D$1:$S$1,MATCH(MIN(D216:S216),D216:S216,0)))</f>
        <v/>
      </c>
      <c r="Y216" s="8" t="n">
        <v>1677.27</v>
      </c>
      <c r="Z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>
        <f>IF(COUNT(D217:S217)=0,"",MIN(D217:S217))</f>
        <v/>
      </c>
      <c r="U217" s="8">
        <f>IF(COUNT(D217:S217)=0,"",MEDIAN(D217:S217))</f>
        <v/>
      </c>
      <c r="V217" s="8">
        <f>IF(COUNT(D217:S217)=0,"",MAX(D217:S217))</f>
        <v/>
      </c>
      <c r="W217" s="9">
        <f>IF(OR(T217="",T217=0),"",(V217-T217)/T217)</f>
        <v/>
      </c>
      <c r="X217" s="7">
        <f>IF(COUNT(D217:S217)=0,"",INDEX($D$1:$S$1,MATCH(MIN(D217:S217),D217:S217,0)))</f>
        <v/>
      </c>
      <c r="Y217" s="8" t="n">
        <v>2064.49</v>
      </c>
      <c r="Z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>
        <f>IF(COUNT(D218:S218)=0,"",MIN(D218:S218))</f>
        <v/>
      </c>
      <c r="U218" s="8">
        <f>IF(COUNT(D218:S218)=0,"",MEDIAN(D218:S218))</f>
        <v/>
      </c>
      <c r="V218" s="8">
        <f>IF(COUNT(D218:S218)=0,"",MAX(D218:S218))</f>
        <v/>
      </c>
      <c r="W218" s="9">
        <f>IF(OR(T218="",T218=0),"",(V218-T218)/T218)</f>
        <v/>
      </c>
      <c r="X218" s="7">
        <f>IF(COUNT(D218:S218)=0,"",INDEX($D$1:$S$1,MATCH(MIN(D218:S218),D218:S218,0)))</f>
        <v/>
      </c>
      <c r="Y218" s="8" t="n">
        <v>386.75</v>
      </c>
      <c r="Z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>
        <f>IF(COUNT(D219:S219)=0,"",MIN(D219:S219))</f>
        <v/>
      </c>
      <c r="U219" s="8">
        <f>IF(COUNT(D219:S219)=0,"",MEDIAN(D219:S219))</f>
        <v/>
      </c>
      <c r="V219" s="8">
        <f>IF(COUNT(D219:S219)=0,"",MAX(D219:S219))</f>
        <v/>
      </c>
      <c r="W219" s="9">
        <f>IF(OR(T219="",T219=0),"",(V219-T219)/T219)</f>
        <v/>
      </c>
      <c r="X219" s="7">
        <f>IF(COUNT(D219:S219)=0,"",INDEX($D$1:$S$1,MATCH(MIN(D219:S219),D219:S219,0)))</f>
        <v/>
      </c>
      <c r="Y219" s="8" t="n">
        <v>136.66</v>
      </c>
      <c r="Z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>
        <f>IF(COUNT(D220:S220)=0,"",MIN(D220:S220))</f>
        <v/>
      </c>
      <c r="U220" s="8">
        <f>IF(COUNT(D220:S220)=0,"",MEDIAN(D220:S220))</f>
        <v/>
      </c>
      <c r="V220" s="8">
        <f>IF(COUNT(D220:S220)=0,"",MAX(D220:S220))</f>
        <v/>
      </c>
      <c r="W220" s="9">
        <f>IF(OR(T220="",T220=0),"",(V220-T220)/T220)</f>
        <v/>
      </c>
      <c r="X220" s="7">
        <f>IF(COUNT(D220:S220)=0,"",INDEX($D$1:$S$1,MATCH(MIN(D220:S220),D220:S220,0)))</f>
        <v/>
      </c>
      <c r="Y220" s="8" t="n">
        <v>2198.43</v>
      </c>
      <c r="Z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>
        <f>IF(COUNT(D221:S221)=0,"",MIN(D221:S221))</f>
        <v/>
      </c>
      <c r="U221" s="8">
        <f>IF(COUNT(D221:S221)=0,"",MEDIAN(D221:S221))</f>
        <v/>
      </c>
      <c r="V221" s="8">
        <f>IF(COUNT(D221:S221)=0,"",MAX(D221:S221))</f>
        <v/>
      </c>
      <c r="W221" s="9">
        <f>IF(OR(T221="",T221=0),"",(V221-T221)/T221)</f>
        <v/>
      </c>
      <c r="X221" s="7">
        <f>IF(COUNT(D221:S221)=0,"",INDEX($D$1:$S$1,MATCH(MIN(D221:S221),D221:S221,0)))</f>
        <v/>
      </c>
      <c r="Y221" s="8" t="n">
        <v>302.34</v>
      </c>
      <c r="Z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>
        <f>IF(COUNT(D222:S222)=0,"",MIN(D222:S222))</f>
        <v/>
      </c>
      <c r="U222" s="8">
        <f>IF(COUNT(D222:S222)=0,"",MEDIAN(D222:S222))</f>
        <v/>
      </c>
      <c r="V222" s="8">
        <f>IF(COUNT(D222:S222)=0,"",MAX(D222:S222))</f>
        <v/>
      </c>
      <c r="W222" s="9">
        <f>IF(OR(T222="",T222=0),"",(V222-T222)/T222)</f>
        <v/>
      </c>
      <c r="X222" s="7">
        <f>IF(COUNT(D222:S222)=0,"",INDEX($D$1:$S$1,MATCH(MIN(D222:S222),D222:S222,0)))</f>
        <v/>
      </c>
      <c r="Y222" s="8" t="n">
        <v>215.03</v>
      </c>
      <c r="Z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>
        <f>IF(COUNT(D223:S223)=0,"",MIN(D223:S223))</f>
        <v/>
      </c>
      <c r="U223" s="8">
        <f>IF(COUNT(D223:S223)=0,"",MEDIAN(D223:S223))</f>
        <v/>
      </c>
      <c r="V223" s="8">
        <f>IF(COUNT(D223:S223)=0,"",MAX(D223:S223))</f>
        <v/>
      </c>
      <c r="W223" s="9">
        <f>IF(OR(T223="",T223=0),"",(V223-T223)/T223)</f>
        <v/>
      </c>
      <c r="X223" s="7">
        <f>IF(COUNT(D223:S223)=0,"",INDEX($D$1:$S$1,MATCH(MIN(D223:S223),D223:S223,0)))</f>
        <v/>
      </c>
      <c r="Y223" s="8" t="n">
        <v>1127.34</v>
      </c>
      <c r="Z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>
        <f>IF(COUNT(D224:S224)=0,"",MIN(D224:S224))</f>
        <v/>
      </c>
      <c r="U224" s="8">
        <f>IF(COUNT(D224:S224)=0,"",MEDIAN(D224:S224))</f>
        <v/>
      </c>
      <c r="V224" s="8">
        <f>IF(COUNT(D224:S224)=0,"",MAX(D224:S224))</f>
        <v/>
      </c>
      <c r="W224" s="9">
        <f>IF(OR(T224="",T224=0),"",(V224-T224)/T224)</f>
        <v/>
      </c>
      <c r="X224" s="7">
        <f>IF(COUNT(D224:S224)=0,"",INDEX($D$1:$S$1,MATCH(MIN(D224:S224),D224:S224,0)))</f>
        <v/>
      </c>
      <c r="Y224" s="8" t="n">
        <v>660</v>
      </c>
      <c r="Z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>
        <f>IF(COUNT(D225:S225)=0,"",MIN(D225:S225))</f>
        <v/>
      </c>
      <c r="U225" s="8">
        <f>IF(COUNT(D225:S225)=0,"",MEDIAN(D225:S225))</f>
        <v/>
      </c>
      <c r="V225" s="8">
        <f>IF(COUNT(D225:S225)=0,"",MAX(D225:S225))</f>
        <v/>
      </c>
      <c r="W225" s="9">
        <f>IF(OR(T225="",T225=0),"",(V225-T225)/T225)</f>
        <v/>
      </c>
      <c r="X225" s="7">
        <f>IF(COUNT(D225:S225)=0,"",INDEX($D$1:$S$1,MATCH(MIN(D225:S225),D225:S225,0)))</f>
        <v/>
      </c>
      <c r="Y225" s="8" t="n">
        <v>1535</v>
      </c>
      <c r="Z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>
        <f>IF(COUNT(D226:S226)=0,"",MIN(D226:S226))</f>
        <v/>
      </c>
      <c r="U226" s="8">
        <f>IF(COUNT(D226:S226)=0,"",MEDIAN(D226:S226))</f>
        <v/>
      </c>
      <c r="V226" s="8">
        <f>IF(COUNT(D226:S226)=0,"",MAX(D226:S226))</f>
        <v/>
      </c>
      <c r="W226" s="9">
        <f>IF(OR(T226="",T226=0),"",(V226-T226)/T226)</f>
        <v/>
      </c>
      <c r="X226" s="7">
        <f>IF(COUNT(D226:S226)=0,"",INDEX($D$1:$S$1,MATCH(MIN(D226:S226),D226:S226,0)))</f>
        <v/>
      </c>
      <c r="Y226" s="8" t="n">
        <v>1450</v>
      </c>
      <c r="Z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>
        <f>IF(COUNT(D227:S227)=0,"",MIN(D227:S227))</f>
        <v/>
      </c>
      <c r="U227" s="8">
        <f>IF(COUNT(D227:S227)=0,"",MEDIAN(D227:S227))</f>
        <v/>
      </c>
      <c r="V227" s="8">
        <f>IF(COUNT(D227:S227)=0,"",MAX(D227:S227))</f>
        <v/>
      </c>
      <c r="W227" s="9">
        <f>IF(OR(T227="",T227=0),"",(V227-T227)/T227)</f>
        <v/>
      </c>
      <c r="X227" s="7">
        <f>IF(COUNT(D227:S227)=0,"",INDEX($D$1:$S$1,MATCH(MIN(D227:S227),D227:S227,0)))</f>
        <v/>
      </c>
      <c r="Y227" s="8" t="n">
        <v>141.1</v>
      </c>
      <c r="Z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>
        <f>IF(COUNT(D228:S228)=0,"",MIN(D228:S228))</f>
        <v/>
      </c>
      <c r="U228" s="8">
        <f>IF(COUNT(D228:S228)=0,"",MEDIAN(D228:S228))</f>
        <v/>
      </c>
      <c r="V228" s="8">
        <f>IF(COUNT(D228:S228)=0,"",MAX(D228:S228))</f>
        <v/>
      </c>
      <c r="W228" s="9">
        <f>IF(OR(T228="",T228=0),"",(V228-T228)/T228)</f>
        <v/>
      </c>
      <c r="X228" s="7">
        <f>IF(COUNT(D228:S228)=0,"",INDEX($D$1:$S$1,MATCH(MIN(D228:S228),D228:S228,0)))</f>
        <v/>
      </c>
      <c r="Y228" s="8" t="n">
        <v>104.29</v>
      </c>
      <c r="Z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>
        <f>IF(COUNT(D229:S229)=0,"",MIN(D229:S229))</f>
        <v/>
      </c>
      <c r="U229" s="8">
        <f>IF(COUNT(D229:S229)=0,"",MEDIAN(D229:S229))</f>
        <v/>
      </c>
      <c r="V229" s="8">
        <f>IF(COUNT(D229:S229)=0,"",MAX(D229:S229))</f>
        <v/>
      </c>
      <c r="W229" s="9">
        <f>IF(OR(T229="",T229=0),"",(V229-T229)/T229)</f>
        <v/>
      </c>
      <c r="X229" s="7">
        <f>IF(COUNT(D229:S229)=0,"",INDEX($D$1:$S$1,MATCH(MIN(D229:S229),D229:S229,0)))</f>
        <v/>
      </c>
      <c r="Y229" s="8" t="n">
        <v>659.86</v>
      </c>
      <c r="Z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>
        <f>IF(COUNT(D230:S230)=0,"",MIN(D230:S230))</f>
        <v/>
      </c>
      <c r="U230" s="8">
        <f>IF(COUNT(D230:S230)=0,"",MEDIAN(D230:S230))</f>
        <v/>
      </c>
      <c r="V230" s="8">
        <f>IF(COUNT(D230:S230)=0,"",MAX(D230:S230))</f>
        <v/>
      </c>
      <c r="W230" s="9">
        <f>IF(OR(T230="",T230=0),"",(V230-T230)/T230)</f>
        <v/>
      </c>
      <c r="X230" s="7">
        <f>IF(COUNT(D230:S230)=0,"",INDEX($D$1:$S$1,MATCH(MIN(D230:S230),D230:S230,0)))</f>
        <v/>
      </c>
      <c r="Y230" s="8" t="n">
        <v>2112.23</v>
      </c>
      <c r="Z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>
        <f>IF(COUNT(D231:S231)=0,"",MIN(D231:S231))</f>
        <v/>
      </c>
      <c r="U231" s="8">
        <f>IF(COUNT(D231:S231)=0,"",MEDIAN(D231:S231))</f>
        <v/>
      </c>
      <c r="V231" s="8">
        <f>IF(COUNT(D231:S231)=0,"",MAX(D231:S231))</f>
        <v/>
      </c>
      <c r="W231" s="9">
        <f>IF(OR(T231="",T231=0),"",(V231-T231)/T231)</f>
        <v/>
      </c>
      <c r="X231" s="7">
        <f>IF(COUNT(D231:S231)=0,"",INDEX($D$1:$S$1,MATCH(MIN(D231:S231),D231:S231,0)))</f>
        <v/>
      </c>
      <c r="Y231" s="8" t="n">
        <v>1725.01</v>
      </c>
      <c r="Z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>
        <f>IF(COUNT(D232:S232)=0,"",MIN(D232:S232))</f>
        <v/>
      </c>
      <c r="U232" s="8">
        <f>IF(COUNT(D232:S232)=0,"",MEDIAN(D232:S232))</f>
        <v/>
      </c>
      <c r="V232" s="8">
        <f>IF(COUNT(D232:S232)=0,"",MAX(D232:S232))</f>
        <v/>
      </c>
      <c r="W232" s="9">
        <f>IF(OR(T232="",T232=0),"",(V232-T232)/T232)</f>
        <v/>
      </c>
      <c r="X232" s="7">
        <f>IF(COUNT(D232:S232)=0,"",INDEX($D$1:$S$1,MATCH(MIN(D232:S232),D232:S232,0)))</f>
        <v/>
      </c>
      <c r="Y232" s="8" t="n">
        <v>1045.19</v>
      </c>
      <c r="Z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>
        <f>IF(COUNT(D233:S233)=0,"",MIN(D233:S233))</f>
        <v/>
      </c>
      <c r="U233" s="8">
        <f>IF(COUNT(D233:S233)=0,"",MEDIAN(D233:S233))</f>
        <v/>
      </c>
      <c r="V233" s="8">
        <f>IF(COUNT(D233:S233)=0,"",MAX(D233:S233))</f>
        <v/>
      </c>
      <c r="W233" s="9">
        <f>IF(OR(T233="",T233=0),"",(V233-T233)/T233)</f>
        <v/>
      </c>
      <c r="X233" s="7">
        <f>IF(COUNT(D233:S233)=0,"",INDEX($D$1:$S$1,MATCH(MIN(D233:S233),D233:S233,0)))</f>
        <v/>
      </c>
      <c r="Y233" s="8" t="n">
        <v>2945.45</v>
      </c>
      <c r="Z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>
        <f>IF(COUNT(D234:S234)=0,"",MIN(D234:S234))</f>
        <v/>
      </c>
      <c r="U234" s="8">
        <f>IF(COUNT(D234:S234)=0,"",MEDIAN(D234:S234))</f>
        <v/>
      </c>
      <c r="V234" s="8">
        <f>IF(COUNT(D234:S234)=0,"",MAX(D234:S234))</f>
        <v/>
      </c>
      <c r="W234" s="9">
        <f>IF(OR(T234="",T234=0),"",(V234-T234)/T234)</f>
        <v/>
      </c>
      <c r="X234" s="7">
        <f>IF(COUNT(D234:S234)=0,"",INDEX($D$1:$S$1,MATCH(MIN(D234:S234),D234:S234,0)))</f>
        <v/>
      </c>
      <c r="Y234" s="8" t="n">
        <v>1459.08</v>
      </c>
      <c r="Z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>
        <f>IF(COUNT(D235:S235)=0,"",MIN(D235:S235))</f>
        <v/>
      </c>
      <c r="U235" s="8">
        <f>IF(COUNT(D235:S235)=0,"",MEDIAN(D235:S235))</f>
        <v/>
      </c>
      <c r="V235" s="8">
        <f>IF(COUNT(D235:S235)=0,"",MAX(D235:S235))</f>
        <v/>
      </c>
      <c r="W235" s="9">
        <f>IF(OR(T235="",T235=0),"",(V235-T235)/T235)</f>
        <v/>
      </c>
      <c r="X235" s="7">
        <f>IF(COUNT(D235:S235)=0,"",INDEX($D$1:$S$1,MATCH(MIN(D235:S235),D235:S235,0)))</f>
        <v/>
      </c>
      <c r="Y235" s="8" t="n">
        <v>2227.8</v>
      </c>
      <c r="Z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>
        <f>IF(COUNT(D236:S236)=0,"",MIN(D236:S236))</f>
        <v/>
      </c>
      <c r="U236" s="8">
        <f>IF(COUNT(D236:S236)=0,"",MEDIAN(D236:S236))</f>
        <v/>
      </c>
      <c r="V236" s="8">
        <f>IF(COUNT(D236:S236)=0,"",MAX(D236:S236))</f>
        <v/>
      </c>
      <c r="W236" s="9">
        <f>IF(OR(T236="",T236=0),"",(V236-T236)/T236)</f>
        <v/>
      </c>
      <c r="X236" s="7">
        <f>IF(COUNT(D236:S236)=0,"",INDEX($D$1:$S$1,MATCH(MIN(D236:S236),D236:S236,0)))</f>
        <v/>
      </c>
      <c r="Y236" s="8" t="n">
        <v>3077.3</v>
      </c>
      <c r="Z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>
        <f>IF(COUNT(D237:S237)=0,"",MIN(D237:S237))</f>
        <v/>
      </c>
      <c r="U237" s="8">
        <f>IF(COUNT(D237:S237)=0,"",MEDIAN(D237:S237))</f>
        <v/>
      </c>
      <c r="V237" s="8">
        <f>IF(COUNT(D237:S237)=0,"",MAX(D237:S237))</f>
        <v/>
      </c>
      <c r="W237" s="9">
        <f>IF(OR(T237="",T237=0),"",(V237-T237)/T237)</f>
        <v/>
      </c>
      <c r="X237" s="7">
        <f>IF(COUNT(D237:S237)=0,"",INDEX($D$1:$S$1,MATCH(MIN(D237:S237),D237:S237,0)))</f>
        <v/>
      </c>
      <c r="Y237" s="8" t="n">
        <v>2520.03</v>
      </c>
      <c r="Z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>
        <f>IF(COUNT(D238:S238)=0,"",MIN(D238:S238))</f>
        <v/>
      </c>
      <c r="U238" s="8">
        <f>IF(COUNT(D238:S238)=0,"",MEDIAN(D238:S238))</f>
        <v/>
      </c>
      <c r="V238" s="8">
        <f>IF(COUNT(D238:S238)=0,"",MAX(D238:S238))</f>
        <v/>
      </c>
      <c r="W238" s="9">
        <f>IF(OR(T238="",T238=0),"",(V238-T238)/T238)</f>
        <v/>
      </c>
      <c r="X238" s="7">
        <f>IF(COUNT(D238:S238)=0,"",INDEX($D$1:$S$1,MATCH(MIN(D238:S238),D238:S238,0)))</f>
        <v/>
      </c>
      <c r="Y238" s="8" t="n">
        <v>2854.38</v>
      </c>
      <c r="Z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>
        <f>IF(COUNT(D239:S239)=0,"",MIN(D239:S239))</f>
        <v/>
      </c>
      <c r="U239" s="8">
        <f>IF(COUNT(D239:S239)=0,"",MEDIAN(D239:S239))</f>
        <v/>
      </c>
      <c r="V239" s="8">
        <f>IF(COUNT(D239:S239)=0,"",MAX(D239:S239))</f>
        <v/>
      </c>
      <c r="W239" s="9">
        <f>IF(OR(T239="",T239=0),"",(V239-T239)/T239)</f>
        <v/>
      </c>
      <c r="X239" s="7">
        <f>IF(COUNT(D239:S239)=0,"",INDEX($D$1:$S$1,MATCH(MIN(D239:S239),D239:S239,0)))</f>
        <v/>
      </c>
      <c r="Y239" s="8" t="n">
        <v>2565.64</v>
      </c>
      <c r="Z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>
        <f>IF(COUNT(D240:S240)=0,"",MIN(D240:S240))</f>
        <v/>
      </c>
      <c r="U240" s="8">
        <f>IF(COUNT(D240:S240)=0,"",MEDIAN(D240:S240))</f>
        <v/>
      </c>
      <c r="V240" s="8">
        <f>IF(COUNT(D240:S240)=0,"",MAX(D240:S240))</f>
        <v/>
      </c>
      <c r="W240" s="9">
        <f>IF(OR(T240="",T240=0),"",(V240-T240)/T240)</f>
        <v/>
      </c>
      <c r="X240" s="7">
        <f>IF(COUNT(D240:S240)=0,"",INDEX($D$1:$S$1,MATCH(MIN(D240:S240),D240:S240,0)))</f>
        <v/>
      </c>
      <c r="Y240" s="8" t="n">
        <v>1444.74</v>
      </c>
      <c r="Z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>
        <f>IF(COUNT(D241:S241)=0,"",MIN(D241:S241))</f>
        <v/>
      </c>
      <c r="U241" s="8">
        <f>IF(COUNT(D241:S241)=0,"",MEDIAN(D241:S241))</f>
        <v/>
      </c>
      <c r="V241" s="8">
        <f>IF(COUNT(D241:S241)=0,"",MAX(D241:S241))</f>
        <v/>
      </c>
      <c r="W241" s="9">
        <f>IF(OR(T241="",T241=0),"",(V241-T241)/T241)</f>
        <v/>
      </c>
      <c r="X241" s="7">
        <f>IF(COUNT(D241:S241)=0,"",INDEX($D$1:$S$1,MATCH(MIN(D241:S241),D241:S241,0)))</f>
        <v/>
      </c>
      <c r="Y241" s="8" t="n">
        <v>767.39</v>
      </c>
      <c r="Z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>
        <f>IF(COUNT(D242:S242)=0,"",MIN(D242:S242))</f>
        <v/>
      </c>
      <c r="U242" s="8">
        <f>IF(COUNT(D242:S242)=0,"",MEDIAN(D242:S242))</f>
        <v/>
      </c>
      <c r="V242" s="8">
        <f>IF(COUNT(D242:S242)=0,"",MAX(D242:S242))</f>
        <v/>
      </c>
      <c r="W242" s="9">
        <f>IF(OR(T242="",T242=0),"",(V242-T242)/T242)</f>
        <v/>
      </c>
      <c r="X242" s="7">
        <f>IF(COUNT(D242:S242)=0,"",INDEX($D$1:$S$1,MATCH(MIN(D242:S242),D242:S242,0)))</f>
        <v/>
      </c>
      <c r="Y242" s="8" t="n">
        <v>989.73</v>
      </c>
      <c r="Z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>
        <f>IF(COUNT(D243:S243)=0,"",MIN(D243:S243))</f>
        <v/>
      </c>
      <c r="U243" s="8">
        <f>IF(COUNT(D243:S243)=0,"",MEDIAN(D243:S243))</f>
        <v/>
      </c>
      <c r="V243" s="8">
        <f>IF(COUNT(D243:S243)=0,"",MAX(D243:S243))</f>
        <v/>
      </c>
      <c r="W243" s="9">
        <f>IF(OR(T243="",T243=0),"",(V243-T243)/T243)</f>
        <v/>
      </c>
      <c r="X243" s="7">
        <f>IF(COUNT(D243:S243)=0,"",INDEX($D$1:$S$1,MATCH(MIN(D243:S243),D243:S243,0)))</f>
        <v/>
      </c>
      <c r="Y243" s="8" t="n">
        <v>1177.9</v>
      </c>
      <c r="Z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>
        <f>IF(COUNT(D244:S244)=0,"",MIN(D244:S244))</f>
        <v/>
      </c>
      <c r="U244" s="8">
        <f>IF(COUNT(D244:S244)=0,"",MEDIAN(D244:S244))</f>
        <v/>
      </c>
      <c r="V244" s="8">
        <f>IF(COUNT(D244:S244)=0,"",MAX(D244:S244))</f>
        <v/>
      </c>
      <c r="W244" s="9">
        <f>IF(OR(T244="",T244=0),"",(V244-T244)/T244)</f>
        <v/>
      </c>
      <c r="X244" s="7">
        <f>IF(COUNT(D244:S244)=0,"",INDEX($D$1:$S$1,MATCH(MIN(D244:S244),D244:S244,0)))</f>
        <v/>
      </c>
      <c r="Y244" s="8" t="n">
        <v>1204.05</v>
      </c>
      <c r="Z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>
        <f>IF(COUNT(D245:S245)=0,"",MIN(D245:S245))</f>
        <v/>
      </c>
      <c r="U245" s="8">
        <f>IF(COUNT(D245:S245)=0,"",MEDIAN(D245:S245))</f>
        <v/>
      </c>
      <c r="V245" s="8">
        <f>IF(COUNT(D245:S245)=0,"",MAX(D245:S245))</f>
        <v/>
      </c>
      <c r="W245" s="9">
        <f>IF(OR(T245="",T245=0),"",(V245-T245)/T245)</f>
        <v/>
      </c>
      <c r="X245" s="7">
        <f>IF(COUNT(D245:S245)=0,"",INDEX($D$1:$S$1,MATCH(MIN(D245:S245),D245:S245,0)))</f>
        <v/>
      </c>
      <c r="Y245" s="8" t="n">
        <v>2210.93</v>
      </c>
      <c r="Z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>
        <f>IF(COUNT(D246:S246)=0,"",MIN(D246:S246))</f>
        <v/>
      </c>
      <c r="U246" s="8">
        <f>IF(COUNT(D246:S246)=0,"",MEDIAN(D246:S246))</f>
        <v/>
      </c>
      <c r="V246" s="8">
        <f>IF(COUNT(D246:S246)=0,"",MAX(D246:S246))</f>
        <v/>
      </c>
      <c r="W246" s="9">
        <f>IF(OR(T246="",T246=0),"",(V246-T246)/T246)</f>
        <v/>
      </c>
      <c r="X246" s="7">
        <f>IF(COUNT(D246:S246)=0,"",INDEX($D$1:$S$1,MATCH(MIN(D246:S246),D246:S246,0)))</f>
        <v/>
      </c>
      <c r="Y246" s="8" t="n">
        <v>2336.59</v>
      </c>
      <c r="Z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>
        <f>IF(COUNT(D247:S247)=0,"",MIN(D247:S247))</f>
        <v/>
      </c>
      <c r="U247" s="8">
        <f>IF(COUNT(D247:S247)=0,"",MEDIAN(D247:S247))</f>
        <v/>
      </c>
      <c r="V247" s="8">
        <f>IF(COUNT(D247:S247)=0,"",MAX(D247:S247))</f>
        <v/>
      </c>
      <c r="W247" s="9">
        <f>IF(OR(T247="",T247=0),"",(V247-T247)/T247)</f>
        <v/>
      </c>
      <c r="X247" s="7">
        <f>IF(COUNT(D247:S247)=0,"",INDEX($D$1:$S$1,MATCH(MIN(D247:S247),D247:S247,0)))</f>
        <v/>
      </c>
      <c r="Y247" s="8" t="n">
        <v>1364.21</v>
      </c>
      <c r="Z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>
        <f>IF(COUNT(D248:S248)=0,"",MIN(D248:S248))</f>
        <v/>
      </c>
      <c r="U248" s="8">
        <f>IF(COUNT(D248:S248)=0,"",MEDIAN(D248:S248))</f>
        <v/>
      </c>
      <c r="V248" s="8">
        <f>IF(COUNT(D248:S248)=0,"",MAX(D248:S248))</f>
        <v/>
      </c>
      <c r="W248" s="9">
        <f>IF(OR(T248="",T248=0),"",(V248-T248)/T248)</f>
        <v/>
      </c>
      <c r="X248" s="7">
        <f>IF(COUNT(D248:S248)=0,"",INDEX($D$1:$S$1,MATCH(MIN(D248:S248),D248:S248,0)))</f>
        <v/>
      </c>
      <c r="Y248" s="8" t="n">
        <v>832.97</v>
      </c>
      <c r="Z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>
        <f>IF(COUNT(D249:S249)=0,"",MIN(D249:S249))</f>
        <v/>
      </c>
      <c r="U249" s="8">
        <f>IF(COUNT(D249:S249)=0,"",MEDIAN(D249:S249))</f>
        <v/>
      </c>
      <c r="V249" s="8">
        <f>IF(COUNT(D249:S249)=0,"",MAX(D249:S249))</f>
        <v/>
      </c>
      <c r="W249" s="9">
        <f>IF(OR(T249="",T249=0),"",(V249-T249)/T249)</f>
        <v/>
      </c>
      <c r="X249" s="7">
        <f>IF(COUNT(D249:S249)=0,"",INDEX($D$1:$S$1,MATCH(MIN(D249:S249),D249:S249,0)))</f>
        <v/>
      </c>
      <c r="Y249" s="8" t="n">
        <v>1238.82</v>
      </c>
      <c r="Z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>
        <f>IF(COUNT(D250:S250)=0,"",MIN(D250:S250))</f>
        <v/>
      </c>
      <c r="U250" s="8">
        <f>IF(COUNT(D250:S250)=0,"",MEDIAN(D250:S250))</f>
        <v/>
      </c>
      <c r="V250" s="8">
        <f>IF(COUNT(D250:S250)=0,"",MAX(D250:S250))</f>
        <v/>
      </c>
      <c r="W250" s="9">
        <f>IF(OR(T250="",T250=0),"",(V250-T250)/T250)</f>
        <v/>
      </c>
      <c r="X250" s="7">
        <f>IF(COUNT(D250:S250)=0,"",INDEX($D$1:$S$1,MATCH(MIN(D250:S250),D250:S250,0)))</f>
        <v/>
      </c>
      <c r="Y250" s="8" t="n">
        <v>2752.62</v>
      </c>
      <c r="Z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>
        <f>IF(COUNT(D251:S251)=0,"",MIN(D251:S251))</f>
        <v/>
      </c>
      <c r="U251" s="8">
        <f>IF(COUNT(D251:S251)=0,"",MEDIAN(D251:S251))</f>
        <v/>
      </c>
      <c r="V251" s="8">
        <f>IF(COUNT(D251:S251)=0,"",MAX(D251:S251))</f>
        <v/>
      </c>
      <c r="W251" s="9">
        <f>IF(OR(T251="",T251=0),"",(V251-T251)/T251)</f>
        <v/>
      </c>
      <c r="X251" s="7">
        <f>IF(COUNT(D251:S251)=0,"",INDEX($D$1:$S$1,MATCH(MIN(D251:S251),D251:S251,0)))</f>
        <v/>
      </c>
      <c r="Y251" s="8" t="n">
        <v>541.6799999999999</v>
      </c>
      <c r="Z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>
        <f>IF(COUNT(D252:S252)=0,"",MIN(D252:S252))</f>
        <v/>
      </c>
      <c r="U252" s="8">
        <f>IF(COUNT(D252:S252)=0,"",MEDIAN(D252:S252))</f>
        <v/>
      </c>
      <c r="V252" s="8">
        <f>IF(COUNT(D252:S252)=0,"",MAX(D252:S252))</f>
        <v/>
      </c>
      <c r="W252" s="9">
        <f>IF(OR(T252="",T252=0),"",(V252-T252)/T252)</f>
        <v/>
      </c>
      <c r="X252" s="7">
        <f>IF(COUNT(D252:S252)=0,"",INDEX($D$1:$S$1,MATCH(MIN(D252:S252),D252:S252,0)))</f>
        <v/>
      </c>
      <c r="Y252" s="8" t="n">
        <v>1229.86</v>
      </c>
      <c r="Z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>
        <f>IF(COUNT(D253:S253)=0,"",MIN(D253:S253))</f>
        <v/>
      </c>
      <c r="U253" s="8">
        <f>IF(COUNT(D253:S253)=0,"",MEDIAN(D253:S253))</f>
        <v/>
      </c>
      <c r="V253" s="8">
        <f>IF(COUNT(D253:S253)=0,"",MAX(D253:S253))</f>
        <v/>
      </c>
      <c r="W253" s="9">
        <f>IF(OR(T253="",T253=0),"",(V253-T253)/T253)</f>
        <v/>
      </c>
      <c r="X253" s="7">
        <f>IF(COUNT(D253:S253)=0,"",INDEX($D$1:$S$1,MATCH(MIN(D253:S253),D253:S253,0)))</f>
        <v/>
      </c>
      <c r="Y253" s="8" t="n">
        <v>1215.03</v>
      </c>
      <c r="Z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>
        <f>IF(COUNT(D254:S254)=0,"",MIN(D254:S254))</f>
        <v/>
      </c>
      <c r="U254" s="8">
        <f>IF(COUNT(D254:S254)=0,"",MEDIAN(D254:S254))</f>
        <v/>
      </c>
      <c r="V254" s="8">
        <f>IF(COUNT(D254:S254)=0,"",MAX(D254:S254))</f>
        <v/>
      </c>
      <c r="W254" s="9">
        <f>IF(OR(T254="",T254=0),"",(V254-T254)/T254)</f>
        <v/>
      </c>
      <c r="X254" s="7">
        <f>IF(COUNT(D254:S254)=0,"",INDEX($D$1:$S$1,MATCH(MIN(D254:S254),D254:S254,0)))</f>
        <v/>
      </c>
      <c r="Y254" s="8" t="n">
        <v>822.24</v>
      </c>
      <c r="Z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>
        <f>IF(COUNT(D255:S255)=0,"",MIN(D255:S255))</f>
        <v/>
      </c>
      <c r="U255" s="8">
        <f>IF(COUNT(D255:S255)=0,"",MEDIAN(D255:S255))</f>
        <v/>
      </c>
      <c r="V255" s="8">
        <f>IF(COUNT(D255:S255)=0,"",MAX(D255:S255))</f>
        <v/>
      </c>
      <c r="W255" s="9">
        <f>IF(OR(T255="",T255=0),"",(V255-T255)/T255)</f>
        <v/>
      </c>
      <c r="X255" s="7">
        <f>IF(COUNT(D255:S255)=0,"",INDEX($D$1:$S$1,MATCH(MIN(D255:S255),D255:S255,0)))</f>
        <v/>
      </c>
      <c r="Y255" s="8" t="n">
        <v>785.33</v>
      </c>
      <c r="Z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>
        <f>IF(COUNT(D256:S256)=0,"",MIN(D256:S256))</f>
        <v/>
      </c>
      <c r="U256" s="8">
        <f>IF(COUNT(D256:S256)=0,"",MEDIAN(D256:S256))</f>
        <v/>
      </c>
      <c r="V256" s="8">
        <f>IF(COUNT(D256:S256)=0,"",MAX(D256:S256))</f>
        <v/>
      </c>
      <c r="W256" s="9">
        <f>IF(OR(T256="",T256=0),"",(V256-T256)/T256)</f>
        <v/>
      </c>
      <c r="X256" s="7">
        <f>IF(COUNT(D256:S256)=0,"",INDEX($D$1:$S$1,MATCH(MIN(D256:S256),D256:S256,0)))</f>
        <v/>
      </c>
      <c r="Y256" s="8" t="n">
        <v>1684.92</v>
      </c>
      <c r="Z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>
        <f>IF(COUNT(D257:S257)=0,"",MIN(D257:S257))</f>
        <v/>
      </c>
      <c r="U257" s="8">
        <f>IF(COUNT(D257:S257)=0,"",MEDIAN(D257:S257))</f>
        <v/>
      </c>
      <c r="V257" s="8">
        <f>IF(COUNT(D257:S257)=0,"",MAX(D257:S257))</f>
        <v/>
      </c>
      <c r="W257" s="9">
        <f>IF(OR(T257="",T257=0),"",(V257-T257)/T257)</f>
        <v/>
      </c>
      <c r="X257" s="7">
        <f>IF(COUNT(D257:S257)=0,"",INDEX($D$1:$S$1,MATCH(MIN(D257:S257),D257:S257,0)))</f>
        <v/>
      </c>
      <c r="Y257" s="8" t="n">
        <v>401.21</v>
      </c>
      <c r="Z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>
        <f>IF(COUNT(D258:S258)=0,"",MIN(D258:S258))</f>
        <v/>
      </c>
      <c r="U258" s="8">
        <f>IF(COUNT(D258:S258)=0,"",MEDIAN(D258:S258))</f>
        <v/>
      </c>
      <c r="V258" s="8">
        <f>IF(COUNT(D258:S258)=0,"",MAX(D258:S258))</f>
        <v/>
      </c>
      <c r="W258" s="9">
        <f>IF(OR(T258="",T258=0),"",(V258-T258)/T258)</f>
        <v/>
      </c>
      <c r="X258" s="7">
        <f>IF(COUNT(D258:S258)=0,"",INDEX($D$1:$S$1,MATCH(MIN(D258:S258),D258:S258,0)))</f>
        <v/>
      </c>
      <c r="Y258" s="8" t="n">
        <v>1264.08</v>
      </c>
      <c r="Z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>
        <f>IF(COUNT(D259:S259)=0,"",MIN(D259:S259))</f>
        <v/>
      </c>
      <c r="U259" s="8">
        <f>IF(COUNT(D259:S259)=0,"",MEDIAN(D259:S259))</f>
        <v/>
      </c>
      <c r="V259" s="8">
        <f>IF(COUNT(D259:S259)=0,"",MAX(D259:S259))</f>
        <v/>
      </c>
      <c r="W259" s="9">
        <f>IF(OR(T259="",T259=0),"",(V259-T259)/T259)</f>
        <v/>
      </c>
      <c r="X259" s="7">
        <f>IF(COUNT(D259:S259)=0,"",INDEX($D$1:$S$1,MATCH(MIN(D259:S259),D259:S259,0)))</f>
        <v/>
      </c>
      <c r="Y259" s="8" t="n">
        <v>800.16</v>
      </c>
      <c r="Z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>
        <f>IF(COUNT(D260:S260)=0,"",MIN(D260:S260))</f>
        <v/>
      </c>
      <c r="U260" s="8">
        <f>IF(COUNT(D260:S260)=0,"",MEDIAN(D260:S260))</f>
        <v/>
      </c>
      <c r="V260" s="8">
        <f>IF(COUNT(D260:S260)=0,"",MAX(D260:S260))</f>
        <v/>
      </c>
      <c r="W260" s="9">
        <f>IF(OR(T260="",T260=0),"",(V260-T260)/T260)</f>
        <v/>
      </c>
      <c r="X260" s="7">
        <f>IF(COUNT(D260:S260)=0,"",INDEX($D$1:$S$1,MATCH(MIN(D260:S260),D260:S260,0)))</f>
        <v/>
      </c>
      <c r="Y260" s="8" t="n">
        <v>876.1</v>
      </c>
      <c r="Z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>
        <f>IF(COUNT(D261:S261)=0,"",MIN(D261:S261))</f>
        <v/>
      </c>
      <c r="U261" s="8">
        <f>IF(COUNT(D261:S261)=0,"",MEDIAN(D261:S261))</f>
        <v/>
      </c>
      <c r="V261" s="8">
        <f>IF(COUNT(D261:S261)=0,"",MAX(D261:S261))</f>
        <v/>
      </c>
      <c r="W261" s="9">
        <f>IF(OR(T261="",T261=0),"",(V261-T261)/T261)</f>
        <v/>
      </c>
      <c r="X261" s="7">
        <f>IF(COUNT(D261:S261)=0,"",INDEX($D$1:$S$1,MATCH(MIN(D261:S261),D261:S261,0)))</f>
        <v/>
      </c>
      <c r="Y261" s="8" t="n">
        <v>1195.21</v>
      </c>
      <c r="Z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>
        <f>IF(COUNT(D262:S262)=0,"",MIN(D262:S262))</f>
        <v/>
      </c>
      <c r="U262" s="8">
        <f>IF(COUNT(D262:S262)=0,"",MEDIAN(D262:S262))</f>
        <v/>
      </c>
      <c r="V262" s="8">
        <f>IF(COUNT(D262:S262)=0,"",MAX(D262:S262))</f>
        <v/>
      </c>
      <c r="W262" s="9">
        <f>IF(OR(T262="",T262=0),"",(V262-T262)/T262)</f>
        <v/>
      </c>
      <c r="X262" s="7">
        <f>IF(COUNT(D262:S262)=0,"",INDEX($D$1:$S$1,MATCH(MIN(D262:S262),D262:S262,0)))</f>
        <v/>
      </c>
      <c r="Y262" s="8" t="n">
        <v>199.95</v>
      </c>
      <c r="Z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>
        <f>IF(COUNT(D263:S263)=0,"",MIN(D263:S263))</f>
        <v/>
      </c>
      <c r="U263" s="8">
        <f>IF(COUNT(D263:S263)=0,"",MEDIAN(D263:S263))</f>
        <v/>
      </c>
      <c r="V263" s="8">
        <f>IF(COUNT(D263:S263)=0,"",MAX(D263:S263))</f>
        <v/>
      </c>
      <c r="W263" s="9">
        <f>IF(OR(T263="",T263=0),"",(V263-T263)/T263)</f>
        <v/>
      </c>
      <c r="X263" s="7">
        <f>IF(COUNT(D263:S263)=0,"",INDEX($D$1:$S$1,MATCH(MIN(D263:S263),D263:S263,0)))</f>
        <v/>
      </c>
      <c r="Y263" s="8" t="n">
        <v>1279.89</v>
      </c>
      <c r="Z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>
        <f>IF(COUNT(D264:S264)=0,"",MIN(D264:S264))</f>
        <v/>
      </c>
      <c r="U264" s="8">
        <f>IF(COUNT(D264:S264)=0,"",MEDIAN(D264:S264))</f>
        <v/>
      </c>
      <c r="V264" s="8">
        <f>IF(COUNT(D264:S264)=0,"",MAX(D264:S264))</f>
        <v/>
      </c>
      <c r="W264" s="9">
        <f>IF(OR(T264="",T264=0),"",(V264-T264)/T264)</f>
        <v/>
      </c>
      <c r="X264" s="7">
        <f>IF(COUNT(D264:S264)=0,"",INDEX($D$1:$S$1,MATCH(MIN(D264:S264),D264:S264,0)))</f>
        <v/>
      </c>
      <c r="Y264" s="8" t="n">
        <v>1789.97</v>
      </c>
      <c r="Z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>
        <f>IF(COUNT(D265:S265)=0,"",MIN(D265:S265))</f>
        <v/>
      </c>
      <c r="U265" s="8">
        <f>IF(COUNT(D265:S265)=0,"",MEDIAN(D265:S265))</f>
        <v/>
      </c>
      <c r="V265" s="8">
        <f>IF(COUNT(D265:S265)=0,"",MAX(D265:S265))</f>
        <v/>
      </c>
      <c r="W265" s="9">
        <f>IF(OR(T265="",T265=0),"",(V265-T265)/T265)</f>
        <v/>
      </c>
      <c r="X265" s="7">
        <f>IF(COUNT(D265:S265)=0,"",INDEX($D$1:$S$1,MATCH(MIN(D265:S265),D265:S265,0)))</f>
        <v/>
      </c>
      <c r="Y265" s="8" t="n">
        <v>2071.81</v>
      </c>
      <c r="Z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>
        <f>IF(COUNT(D266:S266)=0,"",MIN(D266:S266))</f>
        <v/>
      </c>
      <c r="U266" s="8">
        <f>IF(COUNT(D266:S266)=0,"",MEDIAN(D266:S266))</f>
        <v/>
      </c>
      <c r="V266" s="8">
        <f>IF(COUNT(D266:S266)=0,"",MAX(D266:S266))</f>
        <v/>
      </c>
      <c r="W266" s="9">
        <f>IF(OR(T266="",T266=0),"",(V266-T266)/T266)</f>
        <v/>
      </c>
      <c r="X266" s="7">
        <f>IF(COUNT(D266:S266)=0,"",INDEX($D$1:$S$1,MATCH(MIN(D266:S266),D266:S266,0)))</f>
        <v/>
      </c>
      <c r="Y266" s="8" t="n">
        <v>644.1900000000001</v>
      </c>
      <c r="Z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>
        <f>IF(COUNT(D267:S267)=0,"",MIN(D267:S267))</f>
        <v/>
      </c>
      <c r="U267" s="8">
        <f>IF(COUNT(D267:S267)=0,"",MEDIAN(D267:S267))</f>
        <v/>
      </c>
      <c r="V267" s="8">
        <f>IF(COUNT(D267:S267)=0,"",MAX(D267:S267))</f>
        <v/>
      </c>
      <c r="W267" s="9">
        <f>IF(OR(T267="",T267=0),"",(V267-T267)/T267)</f>
        <v/>
      </c>
      <c r="X267" s="7">
        <f>IF(COUNT(D267:S267)=0,"",INDEX($D$1:$S$1,MATCH(MIN(D267:S267),D267:S267,0)))</f>
        <v/>
      </c>
      <c r="Y267" s="8" t="n">
        <v>1511.88</v>
      </c>
      <c r="Z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>
        <f>IF(COUNT(D268:S268)=0,"",MIN(D268:S268))</f>
        <v/>
      </c>
      <c r="U268" s="8">
        <f>IF(COUNT(D268:S268)=0,"",MEDIAN(D268:S268))</f>
        <v/>
      </c>
      <c r="V268" s="8">
        <f>IF(COUNT(D268:S268)=0,"",MAX(D268:S268))</f>
        <v/>
      </c>
      <c r="W268" s="9">
        <f>IF(OR(T268="",T268=0),"",(V268-T268)/T268)</f>
        <v/>
      </c>
      <c r="X268" s="7">
        <f>IF(COUNT(D268:S268)=0,"",INDEX($D$1:$S$1,MATCH(MIN(D268:S268),D268:S268,0)))</f>
        <v/>
      </c>
      <c r="Y268" s="8" t="n">
        <v>1817.04</v>
      </c>
      <c r="Z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>
        <f>IF(COUNT(D269:S269)=0,"",MIN(D269:S269))</f>
        <v/>
      </c>
      <c r="U269" s="8">
        <f>IF(COUNT(D269:S269)=0,"",MEDIAN(D269:S269))</f>
        <v/>
      </c>
      <c r="V269" s="8">
        <f>IF(COUNT(D269:S269)=0,"",MAX(D269:S269))</f>
        <v/>
      </c>
      <c r="W269" s="9">
        <f>IF(OR(T269="",T269=0),"",(V269-T269)/T269)</f>
        <v/>
      </c>
      <c r="X269" s="7">
        <f>IF(COUNT(D269:S269)=0,"",INDEX($D$1:$S$1,MATCH(MIN(D269:S269),D269:S269,0)))</f>
        <v/>
      </c>
      <c r="Y269" s="8" t="n">
        <v>1770.01</v>
      </c>
      <c r="Z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>
        <f>IF(COUNT(D270:S270)=0,"",MIN(D270:S270))</f>
        <v/>
      </c>
      <c r="U270" s="8">
        <f>IF(COUNT(D270:S270)=0,"",MEDIAN(D270:S270))</f>
        <v/>
      </c>
      <c r="V270" s="8">
        <f>IF(COUNT(D270:S270)=0,"",MAX(D270:S270))</f>
        <v/>
      </c>
      <c r="W270" s="9">
        <f>IF(OR(T270="",T270=0),"",(V270-T270)/T270)</f>
        <v/>
      </c>
      <c r="X270" s="7">
        <f>IF(COUNT(D270:S270)=0,"",INDEX($D$1:$S$1,MATCH(MIN(D270:S270),D270:S270,0)))</f>
        <v/>
      </c>
      <c r="Y270" s="8" t="n">
        <v>2169.48</v>
      </c>
      <c r="Z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>
        <f>IF(COUNT(D271:S271)=0,"",MIN(D271:S271))</f>
        <v/>
      </c>
      <c r="U271" s="8">
        <f>IF(COUNT(D271:S271)=0,"",MEDIAN(D271:S271))</f>
        <v/>
      </c>
      <c r="V271" s="8">
        <f>IF(COUNT(D271:S271)=0,"",MAX(D271:S271))</f>
        <v/>
      </c>
      <c r="W271" s="9">
        <f>IF(OR(T271="",T271=0),"",(V271-T271)/T271)</f>
        <v/>
      </c>
      <c r="X271" s="7">
        <f>IF(COUNT(D271:S271)=0,"",INDEX($D$1:$S$1,MATCH(MIN(D271:S271),D271:S271,0)))</f>
        <v/>
      </c>
      <c r="Y271" s="8" t="n">
        <v>1419.42</v>
      </c>
      <c r="Z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>
        <f>IF(COUNT(D272:S272)=0,"",MIN(D272:S272))</f>
        <v/>
      </c>
      <c r="U272" s="8">
        <f>IF(COUNT(D272:S272)=0,"",MEDIAN(D272:S272))</f>
        <v/>
      </c>
      <c r="V272" s="8">
        <f>IF(COUNT(D272:S272)=0,"",MAX(D272:S272))</f>
        <v/>
      </c>
      <c r="W272" s="9">
        <f>IF(OR(T272="",T272=0),"",(V272-T272)/T272)</f>
        <v/>
      </c>
      <c r="X272" s="7">
        <f>IF(COUNT(D272:S272)=0,"",INDEX($D$1:$S$1,MATCH(MIN(D272:S272),D272:S272,0)))</f>
        <v/>
      </c>
      <c r="Y272" s="8" t="n">
        <v>1352</v>
      </c>
      <c r="Z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>
        <f>IF(COUNT(D273:S273)=0,"",MIN(D273:S273))</f>
        <v/>
      </c>
      <c r="U273" s="8">
        <f>IF(COUNT(D273:S273)=0,"",MEDIAN(D273:S273))</f>
        <v/>
      </c>
      <c r="V273" s="8">
        <f>IF(COUNT(D273:S273)=0,"",MAX(D273:S273))</f>
        <v/>
      </c>
      <c r="W273" s="9">
        <f>IF(OR(T273="",T273=0),"",(V273-T273)/T273)</f>
        <v/>
      </c>
      <c r="X273" s="7">
        <f>IF(COUNT(D273:S273)=0,"",INDEX($D$1:$S$1,MATCH(MIN(D273:S273),D273:S273,0)))</f>
        <v/>
      </c>
      <c r="Y273" s="8" t="n">
        <v>784.04</v>
      </c>
      <c r="Z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>
        <f>IF(COUNT(D274:S274)=0,"",MIN(D274:S274))</f>
        <v/>
      </c>
      <c r="U274" s="8">
        <f>IF(COUNT(D274:S274)=0,"",MEDIAN(D274:S274))</f>
        <v/>
      </c>
      <c r="V274" s="8">
        <f>IF(COUNT(D274:S274)=0,"",MAX(D274:S274))</f>
        <v/>
      </c>
      <c r="W274" s="9">
        <f>IF(OR(T274="",T274=0),"",(V274-T274)/T274)</f>
        <v/>
      </c>
      <c r="X274" s="7">
        <f>IF(COUNT(D274:S274)=0,"",INDEX($D$1:$S$1,MATCH(MIN(D274:S274),D274:S274,0)))</f>
        <v/>
      </c>
      <c r="Y274" s="8" t="n">
        <v>975</v>
      </c>
      <c r="Z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>
        <f>IF(COUNT(D275:S275)=0,"",MIN(D275:S275))</f>
        <v/>
      </c>
      <c r="U275" s="8">
        <f>IF(COUNT(D275:S275)=0,"",MEDIAN(D275:S275))</f>
        <v/>
      </c>
      <c r="V275" s="8">
        <f>IF(COUNT(D275:S275)=0,"",MAX(D275:S275))</f>
        <v/>
      </c>
      <c r="W275" s="9">
        <f>IF(OR(T275="",T275=0),"",(V275-T275)/T275)</f>
        <v/>
      </c>
      <c r="X275" s="7">
        <f>IF(COUNT(D275:S275)=0,"",INDEX($D$1:$S$1,MATCH(MIN(D275:S275),D275:S275,0)))</f>
        <v/>
      </c>
      <c r="Y275" s="8" t="n">
        <v>737.36</v>
      </c>
      <c r="Z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>
        <f>IF(COUNT(D276:S276)=0,"",MIN(D276:S276))</f>
        <v/>
      </c>
      <c r="U276" s="8">
        <f>IF(COUNT(D276:S276)=0,"",MEDIAN(D276:S276))</f>
        <v/>
      </c>
      <c r="V276" s="8">
        <f>IF(COUNT(D276:S276)=0,"",MAX(D276:S276))</f>
        <v/>
      </c>
      <c r="W276" s="9">
        <f>IF(OR(T276="",T276=0),"",(V276-T276)/T276)</f>
        <v/>
      </c>
      <c r="X276" s="7">
        <f>IF(COUNT(D276:S276)=0,"",INDEX($D$1:$S$1,MATCH(MIN(D276:S276),D276:S276,0)))</f>
        <v/>
      </c>
      <c r="Y276" s="8" t="n">
        <v>3981.13</v>
      </c>
      <c r="Z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>
        <f>IF(COUNT(D277:S277)=0,"",MIN(D277:S277))</f>
        <v/>
      </c>
      <c r="U277" s="8">
        <f>IF(COUNT(D277:S277)=0,"",MEDIAN(D277:S277))</f>
        <v/>
      </c>
      <c r="V277" s="8">
        <f>IF(COUNT(D277:S277)=0,"",MAX(D277:S277))</f>
        <v/>
      </c>
      <c r="W277" s="9">
        <f>IF(OR(T277="",T277=0),"",(V277-T277)/T277)</f>
        <v/>
      </c>
      <c r="X277" s="7">
        <f>IF(COUNT(D277:S277)=0,"",INDEX($D$1:$S$1,MATCH(MIN(D277:S277),D277:S277,0)))</f>
        <v/>
      </c>
      <c r="Y277" s="8" t="n">
        <v>2136.75</v>
      </c>
      <c r="Z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>
        <f>IF(COUNT(D278:S278)=0,"",MIN(D278:S278))</f>
        <v/>
      </c>
      <c r="U278" s="8">
        <f>IF(COUNT(D278:S278)=0,"",MEDIAN(D278:S278))</f>
        <v/>
      </c>
      <c r="V278" s="8">
        <f>IF(COUNT(D278:S278)=0,"",MAX(D278:S278))</f>
        <v/>
      </c>
      <c r="W278" s="9">
        <f>IF(OR(T278="",T278=0),"",(V278-T278)/T278)</f>
        <v/>
      </c>
      <c r="X278" s="7">
        <f>IF(COUNT(D278:S278)=0,"",INDEX($D$1:$S$1,MATCH(MIN(D278:S278),D278:S278,0)))</f>
        <v/>
      </c>
      <c r="Y278" s="8" t="n">
        <v>1295.89</v>
      </c>
      <c r="Z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>
        <f>IF(COUNT(D279:S279)=0,"",MIN(D279:S279))</f>
        <v/>
      </c>
      <c r="U279" s="8">
        <f>IF(COUNT(D279:S279)=0,"",MEDIAN(D279:S279))</f>
        <v/>
      </c>
      <c r="V279" s="8">
        <f>IF(COUNT(D279:S279)=0,"",MAX(D279:S279))</f>
        <v/>
      </c>
      <c r="W279" s="9">
        <f>IF(OR(T279="",T279=0),"",(V279-T279)/T279)</f>
        <v/>
      </c>
      <c r="X279" s="7">
        <f>IF(COUNT(D279:S279)=0,"",INDEX($D$1:$S$1,MATCH(MIN(D279:S279),D279:S279,0)))</f>
        <v/>
      </c>
      <c r="Y279" s="8" t="n">
        <v>2036.8</v>
      </c>
      <c r="Z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>
        <f>IF(COUNT(D280:S280)=0,"",MIN(D280:S280))</f>
        <v/>
      </c>
      <c r="U280" s="8">
        <f>IF(COUNT(D280:S280)=0,"",MEDIAN(D280:S280))</f>
        <v/>
      </c>
      <c r="V280" s="8">
        <f>IF(COUNT(D280:S280)=0,"",MAX(D280:S280))</f>
        <v/>
      </c>
      <c r="W280" s="9">
        <f>IF(OR(T280="",T280=0),"",(V280-T280)/T280)</f>
        <v/>
      </c>
      <c r="X280" s="7">
        <f>IF(COUNT(D280:S280)=0,"",INDEX($D$1:$S$1,MATCH(MIN(D280:S280),D280:S280,0)))</f>
        <v/>
      </c>
      <c r="Y280" s="8" t="n">
        <v>1697.46</v>
      </c>
      <c r="Z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>
        <f>IF(COUNT(D281:S281)=0,"",MIN(D281:S281))</f>
        <v/>
      </c>
      <c r="U281" s="8">
        <f>IF(COUNT(D281:S281)=0,"",MEDIAN(D281:S281))</f>
        <v/>
      </c>
      <c r="V281" s="8">
        <f>IF(COUNT(D281:S281)=0,"",MAX(D281:S281))</f>
        <v/>
      </c>
      <c r="W281" s="9">
        <f>IF(OR(T281="",T281=0),"",(V281-T281)/T281)</f>
        <v/>
      </c>
      <c r="X281" s="7">
        <f>IF(COUNT(D281:S281)=0,"",INDEX($D$1:$S$1,MATCH(MIN(D281:S281),D281:S281,0)))</f>
        <v/>
      </c>
      <c r="Y281" s="8" t="n">
        <v>1889.91</v>
      </c>
      <c r="Z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>
        <f>IF(COUNT(D282:S282)=0,"",MIN(D282:S282))</f>
        <v/>
      </c>
      <c r="U282" s="8">
        <f>IF(COUNT(D282:S282)=0,"",MEDIAN(D282:S282))</f>
        <v/>
      </c>
      <c r="V282" s="8">
        <f>IF(COUNT(D282:S282)=0,"",MAX(D282:S282))</f>
        <v/>
      </c>
      <c r="W282" s="9">
        <f>IF(OR(T282="",T282=0),"",(V282-T282)/T282)</f>
        <v/>
      </c>
      <c r="X282" s="7">
        <f>IF(COUNT(D282:S282)=0,"",INDEX($D$1:$S$1,MATCH(MIN(D282:S282),D282:S282,0)))</f>
        <v/>
      </c>
      <c r="Y282" s="8" t="n">
        <v>3031.01</v>
      </c>
      <c r="Z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>
        <f>IF(COUNT(D283:S283)=0,"",MIN(D283:S283))</f>
        <v/>
      </c>
      <c r="U283" s="8">
        <f>IF(COUNT(D283:S283)=0,"",MEDIAN(D283:S283))</f>
        <v/>
      </c>
      <c r="V283" s="8">
        <f>IF(COUNT(D283:S283)=0,"",MAX(D283:S283))</f>
        <v/>
      </c>
      <c r="W283" s="9">
        <f>IF(OR(T283="",T283=0),"",(V283-T283)/T283)</f>
        <v/>
      </c>
      <c r="X283" s="7">
        <f>IF(COUNT(D283:S283)=0,"",INDEX($D$1:$S$1,MATCH(MIN(D283:S283),D283:S283,0)))</f>
        <v/>
      </c>
      <c r="Y283" s="8" t="n">
        <v>324.25</v>
      </c>
      <c r="Z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>
        <f>IF(COUNT(D284:S284)=0,"",MIN(D284:S284))</f>
        <v/>
      </c>
      <c r="U284" s="8">
        <f>IF(COUNT(D284:S284)=0,"",MEDIAN(D284:S284))</f>
        <v/>
      </c>
      <c r="V284" s="8">
        <f>IF(COUNT(D284:S284)=0,"",MAX(D284:S284))</f>
        <v/>
      </c>
      <c r="W284" s="9">
        <f>IF(OR(T284="",T284=0),"",(V284-T284)/T284)</f>
        <v/>
      </c>
      <c r="X284" s="7">
        <f>IF(COUNT(D284:S284)=0,"",INDEX($D$1:$S$1,MATCH(MIN(D284:S284),D284:S284,0)))</f>
        <v/>
      </c>
      <c r="Y284" s="8" t="n">
        <v>2595</v>
      </c>
      <c r="Z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>
        <f>IF(COUNT(D285:S285)=0,"",MIN(D285:S285))</f>
        <v/>
      </c>
      <c r="U285" s="8">
        <f>IF(COUNT(D285:S285)=0,"",MEDIAN(D285:S285))</f>
        <v/>
      </c>
      <c r="V285" s="8">
        <f>IF(COUNT(D285:S285)=0,"",MAX(D285:S285))</f>
        <v/>
      </c>
      <c r="W285" s="9">
        <f>IF(OR(T285="",T285=0),"",(V285-T285)/T285)</f>
        <v/>
      </c>
      <c r="X285" s="7">
        <f>IF(COUNT(D285:S285)=0,"",INDEX($D$1:$S$1,MATCH(MIN(D285:S285),D285:S285,0)))</f>
        <v/>
      </c>
      <c r="Y285" s="8" t="n">
        <v>2989.56</v>
      </c>
      <c r="Z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>
        <f>IF(COUNT(D286:S286)=0,"",MIN(D286:S286))</f>
        <v/>
      </c>
      <c r="U286" s="8">
        <f>IF(COUNT(D286:S286)=0,"",MEDIAN(D286:S286))</f>
        <v/>
      </c>
      <c r="V286" s="8">
        <f>IF(COUNT(D286:S286)=0,"",MAX(D286:S286))</f>
        <v/>
      </c>
      <c r="W286" s="9">
        <f>IF(OR(T286="",T286=0),"",(V286-T286)/T286)</f>
        <v/>
      </c>
      <c r="X286" s="7">
        <f>IF(COUNT(D286:S286)=0,"",INDEX($D$1:$S$1,MATCH(MIN(D286:S286),D286:S286,0)))</f>
        <v/>
      </c>
      <c r="Y286" s="8" t="n">
        <v>899.08</v>
      </c>
      <c r="Z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>
        <f>IF(COUNT(D287:S287)=0,"",MIN(D287:S287))</f>
        <v/>
      </c>
      <c r="U287" s="8">
        <f>IF(COUNT(D287:S287)=0,"",MEDIAN(D287:S287))</f>
        <v/>
      </c>
      <c r="V287" s="8">
        <f>IF(COUNT(D287:S287)=0,"",MAX(D287:S287))</f>
        <v/>
      </c>
      <c r="W287" s="9">
        <f>IF(OR(T287="",T287=0),"",(V287-T287)/T287)</f>
        <v/>
      </c>
      <c r="X287" s="7">
        <f>IF(COUNT(D287:S287)=0,"",INDEX($D$1:$S$1,MATCH(MIN(D287:S287),D287:S287,0)))</f>
        <v/>
      </c>
      <c r="Y287" s="8" t="n">
        <v>718.77</v>
      </c>
      <c r="Z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>
        <f>IF(COUNT(D288:S288)=0,"",MIN(D288:S288))</f>
        <v/>
      </c>
      <c r="U288" s="8">
        <f>IF(COUNT(D288:S288)=0,"",MEDIAN(D288:S288))</f>
        <v/>
      </c>
      <c r="V288" s="8">
        <f>IF(COUNT(D288:S288)=0,"",MAX(D288:S288))</f>
        <v/>
      </c>
      <c r="W288" s="9">
        <f>IF(OR(T288="",T288=0),"",(V288-T288)/T288)</f>
        <v/>
      </c>
      <c r="X288" s="7">
        <f>IF(COUNT(D288:S288)=0,"",INDEX($D$1:$S$1,MATCH(MIN(D288:S288),D288:S288,0)))</f>
        <v/>
      </c>
      <c r="Y288" s="8" t="n">
        <v>1223.85</v>
      </c>
      <c r="Z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>
        <f>IF(COUNT(D289:S289)=0,"",MIN(D289:S289))</f>
        <v/>
      </c>
      <c r="U289" s="8">
        <f>IF(COUNT(D289:S289)=0,"",MEDIAN(D289:S289))</f>
        <v/>
      </c>
      <c r="V289" s="8">
        <f>IF(COUNT(D289:S289)=0,"",MAX(D289:S289))</f>
        <v/>
      </c>
      <c r="W289" s="9">
        <f>IF(OR(T289="",T289=0),"",(V289-T289)/T289)</f>
        <v/>
      </c>
      <c r="X289" s="7">
        <f>IF(COUNT(D289:S289)=0,"",INDEX($D$1:$S$1,MATCH(MIN(D289:S289),D289:S289,0)))</f>
        <v/>
      </c>
      <c r="Y289" s="8" t="n">
        <v>394.57</v>
      </c>
      <c r="Z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>
        <f>IF(COUNT(D290:S290)=0,"",MIN(D290:S290))</f>
        <v/>
      </c>
      <c r="U290" s="8">
        <f>IF(COUNT(D290:S290)=0,"",MEDIAN(D290:S290))</f>
        <v/>
      </c>
      <c r="V290" s="8">
        <f>IF(COUNT(D290:S290)=0,"",MAX(D290:S290))</f>
        <v/>
      </c>
      <c r="W290" s="9">
        <f>IF(OR(T290="",T290=0),"",(V290-T290)/T290)</f>
        <v/>
      </c>
      <c r="X290" s="7">
        <f>IF(COUNT(D290:S290)=0,"",INDEX($D$1:$S$1,MATCH(MIN(D290:S290),D290:S290,0)))</f>
        <v/>
      </c>
      <c r="Y290" s="8" t="n">
        <v>831.15</v>
      </c>
      <c r="Z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>
        <f>IF(COUNT(D291:S291)=0,"",MIN(D291:S291))</f>
        <v/>
      </c>
      <c r="U291" s="8">
        <f>IF(COUNT(D291:S291)=0,"",MEDIAN(D291:S291))</f>
        <v/>
      </c>
      <c r="V291" s="8">
        <f>IF(COUNT(D291:S291)=0,"",MAX(D291:S291))</f>
        <v/>
      </c>
      <c r="W291" s="9">
        <f>IF(OR(T291="",T291=0),"",(V291-T291)/T291)</f>
        <v/>
      </c>
      <c r="X291" s="7">
        <f>IF(COUNT(D291:S291)=0,"",INDEX($D$1:$S$1,MATCH(MIN(D291:S291),D291:S291,0)))</f>
        <v/>
      </c>
      <c r="Y291" s="8" t="n">
        <v>718.6799999999999</v>
      </c>
      <c r="Z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>
        <f>IF(COUNT(D292:S292)=0,"",MIN(D292:S292))</f>
        <v/>
      </c>
      <c r="U292" s="8">
        <f>IF(COUNT(D292:S292)=0,"",MEDIAN(D292:S292))</f>
        <v/>
      </c>
      <c r="V292" s="8">
        <f>IF(COUNT(D292:S292)=0,"",MAX(D292:S292))</f>
        <v/>
      </c>
      <c r="W292" s="9">
        <f>IF(OR(T292="",T292=0),"",(V292-T292)/T292)</f>
        <v/>
      </c>
      <c r="X292" s="7">
        <f>IF(COUNT(D292:S292)=0,"",INDEX($D$1:$S$1,MATCH(MIN(D292:S292),D292:S292,0)))</f>
        <v/>
      </c>
      <c r="Y292" s="8" t="n">
        <v>509.76</v>
      </c>
      <c r="Z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>
        <f>IF(COUNT(D293:S293)=0,"",MIN(D293:S293))</f>
        <v/>
      </c>
      <c r="U293" s="8">
        <f>IF(COUNT(D293:S293)=0,"",MEDIAN(D293:S293))</f>
        <v/>
      </c>
      <c r="V293" s="8">
        <f>IF(COUNT(D293:S293)=0,"",MAX(D293:S293))</f>
        <v/>
      </c>
      <c r="W293" s="9">
        <f>IF(OR(T293="",T293=0),"",(V293-T293)/T293)</f>
        <v/>
      </c>
      <c r="X293" s="7">
        <f>IF(COUNT(D293:S293)=0,"",INDEX($D$1:$S$1,MATCH(MIN(D293:S293),D293:S293,0)))</f>
        <v/>
      </c>
      <c r="Y293" s="8" t="n">
        <v>389</v>
      </c>
      <c r="Z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>
        <f>IF(COUNT(D294:S294)=0,"",MIN(D294:S294))</f>
        <v/>
      </c>
      <c r="U294" s="8">
        <f>IF(COUNT(D294:S294)=0,"",MEDIAN(D294:S294))</f>
        <v/>
      </c>
      <c r="V294" s="8">
        <f>IF(COUNT(D294:S294)=0,"",MAX(D294:S294))</f>
        <v/>
      </c>
      <c r="W294" s="9">
        <f>IF(OR(T294="",T294=0),"",(V294-T294)/T294)</f>
        <v/>
      </c>
      <c r="X294" s="7">
        <f>IF(COUNT(D294:S294)=0,"",INDEX($D$1:$S$1,MATCH(MIN(D294:S294),D294:S294,0)))</f>
        <v/>
      </c>
      <c r="Y294" s="8" t="n">
        <v>880.0599999999999</v>
      </c>
      <c r="Z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>
        <f>IF(COUNT(D295:S295)=0,"",MIN(D295:S295))</f>
        <v/>
      </c>
      <c r="U295" s="8">
        <f>IF(COUNT(D295:S295)=0,"",MEDIAN(D295:S295))</f>
        <v/>
      </c>
      <c r="V295" s="8">
        <f>IF(COUNT(D295:S295)=0,"",MAX(D295:S295))</f>
        <v/>
      </c>
      <c r="W295" s="9">
        <f>IF(OR(T295="",T295=0),"",(V295-T295)/T295)</f>
        <v/>
      </c>
      <c r="X295" s="7">
        <f>IF(COUNT(D295:S295)=0,"",INDEX($D$1:$S$1,MATCH(MIN(D295:S295),D295:S295,0)))</f>
        <v/>
      </c>
      <c r="Y295" s="8" t="n">
        <v>1343.36</v>
      </c>
      <c r="Z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>
        <f>IF(COUNT(D296:S296)=0,"",MIN(D296:S296))</f>
        <v/>
      </c>
      <c r="U296" s="8">
        <f>IF(COUNT(D296:S296)=0,"",MEDIAN(D296:S296))</f>
        <v/>
      </c>
      <c r="V296" s="8">
        <f>IF(COUNT(D296:S296)=0,"",MAX(D296:S296))</f>
        <v/>
      </c>
      <c r="W296" s="9">
        <f>IF(OR(T296="",T296=0),"",(V296-T296)/T296)</f>
        <v/>
      </c>
      <c r="X296" s="7">
        <f>IF(COUNT(D296:S296)=0,"",INDEX($D$1:$S$1,MATCH(MIN(D296:S296),D296:S296,0)))</f>
        <v/>
      </c>
      <c r="Y296" s="8" t="n">
        <v>902.6</v>
      </c>
      <c r="Z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>
        <f>IF(COUNT(D297:S297)=0,"",MIN(D297:S297))</f>
        <v/>
      </c>
      <c r="U297" s="8">
        <f>IF(COUNT(D297:S297)=0,"",MEDIAN(D297:S297))</f>
        <v/>
      </c>
      <c r="V297" s="8">
        <f>IF(COUNT(D297:S297)=0,"",MAX(D297:S297))</f>
        <v/>
      </c>
      <c r="W297" s="9">
        <f>IF(OR(T297="",T297=0),"",(V297-T297)/T297)</f>
        <v/>
      </c>
      <c r="X297" s="7">
        <f>IF(COUNT(D297:S297)=0,"",INDEX($D$1:$S$1,MATCH(MIN(D297:S297),D297:S297,0)))</f>
        <v/>
      </c>
      <c r="Y297" s="8" t="n">
        <v>1196.92</v>
      </c>
      <c r="Z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>
        <f>IF(COUNT(D298:S298)=0,"",MIN(D298:S298))</f>
        <v/>
      </c>
      <c r="U298" s="8">
        <f>IF(COUNT(D298:S298)=0,"",MEDIAN(D298:S298))</f>
        <v/>
      </c>
      <c r="V298" s="8">
        <f>IF(COUNT(D298:S298)=0,"",MAX(D298:S298))</f>
        <v/>
      </c>
      <c r="W298" s="9">
        <f>IF(OR(T298="",T298=0),"",(V298-T298)/T298)</f>
        <v/>
      </c>
      <c r="X298" s="7">
        <f>IF(COUNT(D298:S298)=0,"",INDEX($D$1:$S$1,MATCH(MIN(D298:S298),D298:S298,0)))</f>
        <v/>
      </c>
      <c r="Y298" s="8" t="n">
        <v>2092.5</v>
      </c>
      <c r="Z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>
        <f>IF(COUNT(D299:S299)=0,"",MIN(D299:S299))</f>
        <v/>
      </c>
      <c r="U299" s="8">
        <f>IF(COUNT(D299:S299)=0,"",MEDIAN(D299:S299))</f>
        <v/>
      </c>
      <c r="V299" s="8">
        <f>IF(COUNT(D299:S299)=0,"",MAX(D299:S299))</f>
        <v/>
      </c>
      <c r="W299" s="9">
        <f>IF(OR(T299="",T299=0),"",(V299-T299)/T299)</f>
        <v/>
      </c>
      <c r="X299" s="7">
        <f>IF(COUNT(D299:S299)=0,"",INDEX($D$1:$S$1,MATCH(MIN(D299:S299),D299:S299,0)))</f>
        <v/>
      </c>
      <c r="Y299" s="8" t="n">
        <v>509.73</v>
      </c>
      <c r="Z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>
        <f>IF(COUNT(D300:S300)=0,"",MIN(D300:S300))</f>
        <v/>
      </c>
      <c r="U300" s="8">
        <f>IF(COUNT(D300:S300)=0,"",MEDIAN(D300:S300))</f>
        <v/>
      </c>
      <c r="V300" s="8">
        <f>IF(COUNT(D300:S300)=0,"",MAX(D300:S300))</f>
        <v/>
      </c>
      <c r="W300" s="9">
        <f>IF(OR(T300="",T300=0),"",(V300-T300)/T300)</f>
        <v/>
      </c>
      <c r="X300" s="7">
        <f>IF(COUNT(D300:S300)=0,"",INDEX($D$1:$S$1,MATCH(MIN(D300:S300),D300:S300,0)))</f>
        <v/>
      </c>
      <c r="Y300" s="8" t="n">
        <v>1318.41</v>
      </c>
      <c r="Z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>
        <f>IF(COUNT(D301:S301)=0,"",MIN(D301:S301))</f>
        <v/>
      </c>
      <c r="U301" s="8">
        <f>IF(COUNT(D301:S301)=0,"",MEDIAN(D301:S301))</f>
        <v/>
      </c>
      <c r="V301" s="8">
        <f>IF(COUNT(D301:S301)=0,"",MAX(D301:S301))</f>
        <v/>
      </c>
      <c r="W301" s="9">
        <f>IF(OR(T301="",T301=0),"",(V301-T301)/T301)</f>
        <v/>
      </c>
      <c r="X301" s="7">
        <f>IF(COUNT(D301:S301)=0,"",INDEX($D$1:$S$1,MATCH(MIN(D301:S301),D301:S301,0)))</f>
        <v/>
      </c>
      <c r="Y301" s="8" t="n">
        <v>1011.3</v>
      </c>
      <c r="Z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>
        <f>IF(COUNT(D302:S302)=0,"",MIN(D302:S302))</f>
        <v/>
      </c>
      <c r="U302" s="8">
        <f>IF(COUNT(D302:S302)=0,"",MEDIAN(D302:S302))</f>
        <v/>
      </c>
      <c r="V302" s="8">
        <f>IF(COUNT(D302:S302)=0,"",MAX(D302:S302))</f>
        <v/>
      </c>
      <c r="W302" s="9">
        <f>IF(OR(T302="",T302=0),"",(V302-T302)/T302)</f>
        <v/>
      </c>
      <c r="X302" s="7">
        <f>IF(COUNT(D302:S302)=0,"",INDEX($D$1:$S$1,MATCH(MIN(D302:S302),D302:S302,0)))</f>
        <v/>
      </c>
      <c r="Y302" s="8" t="n">
        <v>1191.86</v>
      </c>
      <c r="Z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>
        <f>IF(COUNT(D303:S303)=0,"",MIN(D303:S303))</f>
        <v/>
      </c>
      <c r="U303" s="8">
        <f>IF(COUNT(D303:S303)=0,"",MEDIAN(D303:S303))</f>
        <v/>
      </c>
      <c r="V303" s="8">
        <f>IF(COUNT(D303:S303)=0,"",MAX(D303:S303))</f>
        <v/>
      </c>
      <c r="W303" s="9">
        <f>IF(OR(T303="",T303=0),"",(V303-T303)/T303)</f>
        <v/>
      </c>
      <c r="X303" s="7">
        <f>IF(COUNT(D303:S303)=0,"",INDEX($D$1:$S$1,MATCH(MIN(D303:S303),D303:S303,0)))</f>
        <v/>
      </c>
      <c r="Y303" s="8" t="n">
        <v>1042.92</v>
      </c>
      <c r="Z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>
        <f>IF(COUNT(D304:S304)=0,"",MIN(D304:S304))</f>
        <v/>
      </c>
      <c r="U304" s="8">
        <f>IF(COUNT(D304:S304)=0,"",MEDIAN(D304:S304))</f>
        <v/>
      </c>
      <c r="V304" s="8">
        <f>IF(COUNT(D304:S304)=0,"",MAX(D304:S304))</f>
        <v/>
      </c>
      <c r="W304" s="9">
        <f>IF(OR(T304="",T304=0),"",(V304-T304)/T304)</f>
        <v/>
      </c>
      <c r="X304" s="7">
        <f>IF(COUNT(D304:S304)=0,"",INDEX($D$1:$S$1,MATCH(MIN(D304:S304),D304:S304,0)))</f>
        <v/>
      </c>
      <c r="Y304" s="8" t="n">
        <v>1646.97</v>
      </c>
      <c r="Z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>
        <f>IF(COUNT(D305:S305)=0,"",MIN(D305:S305))</f>
        <v/>
      </c>
      <c r="U305" s="8">
        <f>IF(COUNT(D305:S305)=0,"",MEDIAN(D305:S305))</f>
        <v/>
      </c>
      <c r="V305" s="8">
        <f>IF(COUNT(D305:S305)=0,"",MAX(D305:S305))</f>
        <v/>
      </c>
      <c r="W305" s="9">
        <f>IF(OR(T305="",T305=0),"",(V305-T305)/T305)</f>
        <v/>
      </c>
      <c r="X305" s="7">
        <f>IF(COUNT(D305:S305)=0,"",INDEX($D$1:$S$1,MATCH(MIN(D305:S305),D305:S305,0)))</f>
        <v/>
      </c>
      <c r="Y305" s="8" t="n">
        <v>2014.5</v>
      </c>
      <c r="Z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>
        <f>IF(COUNT(D306:S306)=0,"",MIN(D306:S306))</f>
        <v/>
      </c>
      <c r="U306" s="8">
        <f>IF(COUNT(D306:S306)=0,"",MEDIAN(D306:S306))</f>
        <v/>
      </c>
      <c r="V306" s="8">
        <f>IF(COUNT(D306:S306)=0,"",MAX(D306:S306))</f>
        <v/>
      </c>
      <c r="W306" s="9">
        <f>IF(OR(T306="",T306=0),"",(V306-T306)/T306)</f>
        <v/>
      </c>
      <c r="X306" s="7">
        <f>IF(COUNT(D306:S306)=0,"",INDEX($D$1:$S$1,MATCH(MIN(D306:S306),D306:S306,0)))</f>
        <v/>
      </c>
      <c r="Y306" s="8" t="n">
        <v>872.1900000000001</v>
      </c>
      <c r="Z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>
        <f>IF(COUNT(D307:S307)=0,"",MIN(D307:S307))</f>
        <v/>
      </c>
      <c r="U307" s="8">
        <f>IF(COUNT(D307:S307)=0,"",MEDIAN(D307:S307))</f>
        <v/>
      </c>
      <c r="V307" s="8">
        <f>IF(COUNT(D307:S307)=0,"",MAX(D307:S307))</f>
        <v/>
      </c>
      <c r="W307" s="9">
        <f>IF(OR(T307="",T307=0),"",(V307-T307)/T307)</f>
        <v/>
      </c>
      <c r="X307" s="7">
        <f>IF(COUNT(D307:S307)=0,"",INDEX($D$1:$S$1,MATCH(MIN(D307:S307),D307:S307,0)))</f>
        <v/>
      </c>
      <c r="Y307" s="8" t="n">
        <v>1922.79</v>
      </c>
      <c r="Z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>
        <f>IF(COUNT(D308:S308)=0,"",MIN(D308:S308))</f>
        <v/>
      </c>
      <c r="U308" s="8">
        <f>IF(COUNT(D308:S308)=0,"",MEDIAN(D308:S308))</f>
        <v/>
      </c>
      <c r="V308" s="8">
        <f>IF(COUNT(D308:S308)=0,"",MAX(D308:S308))</f>
        <v/>
      </c>
      <c r="W308" s="9">
        <f>IF(OR(T308="",T308=0),"",(V308-T308)/T308)</f>
        <v/>
      </c>
      <c r="X308" s="7">
        <f>IF(COUNT(D308:S308)=0,"",INDEX($D$1:$S$1,MATCH(MIN(D308:S308),D308:S308,0)))</f>
        <v/>
      </c>
      <c r="Y308" s="8" t="n">
        <v>1394.83</v>
      </c>
      <c r="Z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>
        <f>IF(COUNT(D309:S309)=0,"",MIN(D309:S309))</f>
        <v/>
      </c>
      <c r="U309" s="8">
        <f>IF(COUNT(D309:S309)=0,"",MEDIAN(D309:S309))</f>
        <v/>
      </c>
      <c r="V309" s="8">
        <f>IF(COUNT(D309:S309)=0,"",MAX(D309:S309))</f>
        <v/>
      </c>
      <c r="W309" s="9">
        <f>IF(OR(T309="",T309=0),"",(V309-T309)/T309)</f>
        <v/>
      </c>
      <c r="X309" s="7">
        <f>IF(COUNT(D309:S309)=0,"",INDEX($D$1:$S$1,MATCH(MIN(D309:S309),D309:S309,0)))</f>
        <v/>
      </c>
      <c r="Y309" s="8" t="n">
        <v>1973.41</v>
      </c>
      <c r="Z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>
        <f>IF(COUNT(D310:S310)=0,"",MIN(D310:S310))</f>
        <v/>
      </c>
      <c r="U310" s="8">
        <f>IF(COUNT(D310:S310)=0,"",MEDIAN(D310:S310))</f>
        <v/>
      </c>
      <c r="V310" s="8">
        <f>IF(COUNT(D310:S310)=0,"",MAX(D310:S310))</f>
        <v/>
      </c>
      <c r="W310" s="9">
        <f>IF(OR(T310="",T310=0),"",(V310-T310)/T310)</f>
        <v/>
      </c>
      <c r="X310" s="7">
        <f>IF(COUNT(D310:S310)=0,"",INDEX($D$1:$S$1,MATCH(MIN(D310:S310),D310:S310,0)))</f>
        <v/>
      </c>
      <c r="Y310" s="8" t="n">
        <v>2113.36</v>
      </c>
      <c r="Z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>
        <f>IF(COUNT(D311:S311)=0,"",MIN(D311:S311))</f>
        <v/>
      </c>
      <c r="U311" s="8">
        <f>IF(COUNT(D311:S311)=0,"",MEDIAN(D311:S311))</f>
        <v/>
      </c>
      <c r="V311" s="8">
        <f>IF(COUNT(D311:S311)=0,"",MAX(D311:S311))</f>
        <v/>
      </c>
      <c r="W311" s="9">
        <f>IF(OR(T311="",T311=0),"",(V311-T311)/T311)</f>
        <v/>
      </c>
      <c r="X311" s="7">
        <f>IF(COUNT(D311:S311)=0,"",INDEX($D$1:$S$1,MATCH(MIN(D311:S311),D311:S311,0)))</f>
        <v/>
      </c>
      <c r="Y311" s="8" t="n">
        <v>1964.18</v>
      </c>
      <c r="Z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>
        <f>IF(COUNT(D312:S312)=0,"",MIN(D312:S312))</f>
        <v/>
      </c>
      <c r="U312" s="8">
        <f>IF(COUNT(D312:S312)=0,"",MEDIAN(D312:S312))</f>
        <v/>
      </c>
      <c r="V312" s="8">
        <f>IF(COUNT(D312:S312)=0,"",MAX(D312:S312))</f>
        <v/>
      </c>
      <c r="W312" s="9">
        <f>IF(OR(T312="",T312=0),"",(V312-T312)/T312)</f>
        <v/>
      </c>
      <c r="X312" s="7">
        <f>IF(COUNT(D312:S312)=0,"",INDEX($D$1:$S$1,MATCH(MIN(D312:S312),D312:S312,0)))</f>
        <v/>
      </c>
      <c r="Y312" s="8" t="n">
        <v>1640.37</v>
      </c>
      <c r="Z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>
        <f>IF(COUNT(D313:S313)=0,"",MIN(D313:S313))</f>
        <v/>
      </c>
      <c r="U313" s="8">
        <f>IF(COUNT(D313:S313)=0,"",MEDIAN(D313:S313))</f>
        <v/>
      </c>
      <c r="V313" s="8">
        <f>IF(COUNT(D313:S313)=0,"",MAX(D313:S313))</f>
        <v/>
      </c>
      <c r="W313" s="9">
        <f>IF(OR(T313="",T313=0),"",(V313-T313)/T313)</f>
        <v/>
      </c>
      <c r="X313" s="7">
        <f>IF(COUNT(D313:S313)=0,"",INDEX($D$1:$S$1,MATCH(MIN(D313:S313),D313:S313,0)))</f>
        <v/>
      </c>
      <c r="Y313" s="8" t="n">
        <v>3184.41</v>
      </c>
      <c r="Z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>
        <f>IF(COUNT(D314:S314)=0,"",MIN(D314:S314))</f>
        <v/>
      </c>
      <c r="U314" s="8">
        <f>IF(COUNT(D314:S314)=0,"",MEDIAN(D314:S314))</f>
        <v/>
      </c>
      <c r="V314" s="8">
        <f>IF(COUNT(D314:S314)=0,"",MAX(D314:S314))</f>
        <v/>
      </c>
      <c r="W314" s="9">
        <f>IF(OR(T314="",T314=0),"",(V314-T314)/T314)</f>
        <v/>
      </c>
      <c r="X314" s="7">
        <f>IF(COUNT(D314:S314)=0,"",INDEX($D$1:$S$1,MATCH(MIN(D314:S314),D314:S314,0)))</f>
        <v/>
      </c>
      <c r="Y314" s="8" t="n">
        <v>3073.71</v>
      </c>
      <c r="Z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>
        <f>IF(COUNT(D315:S315)=0,"",MIN(D315:S315))</f>
        <v/>
      </c>
      <c r="U315" s="8">
        <f>IF(COUNT(D315:S315)=0,"",MEDIAN(D315:S315))</f>
        <v/>
      </c>
      <c r="V315" s="8">
        <f>IF(COUNT(D315:S315)=0,"",MAX(D315:S315))</f>
        <v/>
      </c>
      <c r="W315" s="9">
        <f>IF(OR(T315="",T315=0),"",(V315-T315)/T315)</f>
        <v/>
      </c>
      <c r="X315" s="7">
        <f>IF(COUNT(D315:S315)=0,"",INDEX($D$1:$S$1,MATCH(MIN(D315:S315),D315:S315,0)))</f>
        <v/>
      </c>
      <c r="Y315" s="8" t="n">
        <v>915.75</v>
      </c>
      <c r="Z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>
        <f>IF(COUNT(D316:S316)=0,"",MIN(D316:S316))</f>
        <v/>
      </c>
      <c r="U316" s="8">
        <f>IF(COUNT(D316:S316)=0,"",MEDIAN(D316:S316))</f>
        <v/>
      </c>
      <c r="V316" s="8">
        <f>IF(COUNT(D316:S316)=0,"",MAX(D316:S316))</f>
        <v/>
      </c>
      <c r="W316" s="9">
        <f>IF(OR(T316="",T316=0),"",(V316-T316)/T316)</f>
        <v/>
      </c>
      <c r="X316" s="7">
        <f>IF(COUNT(D316:S316)=0,"",INDEX($D$1:$S$1,MATCH(MIN(D316:S316),D316:S316,0)))</f>
        <v/>
      </c>
      <c r="Y316" s="8" t="n">
        <v>2621.99</v>
      </c>
      <c r="Z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>
        <f>IF(COUNT(D317:S317)=0,"",MIN(D317:S317))</f>
        <v/>
      </c>
      <c r="U317" s="8">
        <f>IF(COUNT(D317:S317)=0,"",MEDIAN(D317:S317))</f>
        <v/>
      </c>
      <c r="V317" s="8">
        <f>IF(COUNT(D317:S317)=0,"",MAX(D317:S317))</f>
        <v/>
      </c>
      <c r="W317" s="9">
        <f>IF(OR(T317="",T317=0),"",(V317-T317)/T317)</f>
        <v/>
      </c>
      <c r="X317" s="7">
        <f>IF(COUNT(D317:S317)=0,"",INDEX($D$1:$S$1,MATCH(MIN(D317:S317),D317:S317,0)))</f>
        <v/>
      </c>
      <c r="Y317" s="8" t="n">
        <v>2550.6</v>
      </c>
      <c r="Z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>
        <f>IF(COUNT(D318:S318)=0,"",MIN(D318:S318))</f>
        <v/>
      </c>
      <c r="U318" s="8">
        <f>IF(COUNT(D318:S318)=0,"",MEDIAN(D318:S318))</f>
        <v/>
      </c>
      <c r="V318" s="8">
        <f>IF(COUNT(D318:S318)=0,"",MAX(D318:S318))</f>
        <v/>
      </c>
      <c r="W318" s="9">
        <f>IF(OR(T318="",T318=0),"",(V318-T318)/T318)</f>
        <v/>
      </c>
      <c r="X318" s="7">
        <f>IF(COUNT(D318:S318)=0,"",INDEX($D$1:$S$1,MATCH(MIN(D318:S318),D318:S318,0)))</f>
        <v/>
      </c>
      <c r="Y318" s="8" t="n">
        <v>2071.61</v>
      </c>
      <c r="Z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>
        <f>IF(COUNT(D319:S319)=0,"",MIN(D319:S319))</f>
        <v/>
      </c>
      <c r="U319" s="8">
        <f>IF(COUNT(D319:S319)=0,"",MEDIAN(D319:S319))</f>
        <v/>
      </c>
      <c r="V319" s="8">
        <f>IF(COUNT(D319:S319)=0,"",MAX(D319:S319))</f>
        <v/>
      </c>
      <c r="W319" s="9">
        <f>IF(OR(T319="",T319=0),"",(V319-T319)/T319)</f>
        <v/>
      </c>
      <c r="X319" s="7">
        <f>IF(COUNT(D319:S319)=0,"",INDEX($D$1:$S$1,MATCH(MIN(D319:S319),D319:S319,0)))</f>
        <v/>
      </c>
      <c r="Y319" s="8" t="n">
        <v>1641.67</v>
      </c>
      <c r="Z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>
        <f>IF(COUNT(D320:S320)=0,"",MIN(D320:S320))</f>
        <v/>
      </c>
      <c r="U320" s="8">
        <f>IF(COUNT(D320:S320)=0,"",MEDIAN(D320:S320))</f>
        <v/>
      </c>
      <c r="V320" s="8">
        <f>IF(COUNT(D320:S320)=0,"",MAX(D320:S320))</f>
        <v/>
      </c>
      <c r="W320" s="9">
        <f>IF(OR(T320="",T320=0),"",(V320-T320)/T320)</f>
        <v/>
      </c>
      <c r="X320" s="7">
        <f>IF(COUNT(D320:S320)=0,"",INDEX($D$1:$S$1,MATCH(MIN(D320:S320),D320:S320,0)))</f>
        <v/>
      </c>
      <c r="Y320" s="8" t="n">
        <v>2504.68</v>
      </c>
      <c r="Z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>
        <f>IF(COUNT(D321:S321)=0,"",MIN(D321:S321))</f>
        <v/>
      </c>
      <c r="U321" s="8">
        <f>IF(COUNT(D321:S321)=0,"",MEDIAN(D321:S321))</f>
        <v/>
      </c>
      <c r="V321" s="8">
        <f>IF(COUNT(D321:S321)=0,"",MAX(D321:S321))</f>
        <v/>
      </c>
      <c r="W321" s="9">
        <f>IF(OR(T321="",T321=0),"",(V321-T321)/T321)</f>
        <v/>
      </c>
      <c r="X321" s="7">
        <f>IF(COUNT(D321:S321)=0,"",INDEX($D$1:$S$1,MATCH(MIN(D321:S321),D321:S321,0)))</f>
        <v/>
      </c>
      <c r="Y321" s="8" t="n">
        <v>1914.66</v>
      </c>
      <c r="Z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>
        <f>IF(COUNT(D322:S322)=0,"",MIN(D322:S322))</f>
        <v/>
      </c>
      <c r="U322" s="8">
        <f>IF(COUNT(D322:S322)=0,"",MEDIAN(D322:S322))</f>
        <v/>
      </c>
      <c r="V322" s="8">
        <f>IF(COUNT(D322:S322)=0,"",MAX(D322:S322))</f>
        <v/>
      </c>
      <c r="W322" s="9">
        <f>IF(OR(T322="",T322=0),"",(V322-T322)/T322)</f>
        <v/>
      </c>
      <c r="X322" s="7">
        <f>IF(COUNT(D322:S322)=0,"",INDEX($D$1:$S$1,MATCH(MIN(D322:S322),D322:S322,0)))</f>
        <v/>
      </c>
      <c r="Y322" s="8" t="n">
        <v>779.2</v>
      </c>
      <c r="Z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>
        <f>IF(COUNT(D323:S323)=0,"",MIN(D323:S323))</f>
        <v/>
      </c>
      <c r="U323" s="8">
        <f>IF(COUNT(D323:S323)=0,"",MEDIAN(D323:S323))</f>
        <v/>
      </c>
      <c r="V323" s="8">
        <f>IF(COUNT(D323:S323)=0,"",MAX(D323:S323))</f>
        <v/>
      </c>
      <c r="W323" s="9">
        <f>IF(OR(T323="",T323=0),"",(V323-T323)/T323)</f>
        <v/>
      </c>
      <c r="X323" s="7">
        <f>IF(COUNT(D323:S323)=0,"",INDEX($D$1:$S$1,MATCH(MIN(D323:S323),D323:S323,0)))</f>
        <v/>
      </c>
      <c r="Y323" s="8" t="n">
        <v>883.6</v>
      </c>
      <c r="Z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>
        <f>IF(COUNT(D324:S324)=0,"",MIN(D324:S324))</f>
        <v/>
      </c>
      <c r="U324" s="8">
        <f>IF(COUNT(D324:S324)=0,"",MEDIAN(D324:S324))</f>
        <v/>
      </c>
      <c r="V324" s="8">
        <f>IF(COUNT(D324:S324)=0,"",MAX(D324:S324))</f>
        <v/>
      </c>
      <c r="W324" s="9">
        <f>IF(OR(T324="",T324=0),"",(V324-T324)/T324)</f>
        <v/>
      </c>
      <c r="X324" s="7">
        <f>IF(COUNT(D324:S324)=0,"",INDEX($D$1:$S$1,MATCH(MIN(D324:S324),D324:S324,0)))</f>
        <v/>
      </c>
      <c r="Y324" s="8" t="n">
        <v>837.58</v>
      </c>
      <c r="Z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>
        <f>IF(COUNT(D325:S325)=0,"",MIN(D325:S325))</f>
        <v/>
      </c>
      <c r="U325" s="8">
        <f>IF(COUNT(D325:S325)=0,"",MEDIAN(D325:S325))</f>
        <v/>
      </c>
      <c r="V325" s="8">
        <f>IF(COUNT(D325:S325)=0,"",MAX(D325:S325))</f>
        <v/>
      </c>
      <c r="W325" s="9">
        <f>IF(OR(T325="",T325=0),"",(V325-T325)/T325)</f>
        <v/>
      </c>
      <c r="X325" s="7">
        <f>IF(COUNT(D325:S325)=0,"",INDEX($D$1:$S$1,MATCH(MIN(D325:S325),D325:S325,0)))</f>
        <v/>
      </c>
      <c r="Y325" s="8" t="n">
        <v>884.59</v>
      </c>
      <c r="Z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>
        <f>IF(COUNT(D326:S326)=0,"",MIN(D326:S326))</f>
        <v/>
      </c>
      <c r="U326" s="8">
        <f>IF(COUNT(D326:S326)=0,"",MEDIAN(D326:S326))</f>
        <v/>
      </c>
      <c r="V326" s="8">
        <f>IF(COUNT(D326:S326)=0,"",MAX(D326:S326))</f>
        <v/>
      </c>
      <c r="W326" s="9">
        <f>IF(OR(T326="",T326=0),"",(V326-T326)/T326)</f>
        <v/>
      </c>
      <c r="X326" s="7">
        <f>IF(COUNT(D326:S326)=0,"",INDEX($D$1:$S$1,MATCH(MIN(D326:S326),D326:S326,0)))</f>
        <v/>
      </c>
      <c r="Y326" s="8" t="n">
        <v>1407.51</v>
      </c>
      <c r="Z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>
        <f>IF(COUNT(D327:S327)=0,"",MIN(D327:S327))</f>
        <v/>
      </c>
      <c r="U327" s="8">
        <f>IF(COUNT(D327:S327)=0,"",MEDIAN(D327:S327))</f>
        <v/>
      </c>
      <c r="V327" s="8">
        <f>IF(COUNT(D327:S327)=0,"",MAX(D327:S327))</f>
        <v/>
      </c>
      <c r="W327" s="9">
        <f>IF(OR(T327="",T327=0),"",(V327-T327)/T327)</f>
        <v/>
      </c>
      <c r="X327" s="7">
        <f>IF(COUNT(D327:S327)=0,"",INDEX($D$1:$S$1,MATCH(MIN(D327:S327),D327:S327,0)))</f>
        <v/>
      </c>
      <c r="Y327" s="8" t="n">
        <v>767.4400000000001</v>
      </c>
      <c r="Z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>
        <f>IF(COUNT(D328:S328)=0,"",MIN(D328:S328))</f>
        <v/>
      </c>
      <c r="U328" s="8">
        <f>IF(COUNT(D328:S328)=0,"",MEDIAN(D328:S328))</f>
        <v/>
      </c>
      <c r="V328" s="8">
        <f>IF(COUNT(D328:S328)=0,"",MAX(D328:S328))</f>
        <v/>
      </c>
      <c r="W328" s="9">
        <f>IF(OR(T328="",T328=0),"",(V328-T328)/T328)</f>
        <v/>
      </c>
      <c r="X328" s="7">
        <f>IF(COUNT(D328:S328)=0,"",INDEX($D$1:$S$1,MATCH(MIN(D328:S328),D328:S328,0)))</f>
        <v/>
      </c>
      <c r="Y328" s="8" t="n">
        <v>1474.52</v>
      </c>
      <c r="Z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>
        <f>IF(COUNT(D329:S329)=0,"",MIN(D329:S329))</f>
        <v/>
      </c>
      <c r="U329" s="8">
        <f>IF(COUNT(D329:S329)=0,"",MEDIAN(D329:S329))</f>
        <v/>
      </c>
      <c r="V329" s="8">
        <f>IF(COUNT(D329:S329)=0,"",MAX(D329:S329))</f>
        <v/>
      </c>
      <c r="W329" s="9">
        <f>IF(OR(T329="",T329=0),"",(V329-T329)/T329)</f>
        <v/>
      </c>
      <c r="X329" s="7">
        <f>IF(COUNT(D329:S329)=0,"",INDEX($D$1:$S$1,MATCH(MIN(D329:S329),D329:S329,0)))</f>
        <v/>
      </c>
      <c r="Y329" s="8" t="n">
        <v>1251.4</v>
      </c>
      <c r="Z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>
        <f>IF(COUNT(D330:S330)=0,"",MIN(D330:S330))</f>
        <v/>
      </c>
      <c r="U330" s="8">
        <f>IF(COUNT(D330:S330)=0,"",MEDIAN(D330:S330))</f>
        <v/>
      </c>
      <c r="V330" s="8">
        <f>IF(COUNT(D330:S330)=0,"",MAX(D330:S330))</f>
        <v/>
      </c>
      <c r="W330" s="9">
        <f>IF(OR(T330="",T330=0),"",(V330-T330)/T330)</f>
        <v/>
      </c>
      <c r="X330" s="7">
        <f>IF(COUNT(D330:S330)=0,"",INDEX($D$1:$S$1,MATCH(MIN(D330:S330),D330:S330,0)))</f>
        <v/>
      </c>
      <c r="Y330" s="8" t="n">
        <v>1257.26</v>
      </c>
      <c r="Z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>
        <f>IF(COUNT(D331:S331)=0,"",MIN(D331:S331))</f>
        <v/>
      </c>
      <c r="U331" s="8">
        <f>IF(COUNT(D331:S331)=0,"",MEDIAN(D331:S331))</f>
        <v/>
      </c>
      <c r="V331" s="8">
        <f>IF(COUNT(D331:S331)=0,"",MAX(D331:S331))</f>
        <v/>
      </c>
      <c r="W331" s="9">
        <f>IF(OR(T331="",T331=0),"",(V331-T331)/T331)</f>
        <v/>
      </c>
      <c r="X331" s="7">
        <f>IF(COUNT(D331:S331)=0,"",INDEX($D$1:$S$1,MATCH(MIN(D331:S331),D331:S331,0)))</f>
        <v/>
      </c>
      <c r="Y331" s="8" t="n">
        <v>929.73</v>
      </c>
      <c r="Z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>
        <f>IF(COUNT(D332:S332)=0,"",MIN(D332:S332))</f>
        <v/>
      </c>
      <c r="U332" s="8">
        <f>IF(COUNT(D332:S332)=0,"",MEDIAN(D332:S332))</f>
        <v/>
      </c>
      <c r="V332" s="8">
        <f>IF(COUNT(D332:S332)=0,"",MAX(D332:S332))</f>
        <v/>
      </c>
      <c r="W332" s="9">
        <f>IF(OR(T332="",T332=0),"",(V332-T332)/T332)</f>
        <v/>
      </c>
      <c r="X332" s="7">
        <f>IF(COUNT(D332:S332)=0,"",INDEX($D$1:$S$1,MATCH(MIN(D332:S332),D332:S332,0)))</f>
        <v/>
      </c>
      <c r="Y332" s="8" t="n">
        <v>1496.73</v>
      </c>
      <c r="Z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>
        <f>IF(COUNT(D333:S333)=0,"",MIN(D333:S333))</f>
        <v/>
      </c>
      <c r="U333" s="8">
        <f>IF(COUNT(D333:S333)=0,"",MEDIAN(D333:S333))</f>
        <v/>
      </c>
      <c r="V333" s="8">
        <f>IF(COUNT(D333:S333)=0,"",MAX(D333:S333))</f>
        <v/>
      </c>
      <c r="W333" s="9">
        <f>IF(OR(T333="",T333=0),"",(V333-T333)/T333)</f>
        <v/>
      </c>
      <c r="X333" s="7">
        <f>IF(COUNT(D333:S333)=0,"",INDEX($D$1:$S$1,MATCH(MIN(D333:S333),D333:S333,0)))</f>
        <v/>
      </c>
      <c r="Y333" s="8" t="n">
        <v>2227.75</v>
      </c>
      <c r="Z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>
        <f>IF(COUNT(D334:S334)=0,"",MIN(D334:S334))</f>
        <v/>
      </c>
      <c r="U334" s="8">
        <f>IF(COUNT(D334:S334)=0,"",MEDIAN(D334:S334))</f>
        <v/>
      </c>
      <c r="V334" s="8">
        <f>IF(COUNT(D334:S334)=0,"",MAX(D334:S334))</f>
        <v/>
      </c>
      <c r="W334" s="9">
        <f>IF(OR(T334="",T334=0),"",(V334-T334)/T334)</f>
        <v/>
      </c>
      <c r="X334" s="7">
        <f>IF(COUNT(D334:S334)=0,"",INDEX($D$1:$S$1,MATCH(MIN(D334:S334),D334:S334,0)))</f>
        <v/>
      </c>
      <c r="Y334" s="8" t="n">
        <v>1988.37</v>
      </c>
      <c r="Z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>
        <f>IF(COUNT(D335:S335)=0,"",MIN(D335:S335))</f>
        <v/>
      </c>
      <c r="U335" s="8">
        <f>IF(COUNT(D335:S335)=0,"",MEDIAN(D335:S335))</f>
        <v/>
      </c>
      <c r="V335" s="8">
        <f>IF(COUNT(D335:S335)=0,"",MAX(D335:S335))</f>
        <v/>
      </c>
      <c r="W335" s="9">
        <f>IF(OR(T335="",T335=0),"",(V335-T335)/T335)</f>
        <v/>
      </c>
      <c r="X335" s="7">
        <f>IF(COUNT(D335:S335)=0,"",INDEX($D$1:$S$1,MATCH(MIN(D335:S335),D335:S335,0)))</f>
        <v/>
      </c>
      <c r="Y335" s="8" t="n">
        <v>2062.5</v>
      </c>
      <c r="Z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>
        <f>IF(COUNT(D336:S336)=0,"",MIN(D336:S336))</f>
        <v/>
      </c>
      <c r="U336" s="8">
        <f>IF(COUNT(D336:S336)=0,"",MEDIAN(D336:S336))</f>
        <v/>
      </c>
      <c r="V336" s="8">
        <f>IF(COUNT(D336:S336)=0,"",MAX(D336:S336))</f>
        <v/>
      </c>
      <c r="W336" s="9">
        <f>IF(OR(T336="",T336=0),"",(V336-T336)/T336)</f>
        <v/>
      </c>
      <c r="X336" s="7">
        <f>IF(COUNT(D336:S336)=0,"",INDEX($D$1:$S$1,MATCH(MIN(D336:S336),D336:S336,0)))</f>
        <v/>
      </c>
      <c r="Y336" s="8" t="n">
        <v>3169.66</v>
      </c>
      <c r="Z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>
        <f>IF(COUNT(D337:S337)=0,"",MIN(D337:S337))</f>
        <v/>
      </c>
      <c r="U337" s="8">
        <f>IF(COUNT(D337:S337)=0,"",MEDIAN(D337:S337))</f>
        <v/>
      </c>
      <c r="V337" s="8">
        <f>IF(COUNT(D337:S337)=0,"",MAX(D337:S337))</f>
        <v/>
      </c>
      <c r="W337" s="9">
        <f>IF(OR(T337="",T337=0),"",(V337-T337)/T337)</f>
        <v/>
      </c>
      <c r="X337" s="7">
        <f>IF(COUNT(D337:S337)=0,"",INDEX($D$1:$S$1,MATCH(MIN(D337:S337),D337:S337,0)))</f>
        <v/>
      </c>
      <c r="Y337" s="8" t="n">
        <v>1540.39</v>
      </c>
      <c r="Z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>
        <f>IF(COUNT(D338:S338)=0,"",MIN(D338:S338))</f>
        <v/>
      </c>
      <c r="U338" s="8">
        <f>IF(COUNT(D338:S338)=0,"",MEDIAN(D338:S338))</f>
        <v/>
      </c>
      <c r="V338" s="8">
        <f>IF(COUNT(D338:S338)=0,"",MAX(D338:S338))</f>
        <v/>
      </c>
      <c r="W338" s="9">
        <f>IF(OR(T338="",T338=0),"",(V338-T338)/T338)</f>
        <v/>
      </c>
      <c r="X338" s="7">
        <f>IF(COUNT(D338:S338)=0,"",INDEX($D$1:$S$1,MATCH(MIN(D338:S338),D338:S338,0)))</f>
        <v/>
      </c>
      <c r="Y338" s="8" t="n">
        <v>2022.32</v>
      </c>
      <c r="Z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>
        <f>IF(COUNT(D339:S339)=0,"",MIN(D339:S339))</f>
        <v/>
      </c>
      <c r="U339" s="8">
        <f>IF(COUNT(D339:S339)=0,"",MEDIAN(D339:S339))</f>
        <v/>
      </c>
      <c r="V339" s="8">
        <f>IF(COUNT(D339:S339)=0,"",MAX(D339:S339))</f>
        <v/>
      </c>
      <c r="W339" s="9">
        <f>IF(OR(T339="",T339=0),"",(V339-T339)/T339)</f>
        <v/>
      </c>
      <c r="X339" s="7">
        <f>IF(COUNT(D339:S339)=0,"",INDEX($D$1:$S$1,MATCH(MIN(D339:S339),D339:S339,0)))</f>
        <v/>
      </c>
      <c r="Y339" s="8" t="n">
        <v>1811.22</v>
      </c>
      <c r="Z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>
        <f>IF(COUNT(D340:S340)=0,"",MIN(D340:S340))</f>
        <v/>
      </c>
      <c r="U340" s="8">
        <f>IF(COUNT(D340:S340)=0,"",MEDIAN(D340:S340))</f>
        <v/>
      </c>
      <c r="V340" s="8">
        <f>IF(COUNT(D340:S340)=0,"",MAX(D340:S340))</f>
        <v/>
      </c>
      <c r="W340" s="9">
        <f>IF(OR(T340="",T340=0),"",(V340-T340)/T340)</f>
        <v/>
      </c>
      <c r="X340" s="7">
        <f>IF(COUNT(D340:S340)=0,"",INDEX($D$1:$S$1,MATCH(MIN(D340:S340),D340:S340,0)))</f>
        <v/>
      </c>
      <c r="Y340" s="8" t="n">
        <v>2988.15</v>
      </c>
      <c r="Z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>
        <f>IF(COUNT(D341:S341)=0,"",MIN(D341:S341))</f>
        <v/>
      </c>
      <c r="U341" s="8">
        <f>IF(COUNT(D341:S341)=0,"",MEDIAN(D341:S341))</f>
        <v/>
      </c>
      <c r="V341" s="8">
        <f>IF(COUNT(D341:S341)=0,"",MAX(D341:S341))</f>
        <v/>
      </c>
      <c r="W341" s="9">
        <f>IF(OR(T341="",T341=0),"",(V341-T341)/T341)</f>
        <v/>
      </c>
      <c r="X341" s="7">
        <f>IF(COUNT(D341:S341)=0,"",INDEX($D$1:$S$1,MATCH(MIN(D341:S341),D341:S341,0)))</f>
        <v/>
      </c>
      <c r="Y341" s="8" t="n">
        <v>2678.99</v>
      </c>
      <c r="Z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>
        <f>IF(COUNT(D342:S342)=0,"",MIN(D342:S342))</f>
        <v/>
      </c>
      <c r="U342" s="8">
        <f>IF(COUNT(D342:S342)=0,"",MEDIAN(D342:S342))</f>
        <v/>
      </c>
      <c r="V342" s="8">
        <f>IF(COUNT(D342:S342)=0,"",MAX(D342:S342))</f>
        <v/>
      </c>
      <c r="W342" s="9">
        <f>IF(OR(T342="",T342=0),"",(V342-T342)/T342)</f>
        <v/>
      </c>
      <c r="X342" s="7">
        <f>IF(COUNT(D342:S342)=0,"",INDEX($D$1:$S$1,MATCH(MIN(D342:S342),D342:S342,0)))</f>
        <v/>
      </c>
      <c r="Y342" s="8" t="n">
        <v>3926.57</v>
      </c>
      <c r="Z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>
        <f>IF(COUNT(D343:S343)=0,"",MIN(D343:S343))</f>
        <v/>
      </c>
      <c r="U343" s="8">
        <f>IF(COUNT(D343:S343)=0,"",MEDIAN(D343:S343))</f>
        <v/>
      </c>
      <c r="V343" s="8">
        <f>IF(COUNT(D343:S343)=0,"",MAX(D343:S343))</f>
        <v/>
      </c>
      <c r="W343" s="9">
        <f>IF(OR(T343="",T343=0),"",(V343-T343)/T343)</f>
        <v/>
      </c>
      <c r="X343" s="7">
        <f>IF(COUNT(D343:S343)=0,"",INDEX($D$1:$S$1,MATCH(MIN(D343:S343),D343:S343,0)))</f>
        <v/>
      </c>
      <c r="Y343" s="8" t="n">
        <v>2990.03</v>
      </c>
      <c r="Z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>
        <f>IF(COUNT(D344:S344)=0,"",MIN(D344:S344))</f>
        <v/>
      </c>
      <c r="U344" s="8">
        <f>IF(COUNT(D344:S344)=0,"",MEDIAN(D344:S344))</f>
        <v/>
      </c>
      <c r="V344" s="8">
        <f>IF(COUNT(D344:S344)=0,"",MAX(D344:S344))</f>
        <v/>
      </c>
      <c r="W344" s="9">
        <f>IF(OR(T344="",T344=0),"",(V344-T344)/T344)</f>
        <v/>
      </c>
      <c r="X344" s="7">
        <f>IF(COUNT(D344:S344)=0,"",INDEX($D$1:$S$1,MATCH(MIN(D344:S344),D344:S344,0)))</f>
        <v/>
      </c>
      <c r="Y344" s="8" t="n">
        <v>4291.77</v>
      </c>
      <c r="Z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>
        <f>IF(COUNT(D345:S345)=0,"",MIN(D345:S345))</f>
        <v/>
      </c>
      <c r="U345" s="8">
        <f>IF(COUNT(D345:S345)=0,"",MEDIAN(D345:S345))</f>
        <v/>
      </c>
      <c r="V345" s="8">
        <f>IF(COUNT(D345:S345)=0,"",MAX(D345:S345))</f>
        <v/>
      </c>
      <c r="W345" s="9">
        <f>IF(OR(T345="",T345=0),"",(V345-T345)/T345)</f>
        <v/>
      </c>
      <c r="X345" s="7">
        <f>IF(COUNT(D345:S345)=0,"",INDEX($D$1:$S$1,MATCH(MIN(D345:S345),D345:S345,0)))</f>
        <v/>
      </c>
      <c r="Y345" s="8" t="n">
        <v>2169.36</v>
      </c>
      <c r="Z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>
        <f>IF(COUNT(D346:S346)=0,"",MIN(D346:S346))</f>
        <v/>
      </c>
      <c r="U346" s="8">
        <f>IF(COUNT(D346:S346)=0,"",MEDIAN(D346:S346))</f>
        <v/>
      </c>
      <c r="V346" s="8">
        <f>IF(COUNT(D346:S346)=0,"",MAX(D346:S346))</f>
        <v/>
      </c>
      <c r="W346" s="9">
        <f>IF(OR(T346="",T346=0),"",(V346-T346)/T346)</f>
        <v/>
      </c>
      <c r="X346" s="7">
        <f>IF(COUNT(D346:S346)=0,"",INDEX($D$1:$S$1,MATCH(MIN(D346:S346),D346:S346,0)))</f>
        <v/>
      </c>
      <c r="Y346" s="8" t="n">
        <v>8184.41</v>
      </c>
      <c r="Z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>
        <f>IF(COUNT(D347:S347)=0,"",MIN(D347:S347))</f>
        <v/>
      </c>
      <c r="U347" s="8">
        <f>IF(COUNT(D347:S347)=0,"",MEDIAN(D347:S347))</f>
        <v/>
      </c>
      <c r="V347" s="8">
        <f>IF(COUNT(D347:S347)=0,"",MAX(D347:S347))</f>
        <v/>
      </c>
      <c r="W347" s="9">
        <f>IF(OR(T347="",T347=0),"",(V347-T347)/T347)</f>
        <v/>
      </c>
      <c r="X347" s="7">
        <f>IF(COUNT(D347:S347)=0,"",INDEX($D$1:$S$1,MATCH(MIN(D347:S347),D347:S347,0)))</f>
        <v/>
      </c>
      <c r="Y347" s="8" t="n">
        <v>1873.88</v>
      </c>
      <c r="Z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>
        <f>IF(COUNT(D348:S348)=0,"",MIN(D348:S348))</f>
        <v/>
      </c>
      <c r="U348" s="8">
        <f>IF(COUNT(D348:S348)=0,"",MEDIAN(D348:S348))</f>
        <v/>
      </c>
      <c r="V348" s="8">
        <f>IF(COUNT(D348:S348)=0,"",MAX(D348:S348))</f>
        <v/>
      </c>
      <c r="W348" s="9">
        <f>IF(OR(T348="",T348=0),"",(V348-T348)/T348)</f>
        <v/>
      </c>
      <c r="X348" s="7">
        <f>IF(COUNT(D348:S348)=0,"",INDEX($D$1:$S$1,MATCH(MIN(D348:S348),D348:S348,0)))</f>
        <v/>
      </c>
      <c r="Y348" s="8" t="n">
        <v>839.97</v>
      </c>
      <c r="Z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>
        <f>IF(COUNT(D349:S349)=0,"",MIN(D349:S349))</f>
        <v/>
      </c>
      <c r="U349" s="8">
        <f>IF(COUNT(D349:S349)=0,"",MEDIAN(D349:S349))</f>
        <v/>
      </c>
      <c r="V349" s="8">
        <f>IF(COUNT(D349:S349)=0,"",MAX(D349:S349))</f>
        <v/>
      </c>
      <c r="W349" s="9">
        <f>IF(OR(T349="",T349=0),"",(V349-T349)/T349)</f>
        <v/>
      </c>
      <c r="X349" s="7">
        <f>IF(COUNT(D349:S349)=0,"",INDEX($D$1:$S$1,MATCH(MIN(D349:S349),D349:S349,0)))</f>
        <v/>
      </c>
      <c r="Y349" s="8" t="n">
        <v>1576.66</v>
      </c>
      <c r="Z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>
        <f>IF(COUNT(D350:S350)=0,"",MIN(D350:S350))</f>
        <v/>
      </c>
      <c r="U350" s="8">
        <f>IF(COUNT(D350:S350)=0,"",MEDIAN(D350:S350))</f>
        <v/>
      </c>
      <c r="V350" s="8">
        <f>IF(COUNT(D350:S350)=0,"",MAX(D350:S350))</f>
        <v/>
      </c>
      <c r="W350" s="9">
        <f>IF(OR(T350="",T350=0),"",(V350-T350)/T350)</f>
        <v/>
      </c>
      <c r="X350" s="7">
        <f>IF(COUNT(D350:S350)=0,"",INDEX($D$1:$S$1,MATCH(MIN(D350:S350),D350:S350,0)))</f>
        <v/>
      </c>
      <c r="Y350" s="8" t="n">
        <v>1727.89</v>
      </c>
      <c r="Z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>
        <f>IF(COUNT(D351:S351)=0,"",MIN(D351:S351))</f>
        <v/>
      </c>
      <c r="U351" s="8">
        <f>IF(COUNT(D351:S351)=0,"",MEDIAN(D351:S351))</f>
        <v/>
      </c>
      <c r="V351" s="8">
        <f>IF(COUNT(D351:S351)=0,"",MAX(D351:S351))</f>
        <v/>
      </c>
      <c r="W351" s="9">
        <f>IF(OR(T351="",T351=0),"",(V351-T351)/T351)</f>
        <v/>
      </c>
      <c r="X351" s="7">
        <f>IF(COUNT(D351:S351)=0,"",INDEX($D$1:$S$1,MATCH(MIN(D351:S351),D351:S351,0)))</f>
        <v/>
      </c>
      <c r="Y351" s="8" t="n">
        <v>796.67</v>
      </c>
      <c r="Z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>
        <f>IF(COUNT(D352:S352)=0,"",MIN(D352:S352))</f>
        <v/>
      </c>
      <c r="U352" s="8">
        <f>IF(COUNT(D352:S352)=0,"",MEDIAN(D352:S352))</f>
        <v/>
      </c>
      <c r="V352" s="8">
        <f>IF(COUNT(D352:S352)=0,"",MAX(D352:S352))</f>
        <v/>
      </c>
      <c r="W352" s="9">
        <f>IF(OR(T352="",T352=0),"",(V352-T352)/T352)</f>
        <v/>
      </c>
      <c r="X352" s="7">
        <f>IF(COUNT(D352:S352)=0,"",INDEX($D$1:$S$1,MATCH(MIN(D352:S352),D352:S352,0)))</f>
        <v/>
      </c>
      <c r="Y352" s="8" t="n">
        <v>2789.99</v>
      </c>
      <c r="Z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>
        <f>IF(COUNT(D353:S353)=0,"",MIN(D353:S353))</f>
        <v/>
      </c>
      <c r="U353" s="8">
        <f>IF(COUNT(D353:S353)=0,"",MEDIAN(D353:S353))</f>
        <v/>
      </c>
      <c r="V353" s="8">
        <f>IF(COUNT(D353:S353)=0,"",MAX(D353:S353))</f>
        <v/>
      </c>
      <c r="W353" s="9">
        <f>IF(OR(T353="",T353=0),"",(V353-T353)/T353)</f>
        <v/>
      </c>
      <c r="X353" s="7">
        <f>IF(COUNT(D353:S353)=0,"",INDEX($D$1:$S$1,MATCH(MIN(D353:S353),D353:S353,0)))</f>
        <v/>
      </c>
      <c r="Y353" s="8" t="n">
        <v>1531.25</v>
      </c>
      <c r="Z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>
        <f>IF(COUNT(D354:S354)=0,"",MIN(D354:S354))</f>
        <v/>
      </c>
      <c r="U354" s="8">
        <f>IF(COUNT(D354:S354)=0,"",MEDIAN(D354:S354))</f>
        <v/>
      </c>
      <c r="V354" s="8">
        <f>IF(COUNT(D354:S354)=0,"",MAX(D354:S354))</f>
        <v/>
      </c>
      <c r="W354" s="9">
        <f>IF(OR(T354="",T354=0),"",(V354-T354)/T354)</f>
        <v/>
      </c>
      <c r="X354" s="7">
        <f>IF(COUNT(D354:S354)=0,"",INDEX($D$1:$S$1,MATCH(MIN(D354:S354),D354:S354,0)))</f>
        <v/>
      </c>
      <c r="Y354" s="8" t="n">
        <v>805</v>
      </c>
      <c r="Z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>
        <f>IF(COUNT(D355:S355)=0,"",MIN(D355:S355))</f>
        <v/>
      </c>
      <c r="U355" s="8">
        <f>IF(COUNT(D355:S355)=0,"",MEDIAN(D355:S355))</f>
        <v/>
      </c>
      <c r="V355" s="8">
        <f>IF(COUNT(D355:S355)=0,"",MAX(D355:S355))</f>
        <v/>
      </c>
      <c r="W355" s="9">
        <f>IF(OR(T355="",T355=0),"",(V355-T355)/T355)</f>
        <v/>
      </c>
      <c r="X355" s="7">
        <f>IF(COUNT(D355:S355)=0,"",INDEX($D$1:$S$1,MATCH(MIN(D355:S355),D355:S355,0)))</f>
        <v/>
      </c>
      <c r="Y355" s="8" t="n">
        <v>2001.81</v>
      </c>
      <c r="Z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>
        <f>IF(COUNT(D356:S356)=0,"",MIN(D356:S356))</f>
        <v/>
      </c>
      <c r="U356" s="8">
        <f>IF(COUNT(D356:S356)=0,"",MEDIAN(D356:S356))</f>
        <v/>
      </c>
      <c r="V356" s="8">
        <f>IF(COUNT(D356:S356)=0,"",MAX(D356:S356))</f>
        <v/>
      </c>
      <c r="W356" s="9">
        <f>IF(OR(T356="",T356=0),"",(V356-T356)/T356)</f>
        <v/>
      </c>
      <c r="X356" s="7">
        <f>IF(COUNT(D356:S356)=0,"",INDEX($D$1:$S$1,MATCH(MIN(D356:S356),D356:S356,0)))</f>
        <v/>
      </c>
      <c r="Y356" s="8" t="n">
        <v>1269.08</v>
      </c>
      <c r="Z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>
        <f>IF(COUNT(D357:S357)=0,"",MIN(D357:S357))</f>
        <v/>
      </c>
      <c r="U357" s="8">
        <f>IF(COUNT(D357:S357)=0,"",MEDIAN(D357:S357))</f>
        <v/>
      </c>
      <c r="V357" s="8">
        <f>IF(COUNT(D357:S357)=0,"",MAX(D357:S357))</f>
        <v/>
      </c>
      <c r="W357" s="9">
        <f>IF(OR(T357="",T357=0),"",(V357-T357)/T357)</f>
        <v/>
      </c>
      <c r="X357" s="7">
        <f>IF(COUNT(D357:S357)=0,"",INDEX($D$1:$S$1,MATCH(MIN(D357:S357),D357:S357,0)))</f>
        <v/>
      </c>
      <c r="Y357" s="8" t="n">
        <v>955.09</v>
      </c>
      <c r="Z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>
        <f>IF(COUNT(D358:S358)=0,"",MIN(D358:S358))</f>
        <v/>
      </c>
      <c r="U358" s="8">
        <f>IF(COUNT(D358:S358)=0,"",MEDIAN(D358:S358))</f>
        <v/>
      </c>
      <c r="V358" s="8">
        <f>IF(COUNT(D358:S358)=0,"",MAX(D358:S358))</f>
        <v/>
      </c>
      <c r="W358" s="9">
        <f>IF(OR(T358="",T358=0),"",(V358-T358)/T358)</f>
        <v/>
      </c>
      <c r="X358" s="7">
        <f>IF(COUNT(D358:S358)=0,"",INDEX($D$1:$S$1,MATCH(MIN(D358:S358),D358:S358,0)))</f>
        <v/>
      </c>
      <c r="Y358" s="8" t="n">
        <v>2956.72</v>
      </c>
      <c r="Z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>
        <f>IF(COUNT(D359:S359)=0,"",MIN(D359:S359))</f>
        <v/>
      </c>
      <c r="U359" s="8">
        <f>IF(COUNT(D359:S359)=0,"",MEDIAN(D359:S359))</f>
        <v/>
      </c>
      <c r="V359" s="8">
        <f>IF(COUNT(D359:S359)=0,"",MAX(D359:S359))</f>
        <v/>
      </c>
      <c r="W359" s="9">
        <f>IF(OR(T359="",T359=0),"",(V359-T359)/T359)</f>
        <v/>
      </c>
      <c r="X359" s="7">
        <f>IF(COUNT(D359:S359)=0,"",INDEX($D$1:$S$1,MATCH(MIN(D359:S359),D359:S359,0)))</f>
        <v/>
      </c>
      <c r="Y359" s="8" t="n">
        <v>3297.03</v>
      </c>
      <c r="Z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>
        <f>IF(COUNT(D360:S360)=0,"",MIN(D360:S360))</f>
        <v/>
      </c>
      <c r="U360" s="8">
        <f>IF(COUNT(D360:S360)=0,"",MEDIAN(D360:S360))</f>
        <v/>
      </c>
      <c r="V360" s="8">
        <f>IF(COUNT(D360:S360)=0,"",MAX(D360:S360))</f>
        <v/>
      </c>
      <c r="W360" s="9">
        <f>IF(OR(T360="",T360=0),"",(V360-T360)/T360)</f>
        <v/>
      </c>
      <c r="X360" s="7">
        <f>IF(COUNT(D360:S360)=0,"",INDEX($D$1:$S$1,MATCH(MIN(D360:S360),D360:S360,0)))</f>
        <v/>
      </c>
      <c r="Y360" s="8" t="n">
        <v>1510.06</v>
      </c>
      <c r="Z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>
        <f>IF(COUNT(D361:S361)=0,"",MIN(D361:S361))</f>
        <v/>
      </c>
      <c r="U361" s="8">
        <f>IF(COUNT(D361:S361)=0,"",MEDIAN(D361:S361))</f>
        <v/>
      </c>
      <c r="V361" s="8">
        <f>IF(COUNT(D361:S361)=0,"",MAX(D361:S361))</f>
        <v/>
      </c>
      <c r="W361" s="9">
        <f>IF(OR(T361="",T361=0),"",(V361-T361)/T361)</f>
        <v/>
      </c>
      <c r="X361" s="7">
        <f>IF(COUNT(D361:S361)=0,"",INDEX($D$1:$S$1,MATCH(MIN(D361:S361),D361:S361,0)))</f>
        <v/>
      </c>
      <c r="Y361" s="8" t="n">
        <v>1949.98</v>
      </c>
      <c r="Z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>
        <f>IF(COUNT(D362:S362)=0,"",MIN(D362:S362))</f>
        <v/>
      </c>
      <c r="U362" s="8">
        <f>IF(COUNT(D362:S362)=0,"",MEDIAN(D362:S362))</f>
        <v/>
      </c>
      <c r="V362" s="8">
        <f>IF(COUNT(D362:S362)=0,"",MAX(D362:S362))</f>
        <v/>
      </c>
      <c r="W362" s="9">
        <f>IF(OR(T362="",T362=0),"",(V362-T362)/T362)</f>
        <v/>
      </c>
      <c r="X362" s="7">
        <f>IF(COUNT(D362:S362)=0,"",INDEX($D$1:$S$1,MATCH(MIN(D362:S362),D362:S362,0)))</f>
        <v/>
      </c>
      <c r="Y362" s="8" t="n">
        <v>1798</v>
      </c>
      <c r="Z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>
        <f>IF(COUNT(D363:S363)=0,"",MIN(D363:S363))</f>
        <v/>
      </c>
      <c r="U363" s="8">
        <f>IF(COUNT(D363:S363)=0,"",MEDIAN(D363:S363))</f>
        <v/>
      </c>
      <c r="V363" s="8">
        <f>IF(COUNT(D363:S363)=0,"",MAX(D363:S363))</f>
        <v/>
      </c>
      <c r="W363" s="9">
        <f>IF(OR(T363="",T363=0),"",(V363-T363)/T363)</f>
        <v/>
      </c>
      <c r="X363" s="7">
        <f>IF(COUNT(D363:S363)=0,"",INDEX($D$1:$S$1,MATCH(MIN(D363:S363),D363:S363,0)))</f>
        <v/>
      </c>
      <c r="Y363" s="8" t="n">
        <v>1753.98</v>
      </c>
      <c r="Z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>
        <f>IF(COUNT(D364:S364)=0,"",MIN(D364:S364))</f>
        <v/>
      </c>
      <c r="U364" s="8">
        <f>IF(COUNT(D364:S364)=0,"",MEDIAN(D364:S364))</f>
        <v/>
      </c>
      <c r="V364" s="8">
        <f>IF(COUNT(D364:S364)=0,"",MAX(D364:S364))</f>
        <v/>
      </c>
      <c r="W364" s="9">
        <f>IF(OR(T364="",T364=0),"",(V364-T364)/T364)</f>
        <v/>
      </c>
      <c r="X364" s="7">
        <f>IF(COUNT(D364:S364)=0,"",INDEX($D$1:$S$1,MATCH(MIN(D364:S364),D364:S364,0)))</f>
        <v/>
      </c>
      <c r="Y364" s="8" t="n">
        <v>2249.99</v>
      </c>
      <c r="Z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>
        <f>IF(COUNT(D365:S365)=0,"",MIN(D365:S365))</f>
        <v/>
      </c>
      <c r="U365" s="8">
        <f>IF(COUNT(D365:S365)=0,"",MEDIAN(D365:S365))</f>
        <v/>
      </c>
      <c r="V365" s="8">
        <f>IF(COUNT(D365:S365)=0,"",MAX(D365:S365))</f>
        <v/>
      </c>
      <c r="W365" s="9">
        <f>IF(OR(T365="",T365=0),"",(V365-T365)/T365)</f>
        <v/>
      </c>
      <c r="X365" s="7">
        <f>IF(COUNT(D365:S365)=0,"",INDEX($D$1:$S$1,MATCH(MIN(D365:S365),D365:S365,0)))</f>
        <v/>
      </c>
      <c r="Y365" s="8" t="n">
        <v>2394.87</v>
      </c>
      <c r="Z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>
        <f>IF(COUNT(D366:S366)=0,"",MIN(D366:S366))</f>
        <v/>
      </c>
      <c r="U366" s="8">
        <f>IF(COUNT(D366:S366)=0,"",MEDIAN(D366:S366))</f>
        <v/>
      </c>
      <c r="V366" s="8">
        <f>IF(COUNT(D366:S366)=0,"",MAX(D366:S366))</f>
        <v/>
      </c>
      <c r="W366" s="9">
        <f>IF(OR(T366="",T366=0),"",(V366-T366)/T366)</f>
        <v/>
      </c>
      <c r="X366" s="7">
        <f>IF(COUNT(D366:S366)=0,"",INDEX($D$1:$S$1,MATCH(MIN(D366:S366),D366:S366,0)))</f>
        <v/>
      </c>
      <c r="Y366" s="8" t="n">
        <v>3368.11</v>
      </c>
      <c r="Z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>
        <f>IF(COUNT(D367:S367)=0,"",MIN(D367:S367))</f>
        <v/>
      </c>
      <c r="U367" s="8">
        <f>IF(COUNT(D367:S367)=0,"",MEDIAN(D367:S367))</f>
        <v/>
      </c>
      <c r="V367" s="8">
        <f>IF(COUNT(D367:S367)=0,"",MAX(D367:S367))</f>
        <v/>
      </c>
      <c r="W367" s="9">
        <f>IF(OR(T367="",T367=0),"",(V367-T367)/T367)</f>
        <v/>
      </c>
      <c r="X367" s="7">
        <f>IF(COUNT(D367:S367)=0,"",INDEX($D$1:$S$1,MATCH(MIN(D367:S367),D367:S367,0)))</f>
        <v/>
      </c>
      <c r="Y367" s="8" t="n">
        <v>3834.91</v>
      </c>
      <c r="Z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>
        <f>IF(COUNT(D368:S368)=0,"",MIN(D368:S368))</f>
        <v/>
      </c>
      <c r="U368" s="8">
        <f>IF(COUNT(D368:S368)=0,"",MEDIAN(D368:S368))</f>
        <v/>
      </c>
      <c r="V368" s="8">
        <f>IF(COUNT(D368:S368)=0,"",MAX(D368:S368))</f>
        <v/>
      </c>
      <c r="W368" s="9">
        <f>IF(OR(T368="",T368=0),"",(V368-T368)/T368)</f>
        <v/>
      </c>
      <c r="X368" s="7">
        <f>IF(COUNT(D368:S368)=0,"",INDEX($D$1:$S$1,MATCH(MIN(D368:S368),D368:S368,0)))</f>
        <v/>
      </c>
      <c r="Y368" s="8" t="n">
        <v>760.16</v>
      </c>
      <c r="Z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>
        <f>IF(COUNT(D369:S369)=0,"",MIN(D369:S369))</f>
        <v/>
      </c>
      <c r="U369" s="8">
        <f>IF(COUNT(D369:S369)=0,"",MEDIAN(D369:S369))</f>
        <v/>
      </c>
      <c r="V369" s="8">
        <f>IF(COUNT(D369:S369)=0,"",MAX(D369:S369))</f>
        <v/>
      </c>
      <c r="W369" s="9">
        <f>IF(OR(T369="",T369=0),"",(V369-T369)/T369)</f>
        <v/>
      </c>
      <c r="X369" s="7">
        <f>IF(COUNT(D369:S369)=0,"",INDEX($D$1:$S$1,MATCH(MIN(D369:S369),D369:S369,0)))</f>
        <v/>
      </c>
      <c r="Y369" s="8" t="n">
        <v>1035.48</v>
      </c>
      <c r="Z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>
        <f>IF(COUNT(D370:S370)=0,"",MIN(D370:S370))</f>
        <v/>
      </c>
      <c r="U370" s="8">
        <f>IF(COUNT(D370:S370)=0,"",MEDIAN(D370:S370))</f>
        <v/>
      </c>
      <c r="V370" s="8">
        <f>IF(COUNT(D370:S370)=0,"",MAX(D370:S370))</f>
        <v/>
      </c>
      <c r="W370" s="9">
        <f>IF(OR(T370="",T370=0),"",(V370-T370)/T370)</f>
        <v/>
      </c>
      <c r="X370" s="7">
        <f>IF(COUNT(D370:S370)=0,"",INDEX($D$1:$S$1,MATCH(MIN(D370:S370),D370:S370,0)))</f>
        <v/>
      </c>
      <c r="Y370" s="8" t="n">
        <v>777.65</v>
      </c>
      <c r="Z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>
        <f>IF(COUNT(D371:S371)=0,"",MIN(D371:S371))</f>
        <v/>
      </c>
      <c r="U371" s="8">
        <f>IF(COUNT(D371:S371)=0,"",MEDIAN(D371:S371))</f>
        <v/>
      </c>
      <c r="V371" s="8">
        <f>IF(COUNT(D371:S371)=0,"",MAX(D371:S371))</f>
        <v/>
      </c>
      <c r="W371" s="9">
        <f>IF(OR(T371="",T371=0),"",(V371-T371)/T371)</f>
        <v/>
      </c>
      <c r="X371" s="7">
        <f>IF(COUNT(D371:S371)=0,"",INDEX($D$1:$S$1,MATCH(MIN(D371:S371),D371:S371,0)))</f>
        <v/>
      </c>
      <c r="Y371" s="8" t="n">
        <v>1344.49</v>
      </c>
      <c r="Z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>
        <f>IF(COUNT(D372:S372)=0,"",MIN(D372:S372))</f>
        <v/>
      </c>
      <c r="U372" s="8">
        <f>IF(COUNT(D372:S372)=0,"",MEDIAN(D372:S372))</f>
        <v/>
      </c>
      <c r="V372" s="8">
        <f>IF(COUNT(D372:S372)=0,"",MAX(D372:S372))</f>
        <v/>
      </c>
      <c r="W372" s="9">
        <f>IF(OR(T372="",T372=0),"",(V372-T372)/T372)</f>
        <v/>
      </c>
      <c r="X372" s="7">
        <f>IF(COUNT(D372:S372)=0,"",INDEX($D$1:$S$1,MATCH(MIN(D372:S372),D372:S372,0)))</f>
        <v/>
      </c>
      <c r="Y372" s="8" t="n">
        <v>1349.62</v>
      </c>
      <c r="Z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>
        <f>IF(COUNT(D373:S373)=0,"",MIN(D373:S373))</f>
        <v/>
      </c>
      <c r="U373" s="8">
        <f>IF(COUNT(D373:S373)=0,"",MEDIAN(D373:S373))</f>
        <v/>
      </c>
      <c r="V373" s="8">
        <f>IF(COUNT(D373:S373)=0,"",MAX(D373:S373))</f>
        <v/>
      </c>
      <c r="W373" s="9">
        <f>IF(OR(T373="",T373=0),"",(V373-T373)/T373)</f>
        <v/>
      </c>
      <c r="X373" s="7">
        <f>IF(COUNT(D373:S373)=0,"",INDEX($D$1:$S$1,MATCH(MIN(D373:S373),D373:S373,0)))</f>
        <v/>
      </c>
      <c r="Y373" s="8" t="n">
        <v>1190</v>
      </c>
      <c r="Z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>
        <f>IF(COUNT(D374:S374)=0,"",MIN(D374:S374))</f>
        <v/>
      </c>
      <c r="U374" s="8">
        <f>IF(COUNT(D374:S374)=0,"",MEDIAN(D374:S374))</f>
        <v/>
      </c>
      <c r="V374" s="8">
        <f>IF(COUNT(D374:S374)=0,"",MAX(D374:S374))</f>
        <v/>
      </c>
      <c r="W374" s="9">
        <f>IF(OR(T374="",T374=0),"",(V374-T374)/T374)</f>
        <v/>
      </c>
      <c r="X374" s="7">
        <f>IF(COUNT(D374:S374)=0,"",INDEX($D$1:$S$1,MATCH(MIN(D374:S374),D374:S374,0)))</f>
        <v/>
      </c>
      <c r="Y374" s="8" t="n">
        <v>983.85</v>
      </c>
      <c r="Z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>
        <f>IF(COUNT(D375:S375)=0,"",MIN(D375:S375))</f>
        <v/>
      </c>
      <c r="U375" s="8">
        <f>IF(COUNT(D375:S375)=0,"",MEDIAN(D375:S375))</f>
        <v/>
      </c>
      <c r="V375" s="8">
        <f>IF(COUNT(D375:S375)=0,"",MAX(D375:S375))</f>
        <v/>
      </c>
      <c r="W375" s="9">
        <f>IF(OR(T375="",T375=0),"",(V375-T375)/T375)</f>
        <v/>
      </c>
      <c r="X375" s="7">
        <f>IF(COUNT(D375:S375)=0,"",INDEX($D$1:$S$1,MATCH(MIN(D375:S375),D375:S375,0)))</f>
        <v/>
      </c>
      <c r="Y375" s="8" t="n">
        <v>1035.67</v>
      </c>
      <c r="Z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>
        <f>IF(COUNT(D376:S376)=0,"",MIN(D376:S376))</f>
        <v/>
      </c>
      <c r="U376" s="8">
        <f>IF(COUNT(D376:S376)=0,"",MEDIAN(D376:S376))</f>
        <v/>
      </c>
      <c r="V376" s="8">
        <f>IF(COUNT(D376:S376)=0,"",MAX(D376:S376))</f>
        <v/>
      </c>
      <c r="W376" s="9">
        <f>IF(OR(T376="",T376=0),"",(V376-T376)/T376)</f>
        <v/>
      </c>
      <c r="X376" s="7">
        <f>IF(COUNT(D376:S376)=0,"",INDEX($D$1:$S$1,MATCH(MIN(D376:S376),D376:S376,0)))</f>
        <v/>
      </c>
      <c r="Y376" s="8" t="n">
        <v>2473.17</v>
      </c>
      <c r="Z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>
        <f>IF(COUNT(D377:S377)=0,"",MIN(D377:S377))</f>
        <v/>
      </c>
      <c r="U377" s="8">
        <f>IF(COUNT(D377:S377)=0,"",MEDIAN(D377:S377))</f>
        <v/>
      </c>
      <c r="V377" s="8">
        <f>IF(COUNT(D377:S377)=0,"",MAX(D377:S377))</f>
        <v/>
      </c>
      <c r="W377" s="9">
        <f>IF(OR(T377="",T377=0),"",(V377-T377)/T377)</f>
        <v/>
      </c>
      <c r="X377" s="7">
        <f>IF(COUNT(D377:S377)=0,"",INDEX($D$1:$S$1,MATCH(MIN(D377:S377),D377:S377,0)))</f>
        <v/>
      </c>
      <c r="Y377" s="8" t="n">
        <v>1187.6</v>
      </c>
      <c r="Z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>
        <f>IF(COUNT(D378:S378)=0,"",MIN(D378:S378))</f>
        <v/>
      </c>
      <c r="U378" s="8">
        <f>IF(COUNT(D378:S378)=0,"",MEDIAN(D378:S378))</f>
        <v/>
      </c>
      <c r="V378" s="8">
        <f>IF(COUNT(D378:S378)=0,"",MAX(D378:S378))</f>
        <v/>
      </c>
      <c r="W378" s="9">
        <f>IF(OR(T378="",T378=0),"",(V378-T378)/T378)</f>
        <v/>
      </c>
      <c r="X378" s="7">
        <f>IF(COUNT(D378:S378)=0,"",INDEX($D$1:$S$1,MATCH(MIN(D378:S378),D378:S378,0)))</f>
        <v/>
      </c>
      <c r="Y378" s="8" t="n">
        <v>1619.97</v>
      </c>
      <c r="Z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>
        <f>IF(COUNT(D379:S379)=0,"",MIN(D379:S379))</f>
        <v/>
      </c>
      <c r="U379" s="8">
        <f>IF(COUNT(D379:S379)=0,"",MEDIAN(D379:S379))</f>
        <v/>
      </c>
      <c r="V379" s="8">
        <f>IF(COUNT(D379:S379)=0,"",MAX(D379:S379))</f>
        <v/>
      </c>
      <c r="W379" s="9">
        <f>IF(OR(T379="",T379=0),"",(V379-T379)/T379)</f>
        <v/>
      </c>
      <c r="X379" s="7">
        <f>IF(COUNT(D379:S379)=0,"",INDEX($D$1:$S$1,MATCH(MIN(D379:S379),D379:S379,0)))</f>
        <v/>
      </c>
      <c r="Y379" s="8" t="n">
        <v>1636.87</v>
      </c>
      <c r="Z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>
        <f>IF(COUNT(D380:S380)=0,"",MIN(D380:S380))</f>
        <v/>
      </c>
      <c r="U380" s="8">
        <f>IF(COUNT(D380:S380)=0,"",MEDIAN(D380:S380))</f>
        <v/>
      </c>
      <c r="V380" s="8">
        <f>IF(COUNT(D380:S380)=0,"",MAX(D380:S380))</f>
        <v/>
      </c>
      <c r="W380" s="9">
        <f>IF(OR(T380="",T380=0),"",(V380-T380)/T380)</f>
        <v/>
      </c>
      <c r="X380" s="7">
        <f>IF(COUNT(D380:S380)=0,"",INDEX($D$1:$S$1,MATCH(MIN(D380:S380),D380:S380,0)))</f>
        <v/>
      </c>
      <c r="Y380" s="8" t="n">
        <v>1935.46</v>
      </c>
      <c r="Z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>
        <f>IF(COUNT(D381:S381)=0,"",MIN(D381:S381))</f>
        <v/>
      </c>
      <c r="U381" s="8">
        <f>IF(COUNT(D381:S381)=0,"",MEDIAN(D381:S381))</f>
        <v/>
      </c>
      <c r="V381" s="8">
        <f>IF(COUNT(D381:S381)=0,"",MAX(D381:S381))</f>
        <v/>
      </c>
      <c r="W381" s="9">
        <f>IF(OR(T381="",T381=0),"",(V381-T381)/T381)</f>
        <v/>
      </c>
      <c r="X381" s="7">
        <f>IF(COUNT(D381:S381)=0,"",INDEX($D$1:$S$1,MATCH(MIN(D381:S381),D381:S381,0)))</f>
        <v/>
      </c>
      <c r="Y381" s="8" t="n">
        <v>2196.18</v>
      </c>
      <c r="Z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>
        <f>IF(COUNT(D382:S382)=0,"",MIN(D382:S382))</f>
        <v/>
      </c>
      <c r="U382" s="8">
        <f>IF(COUNT(D382:S382)=0,"",MEDIAN(D382:S382))</f>
        <v/>
      </c>
      <c r="V382" s="8">
        <f>IF(COUNT(D382:S382)=0,"",MAX(D382:S382))</f>
        <v/>
      </c>
      <c r="W382" s="9">
        <f>IF(OR(T382="",T382=0),"",(V382-T382)/T382)</f>
        <v/>
      </c>
      <c r="X382" s="7">
        <f>IF(COUNT(D382:S382)=0,"",INDEX($D$1:$S$1,MATCH(MIN(D382:S382),D382:S382,0)))</f>
        <v/>
      </c>
      <c r="Y382" s="8" t="n">
        <v>1493.28</v>
      </c>
      <c r="Z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>
        <f>IF(COUNT(D383:S383)=0,"",MIN(D383:S383))</f>
        <v/>
      </c>
      <c r="U383" s="8">
        <f>IF(COUNT(D383:S383)=0,"",MEDIAN(D383:S383))</f>
        <v/>
      </c>
      <c r="V383" s="8">
        <f>IF(COUNT(D383:S383)=0,"",MAX(D383:S383))</f>
        <v/>
      </c>
      <c r="W383" s="9">
        <f>IF(OR(T383="",T383=0),"",(V383-T383)/T383)</f>
        <v/>
      </c>
      <c r="X383" s="7">
        <f>IF(COUNT(D383:S383)=0,"",INDEX($D$1:$S$1,MATCH(MIN(D383:S383),D383:S383,0)))</f>
        <v/>
      </c>
      <c r="Y383" s="8" t="n">
        <v>1801.82</v>
      </c>
      <c r="Z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>
        <f>IF(COUNT(D384:S384)=0,"",MIN(D384:S384))</f>
        <v/>
      </c>
      <c r="U384" s="8">
        <f>IF(COUNT(D384:S384)=0,"",MEDIAN(D384:S384))</f>
        <v/>
      </c>
      <c r="V384" s="8">
        <f>IF(COUNT(D384:S384)=0,"",MAX(D384:S384))</f>
        <v/>
      </c>
      <c r="W384" s="9">
        <f>IF(OR(T384="",T384=0),"",(V384-T384)/T384)</f>
        <v/>
      </c>
      <c r="X384" s="7">
        <f>IF(COUNT(D384:S384)=0,"",INDEX($D$1:$S$1,MATCH(MIN(D384:S384),D384:S384,0)))</f>
        <v/>
      </c>
      <c r="Y384" s="8" t="n">
        <v>2242</v>
      </c>
      <c r="Z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>
        <f>IF(COUNT(D385:S385)=0,"",MIN(D385:S385))</f>
        <v/>
      </c>
      <c r="U385" s="8">
        <f>IF(COUNT(D385:S385)=0,"",MEDIAN(D385:S385))</f>
        <v/>
      </c>
      <c r="V385" s="8">
        <f>IF(COUNT(D385:S385)=0,"",MAX(D385:S385))</f>
        <v/>
      </c>
      <c r="W385" s="9">
        <f>IF(OR(T385="",T385=0),"",(V385-T385)/T385)</f>
        <v/>
      </c>
      <c r="X385" s="7">
        <f>IF(COUNT(D385:S385)=0,"",INDEX($D$1:$S$1,MATCH(MIN(D385:S385),D385:S385,0)))</f>
        <v/>
      </c>
      <c r="Y385" s="8" t="n">
        <v>2885.43</v>
      </c>
      <c r="Z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>
        <f>IF(COUNT(D386:S386)=0,"",MIN(D386:S386))</f>
        <v/>
      </c>
      <c r="U386" s="8">
        <f>IF(COUNT(D386:S386)=0,"",MEDIAN(D386:S386))</f>
        <v/>
      </c>
      <c r="V386" s="8">
        <f>IF(COUNT(D386:S386)=0,"",MAX(D386:S386))</f>
        <v/>
      </c>
      <c r="W386" s="9">
        <f>IF(OR(T386="",T386=0),"",(V386-T386)/T386)</f>
        <v/>
      </c>
      <c r="X386" s="7">
        <f>IF(COUNT(D386:S386)=0,"",INDEX($D$1:$S$1,MATCH(MIN(D386:S386),D386:S386,0)))</f>
        <v/>
      </c>
      <c r="Y386" s="8" t="n">
        <v>2095.03</v>
      </c>
      <c r="Z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>
        <f>IF(COUNT(D387:S387)=0,"",MIN(D387:S387))</f>
        <v/>
      </c>
      <c r="U387" s="8">
        <f>IF(COUNT(D387:S387)=0,"",MEDIAN(D387:S387))</f>
        <v/>
      </c>
      <c r="V387" s="8">
        <f>IF(COUNT(D387:S387)=0,"",MAX(D387:S387))</f>
        <v/>
      </c>
      <c r="W387" s="9">
        <f>IF(OR(T387="",T387=0),"",(V387-T387)/T387)</f>
        <v/>
      </c>
      <c r="X387" s="7">
        <f>IF(COUNT(D387:S387)=0,"",INDEX($D$1:$S$1,MATCH(MIN(D387:S387),D387:S387,0)))</f>
        <v/>
      </c>
      <c r="Y387" s="8" t="n">
        <v>3697.64</v>
      </c>
      <c r="Z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>
        <f>IF(COUNT(D388:S388)=0,"",MIN(D388:S388))</f>
        <v/>
      </c>
      <c r="U388" s="8">
        <f>IF(COUNT(D388:S388)=0,"",MEDIAN(D388:S388))</f>
        <v/>
      </c>
      <c r="V388" s="8">
        <f>IF(COUNT(D388:S388)=0,"",MAX(D388:S388))</f>
        <v/>
      </c>
      <c r="W388" s="9">
        <f>IF(OR(T388="",T388=0),"",(V388-T388)/T388)</f>
        <v/>
      </c>
      <c r="X388" s="7">
        <f>IF(COUNT(D388:S388)=0,"",INDEX($D$1:$S$1,MATCH(MIN(D388:S388),D388:S388,0)))</f>
        <v/>
      </c>
      <c r="Y388" s="8" t="n">
        <v>2098.99</v>
      </c>
      <c r="Z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>
        <f>IF(COUNT(D389:S389)=0,"",MIN(D389:S389))</f>
        <v/>
      </c>
      <c r="U389" s="8">
        <f>IF(COUNT(D389:S389)=0,"",MEDIAN(D389:S389))</f>
        <v/>
      </c>
      <c r="V389" s="8">
        <f>IF(COUNT(D389:S389)=0,"",MAX(D389:S389))</f>
        <v/>
      </c>
      <c r="W389" s="9">
        <f>IF(OR(T389="",T389=0),"",(V389-T389)/T389)</f>
        <v/>
      </c>
      <c r="X389" s="7">
        <f>IF(COUNT(D389:S389)=0,"",INDEX($D$1:$S$1,MATCH(MIN(D389:S389),D389:S389,0)))</f>
        <v/>
      </c>
      <c r="Y389" s="8" t="n">
        <v>2629.95</v>
      </c>
      <c r="Z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>
        <f>IF(COUNT(D390:S390)=0,"",MIN(D390:S390))</f>
        <v/>
      </c>
      <c r="U390" s="8">
        <f>IF(COUNT(D390:S390)=0,"",MEDIAN(D390:S390))</f>
        <v/>
      </c>
      <c r="V390" s="8">
        <f>IF(COUNT(D390:S390)=0,"",MAX(D390:S390))</f>
        <v/>
      </c>
      <c r="W390" s="9">
        <f>IF(OR(T390="",T390=0),"",(V390-T390)/T390)</f>
        <v/>
      </c>
      <c r="X390" s="7">
        <f>IF(COUNT(D390:S390)=0,"",INDEX($D$1:$S$1,MATCH(MIN(D390:S390),D390:S390,0)))</f>
        <v/>
      </c>
      <c r="Y390" s="8" t="n">
        <v>2406.36</v>
      </c>
      <c r="Z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>
        <f>IF(COUNT(D391:S391)=0,"",MIN(D391:S391))</f>
        <v/>
      </c>
      <c r="U391" s="8">
        <f>IF(COUNT(D391:S391)=0,"",MEDIAN(D391:S391))</f>
        <v/>
      </c>
      <c r="V391" s="8">
        <f>IF(COUNT(D391:S391)=0,"",MAX(D391:S391))</f>
        <v/>
      </c>
      <c r="W391" s="9">
        <f>IF(OR(T391="",T391=0),"",(V391-T391)/T391)</f>
        <v/>
      </c>
      <c r="X391" s="7">
        <f>IF(COUNT(D391:S391)=0,"",INDEX($D$1:$S$1,MATCH(MIN(D391:S391),D391:S391,0)))</f>
        <v/>
      </c>
      <c r="Y391" s="8" t="n">
        <v>5709.64</v>
      </c>
      <c r="Z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>
        <f>IF(COUNT(D392:S392)=0,"",MIN(D392:S392))</f>
        <v/>
      </c>
      <c r="U392" s="8">
        <f>IF(COUNT(D392:S392)=0,"",MEDIAN(D392:S392))</f>
        <v/>
      </c>
      <c r="V392" s="8">
        <f>IF(COUNT(D392:S392)=0,"",MAX(D392:S392))</f>
        <v/>
      </c>
      <c r="W392" s="9">
        <f>IF(OR(T392="",T392=0),"",(V392-T392)/T392)</f>
        <v/>
      </c>
      <c r="X392" s="7">
        <f>IF(COUNT(D392:S392)=0,"",INDEX($D$1:$S$1,MATCH(MIN(D392:S392),D392:S392,0)))</f>
        <v/>
      </c>
      <c r="Y392" s="8" t="n">
        <v>3376.66</v>
      </c>
      <c r="Z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>
        <f>IF(COUNT(D393:S393)=0,"",MIN(D393:S393))</f>
        <v/>
      </c>
      <c r="U393" s="8">
        <f>IF(COUNT(D393:S393)=0,"",MEDIAN(D393:S393))</f>
        <v/>
      </c>
      <c r="V393" s="8">
        <f>IF(COUNT(D393:S393)=0,"",MAX(D393:S393))</f>
        <v/>
      </c>
      <c r="W393" s="9">
        <f>IF(OR(T393="",T393=0),"",(V393-T393)/T393)</f>
        <v/>
      </c>
      <c r="X393" s="7">
        <f>IF(COUNT(D393:S393)=0,"",INDEX($D$1:$S$1,MATCH(MIN(D393:S393),D393:S393,0)))</f>
        <v/>
      </c>
      <c r="Y393" s="8" t="n">
        <v>2449.22</v>
      </c>
      <c r="Z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>
        <f>IF(COUNT(D394:S394)=0,"",MIN(D394:S394))</f>
        <v/>
      </c>
      <c r="U394" s="8">
        <f>IF(COUNT(D394:S394)=0,"",MEDIAN(D394:S394))</f>
        <v/>
      </c>
      <c r="V394" s="8">
        <f>IF(COUNT(D394:S394)=0,"",MAX(D394:S394))</f>
        <v/>
      </c>
      <c r="W394" s="9">
        <f>IF(OR(T394="",T394=0),"",(V394-T394)/T394)</f>
        <v/>
      </c>
      <c r="X394" s="7">
        <f>IF(COUNT(D394:S394)=0,"",INDEX($D$1:$S$1,MATCH(MIN(D394:S394),D394:S394,0)))</f>
        <v/>
      </c>
      <c r="Y394" s="8" t="n">
        <v>7223.87</v>
      </c>
      <c r="Z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>
        <f>IF(COUNT(D395:S395)=0,"",MIN(D395:S395))</f>
        <v/>
      </c>
      <c r="U395" s="8">
        <f>IF(COUNT(D395:S395)=0,"",MEDIAN(D395:S395))</f>
        <v/>
      </c>
      <c r="V395" s="8">
        <f>IF(COUNT(D395:S395)=0,"",MAX(D395:S395))</f>
        <v/>
      </c>
      <c r="W395" s="9">
        <f>IF(OR(T395="",T395=0),"",(V395-T395)/T395)</f>
        <v/>
      </c>
      <c r="X395" s="7">
        <f>IF(COUNT(D395:S395)=0,"",INDEX($D$1:$S$1,MATCH(MIN(D395:S395),D395:S395,0)))</f>
        <v/>
      </c>
      <c r="Y395" s="8" t="n">
        <v>5758.12</v>
      </c>
      <c r="Z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>
        <f>IF(COUNT(D396:S396)=0,"",MIN(D396:S396))</f>
        <v/>
      </c>
      <c r="U396" s="8">
        <f>IF(COUNT(D396:S396)=0,"",MEDIAN(D396:S396))</f>
        <v/>
      </c>
      <c r="V396" s="8">
        <f>IF(COUNT(D396:S396)=0,"",MAX(D396:S396))</f>
        <v/>
      </c>
      <c r="W396" s="9">
        <f>IF(OR(T396="",T396=0),"",(V396-T396)/T396)</f>
        <v/>
      </c>
      <c r="X396" s="7">
        <f>IF(COUNT(D396:S396)=0,"",INDEX($D$1:$S$1,MATCH(MIN(D396:S396),D396:S396,0)))</f>
        <v/>
      </c>
      <c r="Y396" s="8" t="n">
        <v>7278.68</v>
      </c>
      <c r="Z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>
        <f>IF(COUNT(D397:S397)=0,"",MIN(D397:S397))</f>
        <v/>
      </c>
      <c r="U397" s="8">
        <f>IF(COUNT(D397:S397)=0,"",MEDIAN(D397:S397))</f>
        <v/>
      </c>
      <c r="V397" s="8">
        <f>IF(COUNT(D397:S397)=0,"",MAX(D397:S397))</f>
        <v/>
      </c>
      <c r="W397" s="9">
        <f>IF(OR(T397="",T397=0),"",(V397-T397)/T397)</f>
        <v/>
      </c>
      <c r="X397" s="7">
        <f>IF(COUNT(D397:S397)=0,"",INDEX($D$1:$S$1,MATCH(MIN(D397:S397),D397:S397,0)))</f>
        <v/>
      </c>
      <c r="Y397" s="8" t="n">
        <v>2835.14</v>
      </c>
      <c r="Z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>
        <f>IF(COUNT(D398:S398)=0,"",MIN(D398:S398))</f>
        <v/>
      </c>
      <c r="U398" s="8">
        <f>IF(COUNT(D398:S398)=0,"",MEDIAN(D398:S398))</f>
        <v/>
      </c>
      <c r="V398" s="8">
        <f>IF(COUNT(D398:S398)=0,"",MAX(D398:S398))</f>
        <v/>
      </c>
      <c r="W398" s="9">
        <f>IF(OR(T398="",T398=0),"",(V398-T398)/T398)</f>
        <v/>
      </c>
      <c r="X398" s="7">
        <f>IF(COUNT(D398:S398)=0,"",INDEX($D$1:$S$1,MATCH(MIN(D398:S398),D398:S398,0)))</f>
        <v/>
      </c>
      <c r="Y398" s="8" t="n">
        <v>2649.01</v>
      </c>
      <c r="Z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>
        <f>IF(COUNT(D399:S399)=0,"",MIN(D399:S399))</f>
        <v/>
      </c>
      <c r="U399" s="8">
        <f>IF(COUNT(D399:S399)=0,"",MEDIAN(D399:S399))</f>
        <v/>
      </c>
      <c r="V399" s="8">
        <f>IF(COUNT(D399:S399)=0,"",MAX(D399:S399))</f>
        <v/>
      </c>
      <c r="W399" s="9">
        <f>IF(OR(T399="",T399=0),"",(V399-T399)/T399)</f>
        <v/>
      </c>
      <c r="X399" s="7">
        <f>IF(COUNT(D399:S399)=0,"",INDEX($D$1:$S$1,MATCH(MIN(D399:S399),D399:S399,0)))</f>
        <v/>
      </c>
      <c r="Y399" s="8" t="n">
        <v>7262.22</v>
      </c>
      <c r="Z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>
        <f>IF(COUNT(D400:S400)=0,"",MIN(D400:S400))</f>
        <v/>
      </c>
      <c r="U400" s="8">
        <f>IF(COUNT(D400:S400)=0,"",MEDIAN(D400:S400))</f>
        <v/>
      </c>
      <c r="V400" s="8">
        <f>IF(COUNT(D400:S400)=0,"",MAX(D400:S400))</f>
        <v/>
      </c>
      <c r="W400" s="9">
        <f>IF(OR(T400="",T400=0),"",(V400-T400)/T400)</f>
        <v/>
      </c>
      <c r="X400" s="7">
        <f>IF(COUNT(D400:S400)=0,"",INDEX($D$1:$S$1,MATCH(MIN(D400:S400),D400:S400,0)))</f>
        <v/>
      </c>
      <c r="Y400" s="8" t="n">
        <v>9310.93</v>
      </c>
      <c r="Z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>
        <f>IF(COUNT(D401:S401)=0,"",MIN(D401:S401))</f>
        <v/>
      </c>
      <c r="U401" s="8">
        <f>IF(COUNT(D401:S401)=0,"",MEDIAN(D401:S401))</f>
        <v/>
      </c>
      <c r="V401" s="8">
        <f>IF(COUNT(D401:S401)=0,"",MAX(D401:S401))</f>
        <v/>
      </c>
      <c r="W401" s="9">
        <f>IF(OR(T401="",T401=0),"",(V401-T401)/T401)</f>
        <v/>
      </c>
      <c r="X401" s="7">
        <f>IF(COUNT(D401:S401)=0,"",INDEX($D$1:$S$1,MATCH(MIN(D401:S401),D401:S401,0)))</f>
        <v/>
      </c>
      <c r="Y401" s="8" t="n">
        <v>14792.34</v>
      </c>
      <c r="Z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>
        <f>IF(COUNT(D402:S402)=0,"",MIN(D402:S402))</f>
        <v/>
      </c>
      <c r="U402" s="8">
        <f>IF(COUNT(D402:S402)=0,"",MEDIAN(D402:S402))</f>
        <v/>
      </c>
      <c r="V402" s="8">
        <f>IF(COUNT(D402:S402)=0,"",MAX(D402:S402))</f>
        <v/>
      </c>
      <c r="W402" s="9">
        <f>IF(OR(T402="",T402=0),"",(V402-T402)/T402)</f>
        <v/>
      </c>
      <c r="X402" s="7">
        <f>IF(COUNT(D402:S402)=0,"",INDEX($D$1:$S$1,MATCH(MIN(D402:S402),D402:S402,0)))</f>
        <v/>
      </c>
      <c r="Y402" s="8" t="n">
        <v>764.38</v>
      </c>
      <c r="Z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>
        <f>IF(COUNT(D403:S403)=0,"",MIN(D403:S403))</f>
        <v/>
      </c>
      <c r="U403" s="8">
        <f>IF(COUNT(D403:S403)=0,"",MEDIAN(D403:S403))</f>
        <v/>
      </c>
      <c r="V403" s="8">
        <f>IF(COUNT(D403:S403)=0,"",MAX(D403:S403))</f>
        <v/>
      </c>
      <c r="W403" s="9">
        <f>IF(OR(T403="",T403=0),"",(V403-T403)/T403)</f>
        <v/>
      </c>
      <c r="X403" s="7">
        <f>IF(COUNT(D403:S403)=0,"",INDEX($D$1:$S$1,MATCH(MIN(D403:S403),D403:S403,0)))</f>
        <v/>
      </c>
      <c r="Y403" s="8" t="n">
        <v>839.97</v>
      </c>
      <c r="Z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>
        <f>IF(COUNT(D404:S404)=0,"",MIN(D404:S404))</f>
        <v/>
      </c>
      <c r="U404" s="8">
        <f>IF(COUNT(D404:S404)=0,"",MEDIAN(D404:S404))</f>
        <v/>
      </c>
      <c r="V404" s="8">
        <f>IF(COUNT(D404:S404)=0,"",MAX(D404:S404))</f>
        <v/>
      </c>
      <c r="W404" s="9">
        <f>IF(OR(T404="",T404=0),"",(V404-T404)/T404)</f>
        <v/>
      </c>
      <c r="X404" s="7">
        <f>IF(COUNT(D404:S404)=0,"",INDEX($D$1:$S$1,MATCH(MIN(D404:S404),D404:S404,0)))</f>
        <v/>
      </c>
      <c r="Y404" s="8" t="n">
        <v>2571.44</v>
      </c>
      <c r="Z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>
        <f>IF(COUNT(D405:S405)=0,"",MIN(D405:S405))</f>
        <v/>
      </c>
      <c r="U405" s="8">
        <f>IF(COUNT(D405:S405)=0,"",MEDIAN(D405:S405))</f>
        <v/>
      </c>
      <c r="V405" s="8">
        <f>IF(COUNT(D405:S405)=0,"",MAX(D405:S405))</f>
        <v/>
      </c>
      <c r="W405" s="9">
        <f>IF(OR(T405="",T405=0),"",(V405-T405)/T405)</f>
        <v/>
      </c>
      <c r="X405" s="7">
        <f>IF(COUNT(D405:S405)=0,"",INDEX($D$1:$S$1,MATCH(MIN(D405:S405),D405:S405,0)))</f>
        <v/>
      </c>
      <c r="Y405" s="8" t="n">
        <v>482.11</v>
      </c>
      <c r="Z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>
        <f>IF(COUNT(D406:S406)=0,"",MIN(D406:S406))</f>
        <v/>
      </c>
      <c r="U406" s="8">
        <f>IF(COUNT(D406:S406)=0,"",MEDIAN(D406:S406))</f>
        <v/>
      </c>
      <c r="V406" s="8">
        <f>IF(COUNT(D406:S406)=0,"",MAX(D406:S406))</f>
        <v/>
      </c>
      <c r="W406" s="9">
        <f>IF(OR(T406="",T406=0),"",(V406-T406)/T406)</f>
        <v/>
      </c>
      <c r="X406" s="7">
        <f>IF(COUNT(D406:S406)=0,"",INDEX($D$1:$S$1,MATCH(MIN(D406:S406),D406:S406,0)))</f>
        <v/>
      </c>
      <c r="Y406" s="8" t="n">
        <v>1371.18</v>
      </c>
      <c r="Z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>
        <f>IF(COUNT(D407:S407)=0,"",MIN(D407:S407))</f>
        <v/>
      </c>
      <c r="U407" s="8">
        <f>IF(COUNT(D407:S407)=0,"",MEDIAN(D407:S407))</f>
        <v/>
      </c>
      <c r="V407" s="8">
        <f>IF(COUNT(D407:S407)=0,"",MAX(D407:S407))</f>
        <v/>
      </c>
      <c r="W407" s="9">
        <f>IF(OR(T407="",T407=0),"",(V407-T407)/T407)</f>
        <v/>
      </c>
      <c r="X407" s="7">
        <f>IF(COUNT(D407:S407)=0,"",INDEX($D$1:$S$1,MATCH(MIN(D407:S407),D407:S407,0)))</f>
        <v/>
      </c>
      <c r="Y407" s="8" t="n">
        <v>1318</v>
      </c>
      <c r="Z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>
        <f>IF(COUNT(D408:S408)=0,"",MIN(D408:S408))</f>
        <v/>
      </c>
      <c r="U408" s="8">
        <f>IF(COUNT(D408:S408)=0,"",MEDIAN(D408:S408))</f>
        <v/>
      </c>
      <c r="V408" s="8">
        <f>IF(COUNT(D408:S408)=0,"",MAX(D408:S408))</f>
        <v/>
      </c>
      <c r="W408" s="9">
        <f>IF(OR(T408="",T408=0),"",(V408-T408)/T408)</f>
        <v/>
      </c>
      <c r="X408" s="7">
        <f>IF(COUNT(D408:S408)=0,"",INDEX($D$1:$S$1,MATCH(MIN(D408:S408),D408:S408,0)))</f>
        <v/>
      </c>
      <c r="Y408" s="8" t="n">
        <v>1403.05</v>
      </c>
      <c r="Z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>
        <f>IF(COUNT(D409:S409)=0,"",MIN(D409:S409))</f>
        <v/>
      </c>
      <c r="U409" s="8">
        <f>IF(COUNT(D409:S409)=0,"",MEDIAN(D409:S409))</f>
        <v/>
      </c>
      <c r="V409" s="8">
        <f>IF(COUNT(D409:S409)=0,"",MAX(D409:S409))</f>
        <v/>
      </c>
      <c r="W409" s="9">
        <f>IF(OR(T409="",T409=0),"",(V409-T409)/T409)</f>
        <v/>
      </c>
      <c r="X409" s="7">
        <f>IF(COUNT(D409:S409)=0,"",INDEX($D$1:$S$1,MATCH(MIN(D409:S409),D409:S409,0)))</f>
        <v/>
      </c>
      <c r="Y409" s="8" t="n">
        <v>1400.04</v>
      </c>
      <c r="Z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>
        <f>IF(COUNT(D410:S410)=0,"",MIN(D410:S410))</f>
        <v/>
      </c>
      <c r="U410" s="8">
        <f>IF(COUNT(D410:S410)=0,"",MEDIAN(D410:S410))</f>
        <v/>
      </c>
      <c r="V410" s="8">
        <f>IF(COUNT(D410:S410)=0,"",MAX(D410:S410))</f>
        <v/>
      </c>
      <c r="W410" s="9">
        <f>IF(OR(T410="",T410=0),"",(V410-T410)/T410)</f>
        <v/>
      </c>
      <c r="X410" s="7">
        <f>IF(COUNT(D410:S410)=0,"",INDEX($D$1:$S$1,MATCH(MIN(D410:S410),D410:S410,0)))</f>
        <v/>
      </c>
      <c r="Y410" s="8" t="n">
        <v>1662.02</v>
      </c>
      <c r="Z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>
        <f>IF(COUNT(D411:S411)=0,"",MIN(D411:S411))</f>
        <v/>
      </c>
      <c r="U411" s="8">
        <f>IF(COUNT(D411:S411)=0,"",MEDIAN(D411:S411))</f>
        <v/>
      </c>
      <c r="V411" s="8">
        <f>IF(COUNT(D411:S411)=0,"",MAX(D411:S411))</f>
        <v/>
      </c>
      <c r="W411" s="9">
        <f>IF(OR(T411="",T411=0),"",(V411-T411)/T411)</f>
        <v/>
      </c>
      <c r="X411" s="7">
        <f>IF(COUNT(D411:S411)=0,"",INDEX($D$1:$S$1,MATCH(MIN(D411:S411),D411:S411,0)))</f>
        <v/>
      </c>
      <c r="Y411" s="8" t="n">
        <v>1835.57</v>
      </c>
      <c r="Z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>
        <f>IF(COUNT(D412:S412)=0,"",MIN(D412:S412))</f>
        <v/>
      </c>
      <c r="U412" s="8">
        <f>IF(COUNT(D412:S412)=0,"",MEDIAN(D412:S412))</f>
        <v/>
      </c>
      <c r="V412" s="8">
        <f>IF(COUNT(D412:S412)=0,"",MAX(D412:S412))</f>
        <v/>
      </c>
      <c r="W412" s="9">
        <f>IF(OR(T412="",T412=0),"",(V412-T412)/T412)</f>
        <v/>
      </c>
      <c r="X412" s="7">
        <f>IF(COUNT(D412:S412)=0,"",INDEX($D$1:$S$1,MATCH(MIN(D412:S412),D412:S412,0)))</f>
        <v/>
      </c>
      <c r="Y412" s="8" t="n">
        <v>1649.86</v>
      </c>
      <c r="Z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>
        <f>IF(COUNT(D413:S413)=0,"",MIN(D413:S413))</f>
        <v/>
      </c>
      <c r="U413" s="8">
        <f>IF(COUNT(D413:S413)=0,"",MEDIAN(D413:S413))</f>
        <v/>
      </c>
      <c r="V413" s="8">
        <f>IF(COUNT(D413:S413)=0,"",MAX(D413:S413))</f>
        <v/>
      </c>
      <c r="W413" s="9">
        <f>IF(OR(T413="",T413=0),"",(V413-T413)/T413)</f>
        <v/>
      </c>
      <c r="X413" s="7">
        <f>IF(COUNT(D413:S413)=0,"",INDEX($D$1:$S$1,MATCH(MIN(D413:S413),D413:S413,0)))</f>
        <v/>
      </c>
      <c r="Y413" s="8" t="n">
        <v>2210.12</v>
      </c>
      <c r="Z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>
        <f>IF(COUNT(D414:S414)=0,"",MIN(D414:S414))</f>
        <v/>
      </c>
      <c r="U414" s="8">
        <f>IF(COUNT(D414:S414)=0,"",MEDIAN(D414:S414))</f>
        <v/>
      </c>
      <c r="V414" s="8">
        <f>IF(COUNT(D414:S414)=0,"",MAX(D414:S414))</f>
        <v/>
      </c>
      <c r="W414" s="9">
        <f>IF(OR(T414="",T414=0),"",(V414-T414)/T414)</f>
        <v/>
      </c>
      <c r="X414" s="7">
        <f>IF(COUNT(D414:S414)=0,"",INDEX($D$1:$S$1,MATCH(MIN(D414:S414),D414:S414,0)))</f>
        <v/>
      </c>
      <c r="Y414" s="8" t="n">
        <v>2022.08</v>
      </c>
      <c r="Z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>
        <f>IF(COUNT(D415:S415)=0,"",MIN(D415:S415))</f>
        <v/>
      </c>
      <c r="U415" s="8">
        <f>IF(COUNT(D415:S415)=0,"",MEDIAN(D415:S415))</f>
        <v/>
      </c>
      <c r="V415" s="8">
        <f>IF(COUNT(D415:S415)=0,"",MAX(D415:S415))</f>
        <v/>
      </c>
      <c r="W415" s="9">
        <f>IF(OR(T415="",T415=0),"",(V415-T415)/T415)</f>
        <v/>
      </c>
      <c r="X415" s="7">
        <f>IF(COUNT(D415:S415)=0,"",INDEX($D$1:$S$1,MATCH(MIN(D415:S415),D415:S415,0)))</f>
        <v/>
      </c>
      <c r="Y415" s="8" t="n">
        <v>2167.28</v>
      </c>
      <c r="Z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>
        <f>IF(COUNT(D416:S416)=0,"",MIN(D416:S416))</f>
        <v/>
      </c>
      <c r="U416" s="8">
        <f>IF(COUNT(D416:S416)=0,"",MEDIAN(D416:S416))</f>
        <v/>
      </c>
      <c r="V416" s="8">
        <f>IF(COUNT(D416:S416)=0,"",MAX(D416:S416))</f>
        <v/>
      </c>
      <c r="W416" s="9">
        <f>IF(OR(T416="",T416=0),"",(V416-T416)/T416)</f>
        <v/>
      </c>
      <c r="X416" s="7">
        <f>IF(COUNT(D416:S416)=0,"",INDEX($D$1:$S$1,MATCH(MIN(D416:S416),D416:S416,0)))</f>
        <v/>
      </c>
      <c r="Y416" s="8" t="n">
        <v>495</v>
      </c>
      <c r="Z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>
        <f>IF(COUNT(D417:S417)=0,"",MIN(D417:S417))</f>
        <v/>
      </c>
      <c r="U417" s="8">
        <f>IF(COUNT(D417:S417)=0,"",MEDIAN(D417:S417))</f>
        <v/>
      </c>
      <c r="V417" s="8">
        <f>IF(COUNT(D417:S417)=0,"",MAX(D417:S417))</f>
        <v/>
      </c>
      <c r="W417" s="9">
        <f>IF(OR(T417="",T417=0),"",(V417-T417)/T417)</f>
        <v/>
      </c>
      <c r="X417" s="7">
        <f>IF(COUNT(D417:S417)=0,"",INDEX($D$1:$S$1,MATCH(MIN(D417:S417),D417:S417,0)))</f>
        <v/>
      </c>
      <c r="Y417" s="8" t="n">
        <v>1099.76</v>
      </c>
      <c r="Z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>
        <f>IF(COUNT(D418:S418)=0,"",MIN(D418:S418))</f>
        <v/>
      </c>
      <c r="U418" s="8">
        <f>IF(COUNT(D418:S418)=0,"",MEDIAN(D418:S418))</f>
        <v/>
      </c>
      <c r="V418" s="8">
        <f>IF(COUNT(D418:S418)=0,"",MAX(D418:S418))</f>
        <v/>
      </c>
      <c r="W418" s="9">
        <f>IF(OR(T418="",T418=0),"",(V418-T418)/T418)</f>
        <v/>
      </c>
      <c r="X418" s="7">
        <f>IF(COUNT(D418:S418)=0,"",INDEX($D$1:$S$1,MATCH(MIN(D418:S418),D418:S418,0)))</f>
        <v/>
      </c>
      <c r="Y418" s="8" t="n">
        <v>1818.95</v>
      </c>
      <c r="Z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>
        <f>IF(COUNT(D419:S419)=0,"",MIN(D419:S419))</f>
        <v/>
      </c>
      <c r="U419" s="8">
        <f>IF(COUNT(D419:S419)=0,"",MEDIAN(D419:S419))</f>
        <v/>
      </c>
      <c r="V419" s="8">
        <f>IF(COUNT(D419:S419)=0,"",MAX(D419:S419))</f>
        <v/>
      </c>
      <c r="W419" s="9">
        <f>IF(OR(T419="",T419=0),"",(V419-T419)/T419)</f>
        <v/>
      </c>
      <c r="X419" s="7">
        <f>IF(COUNT(D419:S419)=0,"",INDEX($D$1:$S$1,MATCH(MIN(D419:S419),D419:S419,0)))</f>
        <v/>
      </c>
      <c r="Y419" s="8" t="n">
        <v>2863.5</v>
      </c>
      <c r="Z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>
        <f>IF(COUNT(D420:S420)=0,"",MIN(D420:S420))</f>
        <v/>
      </c>
      <c r="U420" s="8">
        <f>IF(COUNT(D420:S420)=0,"",MEDIAN(D420:S420))</f>
        <v/>
      </c>
      <c r="V420" s="8">
        <f>IF(COUNT(D420:S420)=0,"",MAX(D420:S420))</f>
        <v/>
      </c>
      <c r="W420" s="9">
        <f>IF(OR(T420="",T420=0),"",(V420-T420)/T420)</f>
        <v/>
      </c>
      <c r="X420" s="7">
        <f>IF(COUNT(D420:S420)=0,"",INDEX($D$1:$S$1,MATCH(MIN(D420:S420),D420:S420,0)))</f>
        <v/>
      </c>
      <c r="Y420" s="8" t="n">
        <v>4636.17</v>
      </c>
      <c r="Z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>
        <f>IF(COUNT(D421:S421)=0,"",MIN(D421:S421))</f>
        <v/>
      </c>
      <c r="U421" s="8">
        <f>IF(COUNT(D421:S421)=0,"",MEDIAN(D421:S421))</f>
        <v/>
      </c>
      <c r="V421" s="8">
        <f>IF(COUNT(D421:S421)=0,"",MAX(D421:S421))</f>
        <v/>
      </c>
      <c r="W421" s="9">
        <f>IF(OR(T421="",T421=0),"",(V421-T421)/T421)</f>
        <v/>
      </c>
      <c r="X421" s="7">
        <f>IF(COUNT(D421:S421)=0,"",INDEX($D$1:$S$1,MATCH(MIN(D421:S421),D421:S421,0)))</f>
        <v/>
      </c>
      <c r="Y421" s="8" t="n">
        <v>1349.37</v>
      </c>
      <c r="Z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>
        <f>IF(COUNT(D422:S422)=0,"",MIN(D422:S422))</f>
        <v/>
      </c>
      <c r="U422" s="8">
        <f>IF(COUNT(D422:S422)=0,"",MEDIAN(D422:S422))</f>
        <v/>
      </c>
      <c r="V422" s="8">
        <f>IF(COUNT(D422:S422)=0,"",MAX(D422:S422))</f>
        <v/>
      </c>
      <c r="W422" s="9">
        <f>IF(OR(T422="",T422=0),"",(V422-T422)/T422)</f>
        <v/>
      </c>
      <c r="X422" s="7">
        <f>IF(COUNT(D422:S422)=0,"",INDEX($D$1:$S$1,MATCH(MIN(D422:S422),D422:S422,0)))</f>
        <v/>
      </c>
      <c r="Y422" s="8" t="n">
        <v>2768.79</v>
      </c>
      <c r="Z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>
        <f>IF(COUNT(D423:S423)=0,"",MIN(D423:S423))</f>
        <v/>
      </c>
      <c r="U423" s="8">
        <f>IF(COUNT(D423:S423)=0,"",MEDIAN(D423:S423))</f>
        <v/>
      </c>
      <c r="V423" s="8">
        <f>IF(COUNT(D423:S423)=0,"",MAX(D423:S423))</f>
        <v/>
      </c>
      <c r="W423" s="9">
        <f>IF(OR(T423="",T423=0),"",(V423-T423)/T423)</f>
        <v/>
      </c>
      <c r="X423" s="7">
        <f>IF(COUNT(D423:S423)=0,"",INDEX($D$1:$S$1,MATCH(MIN(D423:S423),D423:S423,0)))</f>
        <v/>
      </c>
      <c r="Y423" s="8" t="n">
        <v>650</v>
      </c>
      <c r="Z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>
        <f>IF(COUNT(D424:S424)=0,"",MIN(D424:S424))</f>
        <v/>
      </c>
      <c r="U424" s="8">
        <f>IF(COUNT(D424:S424)=0,"",MEDIAN(D424:S424))</f>
        <v/>
      </c>
      <c r="V424" s="8">
        <f>IF(COUNT(D424:S424)=0,"",MAX(D424:S424))</f>
        <v/>
      </c>
      <c r="W424" s="9">
        <f>IF(OR(T424="",T424=0),"",(V424-T424)/T424)</f>
        <v/>
      </c>
      <c r="X424" s="7">
        <f>IF(COUNT(D424:S424)=0,"",INDEX($D$1:$S$1,MATCH(MIN(D424:S424),D424:S424,0)))</f>
        <v/>
      </c>
      <c r="Y424" s="8" t="n">
        <v>789.64</v>
      </c>
      <c r="Z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>
        <f>IF(COUNT(D425:S425)=0,"",MIN(D425:S425))</f>
        <v/>
      </c>
      <c r="U425" s="8">
        <f>IF(COUNT(D425:S425)=0,"",MEDIAN(D425:S425))</f>
        <v/>
      </c>
      <c r="V425" s="8">
        <f>IF(COUNT(D425:S425)=0,"",MAX(D425:S425))</f>
        <v/>
      </c>
      <c r="W425" s="9">
        <f>IF(OR(T425="",T425=0),"",(V425-T425)/T425)</f>
        <v/>
      </c>
      <c r="X425" s="7">
        <f>IF(COUNT(D425:S425)=0,"",INDEX($D$1:$S$1,MATCH(MIN(D425:S425),D425:S425,0)))</f>
        <v/>
      </c>
      <c r="Y425" s="8" t="n">
        <v>790</v>
      </c>
      <c r="Z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>
        <f>IF(COUNT(D426:S426)=0,"",MIN(D426:S426))</f>
        <v/>
      </c>
      <c r="U426" s="8">
        <f>IF(COUNT(D426:S426)=0,"",MEDIAN(D426:S426))</f>
        <v/>
      </c>
      <c r="V426" s="8">
        <f>IF(COUNT(D426:S426)=0,"",MAX(D426:S426))</f>
        <v/>
      </c>
      <c r="W426" s="9">
        <f>IF(OR(T426="",T426=0),"",(V426-T426)/T426)</f>
        <v/>
      </c>
      <c r="X426" s="7">
        <f>IF(COUNT(D426:S426)=0,"",INDEX($D$1:$S$1,MATCH(MIN(D426:S426),D426:S426,0)))</f>
        <v/>
      </c>
      <c r="Y426" s="8" t="n">
        <v>3110.82</v>
      </c>
      <c r="Z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>
        <f>IF(COUNT(D427:S427)=0,"",MIN(D427:S427))</f>
        <v/>
      </c>
      <c r="U427" s="8">
        <f>IF(COUNT(D427:S427)=0,"",MEDIAN(D427:S427))</f>
        <v/>
      </c>
      <c r="V427" s="8">
        <f>IF(COUNT(D427:S427)=0,"",MAX(D427:S427))</f>
        <v/>
      </c>
      <c r="W427" s="9">
        <f>IF(OR(T427="",T427=0),"",(V427-T427)/T427)</f>
        <v/>
      </c>
      <c r="X427" s="7">
        <f>IF(COUNT(D427:S427)=0,"",INDEX($D$1:$S$1,MATCH(MIN(D427:S427),D427:S427,0)))</f>
        <v/>
      </c>
      <c r="Y427" s="8" t="n">
        <v>743.62</v>
      </c>
      <c r="Z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>
        <f>IF(COUNT(D428:S428)=0,"",MIN(D428:S428))</f>
        <v/>
      </c>
      <c r="U428" s="8">
        <f>IF(COUNT(D428:S428)=0,"",MEDIAN(D428:S428))</f>
        <v/>
      </c>
      <c r="V428" s="8">
        <f>IF(COUNT(D428:S428)=0,"",MAX(D428:S428))</f>
        <v/>
      </c>
      <c r="W428" s="9">
        <f>IF(OR(T428="",T428=0),"",(V428-T428)/T428)</f>
        <v/>
      </c>
      <c r="X428" s="7">
        <f>IF(COUNT(D428:S428)=0,"",INDEX($D$1:$S$1,MATCH(MIN(D428:S428),D428:S428,0)))</f>
        <v/>
      </c>
      <c r="Y428" s="8" t="n">
        <v>1771.16</v>
      </c>
      <c r="Z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>
        <f>IF(COUNT(D429:S429)=0,"",MIN(D429:S429))</f>
        <v/>
      </c>
      <c r="U429" s="8">
        <f>IF(COUNT(D429:S429)=0,"",MEDIAN(D429:S429))</f>
        <v/>
      </c>
      <c r="V429" s="8">
        <f>IF(COUNT(D429:S429)=0,"",MAX(D429:S429))</f>
        <v/>
      </c>
      <c r="W429" s="9">
        <f>IF(OR(T429="",T429=0),"",(V429-T429)/T429)</f>
        <v/>
      </c>
      <c r="X429" s="7">
        <f>IF(COUNT(D429:S429)=0,"",INDEX($D$1:$S$1,MATCH(MIN(D429:S429),D429:S429,0)))</f>
        <v/>
      </c>
      <c r="Y429" s="8" t="n">
        <v>2028.35</v>
      </c>
      <c r="Z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>
        <f>IF(COUNT(D430:S430)=0,"",MIN(D430:S430))</f>
        <v/>
      </c>
      <c r="U430" s="8">
        <f>IF(COUNT(D430:S430)=0,"",MEDIAN(D430:S430))</f>
        <v/>
      </c>
      <c r="V430" s="8">
        <f>IF(COUNT(D430:S430)=0,"",MAX(D430:S430))</f>
        <v/>
      </c>
      <c r="W430" s="9">
        <f>IF(OR(T430="",T430=0),"",(V430-T430)/T430)</f>
        <v/>
      </c>
      <c r="X430" s="7">
        <f>IF(COUNT(D430:S430)=0,"",INDEX($D$1:$S$1,MATCH(MIN(D430:S430),D430:S430,0)))</f>
        <v/>
      </c>
      <c r="Y430" s="8" t="n">
        <v>5478.1</v>
      </c>
      <c r="Z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>
        <f>IF(COUNT(D431:S431)=0,"",MIN(D431:S431))</f>
        <v/>
      </c>
      <c r="U431" s="8">
        <f>IF(COUNT(D431:S431)=0,"",MEDIAN(D431:S431))</f>
        <v/>
      </c>
      <c r="V431" s="8">
        <f>IF(COUNT(D431:S431)=0,"",MAX(D431:S431))</f>
        <v/>
      </c>
      <c r="W431" s="9">
        <f>IF(OR(T431="",T431=0),"",(V431-T431)/T431)</f>
        <v/>
      </c>
      <c r="X431" s="7">
        <f>IF(COUNT(D431:S431)=0,"",INDEX($D$1:$S$1,MATCH(MIN(D431:S431),D431:S431,0)))</f>
        <v/>
      </c>
      <c r="Y431" s="8" t="n">
        <v>1427.79</v>
      </c>
      <c r="Z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>
        <f>IF(COUNT(D432:S432)=0,"",MIN(D432:S432))</f>
        <v/>
      </c>
      <c r="U432" s="8">
        <f>IF(COUNT(D432:S432)=0,"",MEDIAN(D432:S432))</f>
        <v/>
      </c>
      <c r="V432" s="8">
        <f>IF(COUNT(D432:S432)=0,"",MAX(D432:S432))</f>
        <v/>
      </c>
      <c r="W432" s="9">
        <f>IF(OR(T432="",T432=0),"",(V432-T432)/T432)</f>
        <v/>
      </c>
      <c r="X432" s="7">
        <f>IF(COUNT(D432:S432)=0,"",INDEX($D$1:$S$1,MATCH(MIN(D432:S432),D432:S432,0)))</f>
        <v/>
      </c>
      <c r="Y432" s="8" t="n">
        <v>1218.66</v>
      </c>
      <c r="Z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>
        <f>IF(COUNT(D433:S433)=0,"",MIN(D433:S433))</f>
        <v/>
      </c>
      <c r="U433" s="8">
        <f>IF(COUNT(D433:S433)=0,"",MEDIAN(D433:S433))</f>
        <v/>
      </c>
      <c r="V433" s="8">
        <f>IF(COUNT(D433:S433)=0,"",MAX(D433:S433))</f>
        <v/>
      </c>
      <c r="W433" s="9">
        <f>IF(OR(T433="",T433=0),"",(V433-T433)/T433)</f>
        <v/>
      </c>
      <c r="X433" s="7">
        <f>IF(COUNT(D433:S433)=0,"",INDEX($D$1:$S$1,MATCH(MIN(D433:S433),D433:S433,0)))</f>
        <v/>
      </c>
      <c r="Y433" s="8" t="n">
        <v>443.77</v>
      </c>
      <c r="Z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>
        <f>IF(COUNT(D434:S434)=0,"",MIN(D434:S434))</f>
        <v/>
      </c>
      <c r="U434" s="8">
        <f>IF(COUNT(D434:S434)=0,"",MEDIAN(D434:S434))</f>
        <v/>
      </c>
      <c r="V434" s="8">
        <f>IF(COUNT(D434:S434)=0,"",MAX(D434:S434))</f>
        <v/>
      </c>
      <c r="W434" s="9">
        <f>IF(OR(T434="",T434=0),"",(V434-T434)/T434)</f>
        <v/>
      </c>
      <c r="X434" s="7">
        <f>IF(COUNT(D434:S434)=0,"",INDEX($D$1:$S$1,MATCH(MIN(D434:S434),D434:S434,0)))</f>
        <v/>
      </c>
      <c r="Y434" s="8" t="n">
        <v>189.99</v>
      </c>
      <c r="Z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>
        <f>IF(COUNT(D435:S435)=0,"",MIN(D435:S435))</f>
        <v/>
      </c>
      <c r="U435" s="8">
        <f>IF(COUNT(D435:S435)=0,"",MEDIAN(D435:S435))</f>
        <v/>
      </c>
      <c r="V435" s="8">
        <f>IF(COUNT(D435:S435)=0,"",MAX(D435:S435))</f>
        <v/>
      </c>
      <c r="W435" s="9">
        <f>IF(OR(T435="",T435=0),"",(V435-T435)/T435)</f>
        <v/>
      </c>
      <c r="X435" s="7">
        <f>IF(COUNT(D435:S435)=0,"",INDEX($D$1:$S$1,MATCH(MIN(D435:S435),D435:S435,0)))</f>
        <v/>
      </c>
      <c r="Y435" s="8" t="n">
        <v>1395.33</v>
      </c>
      <c r="Z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>
        <f>IF(COUNT(D436:S436)=0,"",MIN(D436:S436))</f>
        <v/>
      </c>
      <c r="U436" s="8">
        <f>IF(COUNT(D436:S436)=0,"",MEDIAN(D436:S436))</f>
        <v/>
      </c>
      <c r="V436" s="8">
        <f>IF(COUNT(D436:S436)=0,"",MAX(D436:S436))</f>
        <v/>
      </c>
      <c r="W436" s="9">
        <f>IF(OR(T436="",T436=0),"",(V436-T436)/T436)</f>
        <v/>
      </c>
      <c r="X436" s="7">
        <f>IF(COUNT(D436:S436)=0,"",INDEX($D$1:$S$1,MATCH(MIN(D436:S436),D436:S436,0)))</f>
        <v/>
      </c>
      <c r="Y436" s="8" t="n">
        <v>552.91</v>
      </c>
      <c r="Z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>
        <f>IF(COUNT(D437:S437)=0,"",MIN(D437:S437))</f>
        <v/>
      </c>
      <c r="U437" s="8">
        <f>IF(COUNT(D437:S437)=0,"",MEDIAN(D437:S437))</f>
        <v/>
      </c>
      <c r="V437" s="8">
        <f>IF(COUNT(D437:S437)=0,"",MAX(D437:S437))</f>
        <v/>
      </c>
      <c r="W437" s="9">
        <f>IF(OR(T437="",T437=0),"",(V437-T437)/T437)</f>
        <v/>
      </c>
      <c r="X437" s="7">
        <f>IF(COUNT(D437:S437)=0,"",INDEX($D$1:$S$1,MATCH(MIN(D437:S437),D437:S437,0)))</f>
        <v/>
      </c>
      <c r="Y437" s="8" t="n">
        <v>2878.24</v>
      </c>
      <c r="Z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>
        <f>IF(COUNT(D438:S438)=0,"",MIN(D438:S438))</f>
        <v/>
      </c>
      <c r="U438" s="8">
        <f>IF(COUNT(D438:S438)=0,"",MEDIAN(D438:S438))</f>
        <v/>
      </c>
      <c r="V438" s="8">
        <f>IF(COUNT(D438:S438)=0,"",MAX(D438:S438))</f>
        <v/>
      </c>
      <c r="W438" s="9">
        <f>IF(OR(T438="",T438=0),"",(V438-T438)/T438)</f>
        <v/>
      </c>
      <c r="X438" s="7">
        <f>IF(COUNT(D438:S438)=0,"",INDEX($D$1:$S$1,MATCH(MIN(D438:S438),D438:S438,0)))</f>
        <v/>
      </c>
      <c r="Y438" s="8" t="n">
        <v>844.55</v>
      </c>
      <c r="Z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>
        <f>IF(COUNT(D439:S439)=0,"",MIN(D439:S439))</f>
        <v/>
      </c>
      <c r="U439" s="8">
        <f>IF(COUNT(D439:S439)=0,"",MEDIAN(D439:S439))</f>
        <v/>
      </c>
      <c r="V439" s="8">
        <f>IF(COUNT(D439:S439)=0,"",MAX(D439:S439))</f>
        <v/>
      </c>
      <c r="W439" s="9">
        <f>IF(OR(T439="",T439=0),"",(V439-T439)/T439)</f>
        <v/>
      </c>
      <c r="X439" s="7">
        <f>IF(COUNT(D439:S439)=0,"",INDEX($D$1:$S$1,MATCH(MIN(D439:S439),D439:S439,0)))</f>
        <v/>
      </c>
      <c r="Y439" s="8" t="n">
        <v>3418.96</v>
      </c>
      <c r="Z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>
        <f>IF(COUNT(D440:S440)=0,"",MIN(D440:S440))</f>
        <v/>
      </c>
      <c r="U440" s="8">
        <f>IF(COUNT(D440:S440)=0,"",MEDIAN(D440:S440))</f>
        <v/>
      </c>
      <c r="V440" s="8">
        <f>IF(COUNT(D440:S440)=0,"",MAX(D440:S440))</f>
        <v/>
      </c>
      <c r="W440" s="9">
        <f>IF(OR(T440="",T440=0),"",(V440-T440)/T440)</f>
        <v/>
      </c>
      <c r="X440" s="7">
        <f>IF(COUNT(D440:S440)=0,"",INDEX($D$1:$S$1,MATCH(MIN(D440:S440),D440:S440,0)))</f>
        <v/>
      </c>
      <c r="Y440" s="8" t="n">
        <v>1574.47</v>
      </c>
      <c r="Z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>
        <f>IF(COUNT(D441:S441)=0,"",MIN(D441:S441))</f>
        <v/>
      </c>
      <c r="U441" s="8">
        <f>IF(COUNT(D441:S441)=0,"",MEDIAN(D441:S441))</f>
        <v/>
      </c>
      <c r="V441" s="8">
        <f>IF(COUNT(D441:S441)=0,"",MAX(D441:S441))</f>
        <v/>
      </c>
      <c r="W441" s="9">
        <f>IF(OR(T441="",T441=0),"",(V441-T441)/T441)</f>
        <v/>
      </c>
      <c r="X441" s="7">
        <f>IF(COUNT(D441:S441)=0,"",INDEX($D$1:$S$1,MATCH(MIN(D441:S441),D441:S441,0)))</f>
        <v/>
      </c>
      <c r="Y441" s="8" t="n">
        <v>2100</v>
      </c>
      <c r="Z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>
        <f>IF(COUNT(D442:S442)=0,"",MIN(D442:S442))</f>
        <v/>
      </c>
      <c r="U442" s="8">
        <f>IF(COUNT(D442:S442)=0,"",MEDIAN(D442:S442))</f>
        <v/>
      </c>
      <c r="V442" s="8">
        <f>IF(COUNT(D442:S442)=0,"",MAX(D442:S442))</f>
        <v/>
      </c>
      <c r="W442" s="9">
        <f>IF(OR(T442="",T442=0),"",(V442-T442)/T442)</f>
        <v/>
      </c>
      <c r="X442" s="7">
        <f>IF(COUNT(D442:S442)=0,"",INDEX($D$1:$S$1,MATCH(MIN(D442:S442),D442:S442,0)))</f>
        <v/>
      </c>
      <c r="Y442" s="8" t="n">
        <v>2241.28</v>
      </c>
      <c r="Z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>
        <f>IF(COUNT(D443:S443)=0,"",MIN(D443:S443))</f>
        <v/>
      </c>
      <c r="U443" s="8">
        <f>IF(COUNT(D443:S443)=0,"",MEDIAN(D443:S443))</f>
        <v/>
      </c>
      <c r="V443" s="8">
        <f>IF(COUNT(D443:S443)=0,"",MAX(D443:S443))</f>
        <v/>
      </c>
      <c r="W443" s="9">
        <f>IF(OR(T443="",T443=0),"",(V443-T443)/T443)</f>
        <v/>
      </c>
      <c r="X443" s="7">
        <f>IF(COUNT(D443:S443)=0,"",INDEX($D$1:$S$1,MATCH(MIN(D443:S443),D443:S443,0)))</f>
        <v/>
      </c>
      <c r="Y443" s="8" t="n">
        <v>1699.99</v>
      </c>
      <c r="Z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>
        <f>IF(COUNT(D444:S444)=0,"",MIN(D444:S444))</f>
        <v/>
      </c>
      <c r="U444" s="8">
        <f>IF(COUNT(D444:S444)=0,"",MEDIAN(D444:S444))</f>
        <v/>
      </c>
      <c r="V444" s="8">
        <f>IF(COUNT(D444:S444)=0,"",MAX(D444:S444))</f>
        <v/>
      </c>
      <c r="W444" s="9">
        <f>IF(OR(T444="",T444=0),"",(V444-T444)/T444)</f>
        <v/>
      </c>
      <c r="X444" s="7">
        <f>IF(COUNT(D444:S444)=0,"",INDEX($D$1:$S$1,MATCH(MIN(D444:S444),D444:S444,0)))</f>
        <v/>
      </c>
      <c r="Y444" s="8" t="n">
        <v>2500</v>
      </c>
      <c r="Z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>
        <f>IF(COUNT(D445:S445)=0,"",MIN(D445:S445))</f>
        <v/>
      </c>
      <c r="U445" s="8">
        <f>IF(COUNT(D445:S445)=0,"",MEDIAN(D445:S445))</f>
        <v/>
      </c>
      <c r="V445" s="8">
        <f>IF(COUNT(D445:S445)=0,"",MAX(D445:S445))</f>
        <v/>
      </c>
      <c r="W445" s="9">
        <f>IF(OR(T445="",T445=0),"",(V445-T445)/T445)</f>
        <v/>
      </c>
      <c r="X445" s="7">
        <f>IF(COUNT(D445:S445)=0,"",INDEX($D$1:$S$1,MATCH(MIN(D445:S445),D445:S445,0)))</f>
        <v/>
      </c>
      <c r="Y445" s="8" t="n">
        <v>1024.48</v>
      </c>
      <c r="Z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>
        <f>IF(COUNT(D446:S446)=0,"",MIN(D446:S446))</f>
        <v/>
      </c>
      <c r="U446" s="8">
        <f>IF(COUNT(D446:S446)=0,"",MEDIAN(D446:S446))</f>
        <v/>
      </c>
      <c r="V446" s="8">
        <f>IF(COUNT(D446:S446)=0,"",MAX(D446:S446))</f>
        <v/>
      </c>
      <c r="W446" s="9">
        <f>IF(OR(T446="",T446=0),"",(V446-T446)/T446)</f>
        <v/>
      </c>
      <c r="X446" s="7">
        <f>IF(COUNT(D446:S446)=0,"",INDEX($D$1:$S$1,MATCH(MIN(D446:S446),D446:S446,0)))</f>
        <v/>
      </c>
      <c r="Y446" s="8" t="n">
        <v>2161.21</v>
      </c>
      <c r="Z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>
        <f>IF(COUNT(D447:S447)=0,"",MIN(D447:S447))</f>
        <v/>
      </c>
      <c r="U447" s="8">
        <f>IF(COUNT(D447:S447)=0,"",MEDIAN(D447:S447))</f>
        <v/>
      </c>
      <c r="V447" s="8">
        <f>IF(COUNT(D447:S447)=0,"",MAX(D447:S447))</f>
        <v/>
      </c>
      <c r="W447" s="9">
        <f>IF(OR(T447="",T447=0),"",(V447-T447)/T447)</f>
        <v/>
      </c>
      <c r="X447" s="7">
        <f>IF(COUNT(D447:S447)=0,"",INDEX($D$1:$S$1,MATCH(MIN(D447:S447),D447:S447,0)))</f>
        <v/>
      </c>
      <c r="Y447" s="8" t="n">
        <v>4875</v>
      </c>
      <c r="Z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>
        <f>IF(COUNT(D448:S448)=0,"",MIN(D448:S448))</f>
        <v/>
      </c>
      <c r="U448" s="8">
        <f>IF(COUNT(D448:S448)=0,"",MEDIAN(D448:S448))</f>
        <v/>
      </c>
      <c r="V448" s="8">
        <f>IF(COUNT(D448:S448)=0,"",MAX(D448:S448))</f>
        <v/>
      </c>
      <c r="W448" s="9">
        <f>IF(OR(T448="",T448=0),"",(V448-T448)/T448)</f>
        <v/>
      </c>
      <c r="X448" s="7">
        <f>IF(COUNT(D448:S448)=0,"",INDEX($D$1:$S$1,MATCH(MIN(D448:S448),D448:S448,0)))</f>
        <v/>
      </c>
      <c r="Y448" s="8" t="n">
        <v>1189.99</v>
      </c>
      <c r="Z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>
        <f>IF(COUNT(D449:S449)=0,"",MIN(D449:S449))</f>
        <v/>
      </c>
      <c r="U449" s="8">
        <f>IF(COUNT(D449:S449)=0,"",MEDIAN(D449:S449))</f>
        <v/>
      </c>
      <c r="V449" s="8">
        <f>IF(COUNT(D449:S449)=0,"",MAX(D449:S449))</f>
        <v/>
      </c>
      <c r="W449" s="9">
        <f>IF(OR(T449="",T449=0),"",(V449-T449)/T449)</f>
        <v/>
      </c>
      <c r="X449" s="7">
        <f>IF(COUNT(D449:S449)=0,"",INDEX($D$1:$S$1,MATCH(MIN(D449:S449),D449:S449,0)))</f>
        <v/>
      </c>
      <c r="Y449" s="8" t="n">
        <v>396.66</v>
      </c>
      <c r="Z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>
        <f>IF(COUNT(D450:S450)=0,"",MIN(D450:S450))</f>
        <v/>
      </c>
      <c r="U450" s="8">
        <f>IF(COUNT(D450:S450)=0,"",MEDIAN(D450:S450))</f>
        <v/>
      </c>
      <c r="V450" s="8">
        <f>IF(COUNT(D450:S450)=0,"",MAX(D450:S450))</f>
        <v/>
      </c>
      <c r="W450" s="9">
        <f>IF(OR(T450="",T450=0),"",(V450-T450)/T450)</f>
        <v/>
      </c>
      <c r="X450" s="7">
        <f>IF(COUNT(D450:S450)=0,"",INDEX($D$1:$S$1,MATCH(MIN(D450:S450),D450:S450,0)))</f>
        <v/>
      </c>
      <c r="Y450" s="8" t="n">
        <v>3254.44</v>
      </c>
      <c r="Z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>
        <f>IF(COUNT(D451:S451)=0,"",MIN(D451:S451))</f>
        <v/>
      </c>
      <c r="U451" s="8">
        <f>IF(COUNT(D451:S451)=0,"",MEDIAN(D451:S451))</f>
        <v/>
      </c>
      <c r="V451" s="8">
        <f>IF(COUNT(D451:S451)=0,"",MAX(D451:S451))</f>
        <v/>
      </c>
      <c r="W451" s="9">
        <f>IF(OR(T451="",T451=0),"",(V451-T451)/T451)</f>
        <v/>
      </c>
      <c r="X451" s="7">
        <f>IF(COUNT(D451:S451)=0,"",INDEX($D$1:$S$1,MATCH(MIN(D451:S451),D451:S451,0)))</f>
        <v/>
      </c>
      <c r="Y451" s="8" t="n">
        <v>391.85</v>
      </c>
      <c r="Z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>
        <f>IF(COUNT(D452:S452)=0,"",MIN(D452:S452))</f>
        <v/>
      </c>
      <c r="U452" s="8">
        <f>IF(COUNT(D452:S452)=0,"",MEDIAN(D452:S452))</f>
        <v/>
      </c>
      <c r="V452" s="8">
        <f>IF(COUNT(D452:S452)=0,"",MAX(D452:S452))</f>
        <v/>
      </c>
      <c r="W452" s="9">
        <f>IF(OR(T452="",T452=0),"",(V452-T452)/T452)</f>
        <v/>
      </c>
      <c r="X452" s="7">
        <f>IF(COUNT(D452:S452)=0,"",INDEX($D$1:$S$1,MATCH(MIN(D452:S452),D452:S452,0)))</f>
        <v/>
      </c>
      <c r="Y452" s="8" t="n">
        <v>67.81999999999999</v>
      </c>
      <c r="Z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>
        <f>IF(COUNT(D453:S453)=0,"",MIN(D453:S453))</f>
        <v/>
      </c>
      <c r="U453" s="8">
        <f>IF(COUNT(D453:S453)=0,"",MEDIAN(D453:S453))</f>
        <v/>
      </c>
      <c r="V453" s="8">
        <f>IF(COUNT(D453:S453)=0,"",MAX(D453:S453))</f>
        <v/>
      </c>
      <c r="W453" s="9">
        <f>IF(OR(T453="",T453=0),"",(V453-T453)/T453)</f>
        <v/>
      </c>
      <c r="X453" s="7">
        <f>IF(COUNT(D453:S453)=0,"",INDEX($D$1:$S$1,MATCH(MIN(D453:S453),D453:S453,0)))</f>
        <v/>
      </c>
      <c r="Y453" s="8" t="n">
        <v>248</v>
      </c>
      <c r="Z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>
        <f>IF(COUNT(D454:S454)=0,"",MIN(D454:S454))</f>
        <v/>
      </c>
      <c r="U454" s="8">
        <f>IF(COUNT(D454:S454)=0,"",MEDIAN(D454:S454))</f>
        <v/>
      </c>
      <c r="V454" s="8">
        <f>IF(COUNT(D454:S454)=0,"",MAX(D454:S454))</f>
        <v/>
      </c>
      <c r="W454" s="9">
        <f>IF(OR(T454="",T454=0),"",(V454-T454)/T454)</f>
        <v/>
      </c>
      <c r="X454" s="7">
        <f>IF(COUNT(D454:S454)=0,"",INDEX($D$1:$S$1,MATCH(MIN(D454:S454),D454:S454,0)))</f>
        <v/>
      </c>
      <c r="Y454" s="8" t="n">
        <v>68.95</v>
      </c>
      <c r="Z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>
        <f>IF(COUNT(D455:S455)=0,"",MIN(D455:S455))</f>
        <v/>
      </c>
      <c r="U455" s="8">
        <f>IF(COUNT(D455:S455)=0,"",MEDIAN(D455:S455))</f>
        <v/>
      </c>
      <c r="V455" s="8">
        <f>IF(COUNT(D455:S455)=0,"",MAX(D455:S455))</f>
        <v/>
      </c>
      <c r="W455" s="9">
        <f>IF(OR(T455="",T455=0),"",(V455-T455)/T455)</f>
        <v/>
      </c>
      <c r="X455" s="7">
        <f>IF(COUNT(D455:S455)=0,"",INDEX($D$1:$S$1,MATCH(MIN(D455:S455),D455:S455,0)))</f>
        <v/>
      </c>
      <c r="Y455" s="8" t="n">
        <v>7649.35</v>
      </c>
      <c r="Z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>
        <f>IF(COUNT(D456:S456)=0,"",MIN(D456:S456))</f>
        <v/>
      </c>
      <c r="U456" s="8">
        <f>IF(COUNT(D456:S456)=0,"",MEDIAN(D456:S456))</f>
        <v/>
      </c>
      <c r="V456" s="8">
        <f>IF(COUNT(D456:S456)=0,"",MAX(D456:S456))</f>
        <v/>
      </c>
      <c r="W456" s="9">
        <f>IF(OR(T456="",T456=0),"",(V456-T456)/T456)</f>
        <v/>
      </c>
      <c r="X456" s="7">
        <f>IF(COUNT(D456:S456)=0,"",INDEX($D$1:$S$1,MATCH(MIN(D456:S456),D456:S456,0)))</f>
        <v/>
      </c>
      <c r="Y456" s="8" t="n">
        <v>1589.99</v>
      </c>
      <c r="Z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>
        <f>IF(COUNT(D457:S457)=0,"",MIN(D457:S457))</f>
        <v/>
      </c>
      <c r="U457" s="8">
        <f>IF(COUNT(D457:S457)=0,"",MEDIAN(D457:S457))</f>
        <v/>
      </c>
      <c r="V457" s="8">
        <f>IF(COUNT(D457:S457)=0,"",MAX(D457:S457))</f>
        <v/>
      </c>
      <c r="W457" s="9">
        <f>IF(OR(T457="",T457=0),"",(V457-T457)/T457)</f>
        <v/>
      </c>
      <c r="X457" s="7">
        <f>IF(COUNT(D457:S457)=0,"",INDEX($D$1:$S$1,MATCH(MIN(D457:S457),D457:S457,0)))</f>
        <v/>
      </c>
      <c r="Y457" s="8" t="n">
        <v>6400</v>
      </c>
      <c r="Z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>
        <f>IF(COUNT(D458:S458)=0,"",MIN(D458:S458))</f>
        <v/>
      </c>
      <c r="U458" s="8">
        <f>IF(COUNT(D458:S458)=0,"",MEDIAN(D458:S458))</f>
        <v/>
      </c>
      <c r="V458" s="8">
        <f>IF(COUNT(D458:S458)=0,"",MAX(D458:S458))</f>
        <v/>
      </c>
      <c r="W458" s="9">
        <f>IF(OR(T458="",T458=0),"",(V458-T458)/T458)</f>
        <v/>
      </c>
      <c r="X458" s="7">
        <f>IF(COUNT(D458:S458)=0,"",INDEX($D$1:$S$1,MATCH(MIN(D458:S458),D458:S458,0)))</f>
        <v/>
      </c>
      <c r="Y458" s="8" t="n">
        <v>1100</v>
      </c>
      <c r="Z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>
        <f>IF(COUNT(D459:S459)=0,"",MIN(D459:S459))</f>
        <v/>
      </c>
      <c r="U459" s="8">
        <f>IF(COUNT(D459:S459)=0,"",MEDIAN(D459:S459))</f>
        <v/>
      </c>
      <c r="V459" s="8">
        <f>IF(COUNT(D459:S459)=0,"",MAX(D459:S459))</f>
        <v/>
      </c>
      <c r="W459" s="9">
        <f>IF(OR(T459="",T459=0),"",(V459-T459)/T459)</f>
        <v/>
      </c>
      <c r="X459" s="7">
        <f>IF(COUNT(D459:S459)=0,"",INDEX($D$1:$S$1,MATCH(MIN(D459:S459),D459:S459,0)))</f>
        <v/>
      </c>
      <c r="Y459" s="8" t="n">
        <v>720</v>
      </c>
      <c r="Z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>
        <f>IF(COUNT(D460:S460)=0,"",MIN(D460:S460))</f>
        <v/>
      </c>
      <c r="U460" s="8">
        <f>IF(COUNT(D460:S460)=0,"",MEDIAN(D460:S460))</f>
        <v/>
      </c>
      <c r="V460" s="8">
        <f>IF(COUNT(D460:S460)=0,"",MAX(D460:S460))</f>
        <v/>
      </c>
      <c r="W460" s="9">
        <f>IF(OR(T460="",T460=0),"",(V460-T460)/T460)</f>
        <v/>
      </c>
      <c r="X460" s="7">
        <f>IF(COUNT(D460:S460)=0,"",INDEX($D$1:$S$1,MATCH(MIN(D460:S460),D460:S460,0)))</f>
        <v/>
      </c>
      <c r="Y460" s="8" t="n">
        <v>3592.5</v>
      </c>
      <c r="Z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>
        <f>IF(COUNT(D461:S461)=0,"",MIN(D461:S461))</f>
        <v/>
      </c>
      <c r="U461" s="8">
        <f>IF(COUNT(D461:S461)=0,"",MEDIAN(D461:S461))</f>
        <v/>
      </c>
      <c r="V461" s="8">
        <f>IF(COUNT(D461:S461)=0,"",MAX(D461:S461))</f>
        <v/>
      </c>
      <c r="W461" s="9">
        <f>IF(OR(T461="",T461=0),"",(V461-T461)/T461)</f>
        <v/>
      </c>
      <c r="X461" s="7">
        <f>IF(COUNT(D461:S461)=0,"",INDEX($D$1:$S$1,MATCH(MIN(D461:S461),D461:S461,0)))</f>
        <v/>
      </c>
      <c r="Y461" s="8" t="n">
        <v>6525</v>
      </c>
      <c r="Z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>
        <f>IF(COUNT(D462:S462)=0,"",MIN(D462:S462))</f>
        <v/>
      </c>
      <c r="U462" s="8">
        <f>IF(COUNT(D462:S462)=0,"",MEDIAN(D462:S462))</f>
        <v/>
      </c>
      <c r="V462" s="8">
        <f>IF(COUNT(D462:S462)=0,"",MAX(D462:S462))</f>
        <v/>
      </c>
      <c r="W462" s="9">
        <f>IF(OR(T462="",T462=0),"",(V462-T462)/T462)</f>
        <v/>
      </c>
      <c r="X462" s="7">
        <f>IF(COUNT(D462:S462)=0,"",INDEX($D$1:$S$1,MATCH(MIN(D462:S462),D462:S462,0)))</f>
        <v/>
      </c>
      <c r="Y462" s="8" t="n">
        <v>4893.46</v>
      </c>
      <c r="Z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>
        <f>IF(COUNT(D463:S463)=0,"",MIN(D463:S463))</f>
        <v/>
      </c>
      <c r="U463" s="8">
        <f>IF(COUNT(D463:S463)=0,"",MEDIAN(D463:S463))</f>
        <v/>
      </c>
      <c r="V463" s="8">
        <f>IF(COUNT(D463:S463)=0,"",MAX(D463:S463))</f>
        <v/>
      </c>
      <c r="W463" s="9">
        <f>IF(OR(T463="",T463=0),"",(V463-T463)/T463)</f>
        <v/>
      </c>
      <c r="X463" s="7">
        <f>IF(COUNT(D463:S463)=0,"",INDEX($D$1:$S$1,MATCH(MIN(D463:S463),D463:S463,0)))</f>
        <v/>
      </c>
      <c r="Y463" s="8" t="n">
        <v>73.92</v>
      </c>
      <c r="Z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>
        <f>IF(COUNT(D464:S464)=0,"",MIN(D464:S464))</f>
        <v/>
      </c>
      <c r="U464" s="8">
        <f>IF(COUNT(D464:S464)=0,"",MEDIAN(D464:S464))</f>
        <v/>
      </c>
      <c r="V464" s="8">
        <f>IF(COUNT(D464:S464)=0,"",MAX(D464:S464))</f>
        <v/>
      </c>
      <c r="W464" s="9">
        <f>IF(OR(T464="",T464=0),"",(V464-T464)/T464)</f>
        <v/>
      </c>
      <c r="X464" s="7">
        <f>IF(COUNT(D464:S464)=0,"",INDEX($D$1:$S$1,MATCH(MIN(D464:S464),D464:S464,0)))</f>
        <v/>
      </c>
      <c r="Y464" s="8" t="n">
        <v>114.99</v>
      </c>
      <c r="Z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>
        <f>IF(COUNT(D465:S465)=0,"",MIN(D465:S465))</f>
        <v/>
      </c>
      <c r="U465" s="8">
        <f>IF(COUNT(D465:S465)=0,"",MEDIAN(D465:S465))</f>
        <v/>
      </c>
      <c r="V465" s="8">
        <f>IF(COUNT(D465:S465)=0,"",MAX(D465:S465))</f>
        <v/>
      </c>
      <c r="W465" s="9">
        <f>IF(OR(T465="",T465=0),"",(V465-T465)/T465)</f>
        <v/>
      </c>
      <c r="X465" s="7">
        <f>IF(COUNT(D465:S465)=0,"",INDEX($D$1:$S$1,MATCH(MIN(D465:S465),D465:S465,0)))</f>
        <v/>
      </c>
      <c r="Y465" s="8" t="n">
        <v>281.88</v>
      </c>
      <c r="Z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>
        <f>IF(COUNT(D466:S466)=0,"",MIN(D466:S466))</f>
        <v/>
      </c>
      <c r="U466" s="8">
        <f>IF(COUNT(D466:S466)=0,"",MEDIAN(D466:S466))</f>
        <v/>
      </c>
      <c r="V466" s="8">
        <f>IF(COUNT(D466:S466)=0,"",MAX(D466:S466))</f>
        <v/>
      </c>
      <c r="W466" s="9">
        <f>IF(OR(T466="",T466=0),"",(V466-T466)/T466)</f>
        <v/>
      </c>
      <c r="X466" s="7">
        <f>IF(COUNT(D466:S466)=0,"",INDEX($D$1:$S$1,MATCH(MIN(D466:S466),D466:S466,0)))</f>
        <v/>
      </c>
      <c r="Y466" s="8" t="n">
        <v>42.56</v>
      </c>
      <c r="Z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>
        <f>IF(COUNT(D467:S467)=0,"",MIN(D467:S467))</f>
        <v/>
      </c>
      <c r="U467" s="8">
        <f>IF(COUNT(D467:S467)=0,"",MEDIAN(D467:S467))</f>
        <v/>
      </c>
      <c r="V467" s="8">
        <f>IF(COUNT(D467:S467)=0,"",MAX(D467:S467))</f>
        <v/>
      </c>
      <c r="W467" s="9">
        <f>IF(OR(T467="",T467=0),"",(V467-T467)/T467)</f>
        <v/>
      </c>
      <c r="X467" s="7">
        <f>IF(COUNT(D467:S467)=0,"",INDEX($D$1:$S$1,MATCH(MIN(D467:S467),D467:S467,0)))</f>
        <v/>
      </c>
      <c r="Y467" s="8" t="n">
        <v>10608.65</v>
      </c>
      <c r="Z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>
        <f>IF(COUNT(D468:S468)=0,"",MIN(D468:S468))</f>
        <v/>
      </c>
      <c r="U468" s="8">
        <f>IF(COUNT(D468:S468)=0,"",MEDIAN(D468:S468))</f>
        <v/>
      </c>
      <c r="V468" s="8">
        <f>IF(COUNT(D468:S468)=0,"",MAX(D468:S468))</f>
        <v/>
      </c>
      <c r="W468" s="9">
        <f>IF(OR(T468="",T468=0),"",(V468-T468)/T468)</f>
        <v/>
      </c>
      <c r="X468" s="7">
        <f>IF(COUNT(D468:S468)=0,"",INDEX($D$1:$S$1,MATCH(MIN(D468:S468),D468:S468,0)))</f>
        <v/>
      </c>
      <c r="Y468" s="8" t="n">
        <v>76.16</v>
      </c>
      <c r="Z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>
        <f>IF(COUNT(D469:S469)=0,"",MIN(D469:S469))</f>
        <v/>
      </c>
      <c r="U469" s="8">
        <f>IF(COUNT(D469:S469)=0,"",MEDIAN(D469:S469))</f>
        <v/>
      </c>
      <c r="V469" s="8">
        <f>IF(COUNT(D469:S469)=0,"",MAX(D469:S469))</f>
        <v/>
      </c>
      <c r="W469" s="9">
        <f>IF(OR(T469="",T469=0),"",(V469-T469)/T469)</f>
        <v/>
      </c>
      <c r="X469" s="7">
        <f>IF(COUNT(D469:S469)=0,"",INDEX($D$1:$S$1,MATCH(MIN(D469:S469),D469:S469,0)))</f>
        <v/>
      </c>
      <c r="Y469" s="8" t="n">
        <v>12274.78</v>
      </c>
      <c r="Z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>
        <f>IF(COUNT(D470:S470)=0,"",MIN(D470:S470))</f>
        <v/>
      </c>
      <c r="U470" s="8">
        <f>IF(COUNT(D470:S470)=0,"",MEDIAN(D470:S470))</f>
        <v/>
      </c>
      <c r="V470" s="8">
        <f>IF(COUNT(D470:S470)=0,"",MAX(D470:S470))</f>
        <v/>
      </c>
      <c r="W470" s="9">
        <f>IF(OR(T470="",T470=0),"",(V470-T470)/T470)</f>
        <v/>
      </c>
      <c r="X470" s="7">
        <f>IF(COUNT(D470:S470)=0,"",INDEX($D$1:$S$1,MATCH(MIN(D470:S470),D470:S470,0)))</f>
        <v/>
      </c>
      <c r="Y470" s="8" t="n">
        <v>374.71</v>
      </c>
      <c r="Z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>
        <f>IF(COUNT(D471:S471)=0,"",MIN(D471:S471))</f>
        <v/>
      </c>
      <c r="U471" s="8">
        <f>IF(COUNT(D471:S471)=0,"",MEDIAN(D471:S471))</f>
        <v/>
      </c>
      <c r="V471" s="8">
        <f>IF(COUNT(D471:S471)=0,"",MAX(D471:S471))</f>
        <v/>
      </c>
      <c r="W471" s="9">
        <f>IF(OR(T471="",T471=0),"",(V471-T471)/T471)</f>
        <v/>
      </c>
      <c r="X471" s="7">
        <f>IF(COUNT(D471:S471)=0,"",INDEX($D$1:$S$1,MATCH(MIN(D471:S471),D471:S471,0)))</f>
        <v/>
      </c>
      <c r="Y471" s="8" t="n">
        <v>61.54</v>
      </c>
      <c r="Z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>
        <f>IF(COUNT(D472:S472)=0,"",MIN(D472:S472))</f>
        <v/>
      </c>
      <c r="U472" s="8">
        <f>IF(COUNT(D472:S472)=0,"",MEDIAN(D472:S472))</f>
        <v/>
      </c>
      <c r="V472" s="8">
        <f>IF(COUNT(D472:S472)=0,"",MAX(D472:S472))</f>
        <v/>
      </c>
      <c r="W472" s="9">
        <f>IF(OR(T472="",T472=0),"",(V472-T472)/T472)</f>
        <v/>
      </c>
      <c r="X472" s="7">
        <f>IF(COUNT(D472:S472)=0,"",INDEX($D$1:$S$1,MATCH(MIN(D472:S472),D472:S472,0)))</f>
        <v/>
      </c>
      <c r="Y472" s="8" t="n">
        <v>252.59</v>
      </c>
      <c r="Z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>
        <f>IF(COUNT(D473:S473)=0,"",MIN(D473:S473))</f>
        <v/>
      </c>
      <c r="U473" s="8">
        <f>IF(COUNT(D473:S473)=0,"",MEDIAN(D473:S473))</f>
        <v/>
      </c>
      <c r="V473" s="8">
        <f>IF(COUNT(D473:S473)=0,"",MAX(D473:S473))</f>
        <v/>
      </c>
      <c r="W473" s="9">
        <f>IF(OR(T473="",T473=0),"",(V473-T473)/T473)</f>
        <v/>
      </c>
      <c r="X473" s="7">
        <f>IF(COUNT(D473:S473)=0,"",INDEX($D$1:$S$1,MATCH(MIN(D473:S473),D473:S473,0)))</f>
        <v/>
      </c>
      <c r="Y473" s="8" t="n">
        <v>72.83</v>
      </c>
      <c r="Z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>
        <f>IF(COUNT(D474:S474)=0,"",MIN(D474:S474))</f>
        <v/>
      </c>
      <c r="U474" s="8">
        <f>IF(COUNT(D474:S474)=0,"",MEDIAN(D474:S474))</f>
        <v/>
      </c>
      <c r="V474" s="8">
        <f>IF(COUNT(D474:S474)=0,"",MAX(D474:S474))</f>
        <v/>
      </c>
      <c r="W474" s="9">
        <f>IF(OR(T474="",T474=0),"",(V474-T474)/T474)</f>
        <v/>
      </c>
      <c r="X474" s="7">
        <f>IF(COUNT(D474:S474)=0,"",INDEX($D$1:$S$1,MATCH(MIN(D474:S474),D474:S474,0)))</f>
        <v/>
      </c>
      <c r="Y474" s="8" t="n">
        <v>7235.96</v>
      </c>
      <c r="Z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>
        <f>IF(COUNT(D475:S475)=0,"",MIN(D475:S475))</f>
        <v/>
      </c>
      <c r="U475" s="8">
        <f>IF(COUNT(D475:S475)=0,"",MEDIAN(D475:S475))</f>
        <v/>
      </c>
      <c r="V475" s="8">
        <f>IF(COUNT(D475:S475)=0,"",MAX(D475:S475))</f>
        <v/>
      </c>
      <c r="W475" s="9">
        <f>IF(OR(T475="",T475=0),"",(V475-T475)/T475)</f>
        <v/>
      </c>
      <c r="X475" s="7">
        <f>IF(COUNT(D475:S475)=0,"",INDEX($D$1:$S$1,MATCH(MIN(D475:S475),D475:S475,0)))</f>
        <v/>
      </c>
      <c r="Y475" s="8" t="n">
        <v>235.54</v>
      </c>
      <c r="Z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>
        <f>IF(COUNT(D476:S476)=0,"",MIN(D476:S476))</f>
        <v/>
      </c>
      <c r="U476" s="8">
        <f>IF(COUNT(D476:S476)=0,"",MEDIAN(D476:S476))</f>
        <v/>
      </c>
      <c r="V476" s="8">
        <f>IF(COUNT(D476:S476)=0,"",MAX(D476:S476))</f>
        <v/>
      </c>
      <c r="W476" s="9">
        <f>IF(OR(T476="",T476=0),"",(V476-T476)/T476)</f>
        <v/>
      </c>
      <c r="X476" s="7">
        <f>IF(COUNT(D476:S476)=0,"",INDEX($D$1:$S$1,MATCH(MIN(D476:S476),D476:S476,0)))</f>
        <v/>
      </c>
      <c r="Y476" s="8" t="n">
        <v>78.89</v>
      </c>
      <c r="Z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>
        <f>IF(COUNT(D477:S477)=0,"",MIN(D477:S477))</f>
        <v/>
      </c>
      <c r="U477" s="8">
        <f>IF(COUNT(D477:S477)=0,"",MEDIAN(D477:S477))</f>
        <v/>
      </c>
      <c r="V477" s="8">
        <f>IF(COUNT(D477:S477)=0,"",MAX(D477:S477))</f>
        <v/>
      </c>
      <c r="W477" s="9">
        <f>IF(OR(T477="",T477=0),"",(V477-T477)/T477)</f>
        <v/>
      </c>
      <c r="X477" s="7">
        <f>IF(COUNT(D477:S477)=0,"",INDEX($D$1:$S$1,MATCH(MIN(D477:S477),D477:S477,0)))</f>
        <v/>
      </c>
      <c r="Y477" s="8" t="n">
        <v>919.9400000000001</v>
      </c>
      <c r="Z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>
        <f>IF(COUNT(D478:S478)=0,"",MIN(D478:S478))</f>
        <v/>
      </c>
      <c r="U478" s="8">
        <f>IF(COUNT(D478:S478)=0,"",MEDIAN(D478:S478))</f>
        <v/>
      </c>
      <c r="V478" s="8">
        <f>IF(COUNT(D478:S478)=0,"",MAX(D478:S478))</f>
        <v/>
      </c>
      <c r="W478" s="9">
        <f>IF(OR(T478="",T478=0),"",(V478-T478)/T478)</f>
        <v/>
      </c>
      <c r="X478" s="7">
        <f>IF(COUNT(D478:S478)=0,"",INDEX($D$1:$S$1,MATCH(MIN(D478:S478),D478:S478,0)))</f>
        <v/>
      </c>
      <c r="Y478" s="8" t="n">
        <v>767.39</v>
      </c>
      <c r="Z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>
        <f>IF(COUNT(D479:S479)=0,"",MIN(D479:S479))</f>
        <v/>
      </c>
      <c r="U479" s="8">
        <f>IF(COUNT(D479:S479)=0,"",MEDIAN(D479:S479))</f>
        <v/>
      </c>
      <c r="V479" s="8">
        <f>IF(COUNT(D479:S479)=0,"",MAX(D479:S479))</f>
        <v/>
      </c>
      <c r="W479" s="9">
        <f>IF(OR(T479="",T479=0),"",(V479-T479)/T479)</f>
        <v/>
      </c>
      <c r="X479" s="7">
        <f>IF(COUNT(D479:S479)=0,"",INDEX($D$1:$S$1,MATCH(MIN(D479:S479),D479:S479,0)))</f>
        <v/>
      </c>
      <c r="Y479" s="8" t="n">
        <v>487.49</v>
      </c>
      <c r="Z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>
        <f>IF(COUNT(D480:S480)=0,"",MIN(D480:S480))</f>
        <v/>
      </c>
      <c r="U480" s="8">
        <f>IF(COUNT(D480:S480)=0,"",MEDIAN(D480:S480))</f>
        <v/>
      </c>
      <c r="V480" s="8">
        <f>IF(COUNT(D480:S480)=0,"",MAX(D480:S480))</f>
        <v/>
      </c>
      <c r="W480" s="9">
        <f>IF(OR(T480="",T480=0),"",(V480-T480)/T480)</f>
        <v/>
      </c>
      <c r="X480" s="7">
        <f>IF(COUNT(D480:S480)=0,"",INDEX($D$1:$S$1,MATCH(MIN(D480:S480),D480:S480,0)))</f>
        <v/>
      </c>
      <c r="Y480" s="8" t="n">
        <v>1058.7</v>
      </c>
      <c r="Z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>
        <f>IF(COUNT(D481:S481)=0,"",MIN(D481:S481))</f>
        <v/>
      </c>
      <c r="U481" s="8">
        <f>IF(COUNT(D481:S481)=0,"",MEDIAN(D481:S481))</f>
        <v/>
      </c>
      <c r="V481" s="8">
        <f>IF(COUNT(D481:S481)=0,"",MAX(D481:S481))</f>
        <v/>
      </c>
      <c r="W481" s="9">
        <f>IF(OR(T481="",T481=0),"",(V481-T481)/T481)</f>
        <v/>
      </c>
      <c r="X481" s="7">
        <f>IF(COUNT(D481:S481)=0,"",INDEX($D$1:$S$1,MATCH(MIN(D481:S481),D481:S481,0)))</f>
        <v/>
      </c>
      <c r="Y481" s="8" t="n">
        <v>655.48</v>
      </c>
      <c r="Z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>
        <f>IF(COUNT(D482:S482)=0,"",MIN(D482:S482))</f>
        <v/>
      </c>
      <c r="U482" s="8">
        <f>IF(COUNT(D482:S482)=0,"",MEDIAN(D482:S482))</f>
        <v/>
      </c>
      <c r="V482" s="8">
        <f>IF(COUNT(D482:S482)=0,"",MAX(D482:S482))</f>
        <v/>
      </c>
      <c r="W482" s="9">
        <f>IF(OR(T482="",T482=0),"",(V482-T482)/T482)</f>
        <v/>
      </c>
      <c r="X482" s="7">
        <f>IF(COUNT(D482:S482)=0,"",INDEX($D$1:$S$1,MATCH(MIN(D482:S482),D482:S482,0)))</f>
        <v/>
      </c>
      <c r="Y482" s="8" t="n">
        <v>1094.69</v>
      </c>
      <c r="Z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>
        <f>IF(COUNT(D483:S483)=0,"",MIN(D483:S483))</f>
        <v/>
      </c>
      <c r="U483" s="8">
        <f>IF(COUNT(D483:S483)=0,"",MEDIAN(D483:S483))</f>
        <v/>
      </c>
      <c r="V483" s="8">
        <f>IF(COUNT(D483:S483)=0,"",MAX(D483:S483))</f>
        <v/>
      </c>
      <c r="W483" s="9">
        <f>IF(OR(T483="",T483=0),"",(V483-T483)/T483)</f>
        <v/>
      </c>
      <c r="X483" s="7">
        <f>IF(COUNT(D483:S483)=0,"",INDEX($D$1:$S$1,MATCH(MIN(D483:S483),D483:S483,0)))</f>
        <v/>
      </c>
      <c r="Y483" s="8" t="n">
        <v>219.97</v>
      </c>
      <c r="Z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>
        <f>IF(COUNT(D484:S484)=0,"",MIN(D484:S484))</f>
        <v/>
      </c>
      <c r="U484" s="8">
        <f>IF(COUNT(D484:S484)=0,"",MEDIAN(D484:S484))</f>
        <v/>
      </c>
      <c r="V484" s="8">
        <f>IF(COUNT(D484:S484)=0,"",MAX(D484:S484))</f>
        <v/>
      </c>
      <c r="W484" s="9">
        <f>IF(OR(T484="",T484=0),"",(V484-T484)/T484)</f>
        <v/>
      </c>
      <c r="X484" s="7">
        <f>IF(COUNT(D484:S484)=0,"",INDEX($D$1:$S$1,MATCH(MIN(D484:S484),D484:S484,0)))</f>
        <v/>
      </c>
      <c r="Y484" s="8" t="n">
        <v>1768.33</v>
      </c>
      <c r="Z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>
        <f>IF(COUNT(D485:S485)=0,"",MIN(D485:S485))</f>
        <v/>
      </c>
      <c r="U485" s="8">
        <f>IF(COUNT(D485:S485)=0,"",MEDIAN(D485:S485))</f>
        <v/>
      </c>
      <c r="V485" s="8">
        <f>IF(COUNT(D485:S485)=0,"",MAX(D485:S485))</f>
        <v/>
      </c>
      <c r="W485" s="9">
        <f>IF(OR(T485="",T485=0),"",(V485-T485)/T485)</f>
        <v/>
      </c>
      <c r="X485" s="7">
        <f>IF(COUNT(D485:S485)=0,"",INDEX($D$1:$S$1,MATCH(MIN(D485:S485),D485:S485,0)))</f>
        <v/>
      </c>
      <c r="Y485" s="8" t="n">
        <v>1758.39</v>
      </c>
      <c r="Z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>
        <f>IF(COUNT(D486:S486)=0,"",MIN(D486:S486))</f>
        <v/>
      </c>
      <c r="U486" s="8">
        <f>IF(COUNT(D486:S486)=0,"",MEDIAN(D486:S486))</f>
        <v/>
      </c>
      <c r="V486" s="8">
        <f>IF(COUNT(D486:S486)=0,"",MAX(D486:S486))</f>
        <v/>
      </c>
      <c r="W486" s="9">
        <f>IF(OR(T486="",T486=0),"",(V486-T486)/T486)</f>
        <v/>
      </c>
      <c r="X486" s="7">
        <f>IF(COUNT(D486:S486)=0,"",INDEX($D$1:$S$1,MATCH(MIN(D486:S486),D486:S486,0)))</f>
        <v/>
      </c>
      <c r="Y486" s="8" t="n">
        <v>602.14</v>
      </c>
      <c r="Z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>
        <v>3201.97</v>
      </c>
      <c r="P487" s="8" t="n"/>
      <c r="Q487" s="8" t="n"/>
      <c r="R487" s="8" t="n"/>
      <c r="S487" s="8" t="n"/>
      <c r="T487" s="8">
        <f>IF(COUNT(D487:S487)=0,"",MIN(D487:S487))</f>
        <v/>
      </c>
      <c r="U487" s="8">
        <f>IF(COUNT(D487:S487)=0,"",MEDIAN(D487:S487))</f>
        <v/>
      </c>
      <c r="V487" s="8">
        <f>IF(COUNT(D487:S487)=0,"",MAX(D487:S487))</f>
        <v/>
      </c>
      <c r="W487" s="9">
        <f>IF(OR(T487="",T487=0),"",(V487-T487)/T487)</f>
        <v/>
      </c>
      <c r="X487" s="7">
        <f>IF(COUNT(D487:S487)=0,"",INDEX($D$1:$S$1,MATCH(MIN(D487:S487),D487:S487,0)))</f>
        <v/>
      </c>
      <c r="Y487" s="8" t="n">
        <v>3201.97</v>
      </c>
      <c r="Z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>
        <v>1411.66</v>
      </c>
      <c r="P488" s="8" t="n"/>
      <c r="Q488" s="8" t="n"/>
      <c r="R488" s="8" t="n"/>
      <c r="S488" s="8" t="n"/>
      <c r="T488" s="8">
        <f>IF(COUNT(D488:S488)=0,"",MIN(D488:S488))</f>
        <v/>
      </c>
      <c r="U488" s="8">
        <f>IF(COUNT(D488:S488)=0,"",MEDIAN(D488:S488))</f>
        <v/>
      </c>
      <c r="V488" s="8">
        <f>IF(COUNT(D488:S488)=0,"",MAX(D488:S488))</f>
        <v/>
      </c>
      <c r="W488" s="9">
        <f>IF(OR(T488="",T488=0),"",(V488-T488)/T488)</f>
        <v/>
      </c>
      <c r="X488" s="7">
        <f>IF(COUNT(D488:S488)=0,"",INDEX($D$1:$S$1,MATCH(MIN(D488:S488),D488:S488,0)))</f>
        <v/>
      </c>
      <c r="Y488" s="8" t="n">
        <v>1411.66</v>
      </c>
      <c r="Z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>
        <v>1411.66</v>
      </c>
      <c r="P489" s="8" t="n"/>
      <c r="Q489" s="8" t="n"/>
      <c r="R489" s="8" t="n"/>
      <c r="S489" s="8" t="n"/>
      <c r="T489" s="8">
        <f>IF(COUNT(D489:S489)=0,"",MIN(D489:S489))</f>
        <v/>
      </c>
      <c r="U489" s="8">
        <f>IF(COUNT(D489:S489)=0,"",MEDIAN(D489:S489))</f>
        <v/>
      </c>
      <c r="V489" s="8">
        <f>IF(COUNT(D489:S489)=0,"",MAX(D489:S489))</f>
        <v/>
      </c>
      <c r="W489" s="9">
        <f>IF(OR(T489="",T489=0),"",(V489-T489)/T489)</f>
        <v/>
      </c>
      <c r="X489" s="7">
        <f>IF(COUNT(D489:S489)=0,"",INDEX($D$1:$S$1,MATCH(MIN(D489:S489),D489:S489,0)))</f>
        <v/>
      </c>
      <c r="Y489" s="8" t="n">
        <v>1411.66</v>
      </c>
      <c r="Z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>
        <f>IF(COUNT(D490:S490)=0,"",MIN(D490:S490))</f>
        <v/>
      </c>
      <c r="U490" s="8">
        <f>IF(COUNT(D490:S490)=0,"",MEDIAN(D490:S490))</f>
        <v/>
      </c>
      <c r="V490" s="8">
        <f>IF(COUNT(D490:S490)=0,"",MAX(D490:S490))</f>
        <v/>
      </c>
      <c r="W490" s="9">
        <f>IF(OR(T490="",T490=0),"",(V490-T490)/T490)</f>
        <v/>
      </c>
      <c r="X490" s="7">
        <f>IF(COUNT(D490:S490)=0,"",INDEX($D$1:$S$1,MATCH(MIN(D490:S490),D490:S490,0)))</f>
        <v/>
      </c>
      <c r="Y490" s="8" t="n">
        <v>1537.07</v>
      </c>
      <c r="Z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>
        <f>IF(COUNT(D491:S491)=0,"",MIN(D491:S491))</f>
        <v/>
      </c>
      <c r="U491" s="8">
        <f>IF(COUNT(D491:S491)=0,"",MEDIAN(D491:S491))</f>
        <v/>
      </c>
      <c r="V491" s="8">
        <f>IF(COUNT(D491:S491)=0,"",MAX(D491:S491))</f>
        <v/>
      </c>
      <c r="W491" s="9">
        <f>IF(OR(T491="",T491=0),"",(V491-T491)/T491)</f>
        <v/>
      </c>
      <c r="X491" s="7">
        <f>IF(COUNT(D491:S491)=0,"",INDEX($D$1:$S$1,MATCH(MIN(D491:S491),D491:S491,0)))</f>
        <v/>
      </c>
      <c r="Y491" s="8" t="n">
        <v>874.38</v>
      </c>
      <c r="Z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>
        <f>IF(COUNT(D492:S492)=0,"",MIN(D492:S492))</f>
        <v/>
      </c>
      <c r="U492" s="8">
        <f>IF(COUNT(D492:S492)=0,"",MEDIAN(D492:S492))</f>
        <v/>
      </c>
      <c r="V492" s="8">
        <f>IF(COUNT(D492:S492)=0,"",MAX(D492:S492))</f>
        <v/>
      </c>
      <c r="W492" s="9">
        <f>IF(OR(T492="",T492=0),"",(V492-T492)/T492)</f>
        <v/>
      </c>
      <c r="X492" s="7">
        <f>IF(COUNT(D492:S492)=0,"",INDEX($D$1:$S$1,MATCH(MIN(D492:S492),D492:S492,0)))</f>
        <v/>
      </c>
      <c r="Y492" s="8" t="n">
        <v>812.28</v>
      </c>
      <c r="Z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>
        <f>IF(COUNT(D493:S493)=0,"",MIN(D493:S493))</f>
        <v/>
      </c>
      <c r="U493" s="8">
        <f>IF(COUNT(D493:S493)=0,"",MEDIAN(D493:S493))</f>
        <v/>
      </c>
      <c r="V493" s="8">
        <f>IF(COUNT(D493:S493)=0,"",MAX(D493:S493))</f>
        <v/>
      </c>
      <c r="W493" s="9">
        <f>IF(OR(T493="",T493=0),"",(V493-T493)/T493)</f>
        <v/>
      </c>
      <c r="X493" s="7">
        <f>IF(COUNT(D493:S493)=0,"",INDEX($D$1:$S$1,MATCH(MIN(D493:S493),D493:S493,0)))</f>
        <v/>
      </c>
      <c r="Y493" s="8" t="n">
        <v>850</v>
      </c>
      <c r="Z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>
        <f>IF(COUNT(D494:S494)=0,"",MIN(D494:S494))</f>
        <v/>
      </c>
      <c r="U494" s="8">
        <f>IF(COUNT(D494:S494)=0,"",MEDIAN(D494:S494))</f>
        <v/>
      </c>
      <c r="V494" s="8">
        <f>IF(COUNT(D494:S494)=0,"",MAX(D494:S494))</f>
        <v/>
      </c>
      <c r="W494" s="9">
        <f>IF(OR(T494="",T494=0),"",(V494-T494)/T494)</f>
        <v/>
      </c>
      <c r="X494" s="7">
        <f>IF(COUNT(D494:S494)=0,"",INDEX($D$1:$S$1,MATCH(MIN(D494:S494),D494:S494,0)))</f>
        <v/>
      </c>
      <c r="Y494" s="8" t="n">
        <v>872.87</v>
      </c>
      <c r="Z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>
        <f>IF(COUNT(D495:S495)=0,"",MIN(D495:S495))</f>
        <v/>
      </c>
      <c r="U495" s="8">
        <f>IF(COUNT(D495:S495)=0,"",MEDIAN(D495:S495))</f>
        <v/>
      </c>
      <c r="V495" s="8">
        <f>IF(COUNT(D495:S495)=0,"",MAX(D495:S495))</f>
        <v/>
      </c>
      <c r="W495" s="9">
        <f>IF(OR(T495="",T495=0),"",(V495-T495)/T495)</f>
        <v/>
      </c>
      <c r="X495" s="7">
        <f>IF(COUNT(D495:S495)=0,"",INDEX($D$1:$S$1,MATCH(MIN(D495:S495),D495:S495,0)))</f>
        <v/>
      </c>
      <c r="Y495" s="8" t="n">
        <v>55.94</v>
      </c>
      <c r="Z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>
        <f>IF(COUNT(D496:S496)=0,"",MIN(D496:S496))</f>
        <v/>
      </c>
      <c r="U496" s="8">
        <f>IF(COUNT(D496:S496)=0,"",MEDIAN(D496:S496))</f>
        <v/>
      </c>
      <c r="V496" s="8">
        <f>IF(COUNT(D496:S496)=0,"",MAX(D496:S496))</f>
        <v/>
      </c>
      <c r="W496" s="9">
        <f>IF(OR(T496="",T496=0),"",(V496-T496)/T496)</f>
        <v/>
      </c>
      <c r="X496" s="7">
        <f>IF(COUNT(D496:S496)=0,"",INDEX($D$1:$S$1,MATCH(MIN(D496:S496),D496:S496,0)))</f>
        <v/>
      </c>
      <c r="Y496" s="8" t="n">
        <v>153.81</v>
      </c>
      <c r="Z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>
        <f>IF(COUNT(D497:S497)=0,"",MIN(D497:S497))</f>
        <v/>
      </c>
      <c r="U497" s="8">
        <f>IF(COUNT(D497:S497)=0,"",MEDIAN(D497:S497))</f>
        <v/>
      </c>
      <c r="V497" s="8">
        <f>IF(COUNT(D497:S497)=0,"",MAX(D497:S497))</f>
        <v/>
      </c>
      <c r="W497" s="9">
        <f>IF(OR(T497="",T497=0),"",(V497-T497)/T497)</f>
        <v/>
      </c>
      <c r="X497" s="7">
        <f>IF(COUNT(D497:S497)=0,"",INDEX($D$1:$S$1,MATCH(MIN(D497:S497),D497:S497,0)))</f>
        <v/>
      </c>
      <c r="Y497" s="8" t="n">
        <v>82.72</v>
      </c>
      <c r="Z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>
        <f>IF(COUNT(D498:S498)=0,"",MIN(D498:S498))</f>
        <v/>
      </c>
      <c r="U498" s="8">
        <f>IF(COUNT(D498:S498)=0,"",MEDIAN(D498:S498))</f>
        <v/>
      </c>
      <c r="V498" s="8">
        <f>IF(COUNT(D498:S498)=0,"",MAX(D498:S498))</f>
        <v/>
      </c>
      <c r="W498" s="9">
        <f>IF(OR(T498="",T498=0),"",(V498-T498)/T498)</f>
        <v/>
      </c>
      <c r="X498" s="7">
        <f>IF(COUNT(D498:S498)=0,"",INDEX($D$1:$S$1,MATCH(MIN(D498:S498),D498:S498,0)))</f>
        <v/>
      </c>
      <c r="Y498" s="8" t="n">
        <v>162.49</v>
      </c>
      <c r="Z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>
        <f>IF(COUNT(D499:S499)=0,"",MIN(D499:S499))</f>
        <v/>
      </c>
      <c r="U499" s="8">
        <f>IF(COUNT(D499:S499)=0,"",MEDIAN(D499:S499))</f>
        <v/>
      </c>
      <c r="V499" s="8">
        <f>IF(COUNT(D499:S499)=0,"",MAX(D499:S499))</f>
        <v/>
      </c>
      <c r="W499" s="9">
        <f>IF(OR(T499="",T499=0),"",(V499-T499)/T499)</f>
        <v/>
      </c>
      <c r="X499" s="7">
        <f>IF(COUNT(D499:S499)=0,"",INDEX($D$1:$S$1,MATCH(MIN(D499:S499),D499:S499,0)))</f>
        <v/>
      </c>
      <c r="Y499" s="8" t="n">
        <v>90.79000000000001</v>
      </c>
      <c r="Z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>
        <f>IF(COUNT(D500:S500)=0,"",MIN(D500:S500))</f>
        <v/>
      </c>
      <c r="U500" s="8">
        <f>IF(COUNT(D500:S500)=0,"",MEDIAN(D500:S500))</f>
        <v/>
      </c>
      <c r="V500" s="8">
        <f>IF(COUNT(D500:S500)=0,"",MAX(D500:S500))</f>
        <v/>
      </c>
      <c r="W500" s="9">
        <f>IF(OR(T500="",T500=0),"",(V500-T500)/T500)</f>
        <v/>
      </c>
      <c r="X500" s="7">
        <f>IF(COUNT(D500:S500)=0,"",INDEX($D$1:$S$1,MATCH(MIN(D500:S500),D500:S500,0)))</f>
        <v/>
      </c>
      <c r="Y500" s="8" t="n">
        <v>129.29</v>
      </c>
      <c r="Z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>
        <f>IF(COUNT(D501:S501)=0,"",MIN(D501:S501))</f>
        <v/>
      </c>
      <c r="U501" s="8">
        <f>IF(COUNT(D501:S501)=0,"",MEDIAN(D501:S501))</f>
        <v/>
      </c>
      <c r="V501" s="8">
        <f>IF(COUNT(D501:S501)=0,"",MAX(D501:S501))</f>
        <v/>
      </c>
      <c r="W501" s="9">
        <f>IF(OR(T501="",T501=0),"",(V501-T501)/T501)</f>
        <v/>
      </c>
      <c r="X501" s="7">
        <f>IF(COUNT(D501:S501)=0,"",INDEX($D$1:$S$1,MATCH(MIN(D501:S501),D501:S501,0)))</f>
        <v/>
      </c>
      <c r="Y501" s="8" t="n">
        <v>66.5</v>
      </c>
      <c r="Z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>
        <f>IF(COUNT(D502:S502)=0,"",MIN(D502:S502))</f>
        <v/>
      </c>
      <c r="U502" s="8">
        <f>IF(COUNT(D502:S502)=0,"",MEDIAN(D502:S502))</f>
        <v/>
      </c>
      <c r="V502" s="8">
        <f>IF(COUNT(D502:S502)=0,"",MAX(D502:S502))</f>
        <v/>
      </c>
      <c r="W502" s="9">
        <f>IF(OR(T502="",T502=0),"",(V502-T502)/T502)</f>
        <v/>
      </c>
      <c r="X502" s="7">
        <f>IF(COUNT(D502:S502)=0,"",INDEX($D$1:$S$1,MATCH(MIN(D502:S502),D502:S502,0)))</f>
        <v/>
      </c>
      <c r="Y502" s="8" t="n">
        <v>106.37</v>
      </c>
      <c r="Z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>
        <f>IF(COUNT(D503:S503)=0,"",MIN(D503:S503))</f>
        <v/>
      </c>
      <c r="U503" s="8">
        <f>IF(COUNT(D503:S503)=0,"",MEDIAN(D503:S503))</f>
        <v/>
      </c>
      <c r="V503" s="8">
        <f>IF(COUNT(D503:S503)=0,"",MAX(D503:S503))</f>
        <v/>
      </c>
      <c r="W503" s="9">
        <f>IF(OR(T503="",T503=0),"",(V503-T503)/T503)</f>
        <v/>
      </c>
      <c r="X503" s="7">
        <f>IF(COUNT(D503:S503)=0,"",INDEX($D$1:$S$1,MATCH(MIN(D503:S503),D503:S503,0)))</f>
        <v/>
      </c>
      <c r="Y503" s="8" t="n">
        <v>78.84</v>
      </c>
      <c r="Z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>
        <f>IF(COUNT(D504:S504)=0,"",MIN(D504:S504))</f>
        <v/>
      </c>
      <c r="U504" s="8">
        <f>IF(COUNT(D504:S504)=0,"",MEDIAN(D504:S504))</f>
        <v/>
      </c>
      <c r="V504" s="8">
        <f>IF(COUNT(D504:S504)=0,"",MAX(D504:S504))</f>
        <v/>
      </c>
      <c r="W504" s="9">
        <f>IF(OR(T504="",T504=0),"",(V504-T504)/T504)</f>
        <v/>
      </c>
      <c r="X504" s="7">
        <f>IF(COUNT(D504:S504)=0,"",INDEX($D$1:$S$1,MATCH(MIN(D504:S504),D504:S504,0)))</f>
        <v/>
      </c>
      <c r="Y504" s="8" t="n">
        <v>180.39</v>
      </c>
      <c r="Z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>
        <f>IF(COUNT(D505:S505)=0,"",MIN(D505:S505))</f>
        <v/>
      </c>
      <c r="U505" s="8">
        <f>IF(COUNT(D505:S505)=0,"",MEDIAN(D505:S505))</f>
        <v/>
      </c>
      <c r="V505" s="8">
        <f>IF(COUNT(D505:S505)=0,"",MAX(D505:S505))</f>
        <v/>
      </c>
      <c r="W505" s="9">
        <f>IF(OR(T505="",T505=0),"",(V505-T505)/T505)</f>
        <v/>
      </c>
      <c r="X505" s="7">
        <f>IF(COUNT(D505:S505)=0,"",INDEX($D$1:$S$1,MATCH(MIN(D505:S505),D505:S505,0)))</f>
        <v/>
      </c>
      <c r="Y505" s="8" t="n">
        <v>460.92</v>
      </c>
      <c r="Z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>
        <f>IF(COUNT(D506:S506)=0,"",MIN(D506:S506))</f>
        <v/>
      </c>
      <c r="U506" s="8">
        <f>IF(COUNT(D506:S506)=0,"",MEDIAN(D506:S506))</f>
        <v/>
      </c>
      <c r="V506" s="8">
        <f>IF(COUNT(D506:S506)=0,"",MAX(D506:S506))</f>
        <v/>
      </c>
      <c r="W506" s="9">
        <f>IF(OR(T506="",T506=0),"",(V506-T506)/T506)</f>
        <v/>
      </c>
      <c r="X506" s="7">
        <f>IF(COUNT(D506:S506)=0,"",INDEX($D$1:$S$1,MATCH(MIN(D506:S506),D506:S506,0)))</f>
        <v/>
      </c>
      <c r="Y506" s="8" t="n">
        <v>280.64</v>
      </c>
      <c r="Z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>
        <f>IF(COUNT(D507:S507)=0,"",MIN(D507:S507))</f>
        <v/>
      </c>
      <c r="U507" s="8">
        <f>IF(COUNT(D507:S507)=0,"",MEDIAN(D507:S507))</f>
        <v/>
      </c>
      <c r="V507" s="8">
        <f>IF(COUNT(D507:S507)=0,"",MAX(D507:S507))</f>
        <v/>
      </c>
      <c r="W507" s="9">
        <f>IF(OR(T507="",T507=0),"",(V507-T507)/T507)</f>
        <v/>
      </c>
      <c r="X507" s="7">
        <f>IF(COUNT(D507:S507)=0,"",INDEX($D$1:$S$1,MATCH(MIN(D507:S507),D507:S507,0)))</f>
        <v/>
      </c>
      <c r="Y507" s="8" t="n">
        <v>367.96</v>
      </c>
      <c r="Z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>
        <f>IF(COUNT(D508:S508)=0,"",MIN(D508:S508))</f>
        <v/>
      </c>
      <c r="U508" s="8">
        <f>IF(COUNT(D508:S508)=0,"",MEDIAN(D508:S508))</f>
        <v/>
      </c>
      <c r="V508" s="8">
        <f>IF(COUNT(D508:S508)=0,"",MAX(D508:S508))</f>
        <v/>
      </c>
      <c r="W508" s="9">
        <f>IF(OR(T508="",T508=0),"",(V508-T508)/T508)</f>
        <v/>
      </c>
      <c r="X508" s="7">
        <f>IF(COUNT(D508:S508)=0,"",INDEX($D$1:$S$1,MATCH(MIN(D508:S508),D508:S508,0)))</f>
        <v/>
      </c>
      <c r="Y508" s="8" t="n">
        <v>813.47</v>
      </c>
      <c r="Z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>
        <f>IF(COUNT(D509:S509)=0,"",MIN(D509:S509))</f>
        <v/>
      </c>
      <c r="U509" s="8">
        <f>IF(COUNT(D509:S509)=0,"",MEDIAN(D509:S509))</f>
        <v/>
      </c>
      <c r="V509" s="8">
        <f>IF(COUNT(D509:S509)=0,"",MAX(D509:S509))</f>
        <v/>
      </c>
      <c r="W509" s="9">
        <f>IF(OR(T509="",T509=0),"",(V509-T509)/T509)</f>
        <v/>
      </c>
      <c r="X509" s="7">
        <f>IF(COUNT(D509:S509)=0,"",INDEX($D$1:$S$1,MATCH(MIN(D509:S509),D509:S509,0)))</f>
        <v/>
      </c>
      <c r="Y509" s="8" t="n">
        <v>406.73</v>
      </c>
      <c r="Z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>
        <f>IF(COUNT(D510:S510)=0,"",MIN(D510:S510))</f>
        <v/>
      </c>
      <c r="U510" s="8">
        <f>IF(COUNT(D510:S510)=0,"",MEDIAN(D510:S510))</f>
        <v/>
      </c>
      <c r="V510" s="8">
        <f>IF(COUNT(D510:S510)=0,"",MAX(D510:S510))</f>
        <v/>
      </c>
      <c r="W510" s="9">
        <f>IF(OR(T510="",T510=0),"",(V510-T510)/T510)</f>
        <v/>
      </c>
      <c r="X510" s="7">
        <f>IF(COUNT(D510:S510)=0,"",INDEX($D$1:$S$1,MATCH(MIN(D510:S510),D510:S510,0)))</f>
        <v/>
      </c>
      <c r="Y510" s="8" t="n">
        <v>647.51</v>
      </c>
      <c r="Z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>
        <f>IF(COUNT(D511:S511)=0,"",MIN(D511:S511))</f>
        <v/>
      </c>
      <c r="U511" s="8">
        <f>IF(COUNT(D511:S511)=0,"",MEDIAN(D511:S511))</f>
        <v/>
      </c>
      <c r="V511" s="8">
        <f>IF(COUNT(D511:S511)=0,"",MAX(D511:S511))</f>
        <v/>
      </c>
      <c r="W511" s="9">
        <f>IF(OR(T511="",T511=0),"",(V511-T511)/T511)</f>
        <v/>
      </c>
      <c r="X511" s="7">
        <f>IF(COUNT(D511:S511)=0,"",INDEX($D$1:$S$1,MATCH(MIN(D511:S511),D511:S511,0)))</f>
        <v/>
      </c>
      <c r="Y511" s="8" t="n">
        <v>333.56</v>
      </c>
      <c r="Z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>
        <f>IF(COUNT(D512:S512)=0,"",MIN(D512:S512))</f>
        <v/>
      </c>
      <c r="U512" s="8">
        <f>IF(COUNT(D512:S512)=0,"",MEDIAN(D512:S512))</f>
        <v/>
      </c>
      <c r="V512" s="8">
        <f>IF(COUNT(D512:S512)=0,"",MAX(D512:S512))</f>
        <v/>
      </c>
      <c r="W512" s="9">
        <f>IF(OR(T512="",T512=0),"",(V512-T512)/T512)</f>
        <v/>
      </c>
      <c r="X512" s="7">
        <f>IF(COUNT(D512:S512)=0,"",INDEX($D$1:$S$1,MATCH(MIN(D512:S512),D512:S512,0)))</f>
        <v/>
      </c>
      <c r="Y512" s="8" t="n">
        <v>472.9</v>
      </c>
      <c r="Z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>
        <f>IF(COUNT(D513:S513)=0,"",MIN(D513:S513))</f>
        <v/>
      </c>
      <c r="U513" s="8">
        <f>IF(COUNT(D513:S513)=0,"",MEDIAN(D513:S513))</f>
        <v/>
      </c>
      <c r="V513" s="8">
        <f>IF(COUNT(D513:S513)=0,"",MAX(D513:S513))</f>
        <v/>
      </c>
      <c r="W513" s="9">
        <f>IF(OR(T513="",T513=0),"",(V513-T513)/T513)</f>
        <v/>
      </c>
      <c r="X513" s="7">
        <f>IF(COUNT(D513:S513)=0,"",INDEX($D$1:$S$1,MATCH(MIN(D513:S513),D513:S513,0)))</f>
        <v/>
      </c>
      <c r="Y513" s="8" t="n">
        <v>350.7</v>
      </c>
      <c r="Z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>
        <f>IF(COUNT(D514:S514)=0,"",MIN(D514:S514))</f>
        <v/>
      </c>
      <c r="U514" s="8">
        <f>IF(COUNT(D514:S514)=0,"",MEDIAN(D514:S514))</f>
        <v/>
      </c>
      <c r="V514" s="8">
        <f>IF(COUNT(D514:S514)=0,"",MAX(D514:S514))</f>
        <v/>
      </c>
      <c r="W514" s="9">
        <f>IF(OR(T514="",T514=0),"",(V514-T514)/T514)</f>
        <v/>
      </c>
      <c r="X514" s="7">
        <f>IF(COUNT(D514:S514)=0,"",INDEX($D$1:$S$1,MATCH(MIN(D514:S514),D514:S514,0)))</f>
        <v/>
      </c>
      <c r="Y514" s="8" t="n">
        <v>902.88</v>
      </c>
      <c r="Z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>
        <f>IF(COUNT(D515:S515)=0,"",MIN(D515:S515))</f>
        <v/>
      </c>
      <c r="U515" s="8">
        <f>IF(COUNT(D515:S515)=0,"",MEDIAN(D515:S515))</f>
        <v/>
      </c>
      <c r="V515" s="8">
        <f>IF(COUNT(D515:S515)=0,"",MAX(D515:S515))</f>
        <v/>
      </c>
      <c r="W515" s="9">
        <f>IF(OR(T515="",T515=0),"",(V515-T515)/T515)</f>
        <v/>
      </c>
      <c r="X515" s="7">
        <f>IF(COUNT(D515:S515)=0,"",INDEX($D$1:$S$1,MATCH(MIN(D515:S515),D515:S515,0)))</f>
        <v/>
      </c>
      <c r="Y515" s="8" t="n">
        <v>3195.68</v>
      </c>
      <c r="Z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>
        <f>IF(COUNT(D516:S516)=0,"",MIN(D516:S516))</f>
        <v/>
      </c>
      <c r="U516" s="8">
        <f>IF(COUNT(D516:S516)=0,"",MEDIAN(D516:S516))</f>
        <v/>
      </c>
      <c r="V516" s="8">
        <f>IF(COUNT(D516:S516)=0,"",MAX(D516:S516))</f>
        <v/>
      </c>
      <c r="W516" s="9">
        <f>IF(OR(T516="",T516=0),"",(V516-T516)/T516)</f>
        <v/>
      </c>
      <c r="X516" s="7">
        <f>IF(COUNT(D516:S516)=0,"",INDEX($D$1:$S$1,MATCH(MIN(D516:S516),D516:S516,0)))</f>
        <v/>
      </c>
      <c r="Y516" s="8" t="n">
        <v>7742.13</v>
      </c>
      <c r="Z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>
        <f>IF(COUNT(D517:S517)=0,"",MIN(D517:S517))</f>
        <v/>
      </c>
      <c r="U517" s="8">
        <f>IF(COUNT(D517:S517)=0,"",MEDIAN(D517:S517))</f>
        <v/>
      </c>
      <c r="V517" s="8">
        <f>IF(COUNT(D517:S517)=0,"",MAX(D517:S517))</f>
        <v/>
      </c>
      <c r="W517" s="9">
        <f>IF(OR(T517="",T517=0),"",(V517-T517)/T517)</f>
        <v/>
      </c>
      <c r="X517" s="7">
        <f>IF(COUNT(D517:S517)=0,"",INDEX($D$1:$S$1,MATCH(MIN(D517:S517),D517:S517,0)))</f>
        <v/>
      </c>
      <c r="Y517" s="8" t="n">
        <v>4220.23</v>
      </c>
      <c r="Z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>
        <f>IF(COUNT(D518:S518)=0,"",MIN(D518:S518))</f>
        <v/>
      </c>
      <c r="U518" s="8">
        <f>IF(COUNT(D518:S518)=0,"",MEDIAN(D518:S518))</f>
        <v/>
      </c>
      <c r="V518" s="8">
        <f>IF(COUNT(D518:S518)=0,"",MAX(D518:S518))</f>
        <v/>
      </c>
      <c r="W518" s="9">
        <f>IF(OR(T518="",T518=0),"",(V518-T518)/T518)</f>
        <v/>
      </c>
      <c r="X518" s="7">
        <f>IF(COUNT(D518:S518)=0,"",INDEX($D$1:$S$1,MATCH(MIN(D518:S518),D518:S518,0)))</f>
        <v/>
      </c>
      <c r="Y518" s="8" t="n">
        <v>8183.45</v>
      </c>
      <c r="Z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>
        <f>IF(COUNT(D519:S519)=0,"",MIN(D519:S519))</f>
        <v/>
      </c>
      <c r="U519" s="8">
        <f>IF(COUNT(D519:S519)=0,"",MEDIAN(D519:S519))</f>
        <v/>
      </c>
      <c r="V519" s="8">
        <f>IF(COUNT(D519:S519)=0,"",MAX(D519:S519))</f>
        <v/>
      </c>
      <c r="W519" s="9">
        <f>IF(OR(T519="",T519=0),"",(V519-T519)/T519)</f>
        <v/>
      </c>
      <c r="X519" s="7">
        <f>IF(COUNT(D519:S519)=0,"",INDEX($D$1:$S$1,MATCH(MIN(D519:S519),D519:S519,0)))</f>
        <v/>
      </c>
      <c r="Y519" s="8" t="n">
        <v>4640.79</v>
      </c>
      <c r="Z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>
        <f>IF(COUNT(D520:S520)=0,"",MIN(D520:S520))</f>
        <v/>
      </c>
      <c r="U520" s="8">
        <f>IF(COUNT(D520:S520)=0,"",MEDIAN(D520:S520))</f>
        <v/>
      </c>
      <c r="V520" s="8">
        <f>IF(COUNT(D520:S520)=0,"",MAX(D520:S520))</f>
        <v/>
      </c>
      <c r="W520" s="9">
        <f>IF(OR(T520="",T520=0),"",(V520-T520)/T520)</f>
        <v/>
      </c>
      <c r="X520" s="7">
        <f>IF(COUNT(D520:S520)=0,"",INDEX($D$1:$S$1,MATCH(MIN(D520:S520),D520:S520,0)))</f>
        <v/>
      </c>
      <c r="Y520" s="8" t="n">
        <v>6521.15</v>
      </c>
      <c r="Z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>
        <f>IF(COUNT(D521:S521)=0,"",MIN(D521:S521))</f>
        <v/>
      </c>
      <c r="U521" s="8">
        <f>IF(COUNT(D521:S521)=0,"",MEDIAN(D521:S521))</f>
        <v/>
      </c>
      <c r="V521" s="8">
        <f>IF(COUNT(D521:S521)=0,"",MAX(D521:S521))</f>
        <v/>
      </c>
      <c r="W521" s="9">
        <f>IF(OR(T521="",T521=0),"",(V521-T521)/T521)</f>
        <v/>
      </c>
      <c r="X521" s="7">
        <f>IF(COUNT(D521:S521)=0,"",INDEX($D$1:$S$1,MATCH(MIN(D521:S521),D521:S521,0)))</f>
        <v/>
      </c>
      <c r="Y521" s="8" t="n">
        <v>3350.57</v>
      </c>
      <c r="Z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>
        <f>IF(COUNT(D522:S522)=0,"",MIN(D522:S522))</f>
        <v/>
      </c>
      <c r="U522" s="8">
        <f>IF(COUNT(D522:S522)=0,"",MEDIAN(D522:S522))</f>
        <v/>
      </c>
      <c r="V522" s="8">
        <f>IF(COUNT(D522:S522)=0,"",MAX(D522:S522))</f>
        <v/>
      </c>
      <c r="W522" s="9">
        <f>IF(OR(T522="",T522=0),"",(V522-T522)/T522)</f>
        <v/>
      </c>
      <c r="X522" s="7">
        <f>IF(COUNT(D522:S522)=0,"",INDEX($D$1:$S$1,MATCH(MIN(D522:S522),D522:S522,0)))</f>
        <v/>
      </c>
      <c r="Y522" s="8" t="n">
        <v>5451.6</v>
      </c>
      <c r="Z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>
        <f>IF(COUNT(D523:S523)=0,"",MIN(D523:S523))</f>
        <v/>
      </c>
      <c r="U523" s="8">
        <f>IF(COUNT(D523:S523)=0,"",MEDIAN(D523:S523))</f>
        <v/>
      </c>
      <c r="V523" s="8">
        <f>IF(COUNT(D523:S523)=0,"",MAX(D523:S523))</f>
        <v/>
      </c>
      <c r="W523" s="9">
        <f>IF(OR(T523="",T523=0),"",(V523-T523)/T523)</f>
        <v/>
      </c>
      <c r="X523" s="7">
        <f>IF(COUNT(D523:S523)=0,"",INDEX($D$1:$S$1,MATCH(MIN(D523:S523),D523:S523,0)))</f>
        <v/>
      </c>
      <c r="Y523" s="8" t="n">
        <v>4017.75</v>
      </c>
      <c r="Z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>
        <f>IF(COUNT(D524:S524)=0,"",MIN(D524:S524))</f>
        <v/>
      </c>
      <c r="U524" s="8">
        <f>IF(COUNT(D524:S524)=0,"",MEDIAN(D524:S524))</f>
        <v/>
      </c>
      <c r="V524" s="8">
        <f>IF(COUNT(D524:S524)=0,"",MAX(D524:S524))</f>
        <v/>
      </c>
      <c r="W524" s="9">
        <f>IF(OR(T524="",T524=0),"",(V524-T524)/T524)</f>
        <v/>
      </c>
      <c r="X524" s="7">
        <f>IF(COUNT(D524:S524)=0,"",INDEX($D$1:$S$1,MATCH(MIN(D524:S524),D524:S524,0)))</f>
        <v/>
      </c>
      <c r="Y524" s="8" t="n">
        <v>9092.93</v>
      </c>
      <c r="Z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>
        <f>IF(COUNT(D525:S525)=0,"",MIN(D525:S525))</f>
        <v/>
      </c>
      <c r="U525" s="8">
        <f>IF(COUNT(D525:S525)=0,"",MEDIAN(D525:S525))</f>
        <v/>
      </c>
      <c r="V525" s="8">
        <f>IF(COUNT(D525:S525)=0,"",MAX(D525:S525))</f>
        <v/>
      </c>
      <c r="W525" s="9">
        <f>IF(OR(T525="",T525=0),"",(V525-T525)/T525)</f>
        <v/>
      </c>
      <c r="X525" s="7">
        <f>IF(COUNT(D525:S525)=0,"",INDEX($D$1:$S$1,MATCH(MIN(D525:S525),D525:S525,0)))</f>
        <v/>
      </c>
      <c r="Y525" s="8" t="n">
        <v>1522.5</v>
      </c>
      <c r="Z525" s="10" t="n">
        <v>5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>
        <f>IF(COUNT(D526:S526)=0,"",MIN(D526:S526))</f>
        <v/>
      </c>
      <c r="U526" s="8">
        <f>IF(COUNT(D526:S526)=0,"",MEDIAN(D526:S526))</f>
        <v/>
      </c>
      <c r="V526" s="8">
        <f>IF(COUNT(D526:S526)=0,"",MAX(D526:S526))</f>
        <v/>
      </c>
      <c r="W526" s="9">
        <f>IF(OR(T526="",T526=0),"",(V526-T526)/T526)</f>
        <v/>
      </c>
      <c r="X526" s="7">
        <f>IF(COUNT(D526:S526)=0,"",INDEX($D$1:$S$1,MATCH(MIN(D526:S526),D526:S526,0)))</f>
        <v/>
      </c>
      <c r="Y526" s="8" t="n">
        <v>685</v>
      </c>
      <c r="Z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>
        <f>IF(COUNT(D527:S527)=0,"",MIN(D527:S527))</f>
        <v/>
      </c>
      <c r="U527" s="8">
        <f>IF(COUNT(D527:S527)=0,"",MEDIAN(D527:S527))</f>
        <v/>
      </c>
      <c r="V527" s="8">
        <f>IF(COUNT(D527:S527)=0,"",MAX(D527:S527))</f>
        <v/>
      </c>
      <c r="W527" s="9">
        <f>IF(OR(T527="",T527=0),"",(V527-T527)/T527)</f>
        <v/>
      </c>
      <c r="X527" s="7">
        <f>IF(COUNT(D527:S527)=0,"",INDEX($D$1:$S$1,MATCH(MIN(D527:S527),D527:S527,0)))</f>
        <v/>
      </c>
      <c r="Y527" s="8" t="n">
        <v>17325</v>
      </c>
      <c r="Z527" s="10" t="n">
        <v>4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>
        <f>IF(COUNT(D528:S528)=0,"",MIN(D528:S528))</f>
        <v/>
      </c>
      <c r="U528" s="8">
        <f>IF(COUNT(D528:S528)=0,"",MEDIAN(D528:S528))</f>
        <v/>
      </c>
      <c r="V528" s="8">
        <f>IF(COUNT(D528:S528)=0,"",MAX(D528:S528))</f>
        <v/>
      </c>
      <c r="W528" s="9">
        <f>IF(OR(T528="",T528=0),"",(V528-T528)/T528)</f>
        <v/>
      </c>
      <c r="X528" s="7">
        <f>IF(COUNT(D528:S528)=0,"",INDEX($D$1:$S$1,MATCH(MIN(D528:S528),D528:S528,0)))</f>
        <v/>
      </c>
      <c r="Y528" s="8" t="n">
        <v>10189.3</v>
      </c>
      <c r="Z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>
        <f>IF(COUNT(D529:S529)=0,"",MIN(D529:S529))</f>
        <v/>
      </c>
      <c r="U529" s="8">
        <f>IF(COUNT(D529:S529)=0,"",MEDIAN(D529:S529))</f>
        <v/>
      </c>
      <c r="V529" s="8">
        <f>IF(COUNT(D529:S529)=0,"",MAX(D529:S529))</f>
        <v/>
      </c>
      <c r="W529" s="9">
        <f>IF(OR(T529="",T529=0),"",(V529-T529)/T529)</f>
        <v/>
      </c>
      <c r="X529" s="7">
        <f>IF(COUNT(D529:S529)=0,"",INDEX($D$1:$S$1,MATCH(MIN(D529:S529),D529:S529,0)))</f>
        <v/>
      </c>
      <c r="Y529" s="8" t="n">
        <v>1025</v>
      </c>
      <c r="Z529" s="10" t="n">
        <v>5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>
        <f>IF(COUNT(D530:S530)=0,"",MIN(D530:S530))</f>
        <v/>
      </c>
      <c r="U530" s="8">
        <f>IF(COUNT(D530:S530)=0,"",MEDIAN(D530:S530))</f>
        <v/>
      </c>
      <c r="V530" s="8">
        <f>IF(COUNT(D530:S530)=0,"",MAX(D530:S530))</f>
        <v/>
      </c>
      <c r="W530" s="9">
        <f>IF(OR(T530="",T530=0),"",(V530-T530)/T530)</f>
        <v/>
      </c>
      <c r="X530" s="7">
        <f>IF(COUNT(D530:S530)=0,"",INDEX($D$1:$S$1,MATCH(MIN(D530:S530),D530:S530,0)))</f>
        <v/>
      </c>
      <c r="Y530" s="8" t="n">
        <v>5264.28</v>
      </c>
      <c r="Z530" s="10" t="n">
        <v>5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>
        <f>IF(COUNT(D531:S531)=0,"",MIN(D531:S531))</f>
        <v/>
      </c>
      <c r="U531" s="8">
        <f>IF(COUNT(D531:S531)=0,"",MEDIAN(D531:S531))</f>
        <v/>
      </c>
      <c r="V531" s="8">
        <f>IF(COUNT(D531:S531)=0,"",MAX(D531:S531))</f>
        <v/>
      </c>
      <c r="W531" s="9">
        <f>IF(OR(T531="",T531=0),"",(V531-T531)/T531)</f>
        <v/>
      </c>
      <c r="X531" s="7">
        <f>IF(COUNT(D531:S531)=0,"",INDEX($D$1:$S$1,MATCH(MIN(D531:S531),D531:S531,0)))</f>
        <v/>
      </c>
      <c r="Y531" s="8" t="n">
        <v>6437.22</v>
      </c>
      <c r="Z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>
        <f>IF(COUNT(D532:S532)=0,"",MIN(D532:S532))</f>
        <v/>
      </c>
      <c r="U532" s="8">
        <f>IF(COUNT(D532:S532)=0,"",MEDIAN(D532:S532))</f>
        <v/>
      </c>
      <c r="V532" s="8">
        <f>IF(COUNT(D532:S532)=0,"",MAX(D532:S532))</f>
        <v/>
      </c>
      <c r="W532" s="9">
        <f>IF(OR(T532="",T532=0),"",(V532-T532)/T532)</f>
        <v/>
      </c>
      <c r="X532" s="7">
        <f>IF(COUNT(D532:S532)=0,"",INDEX($D$1:$S$1,MATCH(MIN(D532:S532),D532:S532,0)))</f>
        <v/>
      </c>
      <c r="Y532" s="8" t="n">
        <v>3801.77</v>
      </c>
      <c r="Z532" s="10" t="n">
        <v>5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>
        <f>IF(COUNT(D533:S533)=0,"",MIN(D533:S533))</f>
        <v/>
      </c>
      <c r="U533" s="8">
        <f>IF(COUNT(D533:S533)=0,"",MEDIAN(D533:S533))</f>
        <v/>
      </c>
      <c r="V533" s="8">
        <f>IF(COUNT(D533:S533)=0,"",MAX(D533:S533))</f>
        <v/>
      </c>
      <c r="W533" s="9">
        <f>IF(OR(T533="",T533=0),"",(V533-T533)/T533)</f>
        <v/>
      </c>
      <c r="X533" s="7">
        <f>IF(COUNT(D533:S533)=0,"",INDEX($D$1:$S$1,MATCH(MIN(D533:S533),D533:S533,0)))</f>
        <v/>
      </c>
      <c r="Y533" s="8" t="n">
        <v>10458.36</v>
      </c>
      <c r="Z533" s="10" t="n">
        <v>6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>
        <f>IF(COUNT(D534:S534)=0,"",MIN(D534:S534))</f>
        <v/>
      </c>
      <c r="U534" s="8">
        <f>IF(COUNT(D534:S534)=0,"",MEDIAN(D534:S534))</f>
        <v/>
      </c>
      <c r="V534" s="8">
        <f>IF(COUNT(D534:S534)=0,"",MAX(D534:S534))</f>
        <v/>
      </c>
      <c r="W534" s="9">
        <f>IF(OR(T534="",T534=0),"",(V534-T534)/T534)</f>
        <v/>
      </c>
      <c r="X534" s="7">
        <f>IF(COUNT(D534:S534)=0,"",INDEX($D$1:$S$1,MATCH(MIN(D534:S534),D534:S534,0)))</f>
        <v/>
      </c>
      <c r="Y534" s="8" t="n">
        <v>747.45</v>
      </c>
      <c r="Z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>
        <f>IF(COUNT(D535:S535)=0,"",MIN(D535:S535))</f>
        <v/>
      </c>
      <c r="U535" s="8">
        <f>IF(COUNT(D535:S535)=0,"",MEDIAN(D535:S535))</f>
        <v/>
      </c>
      <c r="V535" s="8">
        <f>IF(COUNT(D535:S535)=0,"",MAX(D535:S535))</f>
        <v/>
      </c>
      <c r="W535" s="9">
        <f>IF(OR(T535="",T535=0),"",(V535-T535)/T535)</f>
        <v/>
      </c>
      <c r="X535" s="7">
        <f>IF(COUNT(D535:S535)=0,"",INDEX($D$1:$S$1,MATCH(MIN(D535:S535),D535:S535,0)))</f>
        <v/>
      </c>
      <c r="Y535" s="8" t="n">
        <v>1139</v>
      </c>
      <c r="Z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>
        <f>IF(COUNT(D536:S536)=0,"",MIN(D536:S536))</f>
        <v/>
      </c>
      <c r="U536" s="8">
        <f>IF(COUNT(D536:S536)=0,"",MEDIAN(D536:S536))</f>
        <v/>
      </c>
      <c r="V536" s="8">
        <f>IF(COUNT(D536:S536)=0,"",MAX(D536:S536))</f>
        <v/>
      </c>
      <c r="W536" s="9">
        <f>IF(OR(T536="",T536=0),"",(V536-T536)/T536)</f>
        <v/>
      </c>
      <c r="X536" s="7">
        <f>IF(COUNT(D536:S536)=0,"",INDEX($D$1:$S$1,MATCH(MIN(D536:S536),D536:S536,0)))</f>
        <v/>
      </c>
      <c r="Y536" s="8" t="n">
        <v>656</v>
      </c>
      <c r="Z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>
        <f>IF(COUNT(D537:S537)=0,"",MIN(D537:S537))</f>
        <v/>
      </c>
      <c r="U537" s="8">
        <f>IF(COUNT(D537:S537)=0,"",MEDIAN(D537:S537))</f>
        <v/>
      </c>
      <c r="V537" s="8">
        <f>IF(COUNT(D537:S537)=0,"",MAX(D537:S537))</f>
        <v/>
      </c>
      <c r="W537" s="9">
        <f>IF(OR(T537="",T537=0),"",(V537-T537)/T537)</f>
        <v/>
      </c>
      <c r="X537" s="7">
        <f>IF(COUNT(D537:S537)=0,"",INDEX($D$1:$S$1,MATCH(MIN(D537:S537),D537:S537,0)))</f>
        <v/>
      </c>
      <c r="Y537" s="8" t="n">
        <v>509.5</v>
      </c>
      <c r="Z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>
        <f>IF(COUNT(D538:S538)=0,"",MIN(D538:S538))</f>
        <v/>
      </c>
      <c r="U538" s="8">
        <f>IF(COUNT(D538:S538)=0,"",MEDIAN(D538:S538))</f>
        <v/>
      </c>
      <c r="V538" s="8">
        <f>IF(COUNT(D538:S538)=0,"",MAX(D538:S538))</f>
        <v/>
      </c>
      <c r="W538" s="9">
        <f>IF(OR(T538="",T538=0),"",(V538-T538)/T538)</f>
        <v/>
      </c>
      <c r="X538" s="7">
        <f>IF(COUNT(D538:S538)=0,"",INDEX($D$1:$S$1,MATCH(MIN(D538:S538),D538:S538,0)))</f>
        <v/>
      </c>
      <c r="Y538" s="8" t="n">
        <v>489.5</v>
      </c>
      <c r="Z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>
        <f>IF(COUNT(D539:S539)=0,"",MIN(D539:S539))</f>
        <v/>
      </c>
      <c r="U539" s="8">
        <f>IF(COUNT(D539:S539)=0,"",MEDIAN(D539:S539))</f>
        <v/>
      </c>
      <c r="V539" s="8">
        <f>IF(COUNT(D539:S539)=0,"",MAX(D539:S539))</f>
        <v/>
      </c>
      <c r="W539" s="9">
        <f>IF(OR(T539="",T539=0),"",(V539-T539)/T539)</f>
        <v/>
      </c>
      <c r="X539" s="7">
        <f>IF(COUNT(D539:S539)=0,"",INDEX($D$1:$S$1,MATCH(MIN(D539:S539),D539:S539,0)))</f>
        <v/>
      </c>
      <c r="Y539" s="8" t="n">
        <v>377</v>
      </c>
      <c r="Z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>
        <f>IF(COUNT(D540:S540)=0,"",MIN(D540:S540))</f>
        <v/>
      </c>
      <c r="U540" s="8">
        <f>IF(COUNT(D540:S540)=0,"",MEDIAN(D540:S540))</f>
        <v/>
      </c>
      <c r="V540" s="8">
        <f>IF(COUNT(D540:S540)=0,"",MAX(D540:S540))</f>
        <v/>
      </c>
      <c r="W540" s="9">
        <f>IF(OR(T540="",T540=0),"",(V540-T540)/T540)</f>
        <v/>
      </c>
      <c r="X540" s="7">
        <f>IF(COUNT(D540:S540)=0,"",INDEX($D$1:$S$1,MATCH(MIN(D540:S540),D540:S540,0)))</f>
        <v/>
      </c>
      <c r="Y540" s="8" t="n">
        <v>8923.5</v>
      </c>
      <c r="Z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>
        <f>IF(COUNT(D541:S541)=0,"",MIN(D541:S541))</f>
        <v/>
      </c>
      <c r="U541" s="8">
        <f>IF(COUNT(D541:S541)=0,"",MEDIAN(D541:S541))</f>
        <v/>
      </c>
      <c r="V541" s="8">
        <f>IF(COUNT(D541:S541)=0,"",MAX(D541:S541))</f>
        <v/>
      </c>
      <c r="W541" s="9">
        <f>IF(OR(T541="",T541=0),"",(V541-T541)/T541)</f>
        <v/>
      </c>
      <c r="X541" s="7">
        <f>IF(COUNT(D541:S541)=0,"",INDEX($D$1:$S$1,MATCH(MIN(D541:S541),D541:S541,0)))</f>
        <v/>
      </c>
      <c r="Y541" s="8" t="n">
        <v>11205</v>
      </c>
      <c r="Z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>
        <f>IF(COUNT(D542:S542)=0,"",MIN(D542:S542))</f>
        <v/>
      </c>
      <c r="U542" s="8">
        <f>IF(COUNT(D542:S542)=0,"",MEDIAN(D542:S542))</f>
        <v/>
      </c>
      <c r="V542" s="8">
        <f>IF(COUNT(D542:S542)=0,"",MAX(D542:S542))</f>
        <v/>
      </c>
      <c r="W542" s="9">
        <f>IF(OR(T542="",T542=0),"",(V542-T542)/T542)</f>
        <v/>
      </c>
      <c r="X542" s="7">
        <f>IF(COUNT(D542:S542)=0,"",INDEX($D$1:$S$1,MATCH(MIN(D542:S542),D542:S542,0)))</f>
        <v/>
      </c>
      <c r="Y542" s="8" t="n">
        <v>7989</v>
      </c>
      <c r="Z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>
        <f>IF(COUNT(D543:S543)=0,"",MIN(D543:S543))</f>
        <v/>
      </c>
      <c r="U543" s="8">
        <f>IF(COUNT(D543:S543)=0,"",MEDIAN(D543:S543))</f>
        <v/>
      </c>
      <c r="V543" s="8">
        <f>IF(COUNT(D543:S543)=0,"",MAX(D543:S543))</f>
        <v/>
      </c>
      <c r="W543" s="9">
        <f>IF(OR(T543="",T543=0),"",(V543-T543)/T543)</f>
        <v/>
      </c>
      <c r="X543" s="7">
        <f>IF(COUNT(D543:S543)=0,"",INDEX($D$1:$S$1,MATCH(MIN(D543:S543),D543:S543,0)))</f>
        <v/>
      </c>
      <c r="Y543" s="8" t="n">
        <v>13164.5</v>
      </c>
      <c r="Z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>
        <f>IF(COUNT(D544:S544)=0,"",MIN(D544:S544))</f>
        <v/>
      </c>
      <c r="U544" s="8">
        <f>IF(COUNT(D544:S544)=0,"",MEDIAN(D544:S544))</f>
        <v/>
      </c>
      <c r="V544" s="8">
        <f>IF(COUNT(D544:S544)=0,"",MAX(D544:S544))</f>
        <v/>
      </c>
      <c r="W544" s="9">
        <f>IF(OR(T544="",T544=0),"",(V544-T544)/T544)</f>
        <v/>
      </c>
      <c r="X544" s="7">
        <f>IF(COUNT(D544:S544)=0,"",INDEX($D$1:$S$1,MATCH(MIN(D544:S544),D544:S544,0)))</f>
        <v/>
      </c>
      <c r="Y544" s="8" t="n">
        <v>30539</v>
      </c>
      <c r="Z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>
        <f>IF(COUNT(D545:S545)=0,"",MIN(D545:S545))</f>
        <v/>
      </c>
      <c r="U545" s="8">
        <f>IF(COUNT(D545:S545)=0,"",MEDIAN(D545:S545))</f>
        <v/>
      </c>
      <c r="V545" s="8">
        <f>IF(COUNT(D545:S545)=0,"",MAX(D545:S545))</f>
        <v/>
      </c>
      <c r="W545" s="9">
        <f>IF(OR(T545="",T545=0),"",(V545-T545)/T545)</f>
        <v/>
      </c>
      <c r="X545" s="7">
        <f>IF(COUNT(D545:S545)=0,"",INDEX($D$1:$S$1,MATCH(MIN(D545:S545),D545:S545,0)))</f>
        <v/>
      </c>
      <c r="Y545" s="8" t="n">
        <v>23097</v>
      </c>
      <c r="Z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>
        <f>IF(COUNT(D546:S546)=0,"",MIN(D546:S546))</f>
        <v/>
      </c>
      <c r="U546" s="8">
        <f>IF(COUNT(D546:S546)=0,"",MEDIAN(D546:S546))</f>
        <v/>
      </c>
      <c r="V546" s="8">
        <f>IF(COUNT(D546:S546)=0,"",MAX(D546:S546))</f>
        <v/>
      </c>
      <c r="W546" s="9">
        <f>IF(OR(T546="",T546=0),"",(V546-T546)/T546)</f>
        <v/>
      </c>
      <c r="X546" s="7">
        <f>IF(COUNT(D546:S546)=0,"",INDEX($D$1:$S$1,MATCH(MIN(D546:S546),D546:S546,0)))</f>
        <v/>
      </c>
      <c r="Y546" s="8" t="n">
        <v>23699</v>
      </c>
      <c r="Z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>
        <f>IF(COUNT(D547:S547)=0,"",MIN(D547:S547))</f>
        <v/>
      </c>
      <c r="U547" s="8">
        <f>IF(COUNT(D547:S547)=0,"",MEDIAN(D547:S547))</f>
        <v/>
      </c>
      <c r="V547" s="8">
        <f>IF(COUNT(D547:S547)=0,"",MAX(D547:S547))</f>
        <v/>
      </c>
      <c r="W547" s="9">
        <f>IF(OR(T547="",T547=0),"",(V547-T547)/T547)</f>
        <v/>
      </c>
      <c r="X547" s="7">
        <f>IF(COUNT(D547:S547)=0,"",INDEX($D$1:$S$1,MATCH(MIN(D547:S547),D547:S547,0)))</f>
        <v/>
      </c>
      <c r="Y547" s="8" t="n">
        <v>8672</v>
      </c>
      <c r="Z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>
        <f>IF(COUNT(D548:S548)=0,"",MIN(D548:S548))</f>
        <v/>
      </c>
      <c r="U548" s="8">
        <f>IF(COUNT(D548:S548)=0,"",MEDIAN(D548:S548))</f>
        <v/>
      </c>
      <c r="V548" s="8">
        <f>IF(COUNT(D548:S548)=0,"",MAX(D548:S548))</f>
        <v/>
      </c>
      <c r="W548" s="9">
        <f>IF(OR(T548="",T548=0),"",(V548-T548)/T548)</f>
        <v/>
      </c>
      <c r="X548" s="7">
        <f>IF(COUNT(D548:S548)=0,"",INDEX($D$1:$S$1,MATCH(MIN(D548:S548),D548:S548,0)))</f>
        <v/>
      </c>
      <c r="Y548" s="8" t="n">
        <v>13189</v>
      </c>
      <c r="Z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>
        <f>IF(COUNT(D549:S549)=0,"",MIN(D549:S549))</f>
        <v/>
      </c>
      <c r="U549" s="8">
        <f>IF(COUNT(D549:S549)=0,"",MEDIAN(D549:S549))</f>
        <v/>
      </c>
      <c r="V549" s="8">
        <f>IF(COUNT(D549:S549)=0,"",MAX(D549:S549))</f>
        <v/>
      </c>
      <c r="W549" s="9">
        <f>IF(OR(T549="",T549=0),"",(V549-T549)/T549)</f>
        <v/>
      </c>
      <c r="X549" s="7">
        <f>IF(COUNT(D549:S549)=0,"",INDEX($D$1:$S$1,MATCH(MIN(D549:S549),D549:S549,0)))</f>
        <v/>
      </c>
      <c r="Y549" s="8" t="n">
        <v>7106</v>
      </c>
      <c r="Z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>
        <f>IF(COUNT(D550:S550)=0,"",MIN(D550:S550))</f>
        <v/>
      </c>
      <c r="U550" s="8">
        <f>IF(COUNT(D550:S550)=0,"",MEDIAN(D550:S550))</f>
        <v/>
      </c>
      <c r="V550" s="8">
        <f>IF(COUNT(D550:S550)=0,"",MAX(D550:S550))</f>
        <v/>
      </c>
      <c r="W550" s="9">
        <f>IF(OR(T550="",T550=0),"",(V550-T550)/T550)</f>
        <v/>
      </c>
      <c r="X550" s="7">
        <f>IF(COUNT(D550:S550)=0,"",INDEX($D$1:$S$1,MATCH(MIN(D550:S550),D550:S550,0)))</f>
        <v/>
      </c>
      <c r="Y550" s="8" t="n">
        <v>3957</v>
      </c>
      <c r="Z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>
        <f>IF(COUNT(D551:S551)=0,"",MIN(D551:S551))</f>
        <v/>
      </c>
      <c r="U551" s="8">
        <f>IF(COUNT(D551:S551)=0,"",MEDIAN(D551:S551))</f>
        <v/>
      </c>
      <c r="V551" s="8">
        <f>IF(COUNT(D551:S551)=0,"",MAX(D551:S551))</f>
        <v/>
      </c>
      <c r="W551" s="9">
        <f>IF(OR(T551="",T551=0),"",(V551-T551)/T551)</f>
        <v/>
      </c>
      <c r="X551" s="7">
        <f>IF(COUNT(D551:S551)=0,"",INDEX($D$1:$S$1,MATCH(MIN(D551:S551),D551:S551,0)))</f>
        <v/>
      </c>
      <c r="Y551" s="8" t="n">
        <v>5719</v>
      </c>
      <c r="Z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>
        <f>IF(COUNT(D552:S552)=0,"",MIN(D552:S552))</f>
        <v/>
      </c>
      <c r="U552" s="8">
        <f>IF(COUNT(D552:S552)=0,"",MEDIAN(D552:S552))</f>
        <v/>
      </c>
      <c r="V552" s="8">
        <f>IF(COUNT(D552:S552)=0,"",MAX(D552:S552))</f>
        <v/>
      </c>
      <c r="W552" s="9">
        <f>IF(OR(T552="",T552=0),"",(V552-T552)/T552)</f>
        <v/>
      </c>
      <c r="X552" s="7">
        <f>IF(COUNT(D552:S552)=0,"",INDEX($D$1:$S$1,MATCH(MIN(D552:S552),D552:S552,0)))</f>
        <v/>
      </c>
      <c r="Y552" s="8" t="n">
        <v>1995</v>
      </c>
      <c r="Z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>
        <f>IF(COUNT(D553:S553)=0,"",MIN(D553:S553))</f>
        <v/>
      </c>
      <c r="U553" s="8">
        <f>IF(COUNT(D553:S553)=0,"",MEDIAN(D553:S553))</f>
        <v/>
      </c>
      <c r="V553" s="8">
        <f>IF(COUNT(D553:S553)=0,"",MAX(D553:S553))</f>
        <v/>
      </c>
      <c r="W553" s="9">
        <f>IF(OR(T553="",T553=0),"",(V553-T553)/T553)</f>
        <v/>
      </c>
      <c r="X553" s="7">
        <f>IF(COUNT(D553:S553)=0,"",INDEX($D$1:$S$1,MATCH(MIN(D553:S553),D553:S553,0)))</f>
        <v/>
      </c>
      <c r="Y553" s="8" t="n">
        <v>5079</v>
      </c>
      <c r="Z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>
        <f>IF(COUNT(D554:S554)=0,"",MIN(D554:S554))</f>
        <v/>
      </c>
      <c r="U554" s="8">
        <f>IF(COUNT(D554:S554)=0,"",MEDIAN(D554:S554))</f>
        <v/>
      </c>
      <c r="V554" s="8">
        <f>IF(COUNT(D554:S554)=0,"",MAX(D554:S554))</f>
        <v/>
      </c>
      <c r="W554" s="9">
        <f>IF(OR(T554="",T554=0),"",(V554-T554)/T554)</f>
        <v/>
      </c>
      <c r="X554" s="7">
        <f>IF(COUNT(D554:S554)=0,"",INDEX($D$1:$S$1,MATCH(MIN(D554:S554),D554:S554,0)))</f>
        <v/>
      </c>
      <c r="Y554" s="8" t="n">
        <v>5075</v>
      </c>
      <c r="Z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>
        <f>IF(COUNT(D555:S555)=0,"",MIN(D555:S555))</f>
        <v/>
      </c>
      <c r="U555" s="8">
        <f>IF(COUNT(D555:S555)=0,"",MEDIAN(D555:S555))</f>
        <v/>
      </c>
      <c r="V555" s="8">
        <f>IF(COUNT(D555:S555)=0,"",MAX(D555:S555))</f>
        <v/>
      </c>
      <c r="W555" s="9">
        <f>IF(OR(T555="",T555=0),"",(V555-T555)/T555)</f>
        <v/>
      </c>
      <c r="X555" s="7">
        <f>IF(COUNT(D555:S555)=0,"",INDEX($D$1:$S$1,MATCH(MIN(D555:S555),D555:S555,0)))</f>
        <v/>
      </c>
      <c r="Y555" s="8" t="n">
        <v>4914</v>
      </c>
      <c r="Z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>
        <f>IF(COUNT(D556:S556)=0,"",MIN(D556:S556))</f>
        <v/>
      </c>
      <c r="U556" s="8">
        <f>IF(COUNT(D556:S556)=0,"",MEDIAN(D556:S556))</f>
        <v/>
      </c>
      <c r="V556" s="8">
        <f>IF(COUNT(D556:S556)=0,"",MAX(D556:S556))</f>
        <v/>
      </c>
      <c r="W556" s="9">
        <f>IF(OR(T556="",T556=0),"",(V556-T556)/T556)</f>
        <v/>
      </c>
      <c r="X556" s="7">
        <f>IF(COUNT(D556:S556)=0,"",INDEX($D$1:$S$1,MATCH(MIN(D556:S556),D556:S556,0)))</f>
        <v/>
      </c>
      <c r="Y556" s="8" t="n">
        <v>2911</v>
      </c>
      <c r="Z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>
        <f>IF(COUNT(D557:S557)=0,"",MIN(D557:S557))</f>
        <v/>
      </c>
      <c r="U557" s="8">
        <f>IF(COUNT(D557:S557)=0,"",MEDIAN(D557:S557))</f>
        <v/>
      </c>
      <c r="V557" s="8">
        <f>IF(COUNT(D557:S557)=0,"",MAX(D557:S557))</f>
        <v/>
      </c>
      <c r="W557" s="9">
        <f>IF(OR(T557="",T557=0),"",(V557-T557)/T557)</f>
        <v/>
      </c>
      <c r="X557" s="7">
        <f>IF(COUNT(D557:S557)=0,"",INDEX($D$1:$S$1,MATCH(MIN(D557:S557),D557:S557,0)))</f>
        <v/>
      </c>
      <c r="Y557" s="8" t="n">
        <v>7860</v>
      </c>
      <c r="Z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>
        <f>IF(COUNT(D558:S558)=0,"",MIN(D558:S558))</f>
        <v/>
      </c>
      <c r="U558" s="8">
        <f>IF(COUNT(D558:S558)=0,"",MEDIAN(D558:S558))</f>
        <v/>
      </c>
      <c r="V558" s="8">
        <f>IF(COUNT(D558:S558)=0,"",MAX(D558:S558))</f>
        <v/>
      </c>
      <c r="W558" s="9">
        <f>IF(OR(T558="",T558=0),"",(V558-T558)/T558)</f>
        <v/>
      </c>
      <c r="X558" s="7">
        <f>IF(COUNT(D558:S558)=0,"",INDEX($D$1:$S$1,MATCH(MIN(D558:S558),D558:S558,0)))</f>
        <v/>
      </c>
      <c r="Y558" s="8" t="n">
        <v>13484</v>
      </c>
      <c r="Z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>
        <f>IF(COUNT(D559:S559)=0,"",MIN(D559:S559))</f>
        <v/>
      </c>
      <c r="U559" s="8">
        <f>IF(COUNT(D559:S559)=0,"",MEDIAN(D559:S559))</f>
        <v/>
      </c>
      <c r="V559" s="8">
        <f>IF(COUNT(D559:S559)=0,"",MAX(D559:S559))</f>
        <v/>
      </c>
      <c r="W559" s="9">
        <f>IF(OR(T559="",T559=0),"",(V559-T559)/T559)</f>
        <v/>
      </c>
      <c r="X559" s="7">
        <f>IF(COUNT(D559:S559)=0,"",INDEX($D$1:$S$1,MATCH(MIN(D559:S559),D559:S559,0)))</f>
        <v/>
      </c>
      <c r="Y559" s="8" t="n">
        <v>8167.5</v>
      </c>
      <c r="Z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>
        <f>IF(COUNT(D560:S560)=0,"",MIN(D560:S560))</f>
        <v/>
      </c>
      <c r="U560" s="8">
        <f>IF(COUNT(D560:S560)=0,"",MEDIAN(D560:S560))</f>
        <v/>
      </c>
      <c r="V560" s="8">
        <f>IF(COUNT(D560:S560)=0,"",MAX(D560:S560))</f>
        <v/>
      </c>
      <c r="W560" s="9">
        <f>IF(OR(T560="",T560=0),"",(V560-T560)/T560)</f>
        <v/>
      </c>
      <c r="X560" s="7">
        <f>IF(COUNT(D560:S560)=0,"",INDEX($D$1:$S$1,MATCH(MIN(D560:S560),D560:S560,0)))</f>
        <v/>
      </c>
      <c r="Y560" s="8" t="n">
        <v>77553</v>
      </c>
      <c r="Z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>
        <f>IF(COUNT(D561:S561)=0,"",MIN(D561:S561))</f>
        <v/>
      </c>
      <c r="U561" s="8">
        <f>IF(COUNT(D561:S561)=0,"",MEDIAN(D561:S561))</f>
        <v/>
      </c>
      <c r="V561" s="8">
        <f>IF(COUNT(D561:S561)=0,"",MAX(D561:S561))</f>
        <v/>
      </c>
      <c r="W561" s="9">
        <f>IF(OR(T561="",T561=0),"",(V561-T561)/T561)</f>
        <v/>
      </c>
      <c r="X561" s="7">
        <f>IF(COUNT(D561:S561)=0,"",INDEX($D$1:$S$1,MATCH(MIN(D561:S561),D561:S561,0)))</f>
        <v/>
      </c>
      <c r="Y561" s="8" t="n">
        <v>21812</v>
      </c>
      <c r="Z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>
        <f>IF(COUNT(D562:S562)=0,"",MIN(D562:S562))</f>
        <v/>
      </c>
      <c r="U562" s="8">
        <f>IF(COUNT(D562:S562)=0,"",MEDIAN(D562:S562))</f>
        <v/>
      </c>
      <c r="V562" s="8">
        <f>IF(COUNT(D562:S562)=0,"",MAX(D562:S562))</f>
        <v/>
      </c>
      <c r="W562" s="9">
        <f>IF(OR(T562="",T562=0),"",(V562-T562)/T562)</f>
        <v/>
      </c>
      <c r="X562" s="7">
        <f>IF(COUNT(D562:S562)=0,"",INDEX($D$1:$S$1,MATCH(MIN(D562:S562),D562:S562,0)))</f>
        <v/>
      </c>
      <c r="Y562" s="8" t="n">
        <v>56995</v>
      </c>
      <c r="Z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>
        <f>IF(COUNT(D563:S563)=0,"",MIN(D563:S563))</f>
        <v/>
      </c>
      <c r="U563" s="8">
        <f>IF(COUNT(D563:S563)=0,"",MEDIAN(D563:S563))</f>
        <v/>
      </c>
      <c r="V563" s="8">
        <f>IF(COUNT(D563:S563)=0,"",MAX(D563:S563))</f>
        <v/>
      </c>
      <c r="W563" s="9">
        <f>IF(OR(T563="",T563=0),"",(V563-T563)/T563)</f>
        <v/>
      </c>
      <c r="X563" s="7">
        <f>IF(COUNT(D563:S563)=0,"",INDEX($D$1:$S$1,MATCH(MIN(D563:S563),D563:S563,0)))</f>
        <v/>
      </c>
      <c r="Y563" s="8" t="n">
        <v>20127</v>
      </c>
      <c r="Z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>
        <f>IF(COUNT(D564:S564)=0,"",MIN(D564:S564))</f>
        <v/>
      </c>
      <c r="U564" s="8">
        <f>IF(COUNT(D564:S564)=0,"",MEDIAN(D564:S564))</f>
        <v/>
      </c>
      <c r="V564" s="8">
        <f>IF(COUNT(D564:S564)=0,"",MAX(D564:S564))</f>
        <v/>
      </c>
      <c r="W564" s="9">
        <f>IF(OR(T564="",T564=0),"",(V564-T564)/T564)</f>
        <v/>
      </c>
      <c r="X564" s="7">
        <f>IF(COUNT(D564:S564)=0,"",INDEX($D$1:$S$1,MATCH(MIN(D564:S564),D564:S564,0)))</f>
        <v/>
      </c>
      <c r="Y564" s="8" t="n">
        <v>23492.5</v>
      </c>
      <c r="Z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>
        <f>IF(COUNT(D565:S565)=0,"",MIN(D565:S565))</f>
        <v/>
      </c>
      <c r="U565" s="8">
        <f>IF(COUNT(D565:S565)=0,"",MEDIAN(D565:S565))</f>
        <v/>
      </c>
      <c r="V565" s="8">
        <f>IF(COUNT(D565:S565)=0,"",MAX(D565:S565))</f>
        <v/>
      </c>
      <c r="W565" s="9">
        <f>IF(OR(T565="",T565=0),"",(V565-T565)/T565)</f>
        <v/>
      </c>
      <c r="X565" s="7">
        <f>IF(COUNT(D565:S565)=0,"",INDEX($D$1:$S$1,MATCH(MIN(D565:S565),D565:S565,0)))</f>
        <v/>
      </c>
      <c r="Y565" s="8" t="n">
        <v>8599</v>
      </c>
      <c r="Z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>
        <f>IF(COUNT(D566:S566)=0,"",MIN(D566:S566))</f>
        <v/>
      </c>
      <c r="U566" s="8">
        <f>IF(COUNT(D566:S566)=0,"",MEDIAN(D566:S566))</f>
        <v/>
      </c>
      <c r="V566" s="8">
        <f>IF(COUNT(D566:S566)=0,"",MAX(D566:S566))</f>
        <v/>
      </c>
      <c r="W566" s="9">
        <f>IF(OR(T566="",T566=0),"",(V566-T566)/T566)</f>
        <v/>
      </c>
      <c r="X566" s="7">
        <f>IF(COUNT(D566:S566)=0,"",INDEX($D$1:$S$1,MATCH(MIN(D566:S566),D566:S566,0)))</f>
        <v/>
      </c>
      <c r="Y566" s="8" t="n">
        <v>27049</v>
      </c>
      <c r="Z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>
        <f>IF(COUNT(D567:S567)=0,"",MIN(D567:S567))</f>
        <v/>
      </c>
      <c r="U567" s="8">
        <f>IF(COUNT(D567:S567)=0,"",MEDIAN(D567:S567))</f>
        <v/>
      </c>
      <c r="V567" s="8">
        <f>IF(COUNT(D567:S567)=0,"",MAX(D567:S567))</f>
        <v/>
      </c>
      <c r="W567" s="9">
        <f>IF(OR(T567="",T567=0),"",(V567-T567)/T567)</f>
        <v/>
      </c>
      <c r="X567" s="7">
        <f>IF(COUNT(D567:S567)=0,"",INDEX($D$1:$S$1,MATCH(MIN(D567:S567),D567:S567,0)))</f>
        <v/>
      </c>
      <c r="Y567" s="8" t="n">
        <v>1825</v>
      </c>
      <c r="Z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>
        <f>IF(COUNT(D568:S568)=0,"",MIN(D568:S568))</f>
        <v/>
      </c>
      <c r="U568" s="8">
        <f>IF(COUNT(D568:S568)=0,"",MEDIAN(D568:S568))</f>
        <v/>
      </c>
      <c r="V568" s="8">
        <f>IF(COUNT(D568:S568)=0,"",MAX(D568:S568))</f>
        <v/>
      </c>
      <c r="W568" s="9">
        <f>IF(OR(T568="",T568=0),"",(V568-T568)/T568)</f>
        <v/>
      </c>
      <c r="X568" s="7">
        <f>IF(COUNT(D568:S568)=0,"",INDEX($D$1:$S$1,MATCH(MIN(D568:S568),D568:S568,0)))</f>
        <v/>
      </c>
      <c r="Y568" s="8" t="n">
        <v>1666</v>
      </c>
      <c r="Z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>
        <f>IF(COUNT(D569:S569)=0,"",MIN(D569:S569))</f>
        <v/>
      </c>
      <c r="U569" s="8">
        <f>IF(COUNT(D569:S569)=0,"",MEDIAN(D569:S569))</f>
        <v/>
      </c>
      <c r="V569" s="8">
        <f>IF(COUNT(D569:S569)=0,"",MAX(D569:S569))</f>
        <v/>
      </c>
      <c r="W569" s="9">
        <f>IF(OR(T569="",T569=0),"",(V569-T569)/T569)</f>
        <v/>
      </c>
      <c r="X569" s="7">
        <f>IF(COUNT(D569:S569)=0,"",INDEX($D$1:$S$1,MATCH(MIN(D569:S569),D569:S569,0)))</f>
        <v/>
      </c>
      <c r="Y569" s="8" t="n">
        <v>1631</v>
      </c>
      <c r="Z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>
        <f>IF(COUNT(D570:S570)=0,"",MIN(D570:S570))</f>
        <v/>
      </c>
      <c r="U570" s="8">
        <f>IF(COUNT(D570:S570)=0,"",MEDIAN(D570:S570))</f>
        <v/>
      </c>
      <c r="V570" s="8">
        <f>IF(COUNT(D570:S570)=0,"",MAX(D570:S570))</f>
        <v/>
      </c>
      <c r="W570" s="9">
        <f>IF(OR(T570="",T570=0),"",(V570-T570)/T570)</f>
        <v/>
      </c>
      <c r="X570" s="7">
        <f>IF(COUNT(D570:S570)=0,"",INDEX($D$1:$S$1,MATCH(MIN(D570:S570),D570:S570,0)))</f>
        <v/>
      </c>
      <c r="Y570" s="8" t="n">
        <v>1688</v>
      </c>
      <c r="Z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>
        <f>IF(COUNT(D571:S571)=0,"",MIN(D571:S571))</f>
        <v/>
      </c>
      <c r="U571" s="8">
        <f>IF(COUNT(D571:S571)=0,"",MEDIAN(D571:S571))</f>
        <v/>
      </c>
      <c r="V571" s="8">
        <f>IF(COUNT(D571:S571)=0,"",MAX(D571:S571))</f>
        <v/>
      </c>
      <c r="W571" s="9">
        <f>IF(OR(T571="",T571=0),"",(V571-T571)/T571)</f>
        <v/>
      </c>
      <c r="X571" s="7">
        <f>IF(COUNT(D571:S571)=0,"",INDEX($D$1:$S$1,MATCH(MIN(D571:S571),D571:S571,0)))</f>
        <v/>
      </c>
      <c r="Y571" s="8" t="n">
        <v>1072</v>
      </c>
      <c r="Z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>
        <f>IF(COUNT(D572:S572)=0,"",MIN(D572:S572))</f>
        <v/>
      </c>
      <c r="U572" s="8">
        <f>IF(COUNT(D572:S572)=0,"",MEDIAN(D572:S572))</f>
        <v/>
      </c>
      <c r="V572" s="8">
        <f>IF(COUNT(D572:S572)=0,"",MAX(D572:S572))</f>
        <v/>
      </c>
      <c r="W572" s="9">
        <f>IF(OR(T572="",T572=0),"",(V572-T572)/T572)</f>
        <v/>
      </c>
      <c r="X572" s="7">
        <f>IF(COUNT(D572:S572)=0,"",INDEX($D$1:$S$1,MATCH(MIN(D572:S572),D572:S572,0)))</f>
        <v/>
      </c>
      <c r="Y572" s="8" t="n">
        <v>3178</v>
      </c>
      <c r="Z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>
        <f>IF(COUNT(D573:S573)=0,"",MIN(D573:S573))</f>
        <v/>
      </c>
      <c r="U573" s="8">
        <f>IF(COUNT(D573:S573)=0,"",MEDIAN(D573:S573))</f>
        <v/>
      </c>
      <c r="V573" s="8">
        <f>IF(COUNT(D573:S573)=0,"",MAX(D573:S573))</f>
        <v/>
      </c>
      <c r="W573" s="9">
        <f>IF(OR(T573="",T573=0),"",(V573-T573)/T573)</f>
        <v/>
      </c>
      <c r="X573" s="7">
        <f>IF(COUNT(D573:S573)=0,"",INDEX($D$1:$S$1,MATCH(MIN(D573:S573),D573:S573,0)))</f>
        <v/>
      </c>
      <c r="Y573" s="8" t="n">
        <v>990</v>
      </c>
      <c r="Z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>
        <f>IF(COUNT(D574:S574)=0,"",MIN(D574:S574))</f>
        <v/>
      </c>
      <c r="U574" s="8">
        <f>IF(COUNT(D574:S574)=0,"",MEDIAN(D574:S574))</f>
        <v/>
      </c>
      <c r="V574" s="8">
        <f>IF(COUNT(D574:S574)=0,"",MAX(D574:S574))</f>
        <v/>
      </c>
      <c r="W574" s="9">
        <f>IF(OR(T574="",T574=0),"",(V574-T574)/T574)</f>
        <v/>
      </c>
      <c r="X574" s="7">
        <f>IF(COUNT(D574:S574)=0,"",INDEX($D$1:$S$1,MATCH(MIN(D574:S574),D574:S574,0)))</f>
        <v/>
      </c>
      <c r="Y574" s="8" t="n">
        <v>905</v>
      </c>
      <c r="Z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>
        <f>IF(COUNT(D575:S575)=0,"",MIN(D575:S575))</f>
        <v/>
      </c>
      <c r="U575" s="8">
        <f>IF(COUNT(D575:S575)=0,"",MEDIAN(D575:S575))</f>
        <v/>
      </c>
      <c r="V575" s="8">
        <f>IF(COUNT(D575:S575)=0,"",MAX(D575:S575))</f>
        <v/>
      </c>
      <c r="W575" s="9">
        <f>IF(OR(T575="",T575=0),"",(V575-T575)/T575)</f>
        <v/>
      </c>
      <c r="X575" s="7">
        <f>IF(COUNT(D575:S575)=0,"",INDEX($D$1:$S$1,MATCH(MIN(D575:S575),D575:S575,0)))</f>
        <v/>
      </c>
      <c r="Y575" s="8" t="n">
        <v>407</v>
      </c>
      <c r="Z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>
        <f>IF(COUNT(D576:S576)=0,"",MIN(D576:S576))</f>
        <v/>
      </c>
      <c r="U576" s="8">
        <f>IF(COUNT(D576:S576)=0,"",MEDIAN(D576:S576))</f>
        <v/>
      </c>
      <c r="V576" s="8">
        <f>IF(COUNT(D576:S576)=0,"",MAX(D576:S576))</f>
        <v/>
      </c>
      <c r="W576" s="9">
        <f>IF(OR(T576="",T576=0),"",(V576-T576)/T576)</f>
        <v/>
      </c>
      <c r="X576" s="7">
        <f>IF(COUNT(D576:S576)=0,"",INDEX($D$1:$S$1,MATCH(MIN(D576:S576),D576:S576,0)))</f>
        <v/>
      </c>
      <c r="Y576" s="8" t="n">
        <v>10670</v>
      </c>
      <c r="Z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>
        <f>IF(COUNT(D577:S577)=0,"",MIN(D577:S577))</f>
        <v/>
      </c>
      <c r="U577" s="8">
        <f>IF(COUNT(D577:S577)=0,"",MEDIAN(D577:S577))</f>
        <v/>
      </c>
      <c r="V577" s="8">
        <f>IF(COUNT(D577:S577)=0,"",MAX(D577:S577))</f>
        <v/>
      </c>
      <c r="W577" s="9">
        <f>IF(OR(T577="",T577=0),"",(V577-T577)/T577)</f>
        <v/>
      </c>
      <c r="X577" s="7">
        <f>IF(COUNT(D577:S577)=0,"",INDEX($D$1:$S$1,MATCH(MIN(D577:S577),D577:S577,0)))</f>
        <v/>
      </c>
      <c r="Y577" s="8" t="n">
        <v>10291</v>
      </c>
      <c r="Z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>
        <f>IF(COUNT(D578:S578)=0,"",MIN(D578:S578))</f>
        <v/>
      </c>
      <c r="U578" s="8">
        <f>IF(COUNT(D578:S578)=0,"",MEDIAN(D578:S578))</f>
        <v/>
      </c>
      <c r="V578" s="8">
        <f>IF(COUNT(D578:S578)=0,"",MAX(D578:S578))</f>
        <v/>
      </c>
      <c r="W578" s="9">
        <f>IF(OR(T578="",T578=0),"",(V578-T578)/T578)</f>
        <v/>
      </c>
      <c r="X578" s="7">
        <f>IF(COUNT(D578:S578)=0,"",INDEX($D$1:$S$1,MATCH(MIN(D578:S578),D578:S578,0)))</f>
        <v/>
      </c>
      <c r="Y578" s="8" t="n">
        <v>20503</v>
      </c>
      <c r="Z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>
        <f>IF(COUNT(D579:S579)=0,"",MIN(D579:S579))</f>
        <v/>
      </c>
      <c r="U579" s="8">
        <f>IF(COUNT(D579:S579)=0,"",MEDIAN(D579:S579))</f>
        <v/>
      </c>
      <c r="V579" s="8">
        <f>IF(COUNT(D579:S579)=0,"",MAX(D579:S579))</f>
        <v/>
      </c>
      <c r="W579" s="9">
        <f>IF(OR(T579="",T579=0),"",(V579-T579)/T579)</f>
        <v/>
      </c>
      <c r="X579" s="7">
        <f>IF(COUNT(D579:S579)=0,"",INDEX($D$1:$S$1,MATCH(MIN(D579:S579),D579:S579,0)))</f>
        <v/>
      </c>
      <c r="Y579" s="8" t="n">
        <v>11717</v>
      </c>
      <c r="Z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>
        <f>IF(COUNT(D580:S580)=0,"",MIN(D580:S580))</f>
        <v/>
      </c>
      <c r="U580" s="8">
        <f>IF(COUNT(D580:S580)=0,"",MEDIAN(D580:S580))</f>
        <v/>
      </c>
      <c r="V580" s="8">
        <f>IF(COUNT(D580:S580)=0,"",MAX(D580:S580))</f>
        <v/>
      </c>
      <c r="W580" s="9">
        <f>IF(OR(T580="",T580=0),"",(V580-T580)/T580)</f>
        <v/>
      </c>
      <c r="X580" s="7">
        <f>IF(COUNT(D580:S580)=0,"",INDEX($D$1:$S$1,MATCH(MIN(D580:S580),D580:S580,0)))</f>
        <v/>
      </c>
      <c r="Y580" s="8" t="n">
        <v>17755</v>
      </c>
      <c r="Z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>
        <f>IF(COUNT(D581:S581)=0,"",MIN(D581:S581))</f>
        <v/>
      </c>
      <c r="U581" s="8">
        <f>IF(COUNT(D581:S581)=0,"",MEDIAN(D581:S581))</f>
        <v/>
      </c>
      <c r="V581" s="8">
        <f>IF(COUNT(D581:S581)=0,"",MAX(D581:S581))</f>
        <v/>
      </c>
      <c r="W581" s="9">
        <f>IF(OR(T581="",T581=0),"",(V581-T581)/T581)</f>
        <v/>
      </c>
      <c r="X581" s="7">
        <f>IF(COUNT(D581:S581)=0,"",INDEX($D$1:$S$1,MATCH(MIN(D581:S581),D581:S581,0)))</f>
        <v/>
      </c>
      <c r="Y581" s="8" t="n">
        <v>5101</v>
      </c>
      <c r="Z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>
        <f>IF(COUNT(D582:S582)=0,"",MIN(D582:S582))</f>
        <v/>
      </c>
      <c r="U582" s="8">
        <f>IF(COUNT(D582:S582)=0,"",MEDIAN(D582:S582))</f>
        <v/>
      </c>
      <c r="V582" s="8">
        <f>IF(COUNT(D582:S582)=0,"",MAX(D582:S582))</f>
        <v/>
      </c>
      <c r="W582" s="9">
        <f>IF(OR(T582="",T582=0),"",(V582-T582)/T582)</f>
        <v/>
      </c>
      <c r="X582" s="7">
        <f>IF(COUNT(D582:S582)=0,"",INDEX($D$1:$S$1,MATCH(MIN(D582:S582),D582:S582,0)))</f>
        <v/>
      </c>
      <c r="Y582" s="8" t="n">
        <v>10852</v>
      </c>
      <c r="Z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>
        <f>IF(COUNT(D583:S583)=0,"",MIN(D583:S583))</f>
        <v/>
      </c>
      <c r="U583" s="8">
        <f>IF(COUNT(D583:S583)=0,"",MEDIAN(D583:S583))</f>
        <v/>
      </c>
      <c r="V583" s="8">
        <f>IF(COUNT(D583:S583)=0,"",MAX(D583:S583))</f>
        <v/>
      </c>
      <c r="W583" s="9">
        <f>IF(OR(T583="",T583=0),"",(V583-T583)/T583)</f>
        <v/>
      </c>
      <c r="X583" s="7">
        <f>IF(COUNT(D583:S583)=0,"",INDEX($D$1:$S$1,MATCH(MIN(D583:S583),D583:S583,0)))</f>
        <v/>
      </c>
      <c r="Y583" s="8" t="n">
        <v>12989</v>
      </c>
      <c r="Z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>
        <f>IF(COUNT(D584:S584)=0,"",MIN(D584:S584))</f>
        <v/>
      </c>
      <c r="U584" s="8">
        <f>IF(COUNT(D584:S584)=0,"",MEDIAN(D584:S584))</f>
        <v/>
      </c>
      <c r="V584" s="8">
        <f>IF(COUNT(D584:S584)=0,"",MAX(D584:S584))</f>
        <v/>
      </c>
      <c r="W584" s="9">
        <f>IF(OR(T584="",T584=0),"",(V584-T584)/T584)</f>
        <v/>
      </c>
      <c r="X584" s="7">
        <f>IF(COUNT(D584:S584)=0,"",INDEX($D$1:$S$1,MATCH(MIN(D584:S584),D584:S584,0)))</f>
        <v/>
      </c>
      <c r="Y584" s="8" t="n">
        <v>9895</v>
      </c>
      <c r="Z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>
        <f>IF(COUNT(D585:S585)=0,"",MIN(D585:S585))</f>
        <v/>
      </c>
      <c r="U585" s="8">
        <f>IF(COUNT(D585:S585)=0,"",MEDIAN(D585:S585))</f>
        <v/>
      </c>
      <c r="V585" s="8">
        <f>IF(COUNT(D585:S585)=0,"",MAX(D585:S585))</f>
        <v/>
      </c>
      <c r="W585" s="9">
        <f>IF(OR(T585="",T585=0),"",(V585-T585)/T585)</f>
        <v/>
      </c>
      <c r="X585" s="7">
        <f>IF(COUNT(D585:S585)=0,"",INDEX($D$1:$S$1,MATCH(MIN(D585:S585),D585:S585,0)))</f>
        <v/>
      </c>
      <c r="Y585" s="8" t="n">
        <v>35835</v>
      </c>
      <c r="Z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 t="n"/>
      <c r="T586" s="8">
        <f>IF(COUNT(D586:S586)=0,"",MIN(D586:S586))</f>
        <v/>
      </c>
      <c r="U586" s="8">
        <f>IF(COUNT(D586:S586)=0,"",MEDIAN(D586:S586))</f>
        <v/>
      </c>
      <c r="V586" s="8">
        <f>IF(COUNT(D586:S586)=0,"",MAX(D586:S586))</f>
        <v/>
      </c>
      <c r="W586" s="9">
        <f>IF(OR(T586="",T586=0),"",(V586-T586)/T586)</f>
        <v/>
      </c>
      <c r="X586" s="7">
        <f>IF(COUNT(D586:S586)=0,"",INDEX($D$1:$S$1,MATCH(MIN(D586:S586),D586:S586,0)))</f>
        <v/>
      </c>
      <c r="Y586" s="8" t="n">
        <v>41115</v>
      </c>
      <c r="Z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 t="n"/>
      <c r="T587" s="8">
        <f>IF(COUNT(D587:S587)=0,"",MIN(D587:S587))</f>
        <v/>
      </c>
      <c r="U587" s="8">
        <f>IF(COUNT(D587:S587)=0,"",MEDIAN(D587:S587))</f>
        <v/>
      </c>
      <c r="V587" s="8">
        <f>IF(COUNT(D587:S587)=0,"",MAX(D587:S587))</f>
        <v/>
      </c>
      <c r="W587" s="9">
        <f>IF(OR(T587="",T587=0),"",(V587-T587)/T587)</f>
        <v/>
      </c>
      <c r="X587" s="7">
        <f>IF(COUNT(D587:S587)=0,"",INDEX($D$1:$S$1,MATCH(MIN(D587:S587),D587:S587,0)))</f>
        <v/>
      </c>
      <c r="Y587" s="8" t="n">
        <v>5385</v>
      </c>
      <c r="Z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 t="n"/>
      <c r="T588" s="8">
        <f>IF(COUNT(D588:S588)=0,"",MIN(D588:S588))</f>
        <v/>
      </c>
      <c r="U588" s="8">
        <f>IF(COUNT(D588:S588)=0,"",MEDIAN(D588:S588))</f>
        <v/>
      </c>
      <c r="V588" s="8">
        <f>IF(COUNT(D588:S588)=0,"",MAX(D588:S588))</f>
        <v/>
      </c>
      <c r="W588" s="9">
        <f>IF(OR(T588="",T588=0),"",(V588-T588)/T588)</f>
        <v/>
      </c>
      <c r="X588" s="7">
        <f>IF(COUNT(D588:S588)=0,"",INDEX($D$1:$S$1,MATCH(MIN(D588:S588),D588:S588,0)))</f>
        <v/>
      </c>
      <c r="Y588" s="8" t="n">
        <v>10469.3</v>
      </c>
      <c r="Z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>
        <f>IF(COUNT(D589:S589)=0,"",MIN(D589:S589))</f>
        <v/>
      </c>
      <c r="U589" s="8">
        <f>IF(COUNT(D589:S589)=0,"",MEDIAN(D589:S589))</f>
        <v/>
      </c>
      <c r="V589" s="8">
        <f>IF(COUNT(D589:S589)=0,"",MAX(D589:S589))</f>
        <v/>
      </c>
      <c r="W589" s="9">
        <f>IF(OR(T589="",T589=0),"",(V589-T589)/T589)</f>
        <v/>
      </c>
      <c r="X589" s="7">
        <f>IF(COUNT(D589:S589)=0,"",INDEX($D$1:$S$1,MATCH(MIN(D589:S589),D589:S589,0)))</f>
        <v/>
      </c>
      <c r="Y589" s="8" t="n">
        <v>6325</v>
      </c>
      <c r="Z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>
        <f>IF(COUNT(D590:S590)=0,"",MIN(D590:S590))</f>
        <v/>
      </c>
      <c r="U590" s="8">
        <f>IF(COUNT(D590:S590)=0,"",MEDIAN(D590:S590))</f>
        <v/>
      </c>
      <c r="V590" s="8">
        <f>IF(COUNT(D590:S590)=0,"",MAX(D590:S590))</f>
        <v/>
      </c>
      <c r="W590" s="9">
        <f>IF(OR(T590="",T590=0),"",(V590-T590)/T590)</f>
        <v/>
      </c>
      <c r="X590" s="7">
        <f>IF(COUNT(D590:S590)=0,"",INDEX($D$1:$S$1,MATCH(MIN(D590:S590),D590:S590,0)))</f>
        <v/>
      </c>
      <c r="Y590" s="8" t="n">
        <v>7125</v>
      </c>
      <c r="Z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>
        <f>IF(COUNT(D591:S591)=0,"",MIN(D591:S591))</f>
        <v/>
      </c>
      <c r="U591" s="8">
        <f>IF(COUNT(D591:S591)=0,"",MEDIAN(D591:S591))</f>
        <v/>
      </c>
      <c r="V591" s="8">
        <f>IF(COUNT(D591:S591)=0,"",MAX(D591:S591))</f>
        <v/>
      </c>
      <c r="W591" s="9">
        <f>IF(OR(T591="",T591=0),"",(V591-T591)/T591)</f>
        <v/>
      </c>
      <c r="X591" s="7">
        <f>IF(COUNT(D591:S591)=0,"",INDEX($D$1:$S$1,MATCH(MIN(D591:S591),D591:S591,0)))</f>
        <v/>
      </c>
      <c r="Y591" s="8" t="n">
        <v>8019.5</v>
      </c>
      <c r="Z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 t="n"/>
      <c r="T592" s="8">
        <f>IF(COUNT(D592:S592)=0,"",MIN(D592:S592))</f>
        <v/>
      </c>
      <c r="U592" s="8">
        <f>IF(COUNT(D592:S592)=0,"",MEDIAN(D592:S592))</f>
        <v/>
      </c>
      <c r="V592" s="8">
        <f>IF(COUNT(D592:S592)=0,"",MAX(D592:S592))</f>
        <v/>
      </c>
      <c r="W592" s="9">
        <f>IF(OR(T592="",T592=0),"",(V592-T592)/T592)</f>
        <v/>
      </c>
      <c r="X592" s="7">
        <f>IF(COUNT(D592:S592)=0,"",INDEX($D$1:$S$1,MATCH(MIN(D592:S592),D592:S592,0)))</f>
        <v/>
      </c>
      <c r="Y592" s="8" t="n">
        <v>8585</v>
      </c>
      <c r="Z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>
        <f>IF(COUNT(D593:S593)=0,"",MIN(D593:S593))</f>
        <v/>
      </c>
      <c r="U593" s="8">
        <f>IF(COUNT(D593:S593)=0,"",MEDIAN(D593:S593))</f>
        <v/>
      </c>
      <c r="V593" s="8">
        <f>IF(COUNT(D593:S593)=0,"",MAX(D593:S593))</f>
        <v/>
      </c>
      <c r="W593" s="9">
        <f>IF(OR(T593="",T593=0),"",(V593-T593)/T593)</f>
        <v/>
      </c>
      <c r="X593" s="7">
        <f>IF(COUNT(D593:S593)=0,"",INDEX($D$1:$S$1,MATCH(MIN(D593:S593),D593:S593,0)))</f>
        <v/>
      </c>
      <c r="Y593" s="8" t="n">
        <v>8105</v>
      </c>
      <c r="Z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 t="n"/>
      <c r="T594" s="8">
        <f>IF(COUNT(D594:S594)=0,"",MIN(D594:S594))</f>
        <v/>
      </c>
      <c r="U594" s="8">
        <f>IF(COUNT(D594:S594)=0,"",MEDIAN(D594:S594))</f>
        <v/>
      </c>
      <c r="V594" s="8">
        <f>IF(COUNT(D594:S594)=0,"",MAX(D594:S594))</f>
        <v/>
      </c>
      <c r="W594" s="9">
        <f>IF(OR(T594="",T594=0),"",(V594-T594)/T594)</f>
        <v/>
      </c>
      <c r="X594" s="7">
        <f>IF(COUNT(D594:S594)=0,"",INDEX($D$1:$S$1,MATCH(MIN(D594:S594),D594:S594,0)))</f>
        <v/>
      </c>
      <c r="Y594" s="8" t="n">
        <v>9660</v>
      </c>
      <c r="Z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>
        <f>IF(COUNT(D595:S595)=0,"",MIN(D595:S595))</f>
        <v/>
      </c>
      <c r="U595" s="8">
        <f>IF(COUNT(D595:S595)=0,"",MEDIAN(D595:S595))</f>
        <v/>
      </c>
      <c r="V595" s="8">
        <f>IF(COUNT(D595:S595)=0,"",MAX(D595:S595))</f>
        <v/>
      </c>
      <c r="W595" s="9">
        <f>IF(OR(T595="",T595=0),"",(V595-T595)/T595)</f>
        <v/>
      </c>
      <c r="X595" s="7">
        <f>IF(COUNT(D595:S595)=0,"",INDEX($D$1:$S$1,MATCH(MIN(D595:S595),D595:S595,0)))</f>
        <v/>
      </c>
      <c r="Y595" s="8" t="n">
        <v>9335</v>
      </c>
      <c r="Z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 t="n"/>
      <c r="T596" s="8">
        <f>IF(COUNT(D596:S596)=0,"",MIN(D596:S596))</f>
        <v/>
      </c>
      <c r="U596" s="8">
        <f>IF(COUNT(D596:S596)=0,"",MEDIAN(D596:S596))</f>
        <v/>
      </c>
      <c r="V596" s="8">
        <f>IF(COUNT(D596:S596)=0,"",MAX(D596:S596))</f>
        <v/>
      </c>
      <c r="W596" s="9">
        <f>IF(OR(T596="",T596=0),"",(V596-T596)/T596)</f>
        <v/>
      </c>
      <c r="X596" s="7">
        <f>IF(COUNT(D596:S596)=0,"",INDEX($D$1:$S$1,MATCH(MIN(D596:S596),D596:S596,0)))</f>
        <v/>
      </c>
      <c r="Y596" s="8" t="n">
        <v>13140</v>
      </c>
      <c r="Z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>
        <f>IF(COUNT(D597:S597)=0,"",MIN(D597:S597))</f>
        <v/>
      </c>
      <c r="U597" s="8">
        <f>IF(COUNT(D597:S597)=0,"",MEDIAN(D597:S597))</f>
        <v/>
      </c>
      <c r="V597" s="8">
        <f>IF(COUNT(D597:S597)=0,"",MAX(D597:S597))</f>
        <v/>
      </c>
      <c r="W597" s="9">
        <f>IF(OR(T597="",T597=0),"",(V597-T597)/T597)</f>
        <v/>
      </c>
      <c r="X597" s="7">
        <f>IF(COUNT(D597:S597)=0,"",INDEX($D$1:$S$1,MATCH(MIN(D597:S597),D597:S597,0)))</f>
        <v/>
      </c>
      <c r="Y597" s="8" t="n">
        <v>12940</v>
      </c>
      <c r="Z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>
        <f>IF(COUNT(D598:S598)=0,"",MIN(D598:S598))</f>
        <v/>
      </c>
      <c r="U598" s="8">
        <f>IF(COUNT(D598:S598)=0,"",MEDIAN(D598:S598))</f>
        <v/>
      </c>
      <c r="V598" s="8">
        <f>IF(COUNT(D598:S598)=0,"",MAX(D598:S598))</f>
        <v/>
      </c>
      <c r="W598" s="9">
        <f>IF(OR(T598="",T598=0),"",(V598-T598)/T598)</f>
        <v/>
      </c>
      <c r="X598" s="7">
        <f>IF(COUNT(D598:S598)=0,"",INDEX($D$1:$S$1,MATCH(MIN(D598:S598),D598:S598,0)))</f>
        <v/>
      </c>
      <c r="Y598" s="8" t="n">
        <v>292790</v>
      </c>
      <c r="Z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 t="n"/>
      <c r="T599" s="8">
        <f>IF(COUNT(D599:S599)=0,"",MIN(D599:S599))</f>
        <v/>
      </c>
      <c r="U599" s="8">
        <f>IF(COUNT(D599:S599)=0,"",MEDIAN(D599:S599))</f>
        <v/>
      </c>
      <c r="V599" s="8">
        <f>IF(COUNT(D599:S599)=0,"",MAX(D599:S599))</f>
        <v/>
      </c>
      <c r="W599" s="9">
        <f>IF(OR(T599="",T599=0),"",(V599-T599)/T599)</f>
        <v/>
      </c>
      <c r="X599" s="7">
        <f>IF(COUNT(D599:S599)=0,"",INDEX($D$1:$S$1,MATCH(MIN(D599:S599),D599:S599,0)))</f>
        <v/>
      </c>
      <c r="Y599" s="8" t="n">
        <v>15223.23</v>
      </c>
      <c r="Z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 t="n"/>
      <c r="T600" s="8">
        <f>IF(COUNT(D600:S600)=0,"",MIN(D600:S600))</f>
        <v/>
      </c>
      <c r="U600" s="8">
        <f>IF(COUNT(D600:S600)=0,"",MEDIAN(D600:S600))</f>
        <v/>
      </c>
      <c r="V600" s="8">
        <f>IF(COUNT(D600:S600)=0,"",MAX(D600:S600))</f>
        <v/>
      </c>
      <c r="W600" s="9">
        <f>IF(OR(T600="",T600=0),"",(V600-T600)/T600)</f>
        <v/>
      </c>
      <c r="X600" s="7">
        <f>IF(COUNT(D600:S600)=0,"",INDEX($D$1:$S$1,MATCH(MIN(D600:S600),D600:S600,0)))</f>
        <v/>
      </c>
      <c r="Y600" s="8" t="n">
        <v>3554</v>
      </c>
      <c r="Z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 t="n"/>
      <c r="T601" s="8">
        <f>IF(COUNT(D601:S601)=0,"",MIN(D601:S601))</f>
        <v/>
      </c>
      <c r="U601" s="8">
        <f>IF(COUNT(D601:S601)=0,"",MEDIAN(D601:S601))</f>
        <v/>
      </c>
      <c r="V601" s="8">
        <f>IF(COUNT(D601:S601)=0,"",MAX(D601:S601))</f>
        <v/>
      </c>
      <c r="W601" s="9">
        <f>IF(OR(T601="",T601=0),"",(V601-T601)/T601)</f>
        <v/>
      </c>
      <c r="X601" s="7">
        <f>IF(COUNT(D601:S601)=0,"",INDEX($D$1:$S$1,MATCH(MIN(D601:S601),D601:S601,0)))</f>
        <v/>
      </c>
      <c r="Y601" s="8" t="n">
        <v>4624</v>
      </c>
      <c r="Z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>
        <f>IF(COUNT(D602:S602)=0,"",MIN(D602:S602))</f>
        <v/>
      </c>
      <c r="U602" s="8">
        <f>IF(COUNT(D602:S602)=0,"",MEDIAN(D602:S602))</f>
        <v/>
      </c>
      <c r="V602" s="8">
        <f>IF(COUNT(D602:S602)=0,"",MAX(D602:S602))</f>
        <v/>
      </c>
      <c r="W602" s="9">
        <f>IF(OR(T602="",T602=0),"",(V602-T602)/T602)</f>
        <v/>
      </c>
      <c r="X602" s="7">
        <f>IF(COUNT(D602:S602)=0,"",INDEX($D$1:$S$1,MATCH(MIN(D602:S602),D602:S602,0)))</f>
        <v/>
      </c>
      <c r="Y602" s="8" t="n">
        <v>3995</v>
      </c>
      <c r="Z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>
        <f>IF(COUNT(D603:S603)=0,"",MIN(D603:S603))</f>
        <v/>
      </c>
      <c r="U603" s="8">
        <f>IF(COUNT(D603:S603)=0,"",MEDIAN(D603:S603))</f>
        <v/>
      </c>
      <c r="V603" s="8">
        <f>IF(COUNT(D603:S603)=0,"",MAX(D603:S603))</f>
        <v/>
      </c>
      <c r="W603" s="9">
        <f>IF(OR(T603="",T603=0),"",(V603-T603)/T603)</f>
        <v/>
      </c>
      <c r="X603" s="7">
        <f>IF(COUNT(D603:S603)=0,"",INDEX($D$1:$S$1,MATCH(MIN(D603:S603),D603:S603,0)))</f>
        <v/>
      </c>
      <c r="Y603" s="8" t="n">
        <v>295</v>
      </c>
      <c r="Z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>
        <f>IF(COUNT(D604:S604)=0,"",MIN(D604:S604))</f>
        <v/>
      </c>
      <c r="U604" s="8">
        <f>IF(COUNT(D604:S604)=0,"",MEDIAN(D604:S604))</f>
        <v/>
      </c>
      <c r="V604" s="8">
        <f>IF(COUNT(D604:S604)=0,"",MAX(D604:S604))</f>
        <v/>
      </c>
      <c r="W604" s="9">
        <f>IF(OR(T604="",T604=0),"",(V604-T604)/T604)</f>
        <v/>
      </c>
      <c r="X604" s="7">
        <f>IF(COUNT(D604:S604)=0,"",INDEX($D$1:$S$1,MATCH(MIN(D604:S604),D604:S604,0)))</f>
        <v/>
      </c>
      <c r="Y604" s="8" t="n">
        <v>375</v>
      </c>
      <c r="Z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>
        <f>IF(COUNT(D605:S605)=0,"",MIN(D605:S605))</f>
        <v/>
      </c>
      <c r="U605" s="8">
        <f>IF(COUNT(D605:S605)=0,"",MEDIAN(D605:S605))</f>
        <v/>
      </c>
      <c r="V605" s="8">
        <f>IF(COUNT(D605:S605)=0,"",MAX(D605:S605))</f>
        <v/>
      </c>
      <c r="W605" s="9">
        <f>IF(OR(T605="",T605=0),"",(V605-T605)/T605)</f>
        <v/>
      </c>
      <c r="X605" s="7">
        <f>IF(COUNT(D605:S605)=0,"",INDEX($D$1:$S$1,MATCH(MIN(D605:S605),D605:S605,0)))</f>
        <v/>
      </c>
      <c r="Y605" s="8" t="n">
        <v>160</v>
      </c>
      <c r="Z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>
        <f>IF(COUNT(D606:S606)=0,"",MIN(D606:S606))</f>
        <v/>
      </c>
      <c r="U606" s="8">
        <f>IF(COUNT(D606:S606)=0,"",MEDIAN(D606:S606))</f>
        <v/>
      </c>
      <c r="V606" s="8">
        <f>IF(COUNT(D606:S606)=0,"",MAX(D606:S606))</f>
        <v/>
      </c>
      <c r="W606" s="9">
        <f>IF(OR(T606="",T606=0),"",(V606-T606)/T606)</f>
        <v/>
      </c>
      <c r="X606" s="7">
        <f>IF(COUNT(D606:S606)=0,"",INDEX($D$1:$S$1,MATCH(MIN(D606:S606),D606:S606,0)))</f>
        <v/>
      </c>
      <c r="Y606" s="8" t="n">
        <v>4000</v>
      </c>
      <c r="Z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>
        <f>IF(COUNT(D607:S607)=0,"",MIN(D607:S607))</f>
        <v/>
      </c>
      <c r="U607" s="8">
        <f>IF(COUNT(D607:S607)=0,"",MEDIAN(D607:S607))</f>
        <v/>
      </c>
      <c r="V607" s="8">
        <f>IF(COUNT(D607:S607)=0,"",MAX(D607:S607))</f>
        <v/>
      </c>
      <c r="W607" s="9">
        <f>IF(OR(T607="",T607=0),"",(V607-T607)/T607)</f>
        <v/>
      </c>
      <c r="X607" s="7">
        <f>IF(COUNT(D607:S607)=0,"",INDEX($D$1:$S$1,MATCH(MIN(D607:S607),D607:S607,0)))</f>
        <v/>
      </c>
      <c r="Y607" s="8" t="n">
        <v>1425</v>
      </c>
      <c r="Z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>
        <f>IF(COUNT(D608:S608)=0,"",MIN(D608:S608))</f>
        <v/>
      </c>
      <c r="U608" s="8">
        <f>IF(COUNT(D608:S608)=0,"",MEDIAN(D608:S608))</f>
        <v/>
      </c>
      <c r="V608" s="8">
        <f>IF(COUNT(D608:S608)=0,"",MAX(D608:S608))</f>
        <v/>
      </c>
      <c r="W608" s="9">
        <f>IF(OR(T608="",T608=0),"",(V608-T608)/T608)</f>
        <v/>
      </c>
      <c r="X608" s="7">
        <f>IF(COUNT(D608:S608)=0,"",INDEX($D$1:$S$1,MATCH(MIN(D608:S608),D608:S608,0)))</f>
        <v/>
      </c>
      <c r="Y608" s="8" t="n">
        <v>3262.23</v>
      </c>
      <c r="Z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>
        <f>IF(COUNT(D609:S609)=0,"",MIN(D609:S609))</f>
        <v/>
      </c>
      <c r="U609" s="8">
        <f>IF(COUNT(D609:S609)=0,"",MEDIAN(D609:S609))</f>
        <v/>
      </c>
      <c r="V609" s="8">
        <f>IF(COUNT(D609:S609)=0,"",MAX(D609:S609))</f>
        <v/>
      </c>
      <c r="W609" s="9">
        <f>IF(OR(T609="",T609=0),"",(V609-T609)/T609)</f>
        <v/>
      </c>
      <c r="X609" s="7">
        <f>IF(COUNT(D609:S609)=0,"",INDEX($D$1:$S$1,MATCH(MIN(D609:S609),D609:S609,0)))</f>
        <v/>
      </c>
      <c r="Y609" s="8" t="n">
        <v>3248.99</v>
      </c>
      <c r="Z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>
        <f>IF(COUNT(D610:S610)=0,"",MIN(D610:S610))</f>
        <v/>
      </c>
      <c r="U610" s="8">
        <f>IF(COUNT(D610:S610)=0,"",MEDIAN(D610:S610))</f>
        <v/>
      </c>
      <c r="V610" s="8">
        <f>IF(COUNT(D610:S610)=0,"",MAX(D610:S610))</f>
        <v/>
      </c>
      <c r="W610" s="9">
        <f>IF(OR(T610="",T610=0),"",(V610-T610)/T610)</f>
        <v/>
      </c>
      <c r="X610" s="7">
        <f>IF(COUNT(D610:S610)=0,"",INDEX($D$1:$S$1,MATCH(MIN(D610:S610),D610:S610,0)))</f>
        <v/>
      </c>
      <c r="Y610" s="8" t="n">
        <v>19817.88</v>
      </c>
      <c r="Z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>
        <f>IF(COUNT(D611:S611)=0,"",MIN(D611:S611))</f>
        <v/>
      </c>
      <c r="U611" s="8">
        <f>IF(COUNT(D611:S611)=0,"",MEDIAN(D611:S611))</f>
        <v/>
      </c>
      <c r="V611" s="8">
        <f>IF(COUNT(D611:S611)=0,"",MAX(D611:S611))</f>
        <v/>
      </c>
      <c r="W611" s="9">
        <f>IF(OR(T611="",T611=0),"",(V611-T611)/T611)</f>
        <v/>
      </c>
      <c r="X611" s="7">
        <f>IF(COUNT(D611:S611)=0,"",INDEX($D$1:$S$1,MATCH(MIN(D611:S611),D611:S611,0)))</f>
        <v/>
      </c>
      <c r="Y611" s="8" t="n">
        <v>5428.74</v>
      </c>
      <c r="Z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>
        <f>IF(COUNT(D612:S612)=0,"",MIN(D612:S612))</f>
        <v/>
      </c>
      <c r="U612" s="8">
        <f>IF(COUNT(D612:S612)=0,"",MEDIAN(D612:S612))</f>
        <v/>
      </c>
      <c r="V612" s="8">
        <f>IF(COUNT(D612:S612)=0,"",MAX(D612:S612))</f>
        <v/>
      </c>
      <c r="W612" s="9">
        <f>IF(OR(T612="",T612=0),"",(V612-T612)/T612)</f>
        <v/>
      </c>
      <c r="X612" s="7">
        <f>IF(COUNT(D612:S612)=0,"",INDEX($D$1:$S$1,MATCH(MIN(D612:S612),D612:S612,0)))</f>
        <v/>
      </c>
      <c r="Y612" s="8" t="n">
        <v>18281.61</v>
      </c>
      <c r="Z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>
        <f>IF(COUNT(D613:S613)=0,"",MIN(D613:S613))</f>
        <v/>
      </c>
      <c r="U613" s="8">
        <f>IF(COUNT(D613:S613)=0,"",MEDIAN(D613:S613))</f>
        <v/>
      </c>
      <c r="V613" s="8">
        <f>IF(COUNT(D613:S613)=0,"",MAX(D613:S613))</f>
        <v/>
      </c>
      <c r="W613" s="9">
        <f>IF(OR(T613="",T613=0),"",(V613-T613)/T613)</f>
        <v/>
      </c>
      <c r="X613" s="7">
        <f>IF(COUNT(D613:S613)=0,"",INDEX($D$1:$S$1,MATCH(MIN(D613:S613),D613:S613,0)))</f>
        <v/>
      </c>
      <c r="Y613" s="8" t="n">
        <v>21671.14</v>
      </c>
      <c r="Z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>
        <f>IF(COUNT(D614:S614)=0,"",MIN(D614:S614))</f>
        <v/>
      </c>
      <c r="U614" s="8">
        <f>IF(COUNT(D614:S614)=0,"",MEDIAN(D614:S614))</f>
        <v/>
      </c>
      <c r="V614" s="8">
        <f>IF(COUNT(D614:S614)=0,"",MAX(D614:S614))</f>
        <v/>
      </c>
      <c r="W614" s="9">
        <f>IF(OR(T614="",T614=0),"",(V614-T614)/T614)</f>
        <v/>
      </c>
      <c r="X614" s="7">
        <f>IF(COUNT(D614:S614)=0,"",INDEX($D$1:$S$1,MATCH(MIN(D614:S614),D614:S614,0)))</f>
        <v/>
      </c>
      <c r="Y614" s="8" t="n">
        <v>28269.25</v>
      </c>
      <c r="Z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>
        <f>IF(COUNT(D615:S615)=0,"",MIN(D615:S615))</f>
        <v/>
      </c>
      <c r="U615" s="8">
        <f>IF(COUNT(D615:S615)=0,"",MEDIAN(D615:S615))</f>
        <v/>
      </c>
      <c r="V615" s="8">
        <f>IF(COUNT(D615:S615)=0,"",MAX(D615:S615))</f>
        <v/>
      </c>
      <c r="W615" s="9">
        <f>IF(OR(T615="",T615=0),"",(V615-T615)/T615)</f>
        <v/>
      </c>
      <c r="X615" s="7">
        <f>IF(COUNT(D615:S615)=0,"",INDEX($D$1:$S$1,MATCH(MIN(D615:S615),D615:S615,0)))</f>
        <v/>
      </c>
      <c r="Y615" s="8" t="n">
        <v>1635</v>
      </c>
      <c r="Z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>
        <f>IF(COUNT(D616:S616)=0,"",MIN(D616:S616))</f>
        <v/>
      </c>
      <c r="U616" s="8">
        <f>IF(COUNT(D616:S616)=0,"",MEDIAN(D616:S616))</f>
        <v/>
      </c>
      <c r="V616" s="8">
        <f>IF(COUNT(D616:S616)=0,"",MAX(D616:S616))</f>
        <v/>
      </c>
      <c r="W616" s="9">
        <f>IF(OR(T616="",T616=0),"",(V616-T616)/T616)</f>
        <v/>
      </c>
      <c r="X616" s="7">
        <f>IF(COUNT(D616:S616)=0,"",INDEX($D$1:$S$1,MATCH(MIN(D616:S616),D616:S616,0)))</f>
        <v/>
      </c>
      <c r="Y616" s="8" t="n">
        <v>74.84999999999999</v>
      </c>
      <c r="Z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>
        <f>IF(COUNT(D617:S617)=0,"",MIN(D617:S617))</f>
        <v/>
      </c>
      <c r="U617" s="8">
        <f>IF(COUNT(D617:S617)=0,"",MEDIAN(D617:S617))</f>
        <v/>
      </c>
      <c r="V617" s="8">
        <f>IF(COUNT(D617:S617)=0,"",MAX(D617:S617))</f>
        <v/>
      </c>
      <c r="W617" s="9">
        <f>IF(OR(T617="",T617=0),"",(V617-T617)/T617)</f>
        <v/>
      </c>
      <c r="X617" s="7">
        <f>IF(COUNT(D617:S617)=0,"",INDEX($D$1:$S$1,MATCH(MIN(D617:S617),D617:S617,0)))</f>
        <v/>
      </c>
      <c r="Y617" s="8" t="n">
        <v>5265.16</v>
      </c>
      <c r="Z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>
        <f>IF(COUNT(D618:S618)=0,"",MIN(D618:S618))</f>
        <v/>
      </c>
      <c r="U618" s="8">
        <f>IF(COUNT(D618:S618)=0,"",MEDIAN(D618:S618))</f>
        <v/>
      </c>
      <c r="V618" s="8">
        <f>IF(COUNT(D618:S618)=0,"",MAX(D618:S618))</f>
        <v/>
      </c>
      <c r="W618" s="9">
        <f>IF(OR(T618="",T618=0),"",(V618-T618)/T618)</f>
        <v/>
      </c>
      <c r="X618" s="7">
        <f>IF(COUNT(D618:S618)=0,"",INDEX($D$1:$S$1,MATCH(MIN(D618:S618),D618:S618,0)))</f>
        <v/>
      </c>
      <c r="Y618" s="8" t="n">
        <v>3040</v>
      </c>
      <c r="Z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>
        <f>IF(COUNT(D619:S619)=0,"",MIN(D619:S619))</f>
        <v/>
      </c>
      <c r="U619" s="8">
        <f>IF(COUNT(D619:S619)=0,"",MEDIAN(D619:S619))</f>
        <v/>
      </c>
      <c r="V619" s="8">
        <f>IF(COUNT(D619:S619)=0,"",MAX(D619:S619))</f>
        <v/>
      </c>
      <c r="W619" s="9">
        <f>IF(OR(T619="",T619=0),"",(V619-T619)/T619)</f>
        <v/>
      </c>
      <c r="X619" s="7">
        <f>IF(COUNT(D619:S619)=0,"",INDEX($D$1:$S$1,MATCH(MIN(D619:S619),D619:S619,0)))</f>
        <v/>
      </c>
      <c r="Y619" s="8" t="n">
        <v>13423.68</v>
      </c>
      <c r="Z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>
        <f>IF(COUNT(D620:S620)=0,"",MIN(D620:S620))</f>
        <v/>
      </c>
      <c r="U620" s="8">
        <f>IF(COUNT(D620:S620)=0,"",MEDIAN(D620:S620))</f>
        <v/>
      </c>
      <c r="V620" s="8">
        <f>IF(COUNT(D620:S620)=0,"",MAX(D620:S620))</f>
        <v/>
      </c>
      <c r="W620" s="9">
        <f>IF(OR(T620="",T620=0),"",(V620-T620)/T620)</f>
        <v/>
      </c>
      <c r="X620" s="7">
        <f>IF(COUNT(D620:S620)=0,"",INDEX($D$1:$S$1,MATCH(MIN(D620:S620),D620:S620,0)))</f>
        <v/>
      </c>
      <c r="Y620" s="8" t="n">
        <v>37416.26</v>
      </c>
      <c r="Z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>
        <f>IF(COUNT(D621:S621)=0,"",MIN(D621:S621))</f>
        <v/>
      </c>
      <c r="U621" s="8">
        <f>IF(COUNT(D621:S621)=0,"",MEDIAN(D621:S621))</f>
        <v/>
      </c>
      <c r="V621" s="8">
        <f>IF(COUNT(D621:S621)=0,"",MAX(D621:S621))</f>
        <v/>
      </c>
      <c r="W621" s="9">
        <f>IF(OR(T621="",T621=0),"",(V621-T621)/T621)</f>
        <v/>
      </c>
      <c r="X621" s="7">
        <f>IF(COUNT(D621:S621)=0,"",INDEX($D$1:$S$1,MATCH(MIN(D621:S621),D621:S621,0)))</f>
        <v/>
      </c>
      <c r="Y621" s="8" t="n">
        <v>21066.29</v>
      </c>
      <c r="Z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>
        <f>IF(COUNT(D622:S622)=0,"",MIN(D622:S622))</f>
        <v/>
      </c>
      <c r="U622" s="8">
        <f>IF(COUNT(D622:S622)=0,"",MEDIAN(D622:S622))</f>
        <v/>
      </c>
      <c r="V622" s="8">
        <f>IF(COUNT(D622:S622)=0,"",MAX(D622:S622))</f>
        <v/>
      </c>
      <c r="W622" s="9">
        <f>IF(OR(T622="",T622=0),"",(V622-T622)/T622)</f>
        <v/>
      </c>
      <c r="X622" s="7">
        <f>IF(COUNT(D622:S622)=0,"",INDEX($D$1:$S$1,MATCH(MIN(D622:S622),D622:S622,0)))</f>
        <v/>
      </c>
      <c r="Y622" s="8" t="n">
        <v>13464.3</v>
      </c>
      <c r="Z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>
        <f>IF(COUNT(D623:S623)=0,"",MIN(D623:S623))</f>
        <v/>
      </c>
      <c r="U623" s="8">
        <f>IF(COUNT(D623:S623)=0,"",MEDIAN(D623:S623))</f>
        <v/>
      </c>
      <c r="V623" s="8">
        <f>IF(COUNT(D623:S623)=0,"",MAX(D623:S623))</f>
        <v/>
      </c>
      <c r="W623" s="9">
        <f>IF(OR(T623="",T623=0),"",(V623-T623)/T623)</f>
        <v/>
      </c>
      <c r="X623" s="7">
        <f>IF(COUNT(D623:S623)=0,"",INDEX($D$1:$S$1,MATCH(MIN(D623:S623),D623:S623,0)))</f>
        <v/>
      </c>
      <c r="Y623" s="8" t="n">
        <v>13176.46</v>
      </c>
      <c r="Z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>
        <f>IF(COUNT(D624:S624)=0,"",MIN(D624:S624))</f>
        <v/>
      </c>
      <c r="U624" s="8">
        <f>IF(COUNT(D624:S624)=0,"",MEDIAN(D624:S624))</f>
        <v/>
      </c>
      <c r="V624" s="8">
        <f>IF(COUNT(D624:S624)=0,"",MAX(D624:S624))</f>
        <v/>
      </c>
      <c r="W624" s="9">
        <f>IF(OR(T624="",T624=0),"",(V624-T624)/T624)</f>
        <v/>
      </c>
      <c r="X624" s="7">
        <f>IF(COUNT(D624:S624)=0,"",INDEX($D$1:$S$1,MATCH(MIN(D624:S624),D624:S624,0)))</f>
        <v/>
      </c>
      <c r="Y624" s="8" t="n">
        <v>3285</v>
      </c>
      <c r="Z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>
        <f>IF(COUNT(D625:S625)=0,"",MIN(D625:S625))</f>
        <v/>
      </c>
      <c r="U625" s="8">
        <f>IF(COUNT(D625:S625)=0,"",MEDIAN(D625:S625))</f>
        <v/>
      </c>
      <c r="V625" s="8">
        <f>IF(COUNT(D625:S625)=0,"",MAX(D625:S625))</f>
        <v/>
      </c>
      <c r="W625" s="9">
        <f>IF(OR(T625="",T625=0),"",(V625-T625)/T625)</f>
        <v/>
      </c>
      <c r="X625" s="7">
        <f>IF(COUNT(D625:S625)=0,"",INDEX($D$1:$S$1,MATCH(MIN(D625:S625),D625:S625,0)))</f>
        <v/>
      </c>
      <c r="Y625" s="8" t="n">
        <v>6540</v>
      </c>
      <c r="Z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>
        <f>IF(COUNT(D626:S626)=0,"",MIN(D626:S626))</f>
        <v/>
      </c>
      <c r="U626" s="8">
        <f>IF(COUNT(D626:S626)=0,"",MEDIAN(D626:S626))</f>
        <v/>
      </c>
      <c r="V626" s="8">
        <f>IF(COUNT(D626:S626)=0,"",MAX(D626:S626))</f>
        <v/>
      </c>
      <c r="W626" s="9">
        <f>IF(OR(T626="",T626=0),"",(V626-T626)/T626)</f>
        <v/>
      </c>
      <c r="X626" s="7">
        <f>IF(COUNT(D626:S626)=0,"",INDEX($D$1:$S$1,MATCH(MIN(D626:S626),D626:S626,0)))</f>
        <v/>
      </c>
      <c r="Y626" s="8" t="n">
        <v>45860</v>
      </c>
      <c r="Z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>
        <f>IF(COUNT(D627:S627)=0,"",MIN(D627:S627))</f>
        <v/>
      </c>
      <c r="U627" s="8">
        <f>IF(COUNT(D627:S627)=0,"",MEDIAN(D627:S627))</f>
        <v/>
      </c>
      <c r="V627" s="8">
        <f>IF(COUNT(D627:S627)=0,"",MAX(D627:S627))</f>
        <v/>
      </c>
      <c r="W627" s="9">
        <f>IF(OR(T627="",T627=0),"",(V627-T627)/T627)</f>
        <v/>
      </c>
      <c r="X627" s="7">
        <f>IF(COUNT(D627:S627)=0,"",INDEX($D$1:$S$1,MATCH(MIN(D627:S627),D627:S627,0)))</f>
        <v/>
      </c>
      <c r="Y627" s="8" t="n">
        <v>20289.07</v>
      </c>
      <c r="Z627" s="10" t="n">
        <v>1</v>
      </c>
    </row>
    <row r="628">
      <c r="A628" s="7" t="inlineStr">
        <is>
          <t>MAT-09-113</t>
        </is>
      </c>
      <c r="B628" s="4" t="inlineStr">
        <is>
          <t>Fregadero de 2 pozos, 47 x 20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6665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>
        <f>IF(COUNT(D628:S628)=0,"",MIN(D628:S628))</f>
        <v/>
      </c>
      <c r="U628" s="8">
        <f>IF(COUNT(D628:S628)=0,"",MEDIAN(D628:S628))</f>
        <v/>
      </c>
      <c r="V628" s="8">
        <f>IF(COUNT(D628:S628)=0,"",MAX(D628:S628))</f>
        <v/>
      </c>
      <c r="W628" s="9">
        <f>IF(OR(T628="",T628=0),"",(V628-T628)/T628)</f>
        <v/>
      </c>
      <c r="X628" s="7">
        <f>IF(COUNT(D628:S628)=0,"",INDEX($D$1:$S$1,MATCH(MIN(D628:S628),D628:S628,0)))</f>
        <v/>
      </c>
      <c r="Y628" s="8" t="n">
        <v>6672.5</v>
      </c>
      <c r="Z628" s="10" t="n">
        <v>1</v>
      </c>
    </row>
    <row r="629">
      <c r="A629" s="7" t="inlineStr">
        <is>
          <t>MAT-09-114</t>
        </is>
      </c>
      <c r="B629" s="4" t="inlineStr">
        <is>
          <t>Llave de bebedero</t>
        </is>
      </c>
      <c r="C629" s="7" t="inlineStr">
        <is>
          <t>unidad</t>
        </is>
      </c>
      <c r="D629" s="8" t="n"/>
      <c r="E629" s="8" t="n"/>
      <c r="F629" s="8" t="n"/>
      <c r="G629" s="8" t="n">
        <v>205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>
        <f>IF(COUNT(D629:S629)=0,"",MIN(D629:S629))</f>
        <v/>
      </c>
      <c r="U629" s="8">
        <f>IF(COUNT(D629:S629)=0,"",MEDIAN(D629:S629))</f>
        <v/>
      </c>
      <c r="V629" s="8">
        <f>IF(COUNT(D629:S629)=0,"",MAX(D629:S629))</f>
        <v/>
      </c>
      <c r="W629" s="9">
        <f>IF(OR(T629="",T629=0),"",(V629-T629)/T629)</f>
        <v/>
      </c>
      <c r="X629" s="7">
        <f>IF(COUNT(D629:S629)=0,"",INDEX($D$1:$S$1,MATCH(MIN(D629:S629),D629:S629,0)))</f>
        <v/>
      </c>
      <c r="Y629" s="8" t="n">
        <v>217.5</v>
      </c>
      <c r="Z629" s="10" t="n">
        <v>1</v>
      </c>
    </row>
    <row r="630">
      <c r="A630" s="7" t="inlineStr">
        <is>
          <t>MAT-10-017</t>
        </is>
      </c>
      <c r="B630" s="4" t="inlineStr">
        <is>
          <t>Bombillo ahorrador de 105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785</v>
      </c>
      <c r="M630" s="8" t="n"/>
      <c r="N630" s="8" t="n"/>
      <c r="O630" s="8" t="n"/>
      <c r="P630" s="8" t="n"/>
      <c r="Q630" s="8" t="n"/>
      <c r="R630" s="8" t="n"/>
      <c r="S630" s="8" t="n"/>
      <c r="T630" s="8">
        <f>IF(COUNT(D630:S630)=0,"",MIN(D630:S630))</f>
        <v/>
      </c>
      <c r="U630" s="8">
        <f>IF(COUNT(D630:S630)=0,"",MEDIAN(D630:S630))</f>
        <v/>
      </c>
      <c r="V630" s="8">
        <f>IF(COUNT(D630:S630)=0,"",MAX(D630:S630))</f>
        <v/>
      </c>
      <c r="W630" s="9">
        <f>IF(OR(T630="",T630=0),"",(V630-T630)/T630)</f>
        <v/>
      </c>
      <c r="X630" s="7">
        <f>IF(COUNT(D630:S630)=0,"",INDEX($D$1:$S$1,MATCH(MIN(D630:S630),D630:S630,0)))</f>
        <v/>
      </c>
      <c r="Y630" s="8" t="n">
        <v>785</v>
      </c>
      <c r="Z630" s="10" t="n">
        <v>1</v>
      </c>
    </row>
    <row r="631">
      <c r="A631" s="7" t="inlineStr">
        <is>
          <t>MAT-10-018</t>
        </is>
      </c>
      <c r="B631" s="4" t="inlineStr">
        <is>
          <t>Bombillo ahorrador de 11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 t="n"/>
      <c r="S631" s="8" t="n"/>
      <c r="T631" s="8">
        <f>IF(COUNT(D631:S631)=0,"",MIN(D631:S631))</f>
        <v/>
      </c>
      <c r="U631" s="8">
        <f>IF(COUNT(D631:S631)=0,"",MEDIAN(D631:S631))</f>
        <v/>
      </c>
      <c r="V631" s="8">
        <f>IF(COUNT(D631:S631)=0,"",MAX(D631:S631))</f>
        <v/>
      </c>
      <c r="W631" s="9">
        <f>IF(OR(T631="",T631=0),"",(V631-T631)/T631)</f>
        <v/>
      </c>
      <c r="X631" s="7">
        <f>IF(COUNT(D631:S631)=0,"",INDEX($D$1:$S$1,MATCH(MIN(D631:S631),D631:S631,0)))</f>
        <v/>
      </c>
      <c r="Y631" s="8" t="n">
        <v>100</v>
      </c>
      <c r="Z631" s="10" t="n">
        <v>1</v>
      </c>
    </row>
    <row r="632">
      <c r="A632" s="7" t="inlineStr">
        <is>
          <t>MAT-10-019</t>
        </is>
      </c>
      <c r="B632" s="4" t="inlineStr">
        <is>
          <t>Bombillo ahorrador de 15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 t="n"/>
      <c r="T632" s="8">
        <f>IF(COUNT(D632:S632)=0,"",MIN(D632:S632))</f>
        <v/>
      </c>
      <c r="U632" s="8">
        <f>IF(COUNT(D632:S632)=0,"",MEDIAN(D632:S632))</f>
        <v/>
      </c>
      <c r="V632" s="8">
        <f>IF(COUNT(D632:S632)=0,"",MAX(D632:S632))</f>
        <v/>
      </c>
      <c r="W632" s="9">
        <f>IF(OR(T632="",T632=0),"",(V632-T632)/T632)</f>
        <v/>
      </c>
      <c r="X632" s="7">
        <f>IF(COUNT(D632:S632)=0,"",INDEX($D$1:$S$1,MATCH(MIN(D632:S632),D632:S632,0)))</f>
        <v/>
      </c>
      <c r="Y632" s="8" t="n">
        <v>100</v>
      </c>
      <c r="Z632" s="10" t="n">
        <v>1</v>
      </c>
    </row>
    <row r="633">
      <c r="A633" s="7" t="inlineStr">
        <is>
          <t>MAT-10-020</t>
        </is>
      </c>
      <c r="B633" s="4" t="inlineStr">
        <is>
          <t>Bombillo ahorrador de 25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 t="n"/>
      <c r="T633" s="8">
        <f>IF(COUNT(D633:S633)=0,"",MIN(D633:S633))</f>
        <v/>
      </c>
      <c r="U633" s="8">
        <f>IF(COUNT(D633:S633)=0,"",MEDIAN(D633:S633))</f>
        <v/>
      </c>
      <c r="V633" s="8">
        <f>IF(COUNT(D633:S633)=0,"",MAX(D633:S633))</f>
        <v/>
      </c>
      <c r="W633" s="9">
        <f>IF(OR(T633="",T633=0),"",(V633-T633)/T633)</f>
        <v/>
      </c>
      <c r="X633" s="7">
        <f>IF(COUNT(D633:S633)=0,"",INDEX($D$1:$S$1,MATCH(MIN(D633:S633),D633:S633,0)))</f>
        <v/>
      </c>
      <c r="Y633" s="8" t="n">
        <v>100</v>
      </c>
      <c r="Z633" s="10" t="n">
        <v>1</v>
      </c>
    </row>
    <row r="634">
      <c r="A634" s="7" t="inlineStr">
        <is>
          <t>MAT-10-021</t>
        </is>
      </c>
      <c r="B634" s="4" t="inlineStr">
        <is>
          <t>Bombillo ahorrador de 45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313.56</v>
      </c>
      <c r="M634" s="8" t="n"/>
      <c r="N634" s="8" t="n"/>
      <c r="O634" s="8" t="n"/>
      <c r="P634" s="8" t="n"/>
      <c r="Q634" s="8" t="n"/>
      <c r="R634" s="8" t="n"/>
      <c r="S634" s="8" t="n"/>
      <c r="T634" s="8">
        <f>IF(COUNT(D634:S634)=0,"",MIN(D634:S634))</f>
        <v/>
      </c>
      <c r="U634" s="8">
        <f>IF(COUNT(D634:S634)=0,"",MEDIAN(D634:S634))</f>
        <v/>
      </c>
      <c r="V634" s="8">
        <f>IF(COUNT(D634:S634)=0,"",MAX(D634:S634))</f>
        <v/>
      </c>
      <c r="W634" s="9">
        <f>IF(OR(T634="",T634=0),"",(V634-T634)/T634)</f>
        <v/>
      </c>
      <c r="X634" s="7">
        <f>IF(COUNT(D634:S634)=0,"",INDEX($D$1:$S$1,MATCH(MIN(D634:S634),D634:S634,0)))</f>
        <v/>
      </c>
      <c r="Y634" s="8" t="n">
        <v>313.56</v>
      </c>
      <c r="Z634" s="10" t="n">
        <v>1</v>
      </c>
    </row>
    <row r="635">
      <c r="A635" s="7" t="inlineStr">
        <is>
          <t>MAT-10-022</t>
        </is>
      </c>
      <c r="B635" s="4" t="inlineStr">
        <is>
          <t>Bombillo ahorrador de 7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100</v>
      </c>
      <c r="M635" s="8" t="n"/>
      <c r="N635" s="8" t="n"/>
      <c r="O635" s="8" t="n"/>
      <c r="P635" s="8" t="n"/>
      <c r="Q635" s="8" t="n"/>
      <c r="R635" s="8" t="n"/>
      <c r="S635" s="8" t="n"/>
      <c r="T635" s="8">
        <f>IF(COUNT(D635:S635)=0,"",MIN(D635:S635))</f>
        <v/>
      </c>
      <c r="U635" s="8">
        <f>IF(COUNT(D635:S635)=0,"",MEDIAN(D635:S635))</f>
        <v/>
      </c>
      <c r="V635" s="8">
        <f>IF(COUNT(D635:S635)=0,"",MAX(D635:S635))</f>
        <v/>
      </c>
      <c r="W635" s="9">
        <f>IF(OR(T635="",T635=0),"",(V635-T635)/T635)</f>
        <v/>
      </c>
      <c r="X635" s="7">
        <f>IF(COUNT(D635:S635)=0,"",INDEX($D$1:$S$1,MATCH(MIN(D635:S635),D635:S635,0)))</f>
        <v/>
      </c>
      <c r="Y635" s="8" t="n">
        <v>100</v>
      </c>
      <c r="Z635" s="10" t="n">
        <v>1</v>
      </c>
    </row>
    <row r="636">
      <c r="A636" s="7" t="inlineStr">
        <is>
          <t>MAT-10-023</t>
        </is>
      </c>
      <c r="B636" s="4" t="inlineStr">
        <is>
          <t>Bombillo ahorrador de 85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795</v>
      </c>
      <c r="M636" s="8" t="n"/>
      <c r="N636" s="8" t="n"/>
      <c r="O636" s="8" t="n"/>
      <c r="P636" s="8" t="n"/>
      <c r="Q636" s="8" t="n"/>
      <c r="R636" s="8" t="n"/>
      <c r="S636" s="8" t="n"/>
      <c r="T636" s="8">
        <f>IF(COUNT(D636:S636)=0,"",MIN(D636:S636))</f>
        <v/>
      </c>
      <c r="U636" s="8">
        <f>IF(COUNT(D636:S636)=0,"",MEDIAN(D636:S636))</f>
        <v/>
      </c>
      <c r="V636" s="8">
        <f>IF(COUNT(D636:S636)=0,"",MAX(D636:S636))</f>
        <v/>
      </c>
      <c r="W636" s="9">
        <f>IF(OR(T636="",T636=0),"",(V636-T636)/T636)</f>
        <v/>
      </c>
      <c r="X636" s="7">
        <f>IF(COUNT(D636:S636)=0,"",INDEX($D$1:$S$1,MATCH(MIN(D636:S636),D636:S636,0)))</f>
        <v/>
      </c>
      <c r="Y636" s="8" t="n">
        <v>795</v>
      </c>
      <c r="Z636" s="10" t="n">
        <v>1</v>
      </c>
    </row>
    <row r="637">
      <c r="A637" s="7" t="inlineStr">
        <is>
          <t>MAT-10-024</t>
        </is>
      </c>
      <c r="B637" s="4" t="inlineStr">
        <is>
          <t>Bombillo bajo consumo de 11 W</t>
        </is>
      </c>
      <c r="C637" s="7" t="inlineStr">
        <is>
          <t>unidad</t>
        </is>
      </c>
      <c r="D637" s="8" t="n"/>
      <c r="E637" s="8" t="n">
        <v>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>
        <f>IF(COUNT(D637:S637)=0,"",MIN(D637:S637))</f>
        <v/>
      </c>
      <c r="U637" s="8">
        <f>IF(COUNT(D637:S637)=0,"",MEDIAN(D637:S637))</f>
        <v/>
      </c>
      <c r="V637" s="8">
        <f>IF(COUNT(D637:S637)=0,"",MAX(D637:S637))</f>
        <v/>
      </c>
      <c r="W637" s="9">
        <f>IF(OR(T637="",T637=0),"",(V637-T637)/T637)</f>
        <v/>
      </c>
      <c r="X637" s="7">
        <f>IF(COUNT(D637:S637)=0,"",INDEX($D$1:$S$1,MATCH(MIN(D637:S637),D637:S637,0)))</f>
        <v/>
      </c>
      <c r="Y637" s="8" t="n">
        <v>95</v>
      </c>
      <c r="Z637" s="10" t="n">
        <v>1</v>
      </c>
    </row>
    <row r="638">
      <c r="A638" s="7" t="inlineStr">
        <is>
          <t>MAT-10-025</t>
        </is>
      </c>
      <c r="B638" s="4" t="inlineStr">
        <is>
          <t>Bombillo bajo consumo de 13 W</t>
        </is>
      </c>
      <c r="C638" s="7" t="inlineStr">
        <is>
          <t>unidad</t>
        </is>
      </c>
      <c r="D638" s="8" t="n"/>
      <c r="E638" s="8" t="n">
        <v>102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>
        <f>IF(COUNT(D638:S638)=0,"",MIN(D638:S638))</f>
        <v/>
      </c>
      <c r="U638" s="8">
        <f>IF(COUNT(D638:S638)=0,"",MEDIAN(D638:S638))</f>
        <v/>
      </c>
      <c r="V638" s="8">
        <f>IF(COUNT(D638:S638)=0,"",MAX(D638:S638))</f>
        <v/>
      </c>
      <c r="W638" s="9">
        <f>IF(OR(T638="",T638=0),"",(V638-T638)/T638)</f>
        <v/>
      </c>
      <c r="X638" s="7">
        <f>IF(COUNT(D638:S638)=0,"",INDEX($D$1:$S$1,MATCH(MIN(D638:S638),D638:S638,0)))</f>
        <v/>
      </c>
      <c r="Y638" s="8" t="n">
        <v>102</v>
      </c>
      <c r="Z638" s="10" t="n">
        <v>1</v>
      </c>
    </row>
    <row r="639">
      <c r="A639" s="7" t="inlineStr">
        <is>
          <t>MAT-10-026</t>
        </is>
      </c>
      <c r="B639" s="4" t="inlineStr">
        <is>
          <t>Bombillo bajo consumo de 15 W</t>
        </is>
      </c>
      <c r="C639" s="7" t="inlineStr">
        <is>
          <t>unidad</t>
        </is>
      </c>
      <c r="D639" s="8" t="n"/>
      <c r="E639" s="8" t="n">
        <v>106</v>
      </c>
      <c r="F639" s="8" t="n"/>
      <c r="G639" s="8" t="n"/>
      <c r="H639" s="8" t="n"/>
      <c r="I639" s="8" t="n">
        <v>85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>
        <f>IF(COUNT(D639:S639)=0,"",MIN(D639:S639))</f>
        <v/>
      </c>
      <c r="U639" s="8">
        <f>IF(COUNT(D639:S639)=0,"",MEDIAN(D639:S639))</f>
        <v/>
      </c>
      <c r="V639" s="8">
        <f>IF(COUNT(D639:S639)=0,"",MAX(D639:S639))</f>
        <v/>
      </c>
      <c r="W639" s="9">
        <f>IF(OR(T639="",T639=0),"",(V639-T639)/T639)</f>
        <v/>
      </c>
      <c r="X639" s="7">
        <f>IF(COUNT(D639:S639)=0,"",INDEX($D$1:$S$1,MATCH(MIN(D639:S639),D639:S639,0)))</f>
        <v/>
      </c>
      <c r="Y639" s="8" t="n">
        <v>115.5</v>
      </c>
      <c r="Z639" s="10" t="n">
        <v>2</v>
      </c>
    </row>
    <row r="640">
      <c r="A640" s="7" t="inlineStr">
        <is>
          <t>MAT-10-027</t>
        </is>
      </c>
      <c r="B640" s="4" t="inlineStr">
        <is>
          <t>Bombillo bajo consumo de 20 W</t>
        </is>
      </c>
      <c r="C640" s="7" t="inlineStr">
        <is>
          <t>unidad</t>
        </is>
      </c>
      <c r="D640" s="8" t="n"/>
      <c r="E640" s="8" t="n">
        <v>110</v>
      </c>
      <c r="F640" s="8" t="n"/>
      <c r="G640" s="8" t="n"/>
      <c r="H640" s="8" t="n"/>
      <c r="I640" s="8" t="n">
        <v>135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>
        <f>IF(COUNT(D640:S640)=0,"",MIN(D640:S640))</f>
        <v/>
      </c>
      <c r="U640" s="8">
        <f>IF(COUNT(D640:S640)=0,"",MEDIAN(D640:S640))</f>
        <v/>
      </c>
      <c r="V640" s="8">
        <f>IF(COUNT(D640:S640)=0,"",MAX(D640:S640))</f>
        <v/>
      </c>
      <c r="W640" s="9">
        <f>IF(OR(T640="",T640=0),"",(V640-T640)/T640)</f>
        <v/>
      </c>
      <c r="X640" s="7">
        <f>IF(COUNT(D640:S640)=0,"",INDEX($D$1:$S$1,MATCH(MIN(D640:S640),D640:S640,0)))</f>
        <v/>
      </c>
      <c r="Y640" s="8" t="n">
        <v>135</v>
      </c>
      <c r="Z640" s="10" t="n">
        <v>2</v>
      </c>
    </row>
    <row r="641">
      <c r="A641" s="7" t="inlineStr">
        <is>
          <t>MAT-10-028</t>
        </is>
      </c>
      <c r="B641" s="4" t="inlineStr">
        <is>
          <t>Bombillo bajo consumo de 24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145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>
        <f>IF(COUNT(D641:S641)=0,"",MIN(D641:S641))</f>
        <v/>
      </c>
      <c r="U641" s="8">
        <f>IF(COUNT(D641:S641)=0,"",MEDIAN(D641:S641))</f>
        <v/>
      </c>
      <c r="V641" s="8">
        <f>IF(COUNT(D641:S641)=0,"",MAX(D641:S641))</f>
        <v/>
      </c>
      <c r="W641" s="9">
        <f>IF(OR(T641="",T641=0),"",(V641-T641)/T641)</f>
        <v/>
      </c>
      <c r="X641" s="7">
        <f>IF(COUNT(D641:S641)=0,"",INDEX($D$1:$S$1,MATCH(MIN(D641:S641),D641:S641,0)))</f>
        <v/>
      </c>
      <c r="Y641" s="8" t="n">
        <v>145</v>
      </c>
      <c r="Z641" s="10" t="n">
        <v>1</v>
      </c>
    </row>
    <row r="642">
      <c r="A642" s="7" t="inlineStr">
        <is>
          <t>MAT-10-029</t>
        </is>
      </c>
      <c r="B642" s="4" t="inlineStr">
        <is>
          <t>Bombillo bajo consumo de 45 W</t>
        </is>
      </c>
      <c r="C642" s="7" t="inlineStr">
        <is>
          <t>unidad</t>
        </is>
      </c>
      <c r="D642" s="8" t="n"/>
      <c r="E642" s="8" t="n">
        <v>595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>
        <f>IF(COUNT(D642:S642)=0,"",MIN(D642:S642))</f>
        <v/>
      </c>
      <c r="U642" s="8">
        <f>IF(COUNT(D642:S642)=0,"",MEDIAN(D642:S642))</f>
        <v/>
      </c>
      <c r="V642" s="8">
        <f>IF(COUNT(D642:S642)=0,"",MAX(D642:S642))</f>
        <v/>
      </c>
      <c r="W642" s="9">
        <f>IF(OR(T642="",T642=0),"",(V642-T642)/T642)</f>
        <v/>
      </c>
      <c r="X642" s="7">
        <f>IF(COUNT(D642:S642)=0,"",INDEX($D$1:$S$1,MATCH(MIN(D642:S642),D642:S642,0)))</f>
        <v/>
      </c>
      <c r="Y642" s="8" t="n">
        <v>595</v>
      </c>
      <c r="Z642" s="10" t="n">
        <v>1</v>
      </c>
    </row>
    <row r="643">
      <c r="A643" s="7" t="inlineStr">
        <is>
          <t>MAT-10-030</t>
        </is>
      </c>
      <c r="B643" s="4" t="inlineStr">
        <is>
          <t>Bombillo halógeno de 50 W</t>
        </is>
      </c>
      <c r="C643" s="7" t="inlineStr">
        <is>
          <t>unidad</t>
        </is>
      </c>
      <c r="D643" s="8" t="n"/>
      <c r="E643" s="8" t="n">
        <v>122</v>
      </c>
      <c r="F643" s="8" t="n"/>
      <c r="G643" s="8" t="n"/>
      <c r="H643" s="8" t="n"/>
      <c r="I643" s="8" t="n">
        <v>59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>
        <f>IF(COUNT(D643:S643)=0,"",MIN(D643:S643))</f>
        <v/>
      </c>
      <c r="U643" s="8">
        <f>IF(COUNT(D643:S643)=0,"",MEDIAN(D643:S643))</f>
        <v/>
      </c>
      <c r="V643" s="8">
        <f>IF(COUNT(D643:S643)=0,"",MAX(D643:S643))</f>
        <v/>
      </c>
      <c r="W643" s="9">
        <f>IF(OR(T643="",T643=0),"",(V643-T643)/T643)</f>
        <v/>
      </c>
      <c r="X643" s="7">
        <f>IF(COUNT(D643:S643)=0,"",INDEX($D$1:$S$1,MATCH(MIN(D643:S643),D643:S643,0)))</f>
        <v/>
      </c>
      <c r="Y643" s="8" t="n">
        <v>70</v>
      </c>
      <c r="Z643" s="10" t="n">
        <v>2</v>
      </c>
    </row>
    <row r="644">
      <c r="A644" s="7" t="inlineStr">
        <is>
          <t>MAT-10-031</t>
        </is>
      </c>
      <c r="B644" s="4" t="inlineStr">
        <is>
          <t>Bombillo halógeno de 75 W</t>
        </is>
      </c>
      <c r="C644" s="7" t="inlineStr">
        <is>
          <t>unidad</t>
        </is>
      </c>
      <c r="D644" s="8" t="n"/>
      <c r="E644" s="8" t="n">
        <v>234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>
        <f>IF(COUNT(D644:S644)=0,"",MIN(D644:S644))</f>
        <v/>
      </c>
      <c r="U644" s="8">
        <f>IF(COUNT(D644:S644)=0,"",MEDIAN(D644:S644))</f>
        <v/>
      </c>
      <c r="V644" s="8">
        <f>IF(COUNT(D644:S644)=0,"",MAX(D644:S644))</f>
        <v/>
      </c>
      <c r="W644" s="9">
        <f>IF(OR(T644="",T644=0),"",(V644-T644)/T644)</f>
        <v/>
      </c>
      <c r="X644" s="7">
        <f>IF(COUNT(D644:S644)=0,"",INDEX($D$1:$S$1,MATCH(MIN(D644:S644),D644:S644,0)))</f>
        <v/>
      </c>
      <c r="Y644" s="8" t="n">
        <v>234</v>
      </c>
      <c r="Z644" s="10" t="n">
        <v>1</v>
      </c>
    </row>
    <row r="645">
      <c r="A645" s="7" t="inlineStr">
        <is>
          <t>MAT-10-032</t>
        </is>
      </c>
      <c r="B645" s="4" t="inlineStr">
        <is>
          <t>Bombillo incandescente de 100 W</t>
        </is>
      </c>
      <c r="C645" s="7" t="inlineStr">
        <is>
          <t>unidad</t>
        </is>
      </c>
      <c r="D645" s="8" t="n"/>
      <c r="E645" s="8" t="n">
        <v>41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>
        <f>IF(COUNT(D645:S645)=0,"",MIN(D645:S645))</f>
        <v/>
      </c>
      <c r="U645" s="8">
        <f>IF(COUNT(D645:S645)=0,"",MEDIAN(D645:S645))</f>
        <v/>
      </c>
      <c r="V645" s="8">
        <f>IF(COUNT(D645:S645)=0,"",MAX(D645:S645))</f>
        <v/>
      </c>
      <c r="W645" s="9">
        <f>IF(OR(T645="",T645=0),"",(V645-T645)/T645)</f>
        <v/>
      </c>
      <c r="X645" s="7">
        <f>IF(COUNT(D645:S645)=0,"",INDEX($D$1:$S$1,MATCH(MIN(D645:S645),D645:S645,0)))</f>
        <v/>
      </c>
      <c r="Y645" s="8" t="n">
        <v>41</v>
      </c>
      <c r="Z645" s="10" t="n">
        <v>1</v>
      </c>
    </row>
    <row r="646">
      <c r="A646" s="7" t="inlineStr">
        <is>
          <t>MAT-10-033</t>
        </is>
      </c>
      <c r="B646" s="4" t="inlineStr">
        <is>
          <t>Bombillo incandescente de 11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50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>
        <f>IF(COUNT(D646:S646)=0,"",MIN(D646:S646))</f>
        <v/>
      </c>
      <c r="U646" s="8">
        <f>IF(COUNT(D646:S646)=0,"",MEDIAN(D646:S646))</f>
        <v/>
      </c>
      <c r="V646" s="8">
        <f>IF(COUNT(D646:S646)=0,"",MAX(D646:S646))</f>
        <v/>
      </c>
      <c r="W646" s="9">
        <f>IF(OR(T646="",T646=0),"",(V646-T646)/T646)</f>
        <v/>
      </c>
      <c r="X646" s="7">
        <f>IF(COUNT(D646:S646)=0,"",INDEX($D$1:$S$1,MATCH(MIN(D646:S646),D646:S646,0)))</f>
        <v/>
      </c>
      <c r="Y646" s="8" t="n">
        <v>50</v>
      </c>
      <c r="Z646" s="10" t="n">
        <v>1</v>
      </c>
    </row>
    <row r="647">
      <c r="A647" s="7" t="inlineStr">
        <is>
          <t>MAT-10-034</t>
        </is>
      </c>
      <c r="B647" s="4" t="inlineStr">
        <is>
          <t>Bombillo incandescente de 15 W</t>
        </is>
      </c>
      <c r="C647" s="7" t="inlineStr">
        <is>
          <t>unidad</t>
        </is>
      </c>
      <c r="D647" s="8" t="n"/>
      <c r="E647" s="8" t="n">
        <v>148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>
        <f>IF(COUNT(D647:S647)=0,"",MIN(D647:S647))</f>
        <v/>
      </c>
      <c r="U647" s="8">
        <f>IF(COUNT(D647:S647)=0,"",MEDIAN(D647:S647))</f>
        <v/>
      </c>
      <c r="V647" s="8">
        <f>IF(COUNT(D647:S647)=0,"",MAX(D647:S647))</f>
        <v/>
      </c>
      <c r="W647" s="9">
        <f>IF(OR(T647="",T647=0),"",(V647-T647)/T647)</f>
        <v/>
      </c>
      <c r="X647" s="7">
        <f>IF(COUNT(D647:S647)=0,"",INDEX($D$1:$S$1,MATCH(MIN(D647:S647),D647:S647,0)))</f>
        <v/>
      </c>
      <c r="Y647" s="8" t="n">
        <v>148</v>
      </c>
      <c r="Z647" s="10" t="n">
        <v>1</v>
      </c>
    </row>
    <row r="648">
      <c r="A648" s="7" t="inlineStr">
        <is>
          <t>MAT-10-035</t>
        </is>
      </c>
      <c r="B648" s="4" t="inlineStr">
        <is>
          <t>Bombillo incandescente de 25 W</t>
        </is>
      </c>
      <c r="C648" s="7" t="inlineStr">
        <is>
          <t>unidad</t>
        </is>
      </c>
      <c r="D648" s="8" t="n"/>
      <c r="E648" s="8" t="n">
        <v>98</v>
      </c>
      <c r="F648" s="8" t="n"/>
      <c r="G648" s="8" t="n"/>
      <c r="H648" s="8" t="n"/>
      <c r="I648" s="8" t="n"/>
      <c r="J648" s="8" t="n"/>
      <c r="K648" s="8" t="n"/>
      <c r="L648" s="8" t="n">
        <v>85</v>
      </c>
      <c r="M648" s="8" t="n"/>
      <c r="N648" s="8" t="n"/>
      <c r="O648" s="8" t="n"/>
      <c r="P648" s="8" t="n"/>
      <c r="Q648" s="8" t="n"/>
      <c r="R648" s="8" t="n"/>
      <c r="S648" s="8" t="n"/>
      <c r="T648" s="8">
        <f>IF(COUNT(D648:S648)=0,"",MIN(D648:S648))</f>
        <v/>
      </c>
      <c r="U648" s="8">
        <f>IF(COUNT(D648:S648)=0,"",MEDIAN(D648:S648))</f>
        <v/>
      </c>
      <c r="V648" s="8">
        <f>IF(COUNT(D648:S648)=0,"",MAX(D648:S648))</f>
        <v/>
      </c>
      <c r="W648" s="9">
        <f>IF(OR(T648="",T648=0),"",(V648-T648)/T648)</f>
        <v/>
      </c>
      <c r="X648" s="7">
        <f>IF(COUNT(D648:S648)=0,"",INDEX($D$1:$S$1,MATCH(MIN(D648:S648),D648:S648,0)))</f>
        <v/>
      </c>
      <c r="Y648" s="8" t="n">
        <v>106.5</v>
      </c>
      <c r="Z648" s="10" t="n">
        <v>2</v>
      </c>
    </row>
    <row r="649">
      <c r="A649" s="7" t="inlineStr">
        <is>
          <t>MAT-10-036</t>
        </is>
      </c>
      <c r="B649" s="4" t="inlineStr">
        <is>
          <t>Bombillo incandescente de 250 W</t>
        </is>
      </c>
      <c r="C649" s="7" t="inlineStr">
        <is>
          <t>unidad</t>
        </is>
      </c>
      <c r="D649" s="8" t="n"/>
      <c r="E649" s="8" t="n">
        <v>628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>
        <f>IF(COUNT(D649:S649)=0,"",MIN(D649:S649))</f>
        <v/>
      </c>
      <c r="U649" s="8">
        <f>IF(COUNT(D649:S649)=0,"",MEDIAN(D649:S649))</f>
        <v/>
      </c>
      <c r="V649" s="8">
        <f>IF(COUNT(D649:S649)=0,"",MAX(D649:S649))</f>
        <v/>
      </c>
      <c r="W649" s="9">
        <f>IF(OR(T649="",T649=0),"",(V649-T649)/T649)</f>
        <v/>
      </c>
      <c r="X649" s="7">
        <f>IF(COUNT(D649:S649)=0,"",INDEX($D$1:$S$1,MATCH(MIN(D649:S649),D649:S649,0)))</f>
        <v/>
      </c>
      <c r="Y649" s="8" t="n">
        <v>628</v>
      </c>
      <c r="Z649" s="10" t="n">
        <v>1</v>
      </c>
    </row>
    <row r="650">
      <c r="A650" s="7" t="inlineStr">
        <is>
          <t>MAT-10-037</t>
        </is>
      </c>
      <c r="B650" s="4" t="inlineStr">
        <is>
          <t>Bombillo incandescente de 40 W</t>
        </is>
      </c>
      <c r="C650" s="7" t="inlineStr">
        <is>
          <t>unidad</t>
        </is>
      </c>
      <c r="D650" s="8" t="n"/>
      <c r="E650" s="8" t="n">
        <v>97</v>
      </c>
      <c r="F650" s="8" t="n"/>
      <c r="G650" s="8" t="n"/>
      <c r="H650" s="8" t="n"/>
      <c r="I650" s="8" t="n">
        <v>120</v>
      </c>
      <c r="J650" s="8" t="n"/>
      <c r="K650" s="8" t="n"/>
      <c r="L650" s="8" t="n">
        <v>80</v>
      </c>
      <c r="M650" s="8" t="n"/>
      <c r="N650" s="8" t="n"/>
      <c r="O650" s="8" t="n"/>
      <c r="P650" s="8" t="n"/>
      <c r="Q650" s="8" t="n"/>
      <c r="R650" s="8" t="n"/>
      <c r="S650" s="8" t="n"/>
      <c r="T650" s="8">
        <f>IF(COUNT(D650:S650)=0,"",MIN(D650:S650))</f>
        <v/>
      </c>
      <c r="U650" s="8">
        <f>IF(COUNT(D650:S650)=0,"",MEDIAN(D650:S650))</f>
        <v/>
      </c>
      <c r="V650" s="8">
        <f>IF(COUNT(D650:S650)=0,"",MAX(D650:S650))</f>
        <v/>
      </c>
      <c r="W650" s="9">
        <f>IF(OR(T650="",T650=0),"",(V650-T650)/T650)</f>
        <v/>
      </c>
      <c r="X650" s="7">
        <f>IF(COUNT(D650:S650)=0,"",INDEX($D$1:$S$1,MATCH(MIN(D650:S650),D650:S650,0)))</f>
        <v/>
      </c>
      <c r="Y650" s="8" t="n">
        <v>122</v>
      </c>
      <c r="Z650" s="10" t="n">
        <v>3</v>
      </c>
    </row>
    <row r="651">
      <c r="A651" s="7" t="inlineStr">
        <is>
          <t>MAT-10-038</t>
        </is>
      </c>
      <c r="B651" s="4" t="inlineStr">
        <is>
          <t>Bombillo incandescente de 50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235.06</v>
      </c>
      <c r="M651" s="8" t="n"/>
      <c r="N651" s="8" t="n"/>
      <c r="O651" s="8" t="n"/>
      <c r="P651" s="8" t="n"/>
      <c r="Q651" s="8" t="n"/>
      <c r="R651" s="8" t="n"/>
      <c r="S651" s="8" t="n"/>
      <c r="T651" s="8">
        <f>IF(COUNT(D651:S651)=0,"",MIN(D651:S651))</f>
        <v/>
      </c>
      <c r="U651" s="8">
        <f>IF(COUNT(D651:S651)=0,"",MEDIAN(D651:S651))</f>
        <v/>
      </c>
      <c r="V651" s="8">
        <f>IF(COUNT(D651:S651)=0,"",MAX(D651:S651))</f>
        <v/>
      </c>
      <c r="W651" s="9">
        <f>IF(OR(T651="",T651=0),"",(V651-T651)/T651)</f>
        <v/>
      </c>
      <c r="X651" s="7">
        <f>IF(COUNT(D651:S651)=0,"",INDEX($D$1:$S$1,MATCH(MIN(D651:S651),D651:S651,0)))</f>
        <v/>
      </c>
      <c r="Y651" s="8" t="n">
        <v>235.06</v>
      </c>
      <c r="Z651" s="10" t="n">
        <v>1</v>
      </c>
    </row>
    <row r="652">
      <c r="A652" s="7" t="inlineStr">
        <is>
          <t>MAT-10-039</t>
        </is>
      </c>
      <c r="B652" s="4" t="inlineStr">
        <is>
          <t>Bombillo incandescente de 75 W</t>
        </is>
      </c>
      <c r="C652" s="7" t="inlineStr">
        <is>
          <t>unidad</t>
        </is>
      </c>
      <c r="D652" s="8" t="n"/>
      <c r="E652" s="8" t="n">
        <v>42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>
        <f>IF(COUNT(D652:S652)=0,"",MIN(D652:S652))</f>
        <v/>
      </c>
      <c r="U652" s="8">
        <f>IF(COUNT(D652:S652)=0,"",MEDIAN(D652:S652))</f>
        <v/>
      </c>
      <c r="V652" s="8">
        <f>IF(COUNT(D652:S652)=0,"",MAX(D652:S652))</f>
        <v/>
      </c>
      <c r="W652" s="9">
        <f>IF(OR(T652="",T652=0),"",(V652-T652)/T652)</f>
        <v/>
      </c>
      <c r="X652" s="7">
        <f>IF(COUNT(D652:S652)=0,"",INDEX($D$1:$S$1,MATCH(MIN(D652:S652),D652:S652,0)))</f>
        <v/>
      </c>
      <c r="Y652" s="8" t="n">
        <v>42</v>
      </c>
      <c r="Z652" s="10" t="n">
        <v>1</v>
      </c>
    </row>
    <row r="653">
      <c r="A653" s="7" t="inlineStr">
        <is>
          <t>MAT-10-041</t>
        </is>
      </c>
      <c r="B653" s="4" t="inlineStr">
        <is>
          <t>Bombillo LED de 1.2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40</v>
      </c>
      <c r="M653" s="8" t="n"/>
      <c r="N653" s="8" t="n"/>
      <c r="O653" s="8" t="n"/>
      <c r="P653" s="8" t="n"/>
      <c r="Q653" s="8" t="n"/>
      <c r="R653" s="8" t="n"/>
      <c r="S653" s="8" t="n"/>
      <c r="T653" s="8">
        <f>IF(COUNT(D653:S653)=0,"",MIN(D653:S653))</f>
        <v/>
      </c>
      <c r="U653" s="8">
        <f>IF(COUNT(D653:S653)=0,"",MEDIAN(D653:S653))</f>
        <v/>
      </c>
      <c r="V653" s="8">
        <f>IF(COUNT(D653:S653)=0,"",MAX(D653:S653))</f>
        <v/>
      </c>
      <c r="W653" s="9">
        <f>IF(OR(T653="",T653=0),"",(V653-T653)/T653)</f>
        <v/>
      </c>
      <c r="X653" s="7">
        <f>IF(COUNT(D653:S653)=0,"",INDEX($D$1:$S$1,MATCH(MIN(D653:S653),D653:S653,0)))</f>
        <v/>
      </c>
      <c r="Y653" s="8" t="n">
        <v>40</v>
      </c>
      <c r="Z653" s="10" t="n">
        <v>1</v>
      </c>
    </row>
    <row r="654">
      <c r="A654" s="7" t="inlineStr">
        <is>
          <t>MAT-10-042</t>
        </is>
      </c>
      <c r="B654" s="4" t="inlineStr">
        <is>
          <t>Bombillo led de 1.6 W</t>
        </is>
      </c>
      <c r="C654" s="7" t="inlineStr">
        <is>
          <t>unidad</t>
        </is>
      </c>
      <c r="D654" s="8" t="n"/>
      <c r="E654" s="8" t="n">
        <v>530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>
        <f>IF(COUNT(D654:S654)=0,"",MIN(D654:S654))</f>
        <v/>
      </c>
      <c r="U654" s="8">
        <f>IF(COUNT(D654:S654)=0,"",MEDIAN(D654:S654))</f>
        <v/>
      </c>
      <c r="V654" s="8">
        <f>IF(COUNT(D654:S654)=0,"",MAX(D654:S654))</f>
        <v/>
      </c>
      <c r="W654" s="9">
        <f>IF(OR(T654="",T654=0),"",(V654-T654)/T654)</f>
        <v/>
      </c>
      <c r="X654" s="7">
        <f>IF(COUNT(D654:S654)=0,"",INDEX($D$1:$S$1,MATCH(MIN(D654:S654),D654:S654,0)))</f>
        <v/>
      </c>
      <c r="Y654" s="8" t="n">
        <v>648.5</v>
      </c>
      <c r="Z654" s="10" t="n">
        <v>1</v>
      </c>
    </row>
    <row r="655">
      <c r="A655" s="7" t="inlineStr">
        <is>
          <t>MAT-10-043</t>
        </is>
      </c>
      <c r="B655" s="4" t="inlineStr">
        <is>
          <t>Bombillo LED de 10 W</t>
        </is>
      </c>
      <c r="C655" s="7" t="inlineStr">
        <is>
          <t>unidad</t>
        </is>
      </c>
      <c r="D655" s="8" t="n"/>
      <c r="E655" s="8" t="n">
        <v>159</v>
      </c>
      <c r="F655" s="8" t="n"/>
      <c r="G655" s="8" t="n"/>
      <c r="H655" s="8" t="n"/>
      <c r="I655" s="8" t="n">
        <v>215</v>
      </c>
      <c r="J655" s="8" t="n"/>
      <c r="K655" s="8" t="n"/>
      <c r="L655" s="8" t="n">
        <v>170</v>
      </c>
      <c r="M655" s="8" t="n"/>
      <c r="N655" s="8" t="n"/>
      <c r="O655" s="8" t="n"/>
      <c r="P655" s="8" t="n"/>
      <c r="Q655" s="8" t="n"/>
      <c r="R655" s="8" t="n"/>
      <c r="S655" s="8" t="n"/>
      <c r="T655" s="8">
        <f>IF(COUNT(D655:S655)=0,"",MIN(D655:S655))</f>
        <v/>
      </c>
      <c r="U655" s="8">
        <f>IF(COUNT(D655:S655)=0,"",MEDIAN(D655:S655))</f>
        <v/>
      </c>
      <c r="V655" s="8">
        <f>IF(COUNT(D655:S655)=0,"",MAX(D655:S655))</f>
        <v/>
      </c>
      <c r="W655" s="9">
        <f>IF(OR(T655="",T655=0),"",(V655-T655)/T655)</f>
        <v/>
      </c>
      <c r="X655" s="7">
        <f>IF(COUNT(D655:S655)=0,"",INDEX($D$1:$S$1,MATCH(MIN(D655:S655),D655:S655,0)))</f>
        <v/>
      </c>
      <c r="Y655" s="8" t="n">
        <v>215</v>
      </c>
      <c r="Z655" s="10" t="n">
        <v>3</v>
      </c>
    </row>
    <row r="656">
      <c r="A656" s="7" t="inlineStr">
        <is>
          <t>MAT-10-044</t>
        </is>
      </c>
      <c r="B656" s="4" t="inlineStr">
        <is>
          <t>Bombillo led de 100 W</t>
        </is>
      </c>
      <c r="C656" s="7" t="inlineStr">
        <is>
          <t>unidad</t>
        </is>
      </c>
      <c r="D656" s="8" t="n"/>
      <c r="E656" s="8" t="n">
        <v>1825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>
        <f>IF(COUNT(D656:S656)=0,"",MIN(D656:S656))</f>
        <v/>
      </c>
      <c r="U656" s="8">
        <f>IF(COUNT(D656:S656)=0,"",MEDIAN(D656:S656))</f>
        <v/>
      </c>
      <c r="V656" s="8">
        <f>IF(COUNT(D656:S656)=0,"",MAX(D656:S656))</f>
        <v/>
      </c>
      <c r="W656" s="9">
        <f>IF(OR(T656="",T656=0),"",(V656-T656)/T656)</f>
        <v/>
      </c>
      <c r="X656" s="7">
        <f>IF(COUNT(D656:S656)=0,"",INDEX($D$1:$S$1,MATCH(MIN(D656:S656),D656:S656,0)))</f>
        <v/>
      </c>
      <c r="Y656" s="8" t="n">
        <v>1825</v>
      </c>
      <c r="Z656" s="10" t="n">
        <v>1</v>
      </c>
    </row>
    <row r="657">
      <c r="A657" s="7" t="inlineStr">
        <is>
          <t>MAT-10-045</t>
        </is>
      </c>
      <c r="B657" s="4" t="inlineStr">
        <is>
          <t>Bombillo LED de 11 W</t>
        </is>
      </c>
      <c r="C657" s="7" t="inlineStr">
        <is>
          <t>unidad</t>
        </is>
      </c>
      <c r="D657" s="8" t="n"/>
      <c r="E657" s="8" t="n">
        <v>515</v>
      </c>
      <c r="F657" s="8" t="n"/>
      <c r="G657" s="8" t="n"/>
      <c r="H657" s="8" t="n"/>
      <c r="I657" s="8" t="n"/>
      <c r="J657" s="8" t="n"/>
      <c r="K657" s="8" t="n"/>
      <c r="L657" s="8" t="n">
        <v>190</v>
      </c>
      <c r="M657" s="8" t="n"/>
      <c r="N657" s="8" t="n"/>
      <c r="O657" s="8" t="n"/>
      <c r="P657" s="8" t="n"/>
      <c r="Q657" s="8" t="n"/>
      <c r="R657" s="8" t="n"/>
      <c r="S657" s="8" t="n"/>
      <c r="T657" s="8">
        <f>IF(COUNT(D657:S657)=0,"",MIN(D657:S657))</f>
        <v/>
      </c>
      <c r="U657" s="8">
        <f>IF(COUNT(D657:S657)=0,"",MEDIAN(D657:S657))</f>
        <v/>
      </c>
      <c r="V657" s="8">
        <f>IF(COUNT(D657:S657)=0,"",MAX(D657:S657))</f>
        <v/>
      </c>
      <c r="W657" s="9">
        <f>IF(OR(T657="",T657=0),"",(V657-T657)/T657)</f>
        <v/>
      </c>
      <c r="X657" s="7">
        <f>IF(COUNT(D657:S657)=0,"",INDEX($D$1:$S$1,MATCH(MIN(D657:S657),D657:S657,0)))</f>
        <v/>
      </c>
      <c r="Y657" s="8" t="n">
        <v>515</v>
      </c>
      <c r="Z657" s="10" t="n">
        <v>2</v>
      </c>
    </row>
    <row r="658">
      <c r="A658" s="7" t="inlineStr">
        <is>
          <t>MAT-10-046</t>
        </is>
      </c>
      <c r="B658" s="4" t="inlineStr">
        <is>
          <t>Bombillo LED de 12 W</t>
        </is>
      </c>
      <c r="C658" s="7" t="inlineStr">
        <is>
          <t>unidad</t>
        </is>
      </c>
      <c r="D658" s="8" t="n"/>
      <c r="E658" s="8" t="n">
        <v>75</v>
      </c>
      <c r="F658" s="8" t="n"/>
      <c r="G658" s="8" t="n"/>
      <c r="H658" s="8" t="n"/>
      <c r="I658" s="8" t="n">
        <v>220</v>
      </c>
      <c r="J658" s="8" t="n">
        <v>106</v>
      </c>
      <c r="K658" s="8" t="n"/>
      <c r="L658" s="8" t="n">
        <v>60</v>
      </c>
      <c r="M658" s="8" t="n"/>
      <c r="N658" s="8" t="n"/>
      <c r="O658" s="8" t="n"/>
      <c r="P658" s="8" t="n"/>
      <c r="Q658" s="8" t="n"/>
      <c r="R658" s="8" t="n"/>
      <c r="S658" s="8" t="n"/>
      <c r="T658" s="8">
        <f>IF(COUNT(D658:S658)=0,"",MIN(D658:S658))</f>
        <v/>
      </c>
      <c r="U658" s="8">
        <f>IF(COUNT(D658:S658)=0,"",MEDIAN(D658:S658))</f>
        <v/>
      </c>
      <c r="V658" s="8">
        <f>IF(COUNT(D658:S658)=0,"",MAX(D658:S658))</f>
        <v/>
      </c>
      <c r="W658" s="9">
        <f>IF(OR(T658="",T658=0),"",(V658-T658)/T658)</f>
        <v/>
      </c>
      <c r="X658" s="7">
        <f>IF(COUNT(D658:S658)=0,"",INDEX($D$1:$S$1,MATCH(MIN(D658:S658),D658:S658,0)))</f>
        <v/>
      </c>
      <c r="Y658" s="8" t="n">
        <v>202</v>
      </c>
      <c r="Z658" s="10" t="n">
        <v>4</v>
      </c>
    </row>
    <row r="659">
      <c r="A659" s="7" t="inlineStr">
        <is>
          <t>MAT-10-047</t>
        </is>
      </c>
      <c r="B659" s="4" t="inlineStr">
        <is>
          <t>Bombillo led de 125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>
        <v>295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>
        <f>IF(COUNT(D659:S659)=0,"",MIN(D659:S659))</f>
        <v/>
      </c>
      <c r="U659" s="8">
        <f>IF(COUNT(D659:S659)=0,"",MEDIAN(D659:S659))</f>
        <v/>
      </c>
      <c r="V659" s="8">
        <f>IF(COUNT(D659:S659)=0,"",MAX(D659:S659))</f>
        <v/>
      </c>
      <c r="W659" s="9">
        <f>IF(OR(T659="",T659=0),"",(V659-T659)/T659)</f>
        <v/>
      </c>
      <c r="X659" s="7">
        <f>IF(COUNT(D659:S659)=0,"",INDEX($D$1:$S$1,MATCH(MIN(D659:S659),D659:S659,0)))</f>
        <v/>
      </c>
      <c r="Y659" s="8" t="n">
        <v>295</v>
      </c>
      <c r="Z659" s="10" t="n">
        <v>1</v>
      </c>
    </row>
    <row r="660">
      <c r="A660" s="7" t="inlineStr">
        <is>
          <t>MAT-10-048</t>
        </is>
      </c>
      <c r="B660" s="4" t="inlineStr">
        <is>
          <t>Bombillo led de 13 W</t>
        </is>
      </c>
      <c r="C660" s="7" t="inlineStr">
        <is>
          <t>unidad</t>
        </is>
      </c>
      <c r="D660" s="8" t="n"/>
      <c r="E660" s="8" t="n">
        <v>245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>
        <f>IF(COUNT(D660:S660)=0,"",MIN(D660:S660))</f>
        <v/>
      </c>
      <c r="U660" s="8">
        <f>IF(COUNT(D660:S660)=0,"",MEDIAN(D660:S660))</f>
        <v/>
      </c>
      <c r="V660" s="8">
        <f>IF(COUNT(D660:S660)=0,"",MAX(D660:S660))</f>
        <v/>
      </c>
      <c r="W660" s="9">
        <f>IF(OR(T660="",T660=0),"",(V660-T660)/T660)</f>
        <v/>
      </c>
      <c r="X660" s="7">
        <f>IF(COUNT(D660:S660)=0,"",INDEX($D$1:$S$1,MATCH(MIN(D660:S660),D660:S660,0)))</f>
        <v/>
      </c>
      <c r="Y660" s="8" t="n">
        <v>245</v>
      </c>
      <c r="Z660" s="10" t="n">
        <v>1</v>
      </c>
    </row>
    <row r="661">
      <c r="A661" s="7" t="inlineStr">
        <is>
          <t>MAT-10-049</t>
        </is>
      </c>
      <c r="B661" s="4" t="inlineStr">
        <is>
          <t>Bombillo LED de 14 W</t>
        </is>
      </c>
      <c r="C661" s="7" t="inlineStr">
        <is>
          <t>unidad</t>
        </is>
      </c>
      <c r="D661" s="8" t="n"/>
      <c r="E661" s="8" t="n">
        <v>218</v>
      </c>
      <c r="F661" s="8" t="n"/>
      <c r="G661" s="8" t="n"/>
      <c r="H661" s="8" t="n"/>
      <c r="I661" s="8" t="n">
        <v>69</v>
      </c>
      <c r="J661" s="8" t="n"/>
      <c r="K661" s="8" t="n"/>
      <c r="L661" s="8" t="n">
        <v>240</v>
      </c>
      <c r="M661" s="8" t="n"/>
      <c r="N661" s="8" t="n"/>
      <c r="O661" s="8" t="n"/>
      <c r="P661" s="8" t="n"/>
      <c r="Q661" s="8" t="n"/>
      <c r="R661" s="8" t="n"/>
      <c r="S661" s="8" t="n"/>
      <c r="T661" s="8">
        <f>IF(COUNT(D661:S661)=0,"",MIN(D661:S661))</f>
        <v/>
      </c>
      <c r="U661" s="8">
        <f>IF(COUNT(D661:S661)=0,"",MEDIAN(D661:S661))</f>
        <v/>
      </c>
      <c r="V661" s="8">
        <f>IF(COUNT(D661:S661)=0,"",MAX(D661:S661))</f>
        <v/>
      </c>
      <c r="W661" s="9">
        <f>IF(OR(T661="",T661=0),"",(V661-T661)/T661)</f>
        <v/>
      </c>
      <c r="X661" s="7">
        <f>IF(COUNT(D661:S661)=0,"",INDEX($D$1:$S$1,MATCH(MIN(D661:S661),D661:S661,0)))</f>
        <v/>
      </c>
      <c r="Y661" s="8" t="n">
        <v>240</v>
      </c>
      <c r="Z661" s="10" t="n">
        <v>3</v>
      </c>
    </row>
    <row r="662">
      <c r="A662" s="7" t="inlineStr">
        <is>
          <t>MAT-10-050</t>
        </is>
      </c>
      <c r="B662" s="4" t="inlineStr">
        <is>
          <t>Bombillo LED de 15 W</t>
        </is>
      </c>
      <c r="C662" s="7" t="inlineStr">
        <is>
          <t>unidad</t>
        </is>
      </c>
      <c r="D662" s="8" t="n"/>
      <c r="E662" s="8" t="n">
        <v>35</v>
      </c>
      <c r="F662" s="8" t="n"/>
      <c r="G662" s="8" t="n"/>
      <c r="H662" s="8" t="n"/>
      <c r="I662" s="8" t="n"/>
      <c r="J662" s="8" t="n">
        <v>142</v>
      </c>
      <c r="K662" s="8" t="n"/>
      <c r="L662" s="8" t="n">
        <v>130</v>
      </c>
      <c r="M662" s="8" t="n"/>
      <c r="N662" s="8" t="n"/>
      <c r="O662" s="8" t="n"/>
      <c r="P662" s="8" t="n"/>
      <c r="Q662" s="8" t="n"/>
      <c r="R662" s="8" t="n"/>
      <c r="S662" s="8" t="n"/>
      <c r="T662" s="8">
        <f>IF(COUNT(D662:S662)=0,"",MIN(D662:S662))</f>
        <v/>
      </c>
      <c r="U662" s="8">
        <f>IF(COUNT(D662:S662)=0,"",MEDIAN(D662:S662))</f>
        <v/>
      </c>
      <c r="V662" s="8">
        <f>IF(COUNT(D662:S662)=0,"",MAX(D662:S662))</f>
        <v/>
      </c>
      <c r="W662" s="9">
        <f>IF(OR(T662="",T662=0),"",(V662-T662)/T662)</f>
        <v/>
      </c>
      <c r="X662" s="7">
        <f>IF(COUNT(D662:S662)=0,"",INDEX($D$1:$S$1,MATCH(MIN(D662:S662),D662:S662,0)))</f>
        <v/>
      </c>
      <c r="Y662" s="8" t="n">
        <v>140</v>
      </c>
      <c r="Z662" s="10" t="n">
        <v>3</v>
      </c>
    </row>
    <row r="663">
      <c r="A663" s="7" t="inlineStr">
        <is>
          <t>MAT-10-051</t>
        </is>
      </c>
      <c r="B663" s="4" t="inlineStr">
        <is>
          <t>Bombillo LED de 18 W</t>
        </is>
      </c>
      <c r="C663" s="7" t="inlineStr">
        <is>
          <t>unidad</t>
        </is>
      </c>
      <c r="D663" s="8" t="n"/>
      <c r="E663" s="8" t="n">
        <v>95</v>
      </c>
      <c r="F663" s="8" t="n"/>
      <c r="G663" s="8" t="n"/>
      <c r="H663" s="8" t="n"/>
      <c r="I663" s="8" t="n">
        <v>129</v>
      </c>
      <c r="J663" s="8" t="n"/>
      <c r="K663" s="8" t="n"/>
      <c r="L663" s="8" t="n">
        <v>260</v>
      </c>
      <c r="M663" s="8" t="n"/>
      <c r="N663" s="8" t="n"/>
      <c r="O663" s="8" t="n"/>
      <c r="P663" s="8" t="n"/>
      <c r="Q663" s="8" t="n"/>
      <c r="R663" s="8" t="n"/>
      <c r="S663" s="8" t="n"/>
      <c r="T663" s="8">
        <f>IF(COUNT(D663:S663)=0,"",MIN(D663:S663))</f>
        <v/>
      </c>
      <c r="U663" s="8">
        <f>IF(COUNT(D663:S663)=0,"",MEDIAN(D663:S663))</f>
        <v/>
      </c>
      <c r="V663" s="8">
        <f>IF(COUNT(D663:S663)=0,"",MAX(D663:S663))</f>
        <v/>
      </c>
      <c r="W663" s="9">
        <f>IF(OR(T663="",T663=0),"",(V663-T663)/T663)</f>
        <v/>
      </c>
      <c r="X663" s="7">
        <f>IF(COUNT(D663:S663)=0,"",INDEX($D$1:$S$1,MATCH(MIN(D663:S663),D663:S663,0)))</f>
        <v/>
      </c>
      <c r="Y663" s="8" t="n">
        <v>132</v>
      </c>
      <c r="Z663" s="10" t="n">
        <v>3</v>
      </c>
    </row>
    <row r="664">
      <c r="A664" s="7" t="inlineStr">
        <is>
          <t>MAT-10-052</t>
        </is>
      </c>
      <c r="B664" s="4" t="inlineStr">
        <is>
          <t>Bombillo led de 2 W</t>
        </is>
      </c>
      <c r="C664" s="7" t="inlineStr">
        <is>
          <t>unidad</t>
        </is>
      </c>
      <c r="D664" s="8" t="n"/>
      <c r="E664" s="8" t="n">
        <v>265</v>
      </c>
      <c r="F664" s="8" t="n"/>
      <c r="G664" s="8" t="n"/>
      <c r="H664" s="8" t="n"/>
      <c r="I664" s="8" t="n">
        <v>250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>
        <f>IF(COUNT(D664:S664)=0,"",MIN(D664:S664))</f>
        <v/>
      </c>
      <c r="U664" s="8">
        <f>IF(COUNT(D664:S664)=0,"",MEDIAN(D664:S664))</f>
        <v/>
      </c>
      <c r="V664" s="8">
        <f>IF(COUNT(D664:S664)=0,"",MAX(D664:S664))</f>
        <v/>
      </c>
      <c r="W664" s="9">
        <f>IF(OR(T664="",T664=0),"",(V664-T664)/T664)</f>
        <v/>
      </c>
      <c r="X664" s="7">
        <f>IF(COUNT(D664:S664)=0,"",INDEX($D$1:$S$1,MATCH(MIN(D664:S664),D664:S664,0)))</f>
        <v/>
      </c>
      <c r="Y664" s="8" t="n">
        <v>265</v>
      </c>
      <c r="Z664" s="10" t="n">
        <v>2</v>
      </c>
    </row>
    <row r="665">
      <c r="A665" s="7" t="inlineStr">
        <is>
          <t>MAT-10-053</t>
        </is>
      </c>
      <c r="B665" s="4" t="inlineStr">
        <is>
          <t>Bombillo LED de 2.5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/>
      <c r="J665" s="8" t="n"/>
      <c r="K665" s="8" t="n"/>
      <c r="L665" s="8" t="n">
        <v>310</v>
      </c>
      <c r="M665" s="8" t="n"/>
      <c r="N665" s="8" t="n"/>
      <c r="O665" s="8" t="n"/>
      <c r="P665" s="8" t="n"/>
      <c r="Q665" s="8" t="n"/>
      <c r="R665" s="8" t="n"/>
      <c r="S665" s="8" t="n"/>
      <c r="T665" s="8">
        <f>IF(COUNT(D665:S665)=0,"",MIN(D665:S665))</f>
        <v/>
      </c>
      <c r="U665" s="8">
        <f>IF(COUNT(D665:S665)=0,"",MEDIAN(D665:S665))</f>
        <v/>
      </c>
      <c r="V665" s="8">
        <f>IF(COUNT(D665:S665)=0,"",MAX(D665:S665))</f>
        <v/>
      </c>
      <c r="W665" s="9">
        <f>IF(OR(T665="",T665=0),"",(V665-T665)/T665)</f>
        <v/>
      </c>
      <c r="X665" s="7">
        <f>IF(COUNT(D665:S665)=0,"",INDEX($D$1:$S$1,MATCH(MIN(D665:S665),D665:S665,0)))</f>
        <v/>
      </c>
      <c r="Y665" s="8" t="n">
        <v>265</v>
      </c>
      <c r="Z665" s="10" t="n">
        <v>2</v>
      </c>
    </row>
    <row r="666">
      <c r="A666" s="7" t="inlineStr">
        <is>
          <t>MAT-10-054</t>
        </is>
      </c>
      <c r="B666" s="4" t="inlineStr">
        <is>
          <t>Bombillo led de 20 W</t>
        </is>
      </c>
      <c r="C666" s="7" t="inlineStr">
        <is>
          <t>unidad</t>
        </is>
      </c>
      <c r="D666" s="8" t="n"/>
      <c r="E666" s="8" t="n">
        <v>215</v>
      </c>
      <c r="F666" s="8" t="n"/>
      <c r="G666" s="8" t="n"/>
      <c r="H666" s="8" t="n"/>
      <c r="I666" s="8" t="n">
        <v>149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>
        <f>IF(COUNT(D666:S666)=0,"",MIN(D666:S666))</f>
        <v/>
      </c>
      <c r="U666" s="8">
        <f>IF(COUNT(D666:S666)=0,"",MEDIAN(D666:S666))</f>
        <v/>
      </c>
      <c r="V666" s="8">
        <f>IF(COUNT(D666:S666)=0,"",MAX(D666:S666))</f>
        <v/>
      </c>
      <c r="W666" s="9">
        <f>IF(OR(T666="",T666=0),"",(V666-T666)/T666)</f>
        <v/>
      </c>
      <c r="X666" s="7">
        <f>IF(COUNT(D666:S666)=0,"",INDEX($D$1:$S$1,MATCH(MIN(D666:S666),D666:S666,0)))</f>
        <v/>
      </c>
      <c r="Y666" s="8" t="n">
        <v>222.5</v>
      </c>
      <c r="Z666" s="10" t="n">
        <v>2</v>
      </c>
    </row>
    <row r="667">
      <c r="A667" s="7" t="inlineStr">
        <is>
          <t>MAT-10-055</t>
        </is>
      </c>
      <c r="B667" s="4" t="inlineStr">
        <is>
          <t>Bombillo led de 25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199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>
        <f>IF(COUNT(D667:S667)=0,"",MIN(D667:S667))</f>
        <v/>
      </c>
      <c r="U667" s="8">
        <f>IF(COUNT(D667:S667)=0,"",MEDIAN(D667:S667))</f>
        <v/>
      </c>
      <c r="V667" s="8">
        <f>IF(COUNT(D667:S667)=0,"",MAX(D667:S667))</f>
        <v/>
      </c>
      <c r="W667" s="9">
        <f>IF(OR(T667="",T667=0),"",(V667-T667)/T667)</f>
        <v/>
      </c>
      <c r="X667" s="7">
        <f>IF(COUNT(D667:S667)=0,"",INDEX($D$1:$S$1,MATCH(MIN(D667:S667),D667:S667,0)))</f>
        <v/>
      </c>
      <c r="Y667" s="8" t="n">
        <v>214</v>
      </c>
      <c r="Z667" s="10" t="n">
        <v>1</v>
      </c>
    </row>
    <row r="668">
      <c r="A668" s="7" t="inlineStr">
        <is>
          <t>MAT-10-056</t>
        </is>
      </c>
      <c r="B668" s="4" t="inlineStr">
        <is>
          <t>Bombillo led de 28 W</t>
        </is>
      </c>
      <c r="C668" s="7" t="inlineStr">
        <is>
          <t>unidad</t>
        </is>
      </c>
      <c r="D668" s="8" t="n"/>
      <c r="E668" s="8" t="n">
        <v>455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>
        <f>IF(COUNT(D668:S668)=0,"",MIN(D668:S668))</f>
        <v/>
      </c>
      <c r="U668" s="8">
        <f>IF(COUNT(D668:S668)=0,"",MEDIAN(D668:S668))</f>
        <v/>
      </c>
      <c r="V668" s="8">
        <f>IF(COUNT(D668:S668)=0,"",MAX(D668:S668))</f>
        <v/>
      </c>
      <c r="W668" s="9">
        <f>IF(OR(T668="",T668=0),"",(V668-T668)/T668)</f>
        <v/>
      </c>
      <c r="X668" s="7">
        <f>IF(COUNT(D668:S668)=0,"",INDEX($D$1:$S$1,MATCH(MIN(D668:S668),D668:S668,0)))</f>
        <v/>
      </c>
      <c r="Y668" s="8" t="n">
        <v>455</v>
      </c>
      <c r="Z668" s="10" t="n">
        <v>1</v>
      </c>
    </row>
    <row r="669">
      <c r="A669" s="7" t="inlineStr">
        <is>
          <t>MAT-10-057</t>
        </is>
      </c>
      <c r="B669" s="4" t="inlineStr">
        <is>
          <t>Bombillo LED de 3 W</t>
        </is>
      </c>
      <c r="C669" s="7" t="inlineStr">
        <is>
          <t>unidad</t>
        </is>
      </c>
      <c r="D669" s="8" t="n"/>
      <c r="E669" s="8" t="n">
        <v>195</v>
      </c>
      <c r="F669" s="8" t="n"/>
      <c r="G669" s="8" t="n"/>
      <c r="H669" s="8" t="n"/>
      <c r="I669" s="8" t="n">
        <v>50</v>
      </c>
      <c r="J669" s="8" t="n">
        <v>140</v>
      </c>
      <c r="K669" s="8" t="n"/>
      <c r="L669" s="8" t="n">
        <v>150</v>
      </c>
      <c r="M669" s="8" t="n"/>
      <c r="N669" s="8" t="n"/>
      <c r="O669" s="8" t="n"/>
      <c r="P669" s="8" t="n"/>
      <c r="Q669" s="8" t="n"/>
      <c r="R669" s="8" t="n"/>
      <c r="S669" s="8" t="n"/>
      <c r="T669" s="8">
        <f>IF(COUNT(D669:S669)=0,"",MIN(D669:S669))</f>
        <v/>
      </c>
      <c r="U669" s="8">
        <f>IF(COUNT(D669:S669)=0,"",MEDIAN(D669:S669))</f>
        <v/>
      </c>
      <c r="V669" s="8">
        <f>IF(COUNT(D669:S669)=0,"",MAX(D669:S669))</f>
        <v/>
      </c>
      <c r="W669" s="9">
        <f>IF(OR(T669="",T669=0),"",(V669-T669)/T669)</f>
        <v/>
      </c>
      <c r="X669" s="7">
        <f>IF(COUNT(D669:S669)=0,"",INDEX($D$1:$S$1,MATCH(MIN(D669:S669),D669:S669,0)))</f>
        <v/>
      </c>
      <c r="Y669" s="8" t="n">
        <v>150</v>
      </c>
      <c r="Z669" s="10" t="n">
        <v>4</v>
      </c>
    </row>
    <row r="670">
      <c r="A670" s="7" t="inlineStr">
        <is>
          <t>MAT-10-058</t>
        </is>
      </c>
      <c r="B670" s="4" t="inlineStr">
        <is>
          <t>Bombillo led de 3.5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>
        <v>474.36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>
        <f>IF(COUNT(D670:S670)=0,"",MIN(D670:S670))</f>
        <v/>
      </c>
      <c r="U670" s="8">
        <f>IF(COUNT(D670:S670)=0,"",MEDIAN(D670:S670))</f>
        <v/>
      </c>
      <c r="V670" s="8">
        <f>IF(COUNT(D670:S670)=0,"",MAX(D670:S670))</f>
        <v/>
      </c>
      <c r="W670" s="9">
        <f>IF(OR(T670="",T670=0),"",(V670-T670)/T670)</f>
        <v/>
      </c>
      <c r="X670" s="7">
        <f>IF(COUNT(D670:S670)=0,"",INDEX($D$1:$S$1,MATCH(MIN(D670:S670),D670:S670,0)))</f>
        <v/>
      </c>
      <c r="Y670" s="8" t="n">
        <v>474.36</v>
      </c>
      <c r="Z670" s="10" t="n">
        <v>1</v>
      </c>
    </row>
    <row r="671">
      <c r="A671" s="7" t="inlineStr">
        <is>
          <t>MAT-10-059</t>
        </is>
      </c>
      <c r="B671" s="4" t="inlineStr">
        <is>
          <t>Bombillo LED de 30 W</t>
        </is>
      </c>
      <c r="C671" s="7" t="inlineStr">
        <is>
          <t>unidad</t>
        </is>
      </c>
      <c r="D671" s="8" t="n"/>
      <c r="E671" s="8" t="n">
        <v>123</v>
      </c>
      <c r="F671" s="8" t="n"/>
      <c r="G671" s="8" t="n"/>
      <c r="H671" s="8" t="n"/>
      <c r="I671" s="8" t="n"/>
      <c r="J671" s="8" t="n"/>
      <c r="K671" s="8" t="n"/>
      <c r="L671" s="8" t="n">
        <v>595</v>
      </c>
      <c r="M671" s="8" t="n"/>
      <c r="N671" s="8" t="n"/>
      <c r="O671" s="8" t="n"/>
      <c r="P671" s="8" t="n"/>
      <c r="Q671" s="8" t="n"/>
      <c r="R671" s="8" t="n"/>
      <c r="S671" s="8" t="n"/>
      <c r="T671" s="8">
        <f>IF(COUNT(D671:S671)=0,"",MIN(D671:S671))</f>
        <v/>
      </c>
      <c r="U671" s="8">
        <f>IF(COUNT(D671:S671)=0,"",MEDIAN(D671:S671))</f>
        <v/>
      </c>
      <c r="V671" s="8">
        <f>IF(COUNT(D671:S671)=0,"",MAX(D671:S671))</f>
        <v/>
      </c>
      <c r="W671" s="9">
        <f>IF(OR(T671="",T671=0),"",(V671-T671)/T671)</f>
        <v/>
      </c>
      <c r="X671" s="7">
        <f>IF(COUNT(D671:S671)=0,"",INDEX($D$1:$S$1,MATCH(MIN(D671:S671),D671:S671,0)))</f>
        <v/>
      </c>
      <c r="Y671" s="8" t="n">
        <v>385</v>
      </c>
      <c r="Z671" s="10" t="n">
        <v>2</v>
      </c>
    </row>
    <row r="672">
      <c r="A672" s="7" t="inlineStr">
        <is>
          <t>MAT-10-060</t>
        </is>
      </c>
      <c r="B672" s="4" t="inlineStr">
        <is>
          <t>Bombillo LED de 35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>
        <v>339</v>
      </c>
      <c r="J672" s="8" t="n"/>
      <c r="K672" s="8" t="n"/>
      <c r="L672" s="8" t="n">
        <v>1195</v>
      </c>
      <c r="M672" s="8" t="n"/>
      <c r="N672" s="8" t="n"/>
      <c r="O672" s="8" t="n"/>
      <c r="P672" s="8" t="n"/>
      <c r="Q672" s="8" t="n"/>
      <c r="R672" s="8" t="n"/>
      <c r="S672" s="8" t="n"/>
      <c r="T672" s="8">
        <f>IF(COUNT(D672:S672)=0,"",MIN(D672:S672))</f>
        <v/>
      </c>
      <c r="U672" s="8">
        <f>IF(COUNT(D672:S672)=0,"",MEDIAN(D672:S672))</f>
        <v/>
      </c>
      <c r="V672" s="8">
        <f>IF(COUNT(D672:S672)=0,"",MAX(D672:S672))</f>
        <v/>
      </c>
      <c r="W672" s="9">
        <f>IF(OR(T672="",T672=0),"",(V672-T672)/T672)</f>
        <v/>
      </c>
      <c r="X672" s="7">
        <f>IF(COUNT(D672:S672)=0,"",INDEX($D$1:$S$1,MATCH(MIN(D672:S672),D672:S672,0)))</f>
        <v/>
      </c>
      <c r="Y672" s="8" t="n">
        <v>767</v>
      </c>
      <c r="Z672" s="10" t="n">
        <v>2</v>
      </c>
    </row>
    <row r="673">
      <c r="A673" s="7" t="inlineStr">
        <is>
          <t>MAT-10-061</t>
        </is>
      </c>
      <c r="B673" s="4" t="inlineStr">
        <is>
          <t>Bombillo LED de 4 W</t>
        </is>
      </c>
      <c r="C673" s="7" t="inlineStr">
        <is>
          <t>unidad</t>
        </is>
      </c>
      <c r="D673" s="8" t="n"/>
      <c r="E673" s="8" t="n">
        <v>186</v>
      </c>
      <c r="F673" s="8" t="n"/>
      <c r="G673" s="8" t="n"/>
      <c r="H673" s="8" t="n"/>
      <c r="I673" s="8" t="n"/>
      <c r="J673" s="8" t="n">
        <v>130</v>
      </c>
      <c r="K673" s="8" t="n"/>
      <c r="L673" s="8" t="n">
        <v>64.98999999999999</v>
      </c>
      <c r="M673" s="8" t="n"/>
      <c r="N673" s="8" t="n"/>
      <c r="O673" s="8" t="n"/>
      <c r="P673" s="8" t="n"/>
      <c r="Q673" s="8" t="n"/>
      <c r="R673" s="8" t="n"/>
      <c r="S673" s="8" t="n"/>
      <c r="T673" s="8">
        <f>IF(COUNT(D673:S673)=0,"",MIN(D673:S673))</f>
        <v/>
      </c>
      <c r="U673" s="8">
        <f>IF(COUNT(D673:S673)=0,"",MEDIAN(D673:S673))</f>
        <v/>
      </c>
      <c r="V673" s="8">
        <f>IF(COUNT(D673:S673)=0,"",MAX(D673:S673))</f>
        <v/>
      </c>
      <c r="W673" s="9">
        <f>IF(OR(T673="",T673=0),"",(V673-T673)/T673)</f>
        <v/>
      </c>
      <c r="X673" s="7">
        <f>IF(COUNT(D673:S673)=0,"",INDEX($D$1:$S$1,MATCH(MIN(D673:S673),D673:S673,0)))</f>
        <v/>
      </c>
      <c r="Y673" s="8" t="n">
        <v>180</v>
      </c>
      <c r="Z673" s="10" t="n">
        <v>3</v>
      </c>
    </row>
    <row r="674">
      <c r="A674" s="7" t="inlineStr">
        <is>
          <t>MAT-10-062</t>
        </is>
      </c>
      <c r="B674" s="4" t="inlineStr">
        <is>
          <t>Bombillo LED de 4.9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105</v>
      </c>
      <c r="M674" s="8" t="n"/>
      <c r="N674" s="8" t="n"/>
      <c r="O674" s="8" t="n"/>
      <c r="P674" s="8" t="n"/>
      <c r="Q674" s="8" t="n"/>
      <c r="R674" s="8" t="n"/>
      <c r="S674" s="8" t="n"/>
      <c r="T674" s="8">
        <f>IF(COUNT(D674:S674)=0,"",MIN(D674:S674))</f>
        <v/>
      </c>
      <c r="U674" s="8">
        <f>IF(COUNT(D674:S674)=0,"",MEDIAN(D674:S674))</f>
        <v/>
      </c>
      <c r="V674" s="8">
        <f>IF(COUNT(D674:S674)=0,"",MAX(D674:S674))</f>
        <v/>
      </c>
      <c r="W674" s="9">
        <f>IF(OR(T674="",T674=0),"",(V674-T674)/T674)</f>
        <v/>
      </c>
      <c r="X674" s="7">
        <f>IF(COUNT(D674:S674)=0,"",INDEX($D$1:$S$1,MATCH(MIN(D674:S674),D674:S674,0)))</f>
        <v/>
      </c>
      <c r="Y674" s="8" t="n">
        <v>105</v>
      </c>
      <c r="Z674" s="10" t="n">
        <v>1</v>
      </c>
    </row>
    <row r="675">
      <c r="A675" s="7" t="inlineStr">
        <is>
          <t>MAT-10-063</t>
        </is>
      </c>
      <c r="B675" s="4" t="inlineStr">
        <is>
          <t>Bombillo LED de 40 W</t>
        </is>
      </c>
      <c r="C675" s="7" t="inlineStr">
        <is>
          <t>unidad</t>
        </is>
      </c>
      <c r="D675" s="8" t="n"/>
      <c r="E675" s="8" t="n">
        <v>490</v>
      </c>
      <c r="F675" s="8" t="n"/>
      <c r="G675" s="8" t="n"/>
      <c r="H675" s="8" t="n"/>
      <c r="I675" s="8" t="n">
        <v>470</v>
      </c>
      <c r="J675" s="8" t="n"/>
      <c r="K675" s="8" t="n"/>
      <c r="L675" s="8" t="n">
        <v>709.99</v>
      </c>
      <c r="M675" s="8" t="n"/>
      <c r="N675" s="8" t="n"/>
      <c r="O675" s="8" t="n"/>
      <c r="P675" s="8" t="n"/>
      <c r="Q675" s="8" t="n"/>
      <c r="R675" s="8" t="n"/>
      <c r="S675" s="8" t="n"/>
      <c r="T675" s="8">
        <f>IF(COUNT(D675:S675)=0,"",MIN(D675:S675))</f>
        <v/>
      </c>
      <c r="U675" s="8">
        <f>IF(COUNT(D675:S675)=0,"",MEDIAN(D675:S675))</f>
        <v/>
      </c>
      <c r="V675" s="8">
        <f>IF(COUNT(D675:S675)=0,"",MAX(D675:S675))</f>
        <v/>
      </c>
      <c r="W675" s="9">
        <f>IF(OR(T675="",T675=0),"",(V675-T675)/T675)</f>
        <v/>
      </c>
      <c r="X675" s="7">
        <f>IF(COUNT(D675:S675)=0,"",INDEX($D$1:$S$1,MATCH(MIN(D675:S675),D675:S675,0)))</f>
        <v/>
      </c>
      <c r="Y675" s="8" t="n">
        <v>500</v>
      </c>
      <c r="Z675" s="10" t="n">
        <v>3</v>
      </c>
    </row>
    <row r="676">
      <c r="A676" s="7" t="inlineStr">
        <is>
          <t>MAT-10-064</t>
        </is>
      </c>
      <c r="B676" s="4" t="inlineStr">
        <is>
          <t>Bombillo LED de 5 W</t>
        </is>
      </c>
      <c r="C676" s="7" t="inlineStr">
        <is>
          <t>unidad</t>
        </is>
      </c>
      <c r="D676" s="8" t="n"/>
      <c r="E676" s="8" t="n">
        <v>47.45</v>
      </c>
      <c r="F676" s="8" t="n"/>
      <c r="G676" s="8" t="n"/>
      <c r="H676" s="8" t="n"/>
      <c r="I676" s="8" t="n">
        <v>123</v>
      </c>
      <c r="J676" s="8" t="n">
        <v>58</v>
      </c>
      <c r="K676" s="8" t="n"/>
      <c r="L676" s="8" t="n">
        <v>272.01</v>
      </c>
      <c r="M676" s="8" t="n"/>
      <c r="N676" s="8" t="n"/>
      <c r="O676" s="8" t="n"/>
      <c r="P676" s="8" t="n"/>
      <c r="Q676" s="8" t="n"/>
      <c r="R676" s="8" t="n"/>
      <c r="S676" s="8" t="n"/>
      <c r="T676" s="8">
        <f>IF(COUNT(D676:S676)=0,"",MIN(D676:S676))</f>
        <v/>
      </c>
      <c r="U676" s="8">
        <f>IF(COUNT(D676:S676)=0,"",MEDIAN(D676:S676))</f>
        <v/>
      </c>
      <c r="V676" s="8">
        <f>IF(COUNT(D676:S676)=0,"",MAX(D676:S676))</f>
        <v/>
      </c>
      <c r="W676" s="9">
        <f>IF(OR(T676="",T676=0),"",(V676-T676)/T676)</f>
        <v/>
      </c>
      <c r="X676" s="7">
        <f>IF(COUNT(D676:S676)=0,"",INDEX($D$1:$S$1,MATCH(MIN(D676:S676),D676:S676,0)))</f>
        <v/>
      </c>
      <c r="Y676" s="8" t="n">
        <v>180</v>
      </c>
      <c r="Z676" s="10" t="n">
        <v>4</v>
      </c>
    </row>
    <row r="677">
      <c r="A677" s="7" t="inlineStr">
        <is>
          <t>MAT-10-065</t>
        </is>
      </c>
      <c r="B677" s="4" t="inlineStr">
        <is>
          <t>Bombillo LED de 50 W</t>
        </is>
      </c>
      <c r="C677" s="7" t="inlineStr">
        <is>
          <t>unidad</t>
        </is>
      </c>
      <c r="D677" s="8" t="n"/>
      <c r="E677" s="8" t="n">
        <v>166</v>
      </c>
      <c r="F677" s="8" t="n"/>
      <c r="G677" s="8" t="n"/>
      <c r="H677" s="8" t="n"/>
      <c r="I677" s="8" t="n"/>
      <c r="J677" s="8" t="n"/>
      <c r="K677" s="8" t="n"/>
      <c r="L677" s="8" t="n">
        <v>990</v>
      </c>
      <c r="M677" s="8" t="n"/>
      <c r="N677" s="8" t="n"/>
      <c r="O677" s="8" t="n"/>
      <c r="P677" s="8" t="n"/>
      <c r="Q677" s="8" t="n"/>
      <c r="R677" s="8" t="n"/>
      <c r="S677" s="8" t="n"/>
      <c r="T677" s="8">
        <f>IF(COUNT(D677:S677)=0,"",MIN(D677:S677))</f>
        <v/>
      </c>
      <c r="U677" s="8">
        <f>IF(COUNT(D677:S677)=0,"",MEDIAN(D677:S677))</f>
        <v/>
      </c>
      <c r="V677" s="8">
        <f>IF(COUNT(D677:S677)=0,"",MAX(D677:S677))</f>
        <v/>
      </c>
      <c r="W677" s="9">
        <f>IF(OR(T677="",T677=0),"",(V677-T677)/T677)</f>
        <v/>
      </c>
      <c r="X677" s="7">
        <f>IF(COUNT(D677:S677)=0,"",INDEX($D$1:$S$1,MATCH(MIN(D677:S677),D677:S677,0)))</f>
        <v/>
      </c>
      <c r="Y677" s="8" t="n">
        <v>492.5</v>
      </c>
      <c r="Z677" s="10" t="n">
        <v>2</v>
      </c>
    </row>
    <row r="678">
      <c r="A678" s="7" t="inlineStr">
        <is>
          <t>MAT-10-066</t>
        </is>
      </c>
      <c r="B678" s="4" t="inlineStr">
        <is>
          <t>Bombillo LED de 55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>
        <v>1724.99</v>
      </c>
      <c r="M678" s="8" t="n"/>
      <c r="N678" s="8" t="n"/>
      <c r="O678" s="8" t="n"/>
      <c r="P678" s="8" t="n"/>
      <c r="Q678" s="8" t="n"/>
      <c r="R678" s="8" t="n"/>
      <c r="S678" s="8" t="n"/>
      <c r="T678" s="8">
        <f>IF(COUNT(D678:S678)=0,"",MIN(D678:S678))</f>
        <v/>
      </c>
      <c r="U678" s="8">
        <f>IF(COUNT(D678:S678)=0,"",MEDIAN(D678:S678))</f>
        <v/>
      </c>
      <c r="V678" s="8">
        <f>IF(COUNT(D678:S678)=0,"",MAX(D678:S678))</f>
        <v/>
      </c>
      <c r="W678" s="9">
        <f>IF(OR(T678="",T678=0),"",(V678-T678)/T678)</f>
        <v/>
      </c>
      <c r="X678" s="7">
        <f>IF(COUNT(D678:S678)=0,"",INDEX($D$1:$S$1,MATCH(MIN(D678:S678),D678:S678,0)))</f>
        <v/>
      </c>
      <c r="Y678" s="8" t="n">
        <v>1724.99</v>
      </c>
      <c r="Z678" s="10" t="n">
        <v>1</v>
      </c>
    </row>
    <row r="679">
      <c r="A679" s="7" t="inlineStr">
        <is>
          <t>MAT-10-067</t>
        </is>
      </c>
      <c r="B679" s="4" t="inlineStr">
        <is>
          <t>Bombillo LED de 6 W</t>
        </is>
      </c>
      <c r="C679" s="7" t="inlineStr">
        <is>
          <t>unidad</t>
        </is>
      </c>
      <c r="D679" s="8" t="n"/>
      <c r="E679" s="8" t="n">
        <v>65</v>
      </c>
      <c r="F679" s="8" t="n"/>
      <c r="G679" s="8" t="n"/>
      <c r="H679" s="8" t="n"/>
      <c r="I679" s="8" t="n">
        <v>65</v>
      </c>
      <c r="J679" s="8" t="n">
        <v>130</v>
      </c>
      <c r="K679" s="8" t="n"/>
      <c r="L679" s="8" t="n">
        <v>70</v>
      </c>
      <c r="M679" s="8" t="n"/>
      <c r="N679" s="8" t="n"/>
      <c r="O679" s="8" t="n"/>
      <c r="P679" s="8" t="n"/>
      <c r="Q679" s="8" t="n"/>
      <c r="R679" s="8" t="n"/>
      <c r="S679" s="8" t="n"/>
      <c r="T679" s="8">
        <f>IF(COUNT(D679:S679)=0,"",MIN(D679:S679))</f>
        <v/>
      </c>
      <c r="U679" s="8">
        <f>IF(COUNT(D679:S679)=0,"",MEDIAN(D679:S679))</f>
        <v/>
      </c>
      <c r="V679" s="8">
        <f>IF(COUNT(D679:S679)=0,"",MAX(D679:S679))</f>
        <v/>
      </c>
      <c r="W679" s="9">
        <f>IF(OR(T679="",T679=0),"",(V679-T679)/T679)</f>
        <v/>
      </c>
      <c r="X679" s="7">
        <f>IF(COUNT(D679:S679)=0,"",INDEX($D$1:$S$1,MATCH(MIN(D679:S679),D679:S679,0)))</f>
        <v/>
      </c>
      <c r="Y679" s="8" t="n">
        <v>185</v>
      </c>
      <c r="Z679" s="10" t="n">
        <v>4</v>
      </c>
    </row>
    <row r="680">
      <c r="A680" s="7" t="inlineStr">
        <is>
          <t>MAT-10-068</t>
        </is>
      </c>
      <c r="B680" s="4" t="inlineStr">
        <is>
          <t>Bombillo led de 6.5 W</t>
        </is>
      </c>
      <c r="C680" s="7" t="inlineStr">
        <is>
          <t>unidad</t>
        </is>
      </c>
      <c r="D680" s="8" t="n"/>
      <c r="E680" s="8" t="n">
        <v>370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>
        <f>IF(COUNT(D680:S680)=0,"",MIN(D680:S680))</f>
        <v/>
      </c>
      <c r="U680" s="8">
        <f>IF(COUNT(D680:S680)=0,"",MEDIAN(D680:S680))</f>
        <v/>
      </c>
      <c r="V680" s="8">
        <f>IF(COUNT(D680:S680)=0,"",MAX(D680:S680))</f>
        <v/>
      </c>
      <c r="W680" s="9">
        <f>IF(OR(T680="",T680=0),"",(V680-T680)/T680)</f>
        <v/>
      </c>
      <c r="X680" s="7">
        <f>IF(COUNT(D680:S680)=0,"",INDEX($D$1:$S$1,MATCH(MIN(D680:S680),D680:S680,0)))</f>
        <v/>
      </c>
      <c r="Y680" s="8" t="n">
        <v>370</v>
      </c>
      <c r="Z680" s="10" t="n">
        <v>1</v>
      </c>
    </row>
    <row r="681">
      <c r="A681" s="7" t="inlineStr">
        <is>
          <t>MAT-10-069</t>
        </is>
      </c>
      <c r="B681" s="4" t="inlineStr">
        <is>
          <t>Bombillo led de 65 W</t>
        </is>
      </c>
      <c r="C681" s="7" t="inlineStr">
        <is>
          <t>unidad</t>
        </is>
      </c>
      <c r="D681" s="8" t="n"/>
      <c r="E681" s="8" t="n">
        <v>341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>
        <f>IF(COUNT(D681:S681)=0,"",MIN(D681:S681))</f>
        <v/>
      </c>
      <c r="U681" s="8">
        <f>IF(COUNT(D681:S681)=0,"",MEDIAN(D681:S681))</f>
        <v/>
      </c>
      <c r="V681" s="8">
        <f>IF(COUNT(D681:S681)=0,"",MAX(D681:S681))</f>
        <v/>
      </c>
      <c r="W681" s="9">
        <f>IF(OR(T681="",T681=0),"",(V681-T681)/T681)</f>
        <v/>
      </c>
      <c r="X681" s="7">
        <f>IF(COUNT(D681:S681)=0,"",INDEX($D$1:$S$1,MATCH(MIN(D681:S681),D681:S681,0)))</f>
        <v/>
      </c>
      <c r="Y681" s="8" t="n">
        <v>341</v>
      </c>
      <c r="Z681" s="10" t="n">
        <v>1</v>
      </c>
    </row>
    <row r="682">
      <c r="A682" s="7" t="inlineStr">
        <is>
          <t>MAT-10-070</t>
        </is>
      </c>
      <c r="B682" s="4" t="inlineStr">
        <is>
          <t>Bombillo LED de 7 W</t>
        </is>
      </c>
      <c r="C682" s="7" t="inlineStr">
        <is>
          <t>unidad</t>
        </is>
      </c>
      <c r="D682" s="8" t="n"/>
      <c r="E682" s="8" t="n">
        <v>101</v>
      </c>
      <c r="F682" s="8" t="n"/>
      <c r="G682" s="8" t="n"/>
      <c r="H682" s="8" t="n"/>
      <c r="I682" s="8" t="n"/>
      <c r="J682" s="8" t="n">
        <v>77</v>
      </c>
      <c r="K682" s="8" t="n"/>
      <c r="L682" s="8" t="n">
        <v>105</v>
      </c>
      <c r="M682" s="8" t="n"/>
      <c r="N682" s="8" t="n"/>
      <c r="O682" s="8" t="n"/>
      <c r="P682" s="8" t="n"/>
      <c r="Q682" s="8" t="n"/>
      <c r="R682" s="8" t="n"/>
      <c r="S682" s="8" t="n"/>
      <c r="T682" s="8">
        <f>IF(COUNT(D682:S682)=0,"",MIN(D682:S682))</f>
        <v/>
      </c>
      <c r="U682" s="8">
        <f>IF(COUNT(D682:S682)=0,"",MEDIAN(D682:S682))</f>
        <v/>
      </c>
      <c r="V682" s="8">
        <f>IF(COUNT(D682:S682)=0,"",MAX(D682:S682))</f>
        <v/>
      </c>
      <c r="W682" s="9">
        <f>IF(OR(T682="",T682=0),"",(V682-T682)/T682)</f>
        <v/>
      </c>
      <c r="X682" s="7">
        <f>IF(COUNT(D682:S682)=0,"",INDEX($D$1:$S$1,MATCH(MIN(D682:S682),D682:S682,0)))</f>
        <v/>
      </c>
      <c r="Y682" s="8" t="n">
        <v>103</v>
      </c>
      <c r="Z682" s="10" t="n">
        <v>3</v>
      </c>
    </row>
    <row r="683">
      <c r="A683" s="7" t="inlineStr">
        <is>
          <t>MAT-10-071</t>
        </is>
      </c>
      <c r="B683" s="4" t="inlineStr">
        <is>
          <t>Bombillo led de 8 W</t>
        </is>
      </c>
      <c r="C683" s="7" t="inlineStr">
        <is>
          <t>unidad</t>
        </is>
      </c>
      <c r="D683" s="8" t="n"/>
      <c r="E683" s="8" t="n">
        <v>75</v>
      </c>
      <c r="F683" s="8" t="n"/>
      <c r="G683" s="8" t="n"/>
      <c r="H683" s="8" t="n"/>
      <c r="I683" s="8" t="n">
        <v>160</v>
      </c>
      <c r="J683" s="8" t="n">
        <v>341</v>
      </c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>
        <f>IF(COUNT(D683:S683)=0,"",MIN(D683:S683))</f>
        <v/>
      </c>
      <c r="U683" s="8">
        <f>IF(COUNT(D683:S683)=0,"",MEDIAN(D683:S683))</f>
        <v/>
      </c>
      <c r="V683" s="8">
        <f>IF(COUNT(D683:S683)=0,"",MAX(D683:S683))</f>
        <v/>
      </c>
      <c r="W683" s="9">
        <f>IF(OR(T683="",T683=0),"",(V683-T683)/T683)</f>
        <v/>
      </c>
      <c r="X683" s="7">
        <f>IF(COUNT(D683:S683)=0,"",INDEX($D$1:$S$1,MATCH(MIN(D683:S683),D683:S683,0)))</f>
        <v/>
      </c>
      <c r="Y683" s="8" t="n">
        <v>220</v>
      </c>
      <c r="Z683" s="10" t="n">
        <v>3</v>
      </c>
    </row>
    <row r="684">
      <c r="A684" s="7" t="inlineStr">
        <is>
          <t>MAT-10-072</t>
        </is>
      </c>
      <c r="B684" s="4" t="inlineStr">
        <is>
          <t>Bombillo LED de 9 W</t>
        </is>
      </c>
      <c r="C684" s="7" t="inlineStr">
        <is>
          <t>unidad</t>
        </is>
      </c>
      <c r="D684" s="8" t="n"/>
      <c r="E684" s="8" t="n">
        <v>77</v>
      </c>
      <c r="F684" s="8" t="n"/>
      <c r="G684" s="8" t="n"/>
      <c r="H684" s="8" t="n"/>
      <c r="I684" s="8" t="n">
        <v>170</v>
      </c>
      <c r="J684" s="8" t="n">
        <v>83</v>
      </c>
      <c r="K684" s="8" t="n"/>
      <c r="L684" s="8" t="n">
        <v>105</v>
      </c>
      <c r="M684" s="8" t="n"/>
      <c r="N684" s="8" t="n"/>
      <c r="O684" s="8" t="n"/>
      <c r="P684" s="8" t="n"/>
      <c r="Q684" s="8" t="n"/>
      <c r="R684" s="8" t="n"/>
      <c r="S684" s="8" t="n"/>
      <c r="T684" s="8">
        <f>IF(COUNT(D684:S684)=0,"",MIN(D684:S684))</f>
        <v/>
      </c>
      <c r="U684" s="8">
        <f>IF(COUNT(D684:S684)=0,"",MEDIAN(D684:S684))</f>
        <v/>
      </c>
      <c r="V684" s="8">
        <f>IF(COUNT(D684:S684)=0,"",MAX(D684:S684))</f>
        <v/>
      </c>
      <c r="W684" s="9">
        <f>IF(OR(T684="",T684=0),"",(V684-T684)/T684)</f>
        <v/>
      </c>
      <c r="X684" s="7">
        <f>IF(COUNT(D684:S684)=0,"",INDEX($D$1:$S$1,MATCH(MIN(D684:S684),D684:S684,0)))</f>
        <v/>
      </c>
      <c r="Y684" s="8" t="n">
        <v>105</v>
      </c>
      <c r="Z684" s="10" t="n">
        <v>4</v>
      </c>
    </row>
    <row r="685">
      <c r="A685" s="7" t="inlineStr">
        <is>
          <t>MAT-10-073</t>
        </is>
      </c>
      <c r="B685" s="4" t="inlineStr">
        <is>
          <t>Bombillo led de 9.5 W</t>
        </is>
      </c>
      <c r="C685" s="7" t="inlineStr">
        <is>
          <t>unidad</t>
        </is>
      </c>
      <c r="D685" s="8" t="n"/>
      <c r="E685" s="8" t="n">
        <v>171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>
        <f>IF(COUNT(D685:S685)=0,"",MIN(D685:S685))</f>
        <v/>
      </c>
      <c r="U685" s="8">
        <f>IF(COUNT(D685:S685)=0,"",MEDIAN(D685:S685))</f>
        <v/>
      </c>
      <c r="V685" s="8">
        <f>IF(COUNT(D685:S685)=0,"",MAX(D685:S685))</f>
        <v/>
      </c>
      <c r="W685" s="9">
        <f>IF(OR(T685="",T685=0),"",(V685-T685)/T685)</f>
        <v/>
      </c>
      <c r="X685" s="7">
        <f>IF(COUNT(D685:S685)=0,"",INDEX($D$1:$S$1,MATCH(MIN(D685:S685),D685:S685,0)))</f>
        <v/>
      </c>
      <c r="Y685" s="8" t="n">
        <v>182</v>
      </c>
      <c r="Z685" s="10" t="n">
        <v>1</v>
      </c>
    </row>
    <row r="686">
      <c r="A686" s="7" t="inlineStr">
        <is>
          <t>MAT-10-074</t>
        </is>
      </c>
      <c r="B686" s="4" t="inlineStr">
        <is>
          <t>Panel LED empotrado cuadrado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340.01</v>
      </c>
      <c r="M686" s="8" t="n"/>
      <c r="N686" s="8" t="n"/>
      <c r="O686" s="8" t="n"/>
      <c r="P686" s="8" t="n"/>
      <c r="Q686" s="8" t="n"/>
      <c r="R686" s="8" t="n"/>
      <c r="S686" s="8" t="n"/>
      <c r="T686" s="8">
        <f>IF(COUNT(D686:S686)=0,"",MIN(D686:S686))</f>
        <v/>
      </c>
      <c r="U686" s="8">
        <f>IF(COUNT(D686:S686)=0,"",MEDIAN(D686:S686))</f>
        <v/>
      </c>
      <c r="V686" s="8">
        <f>IF(COUNT(D686:S686)=0,"",MAX(D686:S686))</f>
        <v/>
      </c>
      <c r="W686" s="9">
        <f>IF(OR(T686="",T686=0),"",(V686-T686)/T686)</f>
        <v/>
      </c>
      <c r="X686" s="7">
        <f>IF(COUNT(D686:S686)=0,"",INDEX($D$1:$S$1,MATCH(MIN(D686:S686),D686:S686,0)))</f>
        <v/>
      </c>
      <c r="Y686" s="8" t="n">
        <v>340.01</v>
      </c>
      <c r="Z686" s="10" t="n">
        <v>1</v>
      </c>
    </row>
    <row r="687">
      <c r="A687" s="7" t="inlineStr">
        <is>
          <t>MAT-10-075</t>
        </is>
      </c>
      <c r="B687" s="4" t="inlineStr">
        <is>
          <t>Panel LED empotrado cuadrado de 3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240</v>
      </c>
      <c r="M687" s="8" t="n"/>
      <c r="N687" s="8" t="n"/>
      <c r="O687" s="8" t="n"/>
      <c r="P687" s="8" t="n"/>
      <c r="Q687" s="8" t="n"/>
      <c r="R687" s="8" t="n"/>
      <c r="S687" s="8" t="n"/>
      <c r="T687" s="8">
        <f>IF(COUNT(D687:S687)=0,"",MIN(D687:S687))</f>
        <v/>
      </c>
      <c r="U687" s="8">
        <f>IF(COUNT(D687:S687)=0,"",MEDIAN(D687:S687))</f>
        <v/>
      </c>
      <c r="V687" s="8">
        <f>IF(COUNT(D687:S687)=0,"",MAX(D687:S687))</f>
        <v/>
      </c>
      <c r="W687" s="9">
        <f>IF(OR(T687="",T687=0),"",(V687-T687)/T687)</f>
        <v/>
      </c>
      <c r="X687" s="7">
        <f>IF(COUNT(D687:S687)=0,"",INDEX($D$1:$S$1,MATCH(MIN(D687:S687),D687:S687,0)))</f>
        <v/>
      </c>
      <c r="Y687" s="8" t="n">
        <v>240</v>
      </c>
      <c r="Z687" s="10" t="n">
        <v>1</v>
      </c>
    </row>
    <row r="688">
      <c r="A688" s="7" t="inlineStr">
        <is>
          <t>MAT-10-076</t>
        </is>
      </c>
      <c r="B688" s="4" t="inlineStr">
        <is>
          <t>Panel LED empotrado redondo de 12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304.99</v>
      </c>
      <c r="M688" s="8" t="n"/>
      <c r="N688" s="8" t="n"/>
      <c r="O688" s="8" t="n"/>
      <c r="P688" s="8" t="n"/>
      <c r="Q688" s="8" t="n"/>
      <c r="R688" s="8" t="n"/>
      <c r="S688" s="8" t="n"/>
      <c r="T688" s="8">
        <f>IF(COUNT(D688:S688)=0,"",MIN(D688:S688))</f>
        <v/>
      </c>
      <c r="U688" s="8">
        <f>IF(COUNT(D688:S688)=0,"",MEDIAN(D688:S688))</f>
        <v/>
      </c>
      <c r="V688" s="8">
        <f>IF(COUNT(D688:S688)=0,"",MAX(D688:S688))</f>
        <v/>
      </c>
      <c r="W688" s="9">
        <f>IF(OR(T688="",T688=0),"",(V688-T688)/T688)</f>
        <v/>
      </c>
      <c r="X688" s="7">
        <f>IF(COUNT(D688:S688)=0,"",INDEX($D$1:$S$1,MATCH(MIN(D688:S688),D688:S688,0)))</f>
        <v/>
      </c>
      <c r="Y688" s="8" t="n">
        <v>304.99</v>
      </c>
      <c r="Z688" s="10" t="n">
        <v>1</v>
      </c>
    </row>
    <row r="689">
      <c r="A689" s="7" t="inlineStr">
        <is>
          <t>MAT-10-077</t>
        </is>
      </c>
      <c r="B689" s="4" t="inlineStr">
        <is>
          <t>Panel LED empotrado redondo de 18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290</v>
      </c>
      <c r="M689" s="8" t="n"/>
      <c r="N689" s="8" t="n"/>
      <c r="O689" s="8" t="n"/>
      <c r="P689" s="8" t="n"/>
      <c r="Q689" s="8" t="n"/>
      <c r="R689" s="8" t="n"/>
      <c r="S689" s="8" t="n"/>
      <c r="T689" s="8">
        <f>IF(COUNT(D689:S689)=0,"",MIN(D689:S689))</f>
        <v/>
      </c>
      <c r="U689" s="8">
        <f>IF(COUNT(D689:S689)=0,"",MEDIAN(D689:S689))</f>
        <v/>
      </c>
      <c r="V689" s="8">
        <f>IF(COUNT(D689:S689)=0,"",MAX(D689:S689))</f>
        <v/>
      </c>
      <c r="W689" s="9">
        <f>IF(OR(T689="",T689=0),"",(V689-T689)/T689)</f>
        <v/>
      </c>
      <c r="X689" s="7">
        <f>IF(COUNT(D689:S689)=0,"",INDEX($D$1:$S$1,MATCH(MIN(D689:S689),D689:S689,0)))</f>
        <v/>
      </c>
      <c r="Y689" s="8" t="n">
        <v>290</v>
      </c>
      <c r="Z689" s="10" t="n">
        <v>1</v>
      </c>
    </row>
    <row r="690">
      <c r="A690" s="7" t="inlineStr">
        <is>
          <t>MAT-10-078</t>
        </is>
      </c>
      <c r="B690" s="4" t="inlineStr">
        <is>
          <t>Panel LED empotrado redondo de 24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650</v>
      </c>
      <c r="M690" s="8" t="n"/>
      <c r="N690" s="8" t="n"/>
      <c r="O690" s="8" t="n"/>
      <c r="P690" s="8" t="n"/>
      <c r="Q690" s="8" t="n"/>
      <c r="R690" s="8" t="n"/>
      <c r="S690" s="8" t="n"/>
      <c r="T690" s="8">
        <f>IF(COUNT(D690:S690)=0,"",MIN(D690:S690))</f>
        <v/>
      </c>
      <c r="U690" s="8">
        <f>IF(COUNT(D690:S690)=0,"",MEDIAN(D690:S690))</f>
        <v/>
      </c>
      <c r="V690" s="8">
        <f>IF(COUNT(D690:S690)=0,"",MAX(D690:S690))</f>
        <v/>
      </c>
      <c r="W690" s="9">
        <f>IF(OR(T690="",T690=0),"",(V690-T690)/T690)</f>
        <v/>
      </c>
      <c r="X690" s="7">
        <f>IF(COUNT(D690:S690)=0,"",INDEX($D$1:$S$1,MATCH(MIN(D690:S690),D690:S690,0)))</f>
        <v/>
      </c>
      <c r="Y690" s="8" t="n">
        <v>650</v>
      </c>
      <c r="Z690" s="10" t="n">
        <v>1</v>
      </c>
    </row>
    <row r="691">
      <c r="A691" s="7" t="inlineStr">
        <is>
          <t>MAT-10-079</t>
        </is>
      </c>
      <c r="B691" s="4" t="inlineStr">
        <is>
          <t>Panel LED empotrar cuadrado de 10 W</t>
        </is>
      </c>
      <c r="C691" s="7" t="inlineStr">
        <is>
          <t>unidad</t>
        </is>
      </c>
      <c r="D691" s="8" t="n"/>
      <c r="E691" s="8" t="n">
        <v>845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>
        <f>IF(COUNT(D691:S691)=0,"",MIN(D691:S691))</f>
        <v/>
      </c>
      <c r="U691" s="8">
        <f>IF(COUNT(D691:S691)=0,"",MEDIAN(D691:S691))</f>
        <v/>
      </c>
      <c r="V691" s="8">
        <f>IF(COUNT(D691:S691)=0,"",MAX(D691:S691))</f>
        <v/>
      </c>
      <c r="W691" s="9">
        <f>IF(OR(T691="",T691=0),"",(V691-T691)/T691)</f>
        <v/>
      </c>
      <c r="X691" s="7">
        <f>IF(COUNT(D691:S691)=0,"",INDEX($D$1:$S$1,MATCH(MIN(D691:S691),D691:S691,0)))</f>
        <v/>
      </c>
      <c r="Y691" s="8" t="n">
        <v>845</v>
      </c>
      <c r="Z691" s="10" t="n">
        <v>1</v>
      </c>
    </row>
    <row r="692">
      <c r="A692" s="7" t="inlineStr">
        <is>
          <t>MAT-10-080</t>
        </is>
      </c>
      <c r="B692" s="4" t="inlineStr">
        <is>
          <t>Panel LED empotrar cuadrado de 11.5 W</t>
        </is>
      </c>
      <c r="C692" s="7" t="inlineStr">
        <is>
          <t>unidad</t>
        </is>
      </c>
      <c r="D692" s="8" t="n"/>
      <c r="E692" s="8" t="n">
        <v>465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>
        <f>IF(COUNT(D692:S692)=0,"",MIN(D692:S692))</f>
        <v/>
      </c>
      <c r="U692" s="8">
        <f>IF(COUNT(D692:S692)=0,"",MEDIAN(D692:S692))</f>
        <v/>
      </c>
      <c r="V692" s="8">
        <f>IF(COUNT(D692:S692)=0,"",MAX(D692:S692))</f>
        <v/>
      </c>
      <c r="W692" s="9">
        <f>IF(OR(T692="",T692=0),"",(V692-T692)/T692)</f>
        <v/>
      </c>
      <c r="X692" s="7">
        <f>IF(COUNT(D692:S692)=0,"",INDEX($D$1:$S$1,MATCH(MIN(D692:S692),D692:S692,0)))</f>
        <v/>
      </c>
      <c r="Y692" s="8" t="n">
        <v>926</v>
      </c>
      <c r="Z692" s="10" t="n">
        <v>1</v>
      </c>
    </row>
    <row r="693">
      <c r="A693" s="7" t="inlineStr">
        <is>
          <t>MAT-10-081</t>
        </is>
      </c>
      <c r="B693" s="4" t="inlineStr">
        <is>
          <t>Panel LED empotrar cuadrado de 12 W</t>
        </is>
      </c>
      <c r="C693" s="7" t="inlineStr">
        <is>
          <t>unidad</t>
        </is>
      </c>
      <c r="D693" s="8" t="n"/>
      <c r="E693" s="8" t="n">
        <v>170</v>
      </c>
      <c r="F693" s="8" t="n"/>
      <c r="G693" s="8" t="n"/>
      <c r="H693" s="8" t="n"/>
      <c r="I693" s="8" t="n">
        <v>245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>
        <f>IF(COUNT(D693:S693)=0,"",MIN(D693:S693))</f>
        <v/>
      </c>
      <c r="U693" s="8">
        <f>IF(COUNT(D693:S693)=0,"",MEDIAN(D693:S693))</f>
        <v/>
      </c>
      <c r="V693" s="8">
        <f>IF(COUNT(D693:S693)=0,"",MAX(D693:S693))</f>
        <v/>
      </c>
      <c r="W693" s="9">
        <f>IF(OR(T693="",T693=0),"",(V693-T693)/T693)</f>
        <v/>
      </c>
      <c r="X693" s="7">
        <f>IF(COUNT(D693:S693)=0,"",INDEX($D$1:$S$1,MATCH(MIN(D693:S693),D693:S693,0)))</f>
        <v/>
      </c>
      <c r="Y693" s="8" t="n">
        <v>245</v>
      </c>
      <c r="Z693" s="10" t="n">
        <v>2</v>
      </c>
    </row>
    <row r="694">
      <c r="A694" s="7" t="inlineStr">
        <is>
          <t>MAT-10-082</t>
        </is>
      </c>
      <c r="B694" s="4" t="inlineStr">
        <is>
          <t>Panel LED empotrar cuadrado de 15 W</t>
        </is>
      </c>
      <c r="C694" s="7" t="inlineStr">
        <is>
          <t>unidad</t>
        </is>
      </c>
      <c r="D694" s="8" t="n"/>
      <c r="E694" s="8" t="n">
        <v>1764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>
        <f>IF(COUNT(D694:S694)=0,"",MIN(D694:S694))</f>
        <v/>
      </c>
      <c r="U694" s="8">
        <f>IF(COUNT(D694:S694)=0,"",MEDIAN(D694:S694))</f>
        <v/>
      </c>
      <c r="V694" s="8">
        <f>IF(COUNT(D694:S694)=0,"",MAX(D694:S694))</f>
        <v/>
      </c>
      <c r="W694" s="9">
        <f>IF(OR(T694="",T694=0),"",(V694-T694)/T694)</f>
        <v/>
      </c>
      <c r="X694" s="7">
        <f>IF(COUNT(D694:S694)=0,"",INDEX($D$1:$S$1,MATCH(MIN(D694:S694),D694:S694,0)))</f>
        <v/>
      </c>
      <c r="Y694" s="8" t="n">
        <v>1764</v>
      </c>
      <c r="Z694" s="10" t="n">
        <v>1</v>
      </c>
    </row>
    <row r="695">
      <c r="A695" s="7" t="inlineStr">
        <is>
          <t>MAT-10-083</t>
        </is>
      </c>
      <c r="B695" s="4" t="inlineStr">
        <is>
          <t>Panel LED empotrar cuadrado de 18 W</t>
        </is>
      </c>
      <c r="C695" s="7" t="inlineStr">
        <is>
          <t>unidad</t>
        </is>
      </c>
      <c r="D695" s="8" t="n"/>
      <c r="E695" s="8" t="n">
        <v>390</v>
      </c>
      <c r="F695" s="8" t="n"/>
      <c r="G695" s="8" t="n"/>
      <c r="H695" s="8" t="n"/>
      <c r="I695" s="8" t="n">
        <v>349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>
        <f>IF(COUNT(D695:S695)=0,"",MIN(D695:S695))</f>
        <v/>
      </c>
      <c r="U695" s="8">
        <f>IF(COUNT(D695:S695)=0,"",MEDIAN(D695:S695))</f>
        <v/>
      </c>
      <c r="V695" s="8">
        <f>IF(COUNT(D695:S695)=0,"",MAX(D695:S695))</f>
        <v/>
      </c>
      <c r="W695" s="9">
        <f>IF(OR(T695="",T695=0),"",(V695-T695)/T695)</f>
        <v/>
      </c>
      <c r="X695" s="7">
        <f>IF(COUNT(D695:S695)=0,"",INDEX($D$1:$S$1,MATCH(MIN(D695:S695),D695:S695,0)))</f>
        <v/>
      </c>
      <c r="Y695" s="8" t="n">
        <v>439.5</v>
      </c>
      <c r="Z695" s="10" t="n">
        <v>2</v>
      </c>
    </row>
    <row r="696">
      <c r="A696" s="7" t="inlineStr">
        <is>
          <t>MAT-10-084</t>
        </is>
      </c>
      <c r="B696" s="4" t="inlineStr">
        <is>
          <t>Panel LED empotrar cuadrado de 22 W</t>
        </is>
      </c>
      <c r="C696" s="7" t="inlineStr">
        <is>
          <t>unidad</t>
        </is>
      </c>
      <c r="D696" s="8" t="n"/>
      <c r="E696" s="8" t="n">
        <v>665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>
        <f>IF(COUNT(D696:S696)=0,"",MIN(D696:S696))</f>
        <v/>
      </c>
      <c r="U696" s="8">
        <f>IF(COUNT(D696:S696)=0,"",MEDIAN(D696:S696))</f>
        <v/>
      </c>
      <c r="V696" s="8">
        <f>IF(COUNT(D696:S696)=0,"",MAX(D696:S696))</f>
        <v/>
      </c>
      <c r="W696" s="9">
        <f>IF(OR(T696="",T696=0),"",(V696-T696)/T696)</f>
        <v/>
      </c>
      <c r="X696" s="7">
        <f>IF(COUNT(D696:S696)=0,"",INDEX($D$1:$S$1,MATCH(MIN(D696:S696),D696:S696,0)))</f>
        <v/>
      </c>
      <c r="Y696" s="8" t="n">
        <v>665</v>
      </c>
      <c r="Z696" s="10" t="n">
        <v>1</v>
      </c>
    </row>
    <row r="697">
      <c r="A697" s="7" t="inlineStr">
        <is>
          <t>MAT-10-085</t>
        </is>
      </c>
      <c r="B697" s="4" t="inlineStr">
        <is>
          <t>Panel LED empotrar cuadrado de 24 W</t>
        </is>
      </c>
      <c r="C697" s="7" t="inlineStr">
        <is>
          <t>unidad</t>
        </is>
      </c>
      <c r="D697" s="8" t="n"/>
      <c r="E697" s="8" t="n">
        <v>699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>
        <f>IF(COUNT(D697:S697)=0,"",MIN(D697:S697))</f>
        <v/>
      </c>
      <c r="U697" s="8">
        <f>IF(COUNT(D697:S697)=0,"",MEDIAN(D697:S697))</f>
        <v/>
      </c>
      <c r="V697" s="8">
        <f>IF(COUNT(D697:S697)=0,"",MAX(D697:S697))</f>
        <v/>
      </c>
      <c r="W697" s="9">
        <f>IF(OR(T697="",T697=0),"",(V697-T697)/T697)</f>
        <v/>
      </c>
      <c r="X697" s="7">
        <f>IF(COUNT(D697:S697)=0,"",INDEX($D$1:$S$1,MATCH(MIN(D697:S697),D697:S697,0)))</f>
        <v/>
      </c>
      <c r="Y697" s="8" t="n">
        <v>699</v>
      </c>
      <c r="Z697" s="10" t="n">
        <v>1</v>
      </c>
    </row>
    <row r="698">
      <c r="A698" s="7" t="inlineStr">
        <is>
          <t>MAT-10-086</t>
        </is>
      </c>
      <c r="B698" s="4" t="inlineStr">
        <is>
          <t>Panel LED empotrar cuadrado de 3 W</t>
        </is>
      </c>
      <c r="C698" s="7" t="inlineStr">
        <is>
          <t>unidad</t>
        </is>
      </c>
      <c r="D698" s="8" t="n"/>
      <c r="E698" s="8" t="n">
        <v>265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>
        <f>IF(COUNT(D698:S698)=0,"",MIN(D698:S698))</f>
        <v/>
      </c>
      <c r="U698" s="8">
        <f>IF(COUNT(D698:S698)=0,"",MEDIAN(D698:S698))</f>
        <v/>
      </c>
      <c r="V698" s="8">
        <f>IF(COUNT(D698:S698)=0,"",MAX(D698:S698))</f>
        <v/>
      </c>
      <c r="W698" s="9">
        <f>IF(OR(T698="",T698=0),"",(V698-T698)/T698)</f>
        <v/>
      </c>
      <c r="X698" s="7">
        <f>IF(COUNT(D698:S698)=0,"",INDEX($D$1:$S$1,MATCH(MIN(D698:S698),D698:S698,0)))</f>
        <v/>
      </c>
      <c r="Y698" s="8" t="n">
        <v>265</v>
      </c>
      <c r="Z698" s="10" t="n">
        <v>1</v>
      </c>
    </row>
    <row r="699">
      <c r="A699" s="7" t="inlineStr">
        <is>
          <t>MAT-10-087</t>
        </is>
      </c>
      <c r="B699" s="4" t="inlineStr">
        <is>
          <t>Panel LED empotrar cuadrado de 36 W</t>
        </is>
      </c>
      <c r="C699" s="7" t="inlineStr">
        <is>
          <t>unidad</t>
        </is>
      </c>
      <c r="D699" s="8" t="n"/>
      <c r="E699" s="8" t="n">
        <v>1104</v>
      </c>
      <c r="F699" s="8" t="n"/>
      <c r="G699" s="8" t="n"/>
      <c r="H699" s="8" t="n"/>
      <c r="I699" s="8" t="n"/>
      <c r="J699" s="8" t="n">
        <v>1050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>
        <f>IF(COUNT(D699:S699)=0,"",MIN(D699:S699))</f>
        <v/>
      </c>
      <c r="U699" s="8">
        <f>IF(COUNT(D699:S699)=0,"",MEDIAN(D699:S699))</f>
        <v/>
      </c>
      <c r="V699" s="8">
        <f>IF(COUNT(D699:S699)=0,"",MAX(D699:S699))</f>
        <v/>
      </c>
      <c r="W699" s="9">
        <f>IF(OR(T699="",T699=0),"",(V699-T699)/T699)</f>
        <v/>
      </c>
      <c r="X699" s="7">
        <f>IF(COUNT(D699:S699)=0,"",INDEX($D$1:$S$1,MATCH(MIN(D699:S699),D699:S699,0)))</f>
        <v/>
      </c>
      <c r="Y699" s="8" t="n">
        <v>1077</v>
      </c>
      <c r="Z699" s="10" t="n">
        <v>2</v>
      </c>
    </row>
    <row r="700">
      <c r="A700" s="7" t="inlineStr">
        <is>
          <t>MAT-10-088</t>
        </is>
      </c>
      <c r="B700" s="4" t="inlineStr">
        <is>
          <t>Panel LED empotrar cuadrado de 4 W</t>
        </is>
      </c>
      <c r="C700" s="7" t="inlineStr">
        <is>
          <t>unidad</t>
        </is>
      </c>
      <c r="D700" s="8" t="n"/>
      <c r="E700" s="8" t="n">
        <v>245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>
        <f>IF(COUNT(D700:S700)=0,"",MIN(D700:S700))</f>
        <v/>
      </c>
      <c r="U700" s="8">
        <f>IF(COUNT(D700:S700)=0,"",MEDIAN(D700:S700))</f>
        <v/>
      </c>
      <c r="V700" s="8">
        <f>IF(COUNT(D700:S700)=0,"",MAX(D700:S700))</f>
        <v/>
      </c>
      <c r="W700" s="9">
        <f>IF(OR(T700="",T700=0),"",(V700-T700)/T700)</f>
        <v/>
      </c>
      <c r="X700" s="7">
        <f>IF(COUNT(D700:S700)=0,"",INDEX($D$1:$S$1,MATCH(MIN(D700:S700),D700:S700,0)))</f>
        <v/>
      </c>
      <c r="Y700" s="8" t="n">
        <v>245</v>
      </c>
      <c r="Z700" s="10" t="n">
        <v>1</v>
      </c>
    </row>
    <row r="701">
      <c r="A701" s="7" t="inlineStr">
        <is>
          <t>MAT-10-089</t>
        </is>
      </c>
      <c r="B701" s="4" t="inlineStr">
        <is>
          <t>Panel LED empotrar cuadrado de 40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1150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>
        <f>IF(COUNT(D701:S701)=0,"",MIN(D701:S701))</f>
        <v/>
      </c>
      <c r="U701" s="8">
        <f>IF(COUNT(D701:S701)=0,"",MEDIAN(D701:S701))</f>
        <v/>
      </c>
      <c r="V701" s="8">
        <f>IF(COUNT(D701:S701)=0,"",MAX(D701:S701))</f>
        <v/>
      </c>
      <c r="W701" s="9">
        <f>IF(OR(T701="",T701=0),"",(V701-T701)/T701)</f>
        <v/>
      </c>
      <c r="X701" s="7">
        <f>IF(COUNT(D701:S701)=0,"",INDEX($D$1:$S$1,MATCH(MIN(D701:S701),D701:S701,0)))</f>
        <v/>
      </c>
      <c r="Y701" s="8" t="n">
        <v>1475</v>
      </c>
      <c r="Z701" s="10" t="n">
        <v>1</v>
      </c>
    </row>
    <row r="702">
      <c r="A702" s="7" t="inlineStr">
        <is>
          <t>MAT-10-090</t>
        </is>
      </c>
      <c r="B702" s="4" t="inlineStr">
        <is>
          <t>Panel LED empotrar cuadrado de 6 W</t>
        </is>
      </c>
      <c r="C702" s="7" t="inlineStr">
        <is>
          <t>unidad</t>
        </is>
      </c>
      <c r="D702" s="8" t="n"/>
      <c r="E702" s="8" t="n">
        <v>241</v>
      </c>
      <c r="F702" s="8" t="n"/>
      <c r="G702" s="8" t="n"/>
      <c r="H702" s="8" t="n"/>
      <c r="I702" s="8" t="n">
        <v>159</v>
      </c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>
        <f>IF(COUNT(D702:S702)=0,"",MIN(D702:S702))</f>
        <v/>
      </c>
      <c r="U702" s="8">
        <f>IF(COUNT(D702:S702)=0,"",MEDIAN(D702:S702))</f>
        <v/>
      </c>
      <c r="V702" s="8">
        <f>IF(COUNT(D702:S702)=0,"",MAX(D702:S702))</f>
        <v/>
      </c>
      <c r="W702" s="9">
        <f>IF(OR(T702="",T702=0),"",(V702-T702)/T702)</f>
        <v/>
      </c>
      <c r="X702" s="7">
        <f>IF(COUNT(D702:S702)=0,"",INDEX($D$1:$S$1,MATCH(MIN(D702:S702),D702:S702,0)))</f>
        <v/>
      </c>
      <c r="Y702" s="8" t="n">
        <v>241</v>
      </c>
      <c r="Z702" s="10" t="n">
        <v>2</v>
      </c>
    </row>
    <row r="703">
      <c r="A703" s="7" t="inlineStr">
        <is>
          <t>MAT-10-091</t>
        </is>
      </c>
      <c r="B703" s="4" t="inlineStr">
        <is>
          <t>Panel LED empotrar cuadrado de 7 W</t>
        </is>
      </c>
      <c r="C703" s="7" t="inlineStr">
        <is>
          <t>unidad</t>
        </is>
      </c>
      <c r="D703" s="8" t="n"/>
      <c r="E703" s="8" t="n">
        <v>880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>
        <f>IF(COUNT(D703:S703)=0,"",MIN(D703:S703))</f>
        <v/>
      </c>
      <c r="U703" s="8">
        <f>IF(COUNT(D703:S703)=0,"",MEDIAN(D703:S703))</f>
        <v/>
      </c>
      <c r="V703" s="8">
        <f>IF(COUNT(D703:S703)=0,"",MAX(D703:S703))</f>
        <v/>
      </c>
      <c r="W703" s="9">
        <f>IF(OR(T703="",T703=0),"",(V703-T703)/T703)</f>
        <v/>
      </c>
      <c r="X703" s="7">
        <f>IF(COUNT(D703:S703)=0,"",INDEX($D$1:$S$1,MATCH(MIN(D703:S703),D703:S703,0)))</f>
        <v/>
      </c>
      <c r="Y703" s="8" t="n">
        <v>895.5</v>
      </c>
      <c r="Z703" s="10" t="n">
        <v>1</v>
      </c>
    </row>
    <row r="704">
      <c r="A704" s="7" t="inlineStr">
        <is>
          <t>MAT-10-092</t>
        </is>
      </c>
      <c r="B704" s="4" t="inlineStr">
        <is>
          <t>Panel LED empotrar cuadrado de 7.8 W</t>
        </is>
      </c>
      <c r="C704" s="7" t="inlineStr">
        <is>
          <t>unidad</t>
        </is>
      </c>
      <c r="D704" s="8" t="n"/>
      <c r="E704" s="8" t="n">
        <v>405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>
        <f>IF(COUNT(D704:S704)=0,"",MIN(D704:S704))</f>
        <v/>
      </c>
      <c r="U704" s="8">
        <f>IF(COUNT(D704:S704)=0,"",MEDIAN(D704:S704))</f>
        <v/>
      </c>
      <c r="V704" s="8">
        <f>IF(COUNT(D704:S704)=0,"",MAX(D704:S704))</f>
        <v/>
      </c>
      <c r="W704" s="9">
        <f>IF(OR(T704="",T704=0),"",(V704-T704)/T704)</f>
        <v/>
      </c>
      <c r="X704" s="7">
        <f>IF(COUNT(D704:S704)=0,"",INDEX($D$1:$S$1,MATCH(MIN(D704:S704),D704:S704,0)))</f>
        <v/>
      </c>
      <c r="Y704" s="8" t="n">
        <v>530.5</v>
      </c>
      <c r="Z704" s="10" t="n">
        <v>1</v>
      </c>
    </row>
    <row r="705">
      <c r="A705" s="7" t="inlineStr">
        <is>
          <t>MAT-10-093</t>
        </is>
      </c>
      <c r="B705" s="4" t="inlineStr">
        <is>
          <t>Panel LED empotrar cuadrado de 9 W</t>
        </is>
      </c>
      <c r="C705" s="7" t="inlineStr">
        <is>
          <t>unidad</t>
        </is>
      </c>
      <c r="D705" s="8" t="n"/>
      <c r="E705" s="8" t="n">
        <v>1044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>
        <f>IF(COUNT(D705:S705)=0,"",MIN(D705:S705))</f>
        <v/>
      </c>
      <c r="U705" s="8">
        <f>IF(COUNT(D705:S705)=0,"",MEDIAN(D705:S705))</f>
        <v/>
      </c>
      <c r="V705" s="8">
        <f>IF(COUNT(D705:S705)=0,"",MAX(D705:S705))</f>
        <v/>
      </c>
      <c r="W705" s="9">
        <f>IF(OR(T705="",T705=0),"",(V705-T705)/T705)</f>
        <v/>
      </c>
      <c r="X705" s="7">
        <f>IF(COUNT(D705:S705)=0,"",INDEX($D$1:$S$1,MATCH(MIN(D705:S705),D705:S705,0)))</f>
        <v/>
      </c>
      <c r="Y705" s="8" t="n">
        <v>1054</v>
      </c>
      <c r="Z705" s="10" t="n">
        <v>1</v>
      </c>
    </row>
    <row r="706">
      <c r="A706" s="7" t="inlineStr">
        <is>
          <t>MAT-10-094</t>
        </is>
      </c>
      <c r="B706" s="4" t="inlineStr">
        <is>
          <t>Panel LED empotrar redondo de 11.5 W</t>
        </is>
      </c>
      <c r="C706" s="7" t="inlineStr">
        <is>
          <t>unidad</t>
        </is>
      </c>
      <c r="D706" s="8" t="n"/>
      <c r="E706" s="8" t="n">
        <v>465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>
        <f>IF(COUNT(D706:S706)=0,"",MIN(D706:S706))</f>
        <v/>
      </c>
      <c r="U706" s="8">
        <f>IF(COUNT(D706:S706)=0,"",MEDIAN(D706:S706))</f>
        <v/>
      </c>
      <c r="V706" s="8">
        <f>IF(COUNT(D706:S706)=0,"",MAX(D706:S706))</f>
        <v/>
      </c>
      <c r="W706" s="9">
        <f>IF(OR(T706="",T706=0),"",(V706-T706)/T706)</f>
        <v/>
      </c>
      <c r="X706" s="7">
        <f>IF(COUNT(D706:S706)=0,"",INDEX($D$1:$S$1,MATCH(MIN(D706:S706),D706:S706,0)))</f>
        <v/>
      </c>
      <c r="Y706" s="8" t="n">
        <v>516.5</v>
      </c>
      <c r="Z706" s="10" t="n">
        <v>1</v>
      </c>
    </row>
    <row r="707">
      <c r="A707" s="7" t="inlineStr">
        <is>
          <t>MAT-10-095</t>
        </is>
      </c>
      <c r="B707" s="4" t="inlineStr">
        <is>
          <t>Panel LED empotrar redondo de 11.6 W</t>
        </is>
      </c>
      <c r="C707" s="7" t="inlineStr">
        <is>
          <t>unidad</t>
        </is>
      </c>
      <c r="D707" s="8" t="n"/>
      <c r="E707" s="8" t="n">
        <v>1552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>
        <f>IF(COUNT(D707:S707)=0,"",MIN(D707:S707))</f>
        <v/>
      </c>
      <c r="U707" s="8">
        <f>IF(COUNT(D707:S707)=0,"",MEDIAN(D707:S707))</f>
        <v/>
      </c>
      <c r="V707" s="8">
        <f>IF(COUNT(D707:S707)=0,"",MAX(D707:S707))</f>
        <v/>
      </c>
      <c r="W707" s="9">
        <f>IF(OR(T707="",T707=0),"",(V707-T707)/T707)</f>
        <v/>
      </c>
      <c r="X707" s="7">
        <f>IF(COUNT(D707:S707)=0,"",INDEX($D$1:$S$1,MATCH(MIN(D707:S707),D707:S707,0)))</f>
        <v/>
      </c>
      <c r="Y707" s="8" t="n">
        <v>1552</v>
      </c>
      <c r="Z707" s="10" t="n">
        <v>1</v>
      </c>
    </row>
    <row r="708">
      <c r="A708" s="7" t="inlineStr">
        <is>
          <t>MAT-10-096</t>
        </is>
      </c>
      <c r="B708" s="4" t="inlineStr">
        <is>
          <t>Panel LED empotrar redondo de 12 W</t>
        </is>
      </c>
      <c r="C708" s="7" t="inlineStr">
        <is>
          <t>unidad</t>
        </is>
      </c>
      <c r="D708" s="8" t="n"/>
      <c r="E708" s="8" t="n">
        <v>135</v>
      </c>
      <c r="F708" s="8" t="n"/>
      <c r="G708" s="8" t="n"/>
      <c r="H708" s="8" t="n"/>
      <c r="I708" s="8" t="n">
        <v>219</v>
      </c>
      <c r="J708" s="8" t="n">
        <v>210</v>
      </c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>
        <f>IF(COUNT(D708:S708)=0,"",MIN(D708:S708))</f>
        <v/>
      </c>
      <c r="U708" s="8">
        <f>IF(COUNT(D708:S708)=0,"",MEDIAN(D708:S708))</f>
        <v/>
      </c>
      <c r="V708" s="8">
        <f>IF(COUNT(D708:S708)=0,"",MAX(D708:S708))</f>
        <v/>
      </c>
      <c r="W708" s="9">
        <f>IF(OR(T708="",T708=0),"",(V708-T708)/T708)</f>
        <v/>
      </c>
      <c r="X708" s="7">
        <f>IF(COUNT(D708:S708)=0,"",INDEX($D$1:$S$1,MATCH(MIN(D708:S708),D708:S708,0)))</f>
        <v/>
      </c>
      <c r="Y708" s="8" t="n">
        <v>350</v>
      </c>
      <c r="Z708" s="10" t="n">
        <v>3</v>
      </c>
    </row>
    <row r="709">
      <c r="A709" s="7" t="inlineStr">
        <is>
          <t>MAT-10-097</t>
        </is>
      </c>
      <c r="B709" s="4" t="inlineStr">
        <is>
          <t>Panel LED empotrar redondo de 15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232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>
        <f>IF(COUNT(D709:S709)=0,"",MIN(D709:S709))</f>
        <v/>
      </c>
      <c r="U709" s="8">
        <f>IF(COUNT(D709:S709)=0,"",MEDIAN(D709:S709))</f>
        <v/>
      </c>
      <c r="V709" s="8">
        <f>IF(COUNT(D709:S709)=0,"",MAX(D709:S709))</f>
        <v/>
      </c>
      <c r="W709" s="9">
        <f>IF(OR(T709="",T709=0),"",(V709-T709)/T709)</f>
        <v/>
      </c>
      <c r="X709" s="7">
        <f>IF(COUNT(D709:S709)=0,"",INDEX($D$1:$S$1,MATCH(MIN(D709:S709),D709:S709,0)))</f>
        <v/>
      </c>
      <c r="Y709" s="8" t="n">
        <v>232</v>
      </c>
      <c r="Z709" s="10" t="n">
        <v>1</v>
      </c>
    </row>
    <row r="710">
      <c r="A710" s="7" t="inlineStr">
        <is>
          <t>MAT-10-098</t>
        </is>
      </c>
      <c r="B710" s="4" t="inlineStr">
        <is>
          <t>Panel LED empotrar redondo de 18 W</t>
        </is>
      </c>
      <c r="C710" s="7" t="inlineStr">
        <is>
          <t>unidad</t>
        </is>
      </c>
      <c r="D710" s="8" t="n"/>
      <c r="E710" s="8" t="n">
        <v>205</v>
      </c>
      <c r="F710" s="8" t="n"/>
      <c r="G710" s="8" t="n"/>
      <c r="H710" s="8" t="n"/>
      <c r="I710" s="8" t="n">
        <v>325</v>
      </c>
      <c r="J710" s="8" t="n">
        <v>310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>
        <f>IF(COUNT(D710:S710)=0,"",MIN(D710:S710))</f>
        <v/>
      </c>
      <c r="U710" s="8">
        <f>IF(COUNT(D710:S710)=0,"",MEDIAN(D710:S710))</f>
        <v/>
      </c>
      <c r="V710" s="8">
        <f>IF(COUNT(D710:S710)=0,"",MAX(D710:S710))</f>
        <v/>
      </c>
      <c r="W710" s="9">
        <f>IF(OR(T710="",T710=0),"",(V710-T710)/T710)</f>
        <v/>
      </c>
      <c r="X710" s="7">
        <f>IF(COUNT(D710:S710)=0,"",INDEX($D$1:$S$1,MATCH(MIN(D710:S710),D710:S710,0)))</f>
        <v/>
      </c>
      <c r="Y710" s="8" t="n">
        <v>381</v>
      </c>
      <c r="Z710" s="10" t="n">
        <v>3</v>
      </c>
    </row>
    <row r="711">
      <c r="A711" s="7" t="inlineStr">
        <is>
          <t>MAT-10-099</t>
        </is>
      </c>
      <c r="B711" s="4" t="inlineStr">
        <is>
          <t>Panel LED empotrar redondo de 22 W</t>
        </is>
      </c>
      <c r="C711" s="7" t="inlineStr">
        <is>
          <t>unidad</t>
        </is>
      </c>
      <c r="D711" s="8" t="n"/>
      <c r="E711" s="8" t="n">
        <v>660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>
        <f>IF(COUNT(D711:S711)=0,"",MIN(D711:S711))</f>
        <v/>
      </c>
      <c r="U711" s="8">
        <f>IF(COUNT(D711:S711)=0,"",MEDIAN(D711:S711))</f>
        <v/>
      </c>
      <c r="V711" s="8">
        <f>IF(COUNT(D711:S711)=0,"",MAX(D711:S711))</f>
        <v/>
      </c>
      <c r="W711" s="9">
        <f>IF(OR(T711="",T711=0),"",(V711-T711)/T711)</f>
        <v/>
      </c>
      <c r="X711" s="7">
        <f>IF(COUNT(D711:S711)=0,"",INDEX($D$1:$S$1,MATCH(MIN(D711:S711),D711:S711,0)))</f>
        <v/>
      </c>
      <c r="Y711" s="8" t="n">
        <v>786</v>
      </c>
      <c r="Z711" s="10" t="n">
        <v>1</v>
      </c>
    </row>
    <row r="712">
      <c r="A712" s="7" t="inlineStr">
        <is>
          <t>MAT-10-100</t>
        </is>
      </c>
      <c r="B712" s="4" t="inlineStr">
        <is>
          <t>Panel LED empotrar redondo de 24 W</t>
        </is>
      </c>
      <c r="C712" s="7" t="inlineStr">
        <is>
          <t>unidad</t>
        </is>
      </c>
      <c r="D712" s="8" t="n"/>
      <c r="E712" s="8" t="n">
        <v>295</v>
      </c>
      <c r="F712" s="8" t="n"/>
      <c r="G712" s="8" t="n"/>
      <c r="H712" s="8" t="n"/>
      <c r="I712" s="8" t="n"/>
      <c r="J712" s="8" t="n">
        <v>470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>
        <f>IF(COUNT(D712:S712)=0,"",MIN(D712:S712))</f>
        <v/>
      </c>
      <c r="U712" s="8">
        <f>IF(COUNT(D712:S712)=0,"",MEDIAN(D712:S712))</f>
        <v/>
      </c>
      <c r="V712" s="8">
        <f>IF(COUNT(D712:S712)=0,"",MAX(D712:S712))</f>
        <v/>
      </c>
      <c r="W712" s="9">
        <f>IF(OR(T712="",T712=0),"",(V712-T712)/T712)</f>
        <v/>
      </c>
      <c r="X712" s="7">
        <f>IF(COUNT(D712:S712)=0,"",INDEX($D$1:$S$1,MATCH(MIN(D712:S712),D712:S712,0)))</f>
        <v/>
      </c>
      <c r="Y712" s="8" t="n">
        <v>514</v>
      </c>
      <c r="Z712" s="10" t="n">
        <v>2</v>
      </c>
    </row>
    <row r="713">
      <c r="A713" s="7" t="inlineStr">
        <is>
          <t>MAT-10-101</t>
        </is>
      </c>
      <c r="B713" s="4" t="inlineStr">
        <is>
          <t>Panel LED empotrar redondo de 25 W</t>
        </is>
      </c>
      <c r="C713" s="7" t="inlineStr">
        <is>
          <t>unidad</t>
        </is>
      </c>
      <c r="D713" s="8" t="n"/>
      <c r="E713" s="8" t="n">
        <v>630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>
        <f>IF(COUNT(D713:S713)=0,"",MIN(D713:S713))</f>
        <v/>
      </c>
      <c r="U713" s="8">
        <f>IF(COUNT(D713:S713)=0,"",MEDIAN(D713:S713))</f>
        <v/>
      </c>
      <c r="V713" s="8">
        <f>IF(COUNT(D713:S713)=0,"",MAX(D713:S713))</f>
        <v/>
      </c>
      <c r="W713" s="9">
        <f>IF(OR(T713="",T713=0),"",(V713-T713)/T713)</f>
        <v/>
      </c>
      <c r="X713" s="7">
        <f>IF(COUNT(D713:S713)=0,"",INDEX($D$1:$S$1,MATCH(MIN(D713:S713),D713:S713,0)))</f>
        <v/>
      </c>
      <c r="Y713" s="8" t="n">
        <v>646.5</v>
      </c>
      <c r="Z713" s="10" t="n">
        <v>1</v>
      </c>
    </row>
    <row r="714">
      <c r="A714" s="7" t="inlineStr">
        <is>
          <t>MAT-10-102</t>
        </is>
      </c>
      <c r="B714" s="4" t="inlineStr">
        <is>
          <t>Panel LED empotrar redondo de 3 W</t>
        </is>
      </c>
      <c r="C714" s="7" t="inlineStr">
        <is>
          <t>unidad</t>
        </is>
      </c>
      <c r="D714" s="8" t="n"/>
      <c r="E714" s="8" t="n">
        <v>90</v>
      </c>
      <c r="F714" s="8" t="n"/>
      <c r="G714" s="8" t="n"/>
      <c r="H714" s="8" t="n"/>
      <c r="I714" s="8" t="n"/>
      <c r="J714" s="8" t="n">
        <v>120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>
        <f>IF(COUNT(D714:S714)=0,"",MIN(D714:S714))</f>
        <v/>
      </c>
      <c r="U714" s="8">
        <f>IF(COUNT(D714:S714)=0,"",MEDIAN(D714:S714))</f>
        <v/>
      </c>
      <c r="V714" s="8">
        <f>IF(COUNT(D714:S714)=0,"",MAX(D714:S714))</f>
        <v/>
      </c>
      <c r="W714" s="9">
        <f>IF(OR(T714="",T714=0),"",(V714-T714)/T714)</f>
        <v/>
      </c>
      <c r="X714" s="7">
        <f>IF(COUNT(D714:S714)=0,"",INDEX($D$1:$S$1,MATCH(MIN(D714:S714),D714:S714,0)))</f>
        <v/>
      </c>
      <c r="Y714" s="8" t="n">
        <v>142.5</v>
      </c>
      <c r="Z714" s="10" t="n">
        <v>2</v>
      </c>
    </row>
    <row r="715">
      <c r="A715" s="7" t="inlineStr">
        <is>
          <t>MAT-10-103</t>
        </is>
      </c>
      <c r="B715" s="4" t="inlineStr">
        <is>
          <t>Panel LED empotrar redondo de 36 W</t>
        </is>
      </c>
      <c r="C715" s="7" t="inlineStr">
        <is>
          <t>unidad</t>
        </is>
      </c>
      <c r="D715" s="8" t="n"/>
      <c r="E715" s="8" t="n">
        <v>808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>
        <f>IF(COUNT(D715:S715)=0,"",MIN(D715:S715))</f>
        <v/>
      </c>
      <c r="U715" s="8">
        <f>IF(COUNT(D715:S715)=0,"",MEDIAN(D715:S715))</f>
        <v/>
      </c>
      <c r="V715" s="8">
        <f>IF(COUNT(D715:S715)=0,"",MAX(D715:S715))</f>
        <v/>
      </c>
      <c r="W715" s="9">
        <f>IF(OR(T715="",T715=0),"",(V715-T715)/T715)</f>
        <v/>
      </c>
      <c r="X715" s="7">
        <f>IF(COUNT(D715:S715)=0,"",INDEX($D$1:$S$1,MATCH(MIN(D715:S715),D715:S715,0)))</f>
        <v/>
      </c>
      <c r="Y715" s="8" t="n">
        <v>808</v>
      </c>
      <c r="Z715" s="10" t="n">
        <v>1</v>
      </c>
    </row>
    <row r="716">
      <c r="A716" s="7" t="inlineStr">
        <is>
          <t>MAT-10-104</t>
        </is>
      </c>
      <c r="B716" s="4" t="inlineStr">
        <is>
          <t>Panel LED empotrar redondo de 4 W</t>
        </is>
      </c>
      <c r="C716" s="7" t="inlineStr">
        <is>
          <t>unidad</t>
        </is>
      </c>
      <c r="D716" s="8" t="n"/>
      <c r="E716" s="8" t="n">
        <v>245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>
        <f>IF(COUNT(D716:S716)=0,"",MIN(D716:S716))</f>
        <v/>
      </c>
      <c r="U716" s="8">
        <f>IF(COUNT(D716:S716)=0,"",MEDIAN(D716:S716))</f>
        <v/>
      </c>
      <c r="V716" s="8">
        <f>IF(COUNT(D716:S716)=0,"",MAX(D716:S716))</f>
        <v/>
      </c>
      <c r="W716" s="9">
        <f>IF(OR(T716="",T716=0),"",(V716-T716)/T716)</f>
        <v/>
      </c>
      <c r="X716" s="7">
        <f>IF(COUNT(D716:S716)=0,"",INDEX($D$1:$S$1,MATCH(MIN(D716:S716),D716:S716,0)))</f>
        <v/>
      </c>
      <c r="Y716" s="8" t="n">
        <v>280</v>
      </c>
      <c r="Z716" s="10" t="n">
        <v>1</v>
      </c>
    </row>
    <row r="717">
      <c r="A717" s="7" t="inlineStr">
        <is>
          <t>MAT-10-105</t>
        </is>
      </c>
      <c r="B717" s="4" t="inlineStr">
        <is>
          <t>Panel LED empotrar redondo de 40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1600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>
        <f>IF(COUNT(D717:S717)=0,"",MIN(D717:S717))</f>
        <v/>
      </c>
      <c r="U717" s="8">
        <f>IF(COUNT(D717:S717)=0,"",MEDIAN(D717:S717))</f>
        <v/>
      </c>
      <c r="V717" s="8">
        <f>IF(COUNT(D717:S717)=0,"",MAX(D717:S717))</f>
        <v/>
      </c>
      <c r="W717" s="9">
        <f>IF(OR(T717="",T717=0),"",(V717-T717)/T717)</f>
        <v/>
      </c>
      <c r="X717" s="7">
        <f>IF(COUNT(D717:S717)=0,"",INDEX($D$1:$S$1,MATCH(MIN(D717:S717),D717:S717,0)))</f>
        <v/>
      </c>
      <c r="Y717" s="8" t="n">
        <v>1600</v>
      </c>
      <c r="Z717" s="10" t="n">
        <v>1</v>
      </c>
    </row>
    <row r="718">
      <c r="A718" s="7" t="inlineStr">
        <is>
          <t>MAT-10-106</t>
        </is>
      </c>
      <c r="B718" s="4" t="inlineStr">
        <is>
          <t>Panel LED empotrar redondo de 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>
        <v>159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>
        <f>IF(COUNT(D718:S718)=0,"",MIN(D718:S718))</f>
        <v/>
      </c>
      <c r="U718" s="8">
        <f>IF(COUNT(D718:S718)=0,"",MEDIAN(D718:S718))</f>
        <v/>
      </c>
      <c r="V718" s="8">
        <f>IF(COUNT(D718:S718)=0,"",MAX(D718:S718))</f>
        <v/>
      </c>
      <c r="W718" s="9">
        <f>IF(OR(T718="",T718=0),"",(V718-T718)/T718)</f>
        <v/>
      </c>
      <c r="X718" s="7">
        <f>IF(COUNT(D718:S718)=0,"",INDEX($D$1:$S$1,MATCH(MIN(D718:S718),D718:S718,0)))</f>
        <v/>
      </c>
      <c r="Y718" s="8" t="n">
        <v>159</v>
      </c>
      <c r="Z718" s="10" t="n">
        <v>1</v>
      </c>
    </row>
    <row r="719">
      <c r="A719" s="7" t="inlineStr">
        <is>
          <t>MAT-10-107</t>
        </is>
      </c>
      <c r="B719" s="4" t="inlineStr">
        <is>
          <t>Panel LED empotrar redondo de 6 W</t>
        </is>
      </c>
      <c r="C719" s="7" t="inlineStr">
        <is>
          <t>unidad</t>
        </is>
      </c>
      <c r="D719" s="8" t="n"/>
      <c r="E719" s="8" t="n">
        <v>95</v>
      </c>
      <c r="F719" s="8" t="n"/>
      <c r="G719" s="8" t="n"/>
      <c r="H719" s="8" t="n"/>
      <c r="I719" s="8" t="n">
        <v>155</v>
      </c>
      <c r="J719" s="8" t="n">
        <v>185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>
        <f>IF(COUNT(D719:S719)=0,"",MIN(D719:S719))</f>
        <v/>
      </c>
      <c r="U719" s="8">
        <f>IF(COUNT(D719:S719)=0,"",MEDIAN(D719:S719))</f>
        <v/>
      </c>
      <c r="V719" s="8">
        <f>IF(COUNT(D719:S719)=0,"",MAX(D719:S719))</f>
        <v/>
      </c>
      <c r="W719" s="9">
        <f>IF(OR(T719="",T719=0),"",(V719-T719)/T719)</f>
        <v/>
      </c>
      <c r="X719" s="7">
        <f>IF(COUNT(D719:S719)=0,"",INDEX($D$1:$S$1,MATCH(MIN(D719:S719),D719:S719,0)))</f>
        <v/>
      </c>
      <c r="Y719" s="8" t="n">
        <v>189</v>
      </c>
      <c r="Z719" s="10" t="n">
        <v>3</v>
      </c>
    </row>
    <row r="720">
      <c r="A720" s="7" t="inlineStr">
        <is>
          <t>MAT-10-108</t>
        </is>
      </c>
      <c r="B720" s="4" t="inlineStr">
        <is>
          <t>Panel LED empotrar redondo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>
        <v>219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>
        <f>IF(COUNT(D720:S720)=0,"",MIN(D720:S720))</f>
        <v/>
      </c>
      <c r="U720" s="8">
        <f>IF(COUNT(D720:S720)=0,"",MEDIAN(D720:S720))</f>
        <v/>
      </c>
      <c r="V720" s="8">
        <f>IF(COUNT(D720:S720)=0,"",MAX(D720:S720))</f>
        <v/>
      </c>
      <c r="W720" s="9">
        <f>IF(OR(T720="",T720=0),"",(V720-T720)/T720)</f>
        <v/>
      </c>
      <c r="X720" s="7">
        <f>IF(COUNT(D720:S720)=0,"",INDEX($D$1:$S$1,MATCH(MIN(D720:S720),D720:S720,0)))</f>
        <v/>
      </c>
      <c r="Y720" s="8" t="n">
        <v>219</v>
      </c>
      <c r="Z720" s="10" t="n">
        <v>1</v>
      </c>
    </row>
    <row r="721">
      <c r="A721" s="7" t="inlineStr">
        <is>
          <t>MAT-10-109</t>
        </is>
      </c>
      <c r="B721" s="4" t="inlineStr">
        <is>
          <t>Panel LED empotrar redondo de 7.8 W</t>
        </is>
      </c>
      <c r="C721" s="7" t="inlineStr">
        <is>
          <t>unidad</t>
        </is>
      </c>
      <c r="D721" s="8" t="n"/>
      <c r="E721" s="8" t="n">
        <v>335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>
        <f>IF(COUNT(D721:S721)=0,"",MIN(D721:S721))</f>
        <v/>
      </c>
      <c r="U721" s="8">
        <f>IF(COUNT(D721:S721)=0,"",MEDIAN(D721:S721))</f>
        <v/>
      </c>
      <c r="V721" s="8">
        <f>IF(COUNT(D721:S721)=0,"",MAX(D721:S721))</f>
        <v/>
      </c>
      <c r="W721" s="9">
        <f>IF(OR(T721="",T721=0),"",(V721-T721)/T721)</f>
        <v/>
      </c>
      <c r="X721" s="7">
        <f>IF(COUNT(D721:S721)=0,"",INDEX($D$1:$S$1,MATCH(MIN(D721:S721),D721:S721,0)))</f>
        <v/>
      </c>
      <c r="Y721" s="8" t="n">
        <v>385</v>
      </c>
      <c r="Z721" s="10" t="n">
        <v>1</v>
      </c>
    </row>
    <row r="722">
      <c r="A722" s="7" t="inlineStr">
        <is>
          <t>MAT-10-110</t>
        </is>
      </c>
      <c r="B722" s="4" t="inlineStr">
        <is>
          <t>Panel LED empotrar redondo de 8.5 W</t>
        </is>
      </c>
      <c r="C722" s="7" t="inlineStr">
        <is>
          <t>unidad</t>
        </is>
      </c>
      <c r="D722" s="8" t="n"/>
      <c r="E722" s="8" t="n">
        <v>1268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>
        <f>IF(COUNT(D722:S722)=0,"",MIN(D722:S722))</f>
        <v/>
      </c>
      <c r="U722" s="8">
        <f>IF(COUNT(D722:S722)=0,"",MEDIAN(D722:S722))</f>
        <v/>
      </c>
      <c r="V722" s="8">
        <f>IF(COUNT(D722:S722)=0,"",MAX(D722:S722))</f>
        <v/>
      </c>
      <c r="W722" s="9">
        <f>IF(OR(T722="",T722=0),"",(V722-T722)/T722)</f>
        <v/>
      </c>
      <c r="X722" s="7">
        <f>IF(COUNT(D722:S722)=0,"",INDEX($D$1:$S$1,MATCH(MIN(D722:S722),D722:S722,0)))</f>
        <v/>
      </c>
      <c r="Y722" s="8" t="n">
        <v>1268</v>
      </c>
      <c r="Z722" s="10" t="n">
        <v>1</v>
      </c>
    </row>
    <row r="723">
      <c r="A723" s="7" t="inlineStr">
        <is>
          <t>MAT-10-111</t>
        </is>
      </c>
      <c r="B723" s="4" t="inlineStr">
        <is>
          <t>Panel LED empotrar redondo de 9 W</t>
        </is>
      </c>
      <c r="C723" s="7" t="inlineStr">
        <is>
          <t>unidad</t>
        </is>
      </c>
      <c r="D723" s="8" t="n"/>
      <c r="E723" s="8" t="n">
        <v>120</v>
      </c>
      <c r="F723" s="8" t="n"/>
      <c r="G723" s="8" t="n"/>
      <c r="H723" s="8" t="n"/>
      <c r="I723" s="8" t="n"/>
      <c r="J723" s="8" t="n">
        <v>200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>
        <f>IF(COUNT(D723:S723)=0,"",MIN(D723:S723))</f>
        <v/>
      </c>
      <c r="U723" s="8">
        <f>IF(COUNT(D723:S723)=0,"",MEDIAN(D723:S723))</f>
        <v/>
      </c>
      <c r="V723" s="8">
        <f>IF(COUNT(D723:S723)=0,"",MAX(D723:S723))</f>
        <v/>
      </c>
      <c r="W723" s="9">
        <f>IF(OR(T723="",T723=0),"",(V723-T723)/T723)</f>
        <v/>
      </c>
      <c r="X723" s="7">
        <f>IF(COUNT(D723:S723)=0,"",INDEX($D$1:$S$1,MATCH(MIN(D723:S723),D723:S723,0)))</f>
        <v/>
      </c>
      <c r="Y723" s="8" t="n">
        <v>310</v>
      </c>
      <c r="Z723" s="10" t="n">
        <v>2</v>
      </c>
    </row>
    <row r="724">
      <c r="A724" s="7" t="inlineStr">
        <is>
          <t>MAT-10-112</t>
        </is>
      </c>
      <c r="B724" s="4" t="inlineStr">
        <is>
          <t>Panel LED empotrar redondo de 9.8 W</t>
        </is>
      </c>
      <c r="C724" s="7" t="inlineStr">
        <is>
          <t>unidad</t>
        </is>
      </c>
      <c r="D724" s="8" t="n"/>
      <c r="E724" s="8" t="n">
        <v>859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>
        <f>IF(COUNT(D724:S724)=0,"",MIN(D724:S724))</f>
        <v/>
      </c>
      <c r="U724" s="8">
        <f>IF(COUNT(D724:S724)=0,"",MEDIAN(D724:S724))</f>
        <v/>
      </c>
      <c r="V724" s="8">
        <f>IF(COUNT(D724:S724)=0,"",MAX(D724:S724))</f>
        <v/>
      </c>
      <c r="W724" s="9">
        <f>IF(OR(T724="",T724=0),"",(V724-T724)/T724)</f>
        <v/>
      </c>
      <c r="X724" s="7">
        <f>IF(COUNT(D724:S724)=0,"",INDEX($D$1:$S$1,MATCH(MIN(D724:S724),D724:S724,0)))</f>
        <v/>
      </c>
      <c r="Y724" s="8" t="n">
        <v>859</v>
      </c>
      <c r="Z724" s="10" t="n">
        <v>1</v>
      </c>
    </row>
    <row r="725">
      <c r="A725" s="7" t="inlineStr">
        <is>
          <t>MAT-10-113</t>
        </is>
      </c>
      <c r="B725" s="4" t="inlineStr">
        <is>
          <t>Panel LED sobreponer cuadrado de 10.5 W</t>
        </is>
      </c>
      <c r="C725" s="7" t="inlineStr">
        <is>
          <t>unidad</t>
        </is>
      </c>
      <c r="D725" s="8" t="n"/>
      <c r="E725" s="8" t="n">
        <v>2536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>
        <f>IF(COUNT(D725:S725)=0,"",MIN(D725:S725))</f>
        <v/>
      </c>
      <c r="U725" s="8">
        <f>IF(COUNT(D725:S725)=0,"",MEDIAN(D725:S725))</f>
        <v/>
      </c>
      <c r="V725" s="8">
        <f>IF(COUNT(D725:S725)=0,"",MAX(D725:S725))</f>
        <v/>
      </c>
      <c r="W725" s="9">
        <f>IF(OR(T725="",T725=0),"",(V725-T725)/T725)</f>
        <v/>
      </c>
      <c r="X725" s="7">
        <f>IF(COUNT(D725:S725)=0,"",INDEX($D$1:$S$1,MATCH(MIN(D725:S725),D725:S725,0)))</f>
        <v/>
      </c>
      <c r="Y725" s="8" t="n">
        <v>2536</v>
      </c>
      <c r="Z725" s="10" t="n">
        <v>1</v>
      </c>
    </row>
    <row r="726">
      <c r="A726" s="7" t="inlineStr">
        <is>
          <t>MAT-10-114</t>
        </is>
      </c>
      <c r="B726" s="4" t="inlineStr">
        <is>
          <t>Panel LED sobreponer cuadrado de 11.5 W</t>
        </is>
      </c>
      <c r="C726" s="7" t="inlineStr">
        <is>
          <t>unidad</t>
        </is>
      </c>
      <c r="D726" s="8" t="n"/>
      <c r="E726" s="8" t="n">
        <v>535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>
        <f>IF(COUNT(D726:S726)=0,"",MIN(D726:S726))</f>
        <v/>
      </c>
      <c r="U726" s="8">
        <f>IF(COUNT(D726:S726)=0,"",MEDIAN(D726:S726))</f>
        <v/>
      </c>
      <c r="V726" s="8">
        <f>IF(COUNT(D726:S726)=0,"",MAX(D726:S726))</f>
        <v/>
      </c>
      <c r="W726" s="9">
        <f>IF(OR(T726="",T726=0),"",(V726-T726)/T726)</f>
        <v/>
      </c>
      <c r="X726" s="7">
        <f>IF(COUNT(D726:S726)=0,"",INDEX($D$1:$S$1,MATCH(MIN(D726:S726),D726:S726,0)))</f>
        <v/>
      </c>
      <c r="Y726" s="8" t="n">
        <v>535</v>
      </c>
      <c r="Z726" s="10" t="n">
        <v>1</v>
      </c>
    </row>
    <row r="727">
      <c r="A727" s="7" t="inlineStr">
        <is>
          <t>MAT-10-115</t>
        </is>
      </c>
      <c r="B727" s="4" t="inlineStr">
        <is>
          <t>Panel LED sobreponer cuadrado de 12 W</t>
        </is>
      </c>
      <c r="C727" s="7" t="inlineStr">
        <is>
          <t>unidad</t>
        </is>
      </c>
      <c r="D727" s="8" t="n"/>
      <c r="E727" s="8" t="n">
        <v>220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>
        <f>IF(COUNT(D727:S727)=0,"",MIN(D727:S727))</f>
        <v/>
      </c>
      <c r="U727" s="8">
        <f>IF(COUNT(D727:S727)=0,"",MEDIAN(D727:S727))</f>
        <v/>
      </c>
      <c r="V727" s="8">
        <f>IF(COUNT(D727:S727)=0,"",MAX(D727:S727))</f>
        <v/>
      </c>
      <c r="W727" s="9">
        <f>IF(OR(T727="",T727=0),"",(V727-T727)/T727)</f>
        <v/>
      </c>
      <c r="X727" s="7">
        <f>IF(COUNT(D727:S727)=0,"",INDEX($D$1:$S$1,MATCH(MIN(D727:S727),D727:S727,0)))</f>
        <v/>
      </c>
      <c r="Y727" s="8" t="n">
        <v>390</v>
      </c>
      <c r="Z727" s="10" t="n">
        <v>1</v>
      </c>
    </row>
    <row r="728">
      <c r="A728" s="7" t="inlineStr">
        <is>
          <t>MAT-10-116</t>
        </is>
      </c>
      <c r="B728" s="4" t="inlineStr">
        <is>
          <t>Panel LED sobreponer cuadrado de 18 W</t>
        </is>
      </c>
      <c r="C728" s="7" t="inlineStr">
        <is>
          <t>unidad</t>
        </is>
      </c>
      <c r="D728" s="8" t="n"/>
      <c r="E728" s="8" t="n">
        <v>305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>
        <f>IF(COUNT(D728:S728)=0,"",MIN(D728:S728))</f>
        <v/>
      </c>
      <c r="U728" s="8">
        <f>IF(COUNT(D728:S728)=0,"",MEDIAN(D728:S728))</f>
        <v/>
      </c>
      <c r="V728" s="8">
        <f>IF(COUNT(D728:S728)=0,"",MAX(D728:S728))</f>
        <v/>
      </c>
      <c r="W728" s="9">
        <f>IF(OR(T728="",T728=0),"",(V728-T728)/T728)</f>
        <v/>
      </c>
      <c r="X728" s="7">
        <f>IF(COUNT(D728:S728)=0,"",INDEX($D$1:$S$1,MATCH(MIN(D728:S728),D728:S728,0)))</f>
        <v/>
      </c>
      <c r="Y728" s="8" t="n">
        <v>390</v>
      </c>
      <c r="Z728" s="10" t="n">
        <v>1</v>
      </c>
    </row>
    <row r="729">
      <c r="A729" s="7" t="inlineStr">
        <is>
          <t>MAT-10-117</t>
        </is>
      </c>
      <c r="B729" s="4" t="inlineStr">
        <is>
          <t>Panel LED sobreponer cuadrado de 22 W</t>
        </is>
      </c>
      <c r="C729" s="7" t="inlineStr">
        <is>
          <t>unidad</t>
        </is>
      </c>
      <c r="D729" s="8" t="n"/>
      <c r="E729" s="8" t="n">
        <v>760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>
        <f>IF(COUNT(D729:S729)=0,"",MIN(D729:S729))</f>
        <v/>
      </c>
      <c r="U729" s="8">
        <f>IF(COUNT(D729:S729)=0,"",MEDIAN(D729:S729))</f>
        <v/>
      </c>
      <c r="V729" s="8">
        <f>IF(COUNT(D729:S729)=0,"",MAX(D729:S729))</f>
        <v/>
      </c>
      <c r="W729" s="9">
        <f>IF(OR(T729="",T729=0),"",(V729-T729)/T729)</f>
        <v/>
      </c>
      <c r="X729" s="7">
        <f>IF(COUNT(D729:S729)=0,"",INDEX($D$1:$S$1,MATCH(MIN(D729:S729),D729:S729,0)))</f>
        <v/>
      </c>
      <c r="Y729" s="8" t="n">
        <v>760</v>
      </c>
      <c r="Z729" s="10" t="n">
        <v>1</v>
      </c>
    </row>
    <row r="730">
      <c r="A730" s="7" t="inlineStr">
        <is>
          <t>MAT-10-118</t>
        </is>
      </c>
      <c r="B730" s="4" t="inlineStr">
        <is>
          <t>Panel LED sobreponer cuadrado de 24 W</t>
        </is>
      </c>
      <c r="C730" s="7" t="inlineStr">
        <is>
          <t>unidad</t>
        </is>
      </c>
      <c r="D730" s="8" t="n"/>
      <c r="E730" s="8" t="n">
        <v>695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>
        <f>IF(COUNT(D730:S730)=0,"",MIN(D730:S730))</f>
        <v/>
      </c>
      <c r="U730" s="8">
        <f>IF(COUNT(D730:S730)=0,"",MEDIAN(D730:S730))</f>
        <v/>
      </c>
      <c r="V730" s="8">
        <f>IF(COUNT(D730:S730)=0,"",MAX(D730:S730))</f>
        <v/>
      </c>
      <c r="W730" s="9">
        <f>IF(OR(T730="",T730=0),"",(V730-T730)/T730)</f>
        <v/>
      </c>
      <c r="X730" s="7">
        <f>IF(COUNT(D730:S730)=0,"",INDEX($D$1:$S$1,MATCH(MIN(D730:S730),D730:S730,0)))</f>
        <v/>
      </c>
      <c r="Y730" s="8" t="n">
        <v>695</v>
      </c>
      <c r="Z730" s="10" t="n">
        <v>1</v>
      </c>
    </row>
    <row r="731">
      <c r="A731" s="7" t="inlineStr">
        <is>
          <t>MAT-10-119</t>
        </is>
      </c>
      <c r="B731" s="4" t="inlineStr">
        <is>
          <t>Panel LED sobreponer cuadrado de 36 W</t>
        </is>
      </c>
      <c r="C731" s="7" t="inlineStr">
        <is>
          <t>unidad</t>
        </is>
      </c>
      <c r="D731" s="8" t="n"/>
      <c r="E731" s="8" t="n">
        <v>1242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>
        <f>IF(COUNT(D731:S731)=0,"",MIN(D731:S731))</f>
        <v/>
      </c>
      <c r="U731" s="8">
        <f>IF(COUNT(D731:S731)=0,"",MEDIAN(D731:S731))</f>
        <v/>
      </c>
      <c r="V731" s="8">
        <f>IF(COUNT(D731:S731)=0,"",MAX(D731:S731))</f>
        <v/>
      </c>
      <c r="W731" s="9">
        <f>IF(OR(T731="",T731=0),"",(V731-T731)/T731)</f>
        <v/>
      </c>
      <c r="X731" s="7">
        <f>IF(COUNT(D731:S731)=0,"",INDEX($D$1:$S$1,MATCH(MIN(D731:S731),D731:S731,0)))</f>
        <v/>
      </c>
      <c r="Y731" s="8" t="n">
        <v>1242</v>
      </c>
      <c r="Z731" s="10" t="n">
        <v>1</v>
      </c>
    </row>
    <row r="732">
      <c r="A732" s="7" t="inlineStr">
        <is>
          <t>MAT-10-120</t>
        </is>
      </c>
      <c r="B732" s="4" t="inlineStr">
        <is>
          <t>Panel LED sobreponer cuadrado de 6 W</t>
        </is>
      </c>
      <c r="C732" s="7" t="inlineStr">
        <is>
          <t>unidad</t>
        </is>
      </c>
      <c r="D732" s="8" t="n"/>
      <c r="E732" s="8" t="n">
        <v>375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>
        <f>IF(COUNT(D732:S732)=0,"",MIN(D732:S732))</f>
        <v/>
      </c>
      <c r="U732" s="8">
        <f>IF(COUNT(D732:S732)=0,"",MEDIAN(D732:S732))</f>
        <v/>
      </c>
      <c r="V732" s="8">
        <f>IF(COUNT(D732:S732)=0,"",MAX(D732:S732))</f>
        <v/>
      </c>
      <c r="W732" s="9">
        <f>IF(OR(T732="",T732=0),"",(V732-T732)/T732)</f>
        <v/>
      </c>
      <c r="X732" s="7">
        <f>IF(COUNT(D732:S732)=0,"",INDEX($D$1:$S$1,MATCH(MIN(D732:S732),D732:S732,0)))</f>
        <v/>
      </c>
      <c r="Y732" s="8" t="n">
        <v>375</v>
      </c>
      <c r="Z732" s="10" t="n">
        <v>1</v>
      </c>
    </row>
    <row r="733">
      <c r="A733" s="7" t="inlineStr">
        <is>
          <t>MAT-10-121</t>
        </is>
      </c>
      <c r="B733" s="4" t="inlineStr">
        <is>
          <t>Panel LED sobreponer redondo de 10.5 W</t>
        </is>
      </c>
      <c r="C733" s="7" t="inlineStr">
        <is>
          <t>unidad</t>
        </is>
      </c>
      <c r="D733" s="8" t="n"/>
      <c r="E733" s="8" t="n">
        <v>1910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>
        <f>IF(COUNT(D733:S733)=0,"",MIN(D733:S733))</f>
        <v/>
      </c>
      <c r="U733" s="8">
        <f>IF(COUNT(D733:S733)=0,"",MEDIAN(D733:S733))</f>
        <v/>
      </c>
      <c r="V733" s="8">
        <f>IF(COUNT(D733:S733)=0,"",MAX(D733:S733))</f>
        <v/>
      </c>
      <c r="W733" s="9">
        <f>IF(OR(T733="",T733=0),"",(V733-T733)/T733)</f>
        <v/>
      </c>
      <c r="X733" s="7">
        <f>IF(COUNT(D733:S733)=0,"",INDEX($D$1:$S$1,MATCH(MIN(D733:S733),D733:S733,0)))</f>
        <v/>
      </c>
      <c r="Y733" s="8" t="n">
        <v>2048.5</v>
      </c>
      <c r="Z733" s="10" t="n">
        <v>1</v>
      </c>
    </row>
    <row r="734">
      <c r="A734" s="7" t="inlineStr">
        <is>
          <t>MAT-10-122</t>
        </is>
      </c>
      <c r="B734" s="4" t="inlineStr">
        <is>
          <t>Panel LED sobreponer redondo de 11.5 W</t>
        </is>
      </c>
      <c r="C734" s="7" t="inlineStr">
        <is>
          <t>unidad</t>
        </is>
      </c>
      <c r="D734" s="8" t="n"/>
      <c r="E734" s="8" t="n">
        <v>525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>
        <f>IF(COUNT(D734:S734)=0,"",MIN(D734:S734))</f>
        <v/>
      </c>
      <c r="U734" s="8">
        <f>IF(COUNT(D734:S734)=0,"",MEDIAN(D734:S734))</f>
        <v/>
      </c>
      <c r="V734" s="8">
        <f>IF(COUNT(D734:S734)=0,"",MAX(D734:S734))</f>
        <v/>
      </c>
      <c r="W734" s="9">
        <f>IF(OR(T734="",T734=0),"",(V734-T734)/T734)</f>
        <v/>
      </c>
      <c r="X734" s="7">
        <f>IF(COUNT(D734:S734)=0,"",INDEX($D$1:$S$1,MATCH(MIN(D734:S734),D734:S734,0)))</f>
        <v/>
      </c>
      <c r="Y734" s="8" t="n">
        <v>525</v>
      </c>
      <c r="Z734" s="10" t="n">
        <v>1</v>
      </c>
    </row>
    <row r="735">
      <c r="A735" s="7" t="inlineStr">
        <is>
          <t>MAT-10-123</t>
        </is>
      </c>
      <c r="B735" s="4" t="inlineStr">
        <is>
          <t>Panel LED sobreponer redondo de 12 W</t>
        </is>
      </c>
      <c r="C735" s="7" t="inlineStr">
        <is>
          <t>unidad</t>
        </is>
      </c>
      <c r="D735" s="8" t="n"/>
      <c r="E735" s="8" t="n">
        <v>175</v>
      </c>
      <c r="F735" s="8" t="n"/>
      <c r="G735" s="8" t="n"/>
      <c r="H735" s="8" t="n"/>
      <c r="I735" s="8" t="n">
        <v>269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>
        <f>IF(COUNT(D735:S735)=0,"",MIN(D735:S735))</f>
        <v/>
      </c>
      <c r="U735" s="8">
        <f>IF(COUNT(D735:S735)=0,"",MEDIAN(D735:S735))</f>
        <v/>
      </c>
      <c r="V735" s="8">
        <f>IF(COUNT(D735:S735)=0,"",MAX(D735:S735))</f>
        <v/>
      </c>
      <c r="W735" s="9">
        <f>IF(OR(T735="",T735=0),"",(V735-T735)/T735)</f>
        <v/>
      </c>
      <c r="X735" s="7">
        <f>IF(COUNT(D735:S735)=0,"",INDEX($D$1:$S$1,MATCH(MIN(D735:S735),D735:S735,0)))</f>
        <v/>
      </c>
      <c r="Y735" s="8" t="n">
        <v>343</v>
      </c>
      <c r="Z735" s="10" t="n">
        <v>2</v>
      </c>
    </row>
    <row r="736">
      <c r="A736" s="7" t="inlineStr">
        <is>
          <t>MAT-10-124</t>
        </is>
      </c>
      <c r="B736" s="4" t="inlineStr">
        <is>
          <t>Panel LED sobreponer redondo de 18 W</t>
        </is>
      </c>
      <c r="C736" s="7" t="inlineStr">
        <is>
          <t>unidad</t>
        </is>
      </c>
      <c r="D736" s="8" t="n"/>
      <c r="E736" s="8" t="n">
        <v>235</v>
      </c>
      <c r="F736" s="8" t="n"/>
      <c r="G736" s="8" t="n"/>
      <c r="H736" s="8" t="n"/>
      <c r="I736" s="8" t="n">
        <v>345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>
        <f>IF(COUNT(D736:S736)=0,"",MIN(D736:S736))</f>
        <v/>
      </c>
      <c r="U736" s="8">
        <f>IF(COUNT(D736:S736)=0,"",MEDIAN(D736:S736))</f>
        <v/>
      </c>
      <c r="V736" s="8">
        <f>IF(COUNT(D736:S736)=0,"",MAX(D736:S736))</f>
        <v/>
      </c>
      <c r="W736" s="9">
        <f>IF(OR(T736="",T736=0),"",(V736-T736)/T736)</f>
        <v/>
      </c>
      <c r="X736" s="7">
        <f>IF(COUNT(D736:S736)=0,"",INDEX($D$1:$S$1,MATCH(MIN(D736:S736),D736:S736,0)))</f>
        <v/>
      </c>
      <c r="Y736" s="8" t="n">
        <v>464</v>
      </c>
      <c r="Z736" s="10" t="n">
        <v>2</v>
      </c>
    </row>
    <row r="737">
      <c r="A737" s="7" t="inlineStr">
        <is>
          <t>MAT-10-125</t>
        </is>
      </c>
      <c r="B737" s="4" t="inlineStr">
        <is>
          <t>Panel LED sobreponer redondo de 22 W</t>
        </is>
      </c>
      <c r="C737" s="7" t="inlineStr">
        <is>
          <t>unidad</t>
        </is>
      </c>
      <c r="D737" s="8" t="n"/>
      <c r="E737" s="8" t="n">
        <v>735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>
        <f>IF(COUNT(D737:S737)=0,"",MIN(D737:S737))</f>
        <v/>
      </c>
      <c r="U737" s="8">
        <f>IF(COUNT(D737:S737)=0,"",MEDIAN(D737:S737))</f>
        <v/>
      </c>
      <c r="V737" s="8">
        <f>IF(COUNT(D737:S737)=0,"",MAX(D737:S737))</f>
        <v/>
      </c>
      <c r="W737" s="9">
        <f>IF(OR(T737="",T737=0),"",(V737-T737)/T737)</f>
        <v/>
      </c>
      <c r="X737" s="7">
        <f>IF(COUNT(D737:S737)=0,"",INDEX($D$1:$S$1,MATCH(MIN(D737:S737),D737:S737,0)))</f>
        <v/>
      </c>
      <c r="Y737" s="8" t="n">
        <v>780</v>
      </c>
      <c r="Z737" s="10" t="n">
        <v>1</v>
      </c>
    </row>
    <row r="738">
      <c r="A738" s="7" t="inlineStr">
        <is>
          <t>MAT-10-126</t>
        </is>
      </c>
      <c r="B738" s="4" t="inlineStr">
        <is>
          <t>Panel LED sobreponer redondo de 24 W</t>
        </is>
      </c>
      <c r="C738" s="7" t="inlineStr">
        <is>
          <t>unidad</t>
        </is>
      </c>
      <c r="D738" s="8" t="n"/>
      <c r="E738" s="8" t="n">
        <v>390</v>
      </c>
      <c r="F738" s="8" t="n"/>
      <c r="G738" s="8" t="n"/>
      <c r="H738" s="8" t="n"/>
      <c r="I738" s="8" t="n">
        <v>519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>
        <f>IF(COUNT(D738:S738)=0,"",MIN(D738:S738))</f>
        <v/>
      </c>
      <c r="U738" s="8">
        <f>IF(COUNT(D738:S738)=0,"",MEDIAN(D738:S738))</f>
        <v/>
      </c>
      <c r="V738" s="8">
        <f>IF(COUNT(D738:S738)=0,"",MAX(D738:S738))</f>
        <v/>
      </c>
      <c r="W738" s="9">
        <f>IF(OR(T738="",T738=0),"",(V738-T738)/T738)</f>
        <v/>
      </c>
      <c r="X738" s="7">
        <f>IF(COUNT(D738:S738)=0,"",INDEX($D$1:$S$1,MATCH(MIN(D738:S738),D738:S738,0)))</f>
        <v/>
      </c>
      <c r="Y738" s="8" t="n">
        <v>519</v>
      </c>
      <c r="Z738" s="10" t="n">
        <v>2</v>
      </c>
    </row>
    <row r="739">
      <c r="A739" s="7" t="inlineStr">
        <is>
          <t>MAT-10-127</t>
        </is>
      </c>
      <c r="B739" s="4" t="inlineStr">
        <is>
          <t>Panel LED sobreponer redondo de 25 W</t>
        </is>
      </c>
      <c r="C739" s="7" t="inlineStr">
        <is>
          <t>unidad</t>
        </is>
      </c>
      <c r="D739" s="8" t="n"/>
      <c r="E739" s="8" t="n">
        <v>595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>
        <f>IF(COUNT(D739:S739)=0,"",MIN(D739:S739))</f>
        <v/>
      </c>
      <c r="U739" s="8">
        <f>IF(COUNT(D739:S739)=0,"",MEDIAN(D739:S739))</f>
        <v/>
      </c>
      <c r="V739" s="8">
        <f>IF(COUNT(D739:S739)=0,"",MAX(D739:S739))</f>
        <v/>
      </c>
      <c r="W739" s="9">
        <f>IF(OR(T739="",T739=0),"",(V739-T739)/T739)</f>
        <v/>
      </c>
      <c r="X739" s="7">
        <f>IF(COUNT(D739:S739)=0,"",INDEX($D$1:$S$1,MATCH(MIN(D739:S739),D739:S739,0)))</f>
        <v/>
      </c>
      <c r="Y739" s="8" t="n">
        <v>595</v>
      </c>
      <c r="Z739" s="10" t="n">
        <v>1</v>
      </c>
    </row>
    <row r="740">
      <c r="A740" s="7" t="inlineStr">
        <is>
          <t>MAT-10-128</t>
        </is>
      </c>
      <c r="B740" s="4" t="inlineStr">
        <is>
          <t>Panel LED sobreponer redondo de 36 W</t>
        </is>
      </c>
      <c r="C740" s="7" t="inlineStr">
        <is>
          <t>unidad</t>
        </is>
      </c>
      <c r="D740" s="8" t="n"/>
      <c r="E740" s="8" t="n">
        <v>1290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>
        <f>IF(COUNT(D740:S740)=0,"",MIN(D740:S740))</f>
        <v/>
      </c>
      <c r="U740" s="8">
        <f>IF(COUNT(D740:S740)=0,"",MEDIAN(D740:S740))</f>
        <v/>
      </c>
      <c r="V740" s="8">
        <f>IF(COUNT(D740:S740)=0,"",MAX(D740:S740))</f>
        <v/>
      </c>
      <c r="W740" s="9">
        <f>IF(OR(T740="",T740=0),"",(V740-T740)/T740)</f>
        <v/>
      </c>
      <c r="X740" s="7">
        <f>IF(COUNT(D740:S740)=0,"",INDEX($D$1:$S$1,MATCH(MIN(D740:S740),D740:S740,0)))</f>
        <v/>
      </c>
      <c r="Y740" s="8" t="n">
        <v>1290</v>
      </c>
      <c r="Z740" s="10" t="n">
        <v>1</v>
      </c>
    </row>
    <row r="741">
      <c r="A741" s="7" t="inlineStr">
        <is>
          <t>MAT-10-129</t>
        </is>
      </c>
      <c r="B741" s="4" t="inlineStr">
        <is>
          <t>Panel LED sobreponer redondo de 6 W</t>
        </is>
      </c>
      <c r="C741" s="7" t="inlineStr">
        <is>
          <t>unidad</t>
        </is>
      </c>
      <c r="D741" s="8" t="n"/>
      <c r="E741" s="8" t="n">
        <v>276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>
        <f>IF(COUNT(D741:S741)=0,"",MIN(D741:S741))</f>
        <v/>
      </c>
      <c r="U741" s="8">
        <f>IF(COUNT(D741:S741)=0,"",MEDIAN(D741:S741))</f>
        <v/>
      </c>
      <c r="V741" s="8">
        <f>IF(COUNT(D741:S741)=0,"",MAX(D741:S741))</f>
        <v/>
      </c>
      <c r="W741" s="9">
        <f>IF(OR(T741="",T741=0),"",(V741-T741)/T741)</f>
        <v/>
      </c>
      <c r="X741" s="7">
        <f>IF(COUNT(D741:S741)=0,"",INDEX($D$1:$S$1,MATCH(MIN(D741:S741),D741:S741,0)))</f>
        <v/>
      </c>
      <c r="Y741" s="8" t="n">
        <v>327</v>
      </c>
      <c r="Z741" s="10" t="n">
        <v>1</v>
      </c>
    </row>
    <row r="742">
      <c r="A742" s="7" t="inlineStr">
        <is>
          <t>MAT-10-130</t>
        </is>
      </c>
      <c r="B742" s="4" t="inlineStr">
        <is>
          <t>Panel LED sobreponer redondo de 7.8 W</t>
        </is>
      </c>
      <c r="C742" s="7" t="inlineStr">
        <is>
          <t>unidad</t>
        </is>
      </c>
      <c r="D742" s="8" t="n"/>
      <c r="E742" s="8" t="n">
        <v>395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>
        <f>IF(COUNT(D742:S742)=0,"",MIN(D742:S742))</f>
        <v/>
      </c>
      <c r="U742" s="8">
        <f>IF(COUNT(D742:S742)=0,"",MEDIAN(D742:S742))</f>
        <v/>
      </c>
      <c r="V742" s="8">
        <f>IF(COUNT(D742:S742)=0,"",MAX(D742:S742))</f>
        <v/>
      </c>
      <c r="W742" s="9">
        <f>IF(OR(T742="",T742=0),"",(V742-T742)/T742)</f>
        <v/>
      </c>
      <c r="X742" s="7">
        <f>IF(COUNT(D742:S742)=0,"",INDEX($D$1:$S$1,MATCH(MIN(D742:S742),D742:S742,0)))</f>
        <v/>
      </c>
      <c r="Y742" s="8" t="n">
        <v>395</v>
      </c>
      <c r="Z742" s="10" t="n">
        <v>1</v>
      </c>
    </row>
    <row r="743">
      <c r="A743" s="7" t="inlineStr">
        <is>
          <t>MAT-10-131</t>
        </is>
      </c>
      <c r="B743" s="4" t="inlineStr">
        <is>
          <t>Luminaria empotrada dirigible cuadrada</t>
        </is>
      </c>
      <c r="C743" s="7" t="inlineStr">
        <is>
          <t>unidad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>
        <v>190</v>
      </c>
      <c r="M743" s="8" t="n"/>
      <c r="N743" s="8" t="n"/>
      <c r="O743" s="8" t="n"/>
      <c r="P743" s="8" t="n"/>
      <c r="Q743" s="8" t="n"/>
      <c r="R743" s="8" t="n"/>
      <c r="S743" s="8" t="n"/>
      <c r="T743" s="8">
        <f>IF(COUNT(D743:S743)=0,"",MIN(D743:S743))</f>
        <v/>
      </c>
      <c r="U743" s="8">
        <f>IF(COUNT(D743:S743)=0,"",MEDIAN(D743:S743))</f>
        <v/>
      </c>
      <c r="V743" s="8">
        <f>IF(COUNT(D743:S743)=0,"",MAX(D743:S743))</f>
        <v/>
      </c>
      <c r="W743" s="9">
        <f>IF(OR(T743="",T743=0),"",(V743-T743)/T743)</f>
        <v/>
      </c>
      <c r="X743" s="7">
        <f>IF(COUNT(D743:S743)=0,"",INDEX($D$1:$S$1,MATCH(MIN(D743:S743),D743:S743,0)))</f>
        <v/>
      </c>
      <c r="Y743" s="8" t="n">
        <v>190</v>
      </c>
      <c r="Z743" s="10" t="n">
        <v>1</v>
      </c>
    </row>
    <row r="744">
      <c r="A744" s="7" t="inlineStr">
        <is>
          <t>MAT-10-132</t>
        </is>
      </c>
      <c r="B744" s="4" t="inlineStr">
        <is>
          <t>Luminaria empotrada dirigible redonda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 t="n"/>
      <c r="T744" s="8">
        <f>IF(COUNT(D744:S744)=0,"",MIN(D744:S744))</f>
        <v/>
      </c>
      <c r="U744" s="8">
        <f>IF(COUNT(D744:S744)=0,"",MEDIAN(D744:S744))</f>
        <v/>
      </c>
      <c r="V744" s="8">
        <f>IF(COUNT(D744:S744)=0,"",MAX(D744:S744))</f>
        <v/>
      </c>
      <c r="W744" s="9">
        <f>IF(OR(T744="",T744=0),"",(V744-T744)/T744)</f>
        <v/>
      </c>
      <c r="X744" s="7">
        <f>IF(COUNT(D744:S744)=0,"",INDEX($D$1:$S$1,MATCH(MIN(D744:S744),D744:S744,0)))</f>
        <v/>
      </c>
      <c r="Y744" s="8" t="n">
        <v>252.5</v>
      </c>
      <c r="Z744" s="10" t="n">
        <v>1</v>
      </c>
    </row>
    <row r="745">
      <c r="A745" s="7" t="inlineStr">
        <is>
          <t>MAT-10-133</t>
        </is>
      </c>
      <c r="B745" s="4" t="inlineStr">
        <is>
          <t>Lámpara de emergencia recargable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1015</v>
      </c>
      <c r="M745" s="8" t="n"/>
      <c r="N745" s="8" t="n"/>
      <c r="O745" s="8" t="n"/>
      <c r="P745" s="8" t="n"/>
      <c r="Q745" s="8" t="n"/>
      <c r="R745" s="8" t="n"/>
      <c r="S745" s="8" t="n"/>
      <c r="T745" s="8">
        <f>IF(COUNT(D745:S745)=0,"",MIN(D745:S745))</f>
        <v/>
      </c>
      <c r="U745" s="8">
        <f>IF(COUNT(D745:S745)=0,"",MEDIAN(D745:S745))</f>
        <v/>
      </c>
      <c r="V745" s="8">
        <f>IF(COUNT(D745:S745)=0,"",MAX(D745:S745))</f>
        <v/>
      </c>
      <c r="W745" s="9">
        <f>IF(OR(T745="",T745=0),"",(V745-T745)/T745)</f>
        <v/>
      </c>
      <c r="X745" s="7">
        <f>IF(COUNT(D745:S745)=0,"",INDEX($D$1:$S$1,MATCH(MIN(D745:S745),D745:S745,0)))</f>
        <v/>
      </c>
      <c r="Y745" s="8" t="n">
        <v>1015</v>
      </c>
      <c r="Z745" s="10" t="n">
        <v>1</v>
      </c>
    </row>
    <row r="746">
      <c r="A746" s="7" t="inlineStr">
        <is>
          <t>MAT-10-134</t>
        </is>
      </c>
      <c r="B746" s="4" t="inlineStr">
        <is>
          <t>Reflector LED de 10 W</t>
        </is>
      </c>
      <c r="C746" s="7" t="inlineStr">
        <is>
          <t>unidad</t>
        </is>
      </c>
      <c r="D746" s="8" t="n"/>
      <c r="E746" s="8" t="n">
        <v>487</v>
      </c>
      <c r="F746" s="8" t="n"/>
      <c r="G746" s="8" t="n"/>
      <c r="H746" s="8" t="n"/>
      <c r="I746" s="8" t="n">
        <v>397.34</v>
      </c>
      <c r="J746" s="8" t="n">
        <v>400</v>
      </c>
      <c r="K746" s="8" t="n"/>
      <c r="L746" s="8" t="n">
        <v>475</v>
      </c>
      <c r="M746" s="8" t="n"/>
      <c r="N746" s="8" t="n"/>
      <c r="O746" s="8" t="n"/>
      <c r="P746" s="8" t="n"/>
      <c r="Q746" s="8" t="n"/>
      <c r="R746" s="8" t="n"/>
      <c r="S746" s="8" t="n"/>
      <c r="T746" s="8">
        <f>IF(COUNT(D746:S746)=0,"",MIN(D746:S746))</f>
        <v/>
      </c>
      <c r="U746" s="8">
        <f>IF(COUNT(D746:S746)=0,"",MEDIAN(D746:S746))</f>
        <v/>
      </c>
      <c r="V746" s="8">
        <f>IF(COUNT(D746:S746)=0,"",MAX(D746:S746))</f>
        <v/>
      </c>
      <c r="W746" s="9">
        <f>IF(OR(T746="",T746=0),"",(V746-T746)/T746)</f>
        <v/>
      </c>
      <c r="X746" s="7">
        <f>IF(COUNT(D746:S746)=0,"",INDEX($D$1:$S$1,MATCH(MIN(D746:S746),D746:S746,0)))</f>
        <v/>
      </c>
      <c r="Y746" s="8" t="n">
        <v>632</v>
      </c>
      <c r="Z746" s="10" t="n">
        <v>4</v>
      </c>
    </row>
    <row r="747">
      <c r="A747" s="7" t="inlineStr">
        <is>
          <t>MAT-10-135</t>
        </is>
      </c>
      <c r="B747" s="4" t="inlineStr">
        <is>
          <t>Reflector LED de 100 W</t>
        </is>
      </c>
      <c r="C747" s="7" t="inlineStr">
        <is>
          <t>unidad</t>
        </is>
      </c>
      <c r="D747" s="8" t="n"/>
      <c r="E747" s="8" t="n">
        <v>1502</v>
      </c>
      <c r="F747" s="8" t="n"/>
      <c r="G747" s="8" t="n"/>
      <c r="H747" s="8" t="n"/>
      <c r="I747" s="8" t="n"/>
      <c r="J747" s="8" t="n">
        <v>1500</v>
      </c>
      <c r="K747" s="8" t="n"/>
      <c r="L747" s="8" t="n">
        <v>1940</v>
      </c>
      <c r="M747" s="8" t="n"/>
      <c r="N747" s="8" t="n"/>
      <c r="O747" s="8" t="n"/>
      <c r="P747" s="8" t="n"/>
      <c r="Q747" s="8" t="n"/>
      <c r="R747" s="8" t="n"/>
      <c r="S747" s="8" t="n"/>
      <c r="T747" s="8">
        <f>IF(COUNT(D747:S747)=0,"",MIN(D747:S747))</f>
        <v/>
      </c>
      <c r="U747" s="8">
        <f>IF(COUNT(D747:S747)=0,"",MEDIAN(D747:S747))</f>
        <v/>
      </c>
      <c r="V747" s="8">
        <f>IF(COUNT(D747:S747)=0,"",MAX(D747:S747))</f>
        <v/>
      </c>
      <c r="W747" s="9">
        <f>IF(OR(T747="",T747=0),"",(V747-T747)/T747)</f>
        <v/>
      </c>
      <c r="X747" s="7">
        <f>IF(COUNT(D747:S747)=0,"",INDEX($D$1:$S$1,MATCH(MIN(D747:S747),D747:S747,0)))</f>
        <v/>
      </c>
      <c r="Y747" s="8" t="n">
        <v>1990</v>
      </c>
      <c r="Z747" s="10" t="n">
        <v>3</v>
      </c>
    </row>
    <row r="748">
      <c r="A748" s="7" t="inlineStr">
        <is>
          <t>MAT-10-136</t>
        </is>
      </c>
      <c r="B748" s="4" t="inlineStr">
        <is>
          <t>Reflector LED de 14 W</t>
        </is>
      </c>
      <c r="C748" s="7" t="inlineStr">
        <is>
          <t>unidad</t>
        </is>
      </c>
      <c r="D748" s="8" t="n"/>
      <c r="E748" s="8" t="n">
        <v>815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>
        <f>IF(COUNT(D748:S748)=0,"",MIN(D748:S748))</f>
        <v/>
      </c>
      <c r="U748" s="8">
        <f>IF(COUNT(D748:S748)=0,"",MEDIAN(D748:S748))</f>
        <v/>
      </c>
      <c r="V748" s="8">
        <f>IF(COUNT(D748:S748)=0,"",MAX(D748:S748))</f>
        <v/>
      </c>
      <c r="W748" s="9">
        <f>IF(OR(T748="",T748=0),"",(V748-T748)/T748)</f>
        <v/>
      </c>
      <c r="X748" s="7">
        <f>IF(COUNT(D748:S748)=0,"",INDEX($D$1:$S$1,MATCH(MIN(D748:S748),D748:S748,0)))</f>
        <v/>
      </c>
      <c r="Y748" s="8" t="n">
        <v>815</v>
      </c>
      <c r="Z748" s="10" t="n">
        <v>1</v>
      </c>
    </row>
    <row r="749">
      <c r="A749" s="7" t="inlineStr">
        <is>
          <t>MAT-10-137</t>
        </is>
      </c>
      <c r="B749" s="4" t="inlineStr">
        <is>
          <t>Reflector LED de 150 W</t>
        </is>
      </c>
      <c r="C749" s="7" t="inlineStr">
        <is>
          <t>unidad</t>
        </is>
      </c>
      <c r="D749" s="8" t="n"/>
      <c r="E749" s="8" t="n">
        <v>1818</v>
      </c>
      <c r="F749" s="8" t="n"/>
      <c r="G749" s="8" t="n"/>
      <c r="H749" s="8" t="n"/>
      <c r="I749" s="8" t="n"/>
      <c r="J749" s="8" t="n">
        <v>2950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>
        <f>IF(COUNT(D749:S749)=0,"",MIN(D749:S749))</f>
        <v/>
      </c>
      <c r="U749" s="8">
        <f>IF(COUNT(D749:S749)=0,"",MEDIAN(D749:S749))</f>
        <v/>
      </c>
      <c r="V749" s="8">
        <f>IF(COUNT(D749:S749)=0,"",MAX(D749:S749))</f>
        <v/>
      </c>
      <c r="W749" s="9">
        <f>IF(OR(T749="",T749=0),"",(V749-T749)/T749)</f>
        <v/>
      </c>
      <c r="X749" s="7">
        <f>IF(COUNT(D749:S749)=0,"",INDEX($D$1:$S$1,MATCH(MIN(D749:S749),D749:S749,0)))</f>
        <v/>
      </c>
      <c r="Y749" s="8" t="n">
        <v>3990</v>
      </c>
      <c r="Z749" s="10" t="n">
        <v>2</v>
      </c>
    </row>
    <row r="750">
      <c r="A750" s="7" t="inlineStr">
        <is>
          <t>MAT-10-138</t>
        </is>
      </c>
      <c r="B750" s="4" t="inlineStr">
        <is>
          <t>Reflector LED de 16 W</t>
        </is>
      </c>
      <c r="C750" s="7" t="inlineStr">
        <is>
          <t>unidad</t>
        </is>
      </c>
      <c r="D750" s="8" t="n"/>
      <c r="E750" s="8" t="n">
        <v>2207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>
        <f>IF(COUNT(D750:S750)=0,"",MIN(D750:S750))</f>
        <v/>
      </c>
      <c r="U750" s="8">
        <f>IF(COUNT(D750:S750)=0,"",MEDIAN(D750:S750))</f>
        <v/>
      </c>
      <c r="V750" s="8">
        <f>IF(COUNT(D750:S750)=0,"",MAX(D750:S750))</f>
        <v/>
      </c>
      <c r="W750" s="9">
        <f>IF(OR(T750="",T750=0),"",(V750-T750)/T750)</f>
        <v/>
      </c>
      <c r="X750" s="7">
        <f>IF(COUNT(D750:S750)=0,"",INDEX($D$1:$S$1,MATCH(MIN(D750:S750),D750:S750,0)))</f>
        <v/>
      </c>
      <c r="Y750" s="8" t="n">
        <v>2207</v>
      </c>
      <c r="Z750" s="10" t="n">
        <v>1</v>
      </c>
    </row>
    <row r="751">
      <c r="A751" s="7" t="inlineStr">
        <is>
          <t>MAT-10-139</t>
        </is>
      </c>
      <c r="B751" s="4" t="inlineStr">
        <is>
          <t>Reflector LED de 18 W</t>
        </is>
      </c>
      <c r="C751" s="7" t="inlineStr">
        <is>
          <t>unidad</t>
        </is>
      </c>
      <c r="D751" s="8" t="n"/>
      <c r="E751" s="8" t="n">
        <v>1062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>
        <f>IF(COUNT(D751:S751)=0,"",MIN(D751:S751))</f>
        <v/>
      </c>
      <c r="U751" s="8">
        <f>IF(COUNT(D751:S751)=0,"",MEDIAN(D751:S751))</f>
        <v/>
      </c>
      <c r="V751" s="8">
        <f>IF(COUNT(D751:S751)=0,"",MAX(D751:S751))</f>
        <v/>
      </c>
      <c r="W751" s="9">
        <f>IF(OR(T751="",T751=0),"",(V751-T751)/T751)</f>
        <v/>
      </c>
      <c r="X751" s="7">
        <f>IF(COUNT(D751:S751)=0,"",INDEX($D$1:$S$1,MATCH(MIN(D751:S751),D751:S751,0)))</f>
        <v/>
      </c>
      <c r="Y751" s="8" t="n">
        <v>1062</v>
      </c>
      <c r="Z751" s="10" t="n">
        <v>1</v>
      </c>
    </row>
    <row r="752">
      <c r="A752" s="7" t="inlineStr">
        <is>
          <t>MAT-10-140</t>
        </is>
      </c>
      <c r="B752" s="4" t="inlineStr">
        <is>
          <t>Reflector LED de 20 W</t>
        </is>
      </c>
      <c r="C752" s="7" t="inlineStr">
        <is>
          <t>unidad</t>
        </is>
      </c>
      <c r="D752" s="8" t="n"/>
      <c r="E752" s="8" t="n">
        <v>899</v>
      </c>
      <c r="F752" s="8" t="n"/>
      <c r="G752" s="8" t="n"/>
      <c r="H752" s="8" t="n"/>
      <c r="I752" s="8" t="n">
        <v>462.51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>
        <f>IF(COUNT(D752:S752)=0,"",MIN(D752:S752))</f>
        <v/>
      </c>
      <c r="U752" s="8">
        <f>IF(COUNT(D752:S752)=0,"",MEDIAN(D752:S752))</f>
        <v/>
      </c>
      <c r="V752" s="8">
        <f>IF(COUNT(D752:S752)=0,"",MAX(D752:S752))</f>
        <v/>
      </c>
      <c r="W752" s="9">
        <f>IF(OR(T752="",T752=0),"",(V752-T752)/T752)</f>
        <v/>
      </c>
      <c r="X752" s="7">
        <f>IF(COUNT(D752:S752)=0,"",INDEX($D$1:$S$1,MATCH(MIN(D752:S752),D752:S752,0)))</f>
        <v/>
      </c>
      <c r="Y752" s="8" t="n">
        <v>1066.5</v>
      </c>
      <c r="Z752" s="10" t="n">
        <v>2</v>
      </c>
    </row>
    <row r="753">
      <c r="A753" s="7" t="inlineStr">
        <is>
          <t>MAT-10-141</t>
        </is>
      </c>
      <c r="B753" s="4" t="inlineStr">
        <is>
          <t>Reflector LED de 200 W</t>
        </is>
      </c>
      <c r="C753" s="7" t="inlineStr">
        <is>
          <t>unidad</t>
        </is>
      </c>
      <c r="D753" s="8" t="n"/>
      <c r="E753" s="8" t="n">
        <v>5295</v>
      </c>
      <c r="F753" s="8" t="n"/>
      <c r="G753" s="8" t="n"/>
      <c r="H753" s="8" t="n"/>
      <c r="I753" s="8" t="n"/>
      <c r="J753" s="8" t="n">
        <v>3200</v>
      </c>
      <c r="K753" s="8" t="n"/>
      <c r="L753" s="8" t="n">
        <v>2335</v>
      </c>
      <c r="M753" s="8" t="n"/>
      <c r="N753" s="8" t="n"/>
      <c r="O753" s="8" t="n"/>
      <c r="P753" s="8" t="n"/>
      <c r="Q753" s="8" t="n"/>
      <c r="R753" s="8" t="n"/>
      <c r="S753" s="8" t="n"/>
      <c r="T753" s="8">
        <f>IF(COUNT(D753:S753)=0,"",MIN(D753:S753))</f>
        <v/>
      </c>
      <c r="U753" s="8">
        <f>IF(COUNT(D753:S753)=0,"",MEDIAN(D753:S753))</f>
        <v/>
      </c>
      <c r="V753" s="8">
        <f>IF(COUNT(D753:S753)=0,"",MAX(D753:S753))</f>
        <v/>
      </c>
      <c r="W753" s="9">
        <f>IF(OR(T753="",T753=0),"",(V753-T753)/T753)</f>
        <v/>
      </c>
      <c r="X753" s="7">
        <f>IF(COUNT(D753:S753)=0,"",INDEX($D$1:$S$1,MATCH(MIN(D753:S753),D753:S753,0)))</f>
        <v/>
      </c>
      <c r="Y753" s="8" t="n">
        <v>6750</v>
      </c>
      <c r="Z753" s="10" t="n">
        <v>3</v>
      </c>
    </row>
    <row r="754">
      <c r="A754" s="7" t="inlineStr">
        <is>
          <t>MAT-10-142</t>
        </is>
      </c>
      <c r="B754" s="4" t="inlineStr">
        <is>
          <t>Reflector LED de 23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455</v>
      </c>
      <c r="M754" s="8" t="n"/>
      <c r="N754" s="8" t="n"/>
      <c r="O754" s="8" t="n"/>
      <c r="P754" s="8" t="n"/>
      <c r="Q754" s="8" t="n"/>
      <c r="R754" s="8" t="n"/>
      <c r="S754" s="8" t="n"/>
      <c r="T754" s="8">
        <f>IF(COUNT(D754:S754)=0,"",MIN(D754:S754))</f>
        <v/>
      </c>
      <c r="U754" s="8">
        <f>IF(COUNT(D754:S754)=0,"",MEDIAN(D754:S754))</f>
        <v/>
      </c>
      <c r="V754" s="8">
        <f>IF(COUNT(D754:S754)=0,"",MAX(D754:S754))</f>
        <v/>
      </c>
      <c r="W754" s="9">
        <f>IF(OR(T754="",T754=0),"",(V754-T754)/T754)</f>
        <v/>
      </c>
      <c r="X754" s="7">
        <f>IF(COUNT(D754:S754)=0,"",INDEX($D$1:$S$1,MATCH(MIN(D754:S754),D754:S754,0)))</f>
        <v/>
      </c>
      <c r="Y754" s="8" t="n">
        <v>455</v>
      </c>
      <c r="Z754" s="10" t="n">
        <v>1</v>
      </c>
    </row>
    <row r="755">
      <c r="A755" s="7" t="inlineStr">
        <is>
          <t>MAT-10-143</t>
        </is>
      </c>
      <c r="B755" s="4" t="inlineStr">
        <is>
          <t>Reflector LED de 250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280</v>
      </c>
      <c r="M755" s="8" t="n"/>
      <c r="N755" s="8" t="n"/>
      <c r="O755" s="8" t="n"/>
      <c r="P755" s="8" t="n"/>
      <c r="Q755" s="8" t="n"/>
      <c r="R755" s="8" t="n"/>
      <c r="S755" s="8" t="n"/>
      <c r="T755" s="8">
        <f>IF(COUNT(D755:S755)=0,"",MIN(D755:S755))</f>
        <v/>
      </c>
      <c r="U755" s="8">
        <f>IF(COUNT(D755:S755)=0,"",MEDIAN(D755:S755))</f>
        <v/>
      </c>
      <c r="V755" s="8">
        <f>IF(COUNT(D755:S755)=0,"",MAX(D755:S755))</f>
        <v/>
      </c>
      <c r="W755" s="9">
        <f>IF(OR(T755="",T755=0),"",(V755-T755)/T755)</f>
        <v/>
      </c>
      <c r="X755" s="7">
        <f>IF(COUNT(D755:S755)=0,"",INDEX($D$1:$S$1,MATCH(MIN(D755:S755),D755:S755,0)))</f>
        <v/>
      </c>
      <c r="Y755" s="8" t="n">
        <v>580</v>
      </c>
      <c r="Z755" s="10" t="n">
        <v>1</v>
      </c>
    </row>
    <row r="756">
      <c r="A756" s="7" t="inlineStr">
        <is>
          <t>MAT-10-144</t>
        </is>
      </c>
      <c r="B756" s="4" t="inlineStr">
        <is>
          <t>Reflector LED de 30 W</t>
        </is>
      </c>
      <c r="C756" s="7" t="inlineStr">
        <is>
          <t>unidad</t>
        </is>
      </c>
      <c r="D756" s="8" t="n"/>
      <c r="E756" s="8" t="n">
        <v>475</v>
      </c>
      <c r="F756" s="8" t="n"/>
      <c r="G756" s="8" t="n"/>
      <c r="H756" s="8" t="n"/>
      <c r="I756" s="8" t="n"/>
      <c r="J756" s="8" t="n">
        <v>650</v>
      </c>
      <c r="K756" s="8" t="n"/>
      <c r="L756" s="8" t="n">
        <v>620</v>
      </c>
      <c r="M756" s="8" t="n"/>
      <c r="N756" s="8" t="n"/>
      <c r="O756" s="8" t="n"/>
      <c r="P756" s="8" t="n"/>
      <c r="Q756" s="8" t="n"/>
      <c r="R756" s="8" t="n"/>
      <c r="S756" s="8" t="n"/>
      <c r="T756" s="8">
        <f>IF(COUNT(D756:S756)=0,"",MIN(D756:S756))</f>
        <v/>
      </c>
      <c r="U756" s="8">
        <f>IF(COUNT(D756:S756)=0,"",MEDIAN(D756:S756))</f>
        <v/>
      </c>
      <c r="V756" s="8">
        <f>IF(COUNT(D756:S756)=0,"",MAX(D756:S756))</f>
        <v/>
      </c>
      <c r="W756" s="9">
        <f>IF(OR(T756="",T756=0),"",(V756-T756)/T756)</f>
        <v/>
      </c>
      <c r="X756" s="7">
        <f>IF(COUNT(D756:S756)=0,"",INDEX($D$1:$S$1,MATCH(MIN(D756:S756),D756:S756,0)))</f>
        <v/>
      </c>
      <c r="Y756" s="8" t="n">
        <v>1145</v>
      </c>
      <c r="Z756" s="10" t="n">
        <v>3</v>
      </c>
    </row>
    <row r="757">
      <c r="A757" s="7" t="inlineStr">
        <is>
          <t>MAT-10-145</t>
        </is>
      </c>
      <c r="B757" s="4" t="inlineStr">
        <is>
          <t>Reflector LED de 300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5100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>
        <f>IF(COUNT(D757:S757)=0,"",MIN(D757:S757))</f>
        <v/>
      </c>
      <c r="U757" s="8">
        <f>IF(COUNT(D757:S757)=0,"",MEDIAN(D757:S757))</f>
        <v/>
      </c>
      <c r="V757" s="8">
        <f>IF(COUNT(D757:S757)=0,"",MAX(D757:S757))</f>
        <v/>
      </c>
      <c r="W757" s="9">
        <f>IF(OR(T757="",T757=0),"",(V757-T757)/T757)</f>
        <v/>
      </c>
      <c r="X757" s="7">
        <f>IF(COUNT(D757:S757)=0,"",INDEX($D$1:$S$1,MATCH(MIN(D757:S757),D757:S757,0)))</f>
        <v/>
      </c>
      <c r="Y757" s="8" t="n">
        <v>7800</v>
      </c>
      <c r="Z757" s="10" t="n">
        <v>1</v>
      </c>
    </row>
    <row r="758">
      <c r="A758" s="7" t="inlineStr">
        <is>
          <t>MAT-10-146</t>
        </is>
      </c>
      <c r="B758" s="4" t="inlineStr">
        <is>
          <t>Reflector LED de 4 W</t>
        </is>
      </c>
      <c r="C758" s="7" t="inlineStr">
        <is>
          <t>unidad</t>
        </is>
      </c>
      <c r="D758" s="8" t="n"/>
      <c r="E758" s="8" t="n">
        <v>88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>
        <f>IF(COUNT(D758:S758)=0,"",MIN(D758:S758))</f>
        <v/>
      </c>
      <c r="U758" s="8">
        <f>IF(COUNT(D758:S758)=0,"",MEDIAN(D758:S758))</f>
        <v/>
      </c>
      <c r="V758" s="8">
        <f>IF(COUNT(D758:S758)=0,"",MAX(D758:S758))</f>
        <v/>
      </c>
      <c r="W758" s="9">
        <f>IF(OR(T758="",T758=0),"",(V758-T758)/T758)</f>
        <v/>
      </c>
      <c r="X758" s="7">
        <f>IF(COUNT(D758:S758)=0,"",INDEX($D$1:$S$1,MATCH(MIN(D758:S758),D758:S758,0)))</f>
        <v/>
      </c>
      <c r="Y758" s="8" t="n">
        <v>221.5</v>
      </c>
      <c r="Z758" s="10" t="n">
        <v>1</v>
      </c>
    </row>
    <row r="759">
      <c r="A759" s="7" t="inlineStr">
        <is>
          <t>MAT-10-147</t>
        </is>
      </c>
      <c r="B759" s="4" t="inlineStr">
        <is>
          <t>Reflector LED de 400 W</t>
        </is>
      </c>
      <c r="C759" s="7" t="inlineStr">
        <is>
          <t>unidad</t>
        </is>
      </c>
      <c r="D759" s="8" t="n"/>
      <c r="E759" s="8" t="n">
        <v>7058</v>
      </c>
      <c r="F759" s="8" t="n"/>
      <c r="G759" s="8" t="n"/>
      <c r="H759" s="8" t="n"/>
      <c r="I759" s="8" t="n"/>
      <c r="J759" s="8" t="n">
        <v>5900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>
        <f>IF(COUNT(D759:S759)=0,"",MIN(D759:S759))</f>
        <v/>
      </c>
      <c r="U759" s="8">
        <f>IF(COUNT(D759:S759)=0,"",MEDIAN(D759:S759))</f>
        <v/>
      </c>
      <c r="V759" s="8">
        <f>IF(COUNT(D759:S759)=0,"",MAX(D759:S759))</f>
        <v/>
      </c>
      <c r="W759" s="9">
        <f>IF(OR(T759="",T759=0),"",(V759-T759)/T759)</f>
        <v/>
      </c>
      <c r="X759" s="7">
        <f>IF(COUNT(D759:S759)=0,"",INDEX($D$1:$S$1,MATCH(MIN(D759:S759),D759:S759,0)))</f>
        <v/>
      </c>
      <c r="Y759" s="8" t="n">
        <v>7058</v>
      </c>
      <c r="Z759" s="10" t="n">
        <v>2</v>
      </c>
    </row>
    <row r="760">
      <c r="A760" s="7" t="inlineStr">
        <is>
          <t>MAT-10-148</t>
        </is>
      </c>
      <c r="B760" s="4" t="inlineStr">
        <is>
          <t>Reflector LED de 5 W</t>
        </is>
      </c>
      <c r="C760" s="7" t="inlineStr">
        <is>
          <t>unidad</t>
        </is>
      </c>
      <c r="D760" s="8" t="n"/>
      <c r="E760" s="8" t="n">
        <v>93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>
        <f>IF(COUNT(D760:S760)=0,"",MIN(D760:S760))</f>
        <v/>
      </c>
      <c r="U760" s="8">
        <f>IF(COUNT(D760:S760)=0,"",MEDIAN(D760:S760))</f>
        <v/>
      </c>
      <c r="V760" s="8">
        <f>IF(COUNT(D760:S760)=0,"",MAX(D760:S760))</f>
        <v/>
      </c>
      <c r="W760" s="9">
        <f>IF(OR(T760="",T760=0),"",(V760-T760)/T760)</f>
        <v/>
      </c>
      <c r="X760" s="7">
        <f>IF(COUNT(D760:S760)=0,"",INDEX($D$1:$S$1,MATCH(MIN(D760:S760),D760:S760,0)))</f>
        <v/>
      </c>
      <c r="Y760" s="8" t="n">
        <v>95</v>
      </c>
      <c r="Z760" s="10" t="n">
        <v>1</v>
      </c>
    </row>
    <row r="761">
      <c r="A761" s="7" t="inlineStr">
        <is>
          <t>MAT-10-149</t>
        </is>
      </c>
      <c r="B761" s="4" t="inlineStr">
        <is>
          <t>Reflector LED de 50 W</t>
        </is>
      </c>
      <c r="C761" s="7" t="inlineStr">
        <is>
          <t>unidad</t>
        </is>
      </c>
      <c r="D761" s="8" t="n"/>
      <c r="E761" s="8" t="n">
        <v>645.63</v>
      </c>
      <c r="F761" s="8" t="n"/>
      <c r="G761" s="8" t="n"/>
      <c r="H761" s="8" t="n"/>
      <c r="I761" s="8" t="n"/>
      <c r="J761" s="8" t="n">
        <v>915</v>
      </c>
      <c r="K761" s="8" t="n"/>
      <c r="L761" s="8" t="n">
        <v>970</v>
      </c>
      <c r="M761" s="8" t="n"/>
      <c r="N761" s="8" t="n"/>
      <c r="O761" s="8" t="n"/>
      <c r="P761" s="8" t="n"/>
      <c r="Q761" s="8" t="n"/>
      <c r="R761" s="8" t="n"/>
      <c r="S761" s="8" t="n"/>
      <c r="T761" s="8">
        <f>IF(COUNT(D761:S761)=0,"",MIN(D761:S761))</f>
        <v/>
      </c>
      <c r="U761" s="8">
        <f>IF(COUNT(D761:S761)=0,"",MEDIAN(D761:S761))</f>
        <v/>
      </c>
      <c r="V761" s="8">
        <f>IF(COUNT(D761:S761)=0,"",MAX(D761:S761))</f>
        <v/>
      </c>
      <c r="W761" s="9">
        <f>IF(OR(T761="",T761=0),"",(V761-T761)/T761)</f>
        <v/>
      </c>
      <c r="X761" s="7">
        <f>IF(COUNT(D761:S761)=0,"",INDEX($D$1:$S$1,MATCH(MIN(D761:S761),D761:S761,0)))</f>
        <v/>
      </c>
      <c r="Y761" s="8" t="n">
        <v>1136</v>
      </c>
      <c r="Z761" s="10" t="n">
        <v>3</v>
      </c>
    </row>
    <row r="762">
      <c r="A762" s="7" t="inlineStr">
        <is>
          <t>MAT-10-150</t>
        </is>
      </c>
      <c r="B762" s="4" t="inlineStr">
        <is>
          <t>Reflector LED de 500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18000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>
        <f>IF(COUNT(D762:S762)=0,"",MIN(D762:S762))</f>
        <v/>
      </c>
      <c r="U762" s="8">
        <f>IF(COUNT(D762:S762)=0,"",MEDIAN(D762:S762))</f>
        <v/>
      </c>
      <c r="V762" s="8">
        <f>IF(COUNT(D762:S762)=0,"",MAX(D762:S762))</f>
        <v/>
      </c>
      <c r="W762" s="9">
        <f>IF(OR(T762="",T762=0),"",(V762-T762)/T762)</f>
        <v/>
      </c>
      <c r="X762" s="7">
        <f>IF(COUNT(D762:S762)=0,"",INDEX($D$1:$S$1,MATCH(MIN(D762:S762),D762:S762,0)))</f>
        <v/>
      </c>
      <c r="Y762" s="8" t="n">
        <v>18000</v>
      </c>
      <c r="Z762" s="10" t="n">
        <v>1</v>
      </c>
    </row>
    <row r="763">
      <c r="A763" s="7" t="inlineStr">
        <is>
          <t>MAT-10-151</t>
        </is>
      </c>
      <c r="B763" s="4" t="inlineStr">
        <is>
          <t>Reflector LED de 55 W</t>
        </is>
      </c>
      <c r="C763" s="7" t="inlineStr">
        <is>
          <t>unidad</t>
        </is>
      </c>
      <c r="D763" s="8" t="n"/>
      <c r="E763" s="8" t="n">
        <v>12101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>
        <f>IF(COUNT(D763:S763)=0,"",MIN(D763:S763))</f>
        <v/>
      </c>
      <c r="U763" s="8">
        <f>IF(COUNT(D763:S763)=0,"",MEDIAN(D763:S763))</f>
        <v/>
      </c>
      <c r="V763" s="8">
        <f>IF(COUNT(D763:S763)=0,"",MAX(D763:S763))</f>
        <v/>
      </c>
      <c r="W763" s="9">
        <f>IF(OR(T763="",T763=0),"",(V763-T763)/T763)</f>
        <v/>
      </c>
      <c r="X763" s="7">
        <f>IF(COUNT(D763:S763)=0,"",INDEX($D$1:$S$1,MATCH(MIN(D763:S763),D763:S763,0)))</f>
        <v/>
      </c>
      <c r="Y763" s="8" t="n">
        <v>12101</v>
      </c>
      <c r="Z763" s="10" t="n">
        <v>1</v>
      </c>
    </row>
    <row r="764">
      <c r="A764" s="7" t="inlineStr">
        <is>
          <t>MAT-10-152</t>
        </is>
      </c>
      <c r="B764" s="4" t="inlineStr">
        <is>
          <t>Reflector LED de 6.5 W</t>
        </is>
      </c>
      <c r="C764" s="7" t="inlineStr">
        <is>
          <t>unidad</t>
        </is>
      </c>
      <c r="D764" s="8" t="n"/>
      <c r="E764" s="8" t="n">
        <v>472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>
        <f>IF(COUNT(D764:S764)=0,"",MIN(D764:S764))</f>
        <v/>
      </c>
      <c r="U764" s="8">
        <f>IF(COUNT(D764:S764)=0,"",MEDIAN(D764:S764))</f>
        <v/>
      </c>
      <c r="V764" s="8">
        <f>IF(COUNT(D764:S764)=0,"",MAX(D764:S764))</f>
        <v/>
      </c>
      <c r="W764" s="9">
        <f>IF(OR(T764="",T764=0),"",(V764-T764)/T764)</f>
        <v/>
      </c>
      <c r="X764" s="7">
        <f>IF(COUNT(D764:S764)=0,"",INDEX($D$1:$S$1,MATCH(MIN(D764:S764),D764:S764,0)))</f>
        <v/>
      </c>
      <c r="Y764" s="8" t="n">
        <v>472</v>
      </c>
      <c r="Z764" s="10" t="n">
        <v>1</v>
      </c>
    </row>
    <row r="765">
      <c r="A765" s="7" t="inlineStr">
        <is>
          <t>MAT-10-153</t>
        </is>
      </c>
      <c r="B765" s="4" t="inlineStr">
        <is>
          <t>Reflector LED de 8 W</t>
        </is>
      </c>
      <c r="C765" s="7" t="inlineStr">
        <is>
          <t>unidad</t>
        </is>
      </c>
      <c r="D765" s="8" t="n"/>
      <c r="E765" s="8" t="n">
        <v>120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>
        <f>IF(COUNT(D765:S765)=0,"",MIN(D765:S765))</f>
        <v/>
      </c>
      <c r="U765" s="8">
        <f>IF(COUNT(D765:S765)=0,"",MEDIAN(D765:S765))</f>
        <v/>
      </c>
      <c r="V765" s="8">
        <f>IF(COUNT(D765:S765)=0,"",MAX(D765:S765))</f>
        <v/>
      </c>
      <c r="W765" s="9">
        <f>IF(OR(T765="",T765=0),"",(V765-T765)/T765)</f>
        <v/>
      </c>
      <c r="X765" s="7">
        <f>IF(COUNT(D765:S765)=0,"",INDEX($D$1:$S$1,MATCH(MIN(D765:S765),D765:S765,0)))</f>
        <v/>
      </c>
      <c r="Y765" s="8" t="n">
        <v>280</v>
      </c>
      <c r="Z765" s="10" t="n">
        <v>1</v>
      </c>
    </row>
    <row r="766">
      <c r="A766" s="7" t="inlineStr">
        <is>
          <t>MAT-10-154</t>
        </is>
      </c>
      <c r="B766" s="4" t="inlineStr">
        <is>
          <t>Reflector LED de 8.5 W</t>
        </is>
      </c>
      <c r="C766" s="7" t="inlineStr">
        <is>
          <t>unidad</t>
        </is>
      </c>
      <c r="D766" s="8" t="n"/>
      <c r="E766" s="8" t="n">
        <v>319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>
        <f>IF(COUNT(D766:S766)=0,"",MIN(D766:S766))</f>
        <v/>
      </c>
      <c r="U766" s="8">
        <f>IF(COUNT(D766:S766)=0,"",MEDIAN(D766:S766))</f>
        <v/>
      </c>
      <c r="V766" s="8">
        <f>IF(COUNT(D766:S766)=0,"",MAX(D766:S766))</f>
        <v/>
      </c>
      <c r="W766" s="9">
        <f>IF(OR(T766="",T766=0),"",(V766-T766)/T766)</f>
        <v/>
      </c>
      <c r="X766" s="7">
        <f>IF(COUNT(D766:S766)=0,"",INDEX($D$1:$S$1,MATCH(MIN(D766:S766),D766:S766,0)))</f>
        <v/>
      </c>
      <c r="Y766" s="8" t="n">
        <v>319</v>
      </c>
      <c r="Z766" s="10" t="n">
        <v>1</v>
      </c>
    </row>
    <row r="767">
      <c r="A767" s="7" t="inlineStr">
        <is>
          <t>MAT-10-156</t>
        </is>
      </c>
      <c r="B767" s="4" t="inlineStr">
        <is>
          <t>Tubo LED de 11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699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>
        <f>IF(COUNT(D767:S767)=0,"",MIN(D767:S767))</f>
        <v/>
      </c>
      <c r="U767" s="8">
        <f>IF(COUNT(D767:S767)=0,"",MEDIAN(D767:S767))</f>
        <v/>
      </c>
      <c r="V767" s="8">
        <f>IF(COUNT(D767:S767)=0,"",MAX(D767:S767))</f>
        <v/>
      </c>
      <c r="W767" s="9">
        <f>IF(OR(T767="",T767=0),"",(V767-T767)/T767)</f>
        <v/>
      </c>
      <c r="X767" s="7">
        <f>IF(COUNT(D767:S767)=0,"",INDEX($D$1:$S$1,MATCH(MIN(D767:S767),D767:S767,0)))</f>
        <v/>
      </c>
      <c r="Y767" s="8" t="n">
        <v>699</v>
      </c>
      <c r="Z767" s="10" t="n">
        <v>1</v>
      </c>
    </row>
    <row r="768">
      <c r="A768" s="7" t="inlineStr">
        <is>
          <t>MAT-10-157</t>
        </is>
      </c>
      <c r="B768" s="4" t="inlineStr">
        <is>
          <t>Tubo LED de 12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142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>
        <f>IF(COUNT(D768:S768)=0,"",MIN(D768:S768))</f>
        <v/>
      </c>
      <c r="U768" s="8">
        <f>IF(COUNT(D768:S768)=0,"",MEDIAN(D768:S768))</f>
        <v/>
      </c>
      <c r="V768" s="8">
        <f>IF(COUNT(D768:S768)=0,"",MAX(D768:S768))</f>
        <v/>
      </c>
      <c r="W768" s="9">
        <f>IF(OR(T768="",T768=0),"",(V768-T768)/T768)</f>
        <v/>
      </c>
      <c r="X768" s="7">
        <f>IF(COUNT(D768:S768)=0,"",INDEX($D$1:$S$1,MATCH(MIN(D768:S768),D768:S768,0)))</f>
        <v/>
      </c>
      <c r="Y768" s="8" t="n">
        <v>142</v>
      </c>
      <c r="Z768" s="10" t="n">
        <v>1</v>
      </c>
    </row>
    <row r="769">
      <c r="A769" s="7" t="inlineStr">
        <is>
          <t>MAT-10-158</t>
        </is>
      </c>
      <c r="B769" s="4" t="inlineStr">
        <is>
          <t>Tubo LED de 16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249.99</v>
      </c>
      <c r="M769" s="8" t="n"/>
      <c r="N769" s="8" t="n"/>
      <c r="O769" s="8" t="n"/>
      <c r="P769" s="8" t="n"/>
      <c r="Q769" s="8" t="n"/>
      <c r="R769" s="8" t="n"/>
      <c r="S769" s="8" t="n"/>
      <c r="T769" s="8">
        <f>IF(COUNT(D769:S769)=0,"",MIN(D769:S769))</f>
        <v/>
      </c>
      <c r="U769" s="8">
        <f>IF(COUNT(D769:S769)=0,"",MEDIAN(D769:S769))</f>
        <v/>
      </c>
      <c r="V769" s="8">
        <f>IF(COUNT(D769:S769)=0,"",MAX(D769:S769))</f>
        <v/>
      </c>
      <c r="W769" s="9">
        <f>IF(OR(T769="",T769=0),"",(V769-T769)/T769)</f>
        <v/>
      </c>
      <c r="X769" s="7">
        <f>IF(COUNT(D769:S769)=0,"",INDEX($D$1:$S$1,MATCH(MIN(D769:S769),D769:S769,0)))</f>
        <v/>
      </c>
      <c r="Y769" s="8" t="n">
        <v>249.99</v>
      </c>
      <c r="Z769" s="10" t="n">
        <v>1</v>
      </c>
    </row>
    <row r="770">
      <c r="A770" s="7" t="inlineStr">
        <is>
          <t>MAT-10-159</t>
        </is>
      </c>
      <c r="B770" s="4" t="inlineStr">
        <is>
          <t>Tubo LED de 18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170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>
        <f>IF(COUNT(D770:S770)=0,"",MIN(D770:S770))</f>
        <v/>
      </c>
      <c r="U770" s="8">
        <f>IF(COUNT(D770:S770)=0,"",MEDIAN(D770:S770))</f>
        <v/>
      </c>
      <c r="V770" s="8">
        <f>IF(COUNT(D770:S770)=0,"",MAX(D770:S770))</f>
        <v/>
      </c>
      <c r="W770" s="9">
        <f>IF(OR(T770="",T770=0),"",(V770-T770)/T770)</f>
        <v/>
      </c>
      <c r="X770" s="7">
        <f>IF(COUNT(D770:S770)=0,"",INDEX($D$1:$S$1,MATCH(MIN(D770:S770),D770:S770,0)))</f>
        <v/>
      </c>
      <c r="Y770" s="8" t="n">
        <v>177</v>
      </c>
      <c r="Z770" s="10" t="n">
        <v>1</v>
      </c>
    </row>
    <row r="771">
      <c r="A771" s="7" t="inlineStr">
        <is>
          <t>MAT-10-160</t>
        </is>
      </c>
      <c r="B771" s="4" t="inlineStr">
        <is>
          <t>Tubo LED de 19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785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>
        <f>IF(COUNT(D771:S771)=0,"",MIN(D771:S771))</f>
        <v/>
      </c>
      <c r="U771" s="8">
        <f>IF(COUNT(D771:S771)=0,"",MEDIAN(D771:S771))</f>
        <v/>
      </c>
      <c r="V771" s="8">
        <f>IF(COUNT(D771:S771)=0,"",MAX(D771:S771))</f>
        <v/>
      </c>
      <c r="W771" s="9">
        <f>IF(OR(T771="",T771=0),"",(V771-T771)/T771)</f>
        <v/>
      </c>
      <c r="X771" s="7">
        <f>IF(COUNT(D771:S771)=0,"",INDEX($D$1:$S$1,MATCH(MIN(D771:S771),D771:S771,0)))</f>
        <v/>
      </c>
      <c r="Y771" s="8" t="n">
        <v>785</v>
      </c>
      <c r="Z771" s="10" t="n">
        <v>1</v>
      </c>
    </row>
    <row r="772">
      <c r="A772" s="7" t="inlineStr">
        <is>
          <t>MAT-10-161</t>
        </is>
      </c>
      <c r="B772" s="4" t="inlineStr">
        <is>
          <t>Tubo LED de 20.5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264.99</v>
      </c>
      <c r="M772" s="8" t="n"/>
      <c r="N772" s="8" t="n"/>
      <c r="O772" s="8" t="n"/>
      <c r="P772" s="8" t="n"/>
      <c r="Q772" s="8" t="n"/>
      <c r="R772" s="8" t="n"/>
      <c r="S772" s="8" t="n"/>
      <c r="T772" s="8">
        <f>IF(COUNT(D772:S772)=0,"",MIN(D772:S772))</f>
        <v/>
      </c>
      <c r="U772" s="8">
        <f>IF(COUNT(D772:S772)=0,"",MEDIAN(D772:S772))</f>
        <v/>
      </c>
      <c r="V772" s="8">
        <f>IF(COUNT(D772:S772)=0,"",MAX(D772:S772))</f>
        <v/>
      </c>
      <c r="W772" s="9">
        <f>IF(OR(T772="",T772=0),"",(V772-T772)/T772)</f>
        <v/>
      </c>
      <c r="X772" s="7">
        <f>IF(COUNT(D772:S772)=0,"",INDEX($D$1:$S$1,MATCH(MIN(D772:S772),D772:S772,0)))</f>
        <v/>
      </c>
      <c r="Y772" s="8" t="n">
        <v>264.99</v>
      </c>
      <c r="Z772" s="10" t="n">
        <v>1</v>
      </c>
    </row>
    <row r="773">
      <c r="A773" s="7" t="inlineStr">
        <is>
          <t>MAT-10-162</t>
        </is>
      </c>
      <c r="B773" s="4" t="inlineStr">
        <is>
          <t>Tubo LED de 22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404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>
        <f>IF(COUNT(D773:S773)=0,"",MIN(D773:S773))</f>
        <v/>
      </c>
      <c r="U773" s="8">
        <f>IF(COUNT(D773:S773)=0,"",MEDIAN(D773:S773))</f>
        <v/>
      </c>
      <c r="V773" s="8">
        <f>IF(COUNT(D773:S773)=0,"",MAX(D773:S773))</f>
        <v/>
      </c>
      <c r="W773" s="9">
        <f>IF(OR(T773="",T773=0),"",(V773-T773)/T773)</f>
        <v/>
      </c>
      <c r="X773" s="7">
        <f>IF(COUNT(D773:S773)=0,"",INDEX($D$1:$S$1,MATCH(MIN(D773:S773),D773:S773,0)))</f>
        <v/>
      </c>
      <c r="Y773" s="8" t="n">
        <v>404</v>
      </c>
      <c r="Z773" s="10" t="n">
        <v>1</v>
      </c>
    </row>
    <row r="774">
      <c r="A774" s="7" t="inlineStr">
        <is>
          <t>MAT-10-163</t>
        </is>
      </c>
      <c r="B774" s="4" t="inlineStr">
        <is>
          <t>Tubo LED de 24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889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>
        <f>IF(COUNT(D774:S774)=0,"",MIN(D774:S774))</f>
        <v/>
      </c>
      <c r="U774" s="8">
        <f>IF(COUNT(D774:S774)=0,"",MEDIAN(D774:S774))</f>
        <v/>
      </c>
      <c r="V774" s="8">
        <f>IF(COUNT(D774:S774)=0,"",MAX(D774:S774))</f>
        <v/>
      </c>
      <c r="W774" s="9">
        <f>IF(OR(T774="",T774=0),"",(V774-T774)/T774)</f>
        <v/>
      </c>
      <c r="X774" s="7">
        <f>IF(COUNT(D774:S774)=0,"",INDEX($D$1:$S$1,MATCH(MIN(D774:S774),D774:S774,0)))</f>
        <v/>
      </c>
      <c r="Y774" s="8" t="n">
        <v>889</v>
      </c>
      <c r="Z774" s="10" t="n">
        <v>1</v>
      </c>
    </row>
    <row r="775">
      <c r="A775" s="7" t="inlineStr">
        <is>
          <t>MAT-10-164</t>
        </is>
      </c>
      <c r="B775" s="4" t="inlineStr">
        <is>
          <t>Tubo LED de 30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3000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>
        <f>IF(COUNT(D775:S775)=0,"",MIN(D775:S775))</f>
        <v/>
      </c>
      <c r="U775" s="8">
        <f>IF(COUNT(D775:S775)=0,"",MEDIAN(D775:S775))</f>
        <v/>
      </c>
      <c r="V775" s="8">
        <f>IF(COUNT(D775:S775)=0,"",MAX(D775:S775))</f>
        <v/>
      </c>
      <c r="W775" s="9">
        <f>IF(OR(T775="",T775=0),"",(V775-T775)/T775)</f>
        <v/>
      </c>
      <c r="X775" s="7">
        <f>IF(COUNT(D775:S775)=0,"",INDEX($D$1:$S$1,MATCH(MIN(D775:S775),D775:S775,0)))</f>
        <v/>
      </c>
      <c r="Y775" s="8" t="n">
        <v>3000</v>
      </c>
      <c r="Z775" s="10" t="n">
        <v>1</v>
      </c>
    </row>
    <row r="776">
      <c r="A776" s="7" t="inlineStr">
        <is>
          <t>MAT-10-165</t>
        </is>
      </c>
      <c r="B776" s="4" t="inlineStr">
        <is>
          <t>Tubo LED de 36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875</v>
      </c>
      <c r="J776" s="8" t="n">
        <v>650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>
        <f>IF(COUNT(D776:S776)=0,"",MIN(D776:S776))</f>
        <v/>
      </c>
      <c r="U776" s="8">
        <f>IF(COUNT(D776:S776)=0,"",MEDIAN(D776:S776))</f>
        <v/>
      </c>
      <c r="V776" s="8">
        <f>IF(COUNT(D776:S776)=0,"",MAX(D776:S776))</f>
        <v/>
      </c>
      <c r="W776" s="9">
        <f>IF(OR(T776="",T776=0),"",(V776-T776)/T776)</f>
        <v/>
      </c>
      <c r="X776" s="7">
        <f>IF(COUNT(D776:S776)=0,"",INDEX($D$1:$S$1,MATCH(MIN(D776:S776),D776:S776,0)))</f>
        <v/>
      </c>
      <c r="Y776" s="8" t="n">
        <v>875</v>
      </c>
      <c r="Z776" s="10" t="n">
        <v>2</v>
      </c>
    </row>
    <row r="777">
      <c r="A777" s="7" t="inlineStr">
        <is>
          <t>MAT-10-166</t>
        </is>
      </c>
      <c r="B777" s="4" t="inlineStr">
        <is>
          <t>Tubo LED de 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505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>
        <f>IF(COUNT(D777:S777)=0,"",MIN(D777:S777))</f>
        <v/>
      </c>
      <c r="U777" s="8">
        <f>IF(COUNT(D777:S777)=0,"",MEDIAN(D777:S777))</f>
        <v/>
      </c>
      <c r="V777" s="8">
        <f>IF(COUNT(D777:S777)=0,"",MAX(D777:S777))</f>
        <v/>
      </c>
      <c r="W777" s="9">
        <f>IF(OR(T777="",T777=0),"",(V777-T777)/T777)</f>
        <v/>
      </c>
      <c r="X777" s="7">
        <f>IF(COUNT(D777:S777)=0,"",INDEX($D$1:$S$1,MATCH(MIN(D777:S777),D777:S777,0)))</f>
        <v/>
      </c>
      <c r="Y777" s="8" t="n">
        <v>505</v>
      </c>
      <c r="Z777" s="10" t="n">
        <v>1</v>
      </c>
    </row>
    <row r="778">
      <c r="A778" s="7" t="inlineStr">
        <is>
          <t>MAT-10-167</t>
        </is>
      </c>
      <c r="B778" s="4" t="inlineStr">
        <is>
          <t>Tubo LED de 9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145</v>
      </c>
      <c r="J778" s="8" t="n">
        <v>120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>
        <f>IF(COUNT(D778:S778)=0,"",MIN(D778:S778))</f>
        <v/>
      </c>
      <c r="U778" s="8">
        <f>IF(COUNT(D778:S778)=0,"",MEDIAN(D778:S778))</f>
        <v/>
      </c>
      <c r="V778" s="8">
        <f>IF(COUNT(D778:S778)=0,"",MAX(D778:S778))</f>
        <v/>
      </c>
      <c r="W778" s="9">
        <f>IF(OR(T778="",T778=0),"",(V778-T778)/T778)</f>
        <v/>
      </c>
      <c r="X778" s="7">
        <f>IF(COUNT(D778:S778)=0,"",INDEX($D$1:$S$1,MATCH(MIN(D778:S778),D778:S778,0)))</f>
        <v/>
      </c>
      <c r="Y778" s="8" t="n">
        <v>147.5</v>
      </c>
      <c r="Z778" s="10" t="n">
        <v>2</v>
      </c>
    </row>
    <row r="779">
      <c r="A779" s="7" t="inlineStr">
        <is>
          <t>MAT-10-168</t>
        </is>
      </c>
      <c r="B779" s="4" t="inlineStr">
        <is>
          <t>Tubo LED de 9.9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210</v>
      </c>
      <c r="M779" s="8" t="n"/>
      <c r="N779" s="8" t="n"/>
      <c r="O779" s="8" t="n"/>
      <c r="P779" s="8" t="n"/>
      <c r="Q779" s="8" t="n"/>
      <c r="R779" s="8" t="n"/>
      <c r="S779" s="8" t="n"/>
      <c r="T779" s="8">
        <f>IF(COUNT(D779:S779)=0,"",MIN(D779:S779))</f>
        <v/>
      </c>
      <c r="U779" s="8">
        <f>IF(COUNT(D779:S779)=0,"",MEDIAN(D779:S779))</f>
        <v/>
      </c>
      <c r="V779" s="8">
        <f>IF(COUNT(D779:S779)=0,"",MAX(D779:S779))</f>
        <v/>
      </c>
      <c r="W779" s="9">
        <f>IF(OR(T779="",T779=0),"",(V779-T779)/T779)</f>
        <v/>
      </c>
      <c r="X779" s="7">
        <f>IF(COUNT(D779:S779)=0,"",INDEX($D$1:$S$1,MATCH(MIN(D779:S779),D779:S779,0)))</f>
        <v/>
      </c>
      <c r="Y779" s="8" t="n">
        <v>210</v>
      </c>
      <c r="Z779" s="10" t="n">
        <v>1</v>
      </c>
    </row>
    <row r="780">
      <c r="A780" s="7" t="inlineStr">
        <is>
          <t>MAT-10-169</t>
        </is>
      </c>
      <c r="B780" s="4" t="inlineStr">
        <is>
          <t>Fotocelda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150</v>
      </c>
      <c r="M780" s="8" t="n"/>
      <c r="N780" s="8" t="n"/>
      <c r="O780" s="8" t="n"/>
      <c r="P780" s="8" t="n"/>
      <c r="Q780" s="8" t="n"/>
      <c r="R780" s="8" t="n"/>
      <c r="S780" s="8" t="n"/>
      <c r="T780" s="8">
        <f>IF(COUNT(D780:S780)=0,"",MIN(D780:S780))</f>
        <v/>
      </c>
      <c r="U780" s="8">
        <f>IF(COUNT(D780:S780)=0,"",MEDIAN(D780:S780))</f>
        <v/>
      </c>
      <c r="V780" s="8">
        <f>IF(COUNT(D780:S780)=0,"",MAX(D780:S780))</f>
        <v/>
      </c>
      <c r="W780" s="9">
        <f>IF(OR(T780="",T780=0),"",(V780-T780)/T780)</f>
        <v/>
      </c>
      <c r="X780" s="7">
        <f>IF(COUNT(D780:S780)=0,"",INDEX($D$1:$S$1,MATCH(MIN(D780:S780),D780:S780,0)))</f>
        <v/>
      </c>
      <c r="Y780" s="8" t="n">
        <v>235</v>
      </c>
      <c r="Z780" s="10" t="n">
        <v>1</v>
      </c>
    </row>
    <row r="781">
      <c r="A781" s="7" t="inlineStr">
        <is>
          <t>MAT-10-170</t>
        </is>
      </c>
      <c r="B781" s="4" t="inlineStr">
        <is>
          <t>Portalámparas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>
        <v>35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>
        <f>IF(COUNT(D781:S781)=0,"",MIN(D781:S781))</f>
        <v/>
      </c>
      <c r="U781" s="8">
        <f>IF(COUNT(D781:S781)=0,"",MEDIAN(D781:S781))</f>
        <v/>
      </c>
      <c r="V781" s="8">
        <f>IF(COUNT(D781:S781)=0,"",MAX(D781:S781))</f>
        <v/>
      </c>
      <c r="W781" s="9">
        <f>IF(OR(T781="",T781=0),"",(V781-T781)/T781)</f>
        <v/>
      </c>
      <c r="X781" s="7">
        <f>IF(COUNT(D781:S781)=0,"",INDEX($D$1:$S$1,MATCH(MIN(D781:S781),D781:S781,0)))</f>
        <v/>
      </c>
      <c r="Y781" s="8" t="n">
        <v>52</v>
      </c>
      <c r="Z781" s="10" t="n">
        <v>1</v>
      </c>
    </row>
    <row r="782">
      <c r="A782" s="7" t="inlineStr">
        <is>
          <t>MAT-10-171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29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>
        <f>IF(COUNT(D782:S782)=0,"",MIN(D782:S782))</f>
        <v/>
      </c>
      <c r="U782" s="8">
        <f>IF(COUNT(D782:S782)=0,"",MEDIAN(D782:S782))</f>
        <v/>
      </c>
      <c r="V782" s="8">
        <f>IF(COUNT(D782:S782)=0,"",MAX(D782:S782))</f>
        <v/>
      </c>
      <c r="W782" s="9">
        <f>IF(OR(T782="",T782=0),"",(V782-T782)/T782)</f>
        <v/>
      </c>
      <c r="X782" s="7">
        <f>IF(COUNT(D782:S782)=0,"",INDEX($D$1:$S$1,MATCH(MIN(D782:S782),D782:S782,0)))</f>
        <v/>
      </c>
      <c r="Y782" s="8" t="n">
        <v>45</v>
      </c>
      <c r="Z782" s="10" t="n">
        <v>1</v>
      </c>
    </row>
    <row r="783">
      <c r="A783" s="7" t="inlineStr">
        <is>
          <t>MAT-10-172</t>
        </is>
      </c>
      <c r="B783" s="4" t="inlineStr">
        <is>
          <t>Roseta de techo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115</v>
      </c>
      <c r="M783" s="8" t="n"/>
      <c r="N783" s="8" t="n"/>
      <c r="O783" s="8" t="n"/>
      <c r="P783" s="8" t="n"/>
      <c r="Q783" s="8" t="n"/>
      <c r="R783" s="8" t="n"/>
      <c r="S783" s="8" t="n"/>
      <c r="T783" s="8">
        <f>IF(COUNT(D783:S783)=0,"",MIN(D783:S783))</f>
        <v/>
      </c>
      <c r="U783" s="8">
        <f>IF(COUNT(D783:S783)=0,"",MEDIAN(D783:S783))</f>
        <v/>
      </c>
      <c r="V783" s="8">
        <f>IF(COUNT(D783:S783)=0,"",MAX(D783:S783))</f>
        <v/>
      </c>
      <c r="W783" s="9">
        <f>IF(OR(T783="",T783=0),"",(V783-T783)/T783)</f>
        <v/>
      </c>
      <c r="X783" s="7">
        <f>IF(COUNT(D783:S783)=0,"",INDEX($D$1:$S$1,MATCH(MIN(D783:S783),D783:S783,0)))</f>
        <v/>
      </c>
      <c r="Y783" s="8" t="n">
        <v>115</v>
      </c>
      <c r="Z783" s="10" t="n">
        <v>1</v>
      </c>
    </row>
    <row r="784">
      <c r="A784" s="7" t="inlineStr">
        <is>
          <t>MAT-10-174</t>
        </is>
      </c>
      <c r="B784" s="4" t="inlineStr">
        <is>
          <t>Ojo de buey fijo de 10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1000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>
        <f>IF(COUNT(D784:S784)=0,"",MIN(D784:S784))</f>
        <v/>
      </c>
      <c r="U784" s="8">
        <f>IF(COUNT(D784:S784)=0,"",MEDIAN(D784:S784))</f>
        <v/>
      </c>
      <c r="V784" s="8">
        <f>IF(COUNT(D784:S784)=0,"",MAX(D784:S784))</f>
        <v/>
      </c>
      <c r="W784" s="9">
        <f>IF(OR(T784="",T784=0),"",(V784-T784)/T784)</f>
        <v/>
      </c>
      <c r="X784" s="7">
        <f>IF(COUNT(D784:S784)=0,"",INDEX($D$1:$S$1,MATCH(MIN(D784:S784),D784:S784,0)))</f>
        <v/>
      </c>
      <c r="Y784" s="8" t="n">
        <v>1000</v>
      </c>
      <c r="Z784" s="10" t="n">
        <v>1</v>
      </c>
    </row>
    <row r="785">
      <c r="A785" s="7" t="inlineStr">
        <is>
          <t>MAT-10-175</t>
        </is>
      </c>
      <c r="B785" s="4" t="inlineStr">
        <is>
          <t>Ojo de buey fijo de 20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1800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>
        <f>IF(COUNT(D785:S785)=0,"",MIN(D785:S785))</f>
        <v/>
      </c>
      <c r="U785" s="8">
        <f>IF(COUNT(D785:S785)=0,"",MEDIAN(D785:S785))</f>
        <v/>
      </c>
      <c r="V785" s="8">
        <f>IF(COUNT(D785:S785)=0,"",MAX(D785:S785))</f>
        <v/>
      </c>
      <c r="W785" s="9">
        <f>IF(OR(T785="",T785=0),"",(V785-T785)/T785)</f>
        <v/>
      </c>
      <c r="X785" s="7">
        <f>IF(COUNT(D785:S785)=0,"",INDEX($D$1:$S$1,MATCH(MIN(D785:S785),D785:S785,0)))</f>
        <v/>
      </c>
      <c r="Y785" s="8" t="n">
        <v>1800</v>
      </c>
      <c r="Z785" s="10" t="n">
        <v>1</v>
      </c>
    </row>
    <row r="786">
      <c r="A786" s="7" t="inlineStr">
        <is>
          <t>MAT-10-176</t>
        </is>
      </c>
      <c r="B786" s="4" t="inlineStr">
        <is>
          <t>Cinta LED blanca, rollo de 100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>
        <f>IF(COUNT(D786:S786)=0,"",MIN(D786:S786))</f>
        <v/>
      </c>
      <c r="U786" s="8">
        <f>IF(COUNT(D786:S786)=0,"",MEDIAN(D786:S786))</f>
        <v/>
      </c>
      <c r="V786" s="8">
        <f>IF(COUNT(D786:S786)=0,"",MAX(D786:S786))</f>
        <v/>
      </c>
      <c r="W786" s="9">
        <f>IF(OR(T786="",T786=0),"",(V786-T786)/T786)</f>
        <v/>
      </c>
      <c r="X786" s="7">
        <f>IF(COUNT(D786:S786)=0,"",INDEX($D$1:$S$1,MATCH(MIN(D786:S786),D786:S786,0)))</f>
        <v/>
      </c>
      <c r="Y786" s="8" t="n">
        <v>110</v>
      </c>
      <c r="Z786" s="10" t="n">
        <v>1</v>
      </c>
    </row>
    <row r="787">
      <c r="A787" s="7" t="inlineStr">
        <is>
          <t>MAT-10-177</t>
        </is>
      </c>
      <c r="B787" s="4" t="inlineStr">
        <is>
          <t>Cinta LED blanca, rollo de 5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900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>
        <f>IF(COUNT(D787:S787)=0,"",MIN(D787:S787))</f>
        <v/>
      </c>
      <c r="U787" s="8">
        <f>IF(COUNT(D787:S787)=0,"",MEDIAN(D787:S787))</f>
        <v/>
      </c>
      <c r="V787" s="8">
        <f>IF(COUNT(D787:S787)=0,"",MAX(D787:S787))</f>
        <v/>
      </c>
      <c r="W787" s="9">
        <f>IF(OR(T787="",T787=0),"",(V787-T787)/T787)</f>
        <v/>
      </c>
      <c r="X787" s="7">
        <f>IF(COUNT(D787:S787)=0,"",INDEX($D$1:$S$1,MATCH(MIN(D787:S787),D787:S787,0)))</f>
        <v/>
      </c>
      <c r="Y787" s="8" t="n">
        <v>900</v>
      </c>
      <c r="Z787" s="10" t="n">
        <v>1</v>
      </c>
    </row>
    <row r="788">
      <c r="A788" s="7" t="inlineStr">
        <is>
          <t>MAT-10-178</t>
        </is>
      </c>
      <c r="B788" s="4" t="inlineStr">
        <is>
          <t>Cinta LED neón, rollo de 100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110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>
        <f>IF(COUNT(D788:S788)=0,"",MIN(D788:S788))</f>
        <v/>
      </c>
      <c r="U788" s="8">
        <f>IF(COUNT(D788:S788)=0,"",MEDIAN(D788:S788))</f>
        <v/>
      </c>
      <c r="V788" s="8">
        <f>IF(COUNT(D788:S788)=0,"",MAX(D788:S788))</f>
        <v/>
      </c>
      <c r="W788" s="9">
        <f>IF(OR(T788="",T788=0),"",(V788-T788)/T788)</f>
        <v/>
      </c>
      <c r="X788" s="7">
        <f>IF(COUNT(D788:S788)=0,"",INDEX($D$1:$S$1,MATCH(MIN(D788:S788),D788:S788,0)))</f>
        <v/>
      </c>
      <c r="Y788" s="8" t="n">
        <v>142.5</v>
      </c>
      <c r="Z788" s="10" t="n">
        <v>1</v>
      </c>
    </row>
    <row r="789">
      <c r="A789" s="7" t="inlineStr">
        <is>
          <t>MAT-10-179</t>
        </is>
      </c>
      <c r="B789" s="4" t="inlineStr">
        <is>
          <t>Cinta LED neón, rollo de 5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1151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>
        <f>IF(COUNT(D789:S789)=0,"",MIN(D789:S789))</f>
        <v/>
      </c>
      <c r="U789" s="8">
        <f>IF(COUNT(D789:S789)=0,"",MEDIAN(D789:S789))</f>
        <v/>
      </c>
      <c r="V789" s="8">
        <f>IF(COUNT(D789:S789)=0,"",MAX(D789:S789))</f>
        <v/>
      </c>
      <c r="W789" s="9">
        <f>IF(OR(T789="",T789=0),"",(V789-T789)/T789)</f>
        <v/>
      </c>
      <c r="X789" s="7">
        <f>IF(COUNT(D789:S789)=0,"",INDEX($D$1:$S$1,MATCH(MIN(D789:S789),D789:S789,0)))</f>
        <v/>
      </c>
      <c r="Y789" s="8" t="n">
        <v>1175.5</v>
      </c>
      <c r="Z789" s="10" t="n">
        <v>1</v>
      </c>
    </row>
    <row r="790">
      <c r="A790" s="7" t="inlineStr">
        <is>
          <t>MAT-10-180</t>
        </is>
      </c>
      <c r="B790" s="4" t="inlineStr">
        <is>
          <t>Perfil de aluminio para cinta LED, esquinero, 2.5 m</t>
        </is>
      </c>
      <c r="C790" s="7" t="inlineStr">
        <is>
          <t>tramo</t>
        </is>
      </c>
      <c r="D790" s="8" t="n"/>
      <c r="E790" s="8" t="n"/>
      <c r="F790" s="8" t="n"/>
      <c r="G790" s="8" t="n"/>
      <c r="H790" s="8" t="n"/>
      <c r="I790" s="8" t="n"/>
      <c r="J790" s="8" t="n">
        <v>1500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>
        <f>IF(COUNT(D790:S790)=0,"",MIN(D790:S790))</f>
        <v/>
      </c>
      <c r="U790" s="8">
        <f>IF(COUNT(D790:S790)=0,"",MEDIAN(D790:S790))</f>
        <v/>
      </c>
      <c r="V790" s="8">
        <f>IF(COUNT(D790:S790)=0,"",MAX(D790:S790))</f>
        <v/>
      </c>
      <c r="W790" s="9">
        <f>IF(OR(T790="",T790=0),"",(V790-T790)/T790)</f>
        <v/>
      </c>
      <c r="X790" s="7">
        <f>IF(COUNT(D790:S790)=0,"",INDEX($D$1:$S$1,MATCH(MIN(D790:S790),D790:S790,0)))</f>
        <v/>
      </c>
      <c r="Y790" s="8" t="n">
        <v>1500</v>
      </c>
      <c r="Z790" s="10" t="n">
        <v>1</v>
      </c>
    </row>
    <row r="791">
      <c r="A791" s="7" t="inlineStr">
        <is>
          <t>MAT-10-182</t>
        </is>
      </c>
      <c r="B791" s="4" t="inlineStr">
        <is>
          <t>Fuente de poder para LED de 100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1000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>
        <f>IF(COUNT(D791:S791)=0,"",MIN(D791:S791))</f>
        <v/>
      </c>
      <c r="U791" s="8">
        <f>IF(COUNT(D791:S791)=0,"",MEDIAN(D791:S791))</f>
        <v/>
      </c>
      <c r="V791" s="8">
        <f>IF(COUNT(D791:S791)=0,"",MAX(D791:S791))</f>
        <v/>
      </c>
      <c r="W791" s="9">
        <f>IF(OR(T791="",T791=0),"",(V791-T791)/T791)</f>
        <v/>
      </c>
      <c r="X791" s="7">
        <f>IF(COUNT(D791:S791)=0,"",INDEX($D$1:$S$1,MATCH(MIN(D791:S791),D791:S791,0)))</f>
        <v/>
      </c>
      <c r="Y791" s="8" t="n">
        <v>1365</v>
      </c>
      <c r="Z791" s="10" t="n">
        <v>1</v>
      </c>
    </row>
    <row r="792">
      <c r="A792" s="7" t="inlineStr">
        <is>
          <t>MAT-10-183</t>
        </is>
      </c>
      <c r="B792" s="4" t="inlineStr">
        <is>
          <t>Fuente de poder para LED de 150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1263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>
        <f>IF(COUNT(D792:S792)=0,"",MIN(D792:S792))</f>
        <v/>
      </c>
      <c r="U792" s="8">
        <f>IF(COUNT(D792:S792)=0,"",MEDIAN(D792:S792))</f>
        <v/>
      </c>
      <c r="V792" s="8">
        <f>IF(COUNT(D792:S792)=0,"",MAX(D792:S792))</f>
        <v/>
      </c>
      <c r="W792" s="9">
        <f>IF(OR(T792="",T792=0),"",(V792-T792)/T792)</f>
        <v/>
      </c>
      <c r="X792" s="7">
        <f>IF(COUNT(D792:S792)=0,"",INDEX($D$1:$S$1,MATCH(MIN(D792:S792),D792:S792,0)))</f>
        <v/>
      </c>
      <c r="Y792" s="8" t="n">
        <v>1551.5</v>
      </c>
      <c r="Z792" s="10" t="n">
        <v>1</v>
      </c>
    </row>
    <row r="793">
      <c r="A793" s="7" t="inlineStr">
        <is>
          <t>MAT-10-184</t>
        </is>
      </c>
      <c r="B793" s="4" t="inlineStr">
        <is>
          <t>Fuente de poder para LED de 200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1723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>
        <f>IF(COUNT(D793:S793)=0,"",MIN(D793:S793))</f>
        <v/>
      </c>
      <c r="U793" s="8">
        <f>IF(COUNT(D793:S793)=0,"",MEDIAN(D793:S793))</f>
        <v/>
      </c>
      <c r="V793" s="8">
        <f>IF(COUNT(D793:S793)=0,"",MAX(D793:S793))</f>
        <v/>
      </c>
      <c r="W793" s="9">
        <f>IF(OR(T793="",T793=0),"",(V793-T793)/T793)</f>
        <v/>
      </c>
      <c r="X793" s="7">
        <f>IF(COUNT(D793:S793)=0,"",INDEX($D$1:$S$1,MATCH(MIN(D793:S793),D793:S793,0)))</f>
        <v/>
      </c>
      <c r="Y793" s="8" t="n">
        <v>2006</v>
      </c>
      <c r="Z793" s="10" t="n">
        <v>1</v>
      </c>
    </row>
    <row r="794">
      <c r="A794" s="7" t="inlineStr">
        <is>
          <t>MAT-10-185</t>
        </is>
      </c>
      <c r="B794" s="4" t="inlineStr">
        <is>
          <t>Fuente de poder para LED de 250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2006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>
        <f>IF(COUNT(D794:S794)=0,"",MIN(D794:S794))</f>
        <v/>
      </c>
      <c r="U794" s="8">
        <f>IF(COUNT(D794:S794)=0,"",MEDIAN(D794:S794))</f>
        <v/>
      </c>
      <c r="V794" s="8">
        <f>IF(COUNT(D794:S794)=0,"",MAX(D794:S794))</f>
        <v/>
      </c>
      <c r="W794" s="9">
        <f>IF(OR(T794="",T794=0),"",(V794-T794)/T794)</f>
        <v/>
      </c>
      <c r="X794" s="7">
        <f>IF(COUNT(D794:S794)=0,"",INDEX($D$1:$S$1,MATCH(MIN(D794:S794),D794:S794,0)))</f>
        <v/>
      </c>
      <c r="Y794" s="8" t="n">
        <v>2006</v>
      </c>
      <c r="Z794" s="10" t="n">
        <v>1</v>
      </c>
    </row>
    <row r="795">
      <c r="A795" s="7" t="inlineStr">
        <is>
          <t>MAT-10-186</t>
        </is>
      </c>
      <c r="B795" s="4" t="inlineStr">
        <is>
          <t>Fuente de poder para LED de 300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2071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>
        <f>IF(COUNT(D795:S795)=0,"",MIN(D795:S795))</f>
        <v/>
      </c>
      <c r="U795" s="8">
        <f>IF(COUNT(D795:S795)=0,"",MEDIAN(D795:S795))</f>
        <v/>
      </c>
      <c r="V795" s="8">
        <f>IF(COUNT(D795:S795)=0,"",MAX(D795:S795))</f>
        <v/>
      </c>
      <c r="W795" s="9">
        <f>IF(OR(T795="",T795=0),"",(V795-T795)/T795)</f>
        <v/>
      </c>
      <c r="X795" s="7">
        <f>IF(COUNT(D795:S795)=0,"",INDEX($D$1:$S$1,MATCH(MIN(D795:S795),D795:S795,0)))</f>
        <v/>
      </c>
      <c r="Y795" s="8" t="n">
        <v>2071</v>
      </c>
      <c r="Z795" s="10" t="n">
        <v>1</v>
      </c>
    </row>
    <row r="796">
      <c r="A796" s="7" t="inlineStr">
        <is>
          <t>MAT-10-187</t>
        </is>
      </c>
      <c r="B796" s="4" t="inlineStr">
        <is>
          <t>Fuente de poder para LED de 400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2431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>
        <f>IF(COUNT(D796:S796)=0,"",MIN(D796:S796))</f>
        <v/>
      </c>
      <c r="U796" s="8">
        <f>IF(COUNT(D796:S796)=0,"",MEDIAN(D796:S796))</f>
        <v/>
      </c>
      <c r="V796" s="8">
        <f>IF(COUNT(D796:S796)=0,"",MAX(D796:S796))</f>
        <v/>
      </c>
      <c r="W796" s="9">
        <f>IF(OR(T796="",T796=0),"",(V796-T796)/T796)</f>
        <v/>
      </c>
      <c r="X796" s="7">
        <f>IF(COUNT(D796:S796)=0,"",INDEX($D$1:$S$1,MATCH(MIN(D796:S796),D796:S796,0)))</f>
        <v/>
      </c>
      <c r="Y796" s="8" t="n">
        <v>2431</v>
      </c>
      <c r="Z796" s="10" t="n">
        <v>1</v>
      </c>
    </row>
    <row r="797">
      <c r="A797" s="7" t="inlineStr">
        <is>
          <t>MAT-10-188</t>
        </is>
      </c>
      <c r="B797" s="4" t="inlineStr">
        <is>
          <t>Fuente de poder para LED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770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>
        <f>IF(COUNT(D797:S797)=0,"",MIN(D797:S797))</f>
        <v/>
      </c>
      <c r="U797" s="8">
        <f>IF(COUNT(D797:S797)=0,"",MEDIAN(D797:S797))</f>
        <v/>
      </c>
      <c r="V797" s="8">
        <f>IF(COUNT(D797:S797)=0,"",MAX(D797:S797))</f>
        <v/>
      </c>
      <c r="W797" s="9">
        <f>IF(OR(T797="",T797=0),"",(V797-T797)/T797)</f>
        <v/>
      </c>
      <c r="X797" s="7">
        <f>IF(COUNT(D797:S797)=0,"",INDEX($D$1:$S$1,MATCH(MIN(D797:S797),D797:S797,0)))</f>
        <v/>
      </c>
      <c r="Y797" s="8" t="n">
        <v>770</v>
      </c>
      <c r="Z797" s="10" t="n">
        <v>1</v>
      </c>
    </row>
    <row r="798">
      <c r="A798" s="7" t="inlineStr">
        <is>
          <t>MAT-10-189</t>
        </is>
      </c>
      <c r="B798" s="4" t="inlineStr">
        <is>
          <t>Campana LED industrial de 100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1500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>
        <f>IF(COUNT(D798:S798)=0,"",MIN(D798:S798))</f>
        <v/>
      </c>
      <c r="U798" s="8">
        <f>IF(COUNT(D798:S798)=0,"",MEDIAN(D798:S798))</f>
        <v/>
      </c>
      <c r="V798" s="8">
        <f>IF(COUNT(D798:S798)=0,"",MAX(D798:S798))</f>
        <v/>
      </c>
      <c r="W798" s="9">
        <f>IF(OR(T798="",T798=0),"",(V798-T798)/T798)</f>
        <v/>
      </c>
      <c r="X798" s="7">
        <f>IF(COUNT(D798:S798)=0,"",INDEX($D$1:$S$1,MATCH(MIN(D798:S798),D798:S798,0)))</f>
        <v/>
      </c>
      <c r="Y798" s="8" t="n">
        <v>4162.5</v>
      </c>
      <c r="Z798" s="10" t="n">
        <v>1</v>
      </c>
    </row>
    <row r="799">
      <c r="A799" s="7" t="inlineStr">
        <is>
          <t>MAT-10-190</t>
        </is>
      </c>
      <c r="B799" s="4" t="inlineStr">
        <is>
          <t>Campana LED industrial de 150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5830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>
        <f>IF(COUNT(D799:S799)=0,"",MIN(D799:S799))</f>
        <v/>
      </c>
      <c r="U799" s="8">
        <f>IF(COUNT(D799:S799)=0,"",MEDIAN(D799:S799))</f>
        <v/>
      </c>
      <c r="V799" s="8">
        <f>IF(COUNT(D799:S799)=0,"",MAX(D799:S799))</f>
        <v/>
      </c>
      <c r="W799" s="9">
        <f>IF(OR(T799="",T799=0),"",(V799-T799)/T799)</f>
        <v/>
      </c>
      <c r="X799" s="7">
        <f>IF(COUNT(D799:S799)=0,"",INDEX($D$1:$S$1,MATCH(MIN(D799:S799),D799:S799,0)))</f>
        <v/>
      </c>
      <c r="Y799" s="8" t="n">
        <v>6365</v>
      </c>
      <c r="Z799" s="10" t="n">
        <v>1</v>
      </c>
    </row>
    <row r="800">
      <c r="A800" s="7" t="inlineStr">
        <is>
          <t>MAT-10-191</t>
        </is>
      </c>
      <c r="B800" s="4" t="inlineStr">
        <is>
          <t>Campana LED industrial de 200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2500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>
        <f>IF(COUNT(D800:S800)=0,"",MIN(D800:S800))</f>
        <v/>
      </c>
      <c r="U800" s="8">
        <f>IF(COUNT(D800:S800)=0,"",MEDIAN(D800:S800))</f>
        <v/>
      </c>
      <c r="V800" s="8">
        <f>IF(COUNT(D800:S800)=0,"",MAX(D800:S800))</f>
        <v/>
      </c>
      <c r="W800" s="9">
        <f>IF(OR(T800="",T800=0),"",(V800-T800)/T800)</f>
        <v/>
      </c>
      <c r="X800" s="7">
        <f>IF(COUNT(D800:S800)=0,"",INDEX($D$1:$S$1,MATCH(MIN(D800:S800),D800:S800,0)))</f>
        <v/>
      </c>
      <c r="Y800" s="8" t="n">
        <v>2500</v>
      </c>
      <c r="Z800" s="10" t="n">
        <v>1</v>
      </c>
    </row>
    <row r="801">
      <c r="A801" s="7" t="inlineStr">
        <is>
          <t>MAT-10-192</t>
        </is>
      </c>
      <c r="B801" s="4" t="inlineStr">
        <is>
          <t>Campana LED industrial de 50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4000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>
        <f>IF(COUNT(D801:S801)=0,"",MIN(D801:S801))</f>
        <v/>
      </c>
      <c r="U801" s="8">
        <f>IF(COUNT(D801:S801)=0,"",MEDIAN(D801:S801))</f>
        <v/>
      </c>
      <c r="V801" s="8">
        <f>IF(COUNT(D801:S801)=0,"",MAX(D801:S801))</f>
        <v/>
      </c>
      <c r="W801" s="9">
        <f>IF(OR(T801="",T801=0),"",(V801-T801)/T801)</f>
        <v/>
      </c>
      <c r="X801" s="7">
        <f>IF(COUNT(D801:S801)=0,"",INDEX($D$1:$S$1,MATCH(MIN(D801:S801),D801:S801,0)))</f>
        <v/>
      </c>
      <c r="Y801" s="8" t="n">
        <v>4045</v>
      </c>
      <c r="Z801" s="10" t="n">
        <v>1</v>
      </c>
    </row>
    <row r="802">
      <c r="A802" s="7" t="inlineStr">
        <is>
          <t>MAT-10-193</t>
        </is>
      </c>
      <c r="B802" s="4" t="inlineStr">
        <is>
          <t>Campana LED industrial de 60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4500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>
        <f>IF(COUNT(D802:S802)=0,"",MIN(D802:S802))</f>
        <v/>
      </c>
      <c r="U802" s="8">
        <f>IF(COUNT(D802:S802)=0,"",MEDIAN(D802:S802))</f>
        <v/>
      </c>
      <c r="V802" s="8">
        <f>IF(COUNT(D802:S802)=0,"",MAX(D802:S802))</f>
        <v/>
      </c>
      <c r="W802" s="9">
        <f>IF(OR(T802="",T802=0),"",(V802-T802)/T802)</f>
        <v/>
      </c>
      <c r="X802" s="7">
        <f>IF(COUNT(D802:S802)=0,"",INDEX($D$1:$S$1,MATCH(MIN(D802:S802),D802:S802,0)))</f>
        <v/>
      </c>
      <c r="Y802" s="8" t="n">
        <v>4500</v>
      </c>
      <c r="Z802" s="10" t="n">
        <v>1</v>
      </c>
    </row>
    <row r="803">
      <c r="A803" s="7" t="inlineStr">
        <is>
          <t>MAT-10-194</t>
        </is>
      </c>
      <c r="B803" s="4" t="inlineStr">
        <is>
          <t>Interruptor con tomacorriente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465</v>
      </c>
      <c r="M803" s="8" t="n"/>
      <c r="N803" s="8" t="n"/>
      <c r="O803" s="8" t="n"/>
      <c r="P803" s="8" t="n"/>
      <c r="Q803" s="8" t="n"/>
      <c r="R803" s="8" t="n"/>
      <c r="S803" s="8" t="n"/>
      <c r="T803" s="8">
        <f>IF(COUNT(D803:S803)=0,"",MIN(D803:S803))</f>
        <v/>
      </c>
      <c r="U803" s="8">
        <f>IF(COUNT(D803:S803)=0,"",MEDIAN(D803:S803))</f>
        <v/>
      </c>
      <c r="V803" s="8">
        <f>IF(COUNT(D803:S803)=0,"",MAX(D803:S803))</f>
        <v/>
      </c>
      <c r="W803" s="9">
        <f>IF(OR(T803="",T803=0),"",(V803-T803)/T803)</f>
        <v/>
      </c>
      <c r="X803" s="7">
        <f>IF(COUNT(D803:S803)=0,"",INDEX($D$1:$S$1,MATCH(MIN(D803:S803),D803:S803,0)))</f>
        <v/>
      </c>
      <c r="Y803" s="8" t="n">
        <v>500</v>
      </c>
      <c r="Z803" s="10" t="n">
        <v>1</v>
      </c>
    </row>
    <row r="804">
      <c r="A804" s="7" t="inlineStr">
        <is>
          <t>MAT-10-195</t>
        </is>
      </c>
      <c r="B804" s="4" t="inlineStr">
        <is>
          <t>Interruptor conmutador</t>
        </is>
      </c>
      <c r="C804" s="7" t="inlineStr">
        <is>
          <t>unidad</t>
        </is>
      </c>
      <c r="D804" s="8" t="n"/>
      <c r="E804" s="8" t="n">
        <v>14.74</v>
      </c>
      <c r="F804" s="8" t="n"/>
      <c r="G804" s="8" t="n"/>
      <c r="H804" s="8" t="n"/>
      <c r="I804" s="8" t="n">
        <v>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>
        <f>IF(COUNT(D804:S804)=0,"",MIN(D804:S804))</f>
        <v/>
      </c>
      <c r="U804" s="8">
        <f>IF(COUNT(D804:S804)=0,"",MEDIAN(D804:S804))</f>
        <v/>
      </c>
      <c r="V804" s="8">
        <f>IF(COUNT(D804:S804)=0,"",MAX(D804:S804))</f>
        <v/>
      </c>
      <c r="W804" s="9">
        <f>IF(OR(T804="",T804=0),"",(V804-T804)/T804)</f>
        <v/>
      </c>
      <c r="X804" s="7">
        <f>IF(COUNT(D804:S804)=0,"",INDEX($D$1:$S$1,MATCH(MIN(D804:S804),D804:S804,0)))</f>
        <v/>
      </c>
      <c r="Y804" s="8" t="n">
        <v>191.22</v>
      </c>
      <c r="Z804" s="10" t="n">
        <v>2</v>
      </c>
    </row>
    <row r="805">
      <c r="A805" s="7" t="inlineStr">
        <is>
          <t>MAT-10-196</t>
        </is>
      </c>
      <c r="B805" s="4" t="inlineStr">
        <is>
          <t>Interruptor de 3 vías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>
        <v>395</v>
      </c>
      <c r="M805" s="8" t="n"/>
      <c r="N805" s="8" t="n"/>
      <c r="O805" s="8" t="n"/>
      <c r="P805" s="8" t="n"/>
      <c r="Q805" s="8" t="n"/>
      <c r="R805" s="8" t="n"/>
      <c r="S805" s="8" t="n"/>
      <c r="T805" s="8">
        <f>IF(COUNT(D805:S805)=0,"",MIN(D805:S805))</f>
        <v/>
      </c>
      <c r="U805" s="8">
        <f>IF(COUNT(D805:S805)=0,"",MEDIAN(D805:S805))</f>
        <v/>
      </c>
      <c r="V805" s="8">
        <f>IF(COUNT(D805:S805)=0,"",MAX(D805:S805))</f>
        <v/>
      </c>
      <c r="W805" s="9">
        <f>IF(OR(T805="",T805=0),"",(V805-T805)/T805)</f>
        <v/>
      </c>
      <c r="X805" s="7">
        <f>IF(COUNT(D805:S805)=0,"",INDEX($D$1:$S$1,MATCH(MIN(D805:S805),D805:S805,0)))</f>
        <v/>
      </c>
      <c r="Y805" s="8" t="n">
        <v>542.5</v>
      </c>
      <c r="Z805" s="10" t="n">
        <v>1</v>
      </c>
    </row>
    <row r="806">
      <c r="A806" s="7" t="inlineStr">
        <is>
          <t>MAT-10-197</t>
        </is>
      </c>
      <c r="B806" s="4" t="inlineStr">
        <is>
          <t>Interruptor de 4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390</v>
      </c>
      <c r="M806" s="8" t="n"/>
      <c r="N806" s="8" t="n"/>
      <c r="O806" s="8" t="n"/>
      <c r="P806" s="8" t="n"/>
      <c r="Q806" s="8" t="n"/>
      <c r="R806" s="8" t="n"/>
      <c r="S806" s="8" t="n"/>
      <c r="T806" s="8">
        <f>IF(COUNT(D806:S806)=0,"",MIN(D806:S806))</f>
        <v/>
      </c>
      <c r="U806" s="8">
        <f>IF(COUNT(D806:S806)=0,"",MEDIAN(D806:S806))</f>
        <v/>
      </c>
      <c r="V806" s="8">
        <f>IF(COUNT(D806:S806)=0,"",MAX(D806:S806))</f>
        <v/>
      </c>
      <c r="W806" s="9">
        <f>IF(OR(T806="",T806=0),"",(V806-T806)/T806)</f>
        <v/>
      </c>
      <c r="X806" s="7">
        <f>IF(COUNT(D806:S806)=0,"",INDEX($D$1:$S$1,MATCH(MIN(D806:S806),D806:S806,0)))</f>
        <v/>
      </c>
      <c r="Y806" s="8" t="n">
        <v>467.5</v>
      </c>
      <c r="Z806" s="10" t="n">
        <v>1</v>
      </c>
    </row>
    <row r="807">
      <c r="A807" s="7" t="inlineStr">
        <is>
          <t>MAT-10-198</t>
        </is>
      </c>
      <c r="B807" s="4" t="inlineStr">
        <is>
          <t>Interruptor dimmer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960</v>
      </c>
      <c r="M807" s="8" t="n"/>
      <c r="N807" s="8" t="n"/>
      <c r="O807" s="8" t="n"/>
      <c r="P807" s="8" t="n"/>
      <c r="Q807" s="8" t="n"/>
      <c r="R807" s="8" t="n"/>
      <c r="S807" s="8" t="n"/>
      <c r="T807" s="8">
        <f>IF(COUNT(D807:S807)=0,"",MIN(D807:S807))</f>
        <v/>
      </c>
      <c r="U807" s="8">
        <f>IF(COUNT(D807:S807)=0,"",MEDIAN(D807:S807))</f>
        <v/>
      </c>
      <c r="V807" s="8">
        <f>IF(COUNT(D807:S807)=0,"",MAX(D807:S807))</f>
        <v/>
      </c>
      <c r="W807" s="9">
        <f>IF(OR(T807="",T807=0),"",(V807-T807)/T807)</f>
        <v/>
      </c>
      <c r="X807" s="7">
        <f>IF(COUNT(D807:S807)=0,"",INDEX($D$1:$S$1,MATCH(MIN(D807:S807),D807:S807,0)))</f>
        <v/>
      </c>
      <c r="Y807" s="8" t="n">
        <v>1112.5</v>
      </c>
      <c r="Z807" s="10" t="n">
        <v>1</v>
      </c>
    </row>
    <row r="808">
      <c r="A808" s="7" t="inlineStr">
        <is>
          <t>MAT-10-199</t>
        </is>
      </c>
      <c r="B808" s="4" t="inlineStr">
        <is>
          <t>Interruptor doble</t>
        </is>
      </c>
      <c r="C808" s="7" t="inlineStr">
        <is>
          <t>unidad</t>
        </is>
      </c>
      <c r="D808" s="8" t="n"/>
      <c r="E808" s="8" t="n">
        <v>86</v>
      </c>
      <c r="F808" s="8" t="n"/>
      <c r="G808" s="8" t="n"/>
      <c r="H808" s="8" t="n"/>
      <c r="I808" s="8" t="n">
        <v>45</v>
      </c>
      <c r="J808" s="8" t="n"/>
      <c r="K808" s="8" t="n"/>
      <c r="L808" s="8" t="n">
        <v>145</v>
      </c>
      <c r="M808" s="8" t="n"/>
      <c r="N808" s="8" t="n"/>
      <c r="O808" s="8" t="n"/>
      <c r="P808" s="8" t="n"/>
      <c r="Q808" s="8" t="n"/>
      <c r="R808" s="8" t="n"/>
      <c r="S808" s="8" t="n"/>
      <c r="T808" s="8">
        <f>IF(COUNT(D808:S808)=0,"",MIN(D808:S808))</f>
        <v/>
      </c>
      <c r="U808" s="8">
        <f>IF(COUNT(D808:S808)=0,"",MEDIAN(D808:S808))</f>
        <v/>
      </c>
      <c r="V808" s="8">
        <f>IF(COUNT(D808:S808)=0,"",MAX(D808:S808))</f>
        <v/>
      </c>
      <c r="W808" s="9">
        <f>IF(OR(T808="",T808=0),"",(V808-T808)/T808)</f>
        <v/>
      </c>
      <c r="X808" s="7">
        <f>IF(COUNT(D808:S808)=0,"",INDEX($D$1:$S$1,MATCH(MIN(D808:S808),D808:S808,0)))</f>
        <v/>
      </c>
      <c r="Y808" s="8" t="n">
        <v>225</v>
      </c>
      <c r="Z808" s="10" t="n">
        <v>3</v>
      </c>
    </row>
    <row r="809">
      <c r="A809" s="7" t="inlineStr">
        <is>
          <t>MAT-10-200</t>
        </is>
      </c>
      <c r="B809" s="4" t="inlineStr">
        <is>
          <t>Interruptor sencillo</t>
        </is>
      </c>
      <c r="C809" s="7" t="inlineStr">
        <is>
          <t>unidad</t>
        </is>
      </c>
      <c r="D809" s="8" t="n"/>
      <c r="E809" s="8" t="n">
        <v>49.48</v>
      </c>
      <c r="F809" s="8" t="n"/>
      <c r="G809" s="8" t="n"/>
      <c r="H809" s="8" t="n"/>
      <c r="I809" s="8" t="n">
        <v>30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>
        <f>IF(COUNT(D809:S809)=0,"",MIN(D809:S809))</f>
        <v/>
      </c>
      <c r="U809" s="8">
        <f>IF(COUNT(D809:S809)=0,"",MEDIAN(D809:S809))</f>
        <v/>
      </c>
      <c r="V809" s="8">
        <f>IF(COUNT(D809:S809)=0,"",MAX(D809:S809))</f>
        <v/>
      </c>
      <c r="W809" s="9">
        <f>IF(OR(T809="",T809=0),"",(V809-T809)/T809)</f>
        <v/>
      </c>
      <c r="X809" s="7">
        <f>IF(COUNT(D809:S809)=0,"",INDEX($D$1:$S$1,MATCH(MIN(D809:S809),D809:S809,0)))</f>
        <v/>
      </c>
      <c r="Y809" s="8" t="n">
        <v>99</v>
      </c>
      <c r="Z809" s="10" t="n">
        <v>2</v>
      </c>
    </row>
    <row r="810">
      <c r="A810" s="7" t="inlineStr">
        <is>
          <t>MAT-10-201</t>
        </is>
      </c>
      <c r="B810" s="4" t="inlineStr">
        <is>
          <t>Interruptor triple</t>
        </is>
      </c>
      <c r="C810" s="7" t="inlineStr">
        <is>
          <t>unidad</t>
        </is>
      </c>
      <c r="D810" s="8" t="n"/>
      <c r="E810" s="8" t="n">
        <v>92</v>
      </c>
      <c r="F810" s="8" t="n"/>
      <c r="G810" s="8" t="n"/>
      <c r="H810" s="8" t="n"/>
      <c r="I810" s="8" t="n">
        <v>60</v>
      </c>
      <c r="J810" s="8" t="n"/>
      <c r="K810" s="8" t="n"/>
      <c r="L810" s="8" t="n">
        <v>325</v>
      </c>
      <c r="M810" s="8" t="n"/>
      <c r="N810" s="8" t="n"/>
      <c r="O810" s="8" t="n"/>
      <c r="P810" s="8" t="n"/>
      <c r="Q810" s="8" t="n"/>
      <c r="R810" s="8" t="n"/>
      <c r="S810" s="8" t="n"/>
      <c r="T810" s="8">
        <f>IF(COUNT(D810:S810)=0,"",MIN(D810:S810))</f>
        <v/>
      </c>
      <c r="U810" s="8">
        <f>IF(COUNT(D810:S810)=0,"",MEDIAN(D810:S810))</f>
        <v/>
      </c>
      <c r="V810" s="8">
        <f>IF(COUNT(D810:S810)=0,"",MAX(D810:S810))</f>
        <v/>
      </c>
      <c r="W810" s="9">
        <f>IF(OR(T810="",T810=0),"",(V810-T810)/T810)</f>
        <v/>
      </c>
      <c r="X810" s="7">
        <f>IF(COUNT(D810:S810)=0,"",INDEX($D$1:$S$1,MATCH(MIN(D810:S810),D810:S810,0)))</f>
        <v/>
      </c>
      <c r="Y810" s="8" t="n">
        <v>235</v>
      </c>
      <c r="Z810" s="10" t="n">
        <v>3</v>
      </c>
    </row>
    <row r="811">
      <c r="A811" s="7" t="inlineStr">
        <is>
          <t>MAT-10-202</t>
        </is>
      </c>
      <c r="B811" s="4" t="inlineStr">
        <is>
          <t>Tomacorriente con USB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460</v>
      </c>
      <c r="J811" s="8" t="n"/>
      <c r="K811" s="8" t="n"/>
      <c r="L811" s="8" t="n">
        <v>1085</v>
      </c>
      <c r="M811" s="8" t="n"/>
      <c r="N811" s="8" t="n"/>
      <c r="O811" s="8" t="n"/>
      <c r="P811" s="8" t="n"/>
      <c r="Q811" s="8" t="n"/>
      <c r="R811" s="8" t="n"/>
      <c r="S811" s="8" t="n"/>
      <c r="T811" s="8">
        <f>IF(COUNT(D811:S811)=0,"",MIN(D811:S811))</f>
        <v/>
      </c>
      <c r="U811" s="8">
        <f>IF(COUNT(D811:S811)=0,"",MEDIAN(D811:S811))</f>
        <v/>
      </c>
      <c r="V811" s="8">
        <f>IF(COUNT(D811:S811)=0,"",MAX(D811:S811))</f>
        <v/>
      </c>
      <c r="W811" s="9">
        <f>IF(OR(T811="",T811=0),"",(V811-T811)/T811)</f>
        <v/>
      </c>
      <c r="X811" s="7">
        <f>IF(COUNT(D811:S811)=0,"",INDEX($D$1:$S$1,MATCH(MIN(D811:S811),D811:S811,0)))</f>
        <v/>
      </c>
      <c r="Y811" s="8" t="n">
        <v>550</v>
      </c>
      <c r="Z811" s="10" t="n">
        <v>2</v>
      </c>
    </row>
    <row r="812">
      <c r="A812" s="7" t="inlineStr">
        <is>
          <t>MAT-10-203</t>
        </is>
      </c>
      <c r="B812" s="4" t="inlineStr">
        <is>
          <t>Tomacorriente doble</t>
        </is>
      </c>
      <c r="C812" s="7" t="inlineStr">
        <is>
          <t>unidad</t>
        </is>
      </c>
      <c r="D812" s="8" t="n"/>
      <c r="E812" s="8" t="n">
        <v>75</v>
      </c>
      <c r="F812" s="8" t="n"/>
      <c r="G812" s="8" t="n"/>
      <c r="H812" s="8" t="n"/>
      <c r="I812" s="8" t="n">
        <v>34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>
        <f>IF(COUNT(D812:S812)=0,"",MIN(D812:S812))</f>
        <v/>
      </c>
      <c r="U812" s="8">
        <f>IF(COUNT(D812:S812)=0,"",MEDIAN(D812:S812))</f>
        <v/>
      </c>
      <c r="V812" s="8">
        <f>IF(COUNT(D812:S812)=0,"",MAX(D812:S812))</f>
        <v/>
      </c>
      <c r="W812" s="9">
        <f>IF(OR(T812="",T812=0),"",(V812-T812)/T812)</f>
        <v/>
      </c>
      <c r="X812" s="7">
        <f>IF(COUNT(D812:S812)=0,"",INDEX($D$1:$S$1,MATCH(MIN(D812:S812),D812:S812,0)))</f>
        <v/>
      </c>
      <c r="Y812" s="8" t="n">
        <v>197</v>
      </c>
      <c r="Z812" s="10" t="n">
        <v>2</v>
      </c>
    </row>
    <row r="813">
      <c r="A813" s="7" t="inlineStr">
        <is>
          <t>MAT-10-204</t>
        </is>
      </c>
      <c r="B813" s="4" t="inlineStr">
        <is>
          <t>Tomacorriente gfci</t>
        </is>
      </c>
      <c r="C813" s="7" t="inlineStr">
        <is>
          <t>unidad</t>
        </is>
      </c>
      <c r="D813" s="8" t="n"/>
      <c r="E813" s="8" t="n">
        <v>1467.04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>
        <f>IF(COUNT(D813:S813)=0,"",MIN(D813:S813))</f>
        <v/>
      </c>
      <c r="U813" s="8">
        <f>IF(COUNT(D813:S813)=0,"",MEDIAN(D813:S813))</f>
        <v/>
      </c>
      <c r="V813" s="8">
        <f>IF(COUNT(D813:S813)=0,"",MAX(D813:S813))</f>
        <v/>
      </c>
      <c r="W813" s="9">
        <f>IF(OR(T813="",T813=0),"",(V813-T813)/T813)</f>
        <v/>
      </c>
      <c r="X813" s="7">
        <f>IF(COUNT(D813:S813)=0,"",INDEX($D$1:$S$1,MATCH(MIN(D813:S813),D813:S813,0)))</f>
        <v/>
      </c>
      <c r="Y813" s="8" t="n">
        <v>2121.5</v>
      </c>
      <c r="Z813" s="10" t="n">
        <v>1</v>
      </c>
    </row>
    <row r="814">
      <c r="A814" s="7" t="inlineStr">
        <is>
          <t>MAT-10-205</t>
        </is>
      </c>
      <c r="B814" s="4" t="inlineStr">
        <is>
          <t>Tomacorriente sencillo</t>
        </is>
      </c>
      <c r="C814" s="7" t="inlineStr">
        <is>
          <t>unidad</t>
        </is>
      </c>
      <c r="D814" s="8" t="n"/>
      <c r="E814" s="8" t="n">
        <v>210.98</v>
      </c>
      <c r="F814" s="8" t="n"/>
      <c r="G814" s="8" t="n"/>
      <c r="H814" s="8" t="n"/>
      <c r="I814" s="8" t="n">
        <v>39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>
        <f>IF(COUNT(D814:S814)=0,"",MIN(D814:S814))</f>
        <v/>
      </c>
      <c r="U814" s="8">
        <f>IF(COUNT(D814:S814)=0,"",MEDIAN(D814:S814))</f>
        <v/>
      </c>
      <c r="V814" s="8">
        <f>IF(COUNT(D814:S814)=0,"",MAX(D814:S814))</f>
        <v/>
      </c>
      <c r="W814" s="9">
        <f>IF(OR(T814="",T814=0),"",(V814-T814)/T814)</f>
        <v/>
      </c>
      <c r="X814" s="7">
        <f>IF(COUNT(D814:S814)=0,"",INDEX($D$1:$S$1,MATCH(MIN(D814:S814),D814:S814,0)))</f>
        <v/>
      </c>
      <c r="Y814" s="8" t="n">
        <v>70</v>
      </c>
      <c r="Z814" s="10" t="n">
        <v>2</v>
      </c>
    </row>
    <row r="815">
      <c r="A815" s="7" t="inlineStr">
        <is>
          <t>MAT-10-206</t>
        </is>
      </c>
      <c r="B815" s="4" t="inlineStr">
        <is>
          <t>ciega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11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>
        <f>IF(COUNT(D815:S815)=0,"",MIN(D815:S815))</f>
        <v/>
      </c>
      <c r="U815" s="8">
        <f>IF(COUNT(D815:S815)=0,"",MEDIAN(D815:S815))</f>
        <v/>
      </c>
      <c r="V815" s="8">
        <f>IF(COUNT(D815:S815)=0,"",MAX(D815:S815))</f>
        <v/>
      </c>
      <c r="W815" s="9">
        <f>IF(OR(T815="",T815=0),"",(V815-T815)/T815)</f>
        <v/>
      </c>
      <c r="X815" s="7">
        <f>IF(COUNT(D815:S815)=0,"",INDEX($D$1:$S$1,MATCH(MIN(D815:S815),D815:S815,0)))</f>
        <v/>
      </c>
      <c r="Y815" s="8" t="n">
        <v>49</v>
      </c>
      <c r="Z815" s="10" t="n">
        <v>1</v>
      </c>
    </row>
    <row r="816">
      <c r="A816" s="7" t="inlineStr">
        <is>
          <t>MAT-10-207</t>
        </is>
      </c>
      <c r="B816" s="4" t="inlineStr">
        <is>
          <t>doble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>
        <f>IF(COUNT(D816:S816)=0,"",MIN(D816:S816))</f>
        <v/>
      </c>
      <c r="U816" s="8">
        <f>IF(COUNT(D816:S816)=0,"",MEDIAN(D816:S816))</f>
        <v/>
      </c>
      <c r="V816" s="8">
        <f>IF(COUNT(D816:S816)=0,"",MAX(D816:S816))</f>
        <v/>
      </c>
      <c r="W816" s="9">
        <f>IF(OR(T816="",T816=0),"",(V816-T816)/T816)</f>
        <v/>
      </c>
      <c r="X816" s="7">
        <f>IF(COUNT(D816:S816)=0,"",INDEX($D$1:$S$1,MATCH(MIN(D816:S816),D816:S816,0)))</f>
        <v/>
      </c>
      <c r="Y816" s="8" t="n">
        <v>132.5</v>
      </c>
      <c r="Z816" s="10" t="n">
        <v>1</v>
      </c>
    </row>
    <row r="817">
      <c r="A817" s="7" t="inlineStr">
        <is>
          <t>MAT-10-208</t>
        </is>
      </c>
      <c r="B817" s="4" t="inlineStr">
        <is>
          <t>Placa de 3 módulos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85</v>
      </c>
      <c r="M817" s="8" t="n"/>
      <c r="N817" s="8" t="n"/>
      <c r="O817" s="8" t="n"/>
      <c r="P817" s="8" t="n"/>
      <c r="Q817" s="8" t="n"/>
      <c r="R817" s="8" t="n"/>
      <c r="S817" s="8" t="n"/>
      <c r="T817" s="8">
        <f>IF(COUNT(D817:S817)=0,"",MIN(D817:S817))</f>
        <v/>
      </c>
      <c r="U817" s="8">
        <f>IF(COUNT(D817:S817)=0,"",MEDIAN(D817:S817))</f>
        <v/>
      </c>
      <c r="V817" s="8">
        <f>IF(COUNT(D817:S817)=0,"",MAX(D817:S817))</f>
        <v/>
      </c>
      <c r="W817" s="9">
        <f>IF(OR(T817="",T817=0),"",(V817-T817)/T817)</f>
        <v/>
      </c>
      <c r="X817" s="7">
        <f>IF(COUNT(D817:S817)=0,"",INDEX($D$1:$S$1,MATCH(MIN(D817:S817),D817:S817,0)))</f>
        <v/>
      </c>
      <c r="Y817" s="8" t="n">
        <v>85</v>
      </c>
      <c r="Z817" s="10" t="n">
        <v>1</v>
      </c>
    </row>
    <row r="818">
      <c r="A818" s="7" t="inlineStr">
        <is>
          <t>MAT-10-209</t>
        </is>
      </c>
      <c r="B818" s="4" t="inlineStr">
        <is>
          <t>Placa de 7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1620</v>
      </c>
      <c r="M818" s="8" t="n"/>
      <c r="N818" s="8" t="n"/>
      <c r="O818" s="8" t="n"/>
      <c r="P818" s="8" t="n"/>
      <c r="Q818" s="8" t="n"/>
      <c r="R818" s="8" t="n"/>
      <c r="S818" s="8" t="n"/>
      <c r="T818" s="8">
        <f>IF(COUNT(D818:S818)=0,"",MIN(D818:S818))</f>
        <v/>
      </c>
      <c r="U818" s="8">
        <f>IF(COUNT(D818:S818)=0,"",MEDIAN(D818:S818))</f>
        <v/>
      </c>
      <c r="V818" s="8">
        <f>IF(COUNT(D818:S818)=0,"",MAX(D818:S818))</f>
        <v/>
      </c>
      <c r="W818" s="9">
        <f>IF(OR(T818="",T818=0),"",(V818-T818)/T818)</f>
        <v/>
      </c>
      <c r="X818" s="7">
        <f>IF(COUNT(D818:S818)=0,"",INDEX($D$1:$S$1,MATCH(MIN(D818:S818),D818:S818,0)))</f>
        <v/>
      </c>
      <c r="Y818" s="8" t="n">
        <v>1620</v>
      </c>
      <c r="Z818" s="10" t="n">
        <v>1</v>
      </c>
    </row>
    <row r="819">
      <c r="A819" s="7" t="inlineStr">
        <is>
          <t>MAT-10-210</t>
        </is>
      </c>
      <c r="B819" s="4" t="inlineStr">
        <is>
          <t>Placa de pared de 2 huecos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9.99</v>
      </c>
      <c r="M819" s="8" t="n"/>
      <c r="N819" s="8" t="n"/>
      <c r="O819" s="8" t="n"/>
      <c r="P819" s="8" t="n"/>
      <c r="Q819" s="8" t="n"/>
      <c r="R819" s="8" t="n"/>
      <c r="S819" s="8" t="n"/>
      <c r="T819" s="8">
        <f>IF(COUNT(D819:S819)=0,"",MIN(D819:S819))</f>
        <v/>
      </c>
      <c r="U819" s="8">
        <f>IF(COUNT(D819:S819)=0,"",MEDIAN(D819:S819))</f>
        <v/>
      </c>
      <c r="V819" s="8">
        <f>IF(COUNT(D819:S819)=0,"",MAX(D819:S819))</f>
        <v/>
      </c>
      <c r="W819" s="9">
        <f>IF(OR(T819="",T819=0),"",(V819-T819)/T819)</f>
        <v/>
      </c>
      <c r="X819" s="7">
        <f>IF(COUNT(D819:S819)=0,"",INDEX($D$1:$S$1,MATCH(MIN(D819:S819),D819:S819,0)))</f>
        <v/>
      </c>
      <c r="Y819" s="8" t="n">
        <v>9.99</v>
      </c>
      <c r="Z819" s="10" t="n">
        <v>1</v>
      </c>
    </row>
    <row r="820">
      <c r="A820" s="7" t="inlineStr">
        <is>
          <t>MAT-10-211</t>
        </is>
      </c>
      <c r="B820" s="4" t="inlineStr">
        <is>
          <t>sencilla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45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>
        <f>IF(COUNT(D820:S820)=0,"",MIN(D820:S820))</f>
        <v/>
      </c>
      <c r="U820" s="8">
        <f>IF(COUNT(D820:S820)=0,"",MEDIAN(D820:S820))</f>
        <v/>
      </c>
      <c r="V820" s="8">
        <f>IF(COUNT(D820:S820)=0,"",MAX(D820:S820))</f>
        <v/>
      </c>
      <c r="W820" s="9">
        <f>IF(OR(T820="",T820=0),"",(V820-T820)/T820)</f>
        <v/>
      </c>
      <c r="X820" s="7">
        <f>IF(COUNT(D820:S820)=0,"",INDEX($D$1:$S$1,MATCH(MIN(D820:S820),D820:S820,0)))</f>
        <v/>
      </c>
      <c r="Y820" s="8" t="n">
        <v>49</v>
      </c>
      <c r="Z820" s="10" t="n">
        <v>1</v>
      </c>
    </row>
    <row r="821">
      <c r="A821" s="7" t="inlineStr">
        <is>
          <t>MAT-10-212</t>
        </is>
      </c>
      <c r="B821" s="4" t="inlineStr">
        <is>
          <t>Tapa 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115</v>
      </c>
      <c r="M821" s="8" t="n"/>
      <c r="N821" s="8" t="n"/>
      <c r="O821" s="8" t="n"/>
      <c r="P821" s="8" t="n"/>
      <c r="Q821" s="8" t="n"/>
      <c r="R821" s="8" t="n"/>
      <c r="S821" s="8" t="n"/>
      <c r="T821" s="8">
        <f>IF(COUNT(D821:S821)=0,"",MIN(D821:S821))</f>
        <v/>
      </c>
      <c r="U821" s="8">
        <f>IF(COUNT(D821:S821)=0,"",MEDIAN(D821:S821))</f>
        <v/>
      </c>
      <c r="V821" s="8">
        <f>IF(COUNT(D821:S821)=0,"",MAX(D821:S821))</f>
        <v/>
      </c>
      <c r="W821" s="9">
        <f>IF(OR(T821="",T821=0),"",(V821-T821)/T821)</f>
        <v/>
      </c>
      <c r="X821" s="7">
        <f>IF(COUNT(D821:S821)=0,"",INDEX($D$1:$S$1,MATCH(MIN(D821:S821),D821:S821,0)))</f>
        <v/>
      </c>
      <c r="Y821" s="8" t="n">
        <v>200</v>
      </c>
      <c r="Z821" s="10" t="n">
        <v>1</v>
      </c>
    </row>
    <row r="822">
      <c r="A822" s="7" t="inlineStr">
        <is>
          <t>MAT-10-213</t>
        </is>
      </c>
      <c r="B822" s="4" t="inlineStr">
        <is>
          <t>Tapa para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25</v>
      </c>
      <c r="M822" s="8" t="n"/>
      <c r="N822" s="8" t="n"/>
      <c r="O822" s="8" t="n"/>
      <c r="P822" s="8" t="n"/>
      <c r="Q822" s="8" t="n"/>
      <c r="R822" s="8" t="n"/>
      <c r="S822" s="8" t="n"/>
      <c r="T822" s="8">
        <f>IF(COUNT(D822:S822)=0,"",MIN(D822:S822))</f>
        <v/>
      </c>
      <c r="U822" s="8">
        <f>IF(COUNT(D822:S822)=0,"",MEDIAN(D822:S822))</f>
        <v/>
      </c>
      <c r="V822" s="8">
        <f>IF(COUNT(D822:S822)=0,"",MAX(D822:S822))</f>
        <v/>
      </c>
      <c r="W822" s="9">
        <f>IF(OR(T822="",T822=0),"",(V822-T822)/T822)</f>
        <v/>
      </c>
      <c r="X822" s="7">
        <f>IF(COUNT(D822:S822)=0,"",INDEX($D$1:$S$1,MATCH(MIN(D822:S822),D822:S822,0)))</f>
        <v/>
      </c>
      <c r="Y822" s="8" t="n">
        <v>95</v>
      </c>
      <c r="Z822" s="10" t="n">
        <v>1</v>
      </c>
    </row>
    <row r="823">
      <c r="A823" s="7" t="inlineStr">
        <is>
          <t>MAT-10-214</t>
        </is>
      </c>
      <c r="B823" s="4" t="inlineStr">
        <is>
          <t>triple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>
        <v>40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>
        <f>IF(COUNT(D823:S823)=0,"",MIN(D823:S823))</f>
        <v/>
      </c>
      <c r="U823" s="8">
        <f>IF(COUNT(D823:S823)=0,"",MEDIAN(D823:S823))</f>
        <v/>
      </c>
      <c r="V823" s="8">
        <f>IF(COUNT(D823:S823)=0,"",MAX(D823:S823))</f>
        <v/>
      </c>
      <c r="W823" s="9">
        <f>IF(OR(T823="",T823=0),"",(V823-T823)/T823)</f>
        <v/>
      </c>
      <c r="X823" s="7">
        <f>IF(COUNT(D823:S823)=0,"",INDEX($D$1:$S$1,MATCH(MIN(D823:S823),D823:S823,0)))</f>
        <v/>
      </c>
      <c r="Y823" s="8" t="n">
        <v>99</v>
      </c>
      <c r="Z823" s="10" t="n">
        <v>1</v>
      </c>
    </row>
    <row r="824">
      <c r="A824" s="7" t="inlineStr">
        <is>
          <t>MAT-10-215</t>
        </is>
      </c>
      <c r="B824" s="4" t="inlineStr">
        <is>
          <t>Adaptador de enchufe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45.01</v>
      </c>
      <c r="M824" s="8" t="n"/>
      <c r="N824" s="8" t="n"/>
      <c r="O824" s="8" t="n"/>
      <c r="P824" s="8" t="n"/>
      <c r="Q824" s="8" t="n"/>
      <c r="R824" s="8" t="n"/>
      <c r="S824" s="8" t="n"/>
      <c r="T824" s="8">
        <f>IF(COUNT(D824:S824)=0,"",MIN(D824:S824))</f>
        <v/>
      </c>
      <c r="U824" s="8">
        <f>IF(COUNT(D824:S824)=0,"",MEDIAN(D824:S824))</f>
        <v/>
      </c>
      <c r="V824" s="8">
        <f>IF(COUNT(D824:S824)=0,"",MAX(D824:S824))</f>
        <v/>
      </c>
      <c r="W824" s="9">
        <f>IF(OR(T824="",T824=0),"",(V824-T824)/T824)</f>
        <v/>
      </c>
      <c r="X824" s="7">
        <f>IF(COUNT(D824:S824)=0,"",INDEX($D$1:$S$1,MATCH(MIN(D824:S824),D824:S824,0)))</f>
        <v/>
      </c>
      <c r="Y824" s="8" t="n">
        <v>112.5</v>
      </c>
      <c r="Z824" s="10" t="n">
        <v>1</v>
      </c>
    </row>
    <row r="825">
      <c r="A825" s="7" t="inlineStr">
        <is>
          <t>MAT-10-216</t>
        </is>
      </c>
      <c r="B825" s="4" t="inlineStr">
        <is>
          <t>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</v>
      </c>
      <c r="M825" s="8" t="n"/>
      <c r="N825" s="8" t="n"/>
      <c r="O825" s="8" t="n"/>
      <c r="P825" s="8" t="n"/>
      <c r="Q825" s="8" t="n"/>
      <c r="R825" s="8" t="n"/>
      <c r="S825" s="8" t="n"/>
      <c r="T825" s="8">
        <f>IF(COUNT(D825:S825)=0,"",MIN(D825:S825))</f>
        <v/>
      </c>
      <c r="U825" s="8">
        <f>IF(COUNT(D825:S825)=0,"",MEDIAN(D825:S825))</f>
        <v/>
      </c>
      <c r="V825" s="8">
        <f>IF(COUNT(D825:S825)=0,"",MAX(D825:S825))</f>
        <v/>
      </c>
      <c r="W825" s="9">
        <f>IF(OR(T825="",T825=0),"",(V825-T825)/T825)</f>
        <v/>
      </c>
      <c r="X825" s="7">
        <f>IF(COUNT(D825:S825)=0,"",INDEX($D$1:$S$1,MATCH(MIN(D825:S825),D825:S825,0)))</f>
        <v/>
      </c>
      <c r="Y825" s="8" t="n">
        <v>57.5</v>
      </c>
      <c r="Z825" s="10" t="n">
        <v>1</v>
      </c>
    </row>
    <row r="826">
      <c r="A826" s="7" t="inlineStr">
        <is>
          <t>MAT-10-217</t>
        </is>
      </c>
      <c r="B826" s="4" t="inlineStr">
        <is>
          <t>Breaker enchufable 1P de 15 A</t>
        </is>
      </c>
      <c r="C826" s="7" t="inlineStr">
        <is>
          <t>unidad</t>
        </is>
      </c>
      <c r="D826" s="8" t="n"/>
      <c r="E826" s="8" t="n">
        <v>430.24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>
        <f>IF(COUNT(D826:S826)=0,"",MIN(D826:S826))</f>
        <v/>
      </c>
      <c r="U826" s="8">
        <f>IF(COUNT(D826:S826)=0,"",MEDIAN(D826:S826))</f>
        <v/>
      </c>
      <c r="V826" s="8">
        <f>IF(COUNT(D826:S826)=0,"",MAX(D826:S826))</f>
        <v/>
      </c>
      <c r="W826" s="9">
        <f>IF(OR(T826="",T826=0),"",(V826-T826)/T826)</f>
        <v/>
      </c>
      <c r="X826" s="7">
        <f>IF(COUNT(D826:S826)=0,"",INDEX($D$1:$S$1,MATCH(MIN(D826:S826),D826:S826,0)))</f>
        <v/>
      </c>
      <c r="Y826" s="8" t="n">
        <v>447.27</v>
      </c>
      <c r="Z826" s="10" t="n">
        <v>1</v>
      </c>
    </row>
    <row r="827">
      <c r="A827" s="7" t="inlineStr">
        <is>
          <t>MAT-10-218</t>
        </is>
      </c>
      <c r="B827" s="4" t="inlineStr">
        <is>
          <t>Breaker enchufable 1P de 15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485</v>
      </c>
      <c r="M827" s="8" t="n"/>
      <c r="N827" s="8" t="n"/>
      <c r="O827" s="8" t="n"/>
      <c r="P827" s="8" t="n"/>
      <c r="Q827" s="8" t="n"/>
      <c r="R827" s="8" t="n"/>
      <c r="S827" s="8" t="n"/>
      <c r="T827" s="8">
        <f>IF(COUNT(D827:S827)=0,"",MIN(D827:S827))</f>
        <v/>
      </c>
      <c r="U827" s="8">
        <f>IF(COUNT(D827:S827)=0,"",MEDIAN(D827:S827))</f>
        <v/>
      </c>
      <c r="V827" s="8">
        <f>IF(COUNT(D827:S827)=0,"",MAX(D827:S827))</f>
        <v/>
      </c>
      <c r="W827" s="9">
        <f>IF(OR(T827="",T827=0),"",(V827-T827)/T827)</f>
        <v/>
      </c>
      <c r="X827" s="7">
        <f>IF(COUNT(D827:S827)=0,"",INDEX($D$1:$S$1,MATCH(MIN(D827:S827),D827:S827,0)))</f>
        <v/>
      </c>
      <c r="Y827" s="8" t="n">
        <v>485</v>
      </c>
      <c r="Z827" s="10" t="n">
        <v>1</v>
      </c>
    </row>
    <row r="828">
      <c r="A828" s="7" t="inlineStr">
        <is>
          <t>MAT-10-219</t>
        </is>
      </c>
      <c r="B828" s="4" t="inlineStr">
        <is>
          <t>Breaker enchufable 1P de 20 A</t>
        </is>
      </c>
      <c r="C828" s="7" t="inlineStr">
        <is>
          <t>unidad</t>
        </is>
      </c>
      <c r="D828" s="8" t="n"/>
      <c r="E828" s="8" t="n">
        <v>374.13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>
        <f>IF(COUNT(D828:S828)=0,"",MIN(D828:S828))</f>
        <v/>
      </c>
      <c r="U828" s="8">
        <f>IF(COUNT(D828:S828)=0,"",MEDIAN(D828:S828))</f>
        <v/>
      </c>
      <c r="V828" s="8">
        <f>IF(COUNT(D828:S828)=0,"",MAX(D828:S828))</f>
        <v/>
      </c>
      <c r="W828" s="9">
        <f>IF(OR(T828="",T828=0),"",(V828-T828)/T828)</f>
        <v/>
      </c>
      <c r="X828" s="7">
        <f>IF(COUNT(D828:S828)=0,"",INDEX($D$1:$S$1,MATCH(MIN(D828:S828),D828:S828,0)))</f>
        <v/>
      </c>
      <c r="Y828" s="8" t="n">
        <v>447.27</v>
      </c>
      <c r="Z828" s="10" t="n">
        <v>1</v>
      </c>
    </row>
    <row r="829">
      <c r="A829" s="7" t="inlineStr">
        <is>
          <t>MAT-10-220</t>
        </is>
      </c>
      <c r="B829" s="4" t="inlineStr">
        <is>
          <t>Breaker enchufable 1P de 20 A, formato fino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500</v>
      </c>
      <c r="M829" s="8" t="n"/>
      <c r="N829" s="8" t="n"/>
      <c r="O829" s="8" t="n"/>
      <c r="P829" s="8" t="n"/>
      <c r="Q829" s="8" t="n"/>
      <c r="R829" s="8" t="n"/>
      <c r="S829" s="8" t="n"/>
      <c r="T829" s="8">
        <f>IF(COUNT(D829:S829)=0,"",MIN(D829:S829))</f>
        <v/>
      </c>
      <c r="U829" s="8">
        <f>IF(COUNT(D829:S829)=0,"",MEDIAN(D829:S829))</f>
        <v/>
      </c>
      <c r="V829" s="8">
        <f>IF(COUNT(D829:S829)=0,"",MAX(D829:S829))</f>
        <v/>
      </c>
      <c r="W829" s="9">
        <f>IF(OR(T829="",T829=0),"",(V829-T829)/T829)</f>
        <v/>
      </c>
      <c r="X829" s="7">
        <f>IF(COUNT(D829:S829)=0,"",INDEX($D$1:$S$1,MATCH(MIN(D829:S829),D829:S829,0)))</f>
        <v/>
      </c>
      <c r="Y829" s="8" t="n">
        <v>500</v>
      </c>
      <c r="Z829" s="10" t="n">
        <v>1</v>
      </c>
    </row>
    <row r="830">
      <c r="A830" s="7" t="inlineStr">
        <is>
          <t>MAT-10-221</t>
        </is>
      </c>
      <c r="B830" s="4" t="inlineStr">
        <is>
          <t>Breaker enchufable 1P de 30 A</t>
        </is>
      </c>
      <c r="C830" s="7" t="inlineStr">
        <is>
          <t>unidad</t>
        </is>
      </c>
      <c r="D830" s="8" t="n"/>
      <c r="E830" s="8" t="n">
        <v>374.1</v>
      </c>
      <c r="F830" s="8" t="n"/>
      <c r="G830" s="8" t="n"/>
      <c r="H830" s="8" t="n"/>
      <c r="I830" s="8" t="n"/>
      <c r="J830" s="8" t="n"/>
      <c r="K830" s="8" t="n"/>
      <c r="L830" s="8" t="n">
        <v>470.01</v>
      </c>
      <c r="M830" s="8" t="n"/>
      <c r="N830" s="8" t="n"/>
      <c r="O830" s="8" t="n"/>
      <c r="P830" s="8" t="n"/>
      <c r="Q830" s="8" t="n"/>
      <c r="R830" s="8" t="n"/>
      <c r="S830" s="8" t="n"/>
      <c r="T830" s="8">
        <f>IF(COUNT(D830:S830)=0,"",MIN(D830:S830))</f>
        <v/>
      </c>
      <c r="U830" s="8">
        <f>IF(COUNT(D830:S830)=0,"",MEDIAN(D830:S830))</f>
        <v/>
      </c>
      <c r="V830" s="8">
        <f>IF(COUNT(D830:S830)=0,"",MAX(D830:S830))</f>
        <v/>
      </c>
      <c r="W830" s="9">
        <f>IF(OR(T830="",T830=0),"",(V830-T830)/T830)</f>
        <v/>
      </c>
      <c r="X830" s="7">
        <f>IF(COUNT(D830:S830)=0,"",INDEX($D$1:$S$1,MATCH(MIN(D830:S830),D830:S830,0)))</f>
        <v/>
      </c>
      <c r="Y830" s="8" t="n">
        <v>447.28</v>
      </c>
      <c r="Z830" s="10" t="n">
        <v>2</v>
      </c>
    </row>
    <row r="831">
      <c r="A831" s="7" t="inlineStr">
        <is>
          <t>MAT-10-222</t>
        </is>
      </c>
      <c r="B831" s="4" t="inlineStr">
        <is>
          <t>Breaker enchufable 1P de 30 A, formato fino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505</v>
      </c>
      <c r="M831" s="8" t="n"/>
      <c r="N831" s="8" t="n"/>
      <c r="O831" s="8" t="n"/>
      <c r="P831" s="8" t="n"/>
      <c r="Q831" s="8" t="n"/>
      <c r="R831" s="8" t="n"/>
      <c r="S831" s="8" t="n"/>
      <c r="T831" s="8">
        <f>IF(COUNT(D831:S831)=0,"",MIN(D831:S831))</f>
        <v/>
      </c>
      <c r="U831" s="8">
        <f>IF(COUNT(D831:S831)=0,"",MEDIAN(D831:S831))</f>
        <v/>
      </c>
      <c r="V831" s="8">
        <f>IF(COUNT(D831:S831)=0,"",MAX(D831:S831))</f>
        <v/>
      </c>
      <c r="W831" s="9">
        <f>IF(OR(T831="",T831=0),"",(V831-T831)/T831)</f>
        <v/>
      </c>
      <c r="X831" s="7">
        <f>IF(COUNT(D831:S831)=0,"",INDEX($D$1:$S$1,MATCH(MIN(D831:S831),D831:S831,0)))</f>
        <v/>
      </c>
      <c r="Y831" s="8" t="n">
        <v>505</v>
      </c>
      <c r="Z831" s="10" t="n">
        <v>1</v>
      </c>
    </row>
    <row r="832">
      <c r="A832" s="7" t="inlineStr">
        <is>
          <t>MAT-10-223</t>
        </is>
      </c>
      <c r="B832" s="4" t="inlineStr">
        <is>
          <t>Breaker enchufable 1P de 40 A</t>
        </is>
      </c>
      <c r="C832" s="7" t="inlineStr">
        <is>
          <t>unidad</t>
        </is>
      </c>
      <c r="D832" s="8" t="n"/>
      <c r="E832" s="8" t="n">
        <v>481.33</v>
      </c>
      <c r="F832" s="8" t="n"/>
      <c r="G832" s="8" t="n"/>
      <c r="H832" s="8" t="n"/>
      <c r="I832" s="8" t="n">
        <v>170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>
        <f>IF(COUNT(D832:S832)=0,"",MIN(D832:S832))</f>
        <v/>
      </c>
      <c r="U832" s="8">
        <f>IF(COUNT(D832:S832)=0,"",MEDIAN(D832:S832))</f>
        <v/>
      </c>
      <c r="V832" s="8">
        <f>IF(COUNT(D832:S832)=0,"",MAX(D832:S832))</f>
        <v/>
      </c>
      <c r="W832" s="9">
        <f>IF(OR(T832="",T832=0),"",(V832-T832)/T832)</f>
        <v/>
      </c>
      <c r="X832" s="7">
        <f>IF(COUNT(D832:S832)=0,"",INDEX($D$1:$S$1,MATCH(MIN(D832:S832),D832:S832,0)))</f>
        <v/>
      </c>
      <c r="Y832" s="8" t="n">
        <v>488.17</v>
      </c>
      <c r="Z832" s="10" t="n">
        <v>2</v>
      </c>
    </row>
    <row r="833">
      <c r="A833" s="7" t="inlineStr">
        <is>
          <t>MAT-10-224</t>
        </is>
      </c>
      <c r="B833" s="4" t="inlineStr">
        <is>
          <t>Breaker enchufable 1P de 50 A</t>
        </is>
      </c>
      <c r="C833" s="7" t="inlineStr">
        <is>
          <t>unidad</t>
        </is>
      </c>
      <c r="D833" s="8" t="n"/>
      <c r="E833" s="8" t="n">
        <v>495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>
        <f>IF(COUNT(D833:S833)=0,"",MIN(D833:S833))</f>
        <v/>
      </c>
      <c r="U833" s="8">
        <f>IF(COUNT(D833:S833)=0,"",MEDIAN(D833:S833))</f>
        <v/>
      </c>
      <c r="V833" s="8">
        <f>IF(COUNT(D833:S833)=0,"",MAX(D833:S833))</f>
        <v/>
      </c>
      <c r="W833" s="9">
        <f>IF(OR(T833="",T833=0),"",(V833-T833)/T833)</f>
        <v/>
      </c>
      <c r="X833" s="7">
        <f>IF(COUNT(D833:S833)=0,"",INDEX($D$1:$S$1,MATCH(MIN(D833:S833),D833:S833,0)))</f>
        <v/>
      </c>
      <c r="Y833" s="8" t="n">
        <v>505</v>
      </c>
      <c r="Z833" s="10" t="n">
        <v>1</v>
      </c>
    </row>
    <row r="834">
      <c r="A834" s="7" t="inlineStr">
        <is>
          <t>MAT-10-225</t>
        </is>
      </c>
      <c r="B834" s="4" t="inlineStr">
        <is>
          <t>Breaker enchufable 1P de 60 A</t>
        </is>
      </c>
      <c r="C834" s="7" t="inlineStr">
        <is>
          <t>unidad</t>
        </is>
      </c>
      <c r="D834" s="8" t="n"/>
      <c r="E834" s="8" t="n">
        <v>717.63</v>
      </c>
      <c r="F834" s="8" t="n"/>
      <c r="G834" s="8" t="n"/>
      <c r="H834" s="8" t="n"/>
      <c r="I834" s="8" t="n"/>
      <c r="J834" s="8" t="n"/>
      <c r="K834" s="8" t="n"/>
      <c r="L834" s="8" t="n">
        <v>815</v>
      </c>
      <c r="M834" s="8" t="n"/>
      <c r="N834" s="8" t="n"/>
      <c r="O834" s="8" t="n"/>
      <c r="P834" s="8" t="n"/>
      <c r="Q834" s="8" t="n"/>
      <c r="R834" s="8" t="n"/>
      <c r="S834" s="8" t="n"/>
      <c r="T834" s="8">
        <f>IF(COUNT(D834:S834)=0,"",MIN(D834:S834))</f>
        <v/>
      </c>
      <c r="U834" s="8">
        <f>IF(COUNT(D834:S834)=0,"",MEDIAN(D834:S834))</f>
        <v/>
      </c>
      <c r="V834" s="8">
        <f>IF(COUNT(D834:S834)=0,"",MAX(D834:S834))</f>
        <v/>
      </c>
      <c r="W834" s="9">
        <f>IF(OR(T834="",T834=0),"",(V834-T834)/T834)</f>
        <v/>
      </c>
      <c r="X834" s="7">
        <f>IF(COUNT(D834:S834)=0,"",INDEX($D$1:$S$1,MATCH(MIN(D834:S834),D834:S834,0)))</f>
        <v/>
      </c>
      <c r="Y834" s="8" t="n">
        <v>766.3200000000001</v>
      </c>
      <c r="Z834" s="10" t="n">
        <v>2</v>
      </c>
    </row>
    <row r="835">
      <c r="A835" s="7" t="inlineStr">
        <is>
          <t>MAT-10-226</t>
        </is>
      </c>
      <c r="B835" s="4" t="inlineStr">
        <is>
          <t>Breaker enchufable 2P de 100 A</t>
        </is>
      </c>
      <c r="C835" s="7" t="inlineStr">
        <is>
          <t>unidad</t>
        </is>
      </c>
      <c r="D835" s="8" t="n"/>
      <c r="E835" s="8" t="n">
        <v>2820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>
        <f>IF(COUNT(D835:S835)=0,"",MIN(D835:S835))</f>
        <v/>
      </c>
      <c r="U835" s="8">
        <f>IF(COUNT(D835:S835)=0,"",MEDIAN(D835:S835))</f>
        <v/>
      </c>
      <c r="V835" s="8">
        <f>IF(COUNT(D835:S835)=0,"",MAX(D835:S835))</f>
        <v/>
      </c>
      <c r="W835" s="9">
        <f>IF(OR(T835="",T835=0),"",(V835-T835)/T835)</f>
        <v/>
      </c>
      <c r="X835" s="7">
        <f>IF(COUNT(D835:S835)=0,"",INDEX($D$1:$S$1,MATCH(MIN(D835:S835),D835:S835,0)))</f>
        <v/>
      </c>
      <c r="Y835" s="8" t="n">
        <v>3203</v>
      </c>
      <c r="Z835" s="10" t="n">
        <v>1</v>
      </c>
    </row>
    <row r="836">
      <c r="A836" s="7" t="inlineStr">
        <is>
          <t>MAT-10-227</t>
        </is>
      </c>
      <c r="B836" s="4" t="inlineStr">
        <is>
          <t>Breaker enchufable 2P de 15 A</t>
        </is>
      </c>
      <c r="C836" s="7" t="inlineStr">
        <is>
          <t>unidad</t>
        </is>
      </c>
      <c r="D836" s="8" t="n"/>
      <c r="E836" s="8" t="n">
        <v>969.78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>
        <f>IF(COUNT(D836:S836)=0,"",MIN(D836:S836))</f>
        <v/>
      </c>
      <c r="U836" s="8">
        <f>IF(COUNT(D836:S836)=0,"",MEDIAN(D836:S836))</f>
        <v/>
      </c>
      <c r="V836" s="8">
        <f>IF(COUNT(D836:S836)=0,"",MAX(D836:S836))</f>
        <v/>
      </c>
      <c r="W836" s="9">
        <f>IF(OR(T836="",T836=0),"",(V836-T836)/T836)</f>
        <v/>
      </c>
      <c r="X836" s="7">
        <f>IF(COUNT(D836:S836)=0,"",INDEX($D$1:$S$1,MATCH(MIN(D836:S836),D836:S836,0)))</f>
        <v/>
      </c>
      <c r="Y836" s="8" t="n">
        <v>1061.42</v>
      </c>
      <c r="Z836" s="10" t="n">
        <v>1</v>
      </c>
    </row>
    <row r="837">
      <c r="A837" s="7" t="inlineStr">
        <is>
          <t>MAT-10-228</t>
        </is>
      </c>
      <c r="B837" s="4" t="inlineStr">
        <is>
          <t>Breaker enchufable 2P de 20 A</t>
        </is>
      </c>
      <c r="C837" s="7" t="inlineStr">
        <is>
          <t>unidad</t>
        </is>
      </c>
      <c r="D837" s="8" t="n"/>
      <c r="E837" s="8" t="n">
        <v>1135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 t="n"/>
      <c r="S837" s="8" t="n"/>
      <c r="T837" s="8">
        <f>IF(COUNT(D837:S837)=0,"",MIN(D837:S837))</f>
        <v/>
      </c>
      <c r="U837" s="8">
        <f>IF(COUNT(D837:S837)=0,"",MEDIAN(D837:S837))</f>
        <v/>
      </c>
      <c r="V837" s="8">
        <f>IF(COUNT(D837:S837)=0,"",MAX(D837:S837))</f>
        <v/>
      </c>
      <c r="W837" s="9">
        <f>IF(OR(T837="",T837=0),"",(V837-T837)/T837)</f>
        <v/>
      </c>
      <c r="X837" s="7">
        <f>IF(COUNT(D837:S837)=0,"",INDEX($D$1:$S$1,MATCH(MIN(D837:S837),D837:S837,0)))</f>
        <v/>
      </c>
      <c r="Y837" s="8" t="n">
        <v>1157.5</v>
      </c>
      <c r="Z837" s="10" t="n">
        <v>2</v>
      </c>
    </row>
    <row r="838">
      <c r="A838" s="7" t="inlineStr">
        <is>
          <t>MAT-10-229</t>
        </is>
      </c>
      <c r="B838" s="4" t="inlineStr">
        <is>
          <t>Breaker enchufable 2P de 20 A, formato fino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1195</v>
      </c>
      <c r="M838" s="8" t="n"/>
      <c r="N838" s="8" t="n"/>
      <c r="O838" s="8" t="n"/>
      <c r="P838" s="8" t="n"/>
      <c r="Q838" s="8" t="n"/>
      <c r="R838" s="8" t="n"/>
      <c r="S838" s="8" t="n"/>
      <c r="T838" s="8">
        <f>IF(COUNT(D838:S838)=0,"",MIN(D838:S838))</f>
        <v/>
      </c>
      <c r="U838" s="8">
        <f>IF(COUNT(D838:S838)=0,"",MEDIAN(D838:S838))</f>
        <v/>
      </c>
      <c r="V838" s="8">
        <f>IF(COUNT(D838:S838)=0,"",MAX(D838:S838))</f>
        <v/>
      </c>
      <c r="W838" s="9">
        <f>IF(OR(T838="",T838=0),"",(V838-T838)/T838)</f>
        <v/>
      </c>
      <c r="X838" s="7">
        <f>IF(COUNT(D838:S838)=0,"",INDEX($D$1:$S$1,MATCH(MIN(D838:S838),D838:S838,0)))</f>
        <v/>
      </c>
      <c r="Y838" s="8" t="n">
        <v>1195</v>
      </c>
      <c r="Z838" s="10" t="n">
        <v>1</v>
      </c>
    </row>
    <row r="839">
      <c r="A839" s="7" t="inlineStr">
        <is>
          <t>MAT-10-230</t>
        </is>
      </c>
      <c r="B839" s="4" t="inlineStr">
        <is>
          <t>Breaker enchufable 2P de 30 A</t>
        </is>
      </c>
      <c r="C839" s="7" t="inlineStr">
        <is>
          <t>unidad</t>
        </is>
      </c>
      <c r="D839" s="8" t="n"/>
      <c r="E839" s="8" t="n">
        <v>896</v>
      </c>
      <c r="F839" s="8" t="n"/>
      <c r="G839" s="8" t="n"/>
      <c r="H839" s="8" t="n"/>
      <c r="I839" s="8" t="n"/>
      <c r="J839" s="8" t="n"/>
      <c r="K839" s="8" t="n"/>
      <c r="L839" s="8" t="n">
        <v>1134.99</v>
      </c>
      <c r="M839" s="8" t="n"/>
      <c r="N839" s="8" t="n"/>
      <c r="O839" s="8" t="n"/>
      <c r="P839" s="8" t="n"/>
      <c r="Q839" s="8" t="n"/>
      <c r="R839" s="8" t="n"/>
      <c r="S839" s="8" t="n"/>
      <c r="T839" s="8">
        <f>IF(COUNT(D839:S839)=0,"",MIN(D839:S839))</f>
        <v/>
      </c>
      <c r="U839" s="8">
        <f>IF(COUNT(D839:S839)=0,"",MEDIAN(D839:S839))</f>
        <v/>
      </c>
      <c r="V839" s="8">
        <f>IF(COUNT(D839:S839)=0,"",MAX(D839:S839))</f>
        <v/>
      </c>
      <c r="W839" s="9">
        <f>IF(OR(T839="",T839=0),"",(V839-T839)/T839)</f>
        <v/>
      </c>
      <c r="X839" s="7">
        <f>IF(COUNT(D839:S839)=0,"",INDEX($D$1:$S$1,MATCH(MIN(D839:S839),D839:S839,0)))</f>
        <v/>
      </c>
      <c r="Y839" s="8" t="n">
        <v>1079.99</v>
      </c>
      <c r="Z839" s="10" t="n">
        <v>2</v>
      </c>
    </row>
    <row r="840">
      <c r="A840" s="7" t="inlineStr">
        <is>
          <t>MAT-10-231</t>
        </is>
      </c>
      <c r="B840" s="4" t="inlineStr">
        <is>
          <t>Breaker enchufable 2P de 30 A, formato fino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1165</v>
      </c>
      <c r="M840" s="8" t="n"/>
      <c r="N840" s="8" t="n"/>
      <c r="O840" s="8" t="n"/>
      <c r="P840" s="8" t="n"/>
      <c r="Q840" s="8" t="n"/>
      <c r="R840" s="8" t="n"/>
      <c r="S840" s="8" t="n"/>
      <c r="T840" s="8">
        <f>IF(COUNT(D840:S840)=0,"",MIN(D840:S840))</f>
        <v/>
      </c>
      <c r="U840" s="8">
        <f>IF(COUNT(D840:S840)=0,"",MEDIAN(D840:S840))</f>
        <v/>
      </c>
      <c r="V840" s="8">
        <f>IF(COUNT(D840:S840)=0,"",MAX(D840:S840))</f>
        <v/>
      </c>
      <c r="W840" s="9">
        <f>IF(OR(T840="",T840=0),"",(V840-T840)/T840)</f>
        <v/>
      </c>
      <c r="X840" s="7">
        <f>IF(COUNT(D840:S840)=0,"",INDEX($D$1:$S$1,MATCH(MIN(D840:S840),D840:S840,0)))</f>
        <v/>
      </c>
      <c r="Y840" s="8" t="n">
        <v>1165</v>
      </c>
      <c r="Z840" s="10" t="n">
        <v>1</v>
      </c>
    </row>
    <row r="841">
      <c r="A841" s="7" t="inlineStr">
        <is>
          <t>MAT-10-232</t>
        </is>
      </c>
      <c r="B841" s="4" t="inlineStr">
        <is>
          <t>Breaker enchufable 2P de 40 A</t>
        </is>
      </c>
      <c r="C841" s="7" t="inlineStr">
        <is>
          <t>unidad</t>
        </is>
      </c>
      <c r="D841" s="8" t="n"/>
      <c r="E841" s="8" t="n">
        <v>976.05</v>
      </c>
      <c r="F841" s="8" t="n"/>
      <c r="G841" s="8" t="n"/>
      <c r="H841" s="8" t="n"/>
      <c r="I841" s="8" t="n"/>
      <c r="J841" s="8" t="n"/>
      <c r="K841" s="8" t="n"/>
      <c r="L841" s="8" t="n">
        <v>1134.99</v>
      </c>
      <c r="M841" s="8" t="n"/>
      <c r="N841" s="8" t="n"/>
      <c r="O841" s="8" t="n"/>
      <c r="P841" s="8" t="n"/>
      <c r="Q841" s="8" t="n"/>
      <c r="R841" s="8" t="n"/>
      <c r="S841" s="8" t="n"/>
      <c r="T841" s="8">
        <f>IF(COUNT(D841:S841)=0,"",MIN(D841:S841))</f>
        <v/>
      </c>
      <c r="U841" s="8">
        <f>IF(COUNT(D841:S841)=0,"",MEDIAN(D841:S841))</f>
        <v/>
      </c>
      <c r="V841" s="8">
        <f>IF(COUNT(D841:S841)=0,"",MAX(D841:S841))</f>
        <v/>
      </c>
      <c r="W841" s="9">
        <f>IF(OR(T841="",T841=0),"",(V841-T841)/T841)</f>
        <v/>
      </c>
      <c r="X841" s="7">
        <f>IF(COUNT(D841:S841)=0,"",INDEX($D$1:$S$1,MATCH(MIN(D841:S841),D841:S841,0)))</f>
        <v/>
      </c>
      <c r="Y841" s="8" t="n">
        <v>1034</v>
      </c>
      <c r="Z841" s="10" t="n">
        <v>2</v>
      </c>
    </row>
    <row r="842">
      <c r="A842" s="7" t="inlineStr">
        <is>
          <t>MAT-10-233</t>
        </is>
      </c>
      <c r="B842" s="4" t="inlineStr">
        <is>
          <t>Breaker enchufable 2P de 50 A</t>
        </is>
      </c>
      <c r="C842" s="7" t="inlineStr">
        <is>
          <t>unidad</t>
        </is>
      </c>
      <c r="D842" s="8" t="n"/>
      <c r="E842" s="8" t="n">
        <v>999.95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>
        <f>IF(COUNT(D842:S842)=0,"",MIN(D842:S842))</f>
        <v/>
      </c>
      <c r="U842" s="8">
        <f>IF(COUNT(D842:S842)=0,"",MEDIAN(D842:S842))</f>
        <v/>
      </c>
      <c r="V842" s="8">
        <f>IF(COUNT(D842:S842)=0,"",MAX(D842:S842))</f>
        <v/>
      </c>
      <c r="W842" s="9">
        <f>IF(OR(T842="",T842=0),"",(V842-T842)/T842)</f>
        <v/>
      </c>
      <c r="X842" s="7">
        <f>IF(COUNT(D842:S842)=0,"",INDEX($D$1:$S$1,MATCH(MIN(D842:S842),D842:S842,0)))</f>
        <v/>
      </c>
      <c r="Y842" s="8" t="n">
        <v>1215</v>
      </c>
      <c r="Z842" s="10" t="n">
        <v>1</v>
      </c>
    </row>
    <row r="843">
      <c r="A843" s="7" t="inlineStr">
        <is>
          <t>MAT-10-234</t>
        </is>
      </c>
      <c r="B843" s="4" t="inlineStr">
        <is>
          <t>Breaker enchufable 2P de 60 A</t>
        </is>
      </c>
      <c r="C843" s="7" t="inlineStr">
        <is>
          <t>unidad</t>
        </is>
      </c>
      <c r="D843" s="8" t="n"/>
      <c r="E843" s="8" t="n">
        <v>1100</v>
      </c>
      <c r="F843" s="8" t="n"/>
      <c r="G843" s="8" t="n"/>
      <c r="H843" s="8" t="n"/>
      <c r="I843" s="8" t="n"/>
      <c r="J843" s="8" t="n"/>
      <c r="K843" s="8" t="n"/>
      <c r="L843" s="8" t="n">
        <v>1189.99</v>
      </c>
      <c r="M843" s="8" t="n"/>
      <c r="N843" s="8" t="n"/>
      <c r="O843" s="8" t="n"/>
      <c r="P843" s="8" t="n"/>
      <c r="Q843" s="8" t="n"/>
      <c r="R843" s="8" t="n"/>
      <c r="S843" s="8" t="n"/>
      <c r="T843" s="8">
        <f>IF(COUNT(D843:S843)=0,"",MIN(D843:S843))</f>
        <v/>
      </c>
      <c r="U843" s="8">
        <f>IF(COUNT(D843:S843)=0,"",MEDIAN(D843:S843))</f>
        <v/>
      </c>
      <c r="V843" s="8">
        <f>IF(COUNT(D843:S843)=0,"",MAX(D843:S843))</f>
        <v/>
      </c>
      <c r="W843" s="9">
        <f>IF(OR(T843="",T843=0),"",(V843-T843)/T843)</f>
        <v/>
      </c>
      <c r="X843" s="7">
        <f>IF(COUNT(D843:S843)=0,"",INDEX($D$1:$S$1,MATCH(MIN(D843:S843),D843:S843,0)))</f>
        <v/>
      </c>
      <c r="Y843" s="8" t="n">
        <v>1189.99</v>
      </c>
      <c r="Z843" s="10" t="n">
        <v>2</v>
      </c>
    </row>
    <row r="844">
      <c r="A844" s="7" t="inlineStr">
        <is>
          <t>MAT-10-235</t>
        </is>
      </c>
      <c r="B844" s="4" t="inlineStr">
        <is>
          <t>Breaker enchufable 2P de 70 A</t>
        </is>
      </c>
      <c r="C844" s="7" t="inlineStr">
        <is>
          <t>unidad</t>
        </is>
      </c>
      <c r="D844" s="8" t="n"/>
      <c r="E844" s="8" t="n">
        <v>2720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>
        <f>IF(COUNT(D844:S844)=0,"",MIN(D844:S844))</f>
        <v/>
      </c>
      <c r="U844" s="8">
        <f>IF(COUNT(D844:S844)=0,"",MEDIAN(D844:S844))</f>
        <v/>
      </c>
      <c r="V844" s="8">
        <f>IF(COUNT(D844:S844)=0,"",MAX(D844:S844))</f>
        <v/>
      </c>
      <c r="W844" s="9">
        <f>IF(OR(T844="",T844=0),"",(V844-T844)/T844)</f>
        <v/>
      </c>
      <c r="X844" s="7">
        <f>IF(COUNT(D844:S844)=0,"",INDEX($D$1:$S$1,MATCH(MIN(D844:S844),D844:S844,0)))</f>
        <v/>
      </c>
      <c r="Y844" s="8" t="n">
        <v>2959.5</v>
      </c>
      <c r="Z844" s="10" t="n">
        <v>1</v>
      </c>
    </row>
    <row r="845">
      <c r="A845" s="7" t="inlineStr">
        <is>
          <t>MAT-10-236</t>
        </is>
      </c>
      <c r="B845" s="4" t="inlineStr">
        <is>
          <t>Breaker enchufable 2P de 80 A</t>
        </is>
      </c>
      <c r="C845" s="7" t="inlineStr">
        <is>
          <t>unidad</t>
        </is>
      </c>
      <c r="D845" s="8" t="n"/>
      <c r="E845" s="8" t="n">
        <v>2547.97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>
        <f>IF(COUNT(D845:S845)=0,"",MIN(D845:S845))</f>
        <v/>
      </c>
      <c r="U845" s="8">
        <f>IF(COUNT(D845:S845)=0,"",MEDIAN(D845:S845))</f>
        <v/>
      </c>
      <c r="V845" s="8">
        <f>IF(COUNT(D845:S845)=0,"",MAX(D845:S845))</f>
        <v/>
      </c>
      <c r="W845" s="9">
        <f>IF(OR(T845="",T845=0),"",(V845-T845)/T845)</f>
        <v/>
      </c>
      <c r="X845" s="7">
        <f>IF(COUNT(D845:S845)=0,"",INDEX($D$1:$S$1,MATCH(MIN(D845:S845),D845:S845,0)))</f>
        <v/>
      </c>
      <c r="Y845" s="8" t="n">
        <v>2810.48</v>
      </c>
      <c r="Z845" s="10" t="n">
        <v>1</v>
      </c>
    </row>
    <row r="846">
      <c r="A846" s="7" t="inlineStr">
        <is>
          <t>MAT-10-237</t>
        </is>
      </c>
      <c r="B846" s="4" t="inlineStr">
        <is>
          <t>Breaker enchufable 2P de 90 A</t>
        </is>
      </c>
      <c r="C846" s="7" t="inlineStr">
        <is>
          <t>unidad</t>
        </is>
      </c>
      <c r="D846" s="8" t="n"/>
      <c r="E846" s="8" t="n">
        <v>2968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>
        <f>IF(COUNT(D846:S846)=0,"",MIN(D846:S846))</f>
        <v/>
      </c>
      <c r="U846" s="8">
        <f>IF(COUNT(D846:S846)=0,"",MEDIAN(D846:S846))</f>
        <v/>
      </c>
      <c r="V846" s="8">
        <f>IF(COUNT(D846:S846)=0,"",MAX(D846:S846))</f>
        <v/>
      </c>
      <c r="W846" s="9">
        <f>IF(OR(T846="",T846=0),"",(V846-T846)/T846)</f>
        <v/>
      </c>
      <c r="X846" s="7">
        <f>IF(COUNT(D846:S846)=0,"",INDEX($D$1:$S$1,MATCH(MIN(D846:S846),D846:S846,0)))</f>
        <v/>
      </c>
      <c r="Y846" s="8" t="n">
        <v>2968</v>
      </c>
      <c r="Z846" s="10" t="n">
        <v>1</v>
      </c>
    </row>
    <row r="847">
      <c r="A847" s="7" t="inlineStr">
        <is>
          <t>MAT-10-238</t>
        </is>
      </c>
      <c r="B847" s="4" t="inlineStr">
        <is>
          <t>Breaker enchufable 3P de 100 A</t>
        </is>
      </c>
      <c r="C847" s="7" t="inlineStr">
        <is>
          <t>unidad</t>
        </is>
      </c>
      <c r="D847" s="8" t="n"/>
      <c r="E847" s="8" t="n">
        <v>6940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>
        <f>IF(COUNT(D847:S847)=0,"",MIN(D847:S847))</f>
        <v/>
      </c>
      <c r="U847" s="8">
        <f>IF(COUNT(D847:S847)=0,"",MEDIAN(D847:S847))</f>
        <v/>
      </c>
      <c r="V847" s="8">
        <f>IF(COUNT(D847:S847)=0,"",MAX(D847:S847))</f>
        <v/>
      </c>
      <c r="W847" s="9">
        <f>IF(OR(T847="",T847=0),"",(V847-T847)/T847)</f>
        <v/>
      </c>
      <c r="X847" s="7">
        <f>IF(COUNT(D847:S847)=0,"",INDEX($D$1:$S$1,MATCH(MIN(D847:S847),D847:S847,0)))</f>
        <v/>
      </c>
      <c r="Y847" s="8" t="n">
        <v>6940</v>
      </c>
      <c r="Z847" s="10" t="n">
        <v>1</v>
      </c>
    </row>
    <row r="848">
      <c r="A848" s="7" t="inlineStr">
        <is>
          <t>MAT-10-239</t>
        </is>
      </c>
      <c r="B848" s="4" t="inlineStr">
        <is>
          <t>Breaker enchufable 3P de 15 A</t>
        </is>
      </c>
      <c r="C848" s="7" t="inlineStr">
        <is>
          <t>unidad</t>
        </is>
      </c>
      <c r="D848" s="8" t="n"/>
      <c r="E848" s="8" t="n">
        <v>2309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>
        <f>IF(COUNT(D848:S848)=0,"",MIN(D848:S848))</f>
        <v/>
      </c>
      <c r="U848" s="8">
        <f>IF(COUNT(D848:S848)=0,"",MEDIAN(D848:S848))</f>
        <v/>
      </c>
      <c r="V848" s="8">
        <f>IF(COUNT(D848:S848)=0,"",MAX(D848:S848))</f>
        <v/>
      </c>
      <c r="W848" s="9">
        <f>IF(OR(T848="",T848=0),"",(V848-T848)/T848)</f>
        <v/>
      </c>
      <c r="X848" s="7">
        <f>IF(COUNT(D848:S848)=0,"",INDEX($D$1:$S$1,MATCH(MIN(D848:S848),D848:S848,0)))</f>
        <v/>
      </c>
      <c r="Y848" s="8" t="n">
        <v>3062</v>
      </c>
      <c r="Z848" s="10" t="n">
        <v>1</v>
      </c>
    </row>
    <row r="849">
      <c r="A849" s="7" t="inlineStr">
        <is>
          <t>MAT-10-240</t>
        </is>
      </c>
      <c r="B849" s="4" t="inlineStr">
        <is>
          <t>Breaker enchufable 3P de 20 A</t>
        </is>
      </c>
      <c r="C849" s="7" t="inlineStr">
        <is>
          <t>unidad</t>
        </is>
      </c>
      <c r="D849" s="8" t="n"/>
      <c r="E849" s="8" t="n">
        <v>3815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>
        <f>IF(COUNT(D849:S849)=0,"",MIN(D849:S849))</f>
        <v/>
      </c>
      <c r="U849" s="8">
        <f>IF(COUNT(D849:S849)=0,"",MEDIAN(D849:S849))</f>
        <v/>
      </c>
      <c r="V849" s="8">
        <f>IF(COUNT(D849:S849)=0,"",MAX(D849:S849))</f>
        <v/>
      </c>
      <c r="W849" s="9">
        <f>IF(OR(T849="",T849=0),"",(V849-T849)/T849)</f>
        <v/>
      </c>
      <c r="X849" s="7">
        <f>IF(COUNT(D849:S849)=0,"",INDEX($D$1:$S$1,MATCH(MIN(D849:S849),D849:S849,0)))</f>
        <v/>
      </c>
      <c r="Y849" s="8" t="n">
        <v>4801</v>
      </c>
      <c r="Z849" s="10" t="n">
        <v>1</v>
      </c>
    </row>
    <row r="850">
      <c r="A850" s="7" t="inlineStr">
        <is>
          <t>MAT-10-241</t>
        </is>
      </c>
      <c r="B850" s="4" t="inlineStr">
        <is>
          <t>Breaker enchufable 3P de 40 A</t>
        </is>
      </c>
      <c r="C850" s="7" t="inlineStr">
        <is>
          <t>unidad</t>
        </is>
      </c>
      <c r="D850" s="8" t="n"/>
      <c r="E850" s="8" t="n">
        <v>4310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>
        <f>IF(COUNT(D850:S850)=0,"",MIN(D850:S850))</f>
        <v/>
      </c>
      <c r="U850" s="8">
        <f>IF(COUNT(D850:S850)=0,"",MEDIAN(D850:S850))</f>
        <v/>
      </c>
      <c r="V850" s="8">
        <f>IF(COUNT(D850:S850)=0,"",MAX(D850:S850))</f>
        <v/>
      </c>
      <c r="W850" s="9">
        <f>IF(OR(T850="",T850=0),"",(V850-T850)/T850)</f>
        <v/>
      </c>
      <c r="X850" s="7">
        <f>IF(COUNT(D850:S850)=0,"",INDEX($D$1:$S$1,MATCH(MIN(D850:S850),D850:S850,0)))</f>
        <v/>
      </c>
      <c r="Y850" s="8" t="n">
        <v>4357.5</v>
      </c>
      <c r="Z850" s="10" t="n">
        <v>1</v>
      </c>
    </row>
    <row r="851">
      <c r="A851" s="7" t="inlineStr">
        <is>
          <t>MAT-10-242</t>
        </is>
      </c>
      <c r="B851" s="4" t="inlineStr">
        <is>
          <t>Breaker enchufable 3P de 50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>
        <f>IF(COUNT(D851:S851)=0,"",MIN(D851:S851))</f>
        <v/>
      </c>
      <c r="U851" s="8">
        <f>IF(COUNT(D851:S851)=0,"",MEDIAN(D851:S851))</f>
        <v/>
      </c>
      <c r="V851" s="8">
        <f>IF(COUNT(D851:S851)=0,"",MAX(D851:S851))</f>
        <v/>
      </c>
      <c r="W851" s="9">
        <f>IF(OR(T851="",T851=0),"",(V851-T851)/T851)</f>
        <v/>
      </c>
      <c r="X851" s="7">
        <f>IF(COUNT(D851:S851)=0,"",INDEX($D$1:$S$1,MATCH(MIN(D851:S851),D851:S851,0)))</f>
        <v/>
      </c>
      <c r="Y851" s="8" t="n">
        <v>5048.5</v>
      </c>
      <c r="Z851" s="10" t="n">
        <v>1</v>
      </c>
    </row>
    <row r="852">
      <c r="A852" s="7" t="inlineStr">
        <is>
          <t>MAT-10-243</t>
        </is>
      </c>
      <c r="B852" s="4" t="inlineStr">
        <is>
          <t>Breaker enchufable 3P de 60 A</t>
        </is>
      </c>
      <c r="C852" s="7" t="inlineStr">
        <is>
          <t>unidad</t>
        </is>
      </c>
      <c r="D852" s="8" t="n"/>
      <c r="E852" s="8" t="n">
        <v>3933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>
        <f>IF(COUNT(D852:S852)=0,"",MIN(D852:S852))</f>
        <v/>
      </c>
      <c r="U852" s="8">
        <f>IF(COUNT(D852:S852)=0,"",MEDIAN(D852:S852))</f>
        <v/>
      </c>
      <c r="V852" s="8">
        <f>IF(COUNT(D852:S852)=0,"",MAX(D852:S852))</f>
        <v/>
      </c>
      <c r="W852" s="9">
        <f>IF(OR(T852="",T852=0),"",(V852-T852)/T852)</f>
        <v/>
      </c>
      <c r="X852" s="7">
        <f>IF(COUNT(D852:S852)=0,"",INDEX($D$1:$S$1,MATCH(MIN(D852:S852),D852:S852,0)))</f>
        <v/>
      </c>
      <c r="Y852" s="8" t="n">
        <v>4121.5</v>
      </c>
      <c r="Z852" s="10" t="n">
        <v>1</v>
      </c>
    </row>
    <row r="853">
      <c r="A853" s="7" t="inlineStr">
        <is>
          <t>MAT-10-244</t>
        </is>
      </c>
      <c r="B853" s="4" t="inlineStr">
        <is>
          <t>Breaker enchufable 3P de 70 A</t>
        </is>
      </c>
      <c r="C853" s="7" t="inlineStr">
        <is>
          <t>unidad</t>
        </is>
      </c>
      <c r="D853" s="8" t="n"/>
      <c r="E853" s="8" t="n">
        <v>5328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>
        <f>IF(COUNT(D853:S853)=0,"",MIN(D853:S853))</f>
        <v/>
      </c>
      <c r="U853" s="8">
        <f>IF(COUNT(D853:S853)=0,"",MEDIAN(D853:S853))</f>
        <v/>
      </c>
      <c r="V853" s="8">
        <f>IF(COUNT(D853:S853)=0,"",MAX(D853:S853))</f>
        <v/>
      </c>
      <c r="W853" s="9">
        <f>IF(OR(T853="",T853=0),"",(V853-T853)/T853)</f>
        <v/>
      </c>
      <c r="X853" s="7">
        <f>IF(COUNT(D853:S853)=0,"",INDEX($D$1:$S$1,MATCH(MIN(D853:S853),D853:S853,0)))</f>
        <v/>
      </c>
      <c r="Y853" s="8" t="n">
        <v>5519</v>
      </c>
      <c r="Z853" s="10" t="n">
        <v>1</v>
      </c>
    </row>
    <row r="854">
      <c r="A854" s="7" t="inlineStr">
        <is>
          <t>MAT-10-245</t>
        </is>
      </c>
      <c r="B854" s="4" t="inlineStr">
        <is>
          <t>Breaker enchufable 3P de 80 A</t>
        </is>
      </c>
      <c r="C854" s="7" t="inlineStr">
        <is>
          <t>unidad</t>
        </is>
      </c>
      <c r="D854" s="8" t="n"/>
      <c r="E854" s="8" t="n">
        <v>5739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>
        <f>IF(COUNT(D854:S854)=0,"",MIN(D854:S854))</f>
        <v/>
      </c>
      <c r="U854" s="8">
        <f>IF(COUNT(D854:S854)=0,"",MEDIAN(D854:S854))</f>
        <v/>
      </c>
      <c r="V854" s="8">
        <f>IF(COUNT(D854:S854)=0,"",MAX(D854:S854))</f>
        <v/>
      </c>
      <c r="W854" s="9">
        <f>IF(OR(T854="",T854=0),"",(V854-T854)/T854)</f>
        <v/>
      </c>
      <c r="X854" s="7">
        <f>IF(COUNT(D854:S854)=0,"",INDEX($D$1:$S$1,MATCH(MIN(D854:S854),D854:S854,0)))</f>
        <v/>
      </c>
      <c r="Y854" s="8" t="n">
        <v>6059.5</v>
      </c>
      <c r="Z854" s="10" t="n">
        <v>1</v>
      </c>
    </row>
    <row r="855">
      <c r="A855" s="7" t="inlineStr">
        <is>
          <t>MAT-10-246</t>
        </is>
      </c>
      <c r="B855" s="4" t="inlineStr">
        <is>
          <t>Breaker enchufable 3P de 90 A</t>
        </is>
      </c>
      <c r="C855" s="7" t="inlineStr">
        <is>
          <t>unidad</t>
        </is>
      </c>
      <c r="D855" s="8" t="n"/>
      <c r="E855" s="8" t="n">
        <v>4647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>
        <f>IF(COUNT(D855:S855)=0,"",MIN(D855:S855))</f>
        <v/>
      </c>
      <c r="U855" s="8">
        <f>IF(COUNT(D855:S855)=0,"",MEDIAN(D855:S855))</f>
        <v/>
      </c>
      <c r="V855" s="8">
        <f>IF(COUNT(D855:S855)=0,"",MAX(D855:S855))</f>
        <v/>
      </c>
      <c r="W855" s="9">
        <f>IF(OR(T855="",T855=0),"",(V855-T855)/T855)</f>
        <v/>
      </c>
      <c r="X855" s="7">
        <f>IF(COUNT(D855:S855)=0,"",INDEX($D$1:$S$1,MATCH(MIN(D855:S855),D855:S855,0)))</f>
        <v/>
      </c>
      <c r="Y855" s="8" t="n">
        <v>4887.62</v>
      </c>
      <c r="Z855" s="10" t="n">
        <v>1</v>
      </c>
    </row>
    <row r="856">
      <c r="A856" s="7" t="inlineStr">
        <is>
          <t>MAT-10-247</t>
        </is>
      </c>
      <c r="B856" s="4" t="inlineStr">
        <is>
          <t>Panel de breakers de 1 espacios</t>
        </is>
      </c>
      <c r="C856" s="7" t="inlineStr">
        <is>
          <t>unidad</t>
        </is>
      </c>
      <c r="D856" s="8" t="n"/>
      <c r="E856" s="8" t="n">
        <v>9622.41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>
        <f>IF(COUNT(D856:S856)=0,"",MIN(D856:S856))</f>
        <v/>
      </c>
      <c r="U856" s="8">
        <f>IF(COUNT(D856:S856)=0,"",MEDIAN(D856:S856))</f>
        <v/>
      </c>
      <c r="V856" s="8">
        <f>IF(COUNT(D856:S856)=0,"",MAX(D856:S856))</f>
        <v/>
      </c>
      <c r="W856" s="9">
        <f>IF(OR(T856="",T856=0),"",(V856-T856)/T856)</f>
        <v/>
      </c>
      <c r="X856" s="7">
        <f>IF(COUNT(D856:S856)=0,"",INDEX($D$1:$S$1,MATCH(MIN(D856:S856),D856:S856,0)))</f>
        <v/>
      </c>
      <c r="Y856" s="8" t="n">
        <v>9622.41</v>
      </c>
      <c r="Z856" s="10" t="n">
        <v>1</v>
      </c>
    </row>
    <row r="857">
      <c r="A857" s="7" t="inlineStr">
        <is>
          <t>MAT-10-248</t>
        </is>
      </c>
      <c r="B857" s="4" t="inlineStr">
        <is>
          <t>Panel de breakers de 12 espacios</t>
        </is>
      </c>
      <c r="C857" s="7" t="inlineStr">
        <is>
          <t>unidad</t>
        </is>
      </c>
      <c r="D857" s="8" t="n"/>
      <c r="E857" s="8" t="n">
        <v>3829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>
        <f>IF(COUNT(D857:S857)=0,"",MIN(D857:S857))</f>
        <v/>
      </c>
      <c r="U857" s="8">
        <f>IF(COUNT(D857:S857)=0,"",MEDIAN(D857:S857))</f>
        <v/>
      </c>
      <c r="V857" s="8">
        <f>IF(COUNT(D857:S857)=0,"",MAX(D857:S857))</f>
        <v/>
      </c>
      <c r="W857" s="9">
        <f>IF(OR(T857="",T857=0),"",(V857-T857)/T857)</f>
        <v/>
      </c>
      <c r="X857" s="7">
        <f>IF(COUNT(D857:S857)=0,"",INDEX($D$1:$S$1,MATCH(MIN(D857:S857),D857:S857,0)))</f>
        <v/>
      </c>
      <c r="Y857" s="8" t="n">
        <v>3920</v>
      </c>
      <c r="Z857" s="10" t="n">
        <v>1</v>
      </c>
    </row>
    <row r="858">
      <c r="A858" s="7" t="inlineStr">
        <is>
          <t>MAT-10-249</t>
        </is>
      </c>
      <c r="B858" s="4" t="inlineStr">
        <is>
          <t>Panel de breakers de 16 espacios</t>
        </is>
      </c>
      <c r="C858" s="7" t="inlineStr">
        <is>
          <t>unidad</t>
        </is>
      </c>
      <c r="D858" s="8" t="n"/>
      <c r="E858" s="8" t="n">
        <v>1522</v>
      </c>
      <c r="F858" s="8" t="n"/>
      <c r="G858" s="8" t="n"/>
      <c r="H858" s="8" t="n"/>
      <c r="I858" s="8" t="n"/>
      <c r="J858" s="8" t="n"/>
      <c r="K858" s="8" t="n"/>
      <c r="L858" s="8" t="n">
        <v>4755</v>
      </c>
      <c r="M858" s="8" t="n"/>
      <c r="N858" s="8" t="n"/>
      <c r="O858" s="8" t="n"/>
      <c r="P858" s="8" t="n"/>
      <c r="Q858" s="8" t="n"/>
      <c r="R858" s="8" t="n"/>
      <c r="S858" s="8" t="n"/>
      <c r="T858" s="8">
        <f>IF(COUNT(D858:S858)=0,"",MIN(D858:S858))</f>
        <v/>
      </c>
      <c r="U858" s="8">
        <f>IF(COUNT(D858:S858)=0,"",MEDIAN(D858:S858))</f>
        <v/>
      </c>
      <c r="V858" s="8">
        <f>IF(COUNT(D858:S858)=0,"",MAX(D858:S858))</f>
        <v/>
      </c>
      <c r="W858" s="9">
        <f>IF(OR(T858="",T858=0),"",(V858-T858)/T858)</f>
        <v/>
      </c>
      <c r="X858" s="7">
        <f>IF(COUNT(D858:S858)=0,"",INDEX($D$1:$S$1,MATCH(MIN(D858:S858),D858:S858,0)))</f>
        <v/>
      </c>
      <c r="Y858" s="8" t="n">
        <v>4044</v>
      </c>
      <c r="Z858" s="10" t="n">
        <v>2</v>
      </c>
    </row>
    <row r="859">
      <c r="A859" s="7" t="inlineStr">
        <is>
          <t>MAT-10-250</t>
        </is>
      </c>
      <c r="B859" s="4" t="inlineStr">
        <is>
          <t>Panel de breakers de 18 espacios</t>
        </is>
      </c>
      <c r="C859" s="7" t="inlineStr">
        <is>
          <t>unidad</t>
        </is>
      </c>
      <c r="D859" s="8" t="n"/>
      <c r="E859" s="8" t="n">
        <v>14240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>
        <f>IF(COUNT(D859:S859)=0,"",MIN(D859:S859))</f>
        <v/>
      </c>
      <c r="U859" s="8">
        <f>IF(COUNT(D859:S859)=0,"",MEDIAN(D859:S859))</f>
        <v/>
      </c>
      <c r="V859" s="8">
        <f>IF(COUNT(D859:S859)=0,"",MAX(D859:S859))</f>
        <v/>
      </c>
      <c r="W859" s="9">
        <f>IF(OR(T859="",T859=0),"",(V859-T859)/T859)</f>
        <v/>
      </c>
      <c r="X859" s="7">
        <f>IF(COUNT(D859:S859)=0,"",INDEX($D$1:$S$1,MATCH(MIN(D859:S859),D859:S859,0)))</f>
        <v/>
      </c>
      <c r="Y859" s="8" t="n">
        <v>14240</v>
      </c>
      <c r="Z859" s="10" t="n">
        <v>1</v>
      </c>
    </row>
    <row r="860">
      <c r="A860" s="7" t="inlineStr">
        <is>
          <t>MAT-10-251</t>
        </is>
      </c>
      <c r="B860" s="4" t="inlineStr">
        <is>
          <t>Panel de breakers de 2 espacios</t>
        </is>
      </c>
      <c r="C860" s="7" t="inlineStr">
        <is>
          <t>unidad</t>
        </is>
      </c>
      <c r="D860" s="8" t="n"/>
      <c r="E860" s="8" t="n">
        <v>180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>
        <f>IF(COUNT(D860:S860)=0,"",MIN(D860:S860))</f>
        <v/>
      </c>
      <c r="U860" s="8">
        <f>IF(COUNT(D860:S860)=0,"",MEDIAN(D860:S860))</f>
        <v/>
      </c>
      <c r="V860" s="8">
        <f>IF(COUNT(D860:S860)=0,"",MAX(D860:S860))</f>
        <v/>
      </c>
      <c r="W860" s="9">
        <f>IF(OR(T860="",T860=0),"",(V860-T860)/T860)</f>
        <v/>
      </c>
      <c r="X860" s="7">
        <f>IF(COUNT(D860:S860)=0,"",INDEX($D$1:$S$1,MATCH(MIN(D860:S860),D860:S860,0)))</f>
        <v/>
      </c>
      <c r="Y860" s="8" t="n">
        <v>180</v>
      </c>
      <c r="Z860" s="10" t="n">
        <v>1</v>
      </c>
    </row>
    <row r="861">
      <c r="A861" s="7" t="inlineStr">
        <is>
          <t>MAT-10-252</t>
        </is>
      </c>
      <c r="B861" s="4" t="inlineStr">
        <is>
          <t>Panel de breakers de 24 espacios</t>
        </is>
      </c>
      <c r="C861" s="7" t="inlineStr">
        <is>
          <t>unidad</t>
        </is>
      </c>
      <c r="D861" s="8" t="n"/>
      <c r="E861" s="8" t="n">
        <v>4431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>
        <f>IF(COUNT(D861:S861)=0,"",MIN(D861:S861))</f>
        <v/>
      </c>
      <c r="U861" s="8">
        <f>IF(COUNT(D861:S861)=0,"",MEDIAN(D861:S861))</f>
        <v/>
      </c>
      <c r="V861" s="8">
        <f>IF(COUNT(D861:S861)=0,"",MAX(D861:S861))</f>
        <v/>
      </c>
      <c r="W861" s="9">
        <f>IF(OR(T861="",T861=0),"",(V861-T861)/T861)</f>
        <v/>
      </c>
      <c r="X861" s="7">
        <f>IF(COUNT(D861:S861)=0,"",INDEX($D$1:$S$1,MATCH(MIN(D861:S861),D861:S861,0)))</f>
        <v/>
      </c>
      <c r="Y861" s="8" t="n">
        <v>11419.5</v>
      </c>
      <c r="Z861" s="10" t="n">
        <v>1</v>
      </c>
    </row>
    <row r="862">
      <c r="A862" s="7" t="inlineStr">
        <is>
          <t>MAT-10-253</t>
        </is>
      </c>
      <c r="B862" s="4" t="inlineStr">
        <is>
          <t>Panel de breakers de 3 espacios</t>
        </is>
      </c>
      <c r="C862" s="7" t="inlineStr">
        <is>
          <t>unidad</t>
        </is>
      </c>
      <c r="D862" s="8" t="n"/>
      <c r="E862" s="8" t="n">
        <v>5730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>
        <f>IF(COUNT(D862:S862)=0,"",MIN(D862:S862))</f>
        <v/>
      </c>
      <c r="U862" s="8">
        <f>IF(COUNT(D862:S862)=0,"",MEDIAN(D862:S862))</f>
        <v/>
      </c>
      <c r="V862" s="8">
        <f>IF(COUNT(D862:S862)=0,"",MAX(D862:S862))</f>
        <v/>
      </c>
      <c r="W862" s="9">
        <f>IF(OR(T862="",T862=0),"",(V862-T862)/T862)</f>
        <v/>
      </c>
      <c r="X862" s="7">
        <f>IF(COUNT(D862:S862)=0,"",INDEX($D$1:$S$1,MATCH(MIN(D862:S862),D862:S862,0)))</f>
        <v/>
      </c>
      <c r="Y862" s="8" t="n">
        <v>5730</v>
      </c>
      <c r="Z862" s="10" t="n">
        <v>1</v>
      </c>
    </row>
    <row r="863">
      <c r="A863" s="7" t="inlineStr">
        <is>
          <t>MAT-10-254</t>
        </is>
      </c>
      <c r="B863" s="4" t="inlineStr">
        <is>
          <t>Panel de breakers de 30 espacios</t>
        </is>
      </c>
      <c r="C863" s="7" t="inlineStr">
        <is>
          <t>unidad</t>
        </is>
      </c>
      <c r="D863" s="8" t="n"/>
      <c r="E863" s="8" t="n">
        <v>14169.46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>
        <f>IF(COUNT(D863:S863)=0,"",MIN(D863:S863))</f>
        <v/>
      </c>
      <c r="U863" s="8">
        <f>IF(COUNT(D863:S863)=0,"",MEDIAN(D863:S863))</f>
        <v/>
      </c>
      <c r="V863" s="8">
        <f>IF(COUNT(D863:S863)=0,"",MAX(D863:S863))</f>
        <v/>
      </c>
      <c r="W863" s="9">
        <f>IF(OR(T863="",T863=0),"",(V863-T863)/T863)</f>
        <v/>
      </c>
      <c r="X863" s="7">
        <f>IF(COUNT(D863:S863)=0,"",INDEX($D$1:$S$1,MATCH(MIN(D863:S863),D863:S863,0)))</f>
        <v/>
      </c>
      <c r="Y863" s="8" t="n">
        <v>14169.46</v>
      </c>
      <c r="Z863" s="10" t="n">
        <v>1</v>
      </c>
    </row>
    <row r="864">
      <c r="A864" s="7" t="inlineStr">
        <is>
          <t>MAT-10-255</t>
        </is>
      </c>
      <c r="B864" s="4" t="inlineStr">
        <is>
          <t>Panel de breakers de 32 espacios</t>
        </is>
      </c>
      <c r="C864" s="7" t="inlineStr">
        <is>
          <t>unidad</t>
        </is>
      </c>
      <c r="D864" s="8" t="n"/>
      <c r="E864" s="8" t="n">
        <v>8136.48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>
        <f>IF(COUNT(D864:S864)=0,"",MIN(D864:S864))</f>
        <v/>
      </c>
      <c r="U864" s="8">
        <f>IF(COUNT(D864:S864)=0,"",MEDIAN(D864:S864))</f>
        <v/>
      </c>
      <c r="V864" s="8">
        <f>IF(COUNT(D864:S864)=0,"",MAX(D864:S864))</f>
        <v/>
      </c>
      <c r="W864" s="9">
        <f>IF(OR(T864="",T864=0),"",(V864-T864)/T864)</f>
        <v/>
      </c>
      <c r="X864" s="7">
        <f>IF(COUNT(D864:S864)=0,"",INDEX($D$1:$S$1,MATCH(MIN(D864:S864),D864:S864,0)))</f>
        <v/>
      </c>
      <c r="Y864" s="8" t="n">
        <v>8136.48</v>
      </c>
      <c r="Z864" s="10" t="n">
        <v>1</v>
      </c>
    </row>
    <row r="865">
      <c r="A865" s="7" t="inlineStr">
        <is>
          <t>MAT-10-256</t>
        </is>
      </c>
      <c r="B865" s="4" t="inlineStr">
        <is>
          <t>Panel de breakers de 36 espacios</t>
        </is>
      </c>
      <c r="C865" s="7" t="inlineStr">
        <is>
          <t>unidad</t>
        </is>
      </c>
      <c r="D865" s="8" t="n"/>
      <c r="E865" s="8" t="n">
        <v>16369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>
        <f>IF(COUNT(D865:S865)=0,"",MIN(D865:S865))</f>
        <v/>
      </c>
      <c r="U865" s="8">
        <f>IF(COUNT(D865:S865)=0,"",MEDIAN(D865:S865))</f>
        <v/>
      </c>
      <c r="V865" s="8">
        <f>IF(COUNT(D865:S865)=0,"",MAX(D865:S865))</f>
        <v/>
      </c>
      <c r="W865" s="9">
        <f>IF(OR(T865="",T865=0),"",(V865-T865)/T865)</f>
        <v/>
      </c>
      <c r="X865" s="7">
        <f>IF(COUNT(D865:S865)=0,"",INDEX($D$1:$S$1,MATCH(MIN(D865:S865),D865:S865,0)))</f>
        <v/>
      </c>
      <c r="Y865" s="8" t="n">
        <v>16369</v>
      </c>
      <c r="Z865" s="10" t="n">
        <v>1</v>
      </c>
    </row>
    <row r="866">
      <c r="A866" s="7" t="inlineStr">
        <is>
          <t>MAT-10-257</t>
        </is>
      </c>
      <c r="B866" s="4" t="inlineStr">
        <is>
          <t>Panel de breakers de 4 espacios</t>
        </is>
      </c>
      <c r="C866" s="7" t="inlineStr">
        <is>
          <t>unidad</t>
        </is>
      </c>
      <c r="D866" s="8" t="n"/>
      <c r="E866" s="8" t="n">
        <v>629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>
        <f>IF(COUNT(D866:S866)=0,"",MIN(D866:S866))</f>
        <v/>
      </c>
      <c r="U866" s="8">
        <f>IF(COUNT(D866:S866)=0,"",MEDIAN(D866:S866))</f>
        <v/>
      </c>
      <c r="V866" s="8">
        <f>IF(COUNT(D866:S866)=0,"",MAX(D866:S866))</f>
        <v/>
      </c>
      <c r="W866" s="9">
        <f>IF(OR(T866="",T866=0),"",(V866-T866)/T866)</f>
        <v/>
      </c>
      <c r="X866" s="7">
        <f>IF(COUNT(D866:S866)=0,"",INDEX($D$1:$S$1,MATCH(MIN(D866:S866),D866:S866,0)))</f>
        <v/>
      </c>
      <c r="Y866" s="8" t="n">
        <v>1855</v>
      </c>
      <c r="Z866" s="10" t="n">
        <v>1</v>
      </c>
    </row>
    <row r="867">
      <c r="A867" s="7" t="inlineStr">
        <is>
          <t>MAT-10-258</t>
        </is>
      </c>
      <c r="B867" s="4" t="inlineStr">
        <is>
          <t>Panel de breakers de 40 espacios</t>
        </is>
      </c>
      <c r="C867" s="7" t="inlineStr">
        <is>
          <t>unidad</t>
        </is>
      </c>
      <c r="D867" s="8" t="n"/>
      <c r="E867" s="8" t="n">
        <v>9743.09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>
        <f>IF(COUNT(D867:S867)=0,"",MIN(D867:S867))</f>
        <v/>
      </c>
      <c r="U867" s="8">
        <f>IF(COUNT(D867:S867)=0,"",MEDIAN(D867:S867))</f>
        <v/>
      </c>
      <c r="V867" s="8">
        <f>IF(COUNT(D867:S867)=0,"",MAX(D867:S867))</f>
        <v/>
      </c>
      <c r="W867" s="9">
        <f>IF(OR(T867="",T867=0),"",(V867-T867)/T867)</f>
        <v/>
      </c>
      <c r="X867" s="7">
        <f>IF(COUNT(D867:S867)=0,"",INDEX($D$1:$S$1,MATCH(MIN(D867:S867),D867:S867,0)))</f>
        <v/>
      </c>
      <c r="Y867" s="8" t="n">
        <v>9743.09</v>
      </c>
      <c r="Z867" s="10" t="n">
        <v>1</v>
      </c>
    </row>
    <row r="868">
      <c r="A868" s="7" t="inlineStr">
        <is>
          <t>MAT-10-259</t>
        </is>
      </c>
      <c r="B868" s="4" t="inlineStr">
        <is>
          <t>Panel de breakers de 42 espacios</t>
        </is>
      </c>
      <c r="C868" s="7" t="inlineStr">
        <is>
          <t>unidad</t>
        </is>
      </c>
      <c r="D868" s="8" t="n"/>
      <c r="E868" s="8" t="n">
        <v>11250.61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>
        <f>IF(COUNT(D868:S868)=0,"",MIN(D868:S868))</f>
        <v/>
      </c>
      <c r="U868" s="8">
        <f>IF(COUNT(D868:S868)=0,"",MEDIAN(D868:S868))</f>
        <v/>
      </c>
      <c r="V868" s="8">
        <f>IF(COUNT(D868:S868)=0,"",MAX(D868:S868))</f>
        <v/>
      </c>
      <c r="W868" s="9">
        <f>IF(OR(T868="",T868=0),"",(V868-T868)/T868)</f>
        <v/>
      </c>
      <c r="X868" s="7">
        <f>IF(COUNT(D868:S868)=0,"",INDEX($D$1:$S$1,MATCH(MIN(D868:S868),D868:S868,0)))</f>
        <v/>
      </c>
      <c r="Y868" s="8" t="n">
        <v>20121.46</v>
      </c>
      <c r="Z868" s="10" t="n">
        <v>1</v>
      </c>
    </row>
    <row r="869">
      <c r="A869" s="7" t="inlineStr">
        <is>
          <t>MAT-10-260</t>
        </is>
      </c>
      <c r="B869" s="4" t="inlineStr">
        <is>
          <t>Panel de breakers de 48 espacios</t>
        </is>
      </c>
      <c r="C869" s="7" t="inlineStr">
        <is>
          <t>unidad</t>
        </is>
      </c>
      <c r="D869" s="8" t="n"/>
      <c r="E869" s="8" t="n">
        <v>11883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>
        <f>IF(COUNT(D869:S869)=0,"",MIN(D869:S869))</f>
        <v/>
      </c>
      <c r="U869" s="8">
        <f>IF(COUNT(D869:S869)=0,"",MEDIAN(D869:S869))</f>
        <v/>
      </c>
      <c r="V869" s="8">
        <f>IF(COUNT(D869:S869)=0,"",MAX(D869:S869))</f>
        <v/>
      </c>
      <c r="W869" s="9">
        <f>IF(OR(T869="",T869=0),"",(V869-T869)/T869)</f>
        <v/>
      </c>
      <c r="X869" s="7">
        <f>IF(COUNT(D869:S869)=0,"",INDEX($D$1:$S$1,MATCH(MIN(D869:S869),D869:S869,0)))</f>
        <v/>
      </c>
      <c r="Y869" s="8" t="n">
        <v>11883</v>
      </c>
      <c r="Z869" s="10" t="n">
        <v>1</v>
      </c>
    </row>
    <row r="870">
      <c r="A870" s="7" t="inlineStr">
        <is>
          <t>MAT-10-261</t>
        </is>
      </c>
      <c r="B870" s="4" t="inlineStr">
        <is>
          <t>Panel de breakers de 60 espacios</t>
        </is>
      </c>
      <c r="C870" s="7" t="inlineStr">
        <is>
          <t>unidad</t>
        </is>
      </c>
      <c r="D870" s="8" t="n"/>
      <c r="E870" s="8" t="n">
        <v>10527.54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>
        <f>IF(COUNT(D870:S870)=0,"",MIN(D870:S870))</f>
        <v/>
      </c>
      <c r="U870" s="8">
        <f>IF(COUNT(D870:S870)=0,"",MEDIAN(D870:S870))</f>
        <v/>
      </c>
      <c r="V870" s="8">
        <f>IF(COUNT(D870:S870)=0,"",MAX(D870:S870))</f>
        <v/>
      </c>
      <c r="W870" s="9">
        <f>IF(OR(T870="",T870=0),"",(V870-T870)/T870)</f>
        <v/>
      </c>
      <c r="X870" s="7">
        <f>IF(COUNT(D870:S870)=0,"",INDEX($D$1:$S$1,MATCH(MIN(D870:S870),D870:S870,0)))</f>
        <v/>
      </c>
      <c r="Y870" s="8" t="n">
        <v>10527.54</v>
      </c>
      <c r="Z870" s="10" t="n">
        <v>1</v>
      </c>
    </row>
    <row r="871">
      <c r="A871" s="7" t="inlineStr">
        <is>
          <t>MAT-10-262</t>
        </is>
      </c>
      <c r="B871" s="4" t="inlineStr">
        <is>
          <t>Panel de breakers de 8 espacios</t>
        </is>
      </c>
      <c r="C871" s="7" t="inlineStr">
        <is>
          <t>unidad</t>
        </is>
      </c>
      <c r="D871" s="8" t="n"/>
      <c r="E871" s="8" t="n">
        <v>1145</v>
      </c>
      <c r="F871" s="8" t="n"/>
      <c r="G871" s="8" t="n"/>
      <c r="H871" s="8" t="n"/>
      <c r="I871" s="8" t="n"/>
      <c r="J871" s="8" t="n"/>
      <c r="K871" s="8" t="n"/>
      <c r="L871" s="8" t="n">
        <v>566</v>
      </c>
      <c r="M871" s="8" t="n"/>
      <c r="N871" s="8" t="n"/>
      <c r="O871" s="8" t="n"/>
      <c r="P871" s="8" t="n"/>
      <c r="Q871" s="8" t="n"/>
      <c r="R871" s="8" t="n"/>
      <c r="S871" s="8" t="n"/>
      <c r="T871" s="8">
        <f>IF(COUNT(D871:S871)=0,"",MIN(D871:S871))</f>
        <v/>
      </c>
      <c r="U871" s="8">
        <f>IF(COUNT(D871:S871)=0,"",MEDIAN(D871:S871))</f>
        <v/>
      </c>
      <c r="V871" s="8">
        <f>IF(COUNT(D871:S871)=0,"",MAX(D871:S871))</f>
        <v/>
      </c>
      <c r="W871" s="9">
        <f>IF(OR(T871="",T871=0),"",(V871-T871)/T871)</f>
        <v/>
      </c>
      <c r="X871" s="7">
        <f>IF(COUNT(D871:S871)=0,"",INDEX($D$1:$S$1,MATCH(MIN(D871:S871),D871:S871,0)))</f>
        <v/>
      </c>
      <c r="Y871" s="8" t="n">
        <v>1929.79</v>
      </c>
      <c r="Z871" s="10" t="n">
        <v>2</v>
      </c>
    </row>
    <row r="872">
      <c r="A872" s="7" t="inlineStr">
        <is>
          <t>MAT-10-263</t>
        </is>
      </c>
      <c r="B872" s="4" t="inlineStr">
        <is>
          <t>Caja de breaker principal de 125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6160</v>
      </c>
      <c r="M872" s="8" t="n"/>
      <c r="N872" s="8" t="n"/>
      <c r="O872" s="8" t="n"/>
      <c r="P872" s="8" t="n"/>
      <c r="Q872" s="8" t="n"/>
      <c r="R872" s="8" t="n"/>
      <c r="S872" s="8" t="n"/>
      <c r="T872" s="8">
        <f>IF(COUNT(D872:S872)=0,"",MIN(D872:S872))</f>
        <v/>
      </c>
      <c r="U872" s="8">
        <f>IF(COUNT(D872:S872)=0,"",MEDIAN(D872:S872))</f>
        <v/>
      </c>
      <c r="V872" s="8">
        <f>IF(COUNT(D872:S872)=0,"",MAX(D872:S872))</f>
        <v/>
      </c>
      <c r="W872" s="9">
        <f>IF(OR(T872="",T872=0),"",(V872-T872)/T872)</f>
        <v/>
      </c>
      <c r="X872" s="7">
        <f>IF(COUNT(D872:S872)=0,"",INDEX($D$1:$S$1,MATCH(MIN(D872:S872),D872:S872,0)))</f>
        <v/>
      </c>
      <c r="Y872" s="8" t="n">
        <v>6160</v>
      </c>
      <c r="Z872" s="10" t="n">
        <v>1</v>
      </c>
    </row>
    <row r="873">
      <c r="A873" s="7" t="inlineStr">
        <is>
          <t>MAT-10-264</t>
        </is>
      </c>
      <c r="B873" s="4" t="inlineStr">
        <is>
          <t>Caja de breaker principal de 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815</v>
      </c>
      <c r="M873" s="8" t="n"/>
      <c r="N873" s="8" t="n"/>
      <c r="O873" s="8" t="n"/>
      <c r="P873" s="8" t="n"/>
      <c r="Q873" s="8" t="n"/>
      <c r="R873" s="8" t="n"/>
      <c r="S873" s="8" t="n"/>
      <c r="T873" s="8">
        <f>IF(COUNT(D873:S873)=0,"",MIN(D873:S873))</f>
        <v/>
      </c>
      <c r="U873" s="8">
        <f>IF(COUNT(D873:S873)=0,"",MEDIAN(D873:S873))</f>
        <v/>
      </c>
      <c r="V873" s="8">
        <f>IF(COUNT(D873:S873)=0,"",MAX(D873:S873))</f>
        <v/>
      </c>
      <c r="W873" s="9">
        <f>IF(OR(T873="",T873=0),"",(V873-T873)/T873)</f>
        <v/>
      </c>
      <c r="X873" s="7">
        <f>IF(COUNT(D873:S873)=0,"",INDEX($D$1:$S$1,MATCH(MIN(D873:S873),D873:S873,0)))</f>
        <v/>
      </c>
      <c r="Y873" s="8" t="n">
        <v>815</v>
      </c>
      <c r="Z873" s="10" t="n">
        <v>1</v>
      </c>
    </row>
    <row r="874">
      <c r="A874" s="7" t="inlineStr">
        <is>
          <t>MAT-10-265</t>
        </is>
      </c>
      <c r="B874" s="4" t="inlineStr">
        <is>
          <t>Caja de breaker principal de 32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700</v>
      </c>
      <c r="M874" s="8" t="n"/>
      <c r="N874" s="8" t="n"/>
      <c r="O874" s="8" t="n"/>
      <c r="P874" s="8" t="n"/>
      <c r="Q874" s="8" t="n"/>
      <c r="R874" s="8" t="n"/>
      <c r="S874" s="8" t="n"/>
      <c r="T874" s="8">
        <f>IF(COUNT(D874:S874)=0,"",MIN(D874:S874))</f>
        <v/>
      </c>
      <c r="U874" s="8">
        <f>IF(COUNT(D874:S874)=0,"",MEDIAN(D874:S874))</f>
        <v/>
      </c>
      <c r="V874" s="8">
        <f>IF(COUNT(D874:S874)=0,"",MAX(D874:S874))</f>
        <v/>
      </c>
      <c r="W874" s="9">
        <f>IF(OR(T874="",T874=0),"",(V874-T874)/T874)</f>
        <v/>
      </c>
      <c r="X874" s="7">
        <f>IF(COUNT(D874:S874)=0,"",INDEX($D$1:$S$1,MATCH(MIN(D874:S874),D874:S874,0)))</f>
        <v/>
      </c>
      <c r="Y874" s="8" t="n">
        <v>700</v>
      </c>
      <c r="Z874" s="10" t="n">
        <v>1</v>
      </c>
    </row>
    <row r="875">
      <c r="A875" s="7" t="inlineStr">
        <is>
          <t>MAT-10-266</t>
        </is>
      </c>
      <c r="B875" s="4" t="inlineStr">
        <is>
          <t>Switch de doble tiro 2P de 30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675</v>
      </c>
      <c r="M875" s="8" t="n"/>
      <c r="N875" s="8" t="n"/>
      <c r="O875" s="8" t="n"/>
      <c r="P875" s="8" t="n"/>
      <c r="Q875" s="8" t="n"/>
      <c r="R875" s="8" t="n"/>
      <c r="S875" s="8" t="n"/>
      <c r="T875" s="8">
        <f>IF(COUNT(D875:S875)=0,"",MIN(D875:S875))</f>
        <v/>
      </c>
      <c r="U875" s="8">
        <f>IF(COUNT(D875:S875)=0,"",MEDIAN(D875:S875))</f>
        <v/>
      </c>
      <c r="V875" s="8">
        <f>IF(COUNT(D875:S875)=0,"",MAX(D875:S875))</f>
        <v/>
      </c>
      <c r="W875" s="9">
        <f>IF(OR(T875="",T875=0),"",(V875-T875)/T875)</f>
        <v/>
      </c>
      <c r="X875" s="7">
        <f>IF(COUNT(D875:S875)=0,"",INDEX($D$1:$S$1,MATCH(MIN(D875:S875),D875:S875,0)))</f>
        <v/>
      </c>
      <c r="Y875" s="8" t="n">
        <v>675</v>
      </c>
      <c r="Z875" s="10" t="n">
        <v>1</v>
      </c>
    </row>
    <row r="876">
      <c r="A876" s="7" t="inlineStr">
        <is>
          <t>MAT-10-267</t>
        </is>
      </c>
      <c r="B876" s="4" t="inlineStr">
        <is>
          <t>Switch de doble tiro 2P de 60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1805</v>
      </c>
      <c r="M876" s="8" t="n"/>
      <c r="N876" s="8" t="n"/>
      <c r="O876" s="8" t="n"/>
      <c r="P876" s="8" t="n"/>
      <c r="Q876" s="8" t="n"/>
      <c r="R876" s="8" t="n"/>
      <c r="S876" s="8" t="n"/>
      <c r="T876" s="8">
        <f>IF(COUNT(D876:S876)=0,"",MIN(D876:S876))</f>
        <v/>
      </c>
      <c r="U876" s="8">
        <f>IF(COUNT(D876:S876)=0,"",MEDIAN(D876:S876))</f>
        <v/>
      </c>
      <c r="V876" s="8">
        <f>IF(COUNT(D876:S876)=0,"",MAX(D876:S876))</f>
        <v/>
      </c>
      <c r="W876" s="9">
        <f>IF(OR(T876="",T876=0),"",(V876-T876)/T876)</f>
        <v/>
      </c>
      <c r="X876" s="7">
        <f>IF(COUNT(D876:S876)=0,"",INDEX($D$1:$S$1,MATCH(MIN(D876:S876),D876:S876,0)))</f>
        <v/>
      </c>
      <c r="Y876" s="8" t="n">
        <v>1805</v>
      </c>
      <c r="Z876" s="10" t="n">
        <v>1</v>
      </c>
    </row>
    <row r="877">
      <c r="A877" s="7" t="inlineStr">
        <is>
          <t>MAT-10-268</t>
        </is>
      </c>
      <c r="B877" s="4" t="inlineStr">
        <is>
          <t>Fusible de 30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50</v>
      </c>
      <c r="M877" s="8" t="n"/>
      <c r="N877" s="8" t="n"/>
      <c r="O877" s="8" t="n"/>
      <c r="P877" s="8" t="n"/>
      <c r="Q877" s="8" t="n"/>
      <c r="R877" s="8" t="n"/>
      <c r="S877" s="8" t="n"/>
      <c r="T877" s="8">
        <f>IF(COUNT(D877:S877)=0,"",MIN(D877:S877))</f>
        <v/>
      </c>
      <c r="U877" s="8">
        <f>IF(COUNT(D877:S877)=0,"",MEDIAN(D877:S877))</f>
        <v/>
      </c>
      <c r="V877" s="8">
        <f>IF(COUNT(D877:S877)=0,"",MAX(D877:S877))</f>
        <v/>
      </c>
      <c r="W877" s="9">
        <f>IF(OR(T877="",T877=0),"",(V877-T877)/T877)</f>
        <v/>
      </c>
      <c r="X877" s="7">
        <f>IF(COUNT(D877:S877)=0,"",INDEX($D$1:$S$1,MATCH(MIN(D877:S877),D877:S877,0)))</f>
        <v/>
      </c>
      <c r="Y877" s="8" t="n">
        <v>50</v>
      </c>
      <c r="Z877" s="10" t="n">
        <v>1</v>
      </c>
    </row>
    <row r="878">
      <c r="A878" s="7" t="inlineStr">
        <is>
          <t>MAT-10-269</t>
        </is>
      </c>
      <c r="B878" s="4" t="inlineStr">
        <is>
          <t>Fusible de 60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140</v>
      </c>
      <c r="M878" s="8" t="n"/>
      <c r="N878" s="8" t="n"/>
      <c r="O878" s="8" t="n"/>
      <c r="P878" s="8" t="n"/>
      <c r="Q878" s="8" t="n"/>
      <c r="R878" s="8" t="n"/>
      <c r="S878" s="8" t="n"/>
      <c r="T878" s="8">
        <f>IF(COUNT(D878:S878)=0,"",MIN(D878:S878))</f>
        <v/>
      </c>
      <c r="U878" s="8">
        <f>IF(COUNT(D878:S878)=0,"",MEDIAN(D878:S878))</f>
        <v/>
      </c>
      <c r="V878" s="8">
        <f>IF(COUNT(D878:S878)=0,"",MAX(D878:S878))</f>
        <v/>
      </c>
      <c r="W878" s="9">
        <f>IF(OR(T878="",T878=0),"",(V878-T878)/T878)</f>
        <v/>
      </c>
      <c r="X878" s="7">
        <f>IF(COUNT(D878:S878)=0,"",INDEX($D$1:$S$1,MATCH(MIN(D878:S878),D878:S878,0)))</f>
        <v/>
      </c>
      <c r="Y878" s="8" t="n">
        <v>140</v>
      </c>
      <c r="Z878" s="10" t="n">
        <v>1</v>
      </c>
    </row>
    <row r="879">
      <c r="A879" s="7" t="inlineStr">
        <is>
          <t>MAT-10-270</t>
        </is>
      </c>
      <c r="B879" s="4" t="inlineStr">
        <is>
          <t>Protector de voltaje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745</v>
      </c>
      <c r="M879" s="8" t="n"/>
      <c r="N879" s="8" t="n"/>
      <c r="O879" s="8" t="n"/>
      <c r="P879" s="8" t="n"/>
      <c r="Q879" s="8" t="n"/>
      <c r="R879" s="8" t="n"/>
      <c r="S879" s="8" t="n"/>
      <c r="T879" s="8">
        <f>IF(COUNT(D879:S879)=0,"",MIN(D879:S879))</f>
        <v/>
      </c>
      <c r="U879" s="8">
        <f>IF(COUNT(D879:S879)=0,"",MEDIAN(D879:S879))</f>
        <v/>
      </c>
      <c r="V879" s="8">
        <f>IF(COUNT(D879:S879)=0,"",MAX(D879:S879))</f>
        <v/>
      </c>
      <c r="W879" s="9">
        <f>IF(OR(T879="",T879=0),"",(V879-T879)/T879)</f>
        <v/>
      </c>
      <c r="X879" s="7">
        <f>IF(COUNT(D879:S879)=0,"",INDEX($D$1:$S$1,MATCH(MIN(D879:S879),D879:S879,0)))</f>
        <v/>
      </c>
      <c r="Y879" s="8" t="n">
        <v>950.01</v>
      </c>
      <c r="Z879" s="10" t="n">
        <v>1</v>
      </c>
    </row>
    <row r="880">
      <c r="A880" s="7" t="inlineStr">
        <is>
          <t>MAT-10-271</t>
        </is>
      </c>
      <c r="B880" s="4" t="inlineStr">
        <is>
          <t>Regulador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1395</v>
      </c>
      <c r="M880" s="8" t="n"/>
      <c r="N880" s="8" t="n"/>
      <c r="O880" s="8" t="n"/>
      <c r="P880" s="8" t="n"/>
      <c r="Q880" s="8" t="n"/>
      <c r="R880" s="8" t="n"/>
      <c r="S880" s="8" t="n"/>
      <c r="T880" s="8">
        <f>IF(COUNT(D880:S880)=0,"",MIN(D880:S880))</f>
        <v/>
      </c>
      <c r="U880" s="8">
        <f>IF(COUNT(D880:S880)=0,"",MEDIAN(D880:S880))</f>
        <v/>
      </c>
      <c r="V880" s="8">
        <f>IF(COUNT(D880:S880)=0,"",MAX(D880:S880))</f>
        <v/>
      </c>
      <c r="W880" s="9">
        <f>IF(OR(T880="",T880=0),"",(V880-T880)/T880)</f>
        <v/>
      </c>
      <c r="X880" s="7">
        <f>IF(COUNT(D880:S880)=0,"",INDEX($D$1:$S$1,MATCH(MIN(D880:S880),D880:S880,0)))</f>
        <v/>
      </c>
      <c r="Y880" s="8" t="n">
        <v>1395</v>
      </c>
      <c r="Z880" s="10" t="n">
        <v>1</v>
      </c>
    </row>
    <row r="881">
      <c r="A881" s="7" t="inlineStr">
        <is>
          <t>MAT-10-272</t>
        </is>
      </c>
      <c r="B881" s="4" t="inlineStr">
        <is>
          <t>Tubo eléctrico EMT 1 1/2" x 10 pies</t>
        </is>
      </c>
      <c r="C881" s="7" t="inlineStr">
        <is>
          <t>tubo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725</v>
      </c>
      <c r="M881" s="8" t="n"/>
      <c r="N881" s="8" t="n"/>
      <c r="O881" s="8" t="n"/>
      <c r="P881" s="8" t="n"/>
      <c r="Q881" s="8" t="n"/>
      <c r="R881" s="8" t="n"/>
      <c r="S881" s="8" t="n"/>
      <c r="T881" s="8">
        <f>IF(COUNT(D881:S881)=0,"",MIN(D881:S881))</f>
        <v/>
      </c>
      <c r="U881" s="8">
        <f>IF(COUNT(D881:S881)=0,"",MEDIAN(D881:S881))</f>
        <v/>
      </c>
      <c r="V881" s="8">
        <f>IF(COUNT(D881:S881)=0,"",MAX(D881:S881))</f>
        <v/>
      </c>
      <c r="W881" s="9">
        <f>IF(OR(T881="",T881=0),"",(V881-T881)/T881)</f>
        <v/>
      </c>
      <c r="X881" s="7">
        <f>IF(COUNT(D881:S881)=0,"",INDEX($D$1:$S$1,MATCH(MIN(D881:S881),D881:S881,0)))</f>
        <v/>
      </c>
      <c r="Y881" s="8" t="n">
        <v>725</v>
      </c>
      <c r="Z881" s="10" t="n">
        <v>1</v>
      </c>
    </row>
    <row r="882">
      <c r="A882" s="7" t="inlineStr">
        <is>
          <t>MAT-10-273</t>
        </is>
      </c>
      <c r="B882" s="4" t="inlineStr">
        <is>
          <t>Tubo eléctrico EMT 1"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375</v>
      </c>
      <c r="M882" s="8" t="n"/>
      <c r="N882" s="8" t="n"/>
      <c r="O882" s="8" t="n"/>
      <c r="P882" s="8" t="n"/>
      <c r="Q882" s="8" t="n"/>
      <c r="R882" s="8" t="n"/>
      <c r="S882" s="8" t="n"/>
      <c r="T882" s="8">
        <f>IF(COUNT(D882:S882)=0,"",MIN(D882:S882))</f>
        <v/>
      </c>
      <c r="U882" s="8">
        <f>IF(COUNT(D882:S882)=0,"",MEDIAN(D882:S882))</f>
        <v/>
      </c>
      <c r="V882" s="8">
        <f>IF(COUNT(D882:S882)=0,"",MAX(D882:S882))</f>
        <v/>
      </c>
      <c r="W882" s="9">
        <f>IF(OR(T882="",T882=0),"",(V882-T882)/T882)</f>
        <v/>
      </c>
      <c r="X882" s="7">
        <f>IF(COUNT(D882:S882)=0,"",INDEX($D$1:$S$1,MATCH(MIN(D882:S882),D882:S882,0)))</f>
        <v/>
      </c>
      <c r="Y882" s="8" t="n">
        <v>375</v>
      </c>
      <c r="Z882" s="10" t="n">
        <v>1</v>
      </c>
    </row>
    <row r="883">
      <c r="A883" s="7" t="inlineStr">
        <is>
          <t>MAT-10-274</t>
        </is>
      </c>
      <c r="B883" s="4" t="inlineStr">
        <is>
          <t>Tubo eléctrico EMT 3/4"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310</v>
      </c>
      <c r="M883" s="8" t="n"/>
      <c r="N883" s="8" t="n"/>
      <c r="O883" s="8" t="n"/>
      <c r="P883" s="8" t="n"/>
      <c r="Q883" s="8" t="n"/>
      <c r="R883" s="8" t="n"/>
      <c r="S883" s="8" t="n"/>
      <c r="T883" s="8">
        <f>IF(COUNT(D883:S883)=0,"",MIN(D883:S883))</f>
        <v/>
      </c>
      <c r="U883" s="8">
        <f>IF(COUNT(D883:S883)=0,"",MEDIAN(D883:S883))</f>
        <v/>
      </c>
      <c r="V883" s="8">
        <f>IF(COUNT(D883:S883)=0,"",MAX(D883:S883))</f>
        <v/>
      </c>
      <c r="W883" s="9">
        <f>IF(OR(T883="",T883=0),"",(V883-T883)/T883)</f>
        <v/>
      </c>
      <c r="X883" s="7">
        <f>IF(COUNT(D883:S883)=0,"",INDEX($D$1:$S$1,MATCH(MIN(D883:S883),D883:S883,0)))</f>
        <v/>
      </c>
      <c r="Y883" s="8" t="n">
        <v>310</v>
      </c>
      <c r="Z883" s="10" t="n">
        <v>1</v>
      </c>
    </row>
    <row r="884">
      <c r="A884" s="7" t="inlineStr">
        <is>
          <t>MAT-10-275</t>
        </is>
      </c>
      <c r="B884" s="4" t="inlineStr">
        <is>
          <t>Tubería flexible BX 1/2"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25</v>
      </c>
      <c r="M884" s="8" t="n"/>
      <c r="N884" s="8" t="n"/>
      <c r="O884" s="8" t="n"/>
      <c r="P884" s="8" t="n"/>
      <c r="Q884" s="8" t="n"/>
      <c r="R884" s="8" t="n"/>
      <c r="S884" s="8" t="n"/>
      <c r="T884" s="8">
        <f>IF(COUNT(D884:S884)=0,"",MIN(D884:S884))</f>
        <v/>
      </c>
      <c r="U884" s="8">
        <f>IF(COUNT(D884:S884)=0,"",MEDIAN(D884:S884))</f>
        <v/>
      </c>
      <c r="V884" s="8">
        <f>IF(COUNT(D884:S884)=0,"",MAX(D884:S884))</f>
        <v/>
      </c>
      <c r="W884" s="9">
        <f>IF(OR(T884="",T884=0),"",(V884-T884)/T884)</f>
        <v/>
      </c>
      <c r="X884" s="7">
        <f>IF(COUNT(D884:S884)=0,"",INDEX($D$1:$S$1,MATCH(MIN(D884:S884),D884:S884,0)))</f>
        <v/>
      </c>
      <c r="Y884" s="8" t="n">
        <v>25</v>
      </c>
      <c r="Z884" s="10" t="n">
        <v>1</v>
      </c>
    </row>
    <row r="885">
      <c r="A885" s="7" t="inlineStr">
        <is>
          <t>MAT-10-276</t>
        </is>
      </c>
      <c r="B885" s="4" t="inlineStr">
        <is>
          <t>Tubería flexible BX 3/4"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35</v>
      </c>
      <c r="M885" s="8" t="n"/>
      <c r="N885" s="8" t="n"/>
      <c r="O885" s="8" t="n"/>
      <c r="P885" s="8" t="n"/>
      <c r="Q885" s="8" t="n"/>
      <c r="R885" s="8" t="n"/>
      <c r="S885" s="8" t="n"/>
      <c r="T885" s="8">
        <f>IF(COUNT(D885:S885)=0,"",MIN(D885:S885))</f>
        <v/>
      </c>
      <c r="U885" s="8">
        <f>IF(COUNT(D885:S885)=0,"",MEDIAN(D885:S885))</f>
        <v/>
      </c>
      <c r="V885" s="8">
        <f>IF(COUNT(D885:S885)=0,"",MAX(D885:S885))</f>
        <v/>
      </c>
      <c r="W885" s="9">
        <f>IF(OR(T885="",T885=0),"",(V885-T885)/T885)</f>
        <v/>
      </c>
      <c r="X885" s="7">
        <f>IF(COUNT(D885:S885)=0,"",INDEX($D$1:$S$1,MATCH(MIN(D885:S885),D885:S885,0)))</f>
        <v/>
      </c>
      <c r="Y885" s="8" t="n">
        <v>35</v>
      </c>
      <c r="Z885" s="10" t="n">
        <v>1</v>
      </c>
    </row>
    <row r="886">
      <c r="A886" s="7" t="inlineStr">
        <is>
          <t>MAT-10-277</t>
        </is>
      </c>
      <c r="B886" s="4" t="inlineStr">
        <is>
          <t>Tubería flexible liquid tight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45.01</v>
      </c>
      <c r="M886" s="8" t="n"/>
      <c r="N886" s="8" t="n"/>
      <c r="O886" s="8" t="n"/>
      <c r="P886" s="8" t="n"/>
      <c r="Q886" s="8" t="n"/>
      <c r="R886" s="8" t="n"/>
      <c r="S886" s="8" t="n"/>
      <c r="T886" s="8">
        <f>IF(COUNT(D886:S886)=0,"",MIN(D886:S886))</f>
        <v/>
      </c>
      <c r="U886" s="8">
        <f>IF(COUNT(D886:S886)=0,"",MEDIAN(D886:S886))</f>
        <v/>
      </c>
      <c r="V886" s="8">
        <f>IF(COUNT(D886:S886)=0,"",MAX(D886:S886))</f>
        <v/>
      </c>
      <c r="W886" s="9">
        <f>IF(OR(T886="",T886=0),"",(V886-T886)/T886)</f>
        <v/>
      </c>
      <c r="X886" s="7">
        <f>IF(COUNT(D886:S886)=0,"",INDEX($D$1:$S$1,MATCH(MIN(D886:S886),D886:S886,0)))</f>
        <v/>
      </c>
      <c r="Y886" s="8" t="n">
        <v>77.51000000000001</v>
      </c>
      <c r="Z886" s="10" t="n">
        <v>1</v>
      </c>
    </row>
    <row r="887">
      <c r="A887" s="7" t="inlineStr">
        <is>
          <t>MAT-10-278</t>
        </is>
      </c>
      <c r="B887" s="4" t="inlineStr">
        <is>
          <t>Canaleta plástica 11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115</v>
      </c>
      <c r="M887" s="8" t="n"/>
      <c r="N887" s="8" t="n"/>
      <c r="O887" s="8" t="n"/>
      <c r="P887" s="8" t="n"/>
      <c r="Q887" s="8" t="n"/>
      <c r="R887" s="8" t="n"/>
      <c r="S887" s="8" t="n"/>
      <c r="T887" s="8">
        <f>IF(COUNT(D887:S887)=0,"",MIN(D887:S887))</f>
        <v/>
      </c>
      <c r="U887" s="8">
        <f>IF(COUNT(D887:S887)=0,"",MEDIAN(D887:S887))</f>
        <v/>
      </c>
      <c r="V887" s="8">
        <f>IF(COUNT(D887:S887)=0,"",MAX(D887:S887))</f>
        <v/>
      </c>
      <c r="W887" s="9">
        <f>IF(OR(T887="",T887=0),"",(V887-T887)/T887)</f>
        <v/>
      </c>
      <c r="X887" s="7">
        <f>IF(COUNT(D887:S887)=0,"",INDEX($D$1:$S$1,MATCH(MIN(D887:S887),D887:S887,0)))</f>
        <v/>
      </c>
      <c r="Y887" s="8" t="n">
        <v>115</v>
      </c>
      <c r="Z887" s="10" t="n">
        <v>1</v>
      </c>
    </row>
    <row r="888">
      <c r="A888" s="7" t="inlineStr">
        <is>
          <t>MAT-10-279</t>
        </is>
      </c>
      <c r="B888" s="4" t="inlineStr">
        <is>
          <t>Canaleta plástica 15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119.99</v>
      </c>
      <c r="M888" s="8" t="n"/>
      <c r="N888" s="8" t="n"/>
      <c r="O888" s="8" t="n"/>
      <c r="P888" s="8" t="n"/>
      <c r="Q888" s="8" t="n"/>
      <c r="R888" s="8" t="n"/>
      <c r="S888" s="8" t="n"/>
      <c r="T888" s="8">
        <f>IF(COUNT(D888:S888)=0,"",MIN(D888:S888))</f>
        <v/>
      </c>
      <c r="U888" s="8">
        <f>IF(COUNT(D888:S888)=0,"",MEDIAN(D888:S888))</f>
        <v/>
      </c>
      <c r="V888" s="8">
        <f>IF(COUNT(D888:S888)=0,"",MAX(D888:S888))</f>
        <v/>
      </c>
      <c r="W888" s="9">
        <f>IF(OR(T888="",T888=0),"",(V888-T888)/T888)</f>
        <v/>
      </c>
      <c r="X888" s="7">
        <f>IF(COUNT(D888:S888)=0,"",INDEX($D$1:$S$1,MATCH(MIN(D888:S888),D888:S888,0)))</f>
        <v/>
      </c>
      <c r="Y888" s="8" t="n">
        <v>119.99</v>
      </c>
      <c r="Z888" s="10" t="n">
        <v>1</v>
      </c>
    </row>
    <row r="889">
      <c r="A889" s="7" t="inlineStr">
        <is>
          <t>MAT-10-280</t>
        </is>
      </c>
      <c r="B889" s="4" t="inlineStr">
        <is>
          <t>Canaleta plástica 15 x 12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135</v>
      </c>
      <c r="M889" s="8" t="n"/>
      <c r="N889" s="8" t="n"/>
      <c r="O889" s="8" t="n"/>
      <c r="P889" s="8" t="n"/>
      <c r="Q889" s="8" t="n"/>
      <c r="R889" s="8" t="n"/>
      <c r="S889" s="8" t="n"/>
      <c r="T889" s="8">
        <f>IF(COUNT(D889:S889)=0,"",MIN(D889:S889))</f>
        <v/>
      </c>
      <c r="U889" s="8">
        <f>IF(COUNT(D889:S889)=0,"",MEDIAN(D889:S889))</f>
        <v/>
      </c>
      <c r="V889" s="8">
        <f>IF(COUNT(D889:S889)=0,"",MAX(D889:S889))</f>
        <v/>
      </c>
      <c r="W889" s="9">
        <f>IF(OR(T889="",T889=0),"",(V889-T889)/T889)</f>
        <v/>
      </c>
      <c r="X889" s="7">
        <f>IF(COUNT(D889:S889)=0,"",INDEX($D$1:$S$1,MATCH(MIN(D889:S889),D889:S889,0)))</f>
        <v/>
      </c>
      <c r="Y889" s="8" t="n">
        <v>135</v>
      </c>
      <c r="Z889" s="10" t="n">
        <v>1</v>
      </c>
    </row>
    <row r="890">
      <c r="A890" s="7" t="inlineStr">
        <is>
          <t>MAT-10-281</t>
        </is>
      </c>
      <c r="B890" s="4" t="inlineStr">
        <is>
          <t>Canaleta plástica 20 x 10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150</v>
      </c>
      <c r="M890" s="8" t="n"/>
      <c r="N890" s="8" t="n"/>
      <c r="O890" s="8" t="n"/>
      <c r="P890" s="8" t="n"/>
      <c r="Q890" s="8" t="n"/>
      <c r="R890" s="8" t="n"/>
      <c r="S890" s="8" t="n"/>
      <c r="T890" s="8">
        <f>IF(COUNT(D890:S890)=0,"",MIN(D890:S890))</f>
        <v/>
      </c>
      <c r="U890" s="8">
        <f>IF(COUNT(D890:S890)=0,"",MEDIAN(D890:S890))</f>
        <v/>
      </c>
      <c r="V890" s="8">
        <f>IF(COUNT(D890:S890)=0,"",MAX(D890:S890))</f>
        <v/>
      </c>
      <c r="W890" s="9">
        <f>IF(OR(T890="",T890=0),"",(V890-T890)/T890)</f>
        <v/>
      </c>
      <c r="X890" s="7">
        <f>IF(COUNT(D890:S890)=0,"",INDEX($D$1:$S$1,MATCH(MIN(D890:S890),D890:S890,0)))</f>
        <v/>
      </c>
      <c r="Y890" s="8" t="n">
        <v>150</v>
      </c>
      <c r="Z890" s="10" t="n">
        <v>1</v>
      </c>
    </row>
    <row r="891">
      <c r="A891" s="7" t="inlineStr">
        <is>
          <t>MAT-10-282</t>
        </is>
      </c>
      <c r="B891" s="4" t="inlineStr">
        <is>
          <t>Canaleta plástica 25 x 15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200</v>
      </c>
      <c r="M891" s="8" t="n"/>
      <c r="N891" s="8" t="n"/>
      <c r="O891" s="8" t="n"/>
      <c r="P891" s="8" t="n"/>
      <c r="Q891" s="8" t="n"/>
      <c r="R891" s="8" t="n"/>
      <c r="S891" s="8" t="n"/>
      <c r="T891" s="8">
        <f>IF(COUNT(D891:S891)=0,"",MIN(D891:S891))</f>
        <v/>
      </c>
      <c r="U891" s="8">
        <f>IF(COUNT(D891:S891)=0,"",MEDIAN(D891:S891))</f>
        <v/>
      </c>
      <c r="V891" s="8">
        <f>IF(COUNT(D891:S891)=0,"",MAX(D891:S891))</f>
        <v/>
      </c>
      <c r="W891" s="9">
        <f>IF(OR(T891="",T891=0),"",(V891-T891)/T891)</f>
        <v/>
      </c>
      <c r="X891" s="7">
        <f>IF(COUNT(D891:S891)=0,"",INDEX($D$1:$S$1,MATCH(MIN(D891:S891),D891:S891,0)))</f>
        <v/>
      </c>
      <c r="Y891" s="8" t="n">
        <v>200</v>
      </c>
      <c r="Z891" s="10" t="n">
        <v>1</v>
      </c>
    </row>
    <row r="892">
      <c r="A892" s="7" t="inlineStr">
        <is>
          <t>MAT-10-283</t>
        </is>
      </c>
      <c r="B892" s="4" t="inlineStr">
        <is>
          <t>Canaleta plástica 32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215</v>
      </c>
      <c r="M892" s="8" t="n"/>
      <c r="N892" s="8" t="n"/>
      <c r="O892" s="8" t="n"/>
      <c r="P892" s="8" t="n"/>
      <c r="Q892" s="8" t="n"/>
      <c r="R892" s="8" t="n"/>
      <c r="S892" s="8" t="n"/>
      <c r="T892" s="8">
        <f>IF(COUNT(D892:S892)=0,"",MIN(D892:S892))</f>
        <v/>
      </c>
      <c r="U892" s="8">
        <f>IF(COUNT(D892:S892)=0,"",MEDIAN(D892:S892))</f>
        <v/>
      </c>
      <c r="V892" s="8">
        <f>IF(COUNT(D892:S892)=0,"",MAX(D892:S892))</f>
        <v/>
      </c>
      <c r="W892" s="9">
        <f>IF(OR(T892="",T892=0),"",(V892-T892)/T892)</f>
        <v/>
      </c>
      <c r="X892" s="7">
        <f>IF(COUNT(D892:S892)=0,"",INDEX($D$1:$S$1,MATCH(MIN(D892:S892),D892:S892,0)))</f>
        <v/>
      </c>
      <c r="Y892" s="8" t="n">
        <v>215</v>
      </c>
      <c r="Z892" s="10" t="n">
        <v>1</v>
      </c>
    </row>
    <row r="893">
      <c r="A893" s="7" t="inlineStr">
        <is>
          <t>MAT-10-284</t>
        </is>
      </c>
      <c r="B893" s="4" t="inlineStr">
        <is>
          <t>Canaleta plástica 40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320</v>
      </c>
      <c r="M893" s="8" t="n"/>
      <c r="N893" s="8" t="n"/>
      <c r="O893" s="8" t="n"/>
      <c r="P893" s="8" t="n"/>
      <c r="Q893" s="8" t="n"/>
      <c r="R893" s="8" t="n"/>
      <c r="S893" s="8" t="n"/>
      <c r="T893" s="8">
        <f>IF(COUNT(D893:S893)=0,"",MIN(D893:S893))</f>
        <v/>
      </c>
      <c r="U893" s="8">
        <f>IF(COUNT(D893:S893)=0,"",MEDIAN(D893:S893))</f>
        <v/>
      </c>
      <c r="V893" s="8">
        <f>IF(COUNT(D893:S893)=0,"",MAX(D893:S893))</f>
        <v/>
      </c>
      <c r="W893" s="9">
        <f>IF(OR(T893="",T893=0),"",(V893-T893)/T893)</f>
        <v/>
      </c>
      <c r="X893" s="7">
        <f>IF(COUNT(D893:S893)=0,"",INDEX($D$1:$S$1,MATCH(MIN(D893:S893),D893:S893,0)))</f>
        <v/>
      </c>
      <c r="Y893" s="8" t="n">
        <v>320</v>
      </c>
      <c r="Z893" s="10" t="n">
        <v>1</v>
      </c>
    </row>
    <row r="894">
      <c r="A894" s="7" t="inlineStr">
        <is>
          <t>MAT-10-285</t>
        </is>
      </c>
      <c r="B894" s="4" t="inlineStr">
        <is>
          <t>Canaleta plástica 60 x 40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550</v>
      </c>
      <c r="M894" s="8" t="n"/>
      <c r="N894" s="8" t="n"/>
      <c r="O894" s="8" t="n"/>
      <c r="P894" s="8" t="n"/>
      <c r="Q894" s="8" t="n"/>
      <c r="R894" s="8" t="n"/>
      <c r="S894" s="8" t="n"/>
      <c r="T894" s="8">
        <f>IF(COUNT(D894:S894)=0,"",MIN(D894:S894))</f>
        <v/>
      </c>
      <c r="U894" s="8">
        <f>IF(COUNT(D894:S894)=0,"",MEDIAN(D894:S894))</f>
        <v/>
      </c>
      <c r="V894" s="8">
        <f>IF(COUNT(D894:S894)=0,"",MAX(D894:S894))</f>
        <v/>
      </c>
      <c r="W894" s="9">
        <f>IF(OR(T894="",T894=0),"",(V894-T894)/T894)</f>
        <v/>
      </c>
      <c r="X894" s="7">
        <f>IF(COUNT(D894:S894)=0,"",INDEX($D$1:$S$1,MATCH(MIN(D894:S894),D894:S894,0)))</f>
        <v/>
      </c>
      <c r="Y894" s="8" t="n">
        <v>550</v>
      </c>
      <c r="Z894" s="10" t="n">
        <v>1</v>
      </c>
    </row>
    <row r="895">
      <c r="A895" s="7" t="inlineStr">
        <is>
          <t>MAT-10-286</t>
        </is>
      </c>
      <c r="B895" s="4" t="inlineStr">
        <is>
          <t>Canaleta plástica 80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745</v>
      </c>
      <c r="M895" s="8" t="n"/>
      <c r="N895" s="8" t="n"/>
      <c r="O895" s="8" t="n"/>
      <c r="P895" s="8" t="n"/>
      <c r="Q895" s="8" t="n"/>
      <c r="R895" s="8" t="n"/>
      <c r="S895" s="8" t="n"/>
      <c r="T895" s="8">
        <f>IF(COUNT(D895:S895)=0,"",MIN(D895:S895))</f>
        <v/>
      </c>
      <c r="U895" s="8">
        <f>IF(COUNT(D895:S895)=0,"",MEDIAN(D895:S895))</f>
        <v/>
      </c>
      <c r="V895" s="8">
        <f>IF(COUNT(D895:S895)=0,"",MAX(D895:S895))</f>
        <v/>
      </c>
      <c r="W895" s="9">
        <f>IF(OR(T895="",T895=0),"",(V895-T895)/T895)</f>
        <v/>
      </c>
      <c r="X895" s="7">
        <f>IF(COUNT(D895:S895)=0,"",INDEX($D$1:$S$1,MATCH(MIN(D895:S895),D895:S895,0)))</f>
        <v/>
      </c>
      <c r="Y895" s="8" t="n">
        <v>745</v>
      </c>
      <c r="Z895" s="10" t="n">
        <v>1</v>
      </c>
    </row>
    <row r="896">
      <c r="A896" s="7" t="inlineStr">
        <is>
          <t>MAT-10-287</t>
        </is>
      </c>
      <c r="B896" s="4" t="inlineStr">
        <is>
          <t>Caja eléctrica octagonal de metal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115</v>
      </c>
      <c r="M896" s="8" t="n"/>
      <c r="N896" s="8" t="n"/>
      <c r="O896" s="8" t="n"/>
      <c r="P896" s="8" t="n"/>
      <c r="Q896" s="8" t="n"/>
      <c r="R896" s="8" t="n"/>
      <c r="S896" s="8" t="n"/>
      <c r="T896" s="8">
        <f>IF(COUNT(D896:S896)=0,"",MIN(D896:S896))</f>
        <v/>
      </c>
      <c r="U896" s="8">
        <f>IF(COUNT(D896:S896)=0,"",MEDIAN(D896:S896))</f>
        <v/>
      </c>
      <c r="V896" s="8">
        <f>IF(COUNT(D896:S896)=0,"",MAX(D896:S896))</f>
        <v/>
      </c>
      <c r="W896" s="9">
        <f>IF(OR(T896="",T896=0),"",(V896-T896)/T896)</f>
        <v/>
      </c>
      <c r="X896" s="7">
        <f>IF(COUNT(D896:S896)=0,"",INDEX($D$1:$S$1,MATCH(MIN(D896:S896),D896:S896,0)))</f>
        <v/>
      </c>
      <c r="Y896" s="8" t="n">
        <v>115</v>
      </c>
      <c r="Z896" s="10" t="n">
        <v>1</v>
      </c>
    </row>
    <row r="897">
      <c r="A897" s="7" t="inlineStr">
        <is>
          <t>MAT-10-288</t>
        </is>
      </c>
      <c r="B897" s="4" t="inlineStr">
        <is>
          <t>Caja eléctrica rectangular de metal 2 x 4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40</v>
      </c>
      <c r="M897" s="8" t="n"/>
      <c r="N897" s="8" t="n"/>
      <c r="O897" s="8" t="n"/>
      <c r="P897" s="8" t="n"/>
      <c r="Q897" s="8" t="n"/>
      <c r="R897" s="8" t="n"/>
      <c r="S897" s="8" t="n"/>
      <c r="T897" s="8">
        <f>IF(COUNT(D897:S897)=0,"",MIN(D897:S897))</f>
        <v/>
      </c>
      <c r="U897" s="8">
        <f>IF(COUNT(D897:S897)=0,"",MEDIAN(D897:S897))</f>
        <v/>
      </c>
      <c r="V897" s="8">
        <f>IF(COUNT(D897:S897)=0,"",MAX(D897:S897))</f>
        <v/>
      </c>
      <c r="W897" s="9">
        <f>IF(OR(T897="",T897=0),"",(V897-T897)/T897)</f>
        <v/>
      </c>
      <c r="X897" s="7">
        <f>IF(COUNT(D897:S897)=0,"",INDEX($D$1:$S$1,MATCH(MIN(D897:S897),D897:S897,0)))</f>
        <v/>
      </c>
      <c r="Y897" s="8" t="n">
        <v>40.5</v>
      </c>
      <c r="Z897" s="10" t="n">
        <v>1</v>
      </c>
    </row>
    <row r="898">
      <c r="A898" s="7" t="inlineStr">
        <is>
          <t>MAT-10-289</t>
        </is>
      </c>
      <c r="B898" s="4" t="inlineStr">
        <is>
          <t>Caja eléctrica rectangular de PVC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45.01</v>
      </c>
      <c r="M898" s="8" t="n"/>
      <c r="N898" s="8" t="n"/>
      <c r="O898" s="8" t="n"/>
      <c r="P898" s="8" t="n"/>
      <c r="Q898" s="8" t="n"/>
      <c r="R898" s="8" t="n"/>
      <c r="S898" s="8" t="n"/>
      <c r="T898" s="8">
        <f>IF(COUNT(D898:S898)=0,"",MIN(D898:S898))</f>
        <v/>
      </c>
      <c r="U898" s="8">
        <f>IF(COUNT(D898:S898)=0,"",MEDIAN(D898:S898))</f>
        <v/>
      </c>
      <c r="V898" s="8">
        <f>IF(COUNT(D898:S898)=0,"",MAX(D898:S898))</f>
        <v/>
      </c>
      <c r="W898" s="9">
        <f>IF(OR(T898="",T898=0),"",(V898-T898)/T898)</f>
        <v/>
      </c>
      <c r="X898" s="7">
        <f>IF(COUNT(D898:S898)=0,"",INDEX($D$1:$S$1,MATCH(MIN(D898:S898),D898:S898,0)))</f>
        <v/>
      </c>
      <c r="Y898" s="8" t="n">
        <v>45.01</v>
      </c>
      <c r="Z898" s="10" t="n">
        <v>1</v>
      </c>
    </row>
    <row r="899">
      <c r="A899" s="7" t="inlineStr">
        <is>
          <t>MAT-10-290</t>
        </is>
      </c>
      <c r="B899" s="4" t="inlineStr">
        <is>
          <t>Abrazadera para tubo eléctrico 1/2"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 t="n"/>
      <c r="S899" s="8" t="n"/>
      <c r="T899" s="8">
        <f>IF(COUNT(D899:S899)=0,"",MIN(D899:S899))</f>
        <v/>
      </c>
      <c r="U899" s="8">
        <f>IF(COUNT(D899:S899)=0,"",MEDIAN(D899:S899))</f>
        <v/>
      </c>
      <c r="V899" s="8">
        <f>IF(COUNT(D899:S899)=0,"",MAX(D899:S899))</f>
        <v/>
      </c>
      <c r="W899" s="9">
        <f>IF(OR(T899="",T899=0),"",(V899-T899)/T899)</f>
        <v/>
      </c>
      <c r="X899" s="7">
        <f>IF(COUNT(D899:S899)=0,"",INDEX($D$1:$S$1,MATCH(MIN(D899:S899),D899:S899,0)))</f>
        <v/>
      </c>
      <c r="Y899" s="8" t="n">
        <v>4</v>
      </c>
      <c r="Z899" s="10" t="n">
        <v>1</v>
      </c>
    </row>
    <row r="900">
      <c r="A900" s="7" t="inlineStr">
        <is>
          <t>MAT-10-291</t>
        </is>
      </c>
      <c r="B900" s="4" t="inlineStr">
        <is>
          <t>Abrazadera para tubo eléctrico 1/2", 2 huecos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</v>
      </c>
      <c r="M900" s="8" t="n"/>
      <c r="N900" s="8" t="n"/>
      <c r="O900" s="8" t="n"/>
      <c r="P900" s="8" t="n"/>
      <c r="Q900" s="8" t="n"/>
      <c r="R900" s="8" t="n"/>
      <c r="S900" s="8" t="n"/>
      <c r="T900" s="8">
        <f>IF(COUNT(D900:S900)=0,"",MIN(D900:S900))</f>
        <v/>
      </c>
      <c r="U900" s="8">
        <f>IF(COUNT(D900:S900)=0,"",MEDIAN(D900:S900))</f>
        <v/>
      </c>
      <c r="V900" s="8">
        <f>IF(COUNT(D900:S900)=0,"",MAX(D900:S900))</f>
        <v/>
      </c>
      <c r="W900" s="9">
        <f>IF(OR(T900="",T900=0),"",(V900-T900)/T900)</f>
        <v/>
      </c>
      <c r="X900" s="7">
        <f>IF(COUNT(D900:S900)=0,"",INDEX($D$1:$S$1,MATCH(MIN(D900:S900),D900:S900,0)))</f>
        <v/>
      </c>
      <c r="Y900" s="8" t="n">
        <v>5</v>
      </c>
      <c r="Z900" s="10" t="n">
        <v>1</v>
      </c>
    </row>
    <row r="901">
      <c r="A901" s="7" t="inlineStr">
        <is>
          <t>MAT-10-292</t>
        </is>
      </c>
      <c r="B901" s="4" t="inlineStr">
        <is>
          <t>Abrazadera para tubo eléctrico 1"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</v>
      </c>
      <c r="M901" s="8" t="n"/>
      <c r="N901" s="8" t="n"/>
      <c r="O901" s="8" t="n"/>
      <c r="P901" s="8" t="n"/>
      <c r="Q901" s="8" t="n"/>
      <c r="R901" s="8" t="n"/>
      <c r="S901" s="8" t="n"/>
      <c r="T901" s="8">
        <f>IF(COUNT(D901:S901)=0,"",MIN(D901:S901))</f>
        <v/>
      </c>
      <c r="U901" s="8">
        <f>IF(COUNT(D901:S901)=0,"",MEDIAN(D901:S901))</f>
        <v/>
      </c>
      <c r="V901" s="8">
        <f>IF(COUNT(D901:S901)=0,"",MAX(D901:S901))</f>
        <v/>
      </c>
      <c r="W901" s="9">
        <f>IF(OR(T901="",T901=0),"",(V901-T901)/T901)</f>
        <v/>
      </c>
      <c r="X901" s="7">
        <f>IF(COUNT(D901:S901)=0,"",INDEX($D$1:$S$1,MATCH(MIN(D901:S901),D901:S901,0)))</f>
        <v/>
      </c>
      <c r="Y901" s="8" t="n">
        <v>7</v>
      </c>
      <c r="Z901" s="10" t="n">
        <v>1</v>
      </c>
    </row>
    <row r="902">
      <c r="A902" s="7" t="inlineStr">
        <is>
          <t>MAT-10-293</t>
        </is>
      </c>
      <c r="B902" s="4" t="inlineStr">
        <is>
          <t>Abrazadera para tubo eléctrico 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35</v>
      </c>
      <c r="M902" s="8" t="n"/>
      <c r="N902" s="8" t="n"/>
      <c r="O902" s="8" t="n"/>
      <c r="P902" s="8" t="n"/>
      <c r="Q902" s="8" t="n"/>
      <c r="R902" s="8" t="n"/>
      <c r="S902" s="8" t="n"/>
      <c r="T902" s="8">
        <f>IF(COUNT(D902:S902)=0,"",MIN(D902:S902))</f>
        <v/>
      </c>
      <c r="U902" s="8">
        <f>IF(COUNT(D902:S902)=0,"",MEDIAN(D902:S902))</f>
        <v/>
      </c>
      <c r="V902" s="8">
        <f>IF(COUNT(D902:S902)=0,"",MAX(D902:S902))</f>
        <v/>
      </c>
      <c r="W902" s="9">
        <f>IF(OR(T902="",T902=0),"",(V902-T902)/T902)</f>
        <v/>
      </c>
      <c r="X902" s="7">
        <f>IF(COUNT(D902:S902)=0,"",INDEX($D$1:$S$1,MATCH(MIN(D902:S902),D902:S902,0)))</f>
        <v/>
      </c>
      <c r="Y902" s="8" t="n">
        <v>35</v>
      </c>
      <c r="Z902" s="10" t="n">
        <v>1</v>
      </c>
    </row>
    <row r="903">
      <c r="A903" s="7" t="inlineStr">
        <is>
          <t>MAT-10-294</t>
        </is>
      </c>
      <c r="B903" s="4" t="inlineStr">
        <is>
          <t>Abrazadera para tubo eléctrico 3/4"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</v>
      </c>
      <c r="M903" s="8" t="n"/>
      <c r="N903" s="8" t="n"/>
      <c r="O903" s="8" t="n"/>
      <c r="P903" s="8" t="n"/>
      <c r="Q903" s="8" t="n"/>
      <c r="R903" s="8" t="n"/>
      <c r="S903" s="8" t="n"/>
      <c r="T903" s="8">
        <f>IF(COUNT(D903:S903)=0,"",MIN(D903:S903))</f>
        <v/>
      </c>
      <c r="U903" s="8">
        <f>IF(COUNT(D903:S903)=0,"",MEDIAN(D903:S903))</f>
        <v/>
      </c>
      <c r="V903" s="8">
        <f>IF(COUNT(D903:S903)=0,"",MAX(D903:S903))</f>
        <v/>
      </c>
      <c r="W903" s="9">
        <f>IF(OR(T903="",T903=0),"",(V903-T903)/T903)</f>
        <v/>
      </c>
      <c r="X903" s="7">
        <f>IF(COUNT(D903:S903)=0,"",INDEX($D$1:$S$1,MATCH(MIN(D903:S903),D903:S903,0)))</f>
        <v/>
      </c>
      <c r="Y903" s="8" t="n">
        <v>4</v>
      </c>
      <c r="Z903" s="10" t="n">
        <v>1</v>
      </c>
    </row>
    <row r="904">
      <c r="A904" s="7" t="inlineStr">
        <is>
          <t>MAT-10-295</t>
        </is>
      </c>
      <c r="B904" s="4" t="inlineStr">
        <is>
          <t>Abrazadera para tubo eléctrico 3"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64.98999999999999</v>
      </c>
      <c r="M904" s="8" t="n"/>
      <c r="N904" s="8" t="n"/>
      <c r="O904" s="8" t="n"/>
      <c r="P904" s="8" t="n"/>
      <c r="Q904" s="8" t="n"/>
      <c r="R904" s="8" t="n"/>
      <c r="S904" s="8" t="n"/>
      <c r="T904" s="8">
        <f>IF(COUNT(D904:S904)=0,"",MIN(D904:S904))</f>
        <v/>
      </c>
      <c r="U904" s="8">
        <f>IF(COUNT(D904:S904)=0,"",MEDIAN(D904:S904))</f>
        <v/>
      </c>
      <c r="V904" s="8">
        <f>IF(COUNT(D904:S904)=0,"",MAX(D904:S904))</f>
        <v/>
      </c>
      <c r="W904" s="9">
        <f>IF(OR(T904="",T904=0),"",(V904-T904)/T904)</f>
        <v/>
      </c>
      <c r="X904" s="7">
        <f>IF(COUNT(D904:S904)=0,"",INDEX($D$1:$S$1,MATCH(MIN(D904:S904),D904:S904,0)))</f>
        <v/>
      </c>
      <c r="Y904" s="8" t="n">
        <v>64.98999999999999</v>
      </c>
      <c r="Z904" s="10" t="n">
        <v>1</v>
      </c>
    </row>
    <row r="905">
      <c r="A905" s="7" t="inlineStr">
        <is>
          <t>MAT-10-296</t>
        </is>
      </c>
      <c r="B905" s="4" t="inlineStr">
        <is>
          <t>Codo conduit de PVC 1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38.64</v>
      </c>
      <c r="N905" s="8" t="n"/>
      <c r="O905" s="8" t="n"/>
      <c r="P905" s="8" t="n"/>
      <c r="Q905" s="8" t="n"/>
      <c r="R905" s="8" t="n"/>
      <c r="S905" s="8" t="n"/>
      <c r="T905" s="8">
        <f>IF(COUNT(D905:S905)=0,"",MIN(D905:S905))</f>
        <v/>
      </c>
      <c r="U905" s="8">
        <f>IF(COUNT(D905:S905)=0,"",MEDIAN(D905:S905))</f>
        <v/>
      </c>
      <c r="V905" s="8">
        <f>IF(COUNT(D905:S905)=0,"",MAX(D905:S905))</f>
        <v/>
      </c>
      <c r="W905" s="9">
        <f>IF(OR(T905="",T905=0),"",(V905-T905)/T905)</f>
        <v/>
      </c>
      <c r="X905" s="7">
        <f>IF(COUNT(D905:S905)=0,"",INDEX($D$1:$S$1,MATCH(MIN(D905:S905),D905:S905,0)))</f>
        <v/>
      </c>
      <c r="Y905" s="8" t="n">
        <v>45.6</v>
      </c>
      <c r="Z905" s="10" t="n">
        <v>1</v>
      </c>
    </row>
    <row r="906">
      <c r="A906" s="7" t="inlineStr">
        <is>
          <t>MAT-10-297</t>
        </is>
      </c>
      <c r="B906" s="4" t="inlineStr">
        <is>
          <t>Codo conduit de PVC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7.62</v>
      </c>
      <c r="N906" s="8" t="n"/>
      <c r="O906" s="8" t="n"/>
      <c r="P906" s="8" t="n"/>
      <c r="Q906" s="8" t="n"/>
      <c r="R906" s="8" t="n"/>
      <c r="S906" s="8" t="n"/>
      <c r="T906" s="8">
        <f>IF(COUNT(D906:S906)=0,"",MIN(D906:S906))</f>
        <v/>
      </c>
      <c r="U906" s="8">
        <f>IF(COUNT(D906:S906)=0,"",MEDIAN(D906:S906))</f>
        <v/>
      </c>
      <c r="V906" s="8">
        <f>IF(COUNT(D906:S906)=0,"",MAX(D906:S906))</f>
        <v/>
      </c>
      <c r="W906" s="9">
        <f>IF(OR(T906="",T906=0),"",(V906-T906)/T906)</f>
        <v/>
      </c>
      <c r="X906" s="7">
        <f>IF(COUNT(D906:S906)=0,"",INDEX($D$1:$S$1,MATCH(MIN(D906:S906),D906:S906,0)))</f>
        <v/>
      </c>
      <c r="Y906" s="8" t="n">
        <v>8.99</v>
      </c>
      <c r="Z906" s="10" t="n">
        <v>1</v>
      </c>
    </row>
    <row r="907">
      <c r="A907" s="7" t="inlineStr">
        <is>
          <t>MAT-10-298</t>
        </is>
      </c>
      <c r="B907" s="4" t="inlineStr">
        <is>
          <t>Codo conduit de PVC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15.16</v>
      </c>
      <c r="N907" s="8" t="n"/>
      <c r="O907" s="8" t="n"/>
      <c r="P907" s="8" t="n"/>
      <c r="Q907" s="8" t="n"/>
      <c r="R907" s="8" t="n"/>
      <c r="S907" s="8" t="n"/>
      <c r="T907" s="8">
        <f>IF(COUNT(D907:S907)=0,"",MIN(D907:S907))</f>
        <v/>
      </c>
      <c r="U907" s="8">
        <f>IF(COUNT(D907:S907)=0,"",MEDIAN(D907:S907))</f>
        <v/>
      </c>
      <c r="V907" s="8">
        <f>IF(COUNT(D907:S907)=0,"",MAX(D907:S907))</f>
        <v/>
      </c>
      <c r="W907" s="9">
        <f>IF(OR(T907="",T907=0),"",(V907-T907)/T907)</f>
        <v/>
      </c>
      <c r="X907" s="7">
        <f>IF(COUNT(D907:S907)=0,"",INDEX($D$1:$S$1,MATCH(MIN(D907:S907),D907:S907,0)))</f>
        <v/>
      </c>
      <c r="Y907" s="8" t="n">
        <v>17.89</v>
      </c>
      <c r="Z907" s="10" t="n">
        <v>1</v>
      </c>
    </row>
    <row r="908">
      <c r="A908" s="7" t="inlineStr">
        <is>
          <t>MAT-10-299</t>
        </is>
      </c>
      <c r="B908" s="4" t="inlineStr">
        <is>
          <t>Codo conduit de PVC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55.83</v>
      </c>
      <c r="N908" s="8" t="n"/>
      <c r="O908" s="8" t="n"/>
      <c r="P908" s="8" t="n"/>
      <c r="Q908" s="8" t="n"/>
      <c r="R908" s="8" t="n"/>
      <c r="S908" s="8" t="n"/>
      <c r="T908" s="8">
        <f>IF(COUNT(D908:S908)=0,"",MIN(D908:S908))</f>
        <v/>
      </c>
      <c r="U908" s="8">
        <f>IF(COUNT(D908:S908)=0,"",MEDIAN(D908:S908))</f>
        <v/>
      </c>
      <c r="V908" s="8">
        <f>IF(COUNT(D908:S908)=0,"",MAX(D908:S908))</f>
        <v/>
      </c>
      <c r="W908" s="9">
        <f>IF(OR(T908="",T908=0),"",(V908-T908)/T908)</f>
        <v/>
      </c>
      <c r="X908" s="7">
        <f>IF(COUNT(D908:S908)=0,"",INDEX($D$1:$S$1,MATCH(MIN(D908:S908),D908:S908,0)))</f>
        <v/>
      </c>
      <c r="Y908" s="8" t="n">
        <v>65.88</v>
      </c>
      <c r="Z908" s="10" t="n">
        <v>1</v>
      </c>
    </row>
    <row r="909">
      <c r="A909" s="7" t="inlineStr">
        <is>
          <t>MAT-10-300</t>
        </is>
      </c>
      <c r="B909" s="4" t="inlineStr">
        <is>
          <t>Codo conduit de PVC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>
        <v>9.130000000000001</v>
      </c>
      <c r="N909" s="8" t="n"/>
      <c r="O909" s="8" t="n"/>
      <c r="P909" s="8" t="n"/>
      <c r="Q909" s="8" t="n"/>
      <c r="R909" s="8" t="n"/>
      <c r="S909" s="8" t="n"/>
      <c r="T909" s="8">
        <f>IF(COUNT(D909:S909)=0,"",MIN(D909:S909))</f>
        <v/>
      </c>
      <c r="U909" s="8">
        <f>IF(COUNT(D909:S909)=0,"",MEDIAN(D909:S909))</f>
        <v/>
      </c>
      <c r="V909" s="8">
        <f>IF(COUNT(D909:S909)=0,"",MAX(D909:S909))</f>
        <v/>
      </c>
      <c r="W909" s="9">
        <f>IF(OR(T909="",T909=0),"",(V909-T909)/T909)</f>
        <v/>
      </c>
      <c r="X909" s="7">
        <f>IF(COUNT(D909:S909)=0,"",INDEX($D$1:$S$1,MATCH(MIN(D909:S909),D909:S909,0)))</f>
        <v/>
      </c>
      <c r="Y909" s="8" t="n">
        <v>10.77</v>
      </c>
      <c r="Z909" s="10" t="n">
        <v>1</v>
      </c>
    </row>
    <row r="910">
      <c r="A910" s="7" t="inlineStr">
        <is>
          <t>MAT-10-301</t>
        </is>
      </c>
      <c r="B910" s="4" t="inlineStr">
        <is>
          <t>Codo conduit de PVC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>
        <v>165.6</v>
      </c>
      <c r="N910" s="8" t="n"/>
      <c r="O910" s="8" t="n"/>
      <c r="P910" s="8" t="n"/>
      <c r="Q910" s="8" t="n"/>
      <c r="R910" s="8" t="n"/>
      <c r="S910" s="8" t="n"/>
      <c r="T910" s="8">
        <f>IF(COUNT(D910:S910)=0,"",MIN(D910:S910))</f>
        <v/>
      </c>
      <c r="U910" s="8">
        <f>IF(COUNT(D910:S910)=0,"",MEDIAN(D910:S910))</f>
        <v/>
      </c>
      <c r="V910" s="8">
        <f>IF(COUNT(D910:S910)=0,"",MAX(D910:S910))</f>
        <v/>
      </c>
      <c r="W910" s="9">
        <f>IF(OR(T910="",T910=0),"",(V910-T910)/T910)</f>
        <v/>
      </c>
      <c r="X910" s="7">
        <f>IF(COUNT(D910:S910)=0,"",INDEX($D$1:$S$1,MATCH(MIN(D910:S910),D910:S910,0)))</f>
        <v/>
      </c>
      <c r="Y910" s="8" t="n">
        <v>195.41</v>
      </c>
      <c r="Z910" s="10" t="n">
        <v>1</v>
      </c>
    </row>
    <row r="911">
      <c r="A911" s="7" t="inlineStr">
        <is>
          <t>MAT-10-302</t>
        </is>
      </c>
      <c r="B911" s="4" t="inlineStr">
        <is>
          <t>Codo conduit de PVC 4"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>
        <v>311.19</v>
      </c>
      <c r="N911" s="8" t="n"/>
      <c r="O911" s="8" t="n"/>
      <c r="P911" s="8" t="n"/>
      <c r="Q911" s="8" t="n"/>
      <c r="R911" s="8" t="n"/>
      <c r="S911" s="8" t="n"/>
      <c r="T911" s="8">
        <f>IF(COUNT(D911:S911)=0,"",MIN(D911:S911))</f>
        <v/>
      </c>
      <c r="U911" s="8">
        <f>IF(COUNT(D911:S911)=0,"",MEDIAN(D911:S911))</f>
        <v/>
      </c>
      <c r="V911" s="8">
        <f>IF(COUNT(D911:S911)=0,"",MAX(D911:S911))</f>
        <v/>
      </c>
      <c r="W911" s="9">
        <f>IF(OR(T911="",T911=0),"",(V911-T911)/T911)</f>
        <v/>
      </c>
      <c r="X911" s="7">
        <f>IF(COUNT(D911:S911)=0,"",INDEX($D$1:$S$1,MATCH(MIN(D911:S911),D911:S911,0)))</f>
        <v/>
      </c>
      <c r="Y911" s="8" t="n">
        <v>367.2</v>
      </c>
      <c r="Z911" s="10" t="n">
        <v>1</v>
      </c>
    </row>
    <row r="912">
      <c r="A912" s="7" t="inlineStr">
        <is>
          <t>MAT-10-303</t>
        </is>
      </c>
      <c r="B912" s="4" t="inlineStr">
        <is>
          <t>Abrazadera plástica de 10"</t>
        </is>
      </c>
      <c r="C912" s="7" t="inlineStr">
        <is>
          <t>paquete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150</v>
      </c>
      <c r="M912" s="8" t="n"/>
      <c r="N912" s="8" t="n"/>
      <c r="O912" s="8" t="n"/>
      <c r="P912" s="8" t="n"/>
      <c r="Q912" s="8" t="n"/>
      <c r="R912" s="8" t="n"/>
      <c r="S912" s="8" t="n"/>
      <c r="T912" s="8">
        <f>IF(COUNT(D912:S912)=0,"",MIN(D912:S912))</f>
        <v/>
      </c>
      <c r="U912" s="8">
        <f>IF(COUNT(D912:S912)=0,"",MEDIAN(D912:S912))</f>
        <v/>
      </c>
      <c r="V912" s="8">
        <f>IF(COUNT(D912:S912)=0,"",MAX(D912:S912))</f>
        <v/>
      </c>
      <c r="W912" s="9">
        <f>IF(OR(T912="",T912=0),"",(V912-T912)/T912)</f>
        <v/>
      </c>
      <c r="X912" s="7">
        <f>IF(COUNT(D912:S912)=0,"",INDEX($D$1:$S$1,MATCH(MIN(D912:S912),D912:S912,0)))</f>
        <v/>
      </c>
      <c r="Y912" s="8" t="n">
        <v>150</v>
      </c>
      <c r="Z912" s="10" t="n">
        <v>1</v>
      </c>
    </row>
    <row r="913">
      <c r="A913" s="7" t="inlineStr">
        <is>
          <t>MAT-10-304</t>
        </is>
      </c>
      <c r="B913" s="4" t="inlineStr">
        <is>
          <t>Abrazadera plástica de 12"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1.99</v>
      </c>
      <c r="M913" s="8" t="n"/>
      <c r="N913" s="8" t="n"/>
      <c r="O913" s="8" t="n"/>
      <c r="P913" s="8" t="n"/>
      <c r="Q913" s="8" t="n"/>
      <c r="R913" s="8" t="n"/>
      <c r="S913" s="8" t="n"/>
      <c r="T913" s="8">
        <f>IF(COUNT(D913:S913)=0,"",MIN(D913:S913))</f>
        <v/>
      </c>
      <c r="U913" s="8">
        <f>IF(COUNT(D913:S913)=0,"",MEDIAN(D913:S913))</f>
        <v/>
      </c>
      <c r="V913" s="8">
        <f>IF(COUNT(D913:S913)=0,"",MAX(D913:S913))</f>
        <v/>
      </c>
      <c r="W913" s="9">
        <f>IF(OR(T913="",T913=0),"",(V913-T913)/T913)</f>
        <v/>
      </c>
      <c r="X913" s="7">
        <f>IF(COUNT(D913:S913)=0,"",INDEX($D$1:$S$1,MATCH(MIN(D913:S913),D913:S913,0)))</f>
        <v/>
      </c>
      <c r="Y913" s="8" t="n">
        <v>2.42</v>
      </c>
      <c r="Z913" s="10" t="n">
        <v>1</v>
      </c>
    </row>
    <row r="914">
      <c r="A914" s="7" t="inlineStr">
        <is>
          <t>MAT-10-305</t>
        </is>
      </c>
      <c r="B914" s="4" t="inlineStr">
        <is>
          <t>Abrazadera plástica de 8"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85</v>
      </c>
      <c r="M914" s="8" t="n"/>
      <c r="N914" s="8" t="n"/>
      <c r="O914" s="8" t="n"/>
      <c r="P914" s="8" t="n"/>
      <c r="Q914" s="8" t="n"/>
      <c r="R914" s="8" t="n"/>
      <c r="S914" s="8" t="n"/>
      <c r="T914" s="8">
        <f>IF(COUNT(D914:S914)=0,"",MIN(D914:S914))</f>
        <v/>
      </c>
      <c r="U914" s="8">
        <f>IF(COUNT(D914:S914)=0,"",MEDIAN(D914:S914))</f>
        <v/>
      </c>
      <c r="V914" s="8">
        <f>IF(COUNT(D914:S914)=0,"",MAX(D914:S914))</f>
        <v/>
      </c>
      <c r="W914" s="9">
        <f>IF(OR(T914="",T914=0),"",(V914-T914)/T914)</f>
        <v/>
      </c>
      <c r="X914" s="7">
        <f>IF(COUNT(D914:S914)=0,"",INDEX($D$1:$S$1,MATCH(MIN(D914:S914),D914:S914,0)))</f>
        <v/>
      </c>
      <c r="Y914" s="8" t="n">
        <v>95</v>
      </c>
      <c r="Z914" s="10" t="n">
        <v>1</v>
      </c>
    </row>
    <row r="915">
      <c r="A915" s="7" t="inlineStr">
        <is>
          <t>MAT-10-306</t>
        </is>
      </c>
      <c r="B915" s="4" t="inlineStr">
        <is>
          <t>Cinta aislante 15 mts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1125</v>
      </c>
      <c r="M915" s="8" t="n"/>
      <c r="N915" s="8" t="n"/>
      <c r="O915" s="8" t="n"/>
      <c r="P915" s="8" t="n"/>
      <c r="Q915" s="8" t="n"/>
      <c r="R915" s="8" t="n"/>
      <c r="S915" s="8" t="n"/>
      <c r="T915" s="8">
        <f>IF(COUNT(D915:S915)=0,"",MIN(D915:S915))</f>
        <v/>
      </c>
      <c r="U915" s="8">
        <f>IF(COUNT(D915:S915)=0,"",MEDIAN(D915:S915))</f>
        <v/>
      </c>
      <c r="V915" s="8">
        <f>IF(COUNT(D915:S915)=0,"",MAX(D915:S915))</f>
        <v/>
      </c>
      <c r="W915" s="9">
        <f>IF(OR(T915="",T915=0),"",(V915-T915)/T915)</f>
        <v/>
      </c>
      <c r="X915" s="7">
        <f>IF(COUNT(D915:S915)=0,"",INDEX($D$1:$S$1,MATCH(MIN(D915:S915),D915:S915,0)))</f>
        <v/>
      </c>
      <c r="Y915" s="8" t="n">
        <v>1125</v>
      </c>
      <c r="Z915" s="10" t="n">
        <v>1</v>
      </c>
    </row>
    <row r="916">
      <c r="A916" s="7" t="inlineStr">
        <is>
          <t>MAT-10-307</t>
        </is>
      </c>
      <c r="B916" s="4" t="inlineStr">
        <is>
          <t>Cinta aislante 3 m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135</v>
      </c>
      <c r="M916" s="8" t="n"/>
      <c r="N916" s="8" t="n"/>
      <c r="O916" s="8" t="n"/>
      <c r="P916" s="8" t="n"/>
      <c r="Q916" s="8" t="n"/>
      <c r="R916" s="8" t="n"/>
      <c r="S916" s="8" t="n"/>
      <c r="T916" s="8">
        <f>IF(COUNT(D916:S916)=0,"",MIN(D916:S916))</f>
        <v/>
      </c>
      <c r="U916" s="8">
        <f>IF(COUNT(D916:S916)=0,"",MEDIAN(D916:S916))</f>
        <v/>
      </c>
      <c r="V916" s="8">
        <f>IF(COUNT(D916:S916)=0,"",MAX(D916:S916))</f>
        <v/>
      </c>
      <c r="W916" s="9">
        <f>IF(OR(T916="",T916=0),"",(V916-T916)/T916)</f>
        <v/>
      </c>
      <c r="X916" s="7">
        <f>IF(COUNT(D916:S916)=0,"",INDEX($D$1:$S$1,MATCH(MIN(D916:S916),D916:S916,0)))</f>
        <v/>
      </c>
      <c r="Y916" s="8" t="n">
        <v>787.5</v>
      </c>
      <c r="Z916" s="10" t="n">
        <v>1</v>
      </c>
    </row>
    <row r="917">
      <c r="A917" s="7" t="inlineStr">
        <is>
          <t>MAT-10-308</t>
        </is>
      </c>
      <c r="B917" s="4" t="inlineStr">
        <is>
          <t>Cinta aislante 30 mts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1730</v>
      </c>
      <c r="M917" s="8" t="n"/>
      <c r="N917" s="8" t="n"/>
      <c r="O917" s="8" t="n"/>
      <c r="P917" s="8" t="n"/>
      <c r="Q917" s="8" t="n"/>
      <c r="R917" s="8" t="n"/>
      <c r="S917" s="8" t="n"/>
      <c r="T917" s="8">
        <f>IF(COUNT(D917:S917)=0,"",MIN(D917:S917))</f>
        <v/>
      </c>
      <c r="U917" s="8">
        <f>IF(COUNT(D917:S917)=0,"",MEDIAN(D917:S917))</f>
        <v/>
      </c>
      <c r="V917" s="8">
        <f>IF(COUNT(D917:S917)=0,"",MAX(D917:S917))</f>
        <v/>
      </c>
      <c r="W917" s="9">
        <f>IF(OR(T917="",T917=0),"",(V917-T917)/T917)</f>
        <v/>
      </c>
      <c r="X917" s="7">
        <f>IF(COUNT(D917:S917)=0,"",INDEX($D$1:$S$1,MATCH(MIN(D917:S917),D917:S917,0)))</f>
        <v/>
      </c>
      <c r="Y917" s="8" t="n">
        <v>1730</v>
      </c>
      <c r="Z917" s="10" t="n">
        <v>1</v>
      </c>
    </row>
    <row r="918">
      <c r="A918" s="7" t="inlineStr">
        <is>
          <t>MAT-10-309</t>
        </is>
      </c>
      <c r="B918" s="4" t="inlineStr">
        <is>
          <t>Cable THHN #14,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966</v>
      </c>
      <c r="N918" s="8" t="n"/>
      <c r="O918" s="8" t="n"/>
      <c r="P918" s="8" t="n"/>
      <c r="Q918" s="8" t="n"/>
      <c r="R918" s="8" t="n"/>
      <c r="S918" s="8" t="n"/>
      <c r="T918" s="8">
        <f>IF(COUNT(D918:S918)=0,"",MIN(D918:S918))</f>
        <v/>
      </c>
      <c r="U918" s="8">
        <f>IF(COUNT(D918:S918)=0,"",MEDIAN(D918:S918))</f>
        <v/>
      </c>
      <c r="V918" s="8">
        <f>IF(COUNT(D918:S918)=0,"",MAX(D918:S918))</f>
        <v/>
      </c>
      <c r="W918" s="9">
        <f>IF(OR(T918="",T918=0),"",(V918-T918)/T918)</f>
        <v/>
      </c>
      <c r="X918" s="7">
        <f>IF(COUNT(D918:S918)=0,"",INDEX($D$1:$S$1,MATCH(MIN(D918:S918),D918:S918,0)))</f>
        <v/>
      </c>
      <c r="Y918" s="8" t="n">
        <v>1139.88</v>
      </c>
      <c r="Z918" s="10" t="n">
        <v>1</v>
      </c>
    </row>
    <row r="919">
      <c r="A919" s="7" t="inlineStr">
        <is>
          <t>MAT-10-310</t>
        </is>
      </c>
      <c r="B919" s="4" t="inlineStr">
        <is>
          <t>Cable THHN #2,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12600</v>
      </c>
      <c r="N919" s="8" t="n"/>
      <c r="O919" s="8" t="n"/>
      <c r="P919" s="8" t="n"/>
      <c r="Q919" s="8" t="n"/>
      <c r="R919" s="8" t="n"/>
      <c r="S919" s="8" t="n"/>
      <c r="T919" s="8">
        <f>IF(COUNT(D919:S919)=0,"",MIN(D919:S919))</f>
        <v/>
      </c>
      <c r="U919" s="8">
        <f>IF(COUNT(D919:S919)=0,"",MEDIAN(D919:S919))</f>
        <v/>
      </c>
      <c r="V919" s="8">
        <f>IF(COUNT(D919:S919)=0,"",MAX(D919:S919))</f>
        <v/>
      </c>
      <c r="W919" s="9">
        <f>IF(OR(T919="",T919=0),"",(V919-T919)/T919)</f>
        <v/>
      </c>
      <c r="X919" s="7">
        <f>IF(COUNT(D919:S919)=0,"",INDEX($D$1:$S$1,MATCH(MIN(D919:S919),D919:S919,0)))</f>
        <v/>
      </c>
      <c r="Y919" s="8" t="n">
        <v>14868</v>
      </c>
      <c r="Z919" s="10" t="n">
        <v>1</v>
      </c>
    </row>
    <row r="920">
      <c r="A920" s="7" t="inlineStr">
        <is>
          <t>MAT-10-311</t>
        </is>
      </c>
      <c r="B920" s="4" t="inlineStr">
        <is>
          <t>Cable THHN #2/0,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25900</v>
      </c>
      <c r="N920" s="8" t="n"/>
      <c r="O920" s="8" t="n"/>
      <c r="P920" s="8" t="n"/>
      <c r="Q920" s="8" t="n"/>
      <c r="R920" s="8" t="n"/>
      <c r="S920" s="8" t="n"/>
      <c r="T920" s="8">
        <f>IF(COUNT(D920:S920)=0,"",MIN(D920:S920))</f>
        <v/>
      </c>
      <c r="U920" s="8">
        <f>IF(COUNT(D920:S920)=0,"",MEDIAN(D920:S920))</f>
        <v/>
      </c>
      <c r="V920" s="8">
        <f>IF(COUNT(D920:S920)=0,"",MAX(D920:S920))</f>
        <v/>
      </c>
      <c r="W920" s="9">
        <f>IF(OR(T920="",T920=0),"",(V920-T920)/T920)</f>
        <v/>
      </c>
      <c r="X920" s="7">
        <f>IF(COUNT(D920:S920)=0,"",INDEX($D$1:$S$1,MATCH(MIN(D920:S920),D920:S920,0)))</f>
        <v/>
      </c>
      <c r="Y920" s="8" t="n">
        <v>30562</v>
      </c>
      <c r="Z920" s="10" t="n">
        <v>1</v>
      </c>
    </row>
    <row r="921">
      <c r="A921" s="7" t="inlineStr">
        <is>
          <t>MAT-10-312</t>
        </is>
      </c>
      <c r="B921" s="4" t="inlineStr">
        <is>
          <t>Cable THHN #3/0,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32800</v>
      </c>
      <c r="N921" s="8" t="n"/>
      <c r="O921" s="8" t="n"/>
      <c r="P921" s="8" t="n"/>
      <c r="Q921" s="8" t="n"/>
      <c r="R921" s="8" t="n"/>
      <c r="S921" s="8" t="n"/>
      <c r="T921" s="8">
        <f>IF(COUNT(D921:S921)=0,"",MIN(D921:S921))</f>
        <v/>
      </c>
      <c r="U921" s="8">
        <f>IF(COUNT(D921:S921)=0,"",MEDIAN(D921:S921))</f>
        <v/>
      </c>
      <c r="V921" s="8">
        <f>IF(COUNT(D921:S921)=0,"",MAX(D921:S921))</f>
        <v/>
      </c>
      <c r="W921" s="9">
        <f>IF(OR(T921="",T921=0),"",(V921-T921)/T921)</f>
        <v/>
      </c>
      <c r="X921" s="7">
        <f>IF(COUNT(D921:S921)=0,"",INDEX($D$1:$S$1,MATCH(MIN(D921:S921),D921:S921,0)))</f>
        <v/>
      </c>
      <c r="Y921" s="8" t="n">
        <v>38704</v>
      </c>
      <c r="Z921" s="10" t="n">
        <v>1</v>
      </c>
    </row>
    <row r="922">
      <c r="A922" s="7" t="inlineStr">
        <is>
          <t>MAT-10-313</t>
        </is>
      </c>
      <c r="B922" s="4" t="inlineStr">
        <is>
          <t>Cable THHN #4,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8436</v>
      </c>
      <c r="N922" s="8" t="n"/>
      <c r="O922" s="8" t="n"/>
      <c r="P922" s="8" t="n"/>
      <c r="Q922" s="8" t="n"/>
      <c r="R922" s="8" t="n"/>
      <c r="S922" s="8" t="n"/>
      <c r="T922" s="8">
        <f>IF(COUNT(D922:S922)=0,"",MIN(D922:S922))</f>
        <v/>
      </c>
      <c r="U922" s="8">
        <f>IF(COUNT(D922:S922)=0,"",MEDIAN(D922:S922))</f>
        <v/>
      </c>
      <c r="V922" s="8">
        <f>IF(COUNT(D922:S922)=0,"",MAX(D922:S922))</f>
        <v/>
      </c>
      <c r="W922" s="9">
        <f>IF(OR(T922="",T922=0),"",(V922-T922)/T922)</f>
        <v/>
      </c>
      <c r="X922" s="7">
        <f>IF(COUNT(D922:S922)=0,"",INDEX($D$1:$S$1,MATCH(MIN(D922:S922),D922:S922,0)))</f>
        <v/>
      </c>
      <c r="Y922" s="8" t="n">
        <v>9954.48</v>
      </c>
      <c r="Z922" s="10" t="n">
        <v>1</v>
      </c>
    </row>
    <row r="923">
      <c r="A923" s="7" t="inlineStr">
        <is>
          <t>MAT-10-314</t>
        </is>
      </c>
      <c r="B923" s="4" t="inlineStr">
        <is>
          <t>Cable THHN #4/0,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39200</v>
      </c>
      <c r="N923" s="8" t="n"/>
      <c r="O923" s="8" t="n"/>
      <c r="P923" s="8" t="n"/>
      <c r="Q923" s="8" t="n"/>
      <c r="R923" s="8" t="n"/>
      <c r="S923" s="8" t="n"/>
      <c r="T923" s="8">
        <f>IF(COUNT(D923:S923)=0,"",MIN(D923:S923))</f>
        <v/>
      </c>
      <c r="U923" s="8">
        <f>IF(COUNT(D923:S923)=0,"",MEDIAN(D923:S923))</f>
        <v/>
      </c>
      <c r="V923" s="8">
        <f>IF(COUNT(D923:S923)=0,"",MAX(D923:S923))</f>
        <v/>
      </c>
      <c r="W923" s="9">
        <f>IF(OR(T923="",T923=0),"",(V923-T923)/T923)</f>
        <v/>
      </c>
      <c r="X923" s="7">
        <f>IF(COUNT(D923:S923)=0,"",INDEX($D$1:$S$1,MATCH(MIN(D923:S923),D923:S923,0)))</f>
        <v/>
      </c>
      <c r="Y923" s="8" t="n">
        <v>46256</v>
      </c>
      <c r="Z923" s="10" t="n">
        <v>1</v>
      </c>
    </row>
    <row r="924">
      <c r="A924" s="7" t="inlineStr">
        <is>
          <t>MAT-10-315</t>
        </is>
      </c>
      <c r="B924" s="4" t="inlineStr">
        <is>
          <t>Cable THHN #6,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5268</v>
      </c>
      <c r="N924" s="8" t="n"/>
      <c r="O924" s="8" t="n"/>
      <c r="P924" s="8" t="n"/>
      <c r="Q924" s="8" t="n"/>
      <c r="R924" s="8" t="n"/>
      <c r="S924" s="8" t="n"/>
      <c r="T924" s="8">
        <f>IF(COUNT(D924:S924)=0,"",MIN(D924:S924))</f>
        <v/>
      </c>
      <c r="U924" s="8">
        <f>IF(COUNT(D924:S924)=0,"",MEDIAN(D924:S924))</f>
        <v/>
      </c>
      <c r="V924" s="8">
        <f>IF(COUNT(D924:S924)=0,"",MAX(D924:S924))</f>
        <v/>
      </c>
      <c r="W924" s="9">
        <f>IF(OR(T924="",T924=0),"",(V924-T924)/T924)</f>
        <v/>
      </c>
      <c r="X924" s="7">
        <f>IF(COUNT(D924:S924)=0,"",INDEX($D$1:$S$1,MATCH(MIN(D924:S924),D924:S924,0)))</f>
        <v/>
      </c>
      <c r="Y924" s="8" t="n">
        <v>6216.24</v>
      </c>
      <c r="Z924" s="10" t="n">
        <v>1</v>
      </c>
    </row>
    <row r="925">
      <c r="A925" s="7" t="inlineStr">
        <is>
          <t>MAT-10-316</t>
        </is>
      </c>
      <c r="B925" s="4" t="inlineStr">
        <is>
          <t>Cable de goma 1.5 mm,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2102</v>
      </c>
      <c r="N925" s="8" t="n"/>
      <c r="O925" s="8" t="n"/>
      <c r="P925" s="8" t="n"/>
      <c r="Q925" s="8" t="n"/>
      <c r="R925" s="8" t="n"/>
      <c r="S925" s="8" t="n"/>
      <c r="T925" s="8">
        <f>IF(COUNT(D925:S925)=0,"",MIN(D925:S925))</f>
        <v/>
      </c>
      <c r="U925" s="8">
        <f>IF(COUNT(D925:S925)=0,"",MEDIAN(D925:S925))</f>
        <v/>
      </c>
      <c r="V925" s="8">
        <f>IF(COUNT(D925:S925)=0,"",MAX(D925:S925))</f>
        <v/>
      </c>
      <c r="W925" s="9">
        <f>IF(OR(T925="",T925=0),"",(V925-T925)/T925)</f>
        <v/>
      </c>
      <c r="X925" s="7">
        <f>IF(COUNT(D925:S925)=0,"",INDEX($D$1:$S$1,MATCH(MIN(D925:S925),D925:S925,0)))</f>
        <v/>
      </c>
      <c r="Y925" s="8" t="n">
        <v>2480.36</v>
      </c>
      <c r="Z925" s="10" t="n">
        <v>1</v>
      </c>
    </row>
    <row r="926">
      <c r="A926" s="7" t="inlineStr">
        <is>
          <t>MAT-10-317</t>
        </is>
      </c>
      <c r="B926" s="4" t="inlineStr">
        <is>
          <t>Cable de goma 1.5 mm,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2927</v>
      </c>
      <c r="N926" s="8" t="n"/>
      <c r="O926" s="8" t="n"/>
      <c r="P926" s="8" t="n"/>
      <c r="Q926" s="8" t="n"/>
      <c r="R926" s="8" t="n"/>
      <c r="S926" s="8" t="n"/>
      <c r="T926" s="8">
        <f>IF(COUNT(D926:S926)=0,"",MIN(D926:S926))</f>
        <v/>
      </c>
      <c r="U926" s="8">
        <f>IF(COUNT(D926:S926)=0,"",MEDIAN(D926:S926))</f>
        <v/>
      </c>
      <c r="V926" s="8">
        <f>IF(COUNT(D926:S926)=0,"",MAX(D926:S926))</f>
        <v/>
      </c>
      <c r="W926" s="9">
        <f>IF(OR(T926="",T926=0),"",(V926-T926)/T926)</f>
        <v/>
      </c>
      <c r="X926" s="7">
        <f>IF(COUNT(D926:S926)=0,"",INDEX($D$1:$S$1,MATCH(MIN(D926:S926),D926:S926,0)))</f>
        <v/>
      </c>
      <c r="Y926" s="8" t="n">
        <v>3453.86</v>
      </c>
      <c r="Z926" s="10" t="n">
        <v>1</v>
      </c>
    </row>
    <row r="927">
      <c r="A927" s="7" t="inlineStr">
        <is>
          <t>MAT-10-318</t>
        </is>
      </c>
      <c r="B927" s="4" t="inlineStr">
        <is>
          <t>Cable de goma 1.5 mm,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3713</v>
      </c>
      <c r="N927" s="8" t="n"/>
      <c r="O927" s="8" t="n"/>
      <c r="P927" s="8" t="n"/>
      <c r="Q927" s="8" t="n"/>
      <c r="R927" s="8" t="n"/>
      <c r="S927" s="8" t="n"/>
      <c r="T927" s="8">
        <f>IF(COUNT(D927:S927)=0,"",MIN(D927:S927))</f>
        <v/>
      </c>
      <c r="U927" s="8">
        <f>IF(COUNT(D927:S927)=0,"",MEDIAN(D927:S927))</f>
        <v/>
      </c>
      <c r="V927" s="8">
        <f>IF(COUNT(D927:S927)=0,"",MAX(D927:S927))</f>
        <v/>
      </c>
      <c r="W927" s="9">
        <f>IF(OR(T927="",T927=0),"",(V927-T927)/T927)</f>
        <v/>
      </c>
      <c r="X927" s="7">
        <f>IF(COUNT(D927:S927)=0,"",INDEX($D$1:$S$1,MATCH(MIN(D927:S927),D927:S927,0)))</f>
        <v/>
      </c>
      <c r="Y927" s="8" t="n">
        <v>4381.34</v>
      </c>
      <c r="Z927" s="10" t="n">
        <v>1</v>
      </c>
    </row>
    <row r="928">
      <c r="A928" s="7" t="inlineStr">
        <is>
          <t>MAT-10-319</t>
        </is>
      </c>
      <c r="B928" s="4" t="inlineStr">
        <is>
          <t>Cable de goma 12,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3644</v>
      </c>
      <c r="N928" s="8" t="n"/>
      <c r="O928" s="8" t="n"/>
      <c r="P928" s="8" t="n"/>
      <c r="Q928" s="8" t="n"/>
      <c r="R928" s="8" t="n"/>
      <c r="S928" s="8" t="n"/>
      <c r="T928" s="8">
        <f>IF(COUNT(D928:S928)=0,"",MIN(D928:S928))</f>
        <v/>
      </c>
      <c r="U928" s="8">
        <f>IF(COUNT(D928:S928)=0,"",MEDIAN(D928:S928))</f>
        <v/>
      </c>
      <c r="V928" s="8">
        <f>IF(COUNT(D928:S928)=0,"",MAX(D928:S928))</f>
        <v/>
      </c>
      <c r="W928" s="9">
        <f>IF(OR(T928="",T928=0),"",(V928-T928)/T928)</f>
        <v/>
      </c>
      <c r="X928" s="7">
        <f>IF(COUNT(D928:S928)=0,"",INDEX($D$1:$S$1,MATCH(MIN(D928:S928),D928:S928,0)))</f>
        <v/>
      </c>
      <c r="Y928" s="8" t="n">
        <v>4299.92</v>
      </c>
      <c r="Z928" s="10" t="n">
        <v>1</v>
      </c>
    </row>
    <row r="929">
      <c r="A929" s="7" t="inlineStr">
        <is>
          <t>MAT-10-320</t>
        </is>
      </c>
      <c r="B929" s="4" t="inlineStr">
        <is>
          <t>Cable de goma 12,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5338</v>
      </c>
      <c r="N929" s="8" t="n"/>
      <c r="O929" s="8" t="n"/>
      <c r="P929" s="8" t="n"/>
      <c r="Q929" s="8" t="n"/>
      <c r="R929" s="8" t="n"/>
      <c r="S929" s="8" t="n"/>
      <c r="T929" s="8">
        <f>IF(COUNT(D929:S929)=0,"",MIN(D929:S929))</f>
        <v/>
      </c>
      <c r="U929" s="8">
        <f>IF(COUNT(D929:S929)=0,"",MEDIAN(D929:S929))</f>
        <v/>
      </c>
      <c r="V929" s="8">
        <f>IF(COUNT(D929:S929)=0,"",MAX(D929:S929))</f>
        <v/>
      </c>
      <c r="W929" s="9">
        <f>IF(OR(T929="",T929=0),"",(V929-T929)/T929)</f>
        <v/>
      </c>
      <c r="X929" s="7">
        <f>IF(COUNT(D929:S929)=0,"",INDEX($D$1:$S$1,MATCH(MIN(D929:S929),D929:S929,0)))</f>
        <v/>
      </c>
      <c r="Y929" s="8" t="n">
        <v>6298.84</v>
      </c>
      <c r="Z929" s="10" t="n">
        <v>1</v>
      </c>
    </row>
    <row r="930">
      <c r="A930" s="7" t="inlineStr">
        <is>
          <t>MAT-10-321</t>
        </is>
      </c>
      <c r="B930" s="4" t="inlineStr">
        <is>
          <t>Cable de goma 14,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4668</v>
      </c>
      <c r="N930" s="8" t="n"/>
      <c r="O930" s="8" t="n"/>
      <c r="P930" s="8" t="n"/>
      <c r="Q930" s="8" t="n"/>
      <c r="R930" s="8" t="n"/>
      <c r="S930" s="8" t="n"/>
      <c r="T930" s="8">
        <f>IF(COUNT(D930:S930)=0,"",MIN(D930:S930))</f>
        <v/>
      </c>
      <c r="U930" s="8">
        <f>IF(COUNT(D930:S930)=0,"",MEDIAN(D930:S930))</f>
        <v/>
      </c>
      <c r="V930" s="8">
        <f>IF(COUNT(D930:S930)=0,"",MAX(D930:S930))</f>
        <v/>
      </c>
      <c r="W930" s="9">
        <f>IF(OR(T930="",T930=0),"",(V930-T930)/T930)</f>
        <v/>
      </c>
      <c r="X930" s="7">
        <f>IF(COUNT(D930:S930)=0,"",INDEX($D$1:$S$1,MATCH(MIN(D930:S930),D930:S930,0)))</f>
        <v/>
      </c>
      <c r="Y930" s="8" t="n">
        <v>5508.24</v>
      </c>
      <c r="Z930" s="10" t="n">
        <v>1</v>
      </c>
    </row>
    <row r="931">
      <c r="A931" s="7" t="inlineStr">
        <is>
          <t>MAT-10-322</t>
        </is>
      </c>
      <c r="B931" s="4" t="inlineStr">
        <is>
          <t>Cable de goma 2.5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>
        <v>2908</v>
      </c>
      <c r="N931" s="8" t="n"/>
      <c r="O931" s="8" t="n"/>
      <c r="P931" s="8" t="n"/>
      <c r="Q931" s="8" t="n"/>
      <c r="R931" s="8" t="n"/>
      <c r="S931" s="8" t="n"/>
      <c r="T931" s="8">
        <f>IF(COUNT(D931:S931)=0,"",MIN(D931:S931))</f>
        <v/>
      </c>
      <c r="U931" s="8">
        <f>IF(COUNT(D931:S931)=0,"",MEDIAN(D931:S931))</f>
        <v/>
      </c>
      <c r="V931" s="8">
        <f>IF(COUNT(D931:S931)=0,"",MAX(D931:S931))</f>
        <v/>
      </c>
      <c r="W931" s="9">
        <f>IF(OR(T931="",T931=0),"",(V931-T931)/T931)</f>
        <v/>
      </c>
      <c r="X931" s="7">
        <f>IF(COUNT(D931:S931)=0,"",INDEX($D$1:$S$1,MATCH(MIN(D931:S931),D931:S931,0)))</f>
        <v/>
      </c>
      <c r="Y931" s="8" t="n">
        <v>3431.44</v>
      </c>
      <c r="Z931" s="10" t="n">
        <v>1</v>
      </c>
    </row>
    <row r="932">
      <c r="A932" s="7" t="inlineStr">
        <is>
          <t>MAT-10-323</t>
        </is>
      </c>
      <c r="B932" s="4" t="inlineStr">
        <is>
          <t>Cable de goma 2.5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4361</v>
      </c>
      <c r="N932" s="8" t="n"/>
      <c r="O932" s="8" t="n"/>
      <c r="P932" s="8" t="n"/>
      <c r="Q932" s="8" t="n"/>
      <c r="R932" s="8" t="n"/>
      <c r="S932" s="8" t="n"/>
      <c r="T932" s="8">
        <f>IF(COUNT(D932:S932)=0,"",MIN(D932:S932))</f>
        <v/>
      </c>
      <c r="U932" s="8">
        <f>IF(COUNT(D932:S932)=0,"",MEDIAN(D932:S932))</f>
        <v/>
      </c>
      <c r="V932" s="8">
        <f>IF(COUNT(D932:S932)=0,"",MAX(D932:S932))</f>
        <v/>
      </c>
      <c r="W932" s="9">
        <f>IF(OR(T932="",T932=0),"",(V932-T932)/T932)</f>
        <v/>
      </c>
      <c r="X932" s="7">
        <f>IF(COUNT(D932:S932)=0,"",INDEX($D$1:$S$1,MATCH(MIN(D932:S932),D932:S932,0)))</f>
        <v/>
      </c>
      <c r="Y932" s="8" t="n">
        <v>5145.98</v>
      </c>
      <c r="Z932" s="10" t="n">
        <v>1</v>
      </c>
    </row>
    <row r="933">
      <c r="A933" s="7" t="inlineStr">
        <is>
          <t>MAT-10-324</t>
        </is>
      </c>
      <c r="B933" s="4" t="inlineStr">
        <is>
          <t>Cable de goma 6,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26700</v>
      </c>
      <c r="N933" s="8" t="n"/>
      <c r="O933" s="8" t="n"/>
      <c r="P933" s="8" t="n"/>
      <c r="Q933" s="8" t="n"/>
      <c r="R933" s="8" t="n"/>
      <c r="S933" s="8" t="n"/>
      <c r="T933" s="8">
        <f>IF(COUNT(D933:S933)=0,"",MIN(D933:S933))</f>
        <v/>
      </c>
      <c r="U933" s="8">
        <f>IF(COUNT(D933:S933)=0,"",MEDIAN(D933:S933))</f>
        <v/>
      </c>
      <c r="V933" s="8">
        <f>IF(COUNT(D933:S933)=0,"",MAX(D933:S933))</f>
        <v/>
      </c>
      <c r="W933" s="9">
        <f>IF(OR(T933="",T933=0),"",(V933-T933)/T933)</f>
        <v/>
      </c>
      <c r="X933" s="7">
        <f>IF(COUNT(D933:S933)=0,"",INDEX($D$1:$S$1,MATCH(MIN(D933:S933),D933:S933,0)))</f>
        <v/>
      </c>
      <c r="Y933" s="8" t="n">
        <v>31506</v>
      </c>
      <c r="Z933" s="10" t="n">
        <v>1</v>
      </c>
    </row>
    <row r="934">
      <c r="A934" s="7" t="inlineStr">
        <is>
          <t>MAT-10-325</t>
        </is>
      </c>
      <c r="B934" s="4" t="inlineStr">
        <is>
          <t>Extensión eléctrica de 10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180</v>
      </c>
      <c r="M934" s="8" t="n"/>
      <c r="N934" s="8" t="n"/>
      <c r="O934" s="8" t="n"/>
      <c r="P934" s="8" t="n"/>
      <c r="Q934" s="8" t="n"/>
      <c r="R934" s="8" t="n"/>
      <c r="S934" s="8" t="n"/>
      <c r="T934" s="8">
        <f>IF(COUNT(D934:S934)=0,"",MIN(D934:S934))</f>
        <v/>
      </c>
      <c r="U934" s="8">
        <f>IF(COUNT(D934:S934)=0,"",MEDIAN(D934:S934))</f>
        <v/>
      </c>
      <c r="V934" s="8">
        <f>IF(COUNT(D934:S934)=0,"",MAX(D934:S934))</f>
        <v/>
      </c>
      <c r="W934" s="9">
        <f>IF(OR(T934="",T934=0),"",(V934-T934)/T934)</f>
        <v/>
      </c>
      <c r="X934" s="7">
        <f>IF(COUNT(D934:S934)=0,"",INDEX($D$1:$S$1,MATCH(MIN(D934:S934),D934:S934,0)))</f>
        <v/>
      </c>
      <c r="Y934" s="8" t="n">
        <v>180</v>
      </c>
      <c r="Z934" s="10" t="n">
        <v>1</v>
      </c>
    </row>
    <row r="935">
      <c r="A935" s="7" t="inlineStr">
        <is>
          <t>MAT-10-326</t>
        </is>
      </c>
      <c r="B935" s="4" t="inlineStr">
        <is>
          <t>Extensión eléctrica de 100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1355.01</v>
      </c>
      <c r="M935" s="8" t="n"/>
      <c r="N935" s="8" t="n"/>
      <c r="O935" s="8" t="n"/>
      <c r="P935" s="8" t="n"/>
      <c r="Q935" s="8" t="n"/>
      <c r="R935" s="8" t="n"/>
      <c r="S935" s="8" t="n"/>
      <c r="T935" s="8">
        <f>IF(COUNT(D935:S935)=0,"",MIN(D935:S935))</f>
        <v/>
      </c>
      <c r="U935" s="8">
        <f>IF(COUNT(D935:S935)=0,"",MEDIAN(D935:S935))</f>
        <v/>
      </c>
      <c r="V935" s="8">
        <f>IF(COUNT(D935:S935)=0,"",MAX(D935:S935))</f>
        <v/>
      </c>
      <c r="W935" s="9">
        <f>IF(OR(T935="",T935=0),"",(V935-T935)/T935)</f>
        <v/>
      </c>
      <c r="X935" s="7">
        <f>IF(COUNT(D935:S935)=0,"",INDEX($D$1:$S$1,MATCH(MIN(D935:S935),D935:S935,0)))</f>
        <v/>
      </c>
      <c r="Y935" s="8" t="n">
        <v>1940</v>
      </c>
      <c r="Z935" s="10" t="n">
        <v>1</v>
      </c>
    </row>
    <row r="936">
      <c r="A936" s="7" t="inlineStr">
        <is>
          <t>MAT-10-327</t>
        </is>
      </c>
      <c r="B936" s="4" t="inlineStr">
        <is>
          <t>Extensión eléctrica de 12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210</v>
      </c>
      <c r="M936" s="8" t="n"/>
      <c r="N936" s="8" t="n"/>
      <c r="O936" s="8" t="n"/>
      <c r="P936" s="8" t="n"/>
      <c r="Q936" s="8" t="n"/>
      <c r="R936" s="8" t="n"/>
      <c r="S936" s="8" t="n"/>
      <c r="T936" s="8">
        <f>IF(COUNT(D936:S936)=0,"",MIN(D936:S936))</f>
        <v/>
      </c>
      <c r="U936" s="8">
        <f>IF(COUNT(D936:S936)=0,"",MEDIAN(D936:S936))</f>
        <v/>
      </c>
      <c r="V936" s="8">
        <f>IF(COUNT(D936:S936)=0,"",MAX(D936:S936))</f>
        <v/>
      </c>
      <c r="W936" s="9">
        <f>IF(OR(T936="",T936=0),"",(V936-T936)/T936)</f>
        <v/>
      </c>
      <c r="X936" s="7">
        <f>IF(COUNT(D936:S936)=0,"",INDEX($D$1:$S$1,MATCH(MIN(D936:S936),D936:S936,0)))</f>
        <v/>
      </c>
      <c r="Y936" s="8" t="n">
        <v>285</v>
      </c>
      <c r="Z936" s="10" t="n">
        <v>1</v>
      </c>
    </row>
    <row r="937">
      <c r="A937" s="7" t="inlineStr">
        <is>
          <t>MAT-10-328</t>
        </is>
      </c>
      <c r="B937" s="4" t="inlineStr">
        <is>
          <t>Extensión eléctrica de 13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225</v>
      </c>
      <c r="M937" s="8" t="n"/>
      <c r="N937" s="8" t="n"/>
      <c r="O937" s="8" t="n"/>
      <c r="P937" s="8" t="n"/>
      <c r="Q937" s="8" t="n"/>
      <c r="R937" s="8" t="n"/>
      <c r="S937" s="8" t="n"/>
      <c r="T937" s="8">
        <f>IF(COUNT(D937:S937)=0,"",MIN(D937:S937))</f>
        <v/>
      </c>
      <c r="U937" s="8">
        <f>IF(COUNT(D937:S937)=0,"",MEDIAN(D937:S937))</f>
        <v/>
      </c>
      <c r="V937" s="8">
        <f>IF(COUNT(D937:S937)=0,"",MAX(D937:S937))</f>
        <v/>
      </c>
      <c r="W937" s="9">
        <f>IF(OR(T937="",T937=0),"",(V937-T937)/T937)</f>
        <v/>
      </c>
      <c r="X937" s="7">
        <f>IF(COUNT(D937:S937)=0,"",INDEX($D$1:$S$1,MATCH(MIN(D937:S937),D937:S937,0)))</f>
        <v/>
      </c>
      <c r="Y937" s="8" t="n">
        <v>225</v>
      </c>
      <c r="Z937" s="10" t="n">
        <v>1</v>
      </c>
    </row>
    <row r="938">
      <c r="A938" s="7" t="inlineStr">
        <is>
          <t>MAT-10-329</t>
        </is>
      </c>
      <c r="B938" s="4" t="inlineStr">
        <is>
          <t>Extensión eléctrica de 15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300</v>
      </c>
      <c r="M938" s="8" t="n"/>
      <c r="N938" s="8" t="n"/>
      <c r="O938" s="8" t="n"/>
      <c r="P938" s="8" t="n"/>
      <c r="Q938" s="8" t="n"/>
      <c r="R938" s="8" t="n"/>
      <c r="S938" s="8" t="n"/>
      <c r="T938" s="8">
        <f>IF(COUNT(D938:S938)=0,"",MIN(D938:S938))</f>
        <v/>
      </c>
      <c r="U938" s="8">
        <f>IF(COUNT(D938:S938)=0,"",MEDIAN(D938:S938))</f>
        <v/>
      </c>
      <c r="V938" s="8">
        <f>IF(COUNT(D938:S938)=0,"",MAX(D938:S938))</f>
        <v/>
      </c>
      <c r="W938" s="9">
        <f>IF(OR(T938="",T938=0),"",(V938-T938)/T938)</f>
        <v/>
      </c>
      <c r="X938" s="7">
        <f>IF(COUNT(D938:S938)=0,"",INDEX($D$1:$S$1,MATCH(MIN(D938:S938),D938:S938,0)))</f>
        <v/>
      </c>
      <c r="Y938" s="8" t="n">
        <v>505</v>
      </c>
      <c r="Z938" s="10" t="n">
        <v>1</v>
      </c>
    </row>
    <row r="939">
      <c r="A939" s="7" t="inlineStr">
        <is>
          <t>MAT-10-330</t>
        </is>
      </c>
      <c r="B939" s="4" t="inlineStr">
        <is>
          <t>Extensión eléctrica de 16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270</v>
      </c>
      <c r="M939" s="8" t="n"/>
      <c r="N939" s="8" t="n"/>
      <c r="O939" s="8" t="n"/>
      <c r="P939" s="8" t="n"/>
      <c r="Q939" s="8" t="n"/>
      <c r="R939" s="8" t="n"/>
      <c r="S939" s="8" t="n"/>
      <c r="T939" s="8">
        <f>IF(COUNT(D939:S939)=0,"",MIN(D939:S939))</f>
        <v/>
      </c>
      <c r="U939" s="8">
        <f>IF(COUNT(D939:S939)=0,"",MEDIAN(D939:S939))</f>
        <v/>
      </c>
      <c r="V939" s="8">
        <f>IF(COUNT(D939:S939)=0,"",MAX(D939:S939))</f>
        <v/>
      </c>
      <c r="W939" s="9">
        <f>IF(OR(T939="",T939=0),"",(V939-T939)/T939)</f>
        <v/>
      </c>
      <c r="X939" s="7">
        <f>IF(COUNT(D939:S939)=0,"",INDEX($D$1:$S$1,MATCH(MIN(D939:S939),D939:S939,0)))</f>
        <v/>
      </c>
      <c r="Y939" s="8" t="n">
        <v>270</v>
      </c>
      <c r="Z939" s="10" t="n">
        <v>1</v>
      </c>
    </row>
    <row r="940">
      <c r="A940" s="7" t="inlineStr">
        <is>
          <t>MAT-10-331</t>
        </is>
      </c>
      <c r="B940" s="4" t="inlineStr">
        <is>
          <t>Extensión eléctrica de 25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1700</v>
      </c>
      <c r="M940" s="8" t="n"/>
      <c r="N940" s="8" t="n"/>
      <c r="O940" s="8" t="n"/>
      <c r="P940" s="8" t="n"/>
      <c r="Q940" s="8" t="n"/>
      <c r="R940" s="8" t="n"/>
      <c r="S940" s="8" t="n"/>
      <c r="T940" s="8">
        <f>IF(COUNT(D940:S940)=0,"",MIN(D940:S940))</f>
        <v/>
      </c>
      <c r="U940" s="8">
        <f>IF(COUNT(D940:S940)=0,"",MEDIAN(D940:S940))</f>
        <v/>
      </c>
      <c r="V940" s="8">
        <f>IF(COUNT(D940:S940)=0,"",MAX(D940:S940))</f>
        <v/>
      </c>
      <c r="W940" s="9">
        <f>IF(OR(T940="",T940=0),"",(V940-T940)/T940)</f>
        <v/>
      </c>
      <c r="X940" s="7">
        <f>IF(COUNT(D940:S940)=0,"",INDEX($D$1:$S$1,MATCH(MIN(D940:S940),D940:S940,0)))</f>
        <v/>
      </c>
      <c r="Y940" s="8" t="n">
        <v>1700</v>
      </c>
      <c r="Z940" s="10" t="n">
        <v>1</v>
      </c>
    </row>
    <row r="941">
      <c r="A941" s="7" t="inlineStr">
        <is>
          <t>MAT-10-332</t>
        </is>
      </c>
      <c r="B941" s="4" t="inlineStr">
        <is>
          <t>Extensión eléctrica de 26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520</v>
      </c>
      <c r="M941" s="8" t="n"/>
      <c r="N941" s="8" t="n"/>
      <c r="O941" s="8" t="n"/>
      <c r="P941" s="8" t="n"/>
      <c r="Q941" s="8" t="n"/>
      <c r="R941" s="8" t="n"/>
      <c r="S941" s="8" t="n"/>
      <c r="T941" s="8">
        <f>IF(COUNT(D941:S941)=0,"",MIN(D941:S941))</f>
        <v/>
      </c>
      <c r="U941" s="8">
        <f>IF(COUNT(D941:S941)=0,"",MEDIAN(D941:S941))</f>
        <v/>
      </c>
      <c r="V941" s="8">
        <f>IF(COUNT(D941:S941)=0,"",MAX(D941:S941))</f>
        <v/>
      </c>
      <c r="W941" s="9">
        <f>IF(OR(T941="",T941=0),"",(V941-T941)/T941)</f>
        <v/>
      </c>
      <c r="X941" s="7">
        <f>IF(COUNT(D941:S941)=0,"",INDEX($D$1:$S$1,MATCH(MIN(D941:S941),D941:S941,0)))</f>
        <v/>
      </c>
      <c r="Y941" s="8" t="n">
        <v>520</v>
      </c>
      <c r="Z941" s="10" t="n">
        <v>1</v>
      </c>
    </row>
    <row r="942">
      <c r="A942" s="7" t="inlineStr">
        <is>
          <t>MAT-10-333</t>
        </is>
      </c>
      <c r="B942" s="4" t="inlineStr">
        <is>
          <t>Extensión eléctrica de 50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 t="n"/>
      <c r="S942" s="8" t="n"/>
      <c r="T942" s="8">
        <f>IF(COUNT(D942:S942)=0,"",MIN(D942:S942))</f>
        <v/>
      </c>
      <c r="U942" s="8">
        <f>IF(COUNT(D942:S942)=0,"",MEDIAN(D942:S942))</f>
        <v/>
      </c>
      <c r="V942" s="8">
        <f>IF(COUNT(D942:S942)=0,"",MAX(D942:S942))</f>
        <v/>
      </c>
      <c r="W942" s="9">
        <f>IF(OR(T942="",T942=0),"",(V942-T942)/T942)</f>
        <v/>
      </c>
      <c r="X942" s="7">
        <f>IF(COUNT(D942:S942)=0,"",INDEX($D$1:$S$1,MATCH(MIN(D942:S942),D942:S942,0)))</f>
        <v/>
      </c>
      <c r="Y942" s="8" t="n">
        <v>1330</v>
      </c>
      <c r="Z942" s="10" t="n">
        <v>1</v>
      </c>
    </row>
    <row r="943">
      <c r="A943" s="7" t="inlineStr">
        <is>
          <t>MAT-10-334</t>
        </is>
      </c>
      <c r="B943" s="4" t="inlineStr">
        <is>
          <t>Extensión eléctrica de 6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310</v>
      </c>
      <c r="M943" s="8" t="n"/>
      <c r="N943" s="8" t="n"/>
      <c r="O943" s="8" t="n"/>
      <c r="P943" s="8" t="n"/>
      <c r="Q943" s="8" t="n"/>
      <c r="R943" s="8" t="n"/>
      <c r="S943" s="8" t="n"/>
      <c r="T943" s="8">
        <f>IF(COUNT(D943:S943)=0,"",MIN(D943:S943))</f>
        <v/>
      </c>
      <c r="U943" s="8">
        <f>IF(COUNT(D943:S943)=0,"",MEDIAN(D943:S943))</f>
        <v/>
      </c>
      <c r="V943" s="8">
        <f>IF(COUNT(D943:S943)=0,"",MAX(D943:S943))</f>
        <v/>
      </c>
      <c r="W943" s="9">
        <f>IF(OR(T943="",T943=0),"",(V943-T943)/T943)</f>
        <v/>
      </c>
      <c r="X943" s="7">
        <f>IF(COUNT(D943:S943)=0,"",INDEX($D$1:$S$1,MATCH(MIN(D943:S943),D943:S943,0)))</f>
        <v/>
      </c>
      <c r="Y943" s="8" t="n">
        <v>310</v>
      </c>
      <c r="Z943" s="10" t="n">
        <v>1</v>
      </c>
    </row>
    <row r="944">
      <c r="A944" s="7" t="inlineStr">
        <is>
          <t>MAT-10-335</t>
        </is>
      </c>
      <c r="B944" s="4" t="inlineStr">
        <is>
          <t>Extensión eléctrica de 7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145</v>
      </c>
      <c r="M944" s="8" t="n"/>
      <c r="N944" s="8" t="n"/>
      <c r="O944" s="8" t="n"/>
      <c r="P944" s="8" t="n"/>
      <c r="Q944" s="8" t="n"/>
      <c r="R944" s="8" t="n"/>
      <c r="S944" s="8" t="n"/>
      <c r="T944" s="8">
        <f>IF(COUNT(D944:S944)=0,"",MIN(D944:S944))</f>
        <v/>
      </c>
      <c r="U944" s="8">
        <f>IF(COUNT(D944:S944)=0,"",MEDIAN(D944:S944))</f>
        <v/>
      </c>
      <c r="V944" s="8">
        <f>IF(COUNT(D944:S944)=0,"",MAX(D944:S944))</f>
        <v/>
      </c>
      <c r="W944" s="9">
        <f>IF(OR(T944="",T944=0),"",(V944-T944)/T944)</f>
        <v/>
      </c>
      <c r="X944" s="7">
        <f>IF(COUNT(D944:S944)=0,"",INDEX($D$1:$S$1,MATCH(MIN(D944:S944),D944:S944,0)))</f>
        <v/>
      </c>
      <c r="Y944" s="8" t="n">
        <v>145</v>
      </c>
      <c r="Z944" s="10" t="n">
        <v>1</v>
      </c>
    </row>
    <row r="945">
      <c r="A945" s="7" t="inlineStr">
        <is>
          <t>MAT-10-336</t>
        </is>
      </c>
      <c r="B945" s="4" t="inlineStr">
        <is>
          <t>Regleta de 6 salidas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654.99</v>
      </c>
      <c r="M945" s="8" t="n"/>
      <c r="N945" s="8" t="n"/>
      <c r="O945" s="8" t="n"/>
      <c r="P945" s="8" t="n"/>
      <c r="Q945" s="8" t="n"/>
      <c r="R945" s="8" t="n"/>
      <c r="S945" s="8" t="n"/>
      <c r="T945" s="8">
        <f>IF(COUNT(D945:S945)=0,"",MIN(D945:S945))</f>
        <v/>
      </c>
      <c r="U945" s="8">
        <f>IF(COUNT(D945:S945)=0,"",MEDIAN(D945:S945))</f>
        <v/>
      </c>
      <c r="V945" s="8">
        <f>IF(COUNT(D945:S945)=0,"",MAX(D945:S945))</f>
        <v/>
      </c>
      <c r="W945" s="9">
        <f>IF(OR(T945="",T945=0),"",(V945-T945)/T945)</f>
        <v/>
      </c>
      <c r="X945" s="7">
        <f>IF(COUNT(D945:S945)=0,"",INDEX($D$1:$S$1,MATCH(MIN(D945:S945),D945:S945,0)))</f>
        <v/>
      </c>
      <c r="Y945" s="8" t="n">
        <v>737.5</v>
      </c>
      <c r="Z945" s="10" t="n">
        <v>1</v>
      </c>
    </row>
    <row r="946">
      <c r="A946" s="7" t="inlineStr">
        <is>
          <t>MAT-10-337</t>
        </is>
      </c>
      <c r="B946" s="4" t="inlineStr">
        <is>
          <t>Regleta de 6 salidas con supresor de picos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725</v>
      </c>
      <c r="M946" s="8" t="n"/>
      <c r="N946" s="8" t="n"/>
      <c r="O946" s="8" t="n"/>
      <c r="P946" s="8" t="n"/>
      <c r="Q946" s="8" t="n"/>
      <c r="R946" s="8" t="n"/>
      <c r="S946" s="8" t="n"/>
      <c r="T946" s="8">
        <f>IF(COUNT(D946:S946)=0,"",MIN(D946:S946))</f>
        <v/>
      </c>
      <c r="U946" s="8">
        <f>IF(COUNT(D946:S946)=0,"",MEDIAN(D946:S946))</f>
        <v/>
      </c>
      <c r="V946" s="8">
        <f>IF(COUNT(D946:S946)=0,"",MAX(D946:S946))</f>
        <v/>
      </c>
      <c r="W946" s="9">
        <f>IF(OR(T946="",T946=0),"",(V946-T946)/T946)</f>
        <v/>
      </c>
      <c r="X946" s="7">
        <f>IF(COUNT(D946:S946)=0,"",INDEX($D$1:$S$1,MATCH(MIN(D946:S946),D946:S946,0)))</f>
        <v/>
      </c>
      <c r="Y946" s="8" t="n">
        <v>725</v>
      </c>
      <c r="Z946" s="10" t="n">
        <v>1</v>
      </c>
    </row>
    <row r="947">
      <c r="A947" s="7" t="inlineStr">
        <is>
          <t>MAT-10-338</t>
        </is>
      </c>
      <c r="B947" s="4" t="inlineStr">
        <is>
          <t>Regleta de 8 salidas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1195</v>
      </c>
      <c r="M947" s="8" t="n"/>
      <c r="N947" s="8" t="n"/>
      <c r="O947" s="8" t="n"/>
      <c r="P947" s="8" t="n"/>
      <c r="Q947" s="8" t="n"/>
      <c r="R947" s="8" t="n"/>
      <c r="S947" s="8" t="n"/>
      <c r="T947" s="8">
        <f>IF(COUNT(D947:S947)=0,"",MIN(D947:S947))</f>
        <v/>
      </c>
      <c r="U947" s="8">
        <f>IF(COUNT(D947:S947)=0,"",MEDIAN(D947:S947))</f>
        <v/>
      </c>
      <c r="V947" s="8">
        <f>IF(COUNT(D947:S947)=0,"",MAX(D947:S947))</f>
        <v/>
      </c>
      <c r="W947" s="9">
        <f>IF(OR(T947="",T947=0),"",(V947-T947)/T947)</f>
        <v/>
      </c>
      <c r="X947" s="7">
        <f>IF(COUNT(D947:S947)=0,"",INDEX($D$1:$S$1,MATCH(MIN(D947:S947),D947:S947,0)))</f>
        <v/>
      </c>
      <c r="Y947" s="8" t="n">
        <v>1195</v>
      </c>
      <c r="Z947" s="10" t="n">
        <v>1</v>
      </c>
    </row>
    <row r="948">
      <c r="A948" s="7" t="inlineStr">
        <is>
          <t>MAT-10-339</t>
        </is>
      </c>
      <c r="B948" s="4" t="inlineStr">
        <is>
          <t>Sensor de movimiento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500</v>
      </c>
      <c r="M948" s="8" t="n"/>
      <c r="N948" s="8" t="n"/>
      <c r="O948" s="8" t="n"/>
      <c r="P948" s="8" t="n"/>
      <c r="Q948" s="8" t="n"/>
      <c r="R948" s="8" t="n"/>
      <c r="S948" s="8" t="n"/>
      <c r="T948" s="8">
        <f>IF(COUNT(D948:S948)=0,"",MIN(D948:S948))</f>
        <v/>
      </c>
      <c r="U948" s="8">
        <f>IF(COUNT(D948:S948)=0,"",MEDIAN(D948:S948))</f>
        <v/>
      </c>
      <c r="V948" s="8">
        <f>IF(COUNT(D948:S948)=0,"",MAX(D948:S948))</f>
        <v/>
      </c>
      <c r="W948" s="9">
        <f>IF(OR(T948="",T948=0),"",(V948-T948)/T948)</f>
        <v/>
      </c>
      <c r="X948" s="7">
        <f>IF(COUNT(D948:S948)=0,"",INDEX($D$1:$S$1,MATCH(MIN(D948:S948),D948:S948,0)))</f>
        <v/>
      </c>
      <c r="Y948" s="8" t="n">
        <v>570</v>
      </c>
      <c r="Z948" s="10" t="n">
        <v>1</v>
      </c>
    </row>
    <row r="949">
      <c r="A949" s="7" t="inlineStr">
        <is>
          <t>MAT-10-340</t>
        </is>
      </c>
      <c r="B949" s="4" t="inlineStr">
        <is>
          <t>Temporizador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805</v>
      </c>
      <c r="M949" s="8" t="n"/>
      <c r="N949" s="8" t="n"/>
      <c r="O949" s="8" t="n"/>
      <c r="P949" s="8" t="n"/>
      <c r="Q949" s="8" t="n"/>
      <c r="R949" s="8" t="n"/>
      <c r="S949" s="8" t="n"/>
      <c r="T949" s="8">
        <f>IF(COUNT(D949:S949)=0,"",MIN(D949:S949))</f>
        <v/>
      </c>
      <c r="U949" s="8">
        <f>IF(COUNT(D949:S949)=0,"",MEDIAN(D949:S949))</f>
        <v/>
      </c>
      <c r="V949" s="8">
        <f>IF(COUNT(D949:S949)=0,"",MAX(D949:S949))</f>
        <v/>
      </c>
      <c r="W949" s="9">
        <f>IF(OR(T949="",T949=0),"",(V949-T949)/T949)</f>
        <v/>
      </c>
      <c r="X949" s="7">
        <f>IF(COUNT(D949:S949)=0,"",INDEX($D$1:$S$1,MATCH(MIN(D949:S949),D949:S949,0)))</f>
        <v/>
      </c>
      <c r="Y949" s="8" t="n">
        <v>805</v>
      </c>
      <c r="Z949" s="10" t="n">
        <v>1</v>
      </c>
    </row>
    <row r="950">
      <c r="A950" s="7" t="inlineStr">
        <is>
          <t>MAT-10-341</t>
        </is>
      </c>
      <c r="B950" s="4" t="inlineStr">
        <is>
          <t>Timbre eléctrico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100</v>
      </c>
      <c r="M950" s="8" t="n"/>
      <c r="N950" s="8" t="n"/>
      <c r="O950" s="8" t="n"/>
      <c r="P950" s="8" t="n"/>
      <c r="Q950" s="8" t="n"/>
      <c r="R950" s="8" t="n"/>
      <c r="S950" s="8" t="n"/>
      <c r="T950" s="8">
        <f>IF(COUNT(D950:S950)=0,"",MIN(D950:S950))</f>
        <v/>
      </c>
      <c r="U950" s="8">
        <f>IF(COUNT(D950:S950)=0,"",MEDIAN(D950:S950))</f>
        <v/>
      </c>
      <c r="V950" s="8">
        <f>IF(COUNT(D950:S950)=0,"",MAX(D950:S950))</f>
        <v/>
      </c>
      <c r="W950" s="9">
        <f>IF(OR(T950="",T950=0),"",(V950-T950)/T950)</f>
        <v/>
      </c>
      <c r="X950" s="7">
        <f>IF(COUNT(D950:S950)=0,"",INDEX($D$1:$S$1,MATCH(MIN(D950:S950),D950:S950,0)))</f>
        <v/>
      </c>
      <c r="Y950" s="8" t="n">
        <v>414.99</v>
      </c>
      <c r="Z950" s="10" t="n">
        <v>1</v>
      </c>
    </row>
    <row r="951">
      <c r="A951" s="7" t="inlineStr">
        <is>
          <t>MAT-12-009</t>
        </is>
      </c>
      <c r="B951" s="4" t="inlineStr">
        <is>
          <t>Pintura acrílica,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1750</v>
      </c>
      <c r="J951" s="8" t="n"/>
      <c r="K951" s="8" t="n"/>
      <c r="L951" s="8" t="n"/>
      <c r="M951" s="8" t="n"/>
      <c r="N951" s="8" t="n">
        <v>1730.56</v>
      </c>
      <c r="O951" s="8" t="n"/>
      <c r="P951" s="8" t="n"/>
      <c r="Q951" s="8" t="n"/>
      <c r="R951" s="8" t="n"/>
      <c r="S951" s="8" t="n"/>
      <c r="T951" s="8">
        <f>IF(COUNT(D951:S951)=0,"",MIN(D951:S951))</f>
        <v/>
      </c>
      <c r="U951" s="8">
        <f>IF(COUNT(D951:S951)=0,"",MEDIAN(D951:S951))</f>
        <v/>
      </c>
      <c r="V951" s="8">
        <f>IF(COUNT(D951:S951)=0,"",MAX(D951:S951))</f>
        <v/>
      </c>
      <c r="W951" s="9">
        <f>IF(OR(T951="",T951=0),"",(V951-T951)/T951)</f>
        <v/>
      </c>
      <c r="X951" s="7">
        <f>IF(COUNT(D951:S951)=0,"",INDEX($D$1:$S$1,MATCH(MIN(D951:S951),D951:S951,0)))</f>
        <v/>
      </c>
      <c r="Y951" s="8" t="n">
        <v>3750</v>
      </c>
      <c r="Z951" s="10" t="n">
        <v>2</v>
      </c>
    </row>
    <row r="952">
      <c r="A952" s="7" t="inlineStr">
        <is>
          <t>MAT-12-010</t>
        </is>
      </c>
      <c r="B952" s="4" t="inlineStr">
        <is>
          <t>Pintura acrílica,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375</v>
      </c>
      <c r="J952" s="8" t="n"/>
      <c r="K952" s="8" t="n"/>
      <c r="L952" s="8" t="n"/>
      <c r="M952" s="8" t="n"/>
      <c r="N952" s="8" t="n">
        <v>374.4</v>
      </c>
      <c r="O952" s="8" t="n"/>
      <c r="P952" s="8" t="n"/>
      <c r="Q952" s="8" t="n"/>
      <c r="R952" s="8" t="n"/>
      <c r="S952" s="8" t="n"/>
      <c r="T952" s="8">
        <f>IF(COUNT(D952:S952)=0,"",MIN(D952:S952))</f>
        <v/>
      </c>
      <c r="U952" s="8">
        <f>IF(COUNT(D952:S952)=0,"",MEDIAN(D952:S952))</f>
        <v/>
      </c>
      <c r="V952" s="8">
        <f>IF(COUNT(D952:S952)=0,"",MAX(D952:S952))</f>
        <v/>
      </c>
      <c r="W952" s="9">
        <f>IF(OR(T952="",T952=0),"",(V952-T952)/T952)</f>
        <v/>
      </c>
      <c r="X952" s="7">
        <f>IF(COUNT(D952:S952)=0,"",INDEX($D$1:$S$1,MATCH(MIN(D952:S952),D952:S952,0)))</f>
        <v/>
      </c>
      <c r="Y952" s="8" t="n">
        <v>757.13</v>
      </c>
      <c r="Z952" s="10" t="n">
        <v>2</v>
      </c>
    </row>
    <row r="953">
      <c r="A953" s="7" t="inlineStr">
        <is>
          <t>MAT-12-011</t>
        </is>
      </c>
      <c r="B953" s="4" t="inlineStr">
        <is>
          <t>Pintura aislante térmica,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>
        <v>6835.64</v>
      </c>
      <c r="O953" s="8" t="n"/>
      <c r="P953" s="8" t="n"/>
      <c r="Q953" s="8" t="n"/>
      <c r="R953" s="8" t="n"/>
      <c r="S953" s="8" t="n"/>
      <c r="T953" s="8">
        <f>IF(COUNT(D953:S953)=0,"",MIN(D953:S953))</f>
        <v/>
      </c>
      <c r="U953" s="8">
        <f>IF(COUNT(D953:S953)=0,"",MEDIAN(D953:S953))</f>
        <v/>
      </c>
      <c r="V953" s="8">
        <f>IF(COUNT(D953:S953)=0,"",MAX(D953:S953))</f>
        <v/>
      </c>
      <c r="W953" s="9">
        <f>IF(OR(T953="",T953=0),"",(V953-T953)/T953)</f>
        <v/>
      </c>
      <c r="X953" s="7">
        <f>IF(COUNT(D953:S953)=0,"",INDEX($D$1:$S$1,MATCH(MIN(D953:S953),D953:S953,0)))</f>
        <v/>
      </c>
      <c r="Y953" s="8" t="n">
        <v>6835.64</v>
      </c>
      <c r="Z953" s="10" t="n">
        <v>1</v>
      </c>
    </row>
    <row r="954">
      <c r="A954" s="7" t="inlineStr">
        <is>
          <t>MAT-12-012</t>
        </is>
      </c>
      <c r="B954" s="4" t="inlineStr">
        <is>
          <t>Pintura anticorrosiva,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1345.06</v>
      </c>
      <c r="O954" s="8" t="n"/>
      <c r="P954" s="8" t="n"/>
      <c r="Q954" s="8" t="n"/>
      <c r="R954" s="8" t="n"/>
      <c r="S954" s="8" t="n"/>
      <c r="T954" s="8">
        <f>IF(COUNT(D954:S954)=0,"",MIN(D954:S954))</f>
        <v/>
      </c>
      <c r="U954" s="8">
        <f>IF(COUNT(D954:S954)=0,"",MEDIAN(D954:S954))</f>
        <v/>
      </c>
      <c r="V954" s="8">
        <f>IF(COUNT(D954:S954)=0,"",MAX(D954:S954))</f>
        <v/>
      </c>
      <c r="W954" s="9">
        <f>IF(OR(T954="",T954=0),"",(V954-T954)/T954)</f>
        <v/>
      </c>
      <c r="X954" s="7">
        <f>IF(COUNT(D954:S954)=0,"",INDEX($D$1:$S$1,MATCH(MIN(D954:S954),D954:S954,0)))</f>
        <v/>
      </c>
      <c r="Y954" s="8" t="n">
        <v>4353.57</v>
      </c>
      <c r="Z954" s="10" t="n">
        <v>1</v>
      </c>
    </row>
    <row r="955">
      <c r="A955" s="7" t="inlineStr">
        <is>
          <t>MAT-12-013</t>
        </is>
      </c>
      <c r="B955" s="4" t="inlineStr">
        <is>
          <t>Pintura de tráfico,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1705.6</v>
      </c>
      <c r="O955" s="8" t="n"/>
      <c r="P955" s="8" t="n"/>
      <c r="Q955" s="8" t="n"/>
      <c r="R955" s="8" t="n"/>
      <c r="S955" s="8" t="n"/>
      <c r="T955" s="8">
        <f>IF(COUNT(D955:S955)=0,"",MIN(D955:S955))</f>
        <v/>
      </c>
      <c r="U955" s="8">
        <f>IF(COUNT(D955:S955)=0,"",MEDIAN(D955:S955))</f>
        <v/>
      </c>
      <c r="V955" s="8">
        <f>IF(COUNT(D955:S955)=0,"",MAX(D955:S955))</f>
        <v/>
      </c>
      <c r="W955" s="9">
        <f>IF(OR(T955="",T955=0),"",(V955-T955)/T955)</f>
        <v/>
      </c>
      <c r="X955" s="7">
        <f>IF(COUNT(D955:S955)=0,"",INDEX($D$1:$S$1,MATCH(MIN(D955:S955),D955:S955,0)))</f>
        <v/>
      </c>
      <c r="Y955" s="8" t="n">
        <v>1780.6</v>
      </c>
      <c r="Z955" s="10" t="n">
        <v>1</v>
      </c>
    </row>
    <row r="956">
      <c r="A956" s="7" t="inlineStr">
        <is>
          <t>MAT-12-014</t>
        </is>
      </c>
      <c r="B956" s="4" t="inlineStr">
        <is>
          <t>Pintura epóxica,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1675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>
        <f>IF(COUNT(D956:S956)=0,"",MIN(D956:S956))</f>
        <v/>
      </c>
      <c r="U956" s="8">
        <f>IF(COUNT(D956:S956)=0,"",MEDIAN(D956:S956))</f>
        <v/>
      </c>
      <c r="V956" s="8">
        <f>IF(COUNT(D956:S956)=0,"",MAX(D956:S956))</f>
        <v/>
      </c>
      <c r="W956" s="9">
        <f>IF(OR(T956="",T956=0),"",(V956-T956)/T956)</f>
        <v/>
      </c>
      <c r="X956" s="7">
        <f>IF(COUNT(D956:S956)=0,"",INDEX($D$1:$S$1,MATCH(MIN(D956:S956),D956:S956,0)))</f>
        <v/>
      </c>
      <c r="Y956" s="8" t="n">
        <v>1675</v>
      </c>
      <c r="Z956" s="10" t="n">
        <v>1</v>
      </c>
    </row>
    <row r="957">
      <c r="A957" s="7" t="inlineStr">
        <is>
          <t>MAT-12-015</t>
        </is>
      </c>
      <c r="B957" s="4" t="inlineStr">
        <is>
          <t>Pintura epóxica, galón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>
        <v>2954.01</v>
      </c>
      <c r="O957" s="8" t="n"/>
      <c r="P957" s="8" t="n"/>
      <c r="Q957" s="8" t="n"/>
      <c r="R957" s="8" t="n"/>
      <c r="S957" s="8" t="n"/>
      <c r="T957" s="8">
        <f>IF(COUNT(D957:S957)=0,"",MIN(D957:S957))</f>
        <v/>
      </c>
      <c r="U957" s="8">
        <f>IF(COUNT(D957:S957)=0,"",MEDIAN(D957:S957))</f>
        <v/>
      </c>
      <c r="V957" s="8">
        <f>IF(COUNT(D957:S957)=0,"",MAX(D957:S957))</f>
        <v/>
      </c>
      <c r="W957" s="9">
        <f>IF(OR(T957="",T957=0),"",(V957-T957)/T957)</f>
        <v/>
      </c>
      <c r="X957" s="7">
        <f>IF(COUNT(D957:S957)=0,"",INDEX($D$1:$S$1,MATCH(MIN(D957:S957),D957:S957,0)))</f>
        <v/>
      </c>
      <c r="Y957" s="8" t="n">
        <v>2954.01</v>
      </c>
      <c r="Z957" s="10" t="n">
        <v>1</v>
      </c>
    </row>
    <row r="958">
      <c r="A958" s="7" t="inlineStr">
        <is>
          <t>MAT-12-016</t>
        </is>
      </c>
      <c r="B958" s="4" t="inlineStr">
        <is>
          <t>Pintura esmalte, envase de 750 ml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1212.3</v>
      </c>
      <c r="O958" s="8" t="n"/>
      <c r="P958" s="8" t="n"/>
      <c r="Q958" s="8" t="n"/>
      <c r="R958" s="8" t="n"/>
      <c r="S958" s="8" t="n"/>
      <c r="T958" s="8">
        <f>IF(COUNT(D958:S958)=0,"",MIN(D958:S958))</f>
        <v/>
      </c>
      <c r="U958" s="8">
        <f>IF(COUNT(D958:S958)=0,"",MEDIAN(D958:S958))</f>
        <v/>
      </c>
      <c r="V958" s="8">
        <f>IF(COUNT(D958:S958)=0,"",MAX(D958:S958))</f>
        <v/>
      </c>
      <c r="W958" s="9">
        <f>IF(OR(T958="",T958=0),"",(V958-T958)/T958)</f>
        <v/>
      </c>
      <c r="X958" s="7">
        <f>IF(COUNT(D958:S958)=0,"",INDEX($D$1:$S$1,MATCH(MIN(D958:S958),D958:S958,0)))</f>
        <v/>
      </c>
      <c r="Y958" s="8" t="n">
        <v>1212.3</v>
      </c>
      <c r="Z958" s="10" t="n">
        <v>1</v>
      </c>
    </row>
    <row r="959">
      <c r="A959" s="7" t="inlineStr">
        <is>
          <t>MAT-12-017</t>
        </is>
      </c>
      <c r="B959" s="4" t="inlineStr">
        <is>
          <t>Pintura esmalte,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1312.41</v>
      </c>
      <c r="O959" s="8" t="n"/>
      <c r="P959" s="8" t="n"/>
      <c r="Q959" s="8" t="n"/>
      <c r="R959" s="8" t="n"/>
      <c r="S959" s="8" t="n"/>
      <c r="T959" s="8">
        <f>IF(COUNT(D959:S959)=0,"",MIN(D959:S959))</f>
        <v/>
      </c>
      <c r="U959" s="8">
        <f>IF(COUNT(D959:S959)=0,"",MEDIAN(D959:S959))</f>
        <v/>
      </c>
      <c r="V959" s="8">
        <f>IF(COUNT(D959:S959)=0,"",MAX(D959:S959))</f>
        <v/>
      </c>
      <c r="W959" s="9">
        <f>IF(OR(T959="",T959=0),"",(V959-T959)/T959)</f>
        <v/>
      </c>
      <c r="X959" s="7">
        <f>IF(COUNT(D959:S959)=0,"",INDEX($D$1:$S$1,MATCH(MIN(D959:S959),D959:S959,0)))</f>
        <v/>
      </c>
      <c r="Y959" s="8" t="n">
        <v>3548.15</v>
      </c>
      <c r="Z959" s="10" t="n">
        <v>1</v>
      </c>
    </row>
    <row r="960">
      <c r="A960" s="7" t="inlineStr">
        <is>
          <t>MAT-12-018</t>
        </is>
      </c>
      <c r="B960" s="4" t="inlineStr">
        <is>
          <t>Impermeabilizante,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2065</v>
      </c>
      <c r="J960" s="8" t="n"/>
      <c r="K960" s="8" t="n"/>
      <c r="L960" s="8" t="n"/>
      <c r="M960" s="8" t="n"/>
      <c r="N960" s="8" t="n">
        <v>4578.08</v>
      </c>
      <c r="O960" s="8" t="n"/>
      <c r="P960" s="8" t="n"/>
      <c r="Q960" s="8" t="n"/>
      <c r="R960" s="8" t="n"/>
      <c r="S960" s="8" t="n"/>
      <c r="T960" s="8">
        <f>IF(COUNT(D960:S960)=0,"",MIN(D960:S960))</f>
        <v/>
      </c>
      <c r="U960" s="8">
        <f>IF(COUNT(D960:S960)=0,"",MEDIAN(D960:S960))</f>
        <v/>
      </c>
      <c r="V960" s="8">
        <f>IF(COUNT(D960:S960)=0,"",MAX(D960:S960))</f>
        <v/>
      </c>
      <c r="W960" s="9">
        <f>IF(OR(T960="",T960=0),"",(V960-T960)/T960)</f>
        <v/>
      </c>
      <c r="X960" s="7">
        <f>IF(COUNT(D960:S960)=0,"",INDEX($D$1:$S$1,MATCH(MIN(D960:S960),D960:S960,0)))</f>
        <v/>
      </c>
      <c r="Y960" s="8" t="n">
        <v>7752.62</v>
      </c>
      <c r="Z960" s="10" t="n">
        <v>2</v>
      </c>
    </row>
    <row r="961">
      <c r="A961" s="7" t="inlineStr">
        <is>
          <t>MAT-12-019</t>
        </is>
      </c>
      <c r="B961" s="4" t="inlineStr">
        <is>
          <t>Impermeabilizante, funda de 40 libras</t>
        </is>
      </c>
      <c r="C961" s="7" t="inlineStr">
        <is>
          <t>envase</t>
        </is>
      </c>
      <c r="D961" s="8" t="n"/>
      <c r="E961" s="8" t="n">
        <v>2427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>
        <v>2419.2</v>
      </c>
      <c r="O961" s="8" t="n"/>
      <c r="P961" s="8" t="n"/>
      <c r="Q961" s="8" t="n"/>
      <c r="R961" s="8" t="n"/>
      <c r="S961" s="8" t="n"/>
      <c r="T961" s="8">
        <f>IF(COUNT(D961:S961)=0,"",MIN(D961:S961))</f>
        <v/>
      </c>
      <c r="U961" s="8">
        <f>IF(COUNT(D961:S961)=0,"",MEDIAN(D961:S961))</f>
        <v/>
      </c>
      <c r="V961" s="8">
        <f>IF(COUNT(D961:S961)=0,"",MAX(D961:S961))</f>
        <v/>
      </c>
      <c r="W961" s="9">
        <f>IF(OR(T961="",T961=0),"",(V961-T961)/T961)</f>
        <v/>
      </c>
      <c r="X961" s="7">
        <f>IF(COUNT(D961:S961)=0,"",INDEX($D$1:$S$1,MATCH(MIN(D961:S961),D961:S961,0)))</f>
        <v/>
      </c>
      <c r="Y961" s="8" t="n">
        <v>2663</v>
      </c>
      <c r="Z961" s="10" t="n">
        <v>2</v>
      </c>
    </row>
    <row r="962">
      <c r="A962" s="7" t="inlineStr">
        <is>
          <t>MAT-12-020</t>
        </is>
      </c>
      <c r="B962" s="4" t="inlineStr">
        <is>
          <t>Impermeabilizante, funda de 44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2838.53</v>
      </c>
      <c r="O962" s="8" t="n"/>
      <c r="P962" s="8" t="n"/>
      <c r="Q962" s="8" t="n"/>
      <c r="R962" s="8" t="n"/>
      <c r="S962" s="8" t="n"/>
      <c r="T962" s="8">
        <f>IF(COUNT(D962:S962)=0,"",MIN(D962:S962))</f>
        <v/>
      </c>
      <c r="U962" s="8">
        <f>IF(COUNT(D962:S962)=0,"",MEDIAN(D962:S962))</f>
        <v/>
      </c>
      <c r="V962" s="8">
        <f>IF(COUNT(D962:S962)=0,"",MAX(D962:S962))</f>
        <v/>
      </c>
      <c r="W962" s="9">
        <f>IF(OR(T962="",T962=0),"",(V962-T962)/T962)</f>
        <v/>
      </c>
      <c r="X962" s="7">
        <f>IF(COUNT(D962:S962)=0,"",INDEX($D$1:$S$1,MATCH(MIN(D962:S962),D962:S962,0)))</f>
        <v/>
      </c>
      <c r="Y962" s="8" t="n">
        <v>2838.53</v>
      </c>
      <c r="Z962" s="10" t="n">
        <v>1</v>
      </c>
    </row>
    <row r="963">
      <c r="A963" s="7" t="inlineStr">
        <is>
          <t>MAT-12-021</t>
        </is>
      </c>
      <c r="B963" s="4" t="inlineStr">
        <is>
          <t>Impermeabilizante,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>
        <v>1265</v>
      </c>
      <c r="J963" s="8" t="n"/>
      <c r="K963" s="8" t="n"/>
      <c r="L963" s="8" t="n"/>
      <c r="M963" s="8" t="n"/>
      <c r="N963" s="8" t="n">
        <v>3104.96</v>
      </c>
      <c r="O963" s="8" t="n"/>
      <c r="P963" s="8" t="n"/>
      <c r="Q963" s="8" t="n"/>
      <c r="R963" s="8" t="n"/>
      <c r="S963" s="8" t="n"/>
      <c r="T963" s="8">
        <f>IF(COUNT(D963:S963)=0,"",MIN(D963:S963))</f>
        <v/>
      </c>
      <c r="U963" s="8">
        <f>IF(COUNT(D963:S963)=0,"",MEDIAN(D963:S963))</f>
        <v/>
      </c>
      <c r="V963" s="8">
        <f>IF(COUNT(D963:S963)=0,"",MAX(D963:S963))</f>
        <v/>
      </c>
      <c r="W963" s="9">
        <f>IF(OR(T963="",T963=0),"",(V963-T963)/T963)</f>
        <v/>
      </c>
      <c r="X963" s="7">
        <f>IF(COUNT(D963:S963)=0,"",INDEX($D$1:$S$1,MATCH(MIN(D963:S963),D963:S963,0)))</f>
        <v/>
      </c>
      <c r="Y963" s="8" t="n">
        <v>2299.98</v>
      </c>
      <c r="Z963" s="10" t="n">
        <v>2</v>
      </c>
    </row>
    <row r="964">
      <c r="A964" s="7" t="inlineStr">
        <is>
          <t>MAT-12-022</t>
        </is>
      </c>
      <c r="B964" s="4" t="inlineStr">
        <is>
          <t>Masilla,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1395</v>
      </c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>
        <f>IF(COUNT(D964:S964)=0,"",MIN(D964:S964))</f>
        <v/>
      </c>
      <c r="U964" s="8">
        <f>IF(COUNT(D964:S964)=0,"",MEDIAN(D964:S964))</f>
        <v/>
      </c>
      <c r="V964" s="8">
        <f>IF(COUNT(D964:S964)=0,"",MAX(D964:S964))</f>
        <v/>
      </c>
      <c r="W964" s="9">
        <f>IF(OR(T964="",T964=0),"",(V964-T964)/T964)</f>
        <v/>
      </c>
      <c r="X964" s="7">
        <f>IF(COUNT(D964:S964)=0,"",INDEX($D$1:$S$1,MATCH(MIN(D964:S964),D964:S964,0)))</f>
        <v/>
      </c>
      <c r="Y964" s="8" t="n">
        <v>1795</v>
      </c>
      <c r="Z964" s="10" t="n">
        <v>1</v>
      </c>
    </row>
    <row r="965">
      <c r="A965" s="7" t="inlineStr">
        <is>
          <t>MAT-12-023</t>
        </is>
      </c>
      <c r="B965" s="4" t="inlineStr">
        <is>
          <t>Masilla, envase de 2.5 litros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1429.12</v>
      </c>
      <c r="O965" s="8" t="n"/>
      <c r="P965" s="8" t="n"/>
      <c r="Q965" s="8" t="n"/>
      <c r="R965" s="8" t="n"/>
      <c r="S965" s="8" t="n"/>
      <c r="T965" s="8">
        <f>IF(COUNT(D965:S965)=0,"",MIN(D965:S965))</f>
        <v/>
      </c>
      <c r="U965" s="8">
        <f>IF(COUNT(D965:S965)=0,"",MEDIAN(D965:S965))</f>
        <v/>
      </c>
      <c r="V965" s="8">
        <f>IF(COUNT(D965:S965)=0,"",MAX(D965:S965))</f>
        <v/>
      </c>
      <c r="W965" s="9">
        <f>IF(OR(T965="",T965=0),"",(V965-T965)/T965)</f>
        <v/>
      </c>
      <c r="X965" s="7">
        <f>IF(COUNT(D965:S965)=0,"",INDEX($D$1:$S$1,MATCH(MIN(D965:S965),D965:S965,0)))</f>
        <v/>
      </c>
      <c r="Y965" s="8" t="n">
        <v>1429.12</v>
      </c>
      <c r="Z965" s="10" t="n">
        <v>1</v>
      </c>
    </row>
    <row r="966">
      <c r="A966" s="7" t="inlineStr">
        <is>
          <t>MAT-12-024</t>
        </is>
      </c>
      <c r="B966" s="4" t="inlineStr">
        <is>
          <t>Masilla, funda de 1 libra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211.9</v>
      </c>
      <c r="O966" s="8" t="n"/>
      <c r="P966" s="8" t="n"/>
      <c r="Q966" s="8" t="n"/>
      <c r="R966" s="8" t="n"/>
      <c r="S966" s="8" t="n"/>
      <c r="T966" s="8">
        <f>IF(COUNT(D966:S966)=0,"",MIN(D966:S966))</f>
        <v/>
      </c>
      <c r="U966" s="8">
        <f>IF(COUNT(D966:S966)=0,"",MEDIAN(D966:S966))</f>
        <v/>
      </c>
      <c r="V966" s="8">
        <f>IF(COUNT(D966:S966)=0,"",MAX(D966:S966))</f>
        <v/>
      </c>
      <c r="W966" s="9">
        <f>IF(OR(T966="",T966=0),"",(V966-T966)/T966)</f>
        <v/>
      </c>
      <c r="X966" s="7">
        <f>IF(COUNT(D966:S966)=0,"",INDEX($D$1:$S$1,MATCH(MIN(D966:S966),D966:S966,0)))</f>
        <v/>
      </c>
      <c r="Y966" s="8" t="n">
        <v>211.9</v>
      </c>
      <c r="Z966" s="10" t="n">
        <v>1</v>
      </c>
    </row>
    <row r="967">
      <c r="A967" s="7" t="inlineStr">
        <is>
          <t>MAT-12-025</t>
        </is>
      </c>
      <c r="B967" s="4" t="inlineStr">
        <is>
          <t>Masilla, funda de 11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1118.66</v>
      </c>
      <c r="O967" s="8" t="n"/>
      <c r="P967" s="8" t="n"/>
      <c r="Q967" s="8" t="n"/>
      <c r="R967" s="8" t="n"/>
      <c r="S967" s="8" t="n"/>
      <c r="T967" s="8">
        <f>IF(COUNT(D967:S967)=0,"",MIN(D967:S967))</f>
        <v/>
      </c>
      <c r="U967" s="8">
        <f>IF(COUNT(D967:S967)=0,"",MEDIAN(D967:S967))</f>
        <v/>
      </c>
      <c r="V967" s="8">
        <f>IF(COUNT(D967:S967)=0,"",MAX(D967:S967))</f>
        <v/>
      </c>
      <c r="W967" s="9">
        <f>IF(OR(T967="",T967=0),"",(V967-T967)/T967)</f>
        <v/>
      </c>
      <c r="X967" s="7">
        <f>IF(COUNT(D967:S967)=0,"",INDEX($D$1:$S$1,MATCH(MIN(D967:S967),D967:S967,0)))</f>
        <v/>
      </c>
      <c r="Y967" s="8" t="n">
        <v>1118.66</v>
      </c>
      <c r="Z967" s="10" t="n">
        <v>1</v>
      </c>
    </row>
    <row r="968">
      <c r="A968" s="7" t="inlineStr">
        <is>
          <t>MAT-12-026</t>
        </is>
      </c>
      <c r="B968" s="4" t="inlineStr">
        <is>
          <t>Masilla, funda de 2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335.1</v>
      </c>
      <c r="O968" s="8" t="n"/>
      <c r="P968" s="8" t="n"/>
      <c r="Q968" s="8" t="n"/>
      <c r="R968" s="8" t="n"/>
      <c r="S968" s="8" t="n"/>
      <c r="T968" s="8">
        <f>IF(COUNT(D968:S968)=0,"",MIN(D968:S968))</f>
        <v/>
      </c>
      <c r="U968" s="8">
        <f>IF(COUNT(D968:S968)=0,"",MEDIAN(D968:S968))</f>
        <v/>
      </c>
      <c r="V968" s="8">
        <f>IF(COUNT(D968:S968)=0,"",MAX(D968:S968))</f>
        <v/>
      </c>
      <c r="W968" s="9">
        <f>IF(OR(T968="",T968=0),"",(V968-T968)/T968)</f>
        <v/>
      </c>
      <c r="X968" s="7">
        <f>IF(COUNT(D968:S968)=0,"",INDEX($D$1:$S$1,MATCH(MIN(D968:S968),D968:S968,0)))</f>
        <v/>
      </c>
      <c r="Y968" s="8" t="n">
        <v>335.1</v>
      </c>
      <c r="Z968" s="10" t="n">
        <v>1</v>
      </c>
    </row>
    <row r="969">
      <c r="A969" s="7" t="inlineStr">
        <is>
          <t>MAT-12-027</t>
        </is>
      </c>
      <c r="B969" s="4" t="inlineStr">
        <is>
          <t>Masilla para exterior, cubeta de 5 galones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>
        <v>4072.16</v>
      </c>
      <c r="O969" s="8" t="n"/>
      <c r="P969" s="8" t="n"/>
      <c r="Q969" s="8" t="n"/>
      <c r="R969" s="8" t="n"/>
      <c r="S969" s="8" t="n"/>
      <c r="T969" s="8">
        <f>IF(COUNT(D969:S969)=0,"",MIN(D969:S969))</f>
        <v/>
      </c>
      <c r="U969" s="8">
        <f>IF(COUNT(D969:S969)=0,"",MEDIAN(D969:S969))</f>
        <v/>
      </c>
      <c r="V969" s="8">
        <f>IF(COUNT(D969:S969)=0,"",MAX(D969:S969))</f>
        <v/>
      </c>
      <c r="W969" s="9">
        <f>IF(OR(T969="",T969=0),"",(V969-T969)/T969)</f>
        <v/>
      </c>
      <c r="X969" s="7">
        <f>IF(COUNT(D969:S969)=0,"",INDEX($D$1:$S$1,MATCH(MIN(D969:S969),D969:S969,0)))</f>
        <v/>
      </c>
      <c r="Y969" s="8" t="n">
        <v>4072.16</v>
      </c>
      <c r="Z969" s="10" t="n">
        <v>1</v>
      </c>
    </row>
    <row r="970">
      <c r="A970" s="7" t="inlineStr">
        <is>
          <t>MAT-12-028</t>
        </is>
      </c>
      <c r="B970" s="4" t="inlineStr">
        <is>
          <t>Masilla para exterior, funda de 40 libras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>
        <v>2157.6</v>
      </c>
      <c r="O970" s="8" t="n"/>
      <c r="P970" s="8" t="n"/>
      <c r="Q970" s="8" t="n"/>
      <c r="R970" s="8" t="n"/>
      <c r="S970" s="8" t="n"/>
      <c r="T970" s="8">
        <f>IF(COUNT(D970:S970)=0,"",MIN(D970:S970))</f>
        <v/>
      </c>
      <c r="U970" s="8">
        <f>IF(COUNT(D970:S970)=0,"",MEDIAN(D970:S970))</f>
        <v/>
      </c>
      <c r="V970" s="8">
        <f>IF(COUNT(D970:S970)=0,"",MAX(D970:S970))</f>
        <v/>
      </c>
      <c r="W970" s="9">
        <f>IF(OR(T970="",T970=0),"",(V970-T970)/T970)</f>
        <v/>
      </c>
      <c r="X970" s="7">
        <f>IF(COUNT(D970:S970)=0,"",INDEX($D$1:$S$1,MATCH(MIN(D970:S970),D970:S970,0)))</f>
        <v/>
      </c>
      <c r="Y970" s="8" t="n">
        <v>2157.6</v>
      </c>
      <c r="Z970" s="10" t="n">
        <v>1</v>
      </c>
    </row>
    <row r="971">
      <c r="A971" s="7" t="inlineStr">
        <is>
          <t>MAT-12-029</t>
        </is>
      </c>
      <c r="B971" s="4" t="inlineStr">
        <is>
          <t>Masilla para sheetrock, cubeta de 5 galones</t>
        </is>
      </c>
      <c r="C971" s="7" t="inlineStr">
        <is>
          <t>envase</t>
        </is>
      </c>
      <c r="D971" s="8" t="n"/>
      <c r="E971" s="8" t="n">
        <v>4316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>
        <v>1221.74</v>
      </c>
      <c r="O971" s="8" t="n"/>
      <c r="P971" s="8" t="n"/>
      <c r="Q971" s="8" t="n"/>
      <c r="R971" s="8" t="n"/>
      <c r="S971" s="8" t="n"/>
      <c r="T971" s="8">
        <f>IF(COUNT(D971:S971)=0,"",MIN(D971:S971))</f>
        <v/>
      </c>
      <c r="U971" s="8">
        <f>IF(COUNT(D971:S971)=0,"",MEDIAN(D971:S971))</f>
        <v/>
      </c>
      <c r="V971" s="8">
        <f>IF(COUNT(D971:S971)=0,"",MAX(D971:S971))</f>
        <v/>
      </c>
      <c r="W971" s="9">
        <f>IF(OR(T971="",T971=0),"",(V971-T971)/T971)</f>
        <v/>
      </c>
      <c r="X971" s="7">
        <f>IF(COUNT(D971:S971)=0,"",INDEX($D$1:$S$1,MATCH(MIN(D971:S971),D971:S971,0)))</f>
        <v/>
      </c>
      <c r="Y971" s="8" t="n">
        <v>1401.92</v>
      </c>
      <c r="Z971" s="10" t="n">
        <v>2</v>
      </c>
    </row>
    <row r="972">
      <c r="A972" s="7" t="inlineStr">
        <is>
          <t>MAT-12-030</t>
        </is>
      </c>
      <c r="B972" s="4" t="inlineStr">
        <is>
          <t>Masilla para sheetrock, funda de 14 libras</t>
        </is>
      </c>
      <c r="C972" s="7" t="inlineStr">
        <is>
          <t>envase</t>
        </is>
      </c>
      <c r="D972" s="8" t="n"/>
      <c r="E972" s="8" t="n">
        <v>1198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>
        <f>IF(COUNT(D972:S972)=0,"",MIN(D972:S972))</f>
        <v/>
      </c>
      <c r="U972" s="8">
        <f>IF(COUNT(D972:S972)=0,"",MEDIAN(D972:S972))</f>
        <v/>
      </c>
      <c r="V972" s="8">
        <f>IF(COUNT(D972:S972)=0,"",MAX(D972:S972))</f>
        <v/>
      </c>
      <c r="W972" s="9">
        <f>IF(OR(T972="",T972=0),"",(V972-T972)/T972)</f>
        <v/>
      </c>
      <c r="X972" s="7">
        <f>IF(COUNT(D972:S972)=0,"",INDEX($D$1:$S$1,MATCH(MIN(D972:S972),D972:S972,0)))</f>
        <v/>
      </c>
      <c r="Y972" s="8" t="n">
        <v>1198</v>
      </c>
      <c r="Z972" s="10" t="n">
        <v>1</v>
      </c>
    </row>
    <row r="973">
      <c r="A973" s="7" t="inlineStr">
        <is>
          <t>MAT-12-031</t>
        </is>
      </c>
      <c r="B973" s="4" t="inlineStr">
        <is>
          <t>Masilla para sheetrock, funda de 2 libras</t>
        </is>
      </c>
      <c r="C973" s="7" t="inlineStr">
        <is>
          <t>envase</t>
        </is>
      </c>
      <c r="D973" s="8" t="n"/>
      <c r="E973" s="8" t="n">
        <v>155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>
        <f>IF(COUNT(D973:S973)=0,"",MIN(D973:S973))</f>
        <v/>
      </c>
      <c r="U973" s="8">
        <f>IF(COUNT(D973:S973)=0,"",MEDIAN(D973:S973))</f>
        <v/>
      </c>
      <c r="V973" s="8">
        <f>IF(COUNT(D973:S973)=0,"",MAX(D973:S973))</f>
        <v/>
      </c>
      <c r="W973" s="9">
        <f>IF(OR(T973="",T973=0),"",(V973-T973)/T973)</f>
        <v/>
      </c>
      <c r="X973" s="7">
        <f>IF(COUNT(D973:S973)=0,"",INDEX($D$1:$S$1,MATCH(MIN(D973:S973),D973:S973,0)))</f>
        <v/>
      </c>
      <c r="Y973" s="8" t="n">
        <v>155</v>
      </c>
      <c r="Z973" s="10" t="n">
        <v>1</v>
      </c>
    </row>
    <row r="974">
      <c r="A974" s="7" t="inlineStr">
        <is>
          <t>MAT-12-032</t>
        </is>
      </c>
      <c r="B974" s="4" t="inlineStr">
        <is>
          <t>Masilla para sheetrock, funda de 44 libras</t>
        </is>
      </c>
      <c r="C974" s="7" t="inlineStr">
        <is>
          <t>envase</t>
        </is>
      </c>
      <c r="D974" s="8" t="n"/>
      <c r="E974" s="8" t="n">
        <v>982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>
        <f>IF(COUNT(D974:S974)=0,"",MIN(D974:S974))</f>
        <v/>
      </c>
      <c r="U974" s="8">
        <f>IF(COUNT(D974:S974)=0,"",MEDIAN(D974:S974))</f>
        <v/>
      </c>
      <c r="V974" s="8">
        <f>IF(COUNT(D974:S974)=0,"",MAX(D974:S974))</f>
        <v/>
      </c>
      <c r="W974" s="9">
        <f>IF(OR(T974="",T974=0),"",(V974-T974)/T974)</f>
        <v/>
      </c>
      <c r="X974" s="7">
        <f>IF(COUNT(D974:S974)=0,"",INDEX($D$1:$S$1,MATCH(MIN(D974:S974),D974:S974,0)))</f>
        <v/>
      </c>
      <c r="Y974" s="8" t="n">
        <v>982</v>
      </c>
      <c r="Z974" s="10" t="n">
        <v>1</v>
      </c>
    </row>
    <row r="975">
      <c r="A975" s="7" t="inlineStr">
        <is>
          <t>MAT-12-033</t>
        </is>
      </c>
      <c r="B975" s="4" t="inlineStr">
        <is>
          <t>Masilla para sheetrock, funda de 55 libras</t>
        </is>
      </c>
      <c r="C975" s="7" t="inlineStr">
        <is>
          <t>envase</t>
        </is>
      </c>
      <c r="D975" s="8" t="n"/>
      <c r="E975" s="8" t="n">
        <v>2885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>
        <f>IF(COUNT(D975:S975)=0,"",MIN(D975:S975))</f>
        <v/>
      </c>
      <c r="U975" s="8">
        <f>IF(COUNT(D975:S975)=0,"",MEDIAN(D975:S975))</f>
        <v/>
      </c>
      <c r="V975" s="8">
        <f>IF(COUNT(D975:S975)=0,"",MAX(D975:S975))</f>
        <v/>
      </c>
      <c r="W975" s="9">
        <f>IF(OR(T975="",T975=0),"",(V975-T975)/T975)</f>
        <v/>
      </c>
      <c r="X975" s="7">
        <f>IF(COUNT(D975:S975)=0,"",INDEX($D$1:$S$1,MATCH(MIN(D975:S975),D975:S975,0)))</f>
        <v/>
      </c>
      <c r="Y975" s="8" t="n">
        <v>2885</v>
      </c>
      <c r="Z975" s="10" t="n">
        <v>1</v>
      </c>
    </row>
    <row r="976">
      <c r="A976" s="7" t="inlineStr">
        <is>
          <t>MAT-12-034</t>
        </is>
      </c>
      <c r="B976" s="4" t="inlineStr">
        <is>
          <t>Masilla para sheetrock, funda de 62 libras</t>
        </is>
      </c>
      <c r="C976" s="7" t="inlineStr">
        <is>
          <t>envase</t>
        </is>
      </c>
      <c r="D976" s="8" t="n"/>
      <c r="E976" s="8" t="n">
        <v>1670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>
        <f>IF(COUNT(D976:S976)=0,"",MIN(D976:S976))</f>
        <v/>
      </c>
      <c r="U976" s="8">
        <f>IF(COUNT(D976:S976)=0,"",MEDIAN(D976:S976))</f>
        <v/>
      </c>
      <c r="V976" s="8">
        <f>IF(COUNT(D976:S976)=0,"",MAX(D976:S976))</f>
        <v/>
      </c>
      <c r="W976" s="9">
        <f>IF(OR(T976="",T976=0),"",(V976-T976)/T976)</f>
        <v/>
      </c>
      <c r="X976" s="7">
        <f>IF(COUNT(D976:S976)=0,"",INDEX($D$1:$S$1,MATCH(MIN(D976:S976),D976:S976,0)))</f>
        <v/>
      </c>
      <c r="Y976" s="8" t="n">
        <v>1670</v>
      </c>
      <c r="Z976" s="10" t="n">
        <v>1</v>
      </c>
    </row>
    <row r="977">
      <c r="A977" s="7" t="inlineStr">
        <is>
          <t>MAT-12-035</t>
        </is>
      </c>
      <c r="B977" s="4" t="inlineStr">
        <is>
          <t>Masilla para sheetrock, funda de 64 libras</t>
        </is>
      </c>
      <c r="C977" s="7" t="inlineStr">
        <is>
          <t>envase</t>
        </is>
      </c>
      <c r="D977" s="8" t="n"/>
      <c r="E977" s="8" t="n">
        <v>1828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>
        <f>IF(COUNT(D977:S977)=0,"",MIN(D977:S977))</f>
        <v/>
      </c>
      <c r="U977" s="8">
        <f>IF(COUNT(D977:S977)=0,"",MEDIAN(D977:S977))</f>
        <v/>
      </c>
      <c r="V977" s="8">
        <f>IF(COUNT(D977:S977)=0,"",MAX(D977:S977))</f>
        <v/>
      </c>
      <c r="W977" s="9">
        <f>IF(OR(T977="",T977=0),"",(V977-T977)/T977)</f>
        <v/>
      </c>
      <c r="X977" s="7">
        <f>IF(COUNT(D977:S977)=0,"",INDEX($D$1:$S$1,MATCH(MIN(D977:S977),D977:S977,0)))</f>
        <v/>
      </c>
      <c r="Y977" s="8" t="n">
        <v>1828</v>
      </c>
      <c r="Z977" s="10" t="n">
        <v>1</v>
      </c>
    </row>
    <row r="978">
      <c r="A978" s="7" t="inlineStr">
        <is>
          <t>MAT-12-036</t>
        </is>
      </c>
      <c r="B978" s="4" t="inlineStr">
        <is>
          <t>Pintura para piscina,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>
        <v>3326.41</v>
      </c>
      <c r="O978" s="8" t="n"/>
      <c r="P978" s="8" t="n"/>
      <c r="Q978" s="8" t="n"/>
      <c r="R978" s="8" t="n"/>
      <c r="S978" s="8" t="n"/>
      <c r="T978" s="8">
        <f>IF(COUNT(D978:S978)=0,"",MIN(D978:S978))</f>
        <v/>
      </c>
      <c r="U978" s="8">
        <f>IF(COUNT(D978:S978)=0,"",MEDIAN(D978:S978))</f>
        <v/>
      </c>
      <c r="V978" s="8">
        <f>IF(COUNT(D978:S978)=0,"",MAX(D978:S978))</f>
        <v/>
      </c>
      <c r="W978" s="9">
        <f>IF(OR(T978="",T978=0),"",(V978-T978)/T978)</f>
        <v/>
      </c>
      <c r="X978" s="7">
        <f>IF(COUNT(D978:S978)=0,"",INDEX($D$1:$S$1,MATCH(MIN(D978:S978),D978:S978,0)))</f>
        <v/>
      </c>
      <c r="Y978" s="8" t="n">
        <v>3326.41</v>
      </c>
      <c r="Z978" s="10" t="n">
        <v>1</v>
      </c>
    </row>
    <row r="979">
      <c r="A979" s="7" t="inlineStr">
        <is>
          <t>MAT-12-037</t>
        </is>
      </c>
      <c r="B979" s="4" t="inlineStr">
        <is>
          <t>Primer sellador, cubeta de 5 galones</t>
        </is>
      </c>
      <c r="C979" s="7" t="inlineStr">
        <is>
          <t>envase</t>
        </is>
      </c>
      <c r="D979" s="8" t="n"/>
      <c r="E979" s="8" t="n">
        <v>4300</v>
      </c>
      <c r="F979" s="8" t="n"/>
      <c r="G979" s="8" t="n"/>
      <c r="H979" s="8" t="n"/>
      <c r="I979" s="8" t="n">
        <v>3260</v>
      </c>
      <c r="J979" s="8" t="n"/>
      <c r="K979" s="8" t="n"/>
      <c r="L979" s="8" t="n"/>
      <c r="M979" s="8" t="n"/>
      <c r="N979" s="8" t="n">
        <v>3473.6</v>
      </c>
      <c r="O979" s="8" t="n"/>
      <c r="P979" s="8" t="n"/>
      <c r="Q979" s="8" t="n"/>
      <c r="R979" s="8" t="n"/>
      <c r="S979" s="8" t="n"/>
      <c r="T979" s="8">
        <f>IF(COUNT(D979:S979)=0,"",MIN(D979:S979))</f>
        <v/>
      </c>
      <c r="U979" s="8">
        <f>IF(COUNT(D979:S979)=0,"",MEDIAN(D979:S979))</f>
        <v/>
      </c>
      <c r="V979" s="8">
        <f>IF(COUNT(D979:S979)=0,"",MAX(D979:S979))</f>
        <v/>
      </c>
      <c r="W979" s="9">
        <f>IF(OR(T979="",T979=0),"",(V979-T979)/T979)</f>
        <v/>
      </c>
      <c r="X979" s="7">
        <f>IF(COUNT(D979:S979)=0,"",INDEX($D$1:$S$1,MATCH(MIN(D979:S979),D979:S979,0)))</f>
        <v/>
      </c>
      <c r="Y979" s="8" t="n">
        <v>5112.5</v>
      </c>
      <c r="Z979" s="10" t="n">
        <v>3</v>
      </c>
    </row>
    <row r="980">
      <c r="A980" s="7" t="inlineStr">
        <is>
          <t>MAT-12-038</t>
        </is>
      </c>
      <c r="B980" s="4" t="inlineStr">
        <is>
          <t>Estuco para interiores, funda de 35 libras</t>
        </is>
      </c>
      <c r="C980" s="7" t="inlineStr">
        <is>
          <t>funda</t>
        </is>
      </c>
      <c r="D980" s="8" t="n">
        <v>331.11</v>
      </c>
      <c r="E980" s="8" t="n"/>
      <c r="F980" s="8" t="n"/>
      <c r="G980" s="8" t="n"/>
      <c r="H980" s="8" t="n"/>
      <c r="I980" s="8" t="n"/>
      <c r="J980" s="8" t="n"/>
      <c r="K980" s="8" t="n">
        <v>690</v>
      </c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>
        <f>IF(COUNT(D980:S980)=0,"",MIN(D980:S980))</f>
        <v/>
      </c>
      <c r="U980" s="8">
        <f>IF(COUNT(D980:S980)=0,"",MEDIAN(D980:S980))</f>
        <v/>
      </c>
      <c r="V980" s="8">
        <f>IF(COUNT(D980:S980)=0,"",MAX(D980:S980))</f>
        <v/>
      </c>
      <c r="W980" s="9">
        <f>IF(OR(T980="",T980=0),"",(V980-T980)/T980)</f>
        <v/>
      </c>
      <c r="X980" s="7">
        <f>IF(COUNT(D980:S980)=0,"",INDEX($D$1:$S$1,MATCH(MIN(D980:S980),D980:S980,0)))</f>
        <v/>
      </c>
      <c r="Y980" s="8" t="n">
        <v>510.56</v>
      </c>
      <c r="Z980" s="10" t="n">
        <v>2</v>
      </c>
    </row>
    <row r="981">
      <c r="A981" s="7" t="inlineStr">
        <is>
          <t>MAT-13-011</t>
        </is>
      </c>
      <c r="B981" s="4" t="inlineStr">
        <is>
          <t>Angular para plafón, 10'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98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>
        <f>IF(COUNT(D981:S981)=0,"",MIN(D981:S981))</f>
        <v/>
      </c>
      <c r="U981" s="8">
        <f>IF(COUNT(D981:S981)=0,"",MEDIAN(D981:S981))</f>
        <v/>
      </c>
      <c r="V981" s="8">
        <f>IF(COUNT(D981:S981)=0,"",MAX(D981:S981))</f>
        <v/>
      </c>
      <c r="W981" s="9">
        <f>IF(OR(T981="",T981=0),"",(V981-T981)/T981)</f>
        <v/>
      </c>
      <c r="X981" s="7">
        <f>IF(COUNT(D981:S981)=0,"",INDEX($D$1:$S$1,MATCH(MIN(D981:S981),D981:S981,0)))</f>
        <v/>
      </c>
      <c r="Y981" s="8" t="n">
        <v>98</v>
      </c>
      <c r="Z981" s="10" t="n">
        <v>1</v>
      </c>
    </row>
    <row r="982">
      <c r="A982" s="7" t="inlineStr">
        <is>
          <t>MAT-13-012</t>
        </is>
      </c>
      <c r="B982" s="4" t="inlineStr">
        <is>
          <t>Cartón piedra, 4'X8' 3X2Mm 1/8"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495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>
        <f>IF(COUNT(D982:S982)=0,"",MIN(D982:S982))</f>
        <v/>
      </c>
      <c r="U982" s="8">
        <f>IF(COUNT(D982:S982)=0,"",MEDIAN(D982:S982))</f>
        <v/>
      </c>
      <c r="V982" s="8">
        <f>IF(COUNT(D982:S982)=0,"",MAX(D982:S982))</f>
        <v/>
      </c>
      <c r="W982" s="9">
        <f>IF(OR(T982="",T982=0),"",(V982-T982)/T982)</f>
        <v/>
      </c>
      <c r="X982" s="7">
        <f>IF(COUNT(D982:S982)=0,"",INDEX($D$1:$S$1,MATCH(MIN(D982:S982),D982:S982,0)))</f>
        <v/>
      </c>
      <c r="Y982" s="8" t="n">
        <v>495</v>
      </c>
      <c r="Z982" s="10" t="n">
        <v>1</v>
      </c>
    </row>
    <row r="983">
      <c r="A983" s="7" t="inlineStr">
        <is>
          <t>MAT-13-013</t>
        </is>
      </c>
      <c r="B983" s="4" t="inlineStr">
        <is>
          <t>Cross tee para plafón, 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26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>
        <f>IF(COUNT(D983:S983)=0,"",MIN(D983:S983))</f>
        <v/>
      </c>
      <c r="U983" s="8">
        <f>IF(COUNT(D983:S983)=0,"",MEDIAN(D983:S983))</f>
        <v/>
      </c>
      <c r="V983" s="8">
        <f>IF(COUNT(D983:S983)=0,"",MAX(D983:S983))</f>
        <v/>
      </c>
      <c r="W983" s="9">
        <f>IF(OR(T983="",T983=0),"",(V983-T983)/T983)</f>
        <v/>
      </c>
      <c r="X983" s="7">
        <f>IF(COUNT(D983:S983)=0,"",INDEX($D$1:$S$1,MATCH(MIN(D983:S983),D983:S983,0)))</f>
        <v/>
      </c>
      <c r="Y983" s="8" t="n">
        <v>26</v>
      </c>
      <c r="Z983" s="10" t="n">
        <v>1</v>
      </c>
    </row>
    <row r="984">
      <c r="A984" s="7" t="inlineStr">
        <is>
          <t>MAT-13-014</t>
        </is>
      </c>
      <c r="B984" s="4" t="inlineStr">
        <is>
          <t>Cross tee para plafón, 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56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>
        <f>IF(COUNT(D984:S984)=0,"",MIN(D984:S984))</f>
        <v/>
      </c>
      <c r="U984" s="8">
        <f>IF(COUNT(D984:S984)=0,"",MEDIAN(D984:S984))</f>
        <v/>
      </c>
      <c r="V984" s="8">
        <f>IF(COUNT(D984:S984)=0,"",MAX(D984:S984))</f>
        <v/>
      </c>
      <c r="W984" s="9">
        <f>IF(OR(T984="",T984=0),"",(V984-T984)/T984)</f>
        <v/>
      </c>
      <c r="X984" s="7">
        <f>IF(COUNT(D984:S984)=0,"",INDEX($D$1:$S$1,MATCH(MIN(D984:S984),D984:S984,0)))</f>
        <v/>
      </c>
      <c r="Y984" s="8" t="n">
        <v>56</v>
      </c>
      <c r="Z984" s="10" t="n">
        <v>1</v>
      </c>
    </row>
    <row r="985">
      <c r="A985" s="7" t="inlineStr">
        <is>
          <t>MAT-13-015</t>
        </is>
      </c>
      <c r="B985" s="4" t="inlineStr">
        <is>
          <t>Durmiente para plafón, 2-1/2"X10 calibre 25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149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>
        <f>IF(COUNT(D985:S985)=0,"",MIN(D985:S985))</f>
        <v/>
      </c>
      <c r="U985" s="8">
        <f>IF(COUNT(D985:S985)=0,"",MEDIAN(D985:S985))</f>
        <v/>
      </c>
      <c r="V985" s="8">
        <f>IF(COUNT(D985:S985)=0,"",MAX(D985:S985))</f>
        <v/>
      </c>
      <c r="W985" s="9">
        <f>IF(OR(T985="",T985=0),"",(V985-T985)/T985)</f>
        <v/>
      </c>
      <c r="X985" s="7">
        <f>IF(COUNT(D985:S985)=0,"",INDEX($D$1:$S$1,MATCH(MIN(D985:S985),D985:S985,0)))</f>
        <v/>
      </c>
      <c r="Y985" s="8" t="n">
        <v>149</v>
      </c>
      <c r="Z985" s="10" t="n">
        <v>1</v>
      </c>
    </row>
    <row r="986">
      <c r="A986" s="7" t="inlineStr">
        <is>
          <t>MAT-13-016</t>
        </is>
      </c>
      <c r="B986" s="4" t="inlineStr">
        <is>
          <t>Main tee para plafón, 12'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186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>
        <f>IF(COUNT(D986:S986)=0,"",MIN(D986:S986))</f>
        <v/>
      </c>
      <c r="U986" s="8">
        <f>IF(COUNT(D986:S986)=0,"",MEDIAN(D986:S986))</f>
        <v/>
      </c>
      <c r="V986" s="8">
        <f>IF(COUNT(D986:S986)=0,"",MAX(D986:S986))</f>
        <v/>
      </c>
      <c r="W986" s="9">
        <f>IF(OR(T986="",T986=0),"",(V986-T986)/T986)</f>
        <v/>
      </c>
      <c r="X986" s="7">
        <f>IF(COUNT(D986:S986)=0,"",INDEX($D$1:$S$1,MATCH(MIN(D986:S986),D986:S986,0)))</f>
        <v/>
      </c>
      <c r="Y986" s="8" t="n">
        <v>186</v>
      </c>
      <c r="Z986" s="10" t="n">
        <v>1</v>
      </c>
    </row>
    <row r="987">
      <c r="A987" s="7" t="inlineStr">
        <is>
          <t>MAT-13-017</t>
        </is>
      </c>
      <c r="B987" s="4" t="inlineStr">
        <is>
          <t>Paral para plafón, 2-1/2"X10 calibre 25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185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>
        <f>IF(COUNT(D987:S987)=0,"",MIN(D987:S987))</f>
        <v/>
      </c>
      <c r="U987" s="8">
        <f>IF(COUNT(D987:S987)=0,"",MEDIAN(D987:S987))</f>
        <v/>
      </c>
      <c r="V987" s="8">
        <f>IF(COUNT(D987:S987)=0,"",MAX(D987:S987))</f>
        <v/>
      </c>
      <c r="W987" s="9">
        <f>IF(OR(T987="",T987=0),"",(V987-T987)/T987)</f>
        <v/>
      </c>
      <c r="X987" s="7">
        <f>IF(COUNT(D987:S987)=0,"",INDEX($D$1:$S$1,MATCH(MIN(D987:S987),D987:S987,0)))</f>
        <v/>
      </c>
      <c r="Y987" s="8" t="n">
        <v>185</v>
      </c>
      <c r="Z987" s="10" t="n">
        <v>1</v>
      </c>
    </row>
    <row r="988">
      <c r="A988" s="7" t="inlineStr">
        <is>
          <t>MAT-13-018</t>
        </is>
      </c>
      <c r="B988" s="4" t="inlineStr">
        <is>
          <t>Plafón, 2X4'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295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>
        <f>IF(COUNT(D988:S988)=0,"",MIN(D988:S988))</f>
        <v/>
      </c>
      <c r="U988" s="8">
        <f>IF(COUNT(D988:S988)=0,"",MEDIAN(D988:S988))</f>
        <v/>
      </c>
      <c r="V988" s="8">
        <f>IF(COUNT(D988:S988)=0,"",MAX(D988:S988))</f>
        <v/>
      </c>
      <c r="W988" s="9">
        <f>IF(OR(T988="",T988=0),"",(V988-T988)/T988)</f>
        <v/>
      </c>
      <c r="X988" s="7">
        <f>IF(COUNT(D988:S988)=0,"",INDEX($D$1:$S$1,MATCH(MIN(D988:S988),D988:S988,0)))</f>
        <v/>
      </c>
      <c r="Y988" s="8" t="n">
        <v>295</v>
      </c>
      <c r="Z988" s="10" t="n">
        <v>1</v>
      </c>
    </row>
    <row r="989">
      <c r="A989" s="7" t="inlineStr">
        <is>
          <t>MAT-13-019</t>
        </is>
      </c>
      <c r="B989" s="4" t="inlineStr">
        <is>
          <t>Plafón blanco, 250X5800X7MM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375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>
        <f>IF(COUNT(D989:S989)=0,"",MIN(D989:S989))</f>
        <v/>
      </c>
      <c r="U989" s="8">
        <f>IF(COUNT(D989:S989)=0,"",MEDIAN(D989:S989))</f>
        <v/>
      </c>
      <c r="V989" s="8">
        <f>IF(COUNT(D989:S989)=0,"",MAX(D989:S989))</f>
        <v/>
      </c>
      <c r="W989" s="9">
        <f>IF(OR(T989="",T989=0),"",(V989-T989)/T989)</f>
        <v/>
      </c>
      <c r="X989" s="7">
        <f>IF(COUNT(D989:S989)=0,"",INDEX($D$1:$S$1,MATCH(MIN(D989:S989),D989:S989,0)))</f>
        <v/>
      </c>
      <c r="Y989" s="8" t="n">
        <v>375</v>
      </c>
      <c r="Z989" s="10" t="n">
        <v>1</v>
      </c>
    </row>
    <row r="990">
      <c r="A990" s="7" t="inlineStr">
        <is>
          <t>MAT-13-020</t>
        </is>
      </c>
      <c r="B990" s="4" t="inlineStr">
        <is>
          <t>Plafón blanco, 2X4'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202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>
        <f>IF(COUNT(D990:S990)=0,"",MIN(D990:S990))</f>
        <v/>
      </c>
      <c r="U990" s="8">
        <f>IF(COUNT(D990:S990)=0,"",MEDIAN(D990:S990))</f>
        <v/>
      </c>
      <c r="V990" s="8">
        <f>IF(COUNT(D990:S990)=0,"",MAX(D990:S990))</f>
        <v/>
      </c>
      <c r="W990" s="9">
        <f>IF(OR(T990="",T990=0),"",(V990-T990)/T990)</f>
        <v/>
      </c>
      <c r="X990" s="7">
        <f>IF(COUNT(D990:S990)=0,"",INDEX($D$1:$S$1,MATCH(MIN(D990:S990),D990:S990,0)))</f>
        <v/>
      </c>
      <c r="Y990" s="8" t="n">
        <v>202</v>
      </c>
      <c r="Z990" s="10" t="n">
        <v>1</v>
      </c>
    </row>
    <row r="991">
      <c r="A991" s="7" t="inlineStr">
        <is>
          <t>MAT-16-003</t>
        </is>
      </c>
      <c r="B991" s="4" t="inlineStr">
        <is>
          <t>Kit de videovigilancia 4 cámaras bullet 2 MP</t>
        </is>
      </c>
      <c r="C991" s="7" t="inlineStr">
        <is>
          <t>juego</t>
        </is>
      </c>
      <c r="D991" s="8" t="n">
        <v>18221.03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>
        <f>IF(COUNT(D991:S991)=0,"",MIN(D991:S991))</f>
        <v/>
      </c>
      <c r="U991" s="8">
        <f>IF(COUNT(D991:S991)=0,"",MEDIAN(D991:S991))</f>
        <v/>
      </c>
      <c r="V991" s="8">
        <f>IF(COUNT(D991:S991)=0,"",MAX(D991:S991))</f>
        <v/>
      </c>
      <c r="W991" s="9">
        <f>IF(OR(T991="",T991=0),"",(V991-T991)/T991)</f>
        <v/>
      </c>
      <c r="X991" s="7">
        <f>IF(COUNT(D991:S991)=0,"",INDEX($D$1:$S$1,MATCH(MIN(D991:S991),D991:S991,0)))</f>
        <v/>
      </c>
      <c r="Y991" s="8" t="n">
        <v>18221.03</v>
      </c>
      <c r="Z991" s="10" t="n">
        <v>1</v>
      </c>
    </row>
    <row r="992">
      <c r="A992" s="7" t="inlineStr">
        <is>
          <t>MAT-16-004</t>
        </is>
      </c>
      <c r="B992" s="4" t="inlineStr">
        <is>
          <t>Kit de videovigilancia 4 cámaras domo 2 MP</t>
        </is>
      </c>
      <c r="C992" s="7" t="inlineStr">
        <is>
          <t>juego</t>
        </is>
      </c>
      <c r="D992" s="8" t="n">
        <v>17133.95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>
        <f>IF(COUNT(D992:S992)=0,"",MIN(D992:S992))</f>
        <v/>
      </c>
      <c r="U992" s="8">
        <f>IF(COUNT(D992:S992)=0,"",MEDIAN(D992:S992))</f>
        <v/>
      </c>
      <c r="V992" s="8">
        <f>IF(COUNT(D992:S992)=0,"",MAX(D992:S992))</f>
        <v/>
      </c>
      <c r="W992" s="9">
        <f>IF(OR(T992="",T992=0),"",(V992-T992)/T992)</f>
        <v/>
      </c>
      <c r="X992" s="7">
        <f>IF(COUNT(D992:S992)=0,"",INDEX($D$1:$S$1,MATCH(MIN(D992:S992),D992:S992,0)))</f>
        <v/>
      </c>
      <c r="Y992" s="8" t="n">
        <v>17133.95</v>
      </c>
      <c r="Z992" s="10" t="n">
        <v>1</v>
      </c>
    </row>
    <row r="993">
      <c r="A993" s="7" t="inlineStr">
        <is>
          <t>MAT-16-005</t>
        </is>
      </c>
      <c r="B993" s="4" t="inlineStr">
        <is>
          <t>Cámara de seguridad</t>
        </is>
      </c>
      <c r="C993" s="7" t="inlineStr">
        <is>
          <t>unidad</t>
        </is>
      </c>
      <c r="D993" s="8" t="n">
        <v>2548.17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>
        <f>IF(COUNT(D993:S993)=0,"",MIN(D993:S993))</f>
        <v/>
      </c>
      <c r="U993" s="8">
        <f>IF(COUNT(D993:S993)=0,"",MEDIAN(D993:S993))</f>
        <v/>
      </c>
      <c r="V993" s="8">
        <f>IF(COUNT(D993:S993)=0,"",MAX(D993:S993))</f>
        <v/>
      </c>
      <c r="W993" s="9">
        <f>IF(OR(T993="",T993=0),"",(V993-T993)/T993)</f>
        <v/>
      </c>
      <c r="X993" s="7">
        <f>IF(COUNT(D993:S993)=0,"",INDEX($D$1:$S$1,MATCH(MIN(D993:S993),D993:S993,0)))</f>
        <v/>
      </c>
      <c r="Y993" s="8" t="n">
        <v>3342.09</v>
      </c>
      <c r="Z993" s="10" t="n">
        <v>1</v>
      </c>
    </row>
    <row r="994">
      <c r="A994" s="7" t="inlineStr">
        <is>
          <t>MAT-16-006</t>
        </is>
      </c>
      <c r="B994" s="4" t="inlineStr">
        <is>
          <t>Cámara de seguridad bullet</t>
        </is>
      </c>
      <c r="C994" s="7" t="inlineStr">
        <is>
          <t>unidad</t>
        </is>
      </c>
      <c r="D994" s="8" t="n">
        <v>2191.4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>
        <f>IF(COUNT(D994:S994)=0,"",MIN(D994:S994))</f>
        <v/>
      </c>
      <c r="U994" s="8">
        <f>IF(COUNT(D994:S994)=0,"",MEDIAN(D994:S994))</f>
        <v/>
      </c>
      <c r="V994" s="8">
        <f>IF(COUNT(D994:S994)=0,"",MAX(D994:S994))</f>
        <v/>
      </c>
      <c r="W994" s="9">
        <f>IF(OR(T994="",T994=0),"",(V994-T994)/T994)</f>
        <v/>
      </c>
      <c r="X994" s="7">
        <f>IF(COUNT(D994:S994)=0,"",INDEX($D$1:$S$1,MATCH(MIN(D994:S994),D994:S994,0)))</f>
        <v/>
      </c>
      <c r="Y994" s="8" t="n">
        <v>2588.72</v>
      </c>
      <c r="Z994" s="10" t="n">
        <v>1</v>
      </c>
    </row>
    <row r="995">
      <c r="A995" s="7" t="inlineStr">
        <is>
          <t>MAT-16-007</t>
        </is>
      </c>
      <c r="B995" s="4" t="inlineStr">
        <is>
          <t>Cámara de seguridad bullet 2 MP</t>
        </is>
      </c>
      <c r="C995" s="7" t="inlineStr">
        <is>
          <t>unidad</t>
        </is>
      </c>
      <c r="D995" s="8" t="n">
        <v>1784.16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>
        <f>IF(COUNT(D995:S995)=0,"",MIN(D995:S995))</f>
        <v/>
      </c>
      <c r="U995" s="8">
        <f>IF(COUNT(D995:S995)=0,"",MEDIAN(D995:S995))</f>
        <v/>
      </c>
      <c r="V995" s="8">
        <f>IF(COUNT(D995:S995)=0,"",MAX(D995:S995))</f>
        <v/>
      </c>
      <c r="W995" s="9">
        <f>IF(OR(T995="",T995=0),"",(V995-T995)/T995)</f>
        <v/>
      </c>
      <c r="X995" s="7">
        <f>IF(COUNT(D995:S995)=0,"",INDEX($D$1:$S$1,MATCH(MIN(D995:S995),D995:S995,0)))</f>
        <v/>
      </c>
      <c r="Y995" s="8" t="n">
        <v>4606.9</v>
      </c>
      <c r="Z995" s="10" t="n">
        <v>1</v>
      </c>
    </row>
    <row r="996">
      <c r="A996" s="7" t="inlineStr">
        <is>
          <t>MAT-16-008</t>
        </is>
      </c>
      <c r="B996" s="4" t="inlineStr">
        <is>
          <t>Cámara de seguridad bullet 4 MP</t>
        </is>
      </c>
      <c r="C996" s="7" t="inlineStr">
        <is>
          <t>unidad</t>
        </is>
      </c>
      <c r="D996" s="8" t="n">
        <v>3087.35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>
        <f>IF(COUNT(D996:S996)=0,"",MIN(D996:S996))</f>
        <v/>
      </c>
      <c r="U996" s="8">
        <f>IF(COUNT(D996:S996)=0,"",MEDIAN(D996:S996))</f>
        <v/>
      </c>
      <c r="V996" s="8">
        <f>IF(COUNT(D996:S996)=0,"",MAX(D996:S996))</f>
        <v/>
      </c>
      <c r="W996" s="9">
        <f>IF(OR(T996="",T996=0),"",(V996-T996)/T996)</f>
        <v/>
      </c>
      <c r="X996" s="7">
        <f>IF(COUNT(D996:S996)=0,"",INDEX($D$1:$S$1,MATCH(MIN(D996:S996),D996:S996,0)))</f>
        <v/>
      </c>
      <c r="Y996" s="8" t="n">
        <v>9064.129999999999</v>
      </c>
      <c r="Z996" s="10" t="n">
        <v>1</v>
      </c>
    </row>
    <row r="997">
      <c r="A997" s="7" t="inlineStr">
        <is>
          <t>MAT-16-009</t>
        </is>
      </c>
      <c r="B997" s="4" t="inlineStr">
        <is>
          <t>Cámara de seguridad bullet 5 MP</t>
        </is>
      </c>
      <c r="C997" s="7" t="inlineStr">
        <is>
          <t>unidad</t>
        </is>
      </c>
      <c r="D997" s="8" t="n">
        <v>1394.08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>
        <f>IF(COUNT(D997:S997)=0,"",MIN(D997:S997))</f>
        <v/>
      </c>
      <c r="U997" s="8">
        <f>IF(COUNT(D997:S997)=0,"",MEDIAN(D997:S997))</f>
        <v/>
      </c>
      <c r="V997" s="8">
        <f>IF(COUNT(D997:S997)=0,"",MAX(D997:S997))</f>
        <v/>
      </c>
      <c r="W997" s="9">
        <f>IF(OR(T997="",T997=0),"",(V997-T997)/T997)</f>
        <v/>
      </c>
      <c r="X997" s="7">
        <f>IF(COUNT(D997:S997)=0,"",INDEX($D$1:$S$1,MATCH(MIN(D997:S997),D997:S997,0)))</f>
        <v/>
      </c>
      <c r="Y997" s="8" t="n">
        <v>5675.9</v>
      </c>
      <c r="Z997" s="10" t="n">
        <v>1</v>
      </c>
    </row>
    <row r="998">
      <c r="A998" s="7" t="inlineStr">
        <is>
          <t>MAT-16-010</t>
        </is>
      </c>
      <c r="B998" s="4" t="inlineStr">
        <is>
          <t>Cámara de seguridad bullet 8 MP</t>
        </is>
      </c>
      <c r="C998" s="7" t="inlineStr">
        <is>
          <t>unidad</t>
        </is>
      </c>
      <c r="D998" s="8" t="n">
        <v>13465.71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>
        <f>IF(COUNT(D998:S998)=0,"",MIN(D998:S998))</f>
        <v/>
      </c>
      <c r="U998" s="8">
        <f>IF(COUNT(D998:S998)=0,"",MEDIAN(D998:S998))</f>
        <v/>
      </c>
      <c r="V998" s="8">
        <f>IF(COUNT(D998:S998)=0,"",MAX(D998:S998))</f>
        <v/>
      </c>
      <c r="W998" s="9">
        <f>IF(OR(T998="",T998=0),"",(V998-T998)/T998)</f>
        <v/>
      </c>
      <c r="X998" s="7">
        <f>IF(COUNT(D998:S998)=0,"",INDEX($D$1:$S$1,MATCH(MIN(D998:S998),D998:S998,0)))</f>
        <v/>
      </c>
      <c r="Y998" s="8" t="n">
        <v>13465.71</v>
      </c>
      <c r="Z998" s="10" t="n">
        <v>1</v>
      </c>
    </row>
    <row r="999">
      <c r="A999" s="7" t="inlineStr">
        <is>
          <t>MAT-16-011</t>
        </is>
      </c>
      <c r="B999" s="4" t="inlineStr">
        <is>
          <t>Cámara de seguridad domo</t>
        </is>
      </c>
      <c r="C999" s="7" t="inlineStr">
        <is>
          <t>unidad</t>
        </is>
      </c>
      <c r="D999" s="8" t="n">
        <v>12992.17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>
        <f>IF(COUNT(D999:S999)=0,"",MIN(D999:S999))</f>
        <v/>
      </c>
      <c r="U999" s="8">
        <f>IF(COUNT(D999:S999)=0,"",MEDIAN(D999:S999))</f>
        <v/>
      </c>
      <c r="V999" s="8">
        <f>IF(COUNT(D999:S999)=0,"",MAX(D999:S999))</f>
        <v/>
      </c>
      <c r="W999" s="9">
        <f>IF(OR(T999="",T999=0),"",(V999-T999)/T999)</f>
        <v/>
      </c>
      <c r="X999" s="7">
        <f>IF(COUNT(D999:S999)=0,"",INDEX($D$1:$S$1,MATCH(MIN(D999:S999),D999:S999,0)))</f>
        <v/>
      </c>
      <c r="Y999" s="8" t="n">
        <v>12992.17</v>
      </c>
      <c r="Z999" s="10" t="n">
        <v>1</v>
      </c>
    </row>
    <row r="1000">
      <c r="A1000" s="7" t="inlineStr">
        <is>
          <t>MAT-16-012</t>
        </is>
      </c>
      <c r="B1000" s="4" t="inlineStr">
        <is>
          <t>Cámara de seguridad domo 2 MP</t>
        </is>
      </c>
      <c r="C1000" s="7" t="inlineStr">
        <is>
          <t>unidad</t>
        </is>
      </c>
      <c r="D1000" s="8" t="n">
        <v>740.01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>
        <f>IF(COUNT(D1000:S1000)=0,"",MIN(D1000:S1000))</f>
        <v/>
      </c>
      <c r="U1000" s="8">
        <f>IF(COUNT(D1000:S1000)=0,"",MEDIAN(D1000:S1000))</f>
        <v/>
      </c>
      <c r="V1000" s="8">
        <f>IF(COUNT(D1000:S1000)=0,"",MAX(D1000:S1000))</f>
        <v/>
      </c>
      <c r="W1000" s="9">
        <f>IF(OR(T1000="",T1000=0),"",(V1000-T1000)/T1000)</f>
        <v/>
      </c>
      <c r="X1000" s="7">
        <f>IF(COUNT(D1000:S1000)=0,"",INDEX($D$1:$S$1,MATCH(MIN(D1000:S1000),D1000:S1000,0)))</f>
        <v/>
      </c>
      <c r="Y1000" s="8" t="n">
        <v>3461.37</v>
      </c>
      <c r="Z1000" s="10" t="n">
        <v>1</v>
      </c>
    </row>
    <row r="1001">
      <c r="A1001" s="7" t="inlineStr">
        <is>
          <t>MAT-16-013</t>
        </is>
      </c>
      <c r="B1001" s="4" t="inlineStr">
        <is>
          <t>Cámara de seguridad domo 4 MP</t>
        </is>
      </c>
      <c r="C1001" s="7" t="inlineStr">
        <is>
          <t>unidad</t>
        </is>
      </c>
      <c r="D1001" s="8" t="n">
        <v>3695.82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>
        <f>IF(COUNT(D1001:S1001)=0,"",MIN(D1001:S1001))</f>
        <v/>
      </c>
      <c r="U1001" s="8">
        <f>IF(COUNT(D1001:S1001)=0,"",MEDIAN(D1001:S1001))</f>
        <v/>
      </c>
      <c r="V1001" s="8">
        <f>IF(COUNT(D1001:S1001)=0,"",MAX(D1001:S1001))</f>
        <v/>
      </c>
      <c r="W1001" s="9">
        <f>IF(OR(T1001="",T1001=0),"",(V1001-T1001)/T1001)</f>
        <v/>
      </c>
      <c r="X1001" s="7">
        <f>IF(COUNT(D1001:S1001)=0,"",INDEX($D$1:$S$1,MATCH(MIN(D1001:S1001),D1001:S1001,0)))</f>
        <v/>
      </c>
      <c r="Y1001" s="8" t="n">
        <v>5025.16</v>
      </c>
      <c r="Z1001" s="10" t="n">
        <v>1</v>
      </c>
    </row>
    <row r="1002">
      <c r="A1002" s="7" t="inlineStr">
        <is>
          <t>MAT-16-014</t>
        </is>
      </c>
      <c r="B1002" s="4" t="inlineStr">
        <is>
          <t>Cámara de seguridad domo 5 MP</t>
        </is>
      </c>
      <c r="C1002" s="7" t="inlineStr">
        <is>
          <t>unidad</t>
        </is>
      </c>
      <c r="D1002" s="8" t="n">
        <v>1368.3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>
        <f>IF(COUNT(D1002:S1002)=0,"",MIN(D1002:S1002))</f>
        <v/>
      </c>
      <c r="U1002" s="8">
        <f>IF(COUNT(D1002:S1002)=0,"",MEDIAN(D1002:S1002))</f>
        <v/>
      </c>
      <c r="V1002" s="8">
        <f>IF(COUNT(D1002:S1002)=0,"",MAX(D1002:S1002))</f>
        <v/>
      </c>
      <c r="W1002" s="9">
        <f>IF(OR(T1002="",T1002=0),"",(V1002-T1002)/T1002)</f>
        <v/>
      </c>
      <c r="X1002" s="7">
        <f>IF(COUNT(D1002:S1002)=0,"",INDEX($D$1:$S$1,MATCH(MIN(D1002:S1002),D1002:S1002,0)))</f>
        <v/>
      </c>
      <c r="Y1002" s="8" t="n">
        <v>6122.92</v>
      </c>
      <c r="Z1002" s="10" t="n">
        <v>1</v>
      </c>
    </row>
    <row r="1003">
      <c r="A1003" s="7" t="inlineStr">
        <is>
          <t>MAT-16-015</t>
        </is>
      </c>
      <c r="B1003" s="4" t="inlineStr">
        <is>
          <t>Cámara de seguridad ojo de pez 5 MP</t>
        </is>
      </c>
      <c r="C1003" s="7" t="inlineStr">
        <is>
          <t>unidad</t>
        </is>
      </c>
      <c r="D1003" s="8" t="n">
        <v>11020.47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>
        <f>IF(COUNT(D1003:S1003)=0,"",MIN(D1003:S1003))</f>
        <v/>
      </c>
      <c r="U1003" s="8">
        <f>IF(COUNT(D1003:S1003)=0,"",MEDIAN(D1003:S1003))</f>
        <v/>
      </c>
      <c r="V1003" s="8">
        <f>IF(COUNT(D1003:S1003)=0,"",MAX(D1003:S1003))</f>
        <v/>
      </c>
      <c r="W1003" s="9">
        <f>IF(OR(T1003="",T1003=0),"",(V1003-T1003)/T1003)</f>
        <v/>
      </c>
      <c r="X1003" s="7">
        <f>IF(COUNT(D1003:S1003)=0,"",INDEX($D$1:$S$1,MATCH(MIN(D1003:S1003),D1003:S1003,0)))</f>
        <v/>
      </c>
      <c r="Y1003" s="8" t="n">
        <v>11020.47</v>
      </c>
      <c r="Z1003" s="10" t="n">
        <v>1</v>
      </c>
    </row>
    <row r="1004">
      <c r="A1004" s="7" t="inlineStr">
        <is>
          <t>MAT-16-016</t>
        </is>
      </c>
      <c r="B1004" s="4" t="inlineStr">
        <is>
          <t>Cámara de seguridad PTZ 2 MP</t>
        </is>
      </c>
      <c r="C1004" s="7" t="inlineStr">
        <is>
          <t>unidad</t>
        </is>
      </c>
      <c r="D1004" s="8" t="n">
        <v>30360.56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>
        <f>IF(COUNT(D1004:S1004)=0,"",MIN(D1004:S1004))</f>
        <v/>
      </c>
      <c r="U1004" s="8">
        <f>IF(COUNT(D1004:S1004)=0,"",MEDIAN(D1004:S1004))</f>
        <v/>
      </c>
      <c r="V1004" s="8">
        <f>IF(COUNT(D1004:S1004)=0,"",MAX(D1004:S1004))</f>
        <v/>
      </c>
      <c r="W1004" s="9">
        <f>IF(OR(T1004="",T1004=0),"",(V1004-T1004)/T1004)</f>
        <v/>
      </c>
      <c r="X1004" s="7">
        <f>IF(COUNT(D1004:S1004)=0,"",INDEX($D$1:$S$1,MATCH(MIN(D1004:S1004),D1004:S1004,0)))</f>
        <v/>
      </c>
      <c r="Y1004" s="8" t="n">
        <v>30360.56</v>
      </c>
      <c r="Z1004" s="10" t="n">
        <v>1</v>
      </c>
    </row>
    <row r="1005">
      <c r="A1005" s="7" t="inlineStr">
        <is>
          <t>MAT-16-017</t>
        </is>
      </c>
      <c r="B1005" s="4" t="inlineStr">
        <is>
          <t>Cámara de seguridad PTZ 3 MP</t>
        </is>
      </c>
      <c r="C1005" s="7" t="inlineStr">
        <is>
          <t>unidad</t>
        </is>
      </c>
      <c r="D1005" s="8" t="n">
        <v>19602.61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>
        <f>IF(COUNT(D1005:S1005)=0,"",MIN(D1005:S1005))</f>
        <v/>
      </c>
      <c r="U1005" s="8">
        <f>IF(COUNT(D1005:S1005)=0,"",MEDIAN(D1005:S1005))</f>
        <v/>
      </c>
      <c r="V1005" s="8">
        <f>IF(COUNT(D1005:S1005)=0,"",MAX(D1005:S1005))</f>
        <v/>
      </c>
      <c r="W1005" s="9">
        <f>IF(OR(T1005="",T1005=0),"",(V1005-T1005)/T1005)</f>
        <v/>
      </c>
      <c r="X1005" s="7">
        <f>IF(COUNT(D1005:S1005)=0,"",INDEX($D$1:$S$1,MATCH(MIN(D1005:S1005),D1005:S1005,0)))</f>
        <v/>
      </c>
      <c r="Y1005" s="8" t="n">
        <v>19602.61</v>
      </c>
      <c r="Z1005" s="10" t="n">
        <v>1</v>
      </c>
    </row>
    <row r="1006">
      <c r="A1006" s="7" t="inlineStr">
        <is>
          <t>MAT-16-018</t>
        </is>
      </c>
      <c r="B1006" s="4" t="inlineStr">
        <is>
          <t>Cámara de seguridad turret 2 MP</t>
        </is>
      </c>
      <c r="C1006" s="7" t="inlineStr">
        <is>
          <t>unidad</t>
        </is>
      </c>
      <c r="D1006" s="8" t="n">
        <v>2549.16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>
        <f>IF(COUNT(D1006:S1006)=0,"",MIN(D1006:S1006))</f>
        <v/>
      </c>
      <c r="U1006" s="8">
        <f>IF(COUNT(D1006:S1006)=0,"",MEDIAN(D1006:S1006))</f>
        <v/>
      </c>
      <c r="V1006" s="8">
        <f>IF(COUNT(D1006:S1006)=0,"",MAX(D1006:S1006))</f>
        <v/>
      </c>
      <c r="W1006" s="9">
        <f>IF(OR(T1006="",T1006=0),"",(V1006-T1006)/T1006)</f>
        <v/>
      </c>
      <c r="X1006" s="7">
        <f>IF(COUNT(D1006:S1006)=0,"",INDEX($D$1:$S$1,MATCH(MIN(D1006:S1006),D1006:S1006,0)))</f>
        <v/>
      </c>
      <c r="Y1006" s="8" t="n">
        <v>3614.58</v>
      </c>
      <c r="Z1006" s="10" t="n">
        <v>1</v>
      </c>
    </row>
    <row r="1007">
      <c r="A1007" s="7" t="inlineStr">
        <is>
          <t>MAT-16-019</t>
        </is>
      </c>
      <c r="B1007" s="4" t="inlineStr">
        <is>
          <t>Cámara de seguridad turret 4 MP</t>
        </is>
      </c>
      <c r="C1007" s="7" t="inlineStr">
        <is>
          <t>unidad</t>
        </is>
      </c>
      <c r="D1007" s="8" t="n">
        <v>3073.06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>
        <f>IF(COUNT(D1007:S1007)=0,"",MIN(D1007:S1007))</f>
        <v/>
      </c>
      <c r="U1007" s="8">
        <f>IF(COUNT(D1007:S1007)=0,"",MEDIAN(D1007:S1007))</f>
        <v/>
      </c>
      <c r="V1007" s="8">
        <f>IF(COUNT(D1007:S1007)=0,"",MAX(D1007:S1007))</f>
        <v/>
      </c>
      <c r="W1007" s="9">
        <f>IF(OR(T1007="",T1007=0),"",(V1007-T1007)/T1007)</f>
        <v/>
      </c>
      <c r="X1007" s="7">
        <f>IF(COUNT(D1007:S1007)=0,"",INDEX($D$1:$S$1,MATCH(MIN(D1007:S1007),D1007:S1007,0)))</f>
        <v/>
      </c>
      <c r="Y1007" s="8" t="n">
        <v>3073.06</v>
      </c>
      <c r="Z1007" s="10" t="n">
        <v>1</v>
      </c>
    </row>
    <row r="1008">
      <c r="A1008" s="7" t="inlineStr">
        <is>
          <t>MAT-16-020</t>
        </is>
      </c>
      <c r="B1008" s="4" t="inlineStr">
        <is>
          <t>Cámara de seguridad turret 5 MP</t>
        </is>
      </c>
      <c r="C1008" s="7" t="inlineStr">
        <is>
          <t>unidad</t>
        </is>
      </c>
      <c r="D1008" s="8" t="n">
        <v>3714.5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>
        <f>IF(COUNT(D1008:S1008)=0,"",MIN(D1008:S1008))</f>
        <v/>
      </c>
      <c r="U1008" s="8">
        <f>IF(COUNT(D1008:S1008)=0,"",MEDIAN(D1008:S1008))</f>
        <v/>
      </c>
      <c r="V1008" s="8">
        <f>IF(COUNT(D1008:S1008)=0,"",MAX(D1008:S1008))</f>
        <v/>
      </c>
      <c r="W1008" s="9">
        <f>IF(OR(T1008="",T1008=0),"",(V1008-T1008)/T1008)</f>
        <v/>
      </c>
      <c r="X1008" s="7">
        <f>IF(COUNT(D1008:S1008)=0,"",INDEX($D$1:$S$1,MATCH(MIN(D1008:S1008),D1008:S1008,0)))</f>
        <v/>
      </c>
      <c r="Y1008" s="8" t="n">
        <v>4570.82</v>
      </c>
      <c r="Z1008" s="10" t="n">
        <v>1</v>
      </c>
    </row>
    <row r="1009">
      <c r="A1009" s="7" t="inlineStr">
        <is>
          <t>MAT-16-021</t>
        </is>
      </c>
      <c r="B1009" s="4" t="inlineStr">
        <is>
          <t>Cámara de seguridad 2 MP</t>
        </is>
      </c>
      <c r="C1009" s="7" t="inlineStr">
        <is>
          <t>unidad</t>
        </is>
      </c>
      <c r="D1009" s="8" t="n">
        <v>1576.87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>
        <f>IF(COUNT(D1009:S1009)=0,"",MIN(D1009:S1009))</f>
        <v/>
      </c>
      <c r="U1009" s="8">
        <f>IF(COUNT(D1009:S1009)=0,"",MEDIAN(D1009:S1009))</f>
        <v/>
      </c>
      <c r="V1009" s="8">
        <f>IF(COUNT(D1009:S1009)=0,"",MAX(D1009:S1009))</f>
        <v/>
      </c>
      <c r="W1009" s="9">
        <f>IF(OR(T1009="",T1009=0),"",(V1009-T1009)/T1009)</f>
        <v/>
      </c>
      <c r="X1009" s="7">
        <f>IF(COUNT(D1009:S1009)=0,"",INDEX($D$1:$S$1,MATCH(MIN(D1009:S1009),D1009:S1009,0)))</f>
        <v/>
      </c>
      <c r="Y1009" s="8" t="n">
        <v>5421.17</v>
      </c>
      <c r="Z1009" s="10" t="n">
        <v>1</v>
      </c>
    </row>
    <row r="1010">
      <c r="A1010" s="7" t="inlineStr">
        <is>
          <t>MAT-16-022</t>
        </is>
      </c>
      <c r="B1010" s="4" t="inlineStr">
        <is>
          <t>Cámara de seguridad 5 MP</t>
        </is>
      </c>
      <c r="C1010" s="7" t="inlineStr">
        <is>
          <t>unidad</t>
        </is>
      </c>
      <c r="D1010" s="8" t="n">
        <v>3414.74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>
        <f>IF(COUNT(D1010:S1010)=0,"",MIN(D1010:S1010))</f>
        <v/>
      </c>
      <c r="U1010" s="8">
        <f>IF(COUNT(D1010:S1010)=0,"",MEDIAN(D1010:S1010))</f>
        <v/>
      </c>
      <c r="V1010" s="8">
        <f>IF(COUNT(D1010:S1010)=0,"",MAX(D1010:S1010))</f>
        <v/>
      </c>
      <c r="W1010" s="9">
        <f>IF(OR(T1010="",T1010=0),"",(V1010-T1010)/T1010)</f>
        <v/>
      </c>
      <c r="X1010" s="7">
        <f>IF(COUNT(D1010:S1010)=0,"",INDEX($D$1:$S$1,MATCH(MIN(D1010:S1010),D1010:S1010,0)))</f>
        <v/>
      </c>
      <c r="Y1010" s="8" t="n">
        <v>3414.74</v>
      </c>
      <c r="Z1010" s="10" t="n">
        <v>1</v>
      </c>
    </row>
    <row r="1011">
      <c r="A1011" s="7" t="inlineStr">
        <is>
          <t>MAT-16-023</t>
        </is>
      </c>
      <c r="B1011" s="4" t="inlineStr">
        <is>
          <t>Grabador de video DVR 16 canales</t>
        </is>
      </c>
      <c r="C1011" s="7" t="inlineStr">
        <is>
          <t>unidad</t>
        </is>
      </c>
      <c r="D1011" s="8" t="n">
        <v>18426.33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>
        <f>IF(COUNT(D1011:S1011)=0,"",MIN(D1011:S1011))</f>
        <v/>
      </c>
      <c r="U1011" s="8">
        <f>IF(COUNT(D1011:S1011)=0,"",MEDIAN(D1011:S1011))</f>
        <v/>
      </c>
      <c r="V1011" s="8">
        <f>IF(COUNT(D1011:S1011)=0,"",MAX(D1011:S1011))</f>
        <v/>
      </c>
      <c r="W1011" s="9">
        <f>IF(OR(T1011="",T1011=0),"",(V1011-T1011)/T1011)</f>
        <v/>
      </c>
      <c r="X1011" s="7">
        <f>IF(COUNT(D1011:S1011)=0,"",INDEX($D$1:$S$1,MATCH(MIN(D1011:S1011),D1011:S1011,0)))</f>
        <v/>
      </c>
      <c r="Y1011" s="8" t="n">
        <v>18426.33</v>
      </c>
      <c r="Z1011" s="10" t="n">
        <v>1</v>
      </c>
    </row>
    <row r="1012">
      <c r="A1012" s="7" t="inlineStr">
        <is>
          <t>MAT-16-024</t>
        </is>
      </c>
      <c r="B1012" s="4" t="inlineStr">
        <is>
          <t>Grabador de video DVR 4 canales</t>
        </is>
      </c>
      <c r="C1012" s="7" t="inlineStr">
        <is>
          <t>unidad</t>
        </is>
      </c>
      <c r="D1012" s="8" t="n">
        <v>6677.44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>
        <f>IF(COUNT(D1012:S1012)=0,"",MIN(D1012:S1012))</f>
        <v/>
      </c>
      <c r="U1012" s="8">
        <f>IF(COUNT(D1012:S1012)=0,"",MEDIAN(D1012:S1012))</f>
        <v/>
      </c>
      <c r="V1012" s="8">
        <f>IF(COUNT(D1012:S1012)=0,"",MAX(D1012:S1012))</f>
        <v/>
      </c>
      <c r="W1012" s="9">
        <f>IF(OR(T1012="",T1012=0),"",(V1012-T1012)/T1012)</f>
        <v/>
      </c>
      <c r="X1012" s="7">
        <f>IF(COUNT(D1012:S1012)=0,"",INDEX($D$1:$S$1,MATCH(MIN(D1012:S1012),D1012:S1012,0)))</f>
        <v/>
      </c>
      <c r="Y1012" s="8" t="n">
        <v>7057.8</v>
      </c>
      <c r="Z1012" s="10" t="n">
        <v>1</v>
      </c>
    </row>
    <row r="1013">
      <c r="A1013" s="7" t="inlineStr">
        <is>
          <t>MAT-16-025</t>
        </is>
      </c>
      <c r="B1013" s="4" t="inlineStr">
        <is>
          <t>Grabador de video NVR 16 canales</t>
        </is>
      </c>
      <c r="C1013" s="7" t="inlineStr">
        <is>
          <t>unidad</t>
        </is>
      </c>
      <c r="D1013" s="8" t="n">
        <v>17077.39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>
        <f>IF(COUNT(D1013:S1013)=0,"",MIN(D1013:S1013))</f>
        <v/>
      </c>
      <c r="U1013" s="8">
        <f>IF(COUNT(D1013:S1013)=0,"",MEDIAN(D1013:S1013))</f>
        <v/>
      </c>
      <c r="V1013" s="8">
        <f>IF(COUNT(D1013:S1013)=0,"",MAX(D1013:S1013))</f>
        <v/>
      </c>
      <c r="W1013" s="9">
        <f>IF(OR(T1013="",T1013=0),"",(V1013-T1013)/T1013)</f>
        <v/>
      </c>
      <c r="X1013" s="7">
        <f>IF(COUNT(D1013:S1013)=0,"",INDEX($D$1:$S$1,MATCH(MIN(D1013:S1013),D1013:S1013,0)))</f>
        <v/>
      </c>
      <c r="Y1013" s="8" t="n">
        <v>17077.39</v>
      </c>
      <c r="Z1013" s="10" t="n">
        <v>1</v>
      </c>
    </row>
    <row r="1014">
      <c r="A1014" s="7" t="inlineStr">
        <is>
          <t>MAT-16-026</t>
        </is>
      </c>
      <c r="B1014" s="4" t="inlineStr">
        <is>
          <t>Grabador de video NVR 32 canales</t>
        </is>
      </c>
      <c r="C1014" s="7" t="inlineStr">
        <is>
          <t>unidad</t>
        </is>
      </c>
      <c r="D1014" s="8" t="n">
        <v>20990.22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>
        <f>IF(COUNT(D1014:S1014)=0,"",MIN(D1014:S1014))</f>
        <v/>
      </c>
      <c r="U1014" s="8">
        <f>IF(COUNT(D1014:S1014)=0,"",MEDIAN(D1014:S1014))</f>
        <v/>
      </c>
      <c r="V1014" s="8">
        <f>IF(COUNT(D1014:S1014)=0,"",MAX(D1014:S1014))</f>
        <v/>
      </c>
      <c r="W1014" s="9">
        <f>IF(OR(T1014="",T1014=0),"",(V1014-T1014)/T1014)</f>
        <v/>
      </c>
      <c r="X1014" s="7">
        <f>IF(COUNT(D1014:S1014)=0,"",INDEX($D$1:$S$1,MATCH(MIN(D1014:S1014),D1014:S1014,0)))</f>
        <v/>
      </c>
      <c r="Y1014" s="8" t="n">
        <v>20990.22</v>
      </c>
      <c r="Z1014" s="10" t="n">
        <v>1</v>
      </c>
    </row>
    <row r="1015">
      <c r="A1015" s="7" t="inlineStr">
        <is>
          <t>MAT-16-027</t>
        </is>
      </c>
      <c r="B1015" s="4" t="inlineStr">
        <is>
          <t>Grabador de video NVR 64 canales</t>
        </is>
      </c>
      <c r="C1015" s="7" t="inlineStr">
        <is>
          <t>unidad</t>
        </is>
      </c>
      <c r="D1015" s="8" t="n">
        <v>126684.93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>
        <f>IF(COUNT(D1015:S1015)=0,"",MIN(D1015:S1015))</f>
        <v/>
      </c>
      <c r="U1015" s="8">
        <f>IF(COUNT(D1015:S1015)=0,"",MEDIAN(D1015:S1015))</f>
        <v/>
      </c>
      <c r="V1015" s="8">
        <f>IF(COUNT(D1015:S1015)=0,"",MAX(D1015:S1015))</f>
        <v/>
      </c>
      <c r="W1015" s="9">
        <f>IF(OR(T1015="",T1015=0),"",(V1015-T1015)/T1015)</f>
        <v/>
      </c>
      <c r="X1015" s="7">
        <f>IF(COUNT(D1015:S1015)=0,"",INDEX($D$1:$S$1,MATCH(MIN(D1015:S1015),D1015:S1015,0)))</f>
        <v/>
      </c>
      <c r="Y1015" s="8" t="n">
        <v>126684.93</v>
      </c>
      <c r="Z1015" s="10" t="n">
        <v>1</v>
      </c>
    </row>
    <row r="1016">
      <c r="A1016" s="7" t="inlineStr">
        <is>
          <t>MAT-16-028</t>
        </is>
      </c>
      <c r="B1016" s="4" t="inlineStr">
        <is>
          <t>Grabador de video XVR 16 canales</t>
        </is>
      </c>
      <c r="C1016" s="7" t="inlineStr">
        <is>
          <t>unidad</t>
        </is>
      </c>
      <c r="D1016" s="8" t="n">
        <v>6079.41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>
        <f>IF(COUNT(D1016:S1016)=0,"",MIN(D1016:S1016))</f>
        <v/>
      </c>
      <c r="U1016" s="8">
        <f>IF(COUNT(D1016:S1016)=0,"",MEDIAN(D1016:S1016))</f>
        <v/>
      </c>
      <c r="V1016" s="8">
        <f>IF(COUNT(D1016:S1016)=0,"",MAX(D1016:S1016))</f>
        <v/>
      </c>
      <c r="W1016" s="9">
        <f>IF(OR(T1016="",T1016=0),"",(V1016-T1016)/T1016)</f>
        <v/>
      </c>
      <c r="X1016" s="7">
        <f>IF(COUNT(D1016:S1016)=0,"",INDEX($D$1:$S$1,MATCH(MIN(D1016:S1016),D1016:S1016,0)))</f>
        <v/>
      </c>
      <c r="Y1016" s="8" t="n">
        <v>6079.41</v>
      </c>
      <c r="Z1016" s="10" t="n">
        <v>1</v>
      </c>
    </row>
    <row r="1017">
      <c r="A1017" s="7" t="inlineStr">
        <is>
          <t>MAT-16-029</t>
        </is>
      </c>
      <c r="B1017" s="4" t="inlineStr">
        <is>
          <t>Disco duro para videovigilancia 1 TB</t>
        </is>
      </c>
      <c r="C1017" s="7" t="inlineStr">
        <is>
          <t>unidad</t>
        </is>
      </c>
      <c r="D1017" s="8" t="n">
        <v>7633.17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>
        <f>IF(COUNT(D1017:S1017)=0,"",MIN(D1017:S1017))</f>
        <v/>
      </c>
      <c r="U1017" s="8">
        <f>IF(COUNT(D1017:S1017)=0,"",MEDIAN(D1017:S1017))</f>
        <v/>
      </c>
      <c r="V1017" s="8">
        <f>IF(COUNT(D1017:S1017)=0,"",MAX(D1017:S1017))</f>
        <v/>
      </c>
      <c r="W1017" s="9">
        <f>IF(OR(T1017="",T1017=0),"",(V1017-T1017)/T1017)</f>
        <v/>
      </c>
      <c r="X1017" s="7">
        <f>IF(COUNT(D1017:S1017)=0,"",INDEX($D$1:$S$1,MATCH(MIN(D1017:S1017),D1017:S1017,0)))</f>
        <v/>
      </c>
      <c r="Y1017" s="8" t="n">
        <v>7633.17</v>
      </c>
      <c r="Z1017" s="10" t="n">
        <v>1</v>
      </c>
    </row>
    <row r="1018">
      <c r="A1018" s="7" t="inlineStr">
        <is>
          <t>MAT-16-030</t>
        </is>
      </c>
      <c r="B1018" s="4" t="inlineStr">
        <is>
          <t>Disco duro para videovigilancia 8 TB</t>
        </is>
      </c>
      <c r="C1018" s="7" t="inlineStr">
        <is>
          <t>unidad</t>
        </is>
      </c>
      <c r="D1018" s="8" t="n">
        <v>22243.38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>
        <f>IF(COUNT(D1018:S1018)=0,"",MIN(D1018:S1018))</f>
        <v/>
      </c>
      <c r="U1018" s="8">
        <f>IF(COUNT(D1018:S1018)=0,"",MEDIAN(D1018:S1018))</f>
        <v/>
      </c>
      <c r="V1018" s="8">
        <f>IF(COUNT(D1018:S1018)=0,"",MAX(D1018:S1018))</f>
        <v/>
      </c>
      <c r="W1018" s="9">
        <f>IF(OR(T1018="",T1018=0),"",(V1018-T1018)/T1018)</f>
        <v/>
      </c>
      <c r="X1018" s="7">
        <f>IF(COUNT(D1018:S1018)=0,"",INDEX($D$1:$S$1,MATCH(MIN(D1018:S1018),D1018:S1018,0)))</f>
        <v/>
      </c>
      <c r="Y1018" s="8" t="n">
        <v>22243.38</v>
      </c>
      <c r="Z1018" s="10" t="n">
        <v>1</v>
      </c>
    </row>
    <row r="1019">
      <c r="A1019" s="7" t="inlineStr">
        <is>
          <t>MAT-16-031</t>
        </is>
      </c>
      <c r="B1019" s="4" t="inlineStr">
        <is>
          <t>Monitor para CCTV</t>
        </is>
      </c>
      <c r="C1019" s="7" t="inlineStr">
        <is>
          <t>unidad</t>
        </is>
      </c>
      <c r="D1019" s="8" t="n">
        <v>2976.42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>
        <f>IF(COUNT(D1019:S1019)=0,"",MIN(D1019:S1019))</f>
        <v/>
      </c>
      <c r="U1019" s="8">
        <f>IF(COUNT(D1019:S1019)=0,"",MEDIAN(D1019:S1019))</f>
        <v/>
      </c>
      <c r="V1019" s="8">
        <f>IF(COUNT(D1019:S1019)=0,"",MAX(D1019:S1019))</f>
        <v/>
      </c>
      <c r="W1019" s="9">
        <f>IF(OR(T1019="",T1019=0),"",(V1019-T1019)/T1019)</f>
        <v/>
      </c>
      <c r="X1019" s="7">
        <f>IF(COUNT(D1019:S1019)=0,"",INDEX($D$1:$S$1,MATCH(MIN(D1019:S1019),D1019:S1019,0)))</f>
        <v/>
      </c>
      <c r="Y1019" s="8" t="n">
        <v>5019.51</v>
      </c>
      <c r="Z1019" s="10" t="n">
        <v>1</v>
      </c>
    </row>
    <row r="1020">
      <c r="A1020" s="7" t="inlineStr">
        <is>
          <t>MAT-16-032</t>
        </is>
      </c>
      <c r="B1020" s="4" t="inlineStr">
        <is>
          <t>Monitor para CCTV 3.5"</t>
        </is>
      </c>
      <c r="C1020" s="7" t="inlineStr">
        <is>
          <t>unidad</t>
        </is>
      </c>
      <c r="D1020" s="8" t="n">
        <v>4362.91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>
        <f>IF(COUNT(D1020:S1020)=0,"",MIN(D1020:S1020))</f>
        <v/>
      </c>
      <c r="U1020" s="8">
        <f>IF(COUNT(D1020:S1020)=0,"",MEDIAN(D1020:S1020))</f>
        <v/>
      </c>
      <c r="V1020" s="8">
        <f>IF(COUNT(D1020:S1020)=0,"",MAX(D1020:S1020))</f>
        <v/>
      </c>
      <c r="W1020" s="9">
        <f>IF(OR(T1020="",T1020=0),"",(V1020-T1020)/T1020)</f>
        <v/>
      </c>
      <c r="X1020" s="7">
        <f>IF(COUNT(D1020:S1020)=0,"",INDEX($D$1:$S$1,MATCH(MIN(D1020:S1020),D1020:S1020,0)))</f>
        <v/>
      </c>
      <c r="Y1020" s="8" t="n">
        <v>4362.91</v>
      </c>
      <c r="Z1020" s="10" t="n">
        <v>1</v>
      </c>
    </row>
    <row r="1021">
      <c r="A1021" s="7" t="inlineStr">
        <is>
          <t>MAT-16-033</t>
        </is>
      </c>
      <c r="B1021" s="4" t="inlineStr">
        <is>
          <t>Monitor para CCTV 32"</t>
        </is>
      </c>
      <c r="C1021" s="7" t="inlineStr">
        <is>
          <t>unidad</t>
        </is>
      </c>
      <c r="D1021" s="8" t="n">
        <v>15349.99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>
        <f>IF(COUNT(D1021:S1021)=0,"",MIN(D1021:S1021))</f>
        <v/>
      </c>
      <c r="U1021" s="8">
        <f>IF(COUNT(D1021:S1021)=0,"",MEDIAN(D1021:S1021))</f>
        <v/>
      </c>
      <c r="V1021" s="8">
        <f>IF(COUNT(D1021:S1021)=0,"",MAX(D1021:S1021))</f>
        <v/>
      </c>
      <c r="W1021" s="9">
        <f>IF(OR(T1021="",T1021=0),"",(V1021-T1021)/T1021)</f>
        <v/>
      </c>
      <c r="X1021" s="7">
        <f>IF(COUNT(D1021:S1021)=0,"",INDEX($D$1:$S$1,MATCH(MIN(D1021:S1021),D1021:S1021,0)))</f>
        <v/>
      </c>
      <c r="Y1021" s="8" t="n">
        <v>15349.99</v>
      </c>
      <c r="Z1021" s="10" t="n">
        <v>1</v>
      </c>
    </row>
    <row r="1022">
      <c r="A1022" s="7" t="inlineStr">
        <is>
          <t>MAT-16-034</t>
        </is>
      </c>
      <c r="B1022" s="4" t="inlineStr">
        <is>
          <t>Monitor para CCTV 4"</t>
        </is>
      </c>
      <c r="C1022" s="7" t="inlineStr">
        <is>
          <t>unidad</t>
        </is>
      </c>
      <c r="D1022" s="8" t="n">
        <v>2707.65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>
        <f>IF(COUNT(D1022:S1022)=0,"",MIN(D1022:S1022))</f>
        <v/>
      </c>
      <c r="U1022" s="8">
        <f>IF(COUNT(D1022:S1022)=0,"",MEDIAN(D1022:S1022))</f>
        <v/>
      </c>
      <c r="V1022" s="8">
        <f>IF(COUNT(D1022:S1022)=0,"",MAX(D1022:S1022))</f>
        <v/>
      </c>
      <c r="W1022" s="9">
        <f>IF(OR(T1022="",T1022=0),"",(V1022-T1022)/T1022)</f>
        <v/>
      </c>
      <c r="X1022" s="7">
        <f>IF(COUNT(D1022:S1022)=0,"",INDEX($D$1:$S$1,MATCH(MIN(D1022:S1022),D1022:S1022,0)))</f>
        <v/>
      </c>
      <c r="Y1022" s="8" t="n">
        <v>2707.65</v>
      </c>
      <c r="Z1022" s="10" t="n">
        <v>1</v>
      </c>
    </row>
    <row r="1023">
      <c r="A1023" s="7" t="inlineStr">
        <is>
          <t>MAT-16-035</t>
        </is>
      </c>
      <c r="B1023" s="4" t="inlineStr">
        <is>
          <t>Monitor para CCTV 7"</t>
        </is>
      </c>
      <c r="C1023" s="7" t="inlineStr">
        <is>
          <t>unidad</t>
        </is>
      </c>
      <c r="D1023" s="8" t="n">
        <v>5570.12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>
        <f>IF(COUNT(D1023:S1023)=0,"",MIN(D1023:S1023))</f>
        <v/>
      </c>
      <c r="U1023" s="8">
        <f>IF(COUNT(D1023:S1023)=0,"",MEDIAN(D1023:S1023))</f>
        <v/>
      </c>
      <c r="V1023" s="8">
        <f>IF(COUNT(D1023:S1023)=0,"",MAX(D1023:S1023))</f>
        <v/>
      </c>
      <c r="W1023" s="9">
        <f>IF(OR(T1023="",T1023=0),"",(V1023-T1023)/T1023)</f>
        <v/>
      </c>
      <c r="X1023" s="7">
        <f>IF(COUNT(D1023:S1023)=0,"",INDEX($D$1:$S$1,MATCH(MIN(D1023:S1023),D1023:S1023,0)))</f>
        <v/>
      </c>
      <c r="Y1023" s="8" t="n">
        <v>7823.52</v>
      </c>
      <c r="Z1023" s="10" t="n">
        <v>1</v>
      </c>
    </row>
    <row r="1024">
      <c r="A1024" s="7" t="inlineStr">
        <is>
          <t>MAT-16-036</t>
        </is>
      </c>
      <c r="B1024" s="4" t="inlineStr">
        <is>
          <t>Soporte o caja para cámara</t>
        </is>
      </c>
      <c r="C1024" s="7" t="inlineStr">
        <is>
          <t>unidad</t>
        </is>
      </c>
      <c r="D1024" s="8" t="n">
        <v>1012.91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>
        <f>IF(COUNT(D1024:S1024)=0,"",MIN(D1024:S1024))</f>
        <v/>
      </c>
      <c r="U1024" s="8">
        <f>IF(COUNT(D1024:S1024)=0,"",MEDIAN(D1024:S1024))</f>
        <v/>
      </c>
      <c r="V1024" s="8">
        <f>IF(COUNT(D1024:S1024)=0,"",MAX(D1024:S1024))</f>
        <v/>
      </c>
      <c r="W1024" s="9">
        <f>IF(OR(T1024="",T1024=0),"",(V1024-T1024)/T1024)</f>
        <v/>
      </c>
      <c r="X1024" s="7">
        <f>IF(COUNT(D1024:S1024)=0,"",INDEX($D$1:$S$1,MATCH(MIN(D1024:S1024),D1024:S1024,0)))</f>
        <v/>
      </c>
      <c r="Y1024" s="8" t="n">
        <v>1012.91</v>
      </c>
      <c r="Z1024" s="10" t="n">
        <v>1</v>
      </c>
    </row>
    <row r="1025">
      <c r="A1025" s="7" t="inlineStr">
        <is>
          <t>MAT-16-037</t>
        </is>
      </c>
      <c r="B1025" s="4" t="inlineStr">
        <is>
          <t>Video balun</t>
        </is>
      </c>
      <c r="C1025" s="7" t="inlineStr">
        <is>
          <t>unidad</t>
        </is>
      </c>
      <c r="D1025" s="8" t="n">
        <v>231.08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>
        <f>IF(COUNT(D1025:S1025)=0,"",MIN(D1025:S1025))</f>
        <v/>
      </c>
      <c r="U1025" s="8">
        <f>IF(COUNT(D1025:S1025)=0,"",MEDIAN(D1025:S1025))</f>
        <v/>
      </c>
      <c r="V1025" s="8">
        <f>IF(COUNT(D1025:S1025)=0,"",MAX(D1025:S1025))</f>
        <v/>
      </c>
      <c r="W1025" s="9">
        <f>IF(OR(T1025="",T1025=0),"",(V1025-T1025)/T1025)</f>
        <v/>
      </c>
      <c r="X1025" s="7">
        <f>IF(COUNT(D1025:S1025)=0,"",INDEX($D$1:$S$1,MATCH(MIN(D1025:S1025),D1025:S1025,0)))</f>
        <v/>
      </c>
      <c r="Y1025" s="8" t="n">
        <v>241.33</v>
      </c>
      <c r="Z1025" s="10" t="n">
        <v>1</v>
      </c>
    </row>
    <row r="1026">
      <c r="A1026" s="7" t="inlineStr">
        <is>
          <t>MAT-18-006</t>
        </is>
      </c>
      <c r="B1026" s="4" t="inlineStr">
        <is>
          <t>Asfalto en frío, 25 kg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>
        <v>1695</v>
      </c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>
        <f>IF(COUNT(D1026:S1026)=0,"",MIN(D1026:S1026))</f>
        <v/>
      </c>
      <c r="U1026" s="8">
        <f>IF(COUNT(D1026:S1026)=0,"",MEDIAN(D1026:S1026))</f>
        <v/>
      </c>
      <c r="V1026" s="8">
        <f>IF(COUNT(D1026:S1026)=0,"",MAX(D1026:S1026))</f>
        <v/>
      </c>
      <c r="W1026" s="9">
        <f>IF(OR(T1026="",T1026=0),"",(V1026-T1026)/T1026)</f>
        <v/>
      </c>
      <c r="X1026" s="7">
        <f>IF(COUNT(D1026:S1026)=0,"",INDEX($D$1:$S$1,MATCH(MIN(D1026:S1026),D1026:S1026,0)))</f>
        <v/>
      </c>
      <c r="Y1026" s="8" t="n">
        <v>1695</v>
      </c>
      <c r="Z1026" s="10" t="n">
        <v>1</v>
      </c>
    </row>
    <row r="1027">
      <c r="A1027" s="7" t="inlineStr">
        <is>
          <t>MAT-19-001</t>
        </is>
      </c>
      <c r="B1027" s="4" t="inlineStr">
        <is>
          <t>Perfil cuadrado negro 3/4" x 3/4" x 20 pies, pared 1.2 mm</t>
        </is>
      </c>
      <c r="C1027" s="7" t="inlineStr">
        <is>
          <t>unidad</t>
        </is>
      </c>
      <c r="D1027" s="8" t="n">
        <v>262.29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>
        <f>IF(COUNT(D1027:S1027)=0,"",MIN(D1027:S1027))</f>
        <v/>
      </c>
      <c r="U1027" s="8">
        <f>IF(COUNT(D1027:S1027)=0,"",MEDIAN(D1027:S1027))</f>
        <v/>
      </c>
      <c r="V1027" s="8">
        <f>IF(COUNT(D1027:S1027)=0,"",MAX(D1027:S1027))</f>
        <v/>
      </c>
      <c r="W1027" s="9">
        <f>IF(OR(T1027="",T1027=0),"",(V1027-T1027)/T1027)</f>
        <v/>
      </c>
      <c r="X1027" s="7">
        <f>IF(COUNT(D1027:S1027)=0,"",INDEX($D$1:$S$1,MATCH(MIN(D1027:S1027),D1027:S1027,0)))</f>
        <v/>
      </c>
      <c r="Y1027" s="8" t="n">
        <v>262.29</v>
      </c>
      <c r="Z1027" s="10" t="n">
        <v>1</v>
      </c>
    </row>
    <row r="1028">
      <c r="A1028" s="7" t="inlineStr">
        <is>
          <t>MAT-19-002</t>
        </is>
      </c>
      <c r="B1028" s="4" t="inlineStr">
        <is>
          <t>Perfil cuadrado negro 3/4" x 3/4" x 20 pies, pared 1.6 mm</t>
        </is>
      </c>
      <c r="C1028" s="7" t="inlineStr">
        <is>
          <t>unidad</t>
        </is>
      </c>
      <c r="D1028" s="8" t="n">
        <v>321.76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>
        <v>316.7</v>
      </c>
      <c r="N1028" s="8" t="n"/>
      <c r="O1028" s="8" t="n"/>
      <c r="P1028" s="8" t="n"/>
      <c r="Q1028" s="8" t="n"/>
      <c r="R1028" s="8" t="n"/>
      <c r="S1028" s="8" t="n"/>
      <c r="T1028" s="8">
        <f>IF(COUNT(D1028:S1028)=0,"",MIN(D1028:S1028))</f>
        <v/>
      </c>
      <c r="U1028" s="8">
        <f>IF(COUNT(D1028:S1028)=0,"",MEDIAN(D1028:S1028))</f>
        <v/>
      </c>
      <c r="V1028" s="8">
        <f>IF(COUNT(D1028:S1028)=0,"",MAX(D1028:S1028))</f>
        <v/>
      </c>
      <c r="W1028" s="9">
        <f>IF(OR(T1028="",T1028=0),"",(V1028-T1028)/T1028)</f>
        <v/>
      </c>
      <c r="X1028" s="7">
        <f>IF(COUNT(D1028:S1028)=0,"",INDEX($D$1:$S$1,MATCH(MIN(D1028:S1028),D1028:S1028,0)))</f>
        <v/>
      </c>
      <c r="Y1028" s="8" t="n">
        <v>347.73</v>
      </c>
      <c r="Z1028" s="10" t="n">
        <v>2</v>
      </c>
    </row>
    <row r="1029">
      <c r="A1029" s="7" t="inlineStr">
        <is>
          <t>MAT-19-003</t>
        </is>
      </c>
      <c r="B1029" s="4" t="inlineStr">
        <is>
          <t>Perfil cuadrado negro 1" x 1" x 20 pies, pared 1.2 mm</t>
        </is>
      </c>
      <c r="C1029" s="7" t="inlineStr">
        <is>
          <t>unidad</t>
        </is>
      </c>
      <c r="D1029" s="8" t="n">
        <v>355.58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348.3</v>
      </c>
      <c r="N1029" s="8" t="n"/>
      <c r="O1029" s="8" t="n"/>
      <c r="P1029" s="8" t="n"/>
      <c r="Q1029" s="8" t="n"/>
      <c r="R1029" s="8" t="n"/>
      <c r="S1029" s="8" t="n"/>
      <c r="T1029" s="8">
        <f>IF(COUNT(D1029:S1029)=0,"",MIN(D1029:S1029))</f>
        <v/>
      </c>
      <c r="U1029" s="8">
        <f>IF(COUNT(D1029:S1029)=0,"",MEDIAN(D1029:S1029))</f>
        <v/>
      </c>
      <c r="V1029" s="8">
        <f>IF(COUNT(D1029:S1029)=0,"",MAX(D1029:S1029))</f>
        <v/>
      </c>
      <c r="W1029" s="9">
        <f>IF(OR(T1029="",T1029=0),"",(V1029-T1029)/T1029)</f>
        <v/>
      </c>
      <c r="X1029" s="7">
        <f>IF(COUNT(D1029:S1029)=0,"",INDEX($D$1:$S$1,MATCH(MIN(D1029:S1029),D1029:S1029,0)))</f>
        <v/>
      </c>
      <c r="Y1029" s="8" t="n">
        <v>383.29</v>
      </c>
      <c r="Z1029" s="10" t="n">
        <v>2</v>
      </c>
    </row>
    <row r="1030">
      <c r="A1030" s="7" t="inlineStr">
        <is>
          <t>MAT-19-004</t>
        </is>
      </c>
      <c r="B1030" s="4" t="inlineStr">
        <is>
          <t>Perfil cuadrado negro 1 1/4" x 1 1/4" x 20 pies, pared 1.2 mm</t>
        </is>
      </c>
      <c r="C1030" s="7" t="inlineStr">
        <is>
          <t>unidad</t>
        </is>
      </c>
      <c r="D1030" s="8" t="n">
        <v>510.43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>
        <f>IF(COUNT(D1030:S1030)=0,"",MIN(D1030:S1030))</f>
        <v/>
      </c>
      <c r="U1030" s="8">
        <f>IF(COUNT(D1030:S1030)=0,"",MEDIAN(D1030:S1030))</f>
        <v/>
      </c>
      <c r="V1030" s="8">
        <f>IF(COUNT(D1030:S1030)=0,"",MAX(D1030:S1030))</f>
        <v/>
      </c>
      <c r="W1030" s="9">
        <f>IF(OR(T1030="",T1030=0),"",(V1030-T1030)/T1030)</f>
        <v/>
      </c>
      <c r="X1030" s="7">
        <f>IF(COUNT(D1030:S1030)=0,"",INDEX($D$1:$S$1,MATCH(MIN(D1030:S1030),D1030:S1030,0)))</f>
        <v/>
      </c>
      <c r="Y1030" s="8" t="n">
        <v>510.43</v>
      </c>
      <c r="Z1030" s="10" t="n">
        <v>1</v>
      </c>
    </row>
    <row r="1031">
      <c r="A1031" s="7" t="inlineStr">
        <is>
          <t>MAT-19-005</t>
        </is>
      </c>
      <c r="B1031" s="4" t="inlineStr">
        <is>
          <t>Perfil cuadrado negro 1 1/4" x 1 1/4" x 20 pies, pared 1.6 mm</t>
        </is>
      </c>
      <c r="C1031" s="7" t="inlineStr">
        <is>
          <t>unidad</t>
        </is>
      </c>
      <c r="D1031" s="8" t="n">
        <v>556.02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>
        <f>IF(COUNT(D1031:S1031)=0,"",MIN(D1031:S1031))</f>
        <v/>
      </c>
      <c r="U1031" s="8">
        <f>IF(COUNT(D1031:S1031)=0,"",MEDIAN(D1031:S1031))</f>
        <v/>
      </c>
      <c r="V1031" s="8">
        <f>IF(COUNT(D1031:S1031)=0,"",MAX(D1031:S1031))</f>
        <v/>
      </c>
      <c r="W1031" s="9">
        <f>IF(OR(T1031="",T1031=0),"",(V1031-T1031)/T1031)</f>
        <v/>
      </c>
      <c r="X1031" s="7">
        <f>IF(COUNT(D1031:S1031)=0,"",INDEX($D$1:$S$1,MATCH(MIN(D1031:S1031),D1031:S1031,0)))</f>
        <v/>
      </c>
      <c r="Y1031" s="8" t="n">
        <v>556.02</v>
      </c>
      <c r="Z1031" s="10" t="n">
        <v>1</v>
      </c>
    </row>
    <row r="1032">
      <c r="A1032" s="7" t="inlineStr">
        <is>
          <t>MAT-19-006</t>
        </is>
      </c>
      <c r="B1032" s="4" t="inlineStr">
        <is>
          <t>Perfil cuadrado negro 1 1/2" x 1 1/2" x 20 pies, pared 1.2 mm</t>
        </is>
      </c>
      <c r="C1032" s="7" t="inlineStr">
        <is>
          <t>unidad</t>
        </is>
      </c>
      <c r="D1032" s="8" t="n">
        <v>542.15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531.36</v>
      </c>
      <c r="N1032" s="8" t="n"/>
      <c r="O1032" s="8" t="n"/>
      <c r="P1032" s="8" t="n"/>
      <c r="Q1032" s="8" t="n"/>
      <c r="R1032" s="8" t="n"/>
      <c r="S1032" s="8" t="n"/>
      <c r="T1032" s="8">
        <f>IF(COUNT(D1032:S1032)=0,"",MIN(D1032:S1032))</f>
        <v/>
      </c>
      <c r="U1032" s="8">
        <f>IF(COUNT(D1032:S1032)=0,"",MEDIAN(D1032:S1032))</f>
        <v/>
      </c>
      <c r="V1032" s="8">
        <f>IF(COUNT(D1032:S1032)=0,"",MAX(D1032:S1032))</f>
        <v/>
      </c>
      <c r="W1032" s="9">
        <f>IF(OR(T1032="",T1032=0),"",(V1032-T1032)/T1032)</f>
        <v/>
      </c>
      <c r="X1032" s="7">
        <f>IF(COUNT(D1032:S1032)=0,"",INDEX($D$1:$S$1,MATCH(MIN(D1032:S1032),D1032:S1032,0)))</f>
        <v/>
      </c>
      <c r="Y1032" s="8" t="n">
        <v>584.58</v>
      </c>
      <c r="Z1032" s="10" t="n">
        <v>2</v>
      </c>
    </row>
    <row r="1033">
      <c r="A1033" s="7" t="inlineStr">
        <is>
          <t>MAT-19-007</t>
        </is>
      </c>
      <c r="B1033" s="4" t="inlineStr">
        <is>
          <t>Perfil cuadrado negro 1 1/2" x 1 1/2" x 20 pies, pared 1.6 mm</t>
        </is>
      </c>
      <c r="C1033" s="7" t="inlineStr">
        <is>
          <t>unidad</t>
        </is>
      </c>
      <c r="D1033" s="8" t="n">
        <v>647.03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>
        <v>667</v>
      </c>
      <c r="N1033" s="8" t="n"/>
      <c r="O1033" s="8" t="n"/>
      <c r="P1033" s="8" t="n"/>
      <c r="Q1033" s="8" t="n"/>
      <c r="R1033" s="8" t="n"/>
      <c r="S1033" s="8" t="n"/>
      <c r="T1033" s="8">
        <f>IF(COUNT(D1033:S1033)=0,"",MIN(D1033:S1033))</f>
        <v/>
      </c>
      <c r="U1033" s="8">
        <f>IF(COUNT(D1033:S1033)=0,"",MEDIAN(D1033:S1033))</f>
        <v/>
      </c>
      <c r="V1033" s="8">
        <f>IF(COUNT(D1033:S1033)=0,"",MAX(D1033:S1033))</f>
        <v/>
      </c>
      <c r="W1033" s="9">
        <f>IF(OR(T1033="",T1033=0),"",(V1033-T1033)/T1033)</f>
        <v/>
      </c>
      <c r="X1033" s="7">
        <f>IF(COUNT(D1033:S1033)=0,"",INDEX($D$1:$S$1,MATCH(MIN(D1033:S1033),D1033:S1033,0)))</f>
        <v/>
      </c>
      <c r="Y1033" s="8" t="n">
        <v>717.05</v>
      </c>
      <c r="Z1033" s="10" t="n">
        <v>2</v>
      </c>
    </row>
    <row r="1034">
      <c r="A1034" s="7" t="inlineStr">
        <is>
          <t>MAT-19-008</t>
        </is>
      </c>
      <c r="B1034" s="4" t="inlineStr">
        <is>
          <t>Perfil cuadrado negro 2" x 2" x 20 pies, pared 1.6 mm</t>
        </is>
      </c>
      <c r="C1034" s="7" t="inlineStr">
        <is>
          <t>unidad</t>
        </is>
      </c>
      <c r="D1034" s="8" t="n">
        <v>867.64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859</v>
      </c>
      <c r="N1034" s="8" t="n"/>
      <c r="O1034" s="8" t="n"/>
      <c r="P1034" s="8" t="n"/>
      <c r="Q1034" s="8" t="n"/>
      <c r="R1034" s="8" t="n"/>
      <c r="S1034" s="8" t="n"/>
      <c r="T1034" s="8">
        <f>IF(COUNT(D1034:S1034)=0,"",MIN(D1034:S1034))</f>
        <v/>
      </c>
      <c r="U1034" s="8">
        <f>IF(COUNT(D1034:S1034)=0,"",MEDIAN(D1034:S1034))</f>
        <v/>
      </c>
      <c r="V1034" s="8">
        <f>IF(COUNT(D1034:S1034)=0,"",MAX(D1034:S1034))</f>
        <v/>
      </c>
      <c r="W1034" s="9">
        <f>IF(OR(T1034="",T1034=0),"",(V1034-T1034)/T1034)</f>
        <v/>
      </c>
      <c r="X1034" s="7">
        <f>IF(COUNT(D1034:S1034)=0,"",INDEX($D$1:$S$1,MATCH(MIN(D1034:S1034),D1034:S1034,0)))</f>
        <v/>
      </c>
      <c r="Y1034" s="8" t="n">
        <v>940.63</v>
      </c>
      <c r="Z1034" s="10" t="n">
        <v>2</v>
      </c>
    </row>
    <row r="1035">
      <c r="A1035" s="7" t="inlineStr">
        <is>
          <t>MAT-19-009</t>
        </is>
      </c>
      <c r="B1035" s="4" t="inlineStr">
        <is>
          <t>Perfil cuadrado negro 3" x 3" x 20 pies, pared 1.6 mm</t>
        </is>
      </c>
      <c r="C1035" s="7" t="inlineStr">
        <is>
          <t>unidad</t>
        </is>
      </c>
      <c r="D1035" s="8" t="n">
        <v>1319.81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1378</v>
      </c>
      <c r="N1035" s="8" t="n"/>
      <c r="O1035" s="8" t="n"/>
      <c r="P1035" s="8" t="n"/>
      <c r="Q1035" s="8" t="n"/>
      <c r="R1035" s="8" t="n"/>
      <c r="S1035" s="8" t="n"/>
      <c r="T1035" s="8">
        <f>IF(COUNT(D1035:S1035)=0,"",MIN(D1035:S1035))</f>
        <v/>
      </c>
      <c r="U1035" s="8">
        <f>IF(COUNT(D1035:S1035)=0,"",MEDIAN(D1035:S1035))</f>
        <v/>
      </c>
      <c r="V1035" s="8">
        <f>IF(COUNT(D1035:S1035)=0,"",MAX(D1035:S1035))</f>
        <v/>
      </c>
      <c r="W1035" s="9">
        <f>IF(OR(T1035="",T1035=0),"",(V1035-T1035)/T1035)</f>
        <v/>
      </c>
      <c r="X1035" s="7">
        <f>IF(COUNT(D1035:S1035)=0,"",INDEX($D$1:$S$1,MATCH(MIN(D1035:S1035),D1035:S1035,0)))</f>
        <v/>
      </c>
      <c r="Y1035" s="8" t="n">
        <v>1472.93</v>
      </c>
      <c r="Z1035" s="10" t="n">
        <v>2</v>
      </c>
    </row>
    <row r="1036">
      <c r="A1036" s="7" t="inlineStr">
        <is>
          <t>MAT-19-010</t>
        </is>
      </c>
      <c r="B1036" s="4" t="inlineStr">
        <is>
          <t>Perfil cuadrado galvanizado 3/4" x 3/4" x 20 pies, pared 1.2 mm</t>
        </is>
      </c>
      <c r="C1036" s="7" t="inlineStr">
        <is>
          <t>unidad</t>
        </is>
      </c>
      <c r="D1036" s="8" t="n">
        <v>316.11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>
        <f>IF(COUNT(D1036:S1036)=0,"",MIN(D1036:S1036))</f>
        <v/>
      </c>
      <c r="U1036" s="8">
        <f>IF(COUNT(D1036:S1036)=0,"",MEDIAN(D1036:S1036))</f>
        <v/>
      </c>
      <c r="V1036" s="8">
        <f>IF(COUNT(D1036:S1036)=0,"",MAX(D1036:S1036))</f>
        <v/>
      </c>
      <c r="W1036" s="9">
        <f>IF(OR(T1036="",T1036=0),"",(V1036-T1036)/T1036)</f>
        <v/>
      </c>
      <c r="X1036" s="7">
        <f>IF(COUNT(D1036:S1036)=0,"",INDEX($D$1:$S$1,MATCH(MIN(D1036:S1036),D1036:S1036,0)))</f>
        <v/>
      </c>
      <c r="Y1036" s="8" t="n">
        <v>316.11</v>
      </c>
      <c r="Z1036" s="10" t="n">
        <v>1</v>
      </c>
    </row>
    <row r="1037">
      <c r="A1037" s="7" t="inlineStr">
        <is>
          <t>MAT-19-011</t>
        </is>
      </c>
      <c r="B1037" s="4" t="inlineStr">
        <is>
          <t>Perfil cuadrado galvanizado 1" x 1" x 20 pies, pared 1.2 mm</t>
        </is>
      </c>
      <c r="C1037" s="7" t="inlineStr">
        <is>
          <t>unidad</t>
        </is>
      </c>
      <c r="D1037" s="8" t="n">
        <v>423.74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434</v>
      </c>
      <c r="N1037" s="8" t="n"/>
      <c r="O1037" s="8" t="n"/>
      <c r="P1037" s="8" t="n"/>
      <c r="Q1037" s="8" t="n"/>
      <c r="R1037" s="8" t="n"/>
      <c r="S1037" s="8" t="n"/>
      <c r="T1037" s="8">
        <f>IF(COUNT(D1037:S1037)=0,"",MIN(D1037:S1037))</f>
        <v/>
      </c>
      <c r="U1037" s="8">
        <f>IF(COUNT(D1037:S1037)=0,"",MEDIAN(D1037:S1037))</f>
        <v/>
      </c>
      <c r="V1037" s="8">
        <f>IF(COUNT(D1037:S1037)=0,"",MAX(D1037:S1037))</f>
        <v/>
      </c>
      <c r="W1037" s="9">
        <f>IF(OR(T1037="",T1037=0),"",(V1037-T1037)/T1037)</f>
        <v/>
      </c>
      <c r="X1037" s="7">
        <f>IF(COUNT(D1037:S1037)=0,"",INDEX($D$1:$S$1,MATCH(MIN(D1037:S1037),D1037:S1037,0)))</f>
        <v/>
      </c>
      <c r="Y1037" s="8" t="n">
        <v>467.93</v>
      </c>
      <c r="Z1037" s="10" t="n">
        <v>2</v>
      </c>
    </row>
    <row r="1038">
      <c r="A1038" s="7" t="inlineStr">
        <is>
          <t>MAT-19-012</t>
        </is>
      </c>
      <c r="B1038" s="4" t="inlineStr">
        <is>
          <t>Perfil cuadrado galvanizado 1" x 1" x 20 pies, pared 1.6 mm</t>
        </is>
      </c>
      <c r="C1038" s="7" t="inlineStr">
        <is>
          <t>unidad</t>
        </is>
      </c>
      <c r="D1038" s="8" t="n">
        <v>539.74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561</v>
      </c>
      <c r="N1038" s="8" t="n"/>
      <c r="O1038" s="8" t="n"/>
      <c r="P1038" s="8" t="n"/>
      <c r="Q1038" s="8" t="n"/>
      <c r="R1038" s="8" t="n"/>
      <c r="S1038" s="8" t="n"/>
      <c r="T1038" s="8">
        <f>IF(COUNT(D1038:S1038)=0,"",MIN(D1038:S1038))</f>
        <v/>
      </c>
      <c r="U1038" s="8">
        <f>IF(COUNT(D1038:S1038)=0,"",MEDIAN(D1038:S1038))</f>
        <v/>
      </c>
      <c r="V1038" s="8">
        <f>IF(COUNT(D1038:S1038)=0,"",MAX(D1038:S1038))</f>
        <v/>
      </c>
      <c r="W1038" s="9">
        <f>IF(OR(T1038="",T1038=0),"",(V1038-T1038)/T1038)</f>
        <v/>
      </c>
      <c r="X1038" s="7">
        <f>IF(COUNT(D1038:S1038)=0,"",INDEX($D$1:$S$1,MATCH(MIN(D1038:S1038),D1038:S1038,0)))</f>
        <v/>
      </c>
      <c r="Y1038" s="8" t="n">
        <v>600.86</v>
      </c>
      <c r="Z1038" s="10" t="n">
        <v>2</v>
      </c>
    </row>
    <row r="1039">
      <c r="A1039" s="7" t="inlineStr">
        <is>
          <t>MAT-19-013</t>
        </is>
      </c>
      <c r="B1039" s="4" t="inlineStr">
        <is>
          <t>Perfil cuadrado galvanizado 1 1/4" x 1 1/4" x 20 pies, pared 1.5 mm</t>
        </is>
      </c>
      <c r="C1039" s="7" t="inlineStr">
        <is>
          <t>unidad</t>
        </is>
      </c>
      <c r="D1039" s="8" t="n">
        <v>712.04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>
        <f>IF(COUNT(D1039:S1039)=0,"",MIN(D1039:S1039))</f>
        <v/>
      </c>
      <c r="U1039" s="8">
        <f>IF(COUNT(D1039:S1039)=0,"",MEDIAN(D1039:S1039))</f>
        <v/>
      </c>
      <c r="V1039" s="8">
        <f>IF(COUNT(D1039:S1039)=0,"",MAX(D1039:S1039))</f>
        <v/>
      </c>
      <c r="W1039" s="9">
        <f>IF(OR(T1039="",T1039=0),"",(V1039-T1039)/T1039)</f>
        <v/>
      </c>
      <c r="X1039" s="7">
        <f>IF(COUNT(D1039:S1039)=0,"",INDEX($D$1:$S$1,MATCH(MIN(D1039:S1039),D1039:S1039,0)))</f>
        <v/>
      </c>
      <c r="Y1039" s="8" t="n">
        <v>712.04</v>
      </c>
      <c r="Z1039" s="10" t="n">
        <v>1</v>
      </c>
    </row>
    <row r="1040">
      <c r="A1040" s="7" t="inlineStr">
        <is>
          <t>MAT-19-014</t>
        </is>
      </c>
      <c r="B1040" s="4" t="inlineStr">
        <is>
          <t>Perfil cuadrado galvanizado 1 1/2" x 1 1/2" x 20 pies, pared 1.2 mm</t>
        </is>
      </c>
      <c r="C1040" s="7" t="inlineStr">
        <is>
          <t>unidad</t>
        </is>
      </c>
      <c r="D1040" s="8" t="n">
        <v>648.6799999999999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642.8</v>
      </c>
      <c r="N1040" s="8" t="n"/>
      <c r="O1040" s="8" t="n"/>
      <c r="P1040" s="8" t="n"/>
      <c r="Q1040" s="8" t="n"/>
      <c r="R1040" s="8" t="n"/>
      <c r="S1040" s="8" t="n"/>
      <c r="T1040" s="8">
        <f>IF(COUNT(D1040:S1040)=0,"",MIN(D1040:S1040))</f>
        <v/>
      </c>
      <c r="U1040" s="8">
        <f>IF(COUNT(D1040:S1040)=0,"",MEDIAN(D1040:S1040))</f>
        <v/>
      </c>
      <c r="V1040" s="8">
        <f>IF(COUNT(D1040:S1040)=0,"",MAX(D1040:S1040))</f>
        <v/>
      </c>
      <c r="W1040" s="9">
        <f>IF(OR(T1040="",T1040=0),"",(V1040-T1040)/T1040)</f>
        <v/>
      </c>
      <c r="X1040" s="7">
        <f>IF(COUNT(D1040:S1040)=0,"",INDEX($D$1:$S$1,MATCH(MIN(D1040:S1040),D1040:S1040,0)))</f>
        <v/>
      </c>
      <c r="Y1040" s="8" t="n">
        <v>703.59</v>
      </c>
      <c r="Z1040" s="10" t="n">
        <v>2</v>
      </c>
    </row>
    <row r="1041">
      <c r="A1041" s="7" t="inlineStr">
        <is>
          <t>MAT-19-015</t>
        </is>
      </c>
      <c r="B1041" s="4" t="inlineStr">
        <is>
          <t>Perfil cuadrado galvanizado 1 1/2" x 1 1/2" x 20 pies, pared 1.6 mm</t>
        </is>
      </c>
      <c r="C1041" s="7" t="inlineStr">
        <is>
          <t>unidad</t>
        </is>
      </c>
      <c r="D1041" s="8" t="n">
        <v>814.53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>
        <v>810</v>
      </c>
      <c r="N1041" s="8" t="n"/>
      <c r="O1041" s="8" t="n"/>
      <c r="P1041" s="8" t="n"/>
      <c r="Q1041" s="8" t="n"/>
      <c r="R1041" s="8" t="n"/>
      <c r="S1041" s="8" t="n"/>
      <c r="T1041" s="8">
        <f>IF(COUNT(D1041:S1041)=0,"",MIN(D1041:S1041))</f>
        <v/>
      </c>
      <c r="U1041" s="8">
        <f>IF(COUNT(D1041:S1041)=0,"",MEDIAN(D1041:S1041))</f>
        <v/>
      </c>
      <c r="V1041" s="8">
        <f>IF(COUNT(D1041:S1041)=0,"",MAX(D1041:S1041))</f>
        <v/>
      </c>
      <c r="W1041" s="9">
        <f>IF(OR(T1041="",T1041=0),"",(V1041-T1041)/T1041)</f>
        <v/>
      </c>
      <c r="X1041" s="7">
        <f>IF(COUNT(D1041:S1041)=0,"",INDEX($D$1:$S$1,MATCH(MIN(D1041:S1041),D1041:S1041,0)))</f>
        <v/>
      </c>
      <c r="Y1041" s="8" t="n">
        <v>885.17</v>
      </c>
      <c r="Z1041" s="10" t="n">
        <v>2</v>
      </c>
    </row>
    <row r="1042">
      <c r="A1042" s="7" t="inlineStr">
        <is>
          <t>MAT-19-016</t>
        </is>
      </c>
      <c r="B1042" s="4" t="inlineStr">
        <is>
          <t>Perfil cuadrado galvanizado 2" x 2" x 20 pies, pared 1.6 mm</t>
        </is>
      </c>
      <c r="C1042" s="7" t="inlineStr">
        <is>
          <t>unidad</t>
        </is>
      </c>
      <c r="D1042" s="8" t="n">
        <v>1108.57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>
        <f>IF(COUNT(D1042:S1042)=0,"",MIN(D1042:S1042))</f>
        <v/>
      </c>
      <c r="U1042" s="8">
        <f>IF(COUNT(D1042:S1042)=0,"",MEDIAN(D1042:S1042))</f>
        <v/>
      </c>
      <c r="V1042" s="8">
        <f>IF(COUNT(D1042:S1042)=0,"",MAX(D1042:S1042))</f>
        <v/>
      </c>
      <c r="W1042" s="9">
        <f>IF(OR(T1042="",T1042=0),"",(V1042-T1042)/T1042)</f>
        <v/>
      </c>
      <c r="X1042" s="7">
        <f>IF(COUNT(D1042:S1042)=0,"",INDEX($D$1:$S$1,MATCH(MIN(D1042:S1042),D1042:S1042,0)))</f>
        <v/>
      </c>
      <c r="Y1042" s="8" t="n">
        <v>1108.57</v>
      </c>
      <c r="Z1042" s="10" t="n">
        <v>1</v>
      </c>
    </row>
    <row r="1043">
      <c r="A1043" s="7" t="inlineStr">
        <is>
          <t>MAT-19-017</t>
        </is>
      </c>
      <c r="B1043" s="4" t="inlineStr">
        <is>
          <t>Perfil cuadrado galvanizado 3" x 3" x 20 pies, pared 1.5 mm</t>
        </is>
      </c>
      <c r="C1043" s="7" t="inlineStr">
        <is>
          <t>unidad</t>
        </is>
      </c>
      <c r="D1043" s="8" t="n">
        <v>1707.91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>
        <v>1726</v>
      </c>
      <c r="N1043" s="8" t="n"/>
      <c r="O1043" s="8" t="n"/>
      <c r="P1043" s="8" t="n"/>
      <c r="Q1043" s="8" t="n"/>
      <c r="R1043" s="8" t="n"/>
      <c r="S1043" s="8" t="n"/>
      <c r="T1043" s="8">
        <f>IF(COUNT(D1043:S1043)=0,"",MIN(D1043:S1043))</f>
        <v/>
      </c>
      <c r="U1043" s="8">
        <f>IF(COUNT(D1043:S1043)=0,"",MEDIAN(D1043:S1043))</f>
        <v/>
      </c>
      <c r="V1043" s="8">
        <f>IF(COUNT(D1043:S1043)=0,"",MAX(D1043:S1043))</f>
        <v/>
      </c>
      <c r="W1043" s="9">
        <f>IF(OR(T1043="",T1043=0),"",(V1043-T1043)/T1043)</f>
        <v/>
      </c>
      <c r="X1043" s="7">
        <f>IF(COUNT(D1043:S1043)=0,"",INDEX($D$1:$S$1,MATCH(MIN(D1043:S1043),D1043:S1043,0)))</f>
        <v/>
      </c>
      <c r="Y1043" s="8" t="n">
        <v>1872.3</v>
      </c>
      <c r="Z1043" s="10" t="n">
        <v>2</v>
      </c>
    </row>
    <row r="1044">
      <c r="A1044" s="7" t="inlineStr">
        <is>
          <t>MAT-19-018</t>
        </is>
      </c>
      <c r="B1044" s="4" t="inlineStr">
        <is>
          <t>Perfil rectangular negro 3/4" x 1 1/2" x 20 pies, pared 1.2 mm</t>
        </is>
      </c>
      <c r="C1044" s="7" t="inlineStr">
        <is>
          <t>unidad</t>
        </is>
      </c>
      <c r="D1044" s="8" t="n">
        <v>402.51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>
        <f>IF(COUNT(D1044:S1044)=0,"",MIN(D1044:S1044))</f>
        <v/>
      </c>
      <c r="U1044" s="8">
        <f>IF(COUNT(D1044:S1044)=0,"",MEDIAN(D1044:S1044))</f>
        <v/>
      </c>
      <c r="V1044" s="8">
        <f>IF(COUNT(D1044:S1044)=0,"",MAX(D1044:S1044))</f>
        <v/>
      </c>
      <c r="W1044" s="9">
        <f>IF(OR(T1044="",T1044=0),"",(V1044-T1044)/T1044)</f>
        <v/>
      </c>
      <c r="X1044" s="7">
        <f>IF(COUNT(D1044:S1044)=0,"",INDEX($D$1:$S$1,MATCH(MIN(D1044:S1044),D1044:S1044,0)))</f>
        <v/>
      </c>
      <c r="Y1044" s="8" t="n">
        <v>402.51</v>
      </c>
      <c r="Z1044" s="10" t="n">
        <v>1</v>
      </c>
    </row>
    <row r="1045">
      <c r="A1045" s="7" t="inlineStr">
        <is>
          <t>MAT-19-019</t>
        </is>
      </c>
      <c r="B1045" s="4" t="inlineStr">
        <is>
          <t>Perfil rectangular negro 3/4" x 1 1/2" x 20 pies, pared 1.6 mm</t>
        </is>
      </c>
      <c r="C1045" s="7" t="inlineStr">
        <is>
          <t>unidad</t>
        </is>
      </c>
      <c r="D1045" s="8" t="n">
        <v>472.19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>
        <f>IF(COUNT(D1045:S1045)=0,"",MIN(D1045:S1045))</f>
        <v/>
      </c>
      <c r="U1045" s="8">
        <f>IF(COUNT(D1045:S1045)=0,"",MEDIAN(D1045:S1045))</f>
        <v/>
      </c>
      <c r="V1045" s="8">
        <f>IF(COUNT(D1045:S1045)=0,"",MAX(D1045:S1045))</f>
        <v/>
      </c>
      <c r="W1045" s="9">
        <f>IF(OR(T1045="",T1045=0),"",(V1045-T1045)/T1045)</f>
        <v/>
      </c>
      <c r="X1045" s="7">
        <f>IF(COUNT(D1045:S1045)=0,"",INDEX($D$1:$S$1,MATCH(MIN(D1045:S1045),D1045:S1045,0)))</f>
        <v/>
      </c>
      <c r="Y1045" s="8" t="n">
        <v>472.19</v>
      </c>
      <c r="Z1045" s="10" t="n">
        <v>1</v>
      </c>
    </row>
    <row r="1046">
      <c r="A1046" s="7" t="inlineStr">
        <is>
          <t>MAT-19-020</t>
        </is>
      </c>
      <c r="B1046" s="4" t="inlineStr">
        <is>
          <t>Perfil rectangular negro 2" x 1" x 20 pies, pared 1.2 mm</t>
        </is>
      </c>
      <c r="C1046" s="7" t="inlineStr">
        <is>
          <t>unidad</t>
        </is>
      </c>
      <c r="D1046" s="8" t="n">
        <v>542.15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>
        <f>IF(COUNT(D1046:S1046)=0,"",MIN(D1046:S1046))</f>
        <v/>
      </c>
      <c r="U1046" s="8">
        <f>IF(COUNT(D1046:S1046)=0,"",MEDIAN(D1046:S1046))</f>
        <v/>
      </c>
      <c r="V1046" s="8">
        <f>IF(COUNT(D1046:S1046)=0,"",MAX(D1046:S1046))</f>
        <v/>
      </c>
      <c r="W1046" s="9">
        <f>IF(OR(T1046="",T1046=0),"",(V1046-T1046)/T1046)</f>
        <v/>
      </c>
      <c r="X1046" s="7">
        <f>IF(COUNT(D1046:S1046)=0,"",INDEX($D$1:$S$1,MATCH(MIN(D1046:S1046),D1046:S1046,0)))</f>
        <v/>
      </c>
      <c r="Y1046" s="8" t="n">
        <v>542.15</v>
      </c>
      <c r="Z1046" s="10" t="n">
        <v>1</v>
      </c>
    </row>
    <row r="1047">
      <c r="A1047" s="7" t="inlineStr">
        <is>
          <t>MAT-19-021</t>
        </is>
      </c>
      <c r="B1047" s="4" t="inlineStr">
        <is>
          <t>Perfil rectangular negro 2" x 1" x 20 pies, pared 1.6 mm</t>
        </is>
      </c>
      <c r="C1047" s="7" t="inlineStr">
        <is>
          <t>unidad</t>
        </is>
      </c>
      <c r="D1047" s="8" t="n">
        <v>639.71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>
        <f>IF(COUNT(D1047:S1047)=0,"",MIN(D1047:S1047))</f>
        <v/>
      </c>
      <c r="U1047" s="8">
        <f>IF(COUNT(D1047:S1047)=0,"",MEDIAN(D1047:S1047))</f>
        <v/>
      </c>
      <c r="V1047" s="8">
        <f>IF(COUNT(D1047:S1047)=0,"",MAX(D1047:S1047))</f>
        <v/>
      </c>
      <c r="W1047" s="9">
        <f>IF(OR(T1047="",T1047=0),"",(V1047-T1047)/T1047)</f>
        <v/>
      </c>
      <c r="X1047" s="7">
        <f>IF(COUNT(D1047:S1047)=0,"",INDEX($D$1:$S$1,MATCH(MIN(D1047:S1047),D1047:S1047,0)))</f>
        <v/>
      </c>
      <c r="Y1047" s="8" t="n">
        <v>639.71</v>
      </c>
      <c r="Z1047" s="10" t="n">
        <v>1</v>
      </c>
    </row>
    <row r="1048">
      <c r="A1048" s="7" t="inlineStr">
        <is>
          <t>MAT-19-022</t>
        </is>
      </c>
      <c r="B1048" s="4" t="inlineStr">
        <is>
          <t>Perfil rectangular negro 2" x 3" x 20 pies, pared 1.6 mm</t>
        </is>
      </c>
      <c r="C1048" s="7" t="inlineStr">
        <is>
          <t>unidad</t>
        </is>
      </c>
      <c r="D1048" s="8" t="n">
        <v>1082.3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>
        <f>IF(COUNT(D1048:S1048)=0,"",MIN(D1048:S1048))</f>
        <v/>
      </c>
      <c r="U1048" s="8">
        <f>IF(COUNT(D1048:S1048)=0,"",MEDIAN(D1048:S1048))</f>
        <v/>
      </c>
      <c r="V1048" s="8">
        <f>IF(COUNT(D1048:S1048)=0,"",MAX(D1048:S1048))</f>
        <v/>
      </c>
      <c r="W1048" s="9">
        <f>IF(OR(T1048="",T1048=0),"",(V1048-T1048)/T1048)</f>
        <v/>
      </c>
      <c r="X1048" s="7">
        <f>IF(COUNT(D1048:S1048)=0,"",INDEX($D$1:$S$1,MATCH(MIN(D1048:S1048),D1048:S1048,0)))</f>
        <v/>
      </c>
      <c r="Y1048" s="8" t="n">
        <v>1082.3</v>
      </c>
      <c r="Z1048" s="10" t="n">
        <v>1</v>
      </c>
    </row>
    <row r="1049">
      <c r="A1049" s="7" t="inlineStr">
        <is>
          <t>MAT-19-023</t>
        </is>
      </c>
      <c r="B1049" s="4" t="inlineStr">
        <is>
          <t>Perfil rectangular negro 2" x 4" x 20 pies, pared 1.6 mm</t>
        </is>
      </c>
      <c r="C1049" s="7" t="inlineStr">
        <is>
          <t>unidad</t>
        </is>
      </c>
      <c r="D1049" s="8" t="n">
        <v>1349.04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>
        <f>IF(COUNT(D1049:S1049)=0,"",MIN(D1049:S1049))</f>
        <v/>
      </c>
      <c r="U1049" s="8">
        <f>IF(COUNT(D1049:S1049)=0,"",MEDIAN(D1049:S1049))</f>
        <v/>
      </c>
      <c r="V1049" s="8">
        <f>IF(COUNT(D1049:S1049)=0,"",MAX(D1049:S1049))</f>
        <v/>
      </c>
      <c r="W1049" s="9">
        <f>IF(OR(T1049="",T1049=0),"",(V1049-T1049)/T1049)</f>
        <v/>
      </c>
      <c r="X1049" s="7">
        <f>IF(COUNT(D1049:S1049)=0,"",INDEX($D$1:$S$1,MATCH(MIN(D1049:S1049),D1049:S1049,0)))</f>
        <v/>
      </c>
      <c r="Y1049" s="8" t="n">
        <v>1349.04</v>
      </c>
      <c r="Z1049" s="10" t="n">
        <v>1</v>
      </c>
    </row>
    <row r="1050">
      <c r="A1050" s="7" t="inlineStr">
        <is>
          <t>MAT-19-024</t>
        </is>
      </c>
      <c r="B1050" s="4" t="inlineStr">
        <is>
          <t>Perfil rectangular negro 3" x 1 1/2" x 20 pies, pared 1.6 mm</t>
        </is>
      </c>
      <c r="C1050" s="7" t="inlineStr">
        <is>
          <t>unidad</t>
        </is>
      </c>
      <c r="D1050" s="8" t="n">
        <v>973.59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>
        <f>IF(COUNT(D1050:S1050)=0,"",MIN(D1050:S1050))</f>
        <v/>
      </c>
      <c r="U1050" s="8">
        <f>IF(COUNT(D1050:S1050)=0,"",MEDIAN(D1050:S1050))</f>
        <v/>
      </c>
      <c r="V1050" s="8">
        <f>IF(COUNT(D1050:S1050)=0,"",MAX(D1050:S1050))</f>
        <v/>
      </c>
      <c r="W1050" s="9">
        <f>IF(OR(T1050="",T1050=0),"",(V1050-T1050)/T1050)</f>
        <v/>
      </c>
      <c r="X1050" s="7">
        <f>IF(COUNT(D1050:S1050)=0,"",INDEX($D$1:$S$1,MATCH(MIN(D1050:S1050),D1050:S1050,0)))</f>
        <v/>
      </c>
      <c r="Y1050" s="8" t="n">
        <v>973.59</v>
      </c>
      <c r="Z1050" s="10" t="n">
        <v>1</v>
      </c>
    </row>
    <row r="1051">
      <c r="A1051" s="7" t="inlineStr">
        <is>
          <t>MAT-19-025</t>
        </is>
      </c>
      <c r="B1051" s="4" t="inlineStr">
        <is>
          <t>Perfil rectangular galvanizado 3/4" x 1 1/2" x 20 pies, pared 1.2 mm</t>
        </is>
      </c>
      <c r="C1051" s="7" t="inlineStr">
        <is>
          <t>unidad</t>
        </is>
      </c>
      <c r="D1051" s="8" t="n">
        <v>492.8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>
        <f>IF(COUNT(D1051:S1051)=0,"",MIN(D1051:S1051))</f>
        <v/>
      </c>
      <c r="U1051" s="8">
        <f>IF(COUNT(D1051:S1051)=0,"",MEDIAN(D1051:S1051))</f>
        <v/>
      </c>
      <c r="V1051" s="8">
        <f>IF(COUNT(D1051:S1051)=0,"",MAX(D1051:S1051))</f>
        <v/>
      </c>
      <c r="W1051" s="9">
        <f>IF(OR(T1051="",T1051=0),"",(V1051-T1051)/T1051)</f>
        <v/>
      </c>
      <c r="X1051" s="7">
        <f>IF(COUNT(D1051:S1051)=0,"",INDEX($D$1:$S$1,MATCH(MIN(D1051:S1051),D1051:S1051,0)))</f>
        <v/>
      </c>
      <c r="Y1051" s="8" t="n">
        <v>492.8</v>
      </c>
      <c r="Z1051" s="10" t="n">
        <v>1</v>
      </c>
    </row>
    <row r="1052">
      <c r="A1052" s="7" t="inlineStr">
        <is>
          <t>MAT-19-026</t>
        </is>
      </c>
      <c r="B1052" s="4" t="inlineStr">
        <is>
          <t>Perfil rectangular galvanizado 3/4" x 1 1/2" x 20 pies, pared 1.5 mm</t>
        </is>
      </c>
      <c r="C1052" s="7" t="inlineStr">
        <is>
          <t>unidad</t>
        </is>
      </c>
      <c r="D1052" s="8" t="n">
        <v>626.88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>
        <f>IF(COUNT(D1052:S1052)=0,"",MIN(D1052:S1052))</f>
        <v/>
      </c>
      <c r="U1052" s="8">
        <f>IF(COUNT(D1052:S1052)=0,"",MEDIAN(D1052:S1052))</f>
        <v/>
      </c>
      <c r="V1052" s="8">
        <f>IF(COUNT(D1052:S1052)=0,"",MAX(D1052:S1052))</f>
        <v/>
      </c>
      <c r="W1052" s="9">
        <f>IF(OR(T1052="",T1052=0),"",(V1052-T1052)/T1052)</f>
        <v/>
      </c>
      <c r="X1052" s="7">
        <f>IF(COUNT(D1052:S1052)=0,"",INDEX($D$1:$S$1,MATCH(MIN(D1052:S1052),D1052:S1052,0)))</f>
        <v/>
      </c>
      <c r="Y1052" s="8" t="n">
        <v>626.88</v>
      </c>
      <c r="Z1052" s="10" t="n">
        <v>1</v>
      </c>
    </row>
    <row r="1053">
      <c r="A1053" s="7" t="inlineStr">
        <is>
          <t>MAT-19-027</t>
        </is>
      </c>
      <c r="B1053" s="4" t="inlineStr">
        <is>
          <t>Perfil rectangular galvanizado 2" x 1" x 20 pies, pared 1.2 mm</t>
        </is>
      </c>
      <c r="C1053" s="7" t="inlineStr">
        <is>
          <t>unidad</t>
        </is>
      </c>
      <c r="D1053" s="8" t="n">
        <v>646.73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>
        <f>IF(COUNT(D1053:S1053)=0,"",MIN(D1053:S1053))</f>
        <v/>
      </c>
      <c r="U1053" s="8">
        <f>IF(COUNT(D1053:S1053)=0,"",MEDIAN(D1053:S1053))</f>
        <v/>
      </c>
      <c r="V1053" s="8">
        <f>IF(COUNT(D1053:S1053)=0,"",MAX(D1053:S1053))</f>
        <v/>
      </c>
      <c r="W1053" s="9">
        <f>IF(OR(T1053="",T1053=0),"",(V1053-T1053)/T1053)</f>
        <v/>
      </c>
      <c r="X1053" s="7">
        <f>IF(COUNT(D1053:S1053)=0,"",INDEX($D$1:$S$1,MATCH(MIN(D1053:S1053),D1053:S1053,0)))</f>
        <v/>
      </c>
      <c r="Y1053" s="8" t="n">
        <v>646.73</v>
      </c>
      <c r="Z1053" s="10" t="n">
        <v>1</v>
      </c>
    </row>
    <row r="1054">
      <c r="A1054" s="7" t="inlineStr">
        <is>
          <t>MAT-19-028</t>
        </is>
      </c>
      <c r="B1054" s="4" t="inlineStr">
        <is>
          <t>Perfil rectangular galvanizado 2" x 1" x 20 pies, pared 1.6 mm</t>
        </is>
      </c>
      <c r="C1054" s="7" t="inlineStr">
        <is>
          <t>unidad</t>
        </is>
      </c>
      <c r="D1054" s="8" t="n">
        <v>812.22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>
        <f>IF(COUNT(D1054:S1054)=0,"",MIN(D1054:S1054))</f>
        <v/>
      </c>
      <c r="U1054" s="8">
        <f>IF(COUNT(D1054:S1054)=0,"",MEDIAN(D1054:S1054))</f>
        <v/>
      </c>
      <c r="V1054" s="8">
        <f>IF(COUNT(D1054:S1054)=0,"",MAX(D1054:S1054))</f>
        <v/>
      </c>
      <c r="W1054" s="9">
        <f>IF(OR(T1054="",T1054=0),"",(V1054-T1054)/T1054)</f>
        <v/>
      </c>
      <c r="X1054" s="7">
        <f>IF(COUNT(D1054:S1054)=0,"",INDEX($D$1:$S$1,MATCH(MIN(D1054:S1054),D1054:S1054,0)))</f>
        <v/>
      </c>
      <c r="Y1054" s="8" t="n">
        <v>812.22</v>
      </c>
      <c r="Z1054" s="10" t="n">
        <v>1</v>
      </c>
    </row>
    <row r="1055">
      <c r="A1055" s="7" t="inlineStr">
        <is>
          <t>MAT-19-029</t>
        </is>
      </c>
      <c r="B1055" s="4" t="inlineStr">
        <is>
          <t>Perfil rectangular galvanizado 2" x 3" x 20 pies, pared 1.6 mm</t>
        </is>
      </c>
      <c r="C1055" s="7" t="inlineStr">
        <is>
          <t>unidad</t>
        </is>
      </c>
      <c r="D1055" s="8" t="n">
        <v>1400.9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>
        <f>IF(COUNT(D1055:S1055)=0,"",MIN(D1055:S1055))</f>
        <v/>
      </c>
      <c r="U1055" s="8">
        <f>IF(COUNT(D1055:S1055)=0,"",MEDIAN(D1055:S1055))</f>
        <v/>
      </c>
      <c r="V1055" s="8">
        <f>IF(COUNT(D1055:S1055)=0,"",MAX(D1055:S1055))</f>
        <v/>
      </c>
      <c r="W1055" s="9">
        <f>IF(OR(T1055="",T1055=0),"",(V1055-T1055)/T1055)</f>
        <v/>
      </c>
      <c r="X1055" s="7">
        <f>IF(COUNT(D1055:S1055)=0,"",INDEX($D$1:$S$1,MATCH(MIN(D1055:S1055),D1055:S1055,0)))</f>
        <v/>
      </c>
      <c r="Y1055" s="8" t="n">
        <v>1400.9</v>
      </c>
      <c r="Z1055" s="10" t="n">
        <v>1</v>
      </c>
    </row>
    <row r="1056">
      <c r="A1056" s="7" t="inlineStr">
        <is>
          <t>MAT-19-030</t>
        </is>
      </c>
      <c r="B1056" s="4" t="inlineStr">
        <is>
          <t>Perfil rectangular galvanizado 2" x 4" x 20 pies, pared 1.6 mm</t>
        </is>
      </c>
      <c r="C1056" s="7" t="inlineStr">
        <is>
          <t>unidad</t>
        </is>
      </c>
      <c r="D1056" s="8" t="n">
        <v>1695.85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>
        <f>IF(COUNT(D1056:S1056)=0,"",MIN(D1056:S1056))</f>
        <v/>
      </c>
      <c r="U1056" s="8">
        <f>IF(COUNT(D1056:S1056)=0,"",MEDIAN(D1056:S1056))</f>
        <v/>
      </c>
      <c r="V1056" s="8">
        <f>IF(COUNT(D1056:S1056)=0,"",MAX(D1056:S1056))</f>
        <v/>
      </c>
      <c r="W1056" s="9">
        <f>IF(OR(T1056="",T1056=0),"",(V1056-T1056)/T1056)</f>
        <v/>
      </c>
      <c r="X1056" s="7">
        <f>IF(COUNT(D1056:S1056)=0,"",INDEX($D$1:$S$1,MATCH(MIN(D1056:S1056),D1056:S1056,0)))</f>
        <v/>
      </c>
      <c r="Y1056" s="8" t="n">
        <v>1695.85</v>
      </c>
      <c r="Z1056" s="10" t="n">
        <v>1</v>
      </c>
    </row>
    <row r="1057">
      <c r="A1057" s="7" t="inlineStr">
        <is>
          <t>MAT-19-031</t>
        </is>
      </c>
      <c r="B1057" s="4" t="inlineStr">
        <is>
          <t>Perfil rectangular galvanizado 3" x 1 1/2" x 20 pies, pared 1.6 mm</t>
        </is>
      </c>
      <c r="C1057" s="7" t="inlineStr">
        <is>
          <t>unidad</t>
        </is>
      </c>
      <c r="D1057" s="8" t="n">
        <v>1275.97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>
        <f>IF(COUNT(D1057:S1057)=0,"",MIN(D1057:S1057))</f>
        <v/>
      </c>
      <c r="U1057" s="8">
        <f>IF(COUNT(D1057:S1057)=0,"",MEDIAN(D1057:S1057))</f>
        <v/>
      </c>
      <c r="V1057" s="8">
        <f>IF(COUNT(D1057:S1057)=0,"",MAX(D1057:S1057))</f>
        <v/>
      </c>
      <c r="W1057" s="9">
        <f>IF(OR(T1057="",T1057=0),"",(V1057-T1057)/T1057)</f>
        <v/>
      </c>
      <c r="X1057" s="7">
        <f>IF(COUNT(D1057:S1057)=0,"",INDEX($D$1:$S$1,MATCH(MIN(D1057:S1057),D1057:S1057,0)))</f>
        <v/>
      </c>
      <c r="Y1057" s="8" t="n">
        <v>1275.97</v>
      </c>
      <c r="Z1057" s="10" t="n">
        <v>1</v>
      </c>
    </row>
    <row r="1058">
      <c r="A1058" s="7" t="inlineStr">
        <is>
          <t>MAT-19-032</t>
        </is>
      </c>
      <c r="B1058" s="4" t="inlineStr">
        <is>
          <t>Tubo negro redondo 1/2" x 20 pies, pared 2.77 mm</t>
        </is>
      </c>
      <c r="C1058" s="7" t="inlineStr">
        <is>
          <t>unidad</t>
        </is>
      </c>
      <c r="D1058" s="8" t="n">
        <v>620.21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>
        <f>IF(COUNT(D1058:S1058)=0,"",MIN(D1058:S1058))</f>
        <v/>
      </c>
      <c r="U1058" s="8">
        <f>IF(COUNT(D1058:S1058)=0,"",MEDIAN(D1058:S1058))</f>
        <v/>
      </c>
      <c r="V1058" s="8">
        <f>IF(COUNT(D1058:S1058)=0,"",MAX(D1058:S1058))</f>
        <v/>
      </c>
      <c r="W1058" s="9">
        <f>IF(OR(T1058="",T1058=0),"",(V1058-T1058)/T1058)</f>
        <v/>
      </c>
      <c r="X1058" s="7">
        <f>IF(COUNT(D1058:S1058)=0,"",INDEX($D$1:$S$1,MATCH(MIN(D1058:S1058),D1058:S1058,0)))</f>
        <v/>
      </c>
      <c r="Y1058" s="8" t="n">
        <v>620.21</v>
      </c>
      <c r="Z1058" s="10" t="n">
        <v>1</v>
      </c>
    </row>
    <row r="1059">
      <c r="A1059" s="7" t="inlineStr">
        <is>
          <t>MAT-19-033</t>
        </is>
      </c>
      <c r="B1059" s="4" t="inlineStr">
        <is>
          <t>Tubo negro redondo 3/4" x 20 pies, pared 2.87 mm</t>
        </is>
      </c>
      <c r="C1059" s="7" t="inlineStr">
        <is>
          <t>unidad</t>
        </is>
      </c>
      <c r="D1059" s="8" t="n">
        <v>826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>
        <f>IF(COUNT(D1059:S1059)=0,"",MIN(D1059:S1059))</f>
        <v/>
      </c>
      <c r="U1059" s="8">
        <f>IF(COUNT(D1059:S1059)=0,"",MEDIAN(D1059:S1059))</f>
        <v/>
      </c>
      <c r="V1059" s="8">
        <f>IF(COUNT(D1059:S1059)=0,"",MAX(D1059:S1059))</f>
        <v/>
      </c>
      <c r="W1059" s="9">
        <f>IF(OR(T1059="",T1059=0),"",(V1059-T1059)/T1059)</f>
        <v/>
      </c>
      <c r="X1059" s="7">
        <f>IF(COUNT(D1059:S1059)=0,"",INDEX($D$1:$S$1,MATCH(MIN(D1059:S1059),D1059:S1059,0)))</f>
        <v/>
      </c>
      <c r="Y1059" s="8" t="n">
        <v>826</v>
      </c>
      <c r="Z1059" s="10" t="n">
        <v>1</v>
      </c>
    </row>
    <row r="1060">
      <c r="A1060" s="7" t="inlineStr">
        <is>
          <t>MAT-19-034</t>
        </is>
      </c>
      <c r="B1060" s="4" t="inlineStr">
        <is>
          <t>Tubo negro redondo 1" x 20 pies, pared 3.38 mm</t>
        </is>
      </c>
      <c r="C1060" s="7" t="inlineStr">
        <is>
          <t>unidad</t>
        </is>
      </c>
      <c r="D1060" s="8" t="n">
        <v>1206.29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>
        <f>IF(COUNT(D1060:S1060)=0,"",MIN(D1060:S1060))</f>
        <v/>
      </c>
      <c r="U1060" s="8">
        <f>IF(COUNT(D1060:S1060)=0,"",MEDIAN(D1060:S1060))</f>
        <v/>
      </c>
      <c r="V1060" s="8">
        <f>IF(COUNT(D1060:S1060)=0,"",MAX(D1060:S1060))</f>
        <v/>
      </c>
      <c r="W1060" s="9">
        <f>IF(OR(T1060="",T1060=0),"",(V1060-T1060)/T1060)</f>
        <v/>
      </c>
      <c r="X1060" s="7">
        <f>IF(COUNT(D1060:S1060)=0,"",INDEX($D$1:$S$1,MATCH(MIN(D1060:S1060),D1060:S1060,0)))</f>
        <v/>
      </c>
      <c r="Y1060" s="8" t="n">
        <v>1206.29</v>
      </c>
      <c r="Z1060" s="10" t="n">
        <v>1</v>
      </c>
    </row>
    <row r="1061">
      <c r="A1061" s="7" t="inlineStr">
        <is>
          <t>MAT-19-035</t>
        </is>
      </c>
      <c r="B1061" s="4" t="inlineStr">
        <is>
          <t>Tubo negro redondo 1 1/4" x 20 pies, pared 3.56 mm</t>
        </is>
      </c>
      <c r="C1061" s="7" t="inlineStr">
        <is>
          <t>unidad</t>
        </is>
      </c>
      <c r="D1061" s="8" t="n">
        <v>1507.57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>
        <f>IF(COUNT(D1061:S1061)=0,"",MIN(D1061:S1061))</f>
        <v/>
      </c>
      <c r="U1061" s="8">
        <f>IF(COUNT(D1061:S1061)=0,"",MEDIAN(D1061:S1061))</f>
        <v/>
      </c>
      <c r="V1061" s="8">
        <f>IF(COUNT(D1061:S1061)=0,"",MAX(D1061:S1061))</f>
        <v/>
      </c>
      <c r="W1061" s="9">
        <f>IF(OR(T1061="",T1061=0),"",(V1061-T1061)/T1061)</f>
        <v/>
      </c>
      <c r="X1061" s="7">
        <f>IF(COUNT(D1061:S1061)=0,"",INDEX($D$1:$S$1,MATCH(MIN(D1061:S1061),D1061:S1061,0)))</f>
        <v/>
      </c>
      <c r="Y1061" s="8" t="n">
        <v>1507.57</v>
      </c>
      <c r="Z1061" s="10" t="n">
        <v>1</v>
      </c>
    </row>
    <row r="1062">
      <c r="A1062" s="7" t="inlineStr">
        <is>
          <t>MAT-19-036</t>
        </is>
      </c>
      <c r="B1062" s="4" t="inlineStr">
        <is>
          <t>Tubo negro redondo 1 1/2" x 20 pies, pared 3.68 mm</t>
        </is>
      </c>
      <c r="C1062" s="7" t="inlineStr">
        <is>
          <t>unidad</t>
        </is>
      </c>
      <c r="D1062" s="8" t="n">
        <v>1952.51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>
        <f>IF(COUNT(D1062:S1062)=0,"",MIN(D1062:S1062))</f>
        <v/>
      </c>
      <c r="U1062" s="8">
        <f>IF(COUNT(D1062:S1062)=0,"",MEDIAN(D1062:S1062))</f>
        <v/>
      </c>
      <c r="V1062" s="8">
        <f>IF(COUNT(D1062:S1062)=0,"",MAX(D1062:S1062))</f>
        <v/>
      </c>
      <c r="W1062" s="9">
        <f>IF(OR(T1062="",T1062=0),"",(V1062-T1062)/T1062)</f>
        <v/>
      </c>
      <c r="X1062" s="7">
        <f>IF(COUNT(D1062:S1062)=0,"",INDEX($D$1:$S$1,MATCH(MIN(D1062:S1062),D1062:S1062,0)))</f>
        <v/>
      </c>
      <c r="Y1062" s="8" t="n">
        <v>1952.51</v>
      </c>
      <c r="Z1062" s="10" t="n">
        <v>1</v>
      </c>
    </row>
    <row r="1063">
      <c r="A1063" s="7" t="inlineStr">
        <is>
          <t>MAT-19-037</t>
        </is>
      </c>
      <c r="B1063" s="4" t="inlineStr">
        <is>
          <t>Tubo negro redondo 2" x 20 pies, pared 3.91 mm</t>
        </is>
      </c>
      <c r="C1063" s="7" t="inlineStr">
        <is>
          <t>unidad</t>
        </is>
      </c>
      <c r="D1063" s="8" t="n">
        <v>2634.08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>
        <f>IF(COUNT(D1063:S1063)=0,"",MIN(D1063:S1063))</f>
        <v/>
      </c>
      <c r="U1063" s="8">
        <f>IF(COUNT(D1063:S1063)=0,"",MEDIAN(D1063:S1063))</f>
        <v/>
      </c>
      <c r="V1063" s="8">
        <f>IF(COUNT(D1063:S1063)=0,"",MAX(D1063:S1063))</f>
        <v/>
      </c>
      <c r="W1063" s="9">
        <f>IF(OR(T1063="",T1063=0),"",(V1063-T1063)/T1063)</f>
        <v/>
      </c>
      <c r="X1063" s="7">
        <f>IF(COUNT(D1063:S1063)=0,"",INDEX($D$1:$S$1,MATCH(MIN(D1063:S1063),D1063:S1063,0)))</f>
        <v/>
      </c>
      <c r="Y1063" s="8" t="n">
        <v>2634.08</v>
      </c>
      <c r="Z1063" s="10" t="n">
        <v>1</v>
      </c>
    </row>
    <row r="1064">
      <c r="A1064" s="7" t="inlineStr">
        <is>
          <t>MAT-19-038</t>
        </is>
      </c>
      <c r="B1064" s="4" t="inlineStr">
        <is>
          <t>Tubo negro redondo 2 1/2" x 20 pies</t>
        </is>
      </c>
      <c r="C1064" s="7" t="inlineStr">
        <is>
          <t>unidad</t>
        </is>
      </c>
      <c r="D1064" s="8" t="n">
        <v>4173.42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>
        <f>IF(COUNT(D1064:S1064)=0,"",MIN(D1064:S1064))</f>
        <v/>
      </c>
      <c r="U1064" s="8">
        <f>IF(COUNT(D1064:S1064)=0,"",MEDIAN(D1064:S1064))</f>
        <v/>
      </c>
      <c r="V1064" s="8">
        <f>IF(COUNT(D1064:S1064)=0,"",MAX(D1064:S1064))</f>
        <v/>
      </c>
      <c r="W1064" s="9">
        <f>IF(OR(T1064="",T1064=0),"",(V1064-T1064)/T1064)</f>
        <v/>
      </c>
      <c r="X1064" s="7">
        <f>IF(COUNT(D1064:S1064)=0,"",INDEX($D$1:$S$1,MATCH(MIN(D1064:S1064),D1064:S1064,0)))</f>
        <v/>
      </c>
      <c r="Y1064" s="8" t="n">
        <v>4173.42</v>
      </c>
      <c r="Z1064" s="10" t="n">
        <v>1</v>
      </c>
    </row>
    <row r="1065">
      <c r="A1065" s="7" t="inlineStr">
        <is>
          <t>MAT-19-039</t>
        </is>
      </c>
      <c r="B1065" s="4" t="inlineStr">
        <is>
          <t>Tubo negro redondo 3" x 20 pies</t>
        </is>
      </c>
      <c r="C1065" s="7" t="inlineStr">
        <is>
          <t>unidad</t>
        </is>
      </c>
      <c r="D1065" s="8" t="n">
        <v>5029.28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>
        <f>IF(COUNT(D1065:S1065)=0,"",MIN(D1065:S1065))</f>
        <v/>
      </c>
      <c r="U1065" s="8">
        <f>IF(COUNT(D1065:S1065)=0,"",MEDIAN(D1065:S1065))</f>
        <v/>
      </c>
      <c r="V1065" s="8">
        <f>IF(COUNT(D1065:S1065)=0,"",MAX(D1065:S1065))</f>
        <v/>
      </c>
      <c r="W1065" s="9">
        <f>IF(OR(T1065="",T1065=0),"",(V1065-T1065)/T1065)</f>
        <v/>
      </c>
      <c r="X1065" s="7">
        <f>IF(COUNT(D1065:S1065)=0,"",INDEX($D$1:$S$1,MATCH(MIN(D1065:S1065),D1065:S1065,0)))</f>
        <v/>
      </c>
      <c r="Y1065" s="8" t="n">
        <v>5029.28</v>
      </c>
      <c r="Z1065" s="10" t="n">
        <v>1</v>
      </c>
    </row>
    <row r="1066">
      <c r="A1066" s="7" t="inlineStr">
        <is>
          <t>MAT-19-040</t>
        </is>
      </c>
      <c r="B1066" s="4" t="inlineStr">
        <is>
          <t>Tubo negro redondo 8" x 20 pies, pared 6 mm</t>
        </is>
      </c>
      <c r="C1066" s="7" t="inlineStr">
        <is>
          <t>unidad</t>
        </is>
      </c>
      <c r="D1066" s="8" t="n">
        <v>15250.64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>
        <f>IF(COUNT(D1066:S1066)=0,"",MIN(D1066:S1066))</f>
        <v/>
      </c>
      <c r="U1066" s="8">
        <f>IF(COUNT(D1066:S1066)=0,"",MEDIAN(D1066:S1066))</f>
        <v/>
      </c>
      <c r="V1066" s="8">
        <f>IF(COUNT(D1066:S1066)=0,"",MAX(D1066:S1066))</f>
        <v/>
      </c>
      <c r="W1066" s="9">
        <f>IF(OR(T1066="",T1066=0),"",(V1066-T1066)/T1066)</f>
        <v/>
      </c>
      <c r="X1066" s="7">
        <f>IF(COUNT(D1066:S1066)=0,"",INDEX($D$1:$S$1,MATCH(MIN(D1066:S1066),D1066:S1066,0)))</f>
        <v/>
      </c>
      <c r="Y1066" s="8" t="n">
        <v>15250.64</v>
      </c>
      <c r="Z1066" s="10" t="n">
        <v>1</v>
      </c>
    </row>
    <row r="1067">
      <c r="A1067" s="7" t="inlineStr">
        <is>
          <t>MAT-19-041</t>
        </is>
      </c>
      <c r="B1067" s="4" t="inlineStr">
        <is>
          <t>Tubo negro redondo 8" x 20 pies, pared 6.35 mm</t>
        </is>
      </c>
      <c r="C1067" s="7" t="inlineStr">
        <is>
          <t>unidad</t>
        </is>
      </c>
      <c r="D1067" s="8" t="n">
        <v>11671.14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>
        <f>IF(COUNT(D1067:S1067)=0,"",MIN(D1067:S1067))</f>
        <v/>
      </c>
      <c r="U1067" s="8">
        <f>IF(COUNT(D1067:S1067)=0,"",MEDIAN(D1067:S1067))</f>
        <v/>
      </c>
      <c r="V1067" s="8">
        <f>IF(COUNT(D1067:S1067)=0,"",MAX(D1067:S1067))</f>
        <v/>
      </c>
      <c r="W1067" s="9">
        <f>IF(OR(T1067="",T1067=0),"",(V1067-T1067)/T1067)</f>
        <v/>
      </c>
      <c r="X1067" s="7">
        <f>IF(COUNT(D1067:S1067)=0,"",INDEX($D$1:$S$1,MATCH(MIN(D1067:S1067),D1067:S1067,0)))</f>
        <v/>
      </c>
      <c r="Y1067" s="8" t="n">
        <v>11671.14</v>
      </c>
      <c r="Z1067" s="10" t="n">
        <v>1</v>
      </c>
    </row>
    <row r="1068">
      <c r="A1068" s="7" t="inlineStr">
        <is>
          <t>MAT-19-042</t>
        </is>
      </c>
      <c r="B1068" s="4" t="inlineStr">
        <is>
          <t>Tubo negro redondo 10" x 20 pies, pared 6.00 mm</t>
        </is>
      </c>
      <c r="C1068" s="7" t="inlineStr">
        <is>
          <t>unidad</t>
        </is>
      </c>
      <c r="D1068" s="8" t="n">
        <v>18313.02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>
        <f>IF(COUNT(D1068:S1068)=0,"",MIN(D1068:S1068))</f>
        <v/>
      </c>
      <c r="U1068" s="8">
        <f>IF(COUNT(D1068:S1068)=0,"",MEDIAN(D1068:S1068))</f>
        <v/>
      </c>
      <c r="V1068" s="8">
        <f>IF(COUNT(D1068:S1068)=0,"",MAX(D1068:S1068))</f>
        <v/>
      </c>
      <c r="W1068" s="9">
        <f>IF(OR(T1068="",T1068=0),"",(V1068-T1068)/T1068)</f>
        <v/>
      </c>
      <c r="X1068" s="7">
        <f>IF(COUNT(D1068:S1068)=0,"",INDEX($D$1:$S$1,MATCH(MIN(D1068:S1068),D1068:S1068,0)))</f>
        <v/>
      </c>
      <c r="Y1068" s="8" t="n">
        <v>18313.02</v>
      </c>
      <c r="Z1068" s="10" t="n">
        <v>1</v>
      </c>
    </row>
    <row r="1069">
      <c r="A1069" s="7" t="inlineStr">
        <is>
          <t>MAT-19-043</t>
        </is>
      </c>
      <c r="B1069" s="4" t="inlineStr">
        <is>
          <t>Tubo negro redondo 14" x 20 pies, pared 6 mm</t>
        </is>
      </c>
      <c r="C1069" s="7" t="inlineStr">
        <is>
          <t>unidad</t>
        </is>
      </c>
      <c r="D1069" s="8" t="n">
        <v>27695.11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>
        <f>IF(COUNT(D1069:S1069)=0,"",MIN(D1069:S1069))</f>
        <v/>
      </c>
      <c r="U1069" s="8">
        <f>IF(COUNT(D1069:S1069)=0,"",MEDIAN(D1069:S1069))</f>
        <v/>
      </c>
      <c r="V1069" s="8">
        <f>IF(COUNT(D1069:S1069)=0,"",MAX(D1069:S1069))</f>
        <v/>
      </c>
      <c r="W1069" s="9">
        <f>IF(OR(T1069="",T1069=0),"",(V1069-T1069)/T1069)</f>
        <v/>
      </c>
      <c r="X1069" s="7">
        <f>IF(COUNT(D1069:S1069)=0,"",INDEX($D$1:$S$1,MATCH(MIN(D1069:S1069),D1069:S1069,0)))</f>
        <v/>
      </c>
      <c r="Y1069" s="8" t="n">
        <v>27695.11</v>
      </c>
      <c r="Z1069" s="10" t="n">
        <v>1</v>
      </c>
    </row>
    <row r="1070">
      <c r="A1070" s="7" t="inlineStr">
        <is>
          <t>MAT-19-044</t>
        </is>
      </c>
      <c r="B1070" s="4" t="inlineStr">
        <is>
          <t>Tubo negro redondo 16" x 20 pies, pared 12.70 mm</t>
        </is>
      </c>
      <c r="C1070" s="7" t="inlineStr">
        <is>
          <t>unidad</t>
        </is>
      </c>
      <c r="D1070" s="8" t="n">
        <v>62026.36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>
        <f>IF(COUNT(D1070:S1070)=0,"",MIN(D1070:S1070))</f>
        <v/>
      </c>
      <c r="U1070" s="8">
        <f>IF(COUNT(D1070:S1070)=0,"",MEDIAN(D1070:S1070))</f>
        <v/>
      </c>
      <c r="V1070" s="8">
        <f>IF(COUNT(D1070:S1070)=0,"",MAX(D1070:S1070))</f>
        <v/>
      </c>
      <c r="W1070" s="9">
        <f>IF(OR(T1070="",T1070=0),"",(V1070-T1070)/T1070)</f>
        <v/>
      </c>
      <c r="X1070" s="7">
        <f>IF(COUNT(D1070:S1070)=0,"",INDEX($D$1:$S$1,MATCH(MIN(D1070:S1070),D1070:S1070,0)))</f>
        <v/>
      </c>
      <c r="Y1070" s="8" t="n">
        <v>62026.36</v>
      </c>
      <c r="Z1070" s="10" t="n">
        <v>1</v>
      </c>
    </row>
    <row r="1071">
      <c r="A1071" s="7" t="inlineStr">
        <is>
          <t>MAT-19-045</t>
        </is>
      </c>
      <c r="B1071" s="4" t="inlineStr">
        <is>
          <t>Correa galvanizada tipo Z 6" x 1/16" x 20 pies</t>
        </is>
      </c>
      <c r="C1071" s="7" t="inlineStr">
        <is>
          <t>unidad</t>
        </is>
      </c>
      <c r="D1071" s="8" t="n">
        <v>2658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>
        <f>IF(COUNT(D1071:S1071)=0,"",MIN(D1071:S1071))</f>
        <v/>
      </c>
      <c r="U1071" s="8">
        <f>IF(COUNT(D1071:S1071)=0,"",MEDIAN(D1071:S1071))</f>
        <v/>
      </c>
      <c r="V1071" s="8">
        <f>IF(COUNT(D1071:S1071)=0,"",MAX(D1071:S1071))</f>
        <v/>
      </c>
      <c r="W1071" s="9">
        <f>IF(OR(T1071="",T1071=0),"",(V1071-T1071)/T1071)</f>
        <v/>
      </c>
      <c r="X1071" s="7">
        <f>IF(COUNT(D1071:S1071)=0,"",INDEX($D$1:$S$1,MATCH(MIN(D1071:S1071),D1071:S1071,0)))</f>
        <v/>
      </c>
      <c r="Y1071" s="8" t="n">
        <v>2658</v>
      </c>
      <c r="Z1071" s="10" t="n">
        <v>1</v>
      </c>
    </row>
    <row r="1072">
      <c r="A1072" s="7" t="inlineStr">
        <is>
          <t>MAT-19-046</t>
        </is>
      </c>
      <c r="B1072" s="4" t="inlineStr">
        <is>
          <t>Correa galvanizada tipo Z 8" x 1/16" x 20 pies</t>
        </is>
      </c>
      <c r="C1072" s="7" t="inlineStr">
        <is>
          <t>unidad</t>
        </is>
      </c>
      <c r="D1072" s="8" t="n">
        <v>3039.2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>
        <f>IF(COUNT(D1072:S1072)=0,"",MIN(D1072:S1072))</f>
        <v/>
      </c>
      <c r="U1072" s="8">
        <f>IF(COUNT(D1072:S1072)=0,"",MEDIAN(D1072:S1072))</f>
        <v/>
      </c>
      <c r="V1072" s="8">
        <f>IF(COUNT(D1072:S1072)=0,"",MAX(D1072:S1072))</f>
        <v/>
      </c>
      <c r="W1072" s="9">
        <f>IF(OR(T1072="",T1072=0),"",(V1072-T1072)/T1072)</f>
        <v/>
      </c>
      <c r="X1072" s="7">
        <f>IF(COUNT(D1072:S1072)=0,"",INDEX($D$1:$S$1,MATCH(MIN(D1072:S1072),D1072:S1072,0)))</f>
        <v/>
      </c>
      <c r="Y1072" s="8" t="n">
        <v>3039.2</v>
      </c>
      <c r="Z1072" s="10" t="n">
        <v>1</v>
      </c>
    </row>
    <row r="1073">
      <c r="A1073" s="7" t="inlineStr">
        <is>
          <t>MAT-20-001</t>
        </is>
      </c>
      <c r="B1073" s="4" t="inlineStr">
        <is>
          <t>Angular de hierro negro 3/4" x 1/8" x 20 pies</t>
        </is>
      </c>
      <c r="C1073" s="7" t="inlineStr">
        <is>
          <t>unidad</t>
        </is>
      </c>
      <c r="D1073" s="8" t="n">
        <v>449.99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>
        <f>IF(COUNT(D1073:S1073)=0,"",MIN(D1073:S1073))</f>
        <v/>
      </c>
      <c r="U1073" s="8">
        <f>IF(COUNT(D1073:S1073)=0,"",MEDIAN(D1073:S1073))</f>
        <v/>
      </c>
      <c r="V1073" s="8">
        <f>IF(COUNT(D1073:S1073)=0,"",MAX(D1073:S1073))</f>
        <v/>
      </c>
      <c r="W1073" s="9">
        <f>IF(OR(T1073="",T1073=0),"",(V1073-T1073)/T1073)</f>
        <v/>
      </c>
      <c r="X1073" s="7">
        <f>IF(COUNT(D1073:S1073)=0,"",INDEX($D$1:$S$1,MATCH(MIN(D1073:S1073),D1073:S1073,0)))</f>
        <v/>
      </c>
      <c r="Y1073" s="8" t="n">
        <v>449.99</v>
      </c>
      <c r="Z1073" s="10" t="n">
        <v>1</v>
      </c>
    </row>
    <row r="1074">
      <c r="A1074" s="7" t="inlineStr">
        <is>
          <t>MAT-20-002</t>
        </is>
      </c>
      <c r="B1074" s="4" t="inlineStr">
        <is>
          <t>Angular de hierro negro 1" x 1/8" x 20 pies</t>
        </is>
      </c>
      <c r="C1074" s="7" t="inlineStr">
        <is>
          <t>unidad</t>
        </is>
      </c>
      <c r="D1074" s="8" t="n">
        <v>560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>
        <v>580</v>
      </c>
      <c r="N1074" s="8" t="n"/>
      <c r="O1074" s="8" t="n"/>
      <c r="P1074" s="8" t="n"/>
      <c r="Q1074" s="8" t="n"/>
      <c r="R1074" s="8" t="n"/>
      <c r="S1074" s="8" t="n"/>
      <c r="T1074" s="8">
        <f>IF(COUNT(D1074:S1074)=0,"",MIN(D1074:S1074))</f>
        <v/>
      </c>
      <c r="U1074" s="8">
        <f>IF(COUNT(D1074:S1074)=0,"",MEDIAN(D1074:S1074))</f>
        <v/>
      </c>
      <c r="V1074" s="8">
        <f>IF(COUNT(D1074:S1074)=0,"",MAX(D1074:S1074))</f>
        <v/>
      </c>
      <c r="W1074" s="9">
        <f>IF(OR(T1074="",T1074=0),"",(V1074-T1074)/T1074)</f>
        <v/>
      </c>
      <c r="X1074" s="7">
        <f>IF(COUNT(D1074:S1074)=0,"",INDEX($D$1:$S$1,MATCH(MIN(D1074:S1074),D1074:S1074,0)))</f>
        <v/>
      </c>
      <c r="Y1074" s="8" t="n">
        <v>622.2</v>
      </c>
      <c r="Z1074" s="10" t="n">
        <v>2</v>
      </c>
    </row>
    <row r="1075">
      <c r="A1075" s="7" t="inlineStr">
        <is>
          <t>MAT-20-003</t>
        </is>
      </c>
      <c r="B1075" s="4" t="inlineStr">
        <is>
          <t>Angular de hierro negro 1" x 3/16" x 20 pies</t>
        </is>
      </c>
      <c r="C1075" s="7" t="inlineStr">
        <is>
          <t>unidad</t>
        </is>
      </c>
      <c r="D1075" s="8" t="n">
        <v>812.01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869</v>
      </c>
      <c r="N1075" s="8" t="n"/>
      <c r="O1075" s="8" t="n"/>
      <c r="P1075" s="8" t="n"/>
      <c r="Q1075" s="8" t="n"/>
      <c r="R1075" s="8" t="n"/>
      <c r="S1075" s="8" t="n"/>
      <c r="T1075" s="8">
        <f>IF(COUNT(D1075:S1075)=0,"",MIN(D1075:S1075))</f>
        <v/>
      </c>
      <c r="U1075" s="8">
        <f>IF(COUNT(D1075:S1075)=0,"",MEDIAN(D1075:S1075))</f>
        <v/>
      </c>
      <c r="V1075" s="8">
        <f>IF(COUNT(D1075:S1075)=0,"",MAX(D1075:S1075))</f>
        <v/>
      </c>
      <c r="W1075" s="9">
        <f>IF(OR(T1075="",T1075=0),"",(V1075-T1075)/T1075)</f>
        <v/>
      </c>
      <c r="X1075" s="7">
        <f>IF(COUNT(D1075:S1075)=0,"",INDEX($D$1:$S$1,MATCH(MIN(D1075:S1075),D1075:S1075,0)))</f>
        <v/>
      </c>
      <c r="Y1075" s="8" t="n">
        <v>918.71</v>
      </c>
      <c r="Z1075" s="10" t="n">
        <v>2</v>
      </c>
    </row>
    <row r="1076">
      <c r="A1076" s="7" t="inlineStr">
        <is>
          <t>MAT-20-004</t>
        </is>
      </c>
      <c r="B1076" s="4" t="inlineStr">
        <is>
          <t>Angular de hierro negro 1" x 1/4" x 20 pies</t>
        </is>
      </c>
      <c r="C1076" s="7" t="inlineStr">
        <is>
          <t>unidad</t>
        </is>
      </c>
      <c r="D1076" s="8" t="n">
        <v>1163.48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>
        <f>IF(COUNT(D1076:S1076)=0,"",MIN(D1076:S1076))</f>
        <v/>
      </c>
      <c r="U1076" s="8">
        <f>IF(COUNT(D1076:S1076)=0,"",MEDIAN(D1076:S1076))</f>
        <v/>
      </c>
      <c r="V1076" s="8">
        <f>IF(COUNT(D1076:S1076)=0,"",MAX(D1076:S1076))</f>
        <v/>
      </c>
      <c r="W1076" s="9">
        <f>IF(OR(T1076="",T1076=0),"",(V1076-T1076)/T1076)</f>
        <v/>
      </c>
      <c r="X1076" s="7">
        <f>IF(COUNT(D1076:S1076)=0,"",INDEX($D$1:$S$1,MATCH(MIN(D1076:S1076),D1076:S1076,0)))</f>
        <v/>
      </c>
      <c r="Y1076" s="8" t="n">
        <v>1163.48</v>
      </c>
      <c r="Z1076" s="10" t="n">
        <v>1</v>
      </c>
    </row>
    <row r="1077">
      <c r="A1077" s="7" t="inlineStr">
        <is>
          <t>MAT-20-005</t>
        </is>
      </c>
      <c r="B1077" s="4" t="inlineStr">
        <is>
          <t>Angular de hierro negro 1 1/4" x 1/8" x 20 pies</t>
        </is>
      </c>
      <c r="C1077" s="7" t="inlineStr">
        <is>
          <t>unidad</t>
        </is>
      </c>
      <c r="D1077" s="8" t="n">
        <v>781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>
        <f>IF(COUNT(D1077:S1077)=0,"",MIN(D1077:S1077))</f>
        <v/>
      </c>
      <c r="U1077" s="8">
        <f>IF(COUNT(D1077:S1077)=0,"",MEDIAN(D1077:S1077))</f>
        <v/>
      </c>
      <c r="V1077" s="8">
        <f>IF(COUNT(D1077:S1077)=0,"",MAX(D1077:S1077))</f>
        <v/>
      </c>
      <c r="W1077" s="9">
        <f>IF(OR(T1077="",T1077=0),"",(V1077-T1077)/T1077)</f>
        <v/>
      </c>
      <c r="X1077" s="7">
        <f>IF(COUNT(D1077:S1077)=0,"",INDEX($D$1:$S$1,MATCH(MIN(D1077:S1077),D1077:S1077,0)))</f>
        <v/>
      </c>
      <c r="Y1077" s="8" t="n">
        <v>781</v>
      </c>
      <c r="Z1077" s="10" t="n">
        <v>1</v>
      </c>
    </row>
    <row r="1078">
      <c r="A1078" s="7" t="inlineStr">
        <is>
          <t>MAT-20-006</t>
        </is>
      </c>
      <c r="B1078" s="4" t="inlineStr">
        <is>
          <t>Angular de hierro negro 1 1/4" x 3/16" x 20 pies</t>
        </is>
      </c>
      <c r="C1078" s="7" t="inlineStr">
        <is>
          <t>unidad</t>
        </is>
      </c>
      <c r="D1078" s="8" t="n">
        <v>1036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1011.86</v>
      </c>
      <c r="N1078" s="8" t="n"/>
      <c r="O1078" s="8" t="n"/>
      <c r="P1078" s="8" t="n"/>
      <c r="Q1078" s="8" t="n"/>
      <c r="R1078" s="8" t="n"/>
      <c r="S1078" s="8" t="n"/>
      <c r="T1078" s="8">
        <f>IF(COUNT(D1078:S1078)=0,"",MIN(D1078:S1078))</f>
        <v/>
      </c>
      <c r="U1078" s="8">
        <f>IF(COUNT(D1078:S1078)=0,"",MEDIAN(D1078:S1078))</f>
        <v/>
      </c>
      <c r="V1078" s="8">
        <f>IF(COUNT(D1078:S1078)=0,"",MAX(D1078:S1078))</f>
        <v/>
      </c>
      <c r="W1078" s="9">
        <f>IF(OR(T1078="",T1078=0),"",(V1078-T1078)/T1078)</f>
        <v/>
      </c>
      <c r="X1078" s="7">
        <f>IF(COUNT(D1078:S1078)=0,"",INDEX($D$1:$S$1,MATCH(MIN(D1078:S1078),D1078:S1078,0)))</f>
        <v/>
      </c>
      <c r="Y1078" s="8" t="n">
        <v>1115</v>
      </c>
      <c r="Z1078" s="10" t="n">
        <v>2</v>
      </c>
    </row>
    <row r="1079">
      <c r="A1079" s="7" t="inlineStr">
        <is>
          <t>MAT-20-007</t>
        </is>
      </c>
      <c r="B1079" s="4" t="inlineStr">
        <is>
          <t>Angular de hierro negro 1 1/4" x 1/4" x 20 pies</t>
        </is>
      </c>
      <c r="C1079" s="7" t="inlineStr">
        <is>
          <t>unidad</t>
        </is>
      </c>
      <c r="D1079" s="8" t="n">
        <v>1344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>
        <f>IF(COUNT(D1079:S1079)=0,"",MIN(D1079:S1079))</f>
        <v/>
      </c>
      <c r="U1079" s="8">
        <f>IF(COUNT(D1079:S1079)=0,"",MEDIAN(D1079:S1079))</f>
        <v/>
      </c>
      <c r="V1079" s="8">
        <f>IF(COUNT(D1079:S1079)=0,"",MAX(D1079:S1079))</f>
        <v/>
      </c>
      <c r="W1079" s="9">
        <f>IF(OR(T1079="",T1079=0),"",(V1079-T1079)/T1079)</f>
        <v/>
      </c>
      <c r="X1079" s="7">
        <f>IF(COUNT(D1079:S1079)=0,"",INDEX($D$1:$S$1,MATCH(MIN(D1079:S1079),D1079:S1079,0)))</f>
        <v/>
      </c>
      <c r="Y1079" s="8" t="n">
        <v>1344</v>
      </c>
      <c r="Z1079" s="10" t="n">
        <v>1</v>
      </c>
    </row>
    <row r="1080">
      <c r="A1080" s="7" t="inlineStr">
        <is>
          <t>MAT-20-008</t>
        </is>
      </c>
      <c r="B1080" s="4" t="inlineStr">
        <is>
          <t>Angular de hierro negro 1 1/2" x 3/16" x 20 pies</t>
        </is>
      </c>
      <c r="C1080" s="7" t="inlineStr">
        <is>
          <t>unidad</t>
        </is>
      </c>
      <c r="D1080" s="8" t="n">
        <v>1260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1437</v>
      </c>
      <c r="N1080" s="8" t="n"/>
      <c r="O1080" s="8" t="n"/>
      <c r="P1080" s="8" t="n"/>
      <c r="Q1080" s="8" t="n"/>
      <c r="R1080" s="8" t="n"/>
      <c r="S1080" s="8" t="n"/>
      <c r="T1080" s="8">
        <f>IF(COUNT(D1080:S1080)=0,"",MIN(D1080:S1080))</f>
        <v/>
      </c>
      <c r="U1080" s="8">
        <f>IF(COUNT(D1080:S1080)=0,"",MEDIAN(D1080:S1080))</f>
        <v/>
      </c>
      <c r="V1080" s="8">
        <f>IF(COUNT(D1080:S1080)=0,"",MAX(D1080:S1080))</f>
        <v/>
      </c>
      <c r="W1080" s="9">
        <f>IF(OR(T1080="",T1080=0),"",(V1080-T1080)/T1080)</f>
        <v/>
      </c>
      <c r="X1080" s="7">
        <f>IF(COUNT(D1080:S1080)=0,"",INDEX($D$1:$S$1,MATCH(MIN(D1080:S1080),D1080:S1080,0)))</f>
        <v/>
      </c>
      <c r="Y1080" s="8" t="n">
        <v>1477.83</v>
      </c>
      <c r="Z1080" s="10" t="n">
        <v>2</v>
      </c>
    </row>
    <row r="1081">
      <c r="A1081" s="7" t="inlineStr">
        <is>
          <t>MAT-20-009</t>
        </is>
      </c>
      <c r="B1081" s="4" t="inlineStr">
        <is>
          <t>Angular de hierro negro 1 1/2" x 1/4" x 20 pies</t>
        </is>
      </c>
      <c r="C1081" s="7" t="inlineStr">
        <is>
          <t>unidad</t>
        </is>
      </c>
      <c r="D1081" s="8" t="n">
        <v>1638.01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1698</v>
      </c>
      <c r="N1081" s="8" t="n"/>
      <c r="O1081" s="8" t="n"/>
      <c r="P1081" s="8" t="n"/>
      <c r="Q1081" s="8" t="n"/>
      <c r="R1081" s="8" t="n"/>
      <c r="S1081" s="8" t="n"/>
      <c r="T1081" s="8">
        <f>IF(COUNT(D1081:S1081)=0,"",MIN(D1081:S1081))</f>
        <v/>
      </c>
      <c r="U1081" s="8">
        <f>IF(COUNT(D1081:S1081)=0,"",MEDIAN(D1081:S1081))</f>
        <v/>
      </c>
      <c r="V1081" s="8">
        <f>IF(COUNT(D1081:S1081)=0,"",MAX(D1081:S1081))</f>
        <v/>
      </c>
      <c r="W1081" s="9">
        <f>IF(OR(T1081="",T1081=0),"",(V1081-T1081)/T1081)</f>
        <v/>
      </c>
      <c r="X1081" s="7">
        <f>IF(COUNT(D1081:S1081)=0,"",INDEX($D$1:$S$1,MATCH(MIN(D1081:S1081),D1081:S1081,0)))</f>
        <v/>
      </c>
      <c r="Y1081" s="8" t="n">
        <v>1820.82</v>
      </c>
      <c r="Z1081" s="10" t="n">
        <v>2</v>
      </c>
    </row>
    <row r="1082">
      <c r="A1082" s="7" t="inlineStr">
        <is>
          <t>MAT-20-010</t>
        </is>
      </c>
      <c r="B1082" s="4" t="inlineStr">
        <is>
          <t>Angular de hierro negro 2" x 1/8" x 20 pies</t>
        </is>
      </c>
      <c r="C1082" s="7" t="inlineStr">
        <is>
          <t>unidad</t>
        </is>
      </c>
      <c r="D1082" s="8" t="n">
        <v>1155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>
        <v>1048</v>
      </c>
      <c r="N1082" s="8" t="n"/>
      <c r="O1082" s="8" t="n"/>
      <c r="P1082" s="8" t="n"/>
      <c r="Q1082" s="8" t="n"/>
      <c r="R1082" s="8" t="n"/>
      <c r="S1082" s="8" t="n"/>
      <c r="T1082" s="8">
        <f>IF(COUNT(D1082:S1082)=0,"",MIN(D1082:S1082))</f>
        <v/>
      </c>
      <c r="U1082" s="8">
        <f>IF(COUNT(D1082:S1082)=0,"",MEDIAN(D1082:S1082))</f>
        <v/>
      </c>
      <c r="V1082" s="8">
        <f>IF(COUNT(D1082:S1082)=0,"",MAX(D1082:S1082))</f>
        <v/>
      </c>
      <c r="W1082" s="9">
        <f>IF(OR(T1082="",T1082=0),"",(V1082-T1082)/T1082)</f>
        <v/>
      </c>
      <c r="X1082" s="7">
        <f>IF(COUNT(D1082:S1082)=0,"",INDEX($D$1:$S$1,MATCH(MIN(D1082:S1082),D1082:S1082,0)))</f>
        <v/>
      </c>
      <c r="Y1082" s="8" t="n">
        <v>1195.82</v>
      </c>
      <c r="Z1082" s="10" t="n">
        <v>2</v>
      </c>
    </row>
    <row r="1083">
      <c r="A1083" s="7" t="inlineStr">
        <is>
          <t>MAT-20-011</t>
        </is>
      </c>
      <c r="B1083" s="4" t="inlineStr">
        <is>
          <t>Angular de hierro negro 2" x 3/16" x 20 pies</t>
        </is>
      </c>
      <c r="C1083" s="7" t="inlineStr">
        <is>
          <t>unidad</t>
        </is>
      </c>
      <c r="D1083" s="8" t="n">
        <v>1708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>
        <v>1971</v>
      </c>
      <c r="N1083" s="8" t="n"/>
      <c r="O1083" s="8" t="n"/>
      <c r="P1083" s="8" t="n"/>
      <c r="Q1083" s="8" t="n"/>
      <c r="R1083" s="8" t="n"/>
      <c r="S1083" s="8" t="n"/>
      <c r="T1083" s="8">
        <f>IF(COUNT(D1083:S1083)=0,"",MIN(D1083:S1083))</f>
        <v/>
      </c>
      <c r="U1083" s="8">
        <f>IF(COUNT(D1083:S1083)=0,"",MEDIAN(D1083:S1083))</f>
        <v/>
      </c>
      <c r="V1083" s="8">
        <f>IF(COUNT(D1083:S1083)=0,"",MAX(D1083:S1083))</f>
        <v/>
      </c>
      <c r="W1083" s="9">
        <f>IF(OR(T1083="",T1083=0),"",(V1083-T1083)/T1083)</f>
        <v/>
      </c>
      <c r="X1083" s="7">
        <f>IF(COUNT(D1083:S1083)=0,"",INDEX($D$1:$S$1,MATCH(MIN(D1083:S1083),D1083:S1083,0)))</f>
        <v/>
      </c>
      <c r="Y1083" s="8" t="n">
        <v>2016.89</v>
      </c>
      <c r="Z1083" s="10" t="n">
        <v>2</v>
      </c>
    </row>
    <row r="1084">
      <c r="A1084" s="7" t="inlineStr">
        <is>
          <t>MAT-20-012</t>
        </is>
      </c>
      <c r="B1084" s="4" t="inlineStr">
        <is>
          <t>Angular de hierro negro 2" x 1/4" x 20 pies</t>
        </is>
      </c>
      <c r="C1084" s="7" t="inlineStr">
        <is>
          <t>unidad</t>
        </is>
      </c>
      <c r="D1084" s="8" t="n">
        <v>2324.69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2539</v>
      </c>
      <c r="N1084" s="8" t="n"/>
      <c r="O1084" s="8" t="n"/>
      <c r="P1084" s="8" t="n"/>
      <c r="Q1084" s="8" t="n"/>
      <c r="R1084" s="8" t="n"/>
      <c r="S1084" s="8" t="n"/>
      <c r="T1084" s="8">
        <f>IF(COUNT(D1084:S1084)=0,"",MIN(D1084:S1084))</f>
        <v/>
      </c>
      <c r="U1084" s="8">
        <f>IF(COUNT(D1084:S1084)=0,"",MEDIAN(D1084:S1084))</f>
        <v/>
      </c>
      <c r="V1084" s="8">
        <f>IF(COUNT(D1084:S1084)=0,"",MAX(D1084:S1084))</f>
        <v/>
      </c>
      <c r="W1084" s="9">
        <f>IF(OR(T1084="",T1084=0),"",(V1084-T1084)/T1084)</f>
        <v/>
      </c>
      <c r="X1084" s="7">
        <f>IF(COUNT(D1084:S1084)=0,"",INDEX($D$1:$S$1,MATCH(MIN(D1084:S1084),D1084:S1084,0)))</f>
        <v/>
      </c>
      <c r="Y1084" s="8" t="n">
        <v>2660.36</v>
      </c>
      <c r="Z1084" s="10" t="n">
        <v>2</v>
      </c>
    </row>
    <row r="1085">
      <c r="A1085" s="7" t="inlineStr">
        <is>
          <t>MAT-20-013</t>
        </is>
      </c>
      <c r="B1085" s="4" t="inlineStr">
        <is>
          <t>Angular de hierro negro 2" x 3/8" x 20 pies</t>
        </is>
      </c>
      <c r="C1085" s="7" t="inlineStr">
        <is>
          <t>unidad</t>
        </is>
      </c>
      <c r="D1085" s="8" t="n">
        <v>3290.01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>
        <f>IF(COUNT(D1085:S1085)=0,"",MIN(D1085:S1085))</f>
        <v/>
      </c>
      <c r="U1085" s="8">
        <f>IF(COUNT(D1085:S1085)=0,"",MEDIAN(D1085:S1085))</f>
        <v/>
      </c>
      <c r="V1085" s="8">
        <f>IF(COUNT(D1085:S1085)=0,"",MAX(D1085:S1085))</f>
        <v/>
      </c>
      <c r="W1085" s="9">
        <f>IF(OR(T1085="",T1085=0),"",(V1085-T1085)/T1085)</f>
        <v/>
      </c>
      <c r="X1085" s="7">
        <f>IF(COUNT(D1085:S1085)=0,"",INDEX($D$1:$S$1,MATCH(MIN(D1085:S1085),D1085:S1085,0)))</f>
        <v/>
      </c>
      <c r="Y1085" s="8" t="n">
        <v>3290.01</v>
      </c>
      <c r="Z1085" s="10" t="n">
        <v>1</v>
      </c>
    </row>
    <row r="1086">
      <c r="A1086" s="7" t="inlineStr">
        <is>
          <t>MAT-20-014</t>
        </is>
      </c>
      <c r="B1086" s="4" t="inlineStr">
        <is>
          <t>Angular de hierro negro 2 1/2" x 3/16" x 20 pies</t>
        </is>
      </c>
      <c r="C1086" s="7" t="inlineStr">
        <is>
          <t>unidad</t>
        </is>
      </c>
      <c r="D1086" s="8" t="n">
        <v>2149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>
        <f>IF(COUNT(D1086:S1086)=0,"",MIN(D1086:S1086))</f>
        <v/>
      </c>
      <c r="U1086" s="8">
        <f>IF(COUNT(D1086:S1086)=0,"",MEDIAN(D1086:S1086))</f>
        <v/>
      </c>
      <c r="V1086" s="8">
        <f>IF(COUNT(D1086:S1086)=0,"",MAX(D1086:S1086))</f>
        <v/>
      </c>
      <c r="W1086" s="9">
        <f>IF(OR(T1086="",T1086=0),"",(V1086-T1086)/T1086)</f>
        <v/>
      </c>
      <c r="X1086" s="7">
        <f>IF(COUNT(D1086:S1086)=0,"",INDEX($D$1:$S$1,MATCH(MIN(D1086:S1086),D1086:S1086,0)))</f>
        <v/>
      </c>
      <c r="Y1086" s="8" t="n">
        <v>2149</v>
      </c>
      <c r="Z1086" s="10" t="n">
        <v>1</v>
      </c>
    </row>
    <row r="1087">
      <c r="A1087" s="7" t="inlineStr">
        <is>
          <t>MAT-20-015</t>
        </is>
      </c>
      <c r="B1087" s="4" t="inlineStr">
        <is>
          <t>Angular de hierro negro 2 1/2" x 1/4" x 20 pies</t>
        </is>
      </c>
      <c r="C1087" s="7" t="inlineStr">
        <is>
          <t>unidad</t>
        </is>
      </c>
      <c r="D1087" s="8" t="n">
        <v>2870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>
        <v>2744</v>
      </c>
      <c r="N1087" s="8" t="n"/>
      <c r="O1087" s="8" t="n"/>
      <c r="P1087" s="8" t="n"/>
      <c r="Q1087" s="8" t="n"/>
      <c r="R1087" s="8" t="n"/>
      <c r="S1087" s="8" t="n"/>
      <c r="T1087" s="8">
        <f>IF(COUNT(D1087:S1087)=0,"",MIN(D1087:S1087))</f>
        <v/>
      </c>
      <c r="U1087" s="8">
        <f>IF(COUNT(D1087:S1087)=0,"",MEDIAN(D1087:S1087))</f>
        <v/>
      </c>
      <c r="V1087" s="8">
        <f>IF(COUNT(D1087:S1087)=0,"",MAX(D1087:S1087))</f>
        <v/>
      </c>
      <c r="W1087" s="9">
        <f>IF(OR(T1087="",T1087=0),"",(V1087-T1087)/T1087)</f>
        <v/>
      </c>
      <c r="X1087" s="7">
        <f>IF(COUNT(D1087:S1087)=0,"",INDEX($D$1:$S$1,MATCH(MIN(D1087:S1087),D1087:S1087,0)))</f>
        <v/>
      </c>
      <c r="Y1087" s="8" t="n">
        <v>3053.96</v>
      </c>
      <c r="Z1087" s="10" t="n">
        <v>2</v>
      </c>
    </row>
    <row r="1088">
      <c r="A1088" s="7" t="inlineStr">
        <is>
          <t>MAT-20-016</t>
        </is>
      </c>
      <c r="B1088" s="4" t="inlineStr">
        <is>
          <t>Angular de hierro negro 2 1/2" x 3/8" x 20 pies</t>
        </is>
      </c>
      <c r="C1088" s="7" t="inlineStr">
        <is>
          <t>unidad</t>
        </is>
      </c>
      <c r="D1088" s="8" t="n">
        <v>4130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>
        <f>IF(COUNT(D1088:S1088)=0,"",MIN(D1088:S1088))</f>
        <v/>
      </c>
      <c r="U1088" s="8">
        <f>IF(COUNT(D1088:S1088)=0,"",MEDIAN(D1088:S1088))</f>
        <v/>
      </c>
      <c r="V1088" s="8">
        <f>IF(COUNT(D1088:S1088)=0,"",MAX(D1088:S1088))</f>
        <v/>
      </c>
      <c r="W1088" s="9">
        <f>IF(OR(T1088="",T1088=0),"",(V1088-T1088)/T1088)</f>
        <v/>
      </c>
      <c r="X1088" s="7">
        <f>IF(COUNT(D1088:S1088)=0,"",INDEX($D$1:$S$1,MATCH(MIN(D1088:S1088),D1088:S1088,0)))</f>
        <v/>
      </c>
      <c r="Y1088" s="8" t="n">
        <v>4130</v>
      </c>
      <c r="Z1088" s="10" t="n">
        <v>1</v>
      </c>
    </row>
    <row r="1089">
      <c r="A1089" s="7" t="inlineStr">
        <is>
          <t>MAT-20-017</t>
        </is>
      </c>
      <c r="B1089" s="4" t="inlineStr">
        <is>
          <t>Angular de hierro negro 3" x 1/4" x 20 pies</t>
        </is>
      </c>
      <c r="C1089" s="7" t="inlineStr">
        <is>
          <t>unidad</t>
        </is>
      </c>
      <c r="D1089" s="8" t="n">
        <v>3430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>
        <v>3127</v>
      </c>
      <c r="N1089" s="8" t="n"/>
      <c r="O1089" s="8" t="n"/>
      <c r="P1089" s="8" t="n"/>
      <c r="Q1089" s="8" t="n"/>
      <c r="R1089" s="8" t="n"/>
      <c r="S1089" s="8" t="n"/>
      <c r="T1089" s="8">
        <f>IF(COUNT(D1089:S1089)=0,"",MIN(D1089:S1089))</f>
        <v/>
      </c>
      <c r="U1089" s="8">
        <f>IF(COUNT(D1089:S1089)=0,"",MEDIAN(D1089:S1089))</f>
        <v/>
      </c>
      <c r="V1089" s="8">
        <f>IF(COUNT(D1089:S1089)=0,"",MAX(D1089:S1089))</f>
        <v/>
      </c>
      <c r="W1089" s="9">
        <f>IF(OR(T1089="",T1089=0),"",(V1089-T1089)/T1089)</f>
        <v/>
      </c>
      <c r="X1089" s="7">
        <f>IF(COUNT(D1089:S1089)=0,"",INDEX($D$1:$S$1,MATCH(MIN(D1089:S1089),D1089:S1089,0)))</f>
        <v/>
      </c>
      <c r="Y1089" s="8" t="n">
        <v>3559.93</v>
      </c>
      <c r="Z1089" s="10" t="n">
        <v>2</v>
      </c>
    </row>
    <row r="1090">
      <c r="A1090" s="7" t="inlineStr">
        <is>
          <t>MAT-20-018</t>
        </is>
      </c>
      <c r="B1090" s="4" t="inlineStr">
        <is>
          <t>Angular de hierro negro 3" x 3/8" x 20 pies</t>
        </is>
      </c>
      <c r="C1090" s="7" t="inlineStr">
        <is>
          <t>unidad</t>
        </is>
      </c>
      <c r="D1090" s="8" t="n">
        <v>5622.2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>
        <f>IF(COUNT(D1090:S1090)=0,"",MIN(D1090:S1090))</f>
        <v/>
      </c>
      <c r="U1090" s="8">
        <f>IF(COUNT(D1090:S1090)=0,"",MEDIAN(D1090:S1090))</f>
        <v/>
      </c>
      <c r="V1090" s="8">
        <f>IF(COUNT(D1090:S1090)=0,"",MAX(D1090:S1090))</f>
        <v/>
      </c>
      <c r="W1090" s="9">
        <f>IF(OR(T1090="",T1090=0),"",(V1090-T1090)/T1090)</f>
        <v/>
      </c>
      <c r="X1090" s="7">
        <f>IF(COUNT(D1090:S1090)=0,"",INDEX($D$1:$S$1,MATCH(MIN(D1090:S1090),D1090:S1090,0)))</f>
        <v/>
      </c>
      <c r="Y1090" s="8" t="n">
        <v>5622.2</v>
      </c>
      <c r="Z1090" s="10" t="n">
        <v>1</v>
      </c>
    </row>
    <row r="1091">
      <c r="A1091" s="7" t="inlineStr">
        <is>
          <t>MAT-20-019</t>
        </is>
      </c>
      <c r="B1091" s="4" t="inlineStr">
        <is>
          <t>Angular de hierro negro 4" x 1/4" x 20 pies</t>
        </is>
      </c>
      <c r="C1091" s="7" t="inlineStr">
        <is>
          <t>unidad</t>
        </is>
      </c>
      <c r="D1091" s="8" t="n">
        <v>4117.73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>
        <v>5306</v>
      </c>
      <c r="N1091" s="8" t="n"/>
      <c r="O1091" s="8" t="n"/>
      <c r="P1091" s="8" t="n"/>
      <c r="Q1091" s="8" t="n"/>
      <c r="R1091" s="8" t="n"/>
      <c r="S1091" s="8" t="n"/>
      <c r="T1091" s="8">
        <f>IF(COUNT(D1091:S1091)=0,"",MIN(D1091:S1091))</f>
        <v/>
      </c>
      <c r="U1091" s="8">
        <f>IF(COUNT(D1091:S1091)=0,"",MEDIAN(D1091:S1091))</f>
        <v/>
      </c>
      <c r="V1091" s="8">
        <f>IF(COUNT(D1091:S1091)=0,"",MAX(D1091:S1091))</f>
        <v/>
      </c>
      <c r="W1091" s="9">
        <f>IF(OR(T1091="",T1091=0),"",(V1091-T1091)/T1091)</f>
        <v/>
      </c>
      <c r="X1091" s="7">
        <f>IF(COUNT(D1091:S1091)=0,"",INDEX($D$1:$S$1,MATCH(MIN(D1091:S1091),D1091:S1091,0)))</f>
        <v/>
      </c>
      <c r="Y1091" s="8" t="n">
        <v>5189.41</v>
      </c>
      <c r="Z1091" s="10" t="n">
        <v>2</v>
      </c>
    </row>
    <row r="1092">
      <c r="A1092" s="7" t="inlineStr">
        <is>
          <t>MAT-20-020</t>
        </is>
      </c>
      <c r="B1092" s="4" t="inlineStr">
        <is>
          <t>Angular de hierro negro 4" x 1/2" x 20 pies</t>
        </is>
      </c>
      <c r="C1092" s="7" t="inlineStr">
        <is>
          <t>unidad</t>
        </is>
      </c>
      <c r="D1092" s="8" t="n">
        <v>9995.309999999999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>
        <f>IF(COUNT(D1092:S1092)=0,"",MIN(D1092:S1092))</f>
        <v/>
      </c>
      <c r="U1092" s="8">
        <f>IF(COUNT(D1092:S1092)=0,"",MEDIAN(D1092:S1092))</f>
        <v/>
      </c>
      <c r="V1092" s="8">
        <f>IF(COUNT(D1092:S1092)=0,"",MAX(D1092:S1092))</f>
        <v/>
      </c>
      <c r="W1092" s="9">
        <f>IF(OR(T1092="",T1092=0),"",(V1092-T1092)/T1092)</f>
        <v/>
      </c>
      <c r="X1092" s="7">
        <f>IF(COUNT(D1092:S1092)=0,"",INDEX($D$1:$S$1,MATCH(MIN(D1092:S1092),D1092:S1092,0)))</f>
        <v/>
      </c>
      <c r="Y1092" s="8" t="n">
        <v>9995.309999999999</v>
      </c>
      <c r="Z1092" s="10" t="n">
        <v>1</v>
      </c>
    </row>
    <row r="1093">
      <c r="A1093" s="7" t="inlineStr">
        <is>
          <t>MAT-20-021</t>
        </is>
      </c>
      <c r="B1093" s="4" t="inlineStr">
        <is>
          <t>Angular perforado, 1-1/2X1-1/2"X10'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/>
      <c r="J1093" s="8" t="n"/>
      <c r="K1093" s="8" t="n">
        <v>425</v>
      </c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>
        <f>IF(COUNT(D1093:S1093)=0,"",MIN(D1093:S1093))</f>
        <v/>
      </c>
      <c r="U1093" s="8">
        <f>IF(COUNT(D1093:S1093)=0,"",MEDIAN(D1093:S1093))</f>
        <v/>
      </c>
      <c r="V1093" s="8">
        <f>IF(COUNT(D1093:S1093)=0,"",MAX(D1093:S1093))</f>
        <v/>
      </c>
      <c r="W1093" s="9">
        <f>IF(OR(T1093="",T1093=0),"",(V1093-T1093)/T1093)</f>
        <v/>
      </c>
      <c r="X1093" s="7">
        <f>IF(COUNT(D1093:S1093)=0,"",INDEX($D$1:$S$1,MATCH(MIN(D1093:S1093),D1093:S1093,0)))</f>
        <v/>
      </c>
      <c r="Y1093" s="8" t="n">
        <v>425</v>
      </c>
      <c r="Z1093" s="10" t="n">
        <v>1</v>
      </c>
    </row>
    <row r="1094">
      <c r="A1094" s="7" t="inlineStr">
        <is>
          <t>MAT-20-022</t>
        </is>
      </c>
      <c r="B1094" s="4" t="inlineStr">
        <is>
          <t>Angular perforado, 1-1/2X1-1/2"X8'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360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>
        <f>IF(COUNT(D1094:S1094)=0,"",MIN(D1094:S1094))</f>
        <v/>
      </c>
      <c r="U1094" s="8">
        <f>IF(COUNT(D1094:S1094)=0,"",MEDIAN(D1094:S1094))</f>
        <v/>
      </c>
      <c r="V1094" s="8">
        <f>IF(COUNT(D1094:S1094)=0,"",MAX(D1094:S1094))</f>
        <v/>
      </c>
      <c r="W1094" s="9">
        <f>IF(OR(T1094="",T1094=0),"",(V1094-T1094)/T1094)</f>
        <v/>
      </c>
      <c r="X1094" s="7">
        <f>IF(COUNT(D1094:S1094)=0,"",INDEX($D$1:$S$1,MATCH(MIN(D1094:S1094),D1094:S1094,0)))</f>
        <v/>
      </c>
      <c r="Y1094" s="8" t="n">
        <v>360</v>
      </c>
      <c r="Z1094" s="10" t="n">
        <v>1</v>
      </c>
    </row>
    <row r="1095">
      <c r="A1095" s="7" t="inlineStr">
        <is>
          <t>MAT-20-023</t>
        </is>
      </c>
      <c r="B1095" s="4" t="inlineStr">
        <is>
          <t>Planchuela de hierro negro 1/2" x 1/8" x 20 pies</t>
        </is>
      </c>
      <c r="C1095" s="7" t="inlineStr">
        <is>
          <t>unidad</t>
        </is>
      </c>
      <c r="D1095" s="8" t="n">
        <v>141.64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>
        <f>IF(COUNT(D1095:S1095)=0,"",MIN(D1095:S1095))</f>
        <v/>
      </c>
      <c r="U1095" s="8">
        <f>IF(COUNT(D1095:S1095)=0,"",MEDIAN(D1095:S1095))</f>
        <v/>
      </c>
      <c r="V1095" s="8">
        <f>IF(COUNT(D1095:S1095)=0,"",MAX(D1095:S1095))</f>
        <v/>
      </c>
      <c r="W1095" s="9">
        <f>IF(OR(T1095="",T1095=0),"",(V1095-T1095)/T1095)</f>
        <v/>
      </c>
      <c r="X1095" s="7">
        <f>IF(COUNT(D1095:S1095)=0,"",INDEX($D$1:$S$1,MATCH(MIN(D1095:S1095),D1095:S1095,0)))</f>
        <v/>
      </c>
      <c r="Y1095" s="8" t="n">
        <v>141.64</v>
      </c>
      <c r="Z1095" s="10" t="n">
        <v>1</v>
      </c>
    </row>
    <row r="1096">
      <c r="A1096" s="7" t="inlineStr">
        <is>
          <t>MAT-20-024</t>
        </is>
      </c>
      <c r="B1096" s="4" t="inlineStr">
        <is>
          <t>Planchuela de hierro negro 1/2" x 3/16" x 20 pies</t>
        </is>
      </c>
      <c r="C1096" s="7" t="inlineStr">
        <is>
          <t>unidad</t>
        </is>
      </c>
      <c r="D1096" s="8" t="n">
        <v>249.92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>
        <f>IF(COUNT(D1096:S1096)=0,"",MIN(D1096:S1096))</f>
        <v/>
      </c>
      <c r="U1096" s="8">
        <f>IF(COUNT(D1096:S1096)=0,"",MEDIAN(D1096:S1096))</f>
        <v/>
      </c>
      <c r="V1096" s="8">
        <f>IF(COUNT(D1096:S1096)=0,"",MAX(D1096:S1096))</f>
        <v/>
      </c>
      <c r="W1096" s="9">
        <f>IF(OR(T1096="",T1096=0),"",(V1096-T1096)/T1096)</f>
        <v/>
      </c>
      <c r="X1096" s="7">
        <f>IF(COUNT(D1096:S1096)=0,"",INDEX($D$1:$S$1,MATCH(MIN(D1096:S1096),D1096:S1096,0)))</f>
        <v/>
      </c>
      <c r="Y1096" s="8" t="n">
        <v>249.92</v>
      </c>
      <c r="Z1096" s="10" t="n">
        <v>1</v>
      </c>
    </row>
    <row r="1097">
      <c r="A1097" s="7" t="inlineStr">
        <is>
          <t>MAT-20-025</t>
        </is>
      </c>
      <c r="B1097" s="4" t="inlineStr">
        <is>
          <t>Planchuela de hierro negro 1/2" x 1/4" x 20 pies</t>
        </is>
      </c>
      <c r="C1097" s="7" t="inlineStr">
        <is>
          <t>unidad</t>
        </is>
      </c>
      <c r="D1097" s="8" t="n">
        <v>331.8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>
        <f>IF(COUNT(D1097:S1097)=0,"",MIN(D1097:S1097))</f>
        <v/>
      </c>
      <c r="U1097" s="8">
        <f>IF(COUNT(D1097:S1097)=0,"",MEDIAN(D1097:S1097))</f>
        <v/>
      </c>
      <c r="V1097" s="8">
        <f>IF(COUNT(D1097:S1097)=0,"",MAX(D1097:S1097))</f>
        <v/>
      </c>
      <c r="W1097" s="9">
        <f>IF(OR(T1097="",T1097=0),"",(V1097-T1097)/T1097)</f>
        <v/>
      </c>
      <c r="X1097" s="7">
        <f>IF(COUNT(D1097:S1097)=0,"",INDEX($D$1:$S$1,MATCH(MIN(D1097:S1097),D1097:S1097,0)))</f>
        <v/>
      </c>
      <c r="Y1097" s="8" t="n">
        <v>331.8</v>
      </c>
      <c r="Z1097" s="10" t="n">
        <v>1</v>
      </c>
    </row>
    <row r="1098">
      <c r="A1098" s="7" t="inlineStr">
        <is>
          <t>MAT-20-026</t>
        </is>
      </c>
      <c r="B1098" s="4" t="inlineStr">
        <is>
          <t>Planchuela de hierro negro 3/4" x 1/8" x 20 pies</t>
        </is>
      </c>
      <c r="C1098" s="7" t="inlineStr">
        <is>
          <t>unidad</t>
        </is>
      </c>
      <c r="D1098" s="8" t="n">
        <v>298.91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>
        <f>IF(COUNT(D1098:S1098)=0,"",MIN(D1098:S1098))</f>
        <v/>
      </c>
      <c r="U1098" s="8">
        <f>IF(COUNT(D1098:S1098)=0,"",MEDIAN(D1098:S1098))</f>
        <v/>
      </c>
      <c r="V1098" s="8">
        <f>IF(COUNT(D1098:S1098)=0,"",MAX(D1098:S1098))</f>
        <v/>
      </c>
      <c r="W1098" s="9">
        <f>IF(OR(T1098="",T1098=0),"",(V1098-T1098)/T1098)</f>
        <v/>
      </c>
      <c r="X1098" s="7">
        <f>IF(COUNT(D1098:S1098)=0,"",INDEX($D$1:$S$1,MATCH(MIN(D1098:S1098),D1098:S1098,0)))</f>
        <v/>
      </c>
      <c r="Y1098" s="8" t="n">
        <v>298.91</v>
      </c>
      <c r="Z1098" s="10" t="n">
        <v>1</v>
      </c>
    </row>
    <row r="1099">
      <c r="A1099" s="7" t="inlineStr">
        <is>
          <t>MAT-20-027</t>
        </is>
      </c>
      <c r="B1099" s="4" t="inlineStr">
        <is>
          <t>Planchuela de hierro negro 3/4" x 3/16" x 20 pies</t>
        </is>
      </c>
      <c r="C1099" s="7" t="inlineStr">
        <is>
          <t>unidad</t>
        </is>
      </c>
      <c r="D1099" s="8" t="n">
        <v>373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>
        <f>IF(COUNT(D1099:S1099)=0,"",MIN(D1099:S1099))</f>
        <v/>
      </c>
      <c r="U1099" s="8">
        <f>IF(COUNT(D1099:S1099)=0,"",MEDIAN(D1099:S1099))</f>
        <v/>
      </c>
      <c r="V1099" s="8">
        <f>IF(COUNT(D1099:S1099)=0,"",MAX(D1099:S1099))</f>
        <v/>
      </c>
      <c r="W1099" s="9">
        <f>IF(OR(T1099="",T1099=0),"",(V1099-T1099)/T1099)</f>
        <v/>
      </c>
      <c r="X1099" s="7">
        <f>IF(COUNT(D1099:S1099)=0,"",INDEX($D$1:$S$1,MATCH(MIN(D1099:S1099),D1099:S1099,0)))</f>
        <v/>
      </c>
      <c r="Y1099" s="8" t="n">
        <v>373</v>
      </c>
      <c r="Z1099" s="10" t="n">
        <v>1</v>
      </c>
    </row>
    <row r="1100">
      <c r="A1100" s="7" t="inlineStr">
        <is>
          <t>MAT-20-028</t>
        </is>
      </c>
      <c r="B1100" s="4" t="inlineStr">
        <is>
          <t>Planchuela de hierro negro 3/4" x 1/4" x 20 pies</t>
        </is>
      </c>
      <c r="C1100" s="7" t="inlineStr">
        <is>
          <t>unidad</t>
        </is>
      </c>
      <c r="D1100" s="8" t="n">
        <v>497.72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>
        <f>IF(COUNT(D1100:S1100)=0,"",MIN(D1100:S1100))</f>
        <v/>
      </c>
      <c r="U1100" s="8">
        <f>IF(COUNT(D1100:S1100)=0,"",MEDIAN(D1100:S1100))</f>
        <v/>
      </c>
      <c r="V1100" s="8">
        <f>IF(COUNT(D1100:S1100)=0,"",MAX(D1100:S1100))</f>
        <v/>
      </c>
      <c r="W1100" s="9">
        <f>IF(OR(T1100="",T1100=0),"",(V1100-T1100)/T1100)</f>
        <v/>
      </c>
      <c r="X1100" s="7">
        <f>IF(COUNT(D1100:S1100)=0,"",INDEX($D$1:$S$1,MATCH(MIN(D1100:S1100),D1100:S1100,0)))</f>
        <v/>
      </c>
      <c r="Y1100" s="8" t="n">
        <v>497.72</v>
      </c>
      <c r="Z1100" s="10" t="n">
        <v>1</v>
      </c>
    </row>
    <row r="1101">
      <c r="A1101" s="7" t="inlineStr">
        <is>
          <t>MAT-20-029</t>
        </is>
      </c>
      <c r="B1101" s="4" t="inlineStr">
        <is>
          <t>Planchuela de hierro negro 1" x 1/8" x 20 pies</t>
        </is>
      </c>
      <c r="C1101" s="7" t="inlineStr">
        <is>
          <t>unidad</t>
        </is>
      </c>
      <c r="D1101" s="8" t="n">
        <v>297.5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>
        <f>IF(COUNT(D1101:S1101)=0,"",MIN(D1101:S1101))</f>
        <v/>
      </c>
      <c r="U1101" s="8">
        <f>IF(COUNT(D1101:S1101)=0,"",MEDIAN(D1101:S1101))</f>
        <v/>
      </c>
      <c r="V1101" s="8">
        <f>IF(COUNT(D1101:S1101)=0,"",MAX(D1101:S1101))</f>
        <v/>
      </c>
      <c r="W1101" s="9">
        <f>IF(OR(T1101="",T1101=0),"",(V1101-T1101)/T1101)</f>
        <v/>
      </c>
      <c r="X1101" s="7">
        <f>IF(COUNT(D1101:S1101)=0,"",INDEX($D$1:$S$1,MATCH(MIN(D1101:S1101),D1101:S1101,0)))</f>
        <v/>
      </c>
      <c r="Y1101" s="8" t="n">
        <v>297.5</v>
      </c>
      <c r="Z1101" s="10" t="n">
        <v>1</v>
      </c>
    </row>
    <row r="1102">
      <c r="A1102" s="7" t="inlineStr">
        <is>
          <t>MAT-20-030</t>
        </is>
      </c>
      <c r="B1102" s="4" t="inlineStr">
        <is>
          <t>Planchuela de hierro negro 1" x 3/16" x 20 pies</t>
        </is>
      </c>
      <c r="C1102" s="7" t="inlineStr">
        <is>
          <t>unidad</t>
        </is>
      </c>
      <c r="D1102" s="8" t="n">
        <v>446.25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>
        <f>IF(COUNT(D1102:S1102)=0,"",MIN(D1102:S1102))</f>
        <v/>
      </c>
      <c r="U1102" s="8">
        <f>IF(COUNT(D1102:S1102)=0,"",MEDIAN(D1102:S1102))</f>
        <v/>
      </c>
      <c r="V1102" s="8">
        <f>IF(COUNT(D1102:S1102)=0,"",MAX(D1102:S1102))</f>
        <v/>
      </c>
      <c r="W1102" s="9">
        <f>IF(OR(T1102="",T1102=0),"",(V1102-T1102)/T1102)</f>
        <v/>
      </c>
      <c r="X1102" s="7">
        <f>IF(COUNT(D1102:S1102)=0,"",INDEX($D$1:$S$1,MATCH(MIN(D1102:S1102),D1102:S1102,0)))</f>
        <v/>
      </c>
      <c r="Y1102" s="8" t="n">
        <v>446.25</v>
      </c>
      <c r="Z1102" s="10" t="n">
        <v>1</v>
      </c>
    </row>
    <row r="1103">
      <c r="A1103" s="7" t="inlineStr">
        <is>
          <t>MAT-20-031</t>
        </is>
      </c>
      <c r="B1103" s="4" t="inlineStr">
        <is>
          <t>Planchuela de hierro negro 1" x 1/4" x 20 pies</t>
        </is>
      </c>
      <c r="C1103" s="7" t="inlineStr">
        <is>
          <t>unidad</t>
        </is>
      </c>
      <c r="D1103" s="8" t="n">
        <v>595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>
        <f>IF(COUNT(D1103:S1103)=0,"",MIN(D1103:S1103))</f>
        <v/>
      </c>
      <c r="U1103" s="8">
        <f>IF(COUNT(D1103:S1103)=0,"",MEDIAN(D1103:S1103))</f>
        <v/>
      </c>
      <c r="V1103" s="8">
        <f>IF(COUNT(D1103:S1103)=0,"",MAX(D1103:S1103))</f>
        <v/>
      </c>
      <c r="W1103" s="9">
        <f>IF(OR(T1103="",T1103=0),"",(V1103-T1103)/T1103)</f>
        <v/>
      </c>
      <c r="X1103" s="7">
        <f>IF(COUNT(D1103:S1103)=0,"",INDEX($D$1:$S$1,MATCH(MIN(D1103:S1103),D1103:S1103,0)))</f>
        <v/>
      </c>
      <c r="Y1103" s="8" t="n">
        <v>595</v>
      </c>
      <c r="Z1103" s="10" t="n">
        <v>1</v>
      </c>
    </row>
    <row r="1104">
      <c r="A1104" s="7" t="inlineStr">
        <is>
          <t>MAT-20-032</t>
        </is>
      </c>
      <c r="B1104" s="4" t="inlineStr">
        <is>
          <t>Planchuela de hierro negro 1" x 1/2" x 20 pies</t>
        </is>
      </c>
      <c r="C1104" s="7" t="inlineStr">
        <is>
          <t>unidad</t>
        </is>
      </c>
      <c r="D1104" s="8" t="n">
        <v>1327.5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>
        <f>IF(COUNT(D1104:S1104)=0,"",MIN(D1104:S1104))</f>
        <v/>
      </c>
      <c r="U1104" s="8">
        <f>IF(COUNT(D1104:S1104)=0,"",MEDIAN(D1104:S1104))</f>
        <v/>
      </c>
      <c r="V1104" s="8">
        <f>IF(COUNT(D1104:S1104)=0,"",MAX(D1104:S1104))</f>
        <v/>
      </c>
      <c r="W1104" s="9">
        <f>IF(OR(T1104="",T1104=0),"",(V1104-T1104)/T1104)</f>
        <v/>
      </c>
      <c r="X1104" s="7">
        <f>IF(COUNT(D1104:S1104)=0,"",INDEX($D$1:$S$1,MATCH(MIN(D1104:S1104),D1104:S1104,0)))</f>
        <v/>
      </c>
      <c r="Y1104" s="8" t="n">
        <v>1327.5</v>
      </c>
      <c r="Z1104" s="10" t="n">
        <v>1</v>
      </c>
    </row>
    <row r="1105">
      <c r="A1105" s="7" t="inlineStr">
        <is>
          <t>MAT-20-033</t>
        </is>
      </c>
      <c r="B1105" s="4" t="inlineStr">
        <is>
          <t>Planchuela de hierro negro 1 1/4" x 1/8" x 20 pies</t>
        </is>
      </c>
      <c r="C1105" s="7" t="inlineStr">
        <is>
          <t>unidad</t>
        </is>
      </c>
      <c r="D1105" s="8" t="n">
        <v>415.35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>
        <f>IF(COUNT(D1105:S1105)=0,"",MIN(D1105:S1105))</f>
        <v/>
      </c>
      <c r="U1105" s="8">
        <f>IF(COUNT(D1105:S1105)=0,"",MEDIAN(D1105:S1105))</f>
        <v/>
      </c>
      <c r="V1105" s="8">
        <f>IF(COUNT(D1105:S1105)=0,"",MAX(D1105:S1105))</f>
        <v/>
      </c>
      <c r="W1105" s="9">
        <f>IF(OR(T1105="",T1105=0),"",(V1105-T1105)/T1105)</f>
        <v/>
      </c>
      <c r="X1105" s="7">
        <f>IF(COUNT(D1105:S1105)=0,"",INDEX($D$1:$S$1,MATCH(MIN(D1105:S1105),D1105:S1105,0)))</f>
        <v/>
      </c>
      <c r="Y1105" s="8" t="n">
        <v>415.35</v>
      </c>
      <c r="Z1105" s="10" t="n">
        <v>1</v>
      </c>
    </row>
    <row r="1106">
      <c r="A1106" s="7" t="inlineStr">
        <is>
          <t>MAT-20-034</t>
        </is>
      </c>
      <c r="B1106" s="4" t="inlineStr">
        <is>
          <t>Planchuela de hierro negro 1 1/4" x 3/16" x 20 pies</t>
        </is>
      </c>
      <c r="C1106" s="7" t="inlineStr">
        <is>
          <t>unidad</t>
        </is>
      </c>
      <c r="D1106" s="8" t="n">
        <v>614.58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>
        <f>IF(COUNT(D1106:S1106)=0,"",MIN(D1106:S1106))</f>
        <v/>
      </c>
      <c r="U1106" s="8">
        <f>IF(COUNT(D1106:S1106)=0,"",MEDIAN(D1106:S1106))</f>
        <v/>
      </c>
      <c r="V1106" s="8">
        <f>IF(COUNT(D1106:S1106)=0,"",MAX(D1106:S1106))</f>
        <v/>
      </c>
      <c r="W1106" s="9">
        <f>IF(OR(T1106="",T1106=0),"",(V1106-T1106)/T1106)</f>
        <v/>
      </c>
      <c r="X1106" s="7">
        <f>IF(COUNT(D1106:S1106)=0,"",INDEX($D$1:$S$1,MATCH(MIN(D1106:S1106),D1106:S1106,0)))</f>
        <v/>
      </c>
      <c r="Y1106" s="8" t="n">
        <v>614.58</v>
      </c>
      <c r="Z1106" s="10" t="n">
        <v>1</v>
      </c>
    </row>
    <row r="1107">
      <c r="A1107" s="7" t="inlineStr">
        <is>
          <t>MAT-20-035</t>
        </is>
      </c>
      <c r="B1107" s="4" t="inlineStr">
        <is>
          <t>Planchuela de hierro negro 1 1/4" x 1/4" x 20 pies</t>
        </is>
      </c>
      <c r="C1107" s="7" t="inlineStr">
        <is>
          <t>unidad</t>
        </is>
      </c>
      <c r="D1107" s="8" t="n">
        <v>745.5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>
        <f>IF(COUNT(D1107:S1107)=0,"",MIN(D1107:S1107))</f>
        <v/>
      </c>
      <c r="U1107" s="8">
        <f>IF(COUNT(D1107:S1107)=0,"",MEDIAN(D1107:S1107))</f>
        <v/>
      </c>
      <c r="V1107" s="8">
        <f>IF(COUNT(D1107:S1107)=0,"",MAX(D1107:S1107))</f>
        <v/>
      </c>
      <c r="W1107" s="9">
        <f>IF(OR(T1107="",T1107=0),"",(V1107-T1107)/T1107)</f>
        <v/>
      </c>
      <c r="X1107" s="7">
        <f>IF(COUNT(D1107:S1107)=0,"",INDEX($D$1:$S$1,MATCH(MIN(D1107:S1107),D1107:S1107,0)))</f>
        <v/>
      </c>
      <c r="Y1107" s="8" t="n">
        <v>745.5</v>
      </c>
      <c r="Z1107" s="10" t="n">
        <v>1</v>
      </c>
    </row>
    <row r="1108">
      <c r="A1108" s="7" t="inlineStr">
        <is>
          <t>MAT-20-036</t>
        </is>
      </c>
      <c r="B1108" s="4" t="inlineStr">
        <is>
          <t>Planchuela de hierro negro 1 1/4" x 3/8" x 20 pies</t>
        </is>
      </c>
      <c r="C1108" s="7" t="inlineStr">
        <is>
          <t>unidad</t>
        </is>
      </c>
      <c r="D1108" s="8" t="n">
        <v>1115.73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>
        <f>IF(COUNT(D1108:S1108)=0,"",MIN(D1108:S1108))</f>
        <v/>
      </c>
      <c r="U1108" s="8">
        <f>IF(COUNT(D1108:S1108)=0,"",MEDIAN(D1108:S1108))</f>
        <v/>
      </c>
      <c r="V1108" s="8">
        <f>IF(COUNT(D1108:S1108)=0,"",MAX(D1108:S1108))</f>
        <v/>
      </c>
      <c r="W1108" s="9">
        <f>IF(OR(T1108="",T1108=0),"",(V1108-T1108)/T1108)</f>
        <v/>
      </c>
      <c r="X1108" s="7">
        <f>IF(COUNT(D1108:S1108)=0,"",INDEX($D$1:$S$1,MATCH(MIN(D1108:S1108),D1108:S1108,0)))</f>
        <v/>
      </c>
      <c r="Y1108" s="8" t="n">
        <v>1115.73</v>
      </c>
      <c r="Z1108" s="10" t="n">
        <v>1</v>
      </c>
    </row>
    <row r="1109">
      <c r="A1109" s="7" t="inlineStr">
        <is>
          <t>MAT-20-037</t>
        </is>
      </c>
      <c r="B1109" s="4" t="inlineStr">
        <is>
          <t>Planchuela de hierro negro 1 1/2" x 1/8" x 20 pies</t>
        </is>
      </c>
      <c r="C1109" s="7" t="inlineStr">
        <is>
          <t>unidad</t>
        </is>
      </c>
      <c r="D1109" s="8" t="n">
        <v>451.7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>
        <f>IF(COUNT(D1109:S1109)=0,"",MIN(D1109:S1109))</f>
        <v/>
      </c>
      <c r="U1109" s="8">
        <f>IF(COUNT(D1109:S1109)=0,"",MEDIAN(D1109:S1109))</f>
        <v/>
      </c>
      <c r="V1109" s="8">
        <f>IF(COUNT(D1109:S1109)=0,"",MAX(D1109:S1109))</f>
        <v/>
      </c>
      <c r="W1109" s="9">
        <f>IF(OR(T1109="",T1109=0),"",(V1109-T1109)/T1109)</f>
        <v/>
      </c>
      <c r="X1109" s="7">
        <f>IF(COUNT(D1109:S1109)=0,"",INDEX($D$1:$S$1,MATCH(MIN(D1109:S1109),D1109:S1109,0)))</f>
        <v/>
      </c>
      <c r="Y1109" s="8" t="n">
        <v>451.7</v>
      </c>
      <c r="Z1109" s="10" t="n">
        <v>1</v>
      </c>
    </row>
    <row r="1110">
      <c r="A1110" s="7" t="inlineStr">
        <is>
          <t>MAT-20-038</t>
        </is>
      </c>
      <c r="B1110" s="4" t="inlineStr">
        <is>
          <t>Planchuela de hierro negro 1 1/2" x 3/16" x 20 pies</t>
        </is>
      </c>
      <c r="C1110" s="7" t="inlineStr">
        <is>
          <t>unidad</t>
        </is>
      </c>
      <c r="D1110" s="8" t="n">
        <v>682.5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>
        <f>IF(COUNT(D1110:S1110)=0,"",MIN(D1110:S1110))</f>
        <v/>
      </c>
      <c r="U1110" s="8">
        <f>IF(COUNT(D1110:S1110)=0,"",MEDIAN(D1110:S1110))</f>
        <v/>
      </c>
      <c r="V1110" s="8">
        <f>IF(COUNT(D1110:S1110)=0,"",MAX(D1110:S1110))</f>
        <v/>
      </c>
      <c r="W1110" s="9">
        <f>IF(OR(T1110="",T1110=0),"",(V1110-T1110)/T1110)</f>
        <v/>
      </c>
      <c r="X1110" s="7">
        <f>IF(COUNT(D1110:S1110)=0,"",INDEX($D$1:$S$1,MATCH(MIN(D1110:S1110),D1110:S1110,0)))</f>
        <v/>
      </c>
      <c r="Y1110" s="8" t="n">
        <v>682.5</v>
      </c>
      <c r="Z1110" s="10" t="n">
        <v>1</v>
      </c>
    </row>
    <row r="1111">
      <c r="A1111" s="7" t="inlineStr">
        <is>
          <t>MAT-20-039</t>
        </is>
      </c>
      <c r="B1111" s="4" t="inlineStr">
        <is>
          <t>Planchuela de hierro negro 1 1/2" x 1/4"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>
        <f>IF(COUNT(D1111:S1111)=0,"",MIN(D1111:S1111))</f>
        <v/>
      </c>
      <c r="U1111" s="8">
        <f>IF(COUNT(D1111:S1111)=0,"",MEDIAN(D1111:S1111))</f>
        <v/>
      </c>
      <c r="V1111" s="8">
        <f>IF(COUNT(D1111:S1111)=0,"",MAX(D1111:S1111))</f>
        <v/>
      </c>
      <c r="W1111" s="9">
        <f>IF(OR(T1111="",T1111=0),"",(V1111-T1111)/T1111)</f>
        <v/>
      </c>
      <c r="X1111" s="7">
        <f>IF(COUNT(D1111:S1111)=0,"",INDEX($D$1:$S$1,MATCH(MIN(D1111:S1111),D1111:S1111,0)))</f>
        <v/>
      </c>
      <c r="Y1111" s="8" t="n">
        <v>892.5</v>
      </c>
      <c r="Z1111" s="10" t="n">
        <v>1</v>
      </c>
    </row>
    <row r="1112">
      <c r="A1112" s="7" t="inlineStr">
        <is>
          <t>MAT-20-040</t>
        </is>
      </c>
      <c r="B1112" s="4" t="inlineStr">
        <is>
          <t>Planchuela de hierro negro 1 1/2" x 3/8" x 20 pies</t>
        </is>
      </c>
      <c r="C1112" s="7" t="inlineStr">
        <is>
          <t>unidad</t>
        </is>
      </c>
      <c r="D1112" s="8" t="n">
        <v>1338.75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>
        <f>IF(COUNT(D1112:S1112)=0,"",MIN(D1112:S1112))</f>
        <v/>
      </c>
      <c r="U1112" s="8">
        <f>IF(COUNT(D1112:S1112)=0,"",MEDIAN(D1112:S1112))</f>
        <v/>
      </c>
      <c r="V1112" s="8">
        <f>IF(COUNT(D1112:S1112)=0,"",MAX(D1112:S1112))</f>
        <v/>
      </c>
      <c r="W1112" s="9">
        <f>IF(OR(T1112="",T1112=0),"",(V1112-T1112)/T1112)</f>
        <v/>
      </c>
      <c r="X1112" s="7">
        <f>IF(COUNT(D1112:S1112)=0,"",INDEX($D$1:$S$1,MATCH(MIN(D1112:S1112),D1112:S1112,0)))</f>
        <v/>
      </c>
      <c r="Y1112" s="8" t="n">
        <v>1338.75</v>
      </c>
      <c r="Z1112" s="10" t="n">
        <v>1</v>
      </c>
    </row>
    <row r="1113">
      <c r="A1113" s="7" t="inlineStr">
        <is>
          <t>MAT-20-041</t>
        </is>
      </c>
      <c r="B1113" s="4" t="inlineStr">
        <is>
          <t>Planchuela de hierro negro 1 1/2" x 1/2" x 20 pies</t>
        </is>
      </c>
      <c r="C1113" s="7" t="inlineStr">
        <is>
          <t>unidad</t>
        </is>
      </c>
      <c r="D1113" s="8" t="n">
        <v>1991.13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>
        <f>IF(COUNT(D1113:S1113)=0,"",MIN(D1113:S1113))</f>
        <v/>
      </c>
      <c r="U1113" s="8">
        <f>IF(COUNT(D1113:S1113)=0,"",MEDIAN(D1113:S1113))</f>
        <v/>
      </c>
      <c r="V1113" s="8">
        <f>IF(COUNT(D1113:S1113)=0,"",MAX(D1113:S1113))</f>
        <v/>
      </c>
      <c r="W1113" s="9">
        <f>IF(OR(T1113="",T1113=0),"",(V1113-T1113)/T1113)</f>
        <v/>
      </c>
      <c r="X1113" s="7">
        <f>IF(COUNT(D1113:S1113)=0,"",INDEX($D$1:$S$1,MATCH(MIN(D1113:S1113),D1113:S1113,0)))</f>
        <v/>
      </c>
      <c r="Y1113" s="8" t="n">
        <v>1991.13</v>
      </c>
      <c r="Z1113" s="10" t="n">
        <v>1</v>
      </c>
    </row>
    <row r="1114">
      <c r="A1114" s="7" t="inlineStr">
        <is>
          <t>MAT-20-042</t>
        </is>
      </c>
      <c r="B1114" s="4" t="inlineStr">
        <is>
          <t>Planchuela de hierro negro 2" x 1/8" x 20 pies</t>
        </is>
      </c>
      <c r="C1114" s="7" t="inlineStr">
        <is>
          <t>unidad</t>
        </is>
      </c>
      <c r="D1114" s="8" t="n">
        <v>595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>
        <f>IF(COUNT(D1114:S1114)=0,"",MIN(D1114:S1114))</f>
        <v/>
      </c>
      <c r="U1114" s="8">
        <f>IF(COUNT(D1114:S1114)=0,"",MEDIAN(D1114:S1114))</f>
        <v/>
      </c>
      <c r="V1114" s="8">
        <f>IF(COUNT(D1114:S1114)=0,"",MAX(D1114:S1114))</f>
        <v/>
      </c>
      <c r="W1114" s="9">
        <f>IF(OR(T1114="",T1114=0),"",(V1114-T1114)/T1114)</f>
        <v/>
      </c>
      <c r="X1114" s="7">
        <f>IF(COUNT(D1114:S1114)=0,"",INDEX($D$1:$S$1,MATCH(MIN(D1114:S1114),D1114:S1114,0)))</f>
        <v/>
      </c>
      <c r="Y1114" s="8" t="n">
        <v>595</v>
      </c>
      <c r="Z1114" s="10" t="n">
        <v>1</v>
      </c>
    </row>
    <row r="1115">
      <c r="A1115" s="7" t="inlineStr">
        <is>
          <t>MAT-20-043</t>
        </is>
      </c>
      <c r="B1115" s="4" t="inlineStr">
        <is>
          <t>Planchuela de hierro negro 2" x 3/16" x 20 pies</t>
        </is>
      </c>
      <c r="C1115" s="7" t="inlineStr">
        <is>
          <t>unidad</t>
        </is>
      </c>
      <c r="D1115" s="8" t="n">
        <v>892.5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>
        <f>IF(COUNT(D1115:S1115)=0,"",MIN(D1115:S1115))</f>
        <v/>
      </c>
      <c r="U1115" s="8">
        <f>IF(COUNT(D1115:S1115)=0,"",MEDIAN(D1115:S1115))</f>
        <v/>
      </c>
      <c r="V1115" s="8">
        <f>IF(COUNT(D1115:S1115)=0,"",MAX(D1115:S1115))</f>
        <v/>
      </c>
      <c r="W1115" s="9">
        <f>IF(OR(T1115="",T1115=0),"",(V1115-T1115)/T1115)</f>
        <v/>
      </c>
      <c r="X1115" s="7">
        <f>IF(COUNT(D1115:S1115)=0,"",INDEX($D$1:$S$1,MATCH(MIN(D1115:S1115),D1115:S1115,0)))</f>
        <v/>
      </c>
      <c r="Y1115" s="8" t="n">
        <v>892.5</v>
      </c>
      <c r="Z1115" s="10" t="n">
        <v>1</v>
      </c>
    </row>
    <row r="1116">
      <c r="A1116" s="7" t="inlineStr">
        <is>
          <t>MAT-20-044</t>
        </is>
      </c>
      <c r="B1116" s="4" t="inlineStr">
        <is>
          <t>Planchuela de hierro negro 2" x 1/4" x 20 pies</t>
        </is>
      </c>
      <c r="C1116" s="7" t="inlineStr">
        <is>
          <t>unidad</t>
        </is>
      </c>
      <c r="D1116" s="8" t="n">
        <v>1189.99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>
        <f>IF(COUNT(D1116:S1116)=0,"",MIN(D1116:S1116))</f>
        <v/>
      </c>
      <c r="U1116" s="8">
        <f>IF(COUNT(D1116:S1116)=0,"",MEDIAN(D1116:S1116))</f>
        <v/>
      </c>
      <c r="V1116" s="8">
        <f>IF(COUNT(D1116:S1116)=0,"",MAX(D1116:S1116))</f>
        <v/>
      </c>
      <c r="W1116" s="9">
        <f>IF(OR(T1116="",T1116=0),"",(V1116-T1116)/T1116)</f>
        <v/>
      </c>
      <c r="X1116" s="7">
        <f>IF(COUNT(D1116:S1116)=0,"",INDEX($D$1:$S$1,MATCH(MIN(D1116:S1116),D1116:S1116,0)))</f>
        <v/>
      </c>
      <c r="Y1116" s="8" t="n">
        <v>1189.99</v>
      </c>
      <c r="Z1116" s="10" t="n">
        <v>1</v>
      </c>
    </row>
    <row r="1117">
      <c r="A1117" s="7" t="inlineStr">
        <is>
          <t>MAT-20-045</t>
        </is>
      </c>
      <c r="B1117" s="4" t="inlineStr">
        <is>
          <t>Planchuela de hierro negro 2" x 3/8"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>
        <f>IF(COUNT(D1117:S1117)=0,"",MIN(D1117:S1117))</f>
        <v/>
      </c>
      <c r="U1117" s="8">
        <f>IF(COUNT(D1117:S1117)=0,"",MEDIAN(D1117:S1117))</f>
        <v/>
      </c>
      <c r="V1117" s="8">
        <f>IF(COUNT(D1117:S1117)=0,"",MAX(D1117:S1117))</f>
        <v/>
      </c>
      <c r="W1117" s="9">
        <f>IF(OR(T1117="",T1117=0),"",(V1117-T1117)/T1117)</f>
        <v/>
      </c>
      <c r="X1117" s="7">
        <f>IF(COUNT(D1117:S1117)=0,"",INDEX($D$1:$S$1,MATCH(MIN(D1117:S1117),D1117:S1117,0)))</f>
        <v/>
      </c>
      <c r="Y1117" s="8" t="n">
        <v>1785</v>
      </c>
      <c r="Z1117" s="10" t="n">
        <v>1</v>
      </c>
    </row>
    <row r="1118">
      <c r="A1118" s="7" t="inlineStr">
        <is>
          <t>MAT-20-046</t>
        </is>
      </c>
      <c r="B1118" s="4" t="inlineStr">
        <is>
          <t>Planchuela de hierro negro 2" x 1/2"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>
        <f>IF(COUNT(D1118:S1118)=0,"",MIN(D1118:S1118))</f>
        <v/>
      </c>
      <c r="U1118" s="8">
        <f>IF(COUNT(D1118:S1118)=0,"",MEDIAN(D1118:S1118))</f>
        <v/>
      </c>
      <c r="V1118" s="8">
        <f>IF(COUNT(D1118:S1118)=0,"",MAX(D1118:S1118))</f>
        <v/>
      </c>
      <c r="W1118" s="9">
        <f>IF(OR(T1118="",T1118=0),"",(V1118-T1118)/T1118)</f>
        <v/>
      </c>
      <c r="X1118" s="7">
        <f>IF(COUNT(D1118:S1118)=0,"",INDEX($D$1:$S$1,MATCH(MIN(D1118:S1118),D1118:S1118,0)))</f>
        <v/>
      </c>
      <c r="Y1118" s="8" t="n">
        <v>2380</v>
      </c>
      <c r="Z1118" s="10" t="n">
        <v>1</v>
      </c>
    </row>
    <row r="1119">
      <c r="A1119" s="7" t="inlineStr">
        <is>
          <t>MAT-20-047</t>
        </is>
      </c>
      <c r="B1119" s="4" t="inlineStr">
        <is>
          <t>Planchuela de hierro negro 2 1/2" x 1/4" x 20 pies</t>
        </is>
      </c>
      <c r="C1119" s="7" t="inlineStr">
        <is>
          <t>unidad</t>
        </is>
      </c>
      <c r="D1119" s="8" t="n">
        <v>1487.5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>
        <f>IF(COUNT(D1119:S1119)=0,"",MIN(D1119:S1119))</f>
        <v/>
      </c>
      <c r="U1119" s="8">
        <f>IF(COUNT(D1119:S1119)=0,"",MEDIAN(D1119:S1119))</f>
        <v/>
      </c>
      <c r="V1119" s="8">
        <f>IF(COUNT(D1119:S1119)=0,"",MAX(D1119:S1119))</f>
        <v/>
      </c>
      <c r="W1119" s="9">
        <f>IF(OR(T1119="",T1119=0),"",(V1119-T1119)/T1119)</f>
        <v/>
      </c>
      <c r="X1119" s="7">
        <f>IF(COUNT(D1119:S1119)=0,"",INDEX($D$1:$S$1,MATCH(MIN(D1119:S1119),D1119:S1119,0)))</f>
        <v/>
      </c>
      <c r="Y1119" s="8" t="n">
        <v>1487.5</v>
      </c>
      <c r="Z1119" s="10" t="n">
        <v>1</v>
      </c>
    </row>
    <row r="1120">
      <c r="A1120" s="7" t="inlineStr">
        <is>
          <t>MAT-20-048</t>
        </is>
      </c>
      <c r="B1120" s="4" t="inlineStr">
        <is>
          <t>Planchuela de hierro negro 2 1/2" x 3/8" x 20 pies</t>
        </is>
      </c>
      <c r="C1120" s="7" t="inlineStr">
        <is>
          <t>unidad</t>
        </is>
      </c>
      <c r="D1120" s="8" t="n">
        <v>2231.6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>
        <f>IF(COUNT(D1120:S1120)=0,"",MIN(D1120:S1120))</f>
        <v/>
      </c>
      <c r="U1120" s="8">
        <f>IF(COUNT(D1120:S1120)=0,"",MEDIAN(D1120:S1120))</f>
        <v/>
      </c>
      <c r="V1120" s="8">
        <f>IF(COUNT(D1120:S1120)=0,"",MAX(D1120:S1120))</f>
        <v/>
      </c>
      <c r="W1120" s="9">
        <f>IF(OR(T1120="",T1120=0),"",(V1120-T1120)/T1120)</f>
        <v/>
      </c>
      <c r="X1120" s="7">
        <f>IF(COUNT(D1120:S1120)=0,"",INDEX($D$1:$S$1,MATCH(MIN(D1120:S1120),D1120:S1120,0)))</f>
        <v/>
      </c>
      <c r="Y1120" s="8" t="n">
        <v>2231.6</v>
      </c>
      <c r="Z1120" s="10" t="n">
        <v>1</v>
      </c>
    </row>
    <row r="1121">
      <c r="A1121" s="7" t="inlineStr">
        <is>
          <t>MAT-20-049</t>
        </is>
      </c>
      <c r="B1121" s="4" t="inlineStr">
        <is>
          <t>Planchuela de hierro negro 3" x 1/4" x 20 pies</t>
        </is>
      </c>
      <c r="C1121" s="7" t="inlineStr">
        <is>
          <t>unidad</t>
        </is>
      </c>
      <c r="D1121" s="8" t="n">
        <v>1785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>
        <f>IF(COUNT(D1121:S1121)=0,"",MIN(D1121:S1121))</f>
        <v/>
      </c>
      <c r="U1121" s="8">
        <f>IF(COUNT(D1121:S1121)=0,"",MEDIAN(D1121:S1121))</f>
        <v/>
      </c>
      <c r="V1121" s="8">
        <f>IF(COUNT(D1121:S1121)=0,"",MAX(D1121:S1121))</f>
        <v/>
      </c>
      <c r="W1121" s="9">
        <f>IF(OR(T1121="",T1121=0),"",(V1121-T1121)/T1121)</f>
        <v/>
      </c>
      <c r="X1121" s="7">
        <f>IF(COUNT(D1121:S1121)=0,"",INDEX($D$1:$S$1,MATCH(MIN(D1121:S1121),D1121:S1121,0)))</f>
        <v/>
      </c>
      <c r="Y1121" s="8" t="n">
        <v>1785</v>
      </c>
      <c r="Z1121" s="10" t="n">
        <v>1</v>
      </c>
    </row>
    <row r="1122">
      <c r="A1122" s="7" t="inlineStr">
        <is>
          <t>MAT-20-050</t>
        </is>
      </c>
      <c r="B1122" s="4" t="inlineStr">
        <is>
          <t>Planchuela de hierro negro 3" x 3/8" x 20 pies</t>
        </is>
      </c>
      <c r="C1122" s="7" t="inlineStr">
        <is>
          <t>unidad</t>
        </is>
      </c>
      <c r="D1122" s="8" t="n">
        <v>2677.62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>
        <f>IF(COUNT(D1122:S1122)=0,"",MIN(D1122:S1122))</f>
        <v/>
      </c>
      <c r="U1122" s="8">
        <f>IF(COUNT(D1122:S1122)=0,"",MEDIAN(D1122:S1122))</f>
        <v/>
      </c>
      <c r="V1122" s="8">
        <f>IF(COUNT(D1122:S1122)=0,"",MAX(D1122:S1122))</f>
        <v/>
      </c>
      <c r="W1122" s="9">
        <f>IF(OR(T1122="",T1122=0),"",(V1122-T1122)/T1122)</f>
        <v/>
      </c>
      <c r="X1122" s="7">
        <f>IF(COUNT(D1122:S1122)=0,"",INDEX($D$1:$S$1,MATCH(MIN(D1122:S1122),D1122:S1122,0)))</f>
        <v/>
      </c>
      <c r="Y1122" s="8" t="n">
        <v>2677.62</v>
      </c>
      <c r="Z1122" s="10" t="n">
        <v>1</v>
      </c>
    </row>
    <row r="1123">
      <c r="A1123" s="7" t="inlineStr">
        <is>
          <t>MAT-20-051</t>
        </is>
      </c>
      <c r="B1123" s="4" t="inlineStr">
        <is>
          <t>Planchuela de hierro negro 4" x 1/4" x 20 pies</t>
        </is>
      </c>
      <c r="C1123" s="7" t="inlineStr">
        <is>
          <t>unidad</t>
        </is>
      </c>
      <c r="D1123" s="8" t="n">
        <v>2380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>
        <f>IF(COUNT(D1123:S1123)=0,"",MIN(D1123:S1123))</f>
        <v/>
      </c>
      <c r="U1123" s="8">
        <f>IF(COUNT(D1123:S1123)=0,"",MEDIAN(D1123:S1123))</f>
        <v/>
      </c>
      <c r="V1123" s="8">
        <f>IF(COUNT(D1123:S1123)=0,"",MAX(D1123:S1123))</f>
        <v/>
      </c>
      <c r="W1123" s="9">
        <f>IF(OR(T1123="",T1123=0),"",(V1123-T1123)/T1123)</f>
        <v/>
      </c>
      <c r="X1123" s="7">
        <f>IF(COUNT(D1123:S1123)=0,"",INDEX($D$1:$S$1,MATCH(MIN(D1123:S1123),D1123:S1123,0)))</f>
        <v/>
      </c>
      <c r="Y1123" s="8" t="n">
        <v>2380</v>
      </c>
      <c r="Z1123" s="10" t="n">
        <v>1</v>
      </c>
    </row>
    <row r="1124">
      <c r="A1124" s="7" t="inlineStr">
        <is>
          <t>MAT-20-052</t>
        </is>
      </c>
      <c r="B1124" s="4" t="inlineStr">
        <is>
          <t>Planchuela de hierro negro 4" x 3/8" x 20 pies</t>
        </is>
      </c>
      <c r="C1124" s="7" t="inlineStr">
        <is>
          <t>unidad</t>
        </is>
      </c>
      <c r="D1124" s="8" t="n">
        <v>3982.5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>
        <f>IF(COUNT(D1124:S1124)=0,"",MIN(D1124:S1124))</f>
        <v/>
      </c>
      <c r="U1124" s="8">
        <f>IF(COUNT(D1124:S1124)=0,"",MEDIAN(D1124:S1124))</f>
        <v/>
      </c>
      <c r="V1124" s="8">
        <f>IF(COUNT(D1124:S1124)=0,"",MAX(D1124:S1124))</f>
        <v/>
      </c>
      <c r="W1124" s="9">
        <f>IF(OR(T1124="",T1124=0),"",(V1124-T1124)/T1124)</f>
        <v/>
      </c>
      <c r="X1124" s="7">
        <f>IF(COUNT(D1124:S1124)=0,"",INDEX($D$1:$S$1,MATCH(MIN(D1124:S1124),D1124:S1124,0)))</f>
        <v/>
      </c>
      <c r="Y1124" s="8" t="n">
        <v>3982.5</v>
      </c>
      <c r="Z1124" s="10" t="n">
        <v>1</v>
      </c>
    </row>
    <row r="1125">
      <c r="A1125" s="7" t="inlineStr">
        <is>
          <t>MAT-20-053</t>
        </is>
      </c>
      <c r="B1125" s="4" t="inlineStr">
        <is>
          <t>Planchuela de acero inoxidable 2" x 1/8" x 20 pies</t>
        </is>
      </c>
      <c r="C1125" s="7" t="inlineStr">
        <is>
          <t>unidad</t>
        </is>
      </c>
      <c r="D1125" s="8" t="n">
        <v>1397.2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>
        <f>IF(COUNT(D1125:S1125)=0,"",MIN(D1125:S1125))</f>
        <v/>
      </c>
      <c r="U1125" s="8">
        <f>IF(COUNT(D1125:S1125)=0,"",MEDIAN(D1125:S1125))</f>
        <v/>
      </c>
      <c r="V1125" s="8">
        <f>IF(COUNT(D1125:S1125)=0,"",MAX(D1125:S1125))</f>
        <v/>
      </c>
      <c r="W1125" s="9">
        <f>IF(OR(T1125="",T1125=0),"",(V1125-T1125)/T1125)</f>
        <v/>
      </c>
      <c r="X1125" s="7">
        <f>IF(COUNT(D1125:S1125)=0,"",INDEX($D$1:$S$1,MATCH(MIN(D1125:S1125),D1125:S1125,0)))</f>
        <v/>
      </c>
      <c r="Y1125" s="8" t="n">
        <v>1397.2</v>
      </c>
      <c r="Z1125" s="10" t="n">
        <v>1</v>
      </c>
    </row>
    <row r="1126">
      <c r="A1126" s="7" t="inlineStr">
        <is>
          <t>MAT-20-054</t>
        </is>
      </c>
      <c r="B1126" s="4" t="inlineStr">
        <is>
          <t>Barra cuadrada de acero 7/16" x 20 pies</t>
        </is>
      </c>
      <c r="C1126" s="7" t="inlineStr">
        <is>
          <t>unidad</t>
        </is>
      </c>
      <c r="D1126" s="8" t="n">
        <v>411.76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>
        <f>IF(COUNT(D1126:S1126)=0,"",MIN(D1126:S1126))</f>
        <v/>
      </c>
      <c r="U1126" s="8">
        <f>IF(COUNT(D1126:S1126)=0,"",MEDIAN(D1126:S1126))</f>
        <v/>
      </c>
      <c r="V1126" s="8">
        <f>IF(COUNT(D1126:S1126)=0,"",MAX(D1126:S1126))</f>
        <v/>
      </c>
      <c r="W1126" s="9">
        <f>IF(OR(T1126="",T1126=0),"",(V1126-T1126)/T1126)</f>
        <v/>
      </c>
      <c r="X1126" s="7">
        <f>IF(COUNT(D1126:S1126)=0,"",INDEX($D$1:$S$1,MATCH(MIN(D1126:S1126),D1126:S1126,0)))</f>
        <v/>
      </c>
      <c r="Y1126" s="8" t="n">
        <v>411.76</v>
      </c>
      <c r="Z1126" s="10" t="n">
        <v>1</v>
      </c>
    </row>
    <row r="1127">
      <c r="A1127" s="7" t="inlineStr">
        <is>
          <t>MAT-20-055</t>
        </is>
      </c>
      <c r="B1127" s="4" t="inlineStr">
        <is>
          <t>Barra cuadrada de acero 1/2" x 20 pies</t>
        </is>
      </c>
      <c r="C1127" s="7" t="inlineStr">
        <is>
          <t>unidad</t>
        </is>
      </c>
      <c r="D1127" s="8" t="n">
        <v>538.46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>
        <f>IF(COUNT(D1127:S1127)=0,"",MIN(D1127:S1127))</f>
        <v/>
      </c>
      <c r="U1127" s="8">
        <f>IF(COUNT(D1127:S1127)=0,"",MEDIAN(D1127:S1127))</f>
        <v/>
      </c>
      <c r="V1127" s="8">
        <f>IF(COUNT(D1127:S1127)=0,"",MAX(D1127:S1127))</f>
        <v/>
      </c>
      <c r="W1127" s="9">
        <f>IF(OR(T1127="",T1127=0),"",(V1127-T1127)/T1127)</f>
        <v/>
      </c>
      <c r="X1127" s="7">
        <f>IF(COUNT(D1127:S1127)=0,"",INDEX($D$1:$S$1,MATCH(MIN(D1127:S1127),D1127:S1127,0)))</f>
        <v/>
      </c>
      <c r="Y1127" s="8" t="n">
        <v>538.46</v>
      </c>
      <c r="Z1127" s="10" t="n">
        <v>1</v>
      </c>
    </row>
    <row r="1128">
      <c r="A1128" s="7" t="inlineStr">
        <is>
          <t>MAT-20-056</t>
        </is>
      </c>
      <c r="B1128" s="4" t="inlineStr">
        <is>
          <t>Barra cuadrada de acero 5/8" x 20 pies</t>
        </is>
      </c>
      <c r="C1128" s="7" t="inlineStr">
        <is>
          <t>unidad</t>
        </is>
      </c>
      <c r="D1128" s="8" t="n">
        <v>843.37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>
        <f>IF(COUNT(D1128:S1128)=0,"",MIN(D1128:S1128))</f>
        <v/>
      </c>
      <c r="U1128" s="8">
        <f>IF(COUNT(D1128:S1128)=0,"",MEDIAN(D1128:S1128))</f>
        <v/>
      </c>
      <c r="V1128" s="8">
        <f>IF(COUNT(D1128:S1128)=0,"",MAX(D1128:S1128))</f>
        <v/>
      </c>
      <c r="W1128" s="9">
        <f>IF(OR(T1128="",T1128=0),"",(V1128-T1128)/T1128)</f>
        <v/>
      </c>
      <c r="X1128" s="7">
        <f>IF(COUNT(D1128:S1128)=0,"",INDEX($D$1:$S$1,MATCH(MIN(D1128:S1128),D1128:S1128,0)))</f>
        <v/>
      </c>
      <c r="Y1128" s="8" t="n">
        <v>843.37</v>
      </c>
      <c r="Z1128" s="10" t="n">
        <v>1</v>
      </c>
    </row>
    <row r="1129">
      <c r="A1129" s="7" t="inlineStr">
        <is>
          <t>MAT-20-057</t>
        </is>
      </c>
      <c r="B1129" s="4" t="inlineStr">
        <is>
          <t>Barra redonda de acero 3/8" x 20 pies</t>
        </is>
      </c>
      <c r="C1129" s="7" t="inlineStr">
        <is>
          <t>unidad</t>
        </is>
      </c>
      <c r="D1129" s="8" t="n">
        <v>238.1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>
        <f>IF(COUNT(D1129:S1129)=0,"",MIN(D1129:S1129))</f>
        <v/>
      </c>
      <c r="U1129" s="8">
        <f>IF(COUNT(D1129:S1129)=0,"",MEDIAN(D1129:S1129))</f>
        <v/>
      </c>
      <c r="V1129" s="8">
        <f>IF(COUNT(D1129:S1129)=0,"",MAX(D1129:S1129))</f>
        <v/>
      </c>
      <c r="W1129" s="9">
        <f>IF(OR(T1129="",T1129=0),"",(V1129-T1129)/T1129)</f>
        <v/>
      </c>
      <c r="X1129" s="7">
        <f>IF(COUNT(D1129:S1129)=0,"",INDEX($D$1:$S$1,MATCH(MIN(D1129:S1129),D1129:S1129,0)))</f>
        <v/>
      </c>
      <c r="Y1129" s="8" t="n">
        <v>238.1</v>
      </c>
      <c r="Z1129" s="10" t="n">
        <v>1</v>
      </c>
    </row>
    <row r="1130">
      <c r="A1130" s="7" t="inlineStr">
        <is>
          <t>MAT-20-058</t>
        </is>
      </c>
      <c r="B1130" s="4" t="inlineStr">
        <is>
          <t>Barra redonda de acero 1/2" x 20 pies</t>
        </is>
      </c>
      <c r="C1130" s="7" t="inlineStr">
        <is>
          <t>unidad</t>
        </is>
      </c>
      <c r="D1130" s="8" t="n">
        <v>421.68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>
        <f>IF(COUNT(D1130:S1130)=0,"",MIN(D1130:S1130))</f>
        <v/>
      </c>
      <c r="U1130" s="8">
        <f>IF(COUNT(D1130:S1130)=0,"",MEDIAN(D1130:S1130))</f>
        <v/>
      </c>
      <c r="V1130" s="8">
        <f>IF(COUNT(D1130:S1130)=0,"",MAX(D1130:S1130))</f>
        <v/>
      </c>
      <c r="W1130" s="9">
        <f>IF(OR(T1130="",T1130=0),"",(V1130-T1130)/T1130)</f>
        <v/>
      </c>
      <c r="X1130" s="7">
        <f>IF(COUNT(D1130:S1130)=0,"",INDEX($D$1:$S$1,MATCH(MIN(D1130:S1130),D1130:S1130,0)))</f>
        <v/>
      </c>
      <c r="Y1130" s="8" t="n">
        <v>421.68</v>
      </c>
      <c r="Z1130" s="10" t="n">
        <v>1</v>
      </c>
    </row>
    <row r="1131">
      <c r="A1131" s="7" t="inlineStr">
        <is>
          <t>MAT-20-059</t>
        </is>
      </c>
      <c r="B1131" s="4" t="inlineStr">
        <is>
          <t>Barra redonda de acero 5/8" x 20 pies</t>
        </is>
      </c>
      <c r="C1131" s="7" t="inlineStr">
        <is>
          <t>unidad</t>
        </is>
      </c>
      <c r="D1131" s="8" t="n">
        <v>660.38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>
        <f>IF(COUNT(D1131:S1131)=0,"",MIN(D1131:S1131))</f>
        <v/>
      </c>
      <c r="U1131" s="8">
        <f>IF(COUNT(D1131:S1131)=0,"",MEDIAN(D1131:S1131))</f>
        <v/>
      </c>
      <c r="V1131" s="8">
        <f>IF(COUNT(D1131:S1131)=0,"",MAX(D1131:S1131))</f>
        <v/>
      </c>
      <c r="W1131" s="9">
        <f>IF(OR(T1131="",T1131=0),"",(V1131-T1131)/T1131)</f>
        <v/>
      </c>
      <c r="X1131" s="7">
        <f>IF(COUNT(D1131:S1131)=0,"",INDEX($D$1:$S$1,MATCH(MIN(D1131:S1131),D1131:S1131,0)))</f>
        <v/>
      </c>
      <c r="Y1131" s="8" t="n">
        <v>660.38</v>
      </c>
      <c r="Z1131" s="10" t="n">
        <v>1</v>
      </c>
    </row>
    <row r="1132">
      <c r="A1132" s="7" t="inlineStr">
        <is>
          <t>MAT-20-060</t>
        </is>
      </c>
      <c r="B1132" s="4" t="inlineStr">
        <is>
          <t>Barra redonda de acero 3/4" x 20 pies</t>
        </is>
      </c>
      <c r="C1132" s="7" t="inlineStr">
        <is>
          <t>unidad</t>
        </is>
      </c>
      <c r="D1132" s="8" t="n">
        <v>945.95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>
        <f>IF(COUNT(D1132:S1132)=0,"",MIN(D1132:S1132))</f>
        <v/>
      </c>
      <c r="U1132" s="8">
        <f>IF(COUNT(D1132:S1132)=0,"",MEDIAN(D1132:S1132))</f>
        <v/>
      </c>
      <c r="V1132" s="8">
        <f>IF(COUNT(D1132:S1132)=0,"",MAX(D1132:S1132))</f>
        <v/>
      </c>
      <c r="W1132" s="9">
        <f>IF(OR(T1132="",T1132=0),"",(V1132-T1132)/T1132)</f>
        <v/>
      </c>
      <c r="X1132" s="7">
        <f>IF(COUNT(D1132:S1132)=0,"",INDEX($D$1:$S$1,MATCH(MIN(D1132:S1132),D1132:S1132,0)))</f>
        <v/>
      </c>
      <c r="Y1132" s="8" t="n">
        <v>945.95</v>
      </c>
      <c r="Z1132" s="10" t="n">
        <v>1</v>
      </c>
    </row>
    <row r="1133">
      <c r="A1133" s="7" t="inlineStr">
        <is>
          <t>MAT-20-061</t>
        </is>
      </c>
      <c r="B1133" s="4" t="inlineStr">
        <is>
          <t>Barra redonda de acero 1" x 20 pies</t>
        </is>
      </c>
      <c r="C1133" s="7" t="inlineStr">
        <is>
          <t>unidad</t>
        </is>
      </c>
      <c r="D1133" s="8" t="n">
        <v>1666.67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>
        <f>IF(COUNT(D1133:S1133)=0,"",MIN(D1133:S1133))</f>
        <v/>
      </c>
      <c r="U1133" s="8">
        <f>IF(COUNT(D1133:S1133)=0,"",MEDIAN(D1133:S1133))</f>
        <v/>
      </c>
      <c r="V1133" s="8">
        <f>IF(COUNT(D1133:S1133)=0,"",MAX(D1133:S1133))</f>
        <v/>
      </c>
      <c r="W1133" s="9">
        <f>IF(OR(T1133="",T1133=0),"",(V1133-T1133)/T1133)</f>
        <v/>
      </c>
      <c r="X1133" s="7">
        <f>IF(COUNT(D1133:S1133)=0,"",INDEX($D$1:$S$1,MATCH(MIN(D1133:S1133),D1133:S1133,0)))</f>
        <v/>
      </c>
      <c r="Y1133" s="8" t="n">
        <v>1666.67</v>
      </c>
      <c r="Z1133" s="10" t="n">
        <v>1</v>
      </c>
    </row>
    <row r="1134">
      <c r="A1134" s="7" t="inlineStr">
        <is>
          <t>MAT-20-062</t>
        </is>
      </c>
      <c r="B1134" s="4" t="inlineStr">
        <is>
          <t>Barra redonda torneada de acero 7/16" x 20 pies</t>
        </is>
      </c>
      <c r="C1134" s="7" t="inlineStr">
        <is>
          <t>unidad</t>
        </is>
      </c>
      <c r="D1134" s="8" t="n">
        <v>426.77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>
        <f>IF(COUNT(D1134:S1134)=0,"",MIN(D1134:S1134))</f>
        <v/>
      </c>
      <c r="U1134" s="8">
        <f>IF(COUNT(D1134:S1134)=0,"",MEDIAN(D1134:S1134))</f>
        <v/>
      </c>
      <c r="V1134" s="8">
        <f>IF(COUNT(D1134:S1134)=0,"",MAX(D1134:S1134))</f>
        <v/>
      </c>
      <c r="W1134" s="9">
        <f>IF(OR(T1134="",T1134=0),"",(V1134-T1134)/T1134)</f>
        <v/>
      </c>
      <c r="X1134" s="7">
        <f>IF(COUNT(D1134:S1134)=0,"",INDEX($D$1:$S$1,MATCH(MIN(D1134:S1134),D1134:S1134,0)))</f>
        <v/>
      </c>
      <c r="Y1134" s="8" t="n">
        <v>426.77</v>
      </c>
      <c r="Z1134" s="10" t="n">
        <v>1</v>
      </c>
    </row>
    <row r="1135">
      <c r="A1135" s="7" t="inlineStr">
        <is>
          <t>MAT-20-063</t>
        </is>
      </c>
      <c r="B1135" s="4" t="inlineStr">
        <is>
          <t>Barra redonda torneada de acero 1/2" x 20 pies</t>
        </is>
      </c>
      <c r="C1135" s="7" t="inlineStr">
        <is>
          <t>unidad</t>
        </is>
      </c>
      <c r="D1135" s="8" t="n">
        <v>553.47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>
        <f>IF(COUNT(D1135:S1135)=0,"",MIN(D1135:S1135))</f>
        <v/>
      </c>
      <c r="U1135" s="8">
        <f>IF(COUNT(D1135:S1135)=0,"",MEDIAN(D1135:S1135))</f>
        <v/>
      </c>
      <c r="V1135" s="8">
        <f>IF(COUNT(D1135:S1135)=0,"",MAX(D1135:S1135))</f>
        <v/>
      </c>
      <c r="W1135" s="9">
        <f>IF(OR(T1135="",T1135=0),"",(V1135-T1135)/T1135)</f>
        <v/>
      </c>
      <c r="X1135" s="7">
        <f>IF(COUNT(D1135:S1135)=0,"",INDEX($D$1:$S$1,MATCH(MIN(D1135:S1135),D1135:S1135,0)))</f>
        <v/>
      </c>
      <c r="Y1135" s="8" t="n">
        <v>553.47</v>
      </c>
      <c r="Z1135" s="10" t="n">
        <v>1</v>
      </c>
    </row>
    <row r="1136">
      <c r="A1136" s="7" t="inlineStr">
        <is>
          <t>MAT-20-064</t>
        </is>
      </c>
      <c r="B1136" s="4" t="inlineStr">
        <is>
          <t>Barra redonda torneada de acero 5/8" x 20 pies</t>
        </is>
      </c>
      <c r="C1136" s="7" t="inlineStr">
        <is>
          <t>unidad</t>
        </is>
      </c>
      <c r="D1136" s="8" t="n">
        <v>858.38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>
        <f>IF(COUNT(D1136:S1136)=0,"",MIN(D1136:S1136))</f>
        <v/>
      </c>
      <c r="U1136" s="8">
        <f>IF(COUNT(D1136:S1136)=0,"",MEDIAN(D1136:S1136))</f>
        <v/>
      </c>
      <c r="V1136" s="8">
        <f>IF(COUNT(D1136:S1136)=0,"",MAX(D1136:S1136))</f>
        <v/>
      </c>
      <c r="W1136" s="9">
        <f>IF(OR(T1136="",T1136=0),"",(V1136-T1136)/T1136)</f>
        <v/>
      </c>
      <c r="X1136" s="7">
        <f>IF(COUNT(D1136:S1136)=0,"",INDEX($D$1:$S$1,MATCH(MIN(D1136:S1136),D1136:S1136,0)))</f>
        <v/>
      </c>
      <c r="Y1136" s="8" t="n">
        <v>858.38</v>
      </c>
      <c r="Z1136" s="10" t="n">
        <v>1</v>
      </c>
    </row>
    <row r="1137">
      <c r="A1137" s="7" t="inlineStr">
        <is>
          <t>MAT-21-001</t>
        </is>
      </c>
      <c r="B1137" s="4" t="inlineStr">
        <is>
          <t>Tola negra 1/32", plancha 4 x 8 pies</t>
        </is>
      </c>
      <c r="C1137" s="7" t="inlineStr">
        <is>
          <t>plancha</t>
        </is>
      </c>
      <c r="D1137" s="8" t="n">
        <v>1113.61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>
        <f>IF(COUNT(D1137:S1137)=0,"",MIN(D1137:S1137))</f>
        <v/>
      </c>
      <c r="U1137" s="8">
        <f>IF(COUNT(D1137:S1137)=0,"",MEDIAN(D1137:S1137))</f>
        <v/>
      </c>
      <c r="V1137" s="8">
        <f>IF(COUNT(D1137:S1137)=0,"",MAX(D1137:S1137))</f>
        <v/>
      </c>
      <c r="W1137" s="9">
        <f>IF(OR(T1137="",T1137=0),"",(V1137-T1137)/T1137)</f>
        <v/>
      </c>
      <c r="X1137" s="7">
        <f>IF(COUNT(D1137:S1137)=0,"",INDEX($D$1:$S$1,MATCH(MIN(D1137:S1137),D1137:S1137,0)))</f>
        <v/>
      </c>
      <c r="Y1137" s="8" t="n">
        <v>1113.61</v>
      </c>
      <c r="Z1137" s="10" t="n">
        <v>1</v>
      </c>
    </row>
    <row r="1138">
      <c r="A1138" s="7" t="inlineStr">
        <is>
          <t>MAT-21-002</t>
        </is>
      </c>
      <c r="B1138" s="4" t="inlineStr">
        <is>
          <t>Tola negra 1/22", plancha 4 x 8 pies</t>
        </is>
      </c>
      <c r="C1138" s="7" t="inlineStr">
        <is>
          <t>plancha</t>
        </is>
      </c>
      <c r="D1138" s="8" t="n">
        <v>1497.04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>
        <f>IF(COUNT(D1138:S1138)=0,"",MIN(D1138:S1138))</f>
        <v/>
      </c>
      <c r="U1138" s="8">
        <f>IF(COUNT(D1138:S1138)=0,"",MEDIAN(D1138:S1138))</f>
        <v/>
      </c>
      <c r="V1138" s="8">
        <f>IF(COUNT(D1138:S1138)=0,"",MAX(D1138:S1138))</f>
        <v/>
      </c>
      <c r="W1138" s="9">
        <f>IF(OR(T1138="",T1138=0),"",(V1138-T1138)/T1138)</f>
        <v/>
      </c>
      <c r="X1138" s="7">
        <f>IF(COUNT(D1138:S1138)=0,"",INDEX($D$1:$S$1,MATCH(MIN(D1138:S1138),D1138:S1138,0)))</f>
        <v/>
      </c>
      <c r="Y1138" s="8" t="n">
        <v>1497.04</v>
      </c>
      <c r="Z1138" s="10" t="n">
        <v>1</v>
      </c>
    </row>
    <row r="1139">
      <c r="A1139" s="7" t="inlineStr">
        <is>
          <t>MAT-21-003</t>
        </is>
      </c>
      <c r="B1139" s="4" t="inlineStr">
        <is>
          <t>Tola negra 1/16", plancha 4 x 10 pies</t>
        </is>
      </c>
      <c r="C1139" s="7" t="inlineStr">
        <is>
          <t>plancha</t>
        </is>
      </c>
      <c r="D1139" s="8" t="n">
        <v>2938.54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>
        <f>IF(COUNT(D1139:S1139)=0,"",MIN(D1139:S1139))</f>
        <v/>
      </c>
      <c r="U1139" s="8">
        <f>IF(COUNT(D1139:S1139)=0,"",MEDIAN(D1139:S1139))</f>
        <v/>
      </c>
      <c r="V1139" s="8">
        <f>IF(COUNT(D1139:S1139)=0,"",MAX(D1139:S1139))</f>
        <v/>
      </c>
      <c r="W1139" s="9">
        <f>IF(OR(T1139="",T1139=0),"",(V1139-T1139)/T1139)</f>
        <v/>
      </c>
      <c r="X1139" s="7">
        <f>IF(COUNT(D1139:S1139)=0,"",INDEX($D$1:$S$1,MATCH(MIN(D1139:S1139),D1139:S1139,0)))</f>
        <v/>
      </c>
      <c r="Y1139" s="8" t="n">
        <v>2938.54</v>
      </c>
      <c r="Z1139" s="10" t="n">
        <v>1</v>
      </c>
    </row>
    <row r="1140">
      <c r="A1140" s="7" t="inlineStr">
        <is>
          <t>MAT-21-004</t>
        </is>
      </c>
      <c r="B1140" s="4" t="inlineStr">
        <is>
          <t>Tola negra 1/16", plancha 4 x 8 pies</t>
        </is>
      </c>
      <c r="C1140" s="7" t="inlineStr">
        <is>
          <t>plancha</t>
        </is>
      </c>
      <c r="D1140" s="8" t="n">
        <v>2224.54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>
        <f>IF(COUNT(D1140:S1140)=0,"",MIN(D1140:S1140))</f>
        <v/>
      </c>
      <c r="U1140" s="8">
        <f>IF(COUNT(D1140:S1140)=0,"",MEDIAN(D1140:S1140))</f>
        <v/>
      </c>
      <c r="V1140" s="8">
        <f>IF(COUNT(D1140:S1140)=0,"",MAX(D1140:S1140))</f>
        <v/>
      </c>
      <c r="W1140" s="9">
        <f>IF(OR(T1140="",T1140=0),"",(V1140-T1140)/T1140)</f>
        <v/>
      </c>
      <c r="X1140" s="7">
        <f>IF(COUNT(D1140:S1140)=0,"",INDEX($D$1:$S$1,MATCH(MIN(D1140:S1140),D1140:S1140,0)))</f>
        <v/>
      </c>
      <c r="Y1140" s="8" t="n">
        <v>2224.54</v>
      </c>
      <c r="Z1140" s="10" t="n">
        <v>1</v>
      </c>
    </row>
    <row r="1141">
      <c r="A1141" s="7" t="inlineStr">
        <is>
          <t>MAT-21-005</t>
        </is>
      </c>
      <c r="B1141" s="4" t="inlineStr">
        <is>
          <t>Tola negra 3/32", plancha 4 x 8 pies</t>
        </is>
      </c>
      <c r="C1141" s="7" t="inlineStr">
        <is>
          <t>plancha</t>
        </is>
      </c>
      <c r="D1141" s="8" t="n">
        <v>3132.92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>
        <f>IF(COUNT(D1141:S1141)=0,"",MIN(D1141:S1141))</f>
        <v/>
      </c>
      <c r="U1141" s="8">
        <f>IF(COUNT(D1141:S1141)=0,"",MEDIAN(D1141:S1141))</f>
        <v/>
      </c>
      <c r="V1141" s="8">
        <f>IF(COUNT(D1141:S1141)=0,"",MAX(D1141:S1141))</f>
        <v/>
      </c>
      <c r="W1141" s="9">
        <f>IF(OR(T1141="",T1141=0),"",(V1141-T1141)/T1141)</f>
        <v/>
      </c>
      <c r="X1141" s="7">
        <f>IF(COUNT(D1141:S1141)=0,"",INDEX($D$1:$S$1,MATCH(MIN(D1141:S1141),D1141:S1141,0)))</f>
        <v/>
      </c>
      <c r="Y1141" s="8" t="n">
        <v>3132.92</v>
      </c>
      <c r="Z1141" s="10" t="n">
        <v>1</v>
      </c>
    </row>
    <row r="1142">
      <c r="A1142" s="7" t="inlineStr">
        <is>
          <t>MAT-21-006</t>
        </is>
      </c>
      <c r="B1142" s="4" t="inlineStr">
        <is>
          <t>Tola negra 1/8", plancha 4 x 10 pies</t>
        </is>
      </c>
      <c r="C1142" s="7" t="inlineStr">
        <is>
          <t>plancha</t>
        </is>
      </c>
      <c r="D1142" s="8" t="n">
        <v>5622.83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>
        <f>IF(COUNT(D1142:S1142)=0,"",MIN(D1142:S1142))</f>
        <v/>
      </c>
      <c r="U1142" s="8">
        <f>IF(COUNT(D1142:S1142)=0,"",MEDIAN(D1142:S1142))</f>
        <v/>
      </c>
      <c r="V1142" s="8">
        <f>IF(COUNT(D1142:S1142)=0,"",MAX(D1142:S1142))</f>
        <v/>
      </c>
      <c r="W1142" s="9">
        <f>IF(OR(T1142="",T1142=0),"",(V1142-T1142)/T1142)</f>
        <v/>
      </c>
      <c r="X1142" s="7">
        <f>IF(COUNT(D1142:S1142)=0,"",INDEX($D$1:$S$1,MATCH(MIN(D1142:S1142),D1142:S1142,0)))</f>
        <v/>
      </c>
      <c r="Y1142" s="8" t="n">
        <v>5622.83</v>
      </c>
      <c r="Z1142" s="10" t="n">
        <v>1</v>
      </c>
    </row>
    <row r="1143">
      <c r="A1143" s="7" t="inlineStr">
        <is>
          <t>MAT-21-007</t>
        </is>
      </c>
      <c r="B1143" s="4" t="inlineStr">
        <is>
          <t>Tola negra 1/8", plancha 4 x 8 pies</t>
        </is>
      </c>
      <c r="C1143" s="7" t="inlineStr">
        <is>
          <t>plancha</t>
        </is>
      </c>
      <c r="D1143" s="8" t="n">
        <v>4104.8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>
        <f>IF(COUNT(D1143:S1143)=0,"",MIN(D1143:S1143))</f>
        <v/>
      </c>
      <c r="U1143" s="8">
        <f>IF(COUNT(D1143:S1143)=0,"",MEDIAN(D1143:S1143))</f>
        <v/>
      </c>
      <c r="V1143" s="8">
        <f>IF(COUNT(D1143:S1143)=0,"",MAX(D1143:S1143))</f>
        <v/>
      </c>
      <c r="W1143" s="9">
        <f>IF(OR(T1143="",T1143=0),"",(V1143-T1143)/T1143)</f>
        <v/>
      </c>
      <c r="X1143" s="7">
        <f>IF(COUNT(D1143:S1143)=0,"",INDEX($D$1:$S$1,MATCH(MIN(D1143:S1143),D1143:S1143,0)))</f>
        <v/>
      </c>
      <c r="Y1143" s="8" t="n">
        <v>4104.8</v>
      </c>
      <c r="Z1143" s="10" t="n">
        <v>1</v>
      </c>
    </row>
    <row r="1144">
      <c r="A1144" s="7" t="inlineStr">
        <is>
          <t>MAT-21-008</t>
        </is>
      </c>
      <c r="B1144" s="4" t="inlineStr">
        <is>
          <t>Tola negra 1/8", plancha 5 x 10 pies</t>
        </is>
      </c>
      <c r="C1144" s="7" t="inlineStr">
        <is>
          <t>plancha</t>
        </is>
      </c>
      <c r="D1144" s="8" t="n">
        <v>6428.83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>
        <f>IF(COUNT(D1144:S1144)=0,"",MIN(D1144:S1144))</f>
        <v/>
      </c>
      <c r="U1144" s="8">
        <f>IF(COUNT(D1144:S1144)=0,"",MEDIAN(D1144:S1144))</f>
        <v/>
      </c>
      <c r="V1144" s="8">
        <f>IF(COUNT(D1144:S1144)=0,"",MAX(D1144:S1144))</f>
        <v/>
      </c>
      <c r="W1144" s="9">
        <f>IF(OR(T1144="",T1144=0),"",(V1144-T1144)/T1144)</f>
        <v/>
      </c>
      <c r="X1144" s="7">
        <f>IF(COUNT(D1144:S1144)=0,"",INDEX($D$1:$S$1,MATCH(MIN(D1144:S1144),D1144:S1144,0)))</f>
        <v/>
      </c>
      <c r="Y1144" s="8" t="n">
        <v>6428.83</v>
      </c>
      <c r="Z1144" s="10" t="n">
        <v>1</v>
      </c>
    </row>
    <row r="1145">
      <c r="A1145" s="7" t="inlineStr">
        <is>
          <t>MAT-21-009</t>
        </is>
      </c>
      <c r="B1145" s="4" t="inlineStr">
        <is>
          <t>Tola negra 3/16", plancha 4 x 8 pies</t>
        </is>
      </c>
      <c r="C1145" s="7" t="inlineStr">
        <is>
          <t>plancha</t>
        </is>
      </c>
      <c r="D1145" s="8" t="n">
        <v>6678.8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>
        <f>IF(COUNT(D1145:S1145)=0,"",MIN(D1145:S1145))</f>
        <v/>
      </c>
      <c r="U1145" s="8">
        <f>IF(COUNT(D1145:S1145)=0,"",MEDIAN(D1145:S1145))</f>
        <v/>
      </c>
      <c r="V1145" s="8">
        <f>IF(COUNT(D1145:S1145)=0,"",MAX(D1145:S1145))</f>
        <v/>
      </c>
      <c r="W1145" s="9">
        <f>IF(OR(T1145="",T1145=0),"",(V1145-T1145)/T1145)</f>
        <v/>
      </c>
      <c r="X1145" s="7">
        <f>IF(COUNT(D1145:S1145)=0,"",INDEX($D$1:$S$1,MATCH(MIN(D1145:S1145),D1145:S1145,0)))</f>
        <v/>
      </c>
      <c r="Y1145" s="8" t="n">
        <v>6678.8</v>
      </c>
      <c r="Z1145" s="10" t="n">
        <v>1</v>
      </c>
    </row>
    <row r="1146">
      <c r="A1146" s="7" t="inlineStr">
        <is>
          <t>MAT-21-010</t>
        </is>
      </c>
      <c r="B1146" s="4" t="inlineStr">
        <is>
          <t>Tola negra 3/16", plancha 5 x 10 pies</t>
        </is>
      </c>
      <c r="C1146" s="7" t="inlineStr">
        <is>
          <t>plancha</t>
        </is>
      </c>
      <c r="D1146" s="8" t="n">
        <v>10410.48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>
        <f>IF(COUNT(D1146:S1146)=0,"",MIN(D1146:S1146))</f>
        <v/>
      </c>
      <c r="U1146" s="8">
        <f>IF(COUNT(D1146:S1146)=0,"",MEDIAN(D1146:S1146))</f>
        <v/>
      </c>
      <c r="V1146" s="8">
        <f>IF(COUNT(D1146:S1146)=0,"",MAX(D1146:S1146))</f>
        <v/>
      </c>
      <c r="W1146" s="9">
        <f>IF(OR(T1146="",T1146=0),"",(V1146-T1146)/T1146)</f>
        <v/>
      </c>
      <c r="X1146" s="7">
        <f>IF(COUNT(D1146:S1146)=0,"",INDEX($D$1:$S$1,MATCH(MIN(D1146:S1146),D1146:S1146,0)))</f>
        <v/>
      </c>
      <c r="Y1146" s="8" t="n">
        <v>10410.48</v>
      </c>
      <c r="Z1146" s="10" t="n">
        <v>1</v>
      </c>
    </row>
    <row r="1147">
      <c r="A1147" s="7" t="inlineStr">
        <is>
          <t>MAT-21-011</t>
        </is>
      </c>
      <c r="B1147" s="4" t="inlineStr">
        <is>
          <t>Tola negra 3/16", plancha 6 x 10 pies</t>
        </is>
      </c>
      <c r="C1147" s="7" t="inlineStr">
        <is>
          <t>plancha</t>
        </is>
      </c>
      <c r="D1147" s="8" t="n">
        <v>12392.84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>
        <f>IF(COUNT(D1147:S1147)=0,"",MIN(D1147:S1147))</f>
        <v/>
      </c>
      <c r="U1147" s="8">
        <f>IF(COUNT(D1147:S1147)=0,"",MEDIAN(D1147:S1147))</f>
        <v/>
      </c>
      <c r="V1147" s="8">
        <f>IF(COUNT(D1147:S1147)=0,"",MAX(D1147:S1147))</f>
        <v/>
      </c>
      <c r="W1147" s="9">
        <f>IF(OR(T1147="",T1147=0),"",(V1147-T1147)/T1147)</f>
        <v/>
      </c>
      <c r="X1147" s="7">
        <f>IF(COUNT(D1147:S1147)=0,"",INDEX($D$1:$S$1,MATCH(MIN(D1147:S1147),D1147:S1147,0)))</f>
        <v/>
      </c>
      <c r="Y1147" s="8" t="n">
        <v>12392.84</v>
      </c>
      <c r="Z1147" s="10" t="n">
        <v>1</v>
      </c>
    </row>
    <row r="1148">
      <c r="A1148" s="7" t="inlineStr">
        <is>
          <t>MAT-21-012</t>
        </is>
      </c>
      <c r="B1148" s="4" t="inlineStr">
        <is>
          <t>Tola negra 1/4", plancha 4 x 8 pies</t>
        </is>
      </c>
      <c r="C1148" s="7" t="inlineStr">
        <is>
          <t>plancha</t>
        </is>
      </c>
      <c r="D1148" s="8" t="n">
        <v>8276.58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>
        <f>IF(COUNT(D1148:S1148)=0,"",MIN(D1148:S1148))</f>
        <v/>
      </c>
      <c r="U1148" s="8">
        <f>IF(COUNT(D1148:S1148)=0,"",MEDIAN(D1148:S1148))</f>
        <v/>
      </c>
      <c r="V1148" s="8">
        <f>IF(COUNT(D1148:S1148)=0,"",MAX(D1148:S1148))</f>
        <v/>
      </c>
      <c r="W1148" s="9">
        <f>IF(OR(T1148="",T1148=0),"",(V1148-T1148)/T1148)</f>
        <v/>
      </c>
      <c r="X1148" s="7">
        <f>IF(COUNT(D1148:S1148)=0,"",INDEX($D$1:$S$1,MATCH(MIN(D1148:S1148),D1148:S1148,0)))</f>
        <v/>
      </c>
      <c r="Y1148" s="8" t="n">
        <v>8276.58</v>
      </c>
      <c r="Z1148" s="10" t="n">
        <v>1</v>
      </c>
    </row>
    <row r="1149">
      <c r="A1149" s="7" t="inlineStr">
        <is>
          <t>MAT-21-013</t>
        </is>
      </c>
      <c r="B1149" s="4" t="inlineStr">
        <is>
          <t>Tola negra 1/4", plancha 6 x 10 pies</t>
        </is>
      </c>
      <c r="C1149" s="7" t="inlineStr">
        <is>
          <t>plancha</t>
        </is>
      </c>
      <c r="D1149" s="8" t="n">
        <v>16280.34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>
        <f>IF(COUNT(D1149:S1149)=0,"",MIN(D1149:S1149))</f>
        <v/>
      </c>
      <c r="U1149" s="8">
        <f>IF(COUNT(D1149:S1149)=0,"",MEDIAN(D1149:S1149))</f>
        <v/>
      </c>
      <c r="V1149" s="8">
        <f>IF(COUNT(D1149:S1149)=0,"",MAX(D1149:S1149))</f>
        <v/>
      </c>
      <c r="W1149" s="9">
        <f>IF(OR(T1149="",T1149=0),"",(V1149-T1149)/T1149)</f>
        <v/>
      </c>
      <c r="X1149" s="7">
        <f>IF(COUNT(D1149:S1149)=0,"",INDEX($D$1:$S$1,MATCH(MIN(D1149:S1149),D1149:S1149,0)))</f>
        <v/>
      </c>
      <c r="Y1149" s="8" t="n">
        <v>16280.34</v>
      </c>
      <c r="Z1149" s="10" t="n">
        <v>1</v>
      </c>
    </row>
    <row r="1150">
      <c r="A1150" s="7" t="inlineStr">
        <is>
          <t>MAT-21-014</t>
        </is>
      </c>
      <c r="B1150" s="4" t="inlineStr">
        <is>
          <t>Tola negra 3/8", plancha 4 x 8 pies</t>
        </is>
      </c>
      <c r="C1150" s="7" t="inlineStr">
        <is>
          <t>plancha</t>
        </is>
      </c>
      <c r="D1150" s="8" t="n">
        <v>12665.86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>
        <f>IF(COUNT(D1150:S1150)=0,"",MIN(D1150:S1150))</f>
        <v/>
      </c>
      <c r="U1150" s="8">
        <f>IF(COUNT(D1150:S1150)=0,"",MEDIAN(D1150:S1150))</f>
        <v/>
      </c>
      <c r="V1150" s="8">
        <f>IF(COUNT(D1150:S1150)=0,"",MAX(D1150:S1150))</f>
        <v/>
      </c>
      <c r="W1150" s="9">
        <f>IF(OR(T1150="",T1150=0),"",(V1150-T1150)/T1150)</f>
        <v/>
      </c>
      <c r="X1150" s="7">
        <f>IF(COUNT(D1150:S1150)=0,"",INDEX($D$1:$S$1,MATCH(MIN(D1150:S1150),D1150:S1150,0)))</f>
        <v/>
      </c>
      <c r="Y1150" s="8" t="n">
        <v>12665.86</v>
      </c>
      <c r="Z1150" s="10" t="n">
        <v>1</v>
      </c>
    </row>
    <row r="1151">
      <c r="A1151" s="7" t="inlineStr">
        <is>
          <t>MAT-21-015</t>
        </is>
      </c>
      <c r="B1151" s="4" t="inlineStr">
        <is>
          <t>Tola negra 5/8", plancha 4 x 8 pies</t>
        </is>
      </c>
      <c r="C1151" s="7" t="inlineStr">
        <is>
          <t>plancha</t>
        </is>
      </c>
      <c r="D1151" s="8" t="n">
        <v>21001.52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>
        <f>IF(COUNT(D1151:S1151)=0,"",MIN(D1151:S1151))</f>
        <v/>
      </c>
      <c r="U1151" s="8">
        <f>IF(COUNT(D1151:S1151)=0,"",MEDIAN(D1151:S1151))</f>
        <v/>
      </c>
      <c r="V1151" s="8">
        <f>IF(COUNT(D1151:S1151)=0,"",MAX(D1151:S1151))</f>
        <v/>
      </c>
      <c r="W1151" s="9">
        <f>IF(OR(T1151="",T1151=0),"",(V1151-T1151)/T1151)</f>
        <v/>
      </c>
      <c r="X1151" s="7">
        <f>IF(COUNT(D1151:S1151)=0,"",INDEX($D$1:$S$1,MATCH(MIN(D1151:S1151),D1151:S1151,0)))</f>
        <v/>
      </c>
      <c r="Y1151" s="8" t="n">
        <v>21001.52</v>
      </c>
      <c r="Z1151" s="10" t="n">
        <v>1</v>
      </c>
    </row>
    <row r="1152">
      <c r="A1152" s="7" t="inlineStr">
        <is>
          <t>MAT-21-016</t>
        </is>
      </c>
      <c r="B1152" s="4" t="inlineStr">
        <is>
          <t>Tola negra 1", plancha 4 x 8 pies</t>
        </is>
      </c>
      <c r="C1152" s="7" t="inlineStr">
        <is>
          <t>plancha</t>
        </is>
      </c>
      <c r="D1152" s="8" t="n">
        <v>37319.49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>
        <f>IF(COUNT(D1152:S1152)=0,"",MIN(D1152:S1152))</f>
        <v/>
      </c>
      <c r="U1152" s="8">
        <f>IF(COUNT(D1152:S1152)=0,"",MEDIAN(D1152:S1152))</f>
        <v/>
      </c>
      <c r="V1152" s="8">
        <f>IF(COUNT(D1152:S1152)=0,"",MAX(D1152:S1152))</f>
        <v/>
      </c>
      <c r="W1152" s="9">
        <f>IF(OR(T1152="",T1152=0),"",(V1152-T1152)/T1152)</f>
        <v/>
      </c>
      <c r="X1152" s="7">
        <f>IF(COUNT(D1152:S1152)=0,"",INDEX($D$1:$S$1,MATCH(MIN(D1152:S1152),D1152:S1152,0)))</f>
        <v/>
      </c>
      <c r="Y1152" s="8" t="n">
        <v>37319.49</v>
      </c>
      <c r="Z1152" s="10" t="n">
        <v>1</v>
      </c>
    </row>
    <row r="1153">
      <c r="A1153" s="7" t="inlineStr">
        <is>
          <t>MAT-21-017</t>
        </is>
      </c>
      <c r="B1153" s="4" t="inlineStr">
        <is>
          <t>Tola corrugada 3/32", plancha 4 x 8 pies</t>
        </is>
      </c>
      <c r="C1153" s="7" t="inlineStr">
        <is>
          <t>plancha</t>
        </is>
      </c>
      <c r="D1153" s="8" t="n">
        <v>3253.65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>
        <f>IF(COUNT(D1153:S1153)=0,"",MIN(D1153:S1153))</f>
        <v/>
      </c>
      <c r="U1153" s="8">
        <f>IF(COUNT(D1153:S1153)=0,"",MEDIAN(D1153:S1153))</f>
        <v/>
      </c>
      <c r="V1153" s="8">
        <f>IF(COUNT(D1153:S1153)=0,"",MAX(D1153:S1153))</f>
        <v/>
      </c>
      <c r="W1153" s="9">
        <f>IF(OR(T1153="",T1153=0),"",(V1153-T1153)/T1153)</f>
        <v/>
      </c>
      <c r="X1153" s="7">
        <f>IF(COUNT(D1153:S1153)=0,"",INDEX($D$1:$S$1,MATCH(MIN(D1153:S1153),D1153:S1153,0)))</f>
        <v/>
      </c>
      <c r="Y1153" s="8" t="n">
        <v>3253.65</v>
      </c>
      <c r="Z1153" s="10" t="n">
        <v>1</v>
      </c>
    </row>
    <row r="1154">
      <c r="A1154" s="7" t="inlineStr">
        <is>
          <t>MAT-21-018</t>
        </is>
      </c>
      <c r="B1154" s="4" t="inlineStr">
        <is>
          <t>Tola corrugada 1/8", plancha 4 x 8 pies</t>
        </is>
      </c>
      <c r="C1154" s="7" t="inlineStr">
        <is>
          <t>plancha</t>
        </is>
      </c>
      <c r="D1154" s="8" t="n">
        <v>4279.86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>
        <f>IF(COUNT(D1154:S1154)=0,"",MIN(D1154:S1154))</f>
        <v/>
      </c>
      <c r="U1154" s="8">
        <f>IF(COUNT(D1154:S1154)=0,"",MEDIAN(D1154:S1154))</f>
        <v/>
      </c>
      <c r="V1154" s="8">
        <f>IF(COUNT(D1154:S1154)=0,"",MAX(D1154:S1154))</f>
        <v/>
      </c>
      <c r="W1154" s="9">
        <f>IF(OR(T1154="",T1154=0),"",(V1154-T1154)/T1154)</f>
        <v/>
      </c>
      <c r="X1154" s="7">
        <f>IF(COUNT(D1154:S1154)=0,"",INDEX($D$1:$S$1,MATCH(MIN(D1154:S1154),D1154:S1154,0)))</f>
        <v/>
      </c>
      <c r="Y1154" s="8" t="n">
        <v>4279.86</v>
      </c>
      <c r="Z1154" s="10" t="n">
        <v>1</v>
      </c>
    </row>
    <row r="1155">
      <c r="A1155" s="7" t="inlineStr">
        <is>
          <t>MAT-21-019</t>
        </is>
      </c>
      <c r="B1155" s="4" t="inlineStr">
        <is>
          <t>Tola corrugada 3/16", plancha 4 x 8 pies</t>
        </is>
      </c>
      <c r="C1155" s="7" t="inlineStr">
        <is>
          <t>plancha</t>
        </is>
      </c>
      <c r="D1155" s="8" t="n">
        <v>6433.47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>
        <f>IF(COUNT(D1155:S1155)=0,"",MIN(D1155:S1155))</f>
        <v/>
      </c>
      <c r="U1155" s="8">
        <f>IF(COUNT(D1155:S1155)=0,"",MEDIAN(D1155:S1155))</f>
        <v/>
      </c>
      <c r="V1155" s="8">
        <f>IF(COUNT(D1155:S1155)=0,"",MAX(D1155:S1155))</f>
        <v/>
      </c>
      <c r="W1155" s="9">
        <f>IF(OR(T1155="",T1155=0),"",(V1155-T1155)/T1155)</f>
        <v/>
      </c>
      <c r="X1155" s="7">
        <f>IF(COUNT(D1155:S1155)=0,"",INDEX($D$1:$S$1,MATCH(MIN(D1155:S1155),D1155:S1155,0)))</f>
        <v/>
      </c>
      <c r="Y1155" s="8" t="n">
        <v>6433.47</v>
      </c>
      <c r="Z1155" s="10" t="n">
        <v>1</v>
      </c>
    </row>
    <row r="1156">
      <c r="A1156" s="7" t="inlineStr">
        <is>
          <t>MAT-21-020</t>
        </is>
      </c>
      <c r="B1156" s="4" t="inlineStr">
        <is>
          <t>Tola galvanizada 4 x 8 pies, 25 lb</t>
        </is>
      </c>
      <c r="C1156" s="7" t="inlineStr">
        <is>
          <t>plancha</t>
        </is>
      </c>
      <c r="D1156" s="8" t="n">
        <v>825.17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>
        <f>IF(COUNT(D1156:S1156)=0,"",MIN(D1156:S1156))</f>
        <v/>
      </c>
      <c r="U1156" s="8">
        <f>IF(COUNT(D1156:S1156)=0,"",MEDIAN(D1156:S1156))</f>
        <v/>
      </c>
      <c r="V1156" s="8">
        <f>IF(COUNT(D1156:S1156)=0,"",MAX(D1156:S1156))</f>
        <v/>
      </c>
      <c r="W1156" s="9">
        <f>IF(OR(T1156="",T1156=0),"",(V1156-T1156)/T1156)</f>
        <v/>
      </c>
      <c r="X1156" s="7">
        <f>IF(COUNT(D1156:S1156)=0,"",INDEX($D$1:$S$1,MATCH(MIN(D1156:S1156),D1156:S1156,0)))</f>
        <v/>
      </c>
      <c r="Y1156" s="8" t="n">
        <v>825.17</v>
      </c>
      <c r="Z1156" s="10" t="n">
        <v>1</v>
      </c>
    </row>
    <row r="1157">
      <c r="A1157" s="7" t="inlineStr">
        <is>
          <t>MAT-21-021</t>
        </is>
      </c>
      <c r="B1157" s="4" t="inlineStr">
        <is>
          <t>Tola galvanizada 4 x 8 pies, 32 lb</t>
        </is>
      </c>
      <c r="C1157" s="7" t="inlineStr">
        <is>
          <t>plancha</t>
        </is>
      </c>
      <c r="D1157" s="8" t="n">
        <v>952.1900000000001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>
        <f>IF(COUNT(D1157:S1157)=0,"",MIN(D1157:S1157))</f>
        <v/>
      </c>
      <c r="U1157" s="8">
        <f>IF(COUNT(D1157:S1157)=0,"",MEDIAN(D1157:S1157))</f>
        <v/>
      </c>
      <c r="V1157" s="8">
        <f>IF(COUNT(D1157:S1157)=0,"",MAX(D1157:S1157))</f>
        <v/>
      </c>
      <c r="W1157" s="9">
        <f>IF(OR(T1157="",T1157=0),"",(V1157-T1157)/T1157)</f>
        <v/>
      </c>
      <c r="X1157" s="7">
        <f>IF(COUNT(D1157:S1157)=0,"",INDEX($D$1:$S$1,MATCH(MIN(D1157:S1157),D1157:S1157,0)))</f>
        <v/>
      </c>
      <c r="Y1157" s="8" t="n">
        <v>952.1900000000001</v>
      </c>
      <c r="Z1157" s="10" t="n">
        <v>1</v>
      </c>
    </row>
    <row r="1158">
      <c r="A1158" s="7" t="inlineStr">
        <is>
          <t>MAT-21-022</t>
        </is>
      </c>
      <c r="B1158" s="4" t="inlineStr">
        <is>
          <t>Tola galvanizada 4 x 8 pies, 44 lb</t>
        </is>
      </c>
      <c r="C1158" s="7" t="inlineStr">
        <is>
          <t>plancha</t>
        </is>
      </c>
      <c r="D1158" s="8" t="n">
        <v>1169.6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>
        <f>IF(COUNT(D1158:S1158)=0,"",MIN(D1158:S1158))</f>
        <v/>
      </c>
      <c r="U1158" s="8">
        <f>IF(COUNT(D1158:S1158)=0,"",MEDIAN(D1158:S1158))</f>
        <v/>
      </c>
      <c r="V1158" s="8">
        <f>IF(COUNT(D1158:S1158)=0,"",MAX(D1158:S1158))</f>
        <v/>
      </c>
      <c r="W1158" s="9">
        <f>IF(OR(T1158="",T1158=0),"",(V1158-T1158)/T1158)</f>
        <v/>
      </c>
      <c r="X1158" s="7">
        <f>IF(COUNT(D1158:S1158)=0,"",INDEX($D$1:$S$1,MATCH(MIN(D1158:S1158),D1158:S1158,0)))</f>
        <v/>
      </c>
      <c r="Y1158" s="8" t="n">
        <v>1169.6</v>
      </c>
      <c r="Z1158" s="10" t="n">
        <v>1</v>
      </c>
    </row>
    <row r="1159">
      <c r="A1159" s="7" t="inlineStr">
        <is>
          <t>MAT-21-023</t>
        </is>
      </c>
      <c r="B1159" s="4" t="inlineStr">
        <is>
          <t>Tola galvanizada 4 x 8 pies, 52 lb</t>
        </is>
      </c>
      <c r="C1159" s="7" t="inlineStr">
        <is>
          <t>plancha</t>
        </is>
      </c>
      <c r="D1159" s="8" t="n">
        <v>1551.37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>
        <f>IF(COUNT(D1159:S1159)=0,"",MIN(D1159:S1159))</f>
        <v/>
      </c>
      <c r="U1159" s="8">
        <f>IF(COUNT(D1159:S1159)=0,"",MEDIAN(D1159:S1159))</f>
        <v/>
      </c>
      <c r="V1159" s="8">
        <f>IF(COUNT(D1159:S1159)=0,"",MAX(D1159:S1159))</f>
        <v/>
      </c>
      <c r="W1159" s="9">
        <f>IF(OR(T1159="",T1159=0),"",(V1159-T1159)/T1159)</f>
        <v/>
      </c>
      <c r="X1159" s="7">
        <f>IF(COUNT(D1159:S1159)=0,"",INDEX($D$1:$S$1,MATCH(MIN(D1159:S1159),D1159:S1159,0)))</f>
        <v/>
      </c>
      <c r="Y1159" s="8" t="n">
        <v>1551.37</v>
      </c>
      <c r="Z1159" s="10" t="n">
        <v>1</v>
      </c>
    </row>
    <row r="1160">
      <c r="A1160" s="7" t="inlineStr">
        <is>
          <t>MAT-21-024</t>
        </is>
      </c>
      <c r="B1160" s="4" t="inlineStr">
        <is>
          <t>Tola galvanizada 4 x 8 pies, 83.75 lb</t>
        </is>
      </c>
      <c r="C1160" s="7" t="inlineStr">
        <is>
          <t>plancha</t>
        </is>
      </c>
      <c r="D1160" s="8" t="n">
        <v>2364.86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>
        <f>IF(COUNT(D1160:S1160)=0,"",MIN(D1160:S1160))</f>
        <v/>
      </c>
      <c r="U1160" s="8">
        <f>IF(COUNT(D1160:S1160)=0,"",MEDIAN(D1160:S1160))</f>
        <v/>
      </c>
      <c r="V1160" s="8">
        <f>IF(COUNT(D1160:S1160)=0,"",MAX(D1160:S1160))</f>
        <v/>
      </c>
      <c r="W1160" s="9">
        <f>IF(OR(T1160="",T1160=0),"",(V1160-T1160)/T1160)</f>
        <v/>
      </c>
      <c r="X1160" s="7">
        <f>IF(COUNT(D1160:S1160)=0,"",INDEX($D$1:$S$1,MATCH(MIN(D1160:S1160),D1160:S1160,0)))</f>
        <v/>
      </c>
      <c r="Y1160" s="8" t="n">
        <v>2364.86</v>
      </c>
      <c r="Z1160" s="10" t="n">
        <v>1</v>
      </c>
    </row>
    <row r="1161">
      <c r="A1161" s="7" t="inlineStr">
        <is>
          <t>MAT-21-025</t>
        </is>
      </c>
      <c r="B1161" s="4" t="inlineStr">
        <is>
          <t>Metal desplegable plano 3/8", plancha 4 x 8 pies</t>
        </is>
      </c>
      <c r="C1161" s="7" t="inlineStr">
        <is>
          <t>plancha</t>
        </is>
      </c>
      <c r="D1161" s="8" t="n">
        <v>2209.05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>
        <f>IF(COUNT(D1161:S1161)=0,"",MIN(D1161:S1161))</f>
        <v/>
      </c>
      <c r="U1161" s="8">
        <f>IF(COUNT(D1161:S1161)=0,"",MEDIAN(D1161:S1161))</f>
        <v/>
      </c>
      <c r="V1161" s="8">
        <f>IF(COUNT(D1161:S1161)=0,"",MAX(D1161:S1161))</f>
        <v/>
      </c>
      <c r="W1161" s="9">
        <f>IF(OR(T1161="",T1161=0),"",(V1161-T1161)/T1161)</f>
        <v/>
      </c>
      <c r="X1161" s="7">
        <f>IF(COUNT(D1161:S1161)=0,"",INDEX($D$1:$S$1,MATCH(MIN(D1161:S1161),D1161:S1161,0)))</f>
        <v/>
      </c>
      <c r="Y1161" s="8" t="n">
        <v>2209.05</v>
      </c>
      <c r="Z1161" s="10" t="n">
        <v>1</v>
      </c>
    </row>
    <row r="1162">
      <c r="A1162" s="7" t="inlineStr">
        <is>
          <t>MAT-21-026</t>
        </is>
      </c>
      <c r="B1162" s="4" t="inlineStr">
        <is>
          <t>Metal desplegable plano 1/2", plancha 4 x 8 pies</t>
        </is>
      </c>
      <c r="C1162" s="7" t="inlineStr">
        <is>
          <t>plancha</t>
        </is>
      </c>
      <c r="D1162" s="8" t="n">
        <v>765.55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>
        <f>IF(COUNT(D1162:S1162)=0,"",MIN(D1162:S1162))</f>
        <v/>
      </c>
      <c r="U1162" s="8">
        <f>IF(COUNT(D1162:S1162)=0,"",MEDIAN(D1162:S1162))</f>
        <v/>
      </c>
      <c r="V1162" s="8">
        <f>IF(COUNT(D1162:S1162)=0,"",MAX(D1162:S1162))</f>
        <v/>
      </c>
      <c r="W1162" s="9">
        <f>IF(OR(T1162="",T1162=0),"",(V1162-T1162)/T1162)</f>
        <v/>
      </c>
      <c r="X1162" s="7">
        <f>IF(COUNT(D1162:S1162)=0,"",INDEX($D$1:$S$1,MATCH(MIN(D1162:S1162),D1162:S1162,0)))</f>
        <v/>
      </c>
      <c r="Y1162" s="8" t="n">
        <v>765.55</v>
      </c>
      <c r="Z1162" s="10" t="n">
        <v>1</v>
      </c>
    </row>
    <row r="1163">
      <c r="A1163" s="7" t="inlineStr">
        <is>
          <t>MAT-21-027</t>
        </is>
      </c>
      <c r="B1163" s="4" t="inlineStr">
        <is>
          <t>Metal desplegable plano 3/4", plancha 4 x 8 pies</t>
        </is>
      </c>
      <c r="C1163" s="7" t="inlineStr">
        <is>
          <t>plancha</t>
        </is>
      </c>
      <c r="D1163" s="8" t="n">
        <v>850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>
        <f>IF(COUNT(D1163:S1163)=0,"",MIN(D1163:S1163))</f>
        <v/>
      </c>
      <c r="U1163" s="8">
        <f>IF(COUNT(D1163:S1163)=0,"",MEDIAN(D1163:S1163))</f>
        <v/>
      </c>
      <c r="V1163" s="8">
        <f>IF(COUNT(D1163:S1163)=0,"",MAX(D1163:S1163))</f>
        <v/>
      </c>
      <c r="W1163" s="9">
        <f>IF(OR(T1163="",T1163=0),"",(V1163-T1163)/T1163)</f>
        <v/>
      </c>
      <c r="X1163" s="7">
        <f>IF(COUNT(D1163:S1163)=0,"",INDEX($D$1:$S$1,MATCH(MIN(D1163:S1163),D1163:S1163,0)))</f>
        <v/>
      </c>
      <c r="Y1163" s="8" t="n">
        <v>850</v>
      </c>
      <c r="Z1163" s="10" t="n">
        <v>1</v>
      </c>
    </row>
    <row r="1164">
      <c r="A1164" s="7" t="inlineStr">
        <is>
          <t>MAT-21-028</t>
        </is>
      </c>
      <c r="B1164" s="4" t="inlineStr">
        <is>
          <t>Metal desplegable plano 1", plancha 4 x 8 pies</t>
        </is>
      </c>
      <c r="C1164" s="7" t="inlineStr">
        <is>
          <t>plancha</t>
        </is>
      </c>
      <c r="D1164" s="8" t="n">
        <v>1080.47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>
        <f>IF(COUNT(D1164:S1164)=0,"",MIN(D1164:S1164))</f>
        <v/>
      </c>
      <c r="U1164" s="8">
        <f>IF(COUNT(D1164:S1164)=0,"",MEDIAN(D1164:S1164))</f>
        <v/>
      </c>
      <c r="V1164" s="8">
        <f>IF(COUNT(D1164:S1164)=0,"",MAX(D1164:S1164))</f>
        <v/>
      </c>
      <c r="W1164" s="9">
        <f>IF(OR(T1164="",T1164=0),"",(V1164-T1164)/T1164)</f>
        <v/>
      </c>
      <c r="X1164" s="7">
        <f>IF(COUNT(D1164:S1164)=0,"",INDEX($D$1:$S$1,MATCH(MIN(D1164:S1164),D1164:S1164,0)))</f>
        <v/>
      </c>
      <c r="Y1164" s="8" t="n">
        <v>1080.47</v>
      </c>
      <c r="Z1164" s="10" t="n">
        <v>1</v>
      </c>
    </row>
    <row r="1165">
      <c r="A1165" s="7" t="inlineStr">
        <is>
          <t>MAT-21-029</t>
        </is>
      </c>
      <c r="B1165" s="4" t="inlineStr">
        <is>
          <t>Metal desplegable plano 1 1/2", plancha 4 x 8 pies</t>
        </is>
      </c>
      <c r="C1165" s="7" t="inlineStr">
        <is>
          <t>plancha</t>
        </is>
      </c>
      <c r="D1165" s="8" t="n">
        <v>939.35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>
        <f>IF(COUNT(D1165:S1165)=0,"",MIN(D1165:S1165))</f>
        <v/>
      </c>
      <c r="U1165" s="8">
        <f>IF(COUNT(D1165:S1165)=0,"",MEDIAN(D1165:S1165))</f>
        <v/>
      </c>
      <c r="V1165" s="8">
        <f>IF(COUNT(D1165:S1165)=0,"",MAX(D1165:S1165))</f>
        <v/>
      </c>
      <c r="W1165" s="9">
        <f>IF(OR(T1165="",T1165=0),"",(V1165-T1165)/T1165)</f>
        <v/>
      </c>
      <c r="X1165" s="7">
        <f>IF(COUNT(D1165:S1165)=0,"",INDEX($D$1:$S$1,MATCH(MIN(D1165:S1165),D1165:S1165,0)))</f>
        <v/>
      </c>
      <c r="Y1165" s="8" t="n">
        <v>939.35</v>
      </c>
      <c r="Z1165" s="10" t="n">
        <v>1</v>
      </c>
    </row>
    <row r="1166">
      <c r="A1166" s="7" t="inlineStr">
        <is>
          <t>MAT-22-001</t>
        </is>
      </c>
      <c r="B1166" s="4" t="inlineStr">
        <is>
          <t>Malla ciclónica calibre 9, 3 pies de alto, rollo de 50 pies</t>
        </is>
      </c>
      <c r="C1166" s="7" t="inlineStr">
        <is>
          <t>rollo</t>
        </is>
      </c>
      <c r="D1166" s="8" t="n">
        <v>5223.1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>
        <f>IF(COUNT(D1166:S1166)=0,"",MIN(D1166:S1166))</f>
        <v/>
      </c>
      <c r="U1166" s="8">
        <f>IF(COUNT(D1166:S1166)=0,"",MEDIAN(D1166:S1166))</f>
        <v/>
      </c>
      <c r="V1166" s="8">
        <f>IF(COUNT(D1166:S1166)=0,"",MAX(D1166:S1166))</f>
        <v/>
      </c>
      <c r="W1166" s="9">
        <f>IF(OR(T1166="",T1166=0),"",(V1166-T1166)/T1166)</f>
        <v/>
      </c>
      <c r="X1166" s="7">
        <f>IF(COUNT(D1166:S1166)=0,"",INDEX($D$1:$S$1,MATCH(MIN(D1166:S1166),D1166:S1166,0)))</f>
        <v/>
      </c>
      <c r="Y1166" s="8" t="n">
        <v>5223.1</v>
      </c>
      <c r="Z1166" s="10" t="n">
        <v>1</v>
      </c>
    </row>
    <row r="1167">
      <c r="A1167" s="7" t="inlineStr">
        <is>
          <t>MAT-22-002</t>
        </is>
      </c>
      <c r="B1167" s="4" t="inlineStr">
        <is>
          <t>Malla ciclónica calibre 9, 4 pies de alto, rollo de 50 pies</t>
        </is>
      </c>
      <c r="C1167" s="7" t="inlineStr">
        <is>
          <t>rollo</t>
        </is>
      </c>
      <c r="D1167" s="8" t="n">
        <v>6121.98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6236</v>
      </c>
      <c r="N1167" s="8" t="n"/>
      <c r="O1167" s="8" t="n"/>
      <c r="P1167" s="8" t="n"/>
      <c r="Q1167" s="8" t="n"/>
      <c r="R1167" s="8" t="n"/>
      <c r="S1167" s="8" t="n"/>
      <c r="T1167" s="8">
        <f>IF(COUNT(D1167:S1167)=0,"",MIN(D1167:S1167))</f>
        <v/>
      </c>
      <c r="U1167" s="8">
        <f>IF(COUNT(D1167:S1167)=0,"",MEDIAN(D1167:S1167))</f>
        <v/>
      </c>
      <c r="V1167" s="8">
        <f>IF(COUNT(D1167:S1167)=0,"",MAX(D1167:S1167))</f>
        <v/>
      </c>
      <c r="W1167" s="9">
        <f>IF(OR(T1167="",T1167=0),"",(V1167-T1167)/T1167)</f>
        <v/>
      </c>
      <c r="X1167" s="7">
        <f>IF(COUNT(D1167:S1167)=0,"",INDEX($D$1:$S$1,MATCH(MIN(D1167:S1167),D1167:S1167,0)))</f>
        <v/>
      </c>
      <c r="Y1167" s="8" t="n">
        <v>6740.23</v>
      </c>
      <c r="Z1167" s="10" t="n">
        <v>2</v>
      </c>
    </row>
    <row r="1168">
      <c r="A1168" s="7" t="inlineStr">
        <is>
          <t>MAT-22-003</t>
        </is>
      </c>
      <c r="B1168" s="4" t="inlineStr">
        <is>
          <t>Malla ciclónica calibre 9, 6 pies de alto, rollo de 50 pies</t>
        </is>
      </c>
      <c r="C1168" s="7" t="inlineStr">
        <is>
          <t>rollo</t>
        </is>
      </c>
      <c r="D1168" s="8" t="n">
        <v>9867.16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>
        <v>9957</v>
      </c>
      <c r="N1168" s="8" t="n"/>
      <c r="O1168" s="8" t="n"/>
      <c r="P1168" s="8" t="n"/>
      <c r="Q1168" s="8" t="n"/>
      <c r="R1168" s="8" t="n"/>
      <c r="S1168" s="8" t="n"/>
      <c r="T1168" s="8">
        <f>IF(COUNT(D1168:S1168)=0,"",MIN(D1168:S1168))</f>
        <v/>
      </c>
      <c r="U1168" s="8">
        <f>IF(COUNT(D1168:S1168)=0,"",MEDIAN(D1168:S1168))</f>
        <v/>
      </c>
      <c r="V1168" s="8">
        <f>IF(COUNT(D1168:S1168)=0,"",MAX(D1168:S1168))</f>
        <v/>
      </c>
      <c r="W1168" s="9">
        <f>IF(OR(T1168="",T1168=0),"",(V1168-T1168)/T1168)</f>
        <v/>
      </c>
      <c r="X1168" s="7">
        <f>IF(COUNT(D1168:S1168)=0,"",INDEX($D$1:$S$1,MATCH(MIN(D1168:S1168),D1168:S1168,0)))</f>
        <v/>
      </c>
      <c r="Y1168" s="8" t="n">
        <v>10808.21</v>
      </c>
      <c r="Z1168" s="10" t="n">
        <v>2</v>
      </c>
    </row>
    <row r="1169">
      <c r="A1169" s="7" t="inlineStr">
        <is>
          <t>MAT-22-004</t>
        </is>
      </c>
      <c r="B1169" s="4" t="inlineStr">
        <is>
          <t>Malla ciclónica calibre 9 revestida en PVC, 6 pies de alto, rollo de 50 pies</t>
        </is>
      </c>
      <c r="C1169" s="7" t="inlineStr">
        <is>
          <t>rollo</t>
        </is>
      </c>
      <c r="D1169" s="8" t="n">
        <v>11757.65</v>
      </c>
      <c r="E1169" s="8" t="n"/>
      <c r="F1169" s="8" t="n"/>
      <c r="G1169" s="8" t="n"/>
      <c r="H1169" s="8" t="n"/>
      <c r="I1169" s="8" t="n"/>
      <c r="J1169" s="8" t="n"/>
      <c r="K1169" s="8" t="n">
        <v>14690</v>
      </c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>
        <f>IF(COUNT(D1169:S1169)=0,"",MIN(D1169:S1169))</f>
        <v/>
      </c>
      <c r="U1169" s="8">
        <f>IF(COUNT(D1169:S1169)=0,"",MEDIAN(D1169:S1169))</f>
        <v/>
      </c>
      <c r="V1169" s="8">
        <f>IF(COUNT(D1169:S1169)=0,"",MAX(D1169:S1169))</f>
        <v/>
      </c>
      <c r="W1169" s="9">
        <f>IF(OR(T1169="",T1169=0),"",(V1169-T1169)/T1169)</f>
        <v/>
      </c>
      <c r="X1169" s="7">
        <f>IF(COUNT(D1169:S1169)=0,"",INDEX($D$1:$S$1,MATCH(MIN(D1169:S1169),D1169:S1169,0)))</f>
        <v/>
      </c>
      <c r="Y1169" s="8" t="n">
        <v>13223.83</v>
      </c>
      <c r="Z1169" s="10" t="n">
        <v>2</v>
      </c>
    </row>
    <row r="1170">
      <c r="A1170" s="7" t="inlineStr">
        <is>
          <t>MAT-22-005</t>
        </is>
      </c>
      <c r="B1170" s="4" t="inlineStr">
        <is>
          <t>Malla ciclónica calibre 9, 8 pies de alto, rollo de 50 pies</t>
        </is>
      </c>
      <c r="C1170" s="7" t="inlineStr">
        <is>
          <t>rollo</t>
        </is>
      </c>
      <c r="D1170" s="8" t="n">
        <v>13273.54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13272</v>
      </c>
      <c r="N1170" s="8" t="n"/>
      <c r="O1170" s="8" t="n"/>
      <c r="P1170" s="8" t="n"/>
      <c r="Q1170" s="8" t="n"/>
      <c r="R1170" s="8" t="n"/>
      <c r="S1170" s="8" t="n"/>
      <c r="T1170" s="8">
        <f>IF(COUNT(D1170:S1170)=0,"",MIN(D1170:S1170))</f>
        <v/>
      </c>
      <c r="U1170" s="8">
        <f>IF(COUNT(D1170:S1170)=0,"",MEDIAN(D1170:S1170))</f>
        <v/>
      </c>
      <c r="V1170" s="8">
        <f>IF(COUNT(D1170:S1170)=0,"",MAX(D1170:S1170))</f>
        <v/>
      </c>
      <c r="W1170" s="9">
        <f>IF(OR(T1170="",T1170=0),"",(V1170-T1170)/T1170)</f>
        <v/>
      </c>
      <c r="X1170" s="7">
        <f>IF(COUNT(D1170:S1170)=0,"",INDEX($D$1:$S$1,MATCH(MIN(D1170:S1170),D1170:S1170,0)))</f>
        <v/>
      </c>
      <c r="Y1170" s="8" t="n">
        <v>14467.25</v>
      </c>
      <c r="Z1170" s="10" t="n">
        <v>2</v>
      </c>
    </row>
    <row r="1171">
      <c r="A1171" s="7" t="inlineStr">
        <is>
          <t>MAT-22-006</t>
        </is>
      </c>
      <c r="B1171" s="4" t="inlineStr">
        <is>
          <t>Tubo galvanizado para malla ciclónica 1 1/4" x 20 pies</t>
        </is>
      </c>
      <c r="C1171" s="7" t="inlineStr">
        <is>
          <t>unidad</t>
        </is>
      </c>
      <c r="D1171" s="8" t="n">
        <v>527.0599999999999</v>
      </c>
      <c r="E1171" s="8" t="n"/>
      <c r="F1171" s="8" t="n"/>
      <c r="G1171" s="8" t="n"/>
      <c r="H1171" s="8" t="n"/>
      <c r="I1171" s="8" t="n"/>
      <c r="J1171" s="8" t="n"/>
      <c r="K1171" s="8" t="n">
        <v>730</v>
      </c>
      <c r="L1171" s="8" t="n"/>
      <c r="M1171" s="8" t="n">
        <v>603</v>
      </c>
      <c r="N1171" s="8" t="n"/>
      <c r="O1171" s="8" t="n"/>
      <c r="P1171" s="8" t="n"/>
      <c r="Q1171" s="8" t="n"/>
      <c r="R1171" s="8" t="n"/>
      <c r="S1171" s="8" t="n"/>
      <c r="T1171" s="8">
        <f>IF(COUNT(D1171:S1171)=0,"",MIN(D1171:S1171))</f>
        <v/>
      </c>
      <c r="U1171" s="8">
        <f>IF(COUNT(D1171:S1171)=0,"",MEDIAN(D1171:S1171))</f>
        <v/>
      </c>
      <c r="V1171" s="8">
        <f>IF(COUNT(D1171:S1171)=0,"",MAX(D1171:S1171))</f>
        <v/>
      </c>
      <c r="W1171" s="9">
        <f>IF(OR(T1171="",T1171=0),"",(V1171-T1171)/T1171)</f>
        <v/>
      </c>
      <c r="X1171" s="7">
        <f>IF(COUNT(D1171:S1171)=0,"",INDEX($D$1:$S$1,MATCH(MIN(D1171:S1171),D1171:S1171,0)))</f>
        <v/>
      </c>
      <c r="Y1171" s="8" t="n">
        <v>711.54</v>
      </c>
      <c r="Z1171" s="10" t="n">
        <v>3</v>
      </c>
    </row>
    <row r="1172">
      <c r="A1172" s="7" t="inlineStr">
        <is>
          <t>MAT-22-007</t>
        </is>
      </c>
      <c r="B1172" s="4" t="inlineStr">
        <is>
          <t>Tubo galvanizado para malla ciclónica 1 1/2" x 15 pies</t>
        </is>
      </c>
      <c r="C1172" s="7" t="inlineStr">
        <is>
          <t>unidad</t>
        </is>
      </c>
      <c r="D1172" s="8" t="n">
        <v>462.61</v>
      </c>
      <c r="E1172" s="8" t="n"/>
      <c r="F1172" s="8" t="n"/>
      <c r="G1172" s="8" t="n"/>
      <c r="H1172" s="8" t="n"/>
      <c r="I1172" s="8" t="n"/>
      <c r="J1172" s="8" t="n"/>
      <c r="K1172" s="8" t="n">
        <v>625</v>
      </c>
      <c r="L1172" s="8" t="n"/>
      <c r="M1172" s="8" t="n">
        <v>460</v>
      </c>
      <c r="N1172" s="8" t="n"/>
      <c r="O1172" s="8" t="n"/>
      <c r="P1172" s="8" t="n"/>
      <c r="Q1172" s="8" t="n"/>
      <c r="R1172" s="8" t="n"/>
      <c r="S1172" s="8" t="n"/>
      <c r="T1172" s="8">
        <f>IF(COUNT(D1172:S1172)=0,"",MIN(D1172:S1172))</f>
        <v/>
      </c>
      <c r="U1172" s="8">
        <f>IF(COUNT(D1172:S1172)=0,"",MEDIAN(D1172:S1172))</f>
        <v/>
      </c>
      <c r="V1172" s="8">
        <f>IF(COUNT(D1172:S1172)=0,"",MAX(D1172:S1172))</f>
        <v/>
      </c>
      <c r="W1172" s="9">
        <f>IF(OR(T1172="",T1172=0),"",(V1172-T1172)/T1172)</f>
        <v/>
      </c>
      <c r="X1172" s="7">
        <f>IF(COUNT(D1172:S1172)=0,"",INDEX($D$1:$S$1,MATCH(MIN(D1172:S1172),D1172:S1172,0)))</f>
        <v/>
      </c>
      <c r="Y1172" s="8" t="n">
        <v>542.8</v>
      </c>
      <c r="Z1172" s="10" t="n">
        <v>3</v>
      </c>
    </row>
    <row r="1173">
      <c r="A1173" s="7" t="inlineStr">
        <is>
          <t>MAT-22-008</t>
        </is>
      </c>
      <c r="B1173" s="4" t="inlineStr">
        <is>
          <t>Tubo galvanizado para malla ciclónica 2" x 20 pies</t>
        </is>
      </c>
      <c r="C1173" s="7" t="inlineStr">
        <is>
          <t>unidad</t>
        </is>
      </c>
      <c r="D1173" s="8" t="n">
        <v>699.92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>
        <v>700</v>
      </c>
      <c r="N1173" s="8" t="n"/>
      <c r="O1173" s="8" t="n"/>
      <c r="P1173" s="8" t="n"/>
      <c r="Q1173" s="8" t="n"/>
      <c r="R1173" s="8" t="n"/>
      <c r="S1173" s="8" t="n"/>
      <c r="T1173" s="8">
        <f>IF(COUNT(D1173:S1173)=0,"",MIN(D1173:S1173))</f>
        <v/>
      </c>
      <c r="U1173" s="8">
        <f>IF(COUNT(D1173:S1173)=0,"",MEDIAN(D1173:S1173))</f>
        <v/>
      </c>
      <c r="V1173" s="8">
        <f>IF(COUNT(D1173:S1173)=0,"",MAX(D1173:S1173))</f>
        <v/>
      </c>
      <c r="W1173" s="9">
        <f>IF(OR(T1173="",T1173=0),"",(V1173-T1173)/T1173)</f>
        <v/>
      </c>
      <c r="X1173" s="7">
        <f>IF(COUNT(D1173:S1173)=0,"",INDEX($D$1:$S$1,MATCH(MIN(D1173:S1173),D1173:S1173,0)))</f>
        <v/>
      </c>
      <c r="Y1173" s="8" t="n">
        <v>762.96</v>
      </c>
      <c r="Z1173" s="10" t="n">
        <v>2</v>
      </c>
    </row>
    <row r="1174">
      <c r="A1174" s="7" t="inlineStr">
        <is>
          <t>MAT-22-009</t>
        </is>
      </c>
      <c r="B1174" s="4" t="inlineStr">
        <is>
          <t>Malla ciclónica calibre 11, 3 pies de alto, rollo de 50 pies</t>
        </is>
      </c>
      <c r="C1174" s="7" t="inlineStr">
        <is>
          <t>rollo</t>
        </is>
      </c>
      <c r="D1174" s="8" t="n">
        <v>4335.91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>
        <f>IF(COUNT(D1174:S1174)=0,"",MIN(D1174:S1174))</f>
        <v/>
      </c>
      <c r="U1174" s="8">
        <f>IF(COUNT(D1174:S1174)=0,"",MEDIAN(D1174:S1174))</f>
        <v/>
      </c>
      <c r="V1174" s="8">
        <f>IF(COUNT(D1174:S1174)=0,"",MAX(D1174:S1174))</f>
        <v/>
      </c>
      <c r="W1174" s="9">
        <f>IF(OR(T1174="",T1174=0),"",(V1174-T1174)/T1174)</f>
        <v/>
      </c>
      <c r="X1174" s="7">
        <f>IF(COUNT(D1174:S1174)=0,"",INDEX($D$1:$S$1,MATCH(MIN(D1174:S1174),D1174:S1174,0)))</f>
        <v/>
      </c>
      <c r="Y1174" s="8" t="n">
        <v>4335.91</v>
      </c>
      <c r="Z1174" s="10" t="n">
        <v>1</v>
      </c>
    </row>
    <row r="1175">
      <c r="A1175" s="7" t="inlineStr">
        <is>
          <t>MAT-22-010</t>
        </is>
      </c>
      <c r="B1175" s="4" t="inlineStr">
        <is>
          <t>Malla ciclónica calibre 11, 6 pies de alto, rollo de 50 pies</t>
        </is>
      </c>
      <c r="C1175" s="7" t="inlineStr">
        <is>
          <t>rollo</t>
        </is>
      </c>
      <c r="D1175" s="8" t="n">
        <v>8694.459999999999</v>
      </c>
      <c r="E1175" s="8" t="n"/>
      <c r="F1175" s="8" t="n"/>
      <c r="G1175" s="8" t="n"/>
      <c r="H1175" s="8" t="n"/>
      <c r="I1175" s="8" t="n"/>
      <c r="J1175" s="8" t="n"/>
      <c r="K1175" s="8" t="n">
        <v>10250</v>
      </c>
      <c r="L1175" s="8" t="n"/>
      <c r="M1175" s="8" t="n">
        <v>8780</v>
      </c>
      <c r="N1175" s="8" t="n"/>
      <c r="O1175" s="8" t="n"/>
      <c r="P1175" s="8" t="n"/>
      <c r="Q1175" s="8" t="n"/>
      <c r="R1175" s="8" t="n"/>
      <c r="S1175" s="8" t="n"/>
      <c r="T1175" s="8">
        <f>IF(COUNT(D1175:S1175)=0,"",MIN(D1175:S1175))</f>
        <v/>
      </c>
      <c r="U1175" s="8">
        <f>IF(COUNT(D1175:S1175)=0,"",MEDIAN(D1175:S1175))</f>
        <v/>
      </c>
      <c r="V1175" s="8">
        <f>IF(COUNT(D1175:S1175)=0,"",MAX(D1175:S1175))</f>
        <v/>
      </c>
      <c r="W1175" s="9">
        <f>IF(OR(T1175="",T1175=0),"",(V1175-T1175)/T1175)</f>
        <v/>
      </c>
      <c r="X1175" s="7">
        <f>IF(COUNT(D1175:S1175)=0,"",INDEX($D$1:$S$1,MATCH(MIN(D1175:S1175),D1175:S1175,0)))</f>
        <v/>
      </c>
      <c r="Y1175" s="8" t="n">
        <v>10250</v>
      </c>
      <c r="Z1175" s="10" t="n">
        <v>3</v>
      </c>
    </row>
    <row r="1176">
      <c r="A1176" s="7" t="inlineStr">
        <is>
          <t>MAT-22-011</t>
        </is>
      </c>
      <c r="B1176" s="4" t="inlineStr">
        <is>
          <t>Alambre de púas 1.50 mm, rollo de 250 metros</t>
        </is>
      </c>
      <c r="C1176" s="7" t="inlineStr">
        <is>
          <t>rollo</t>
        </is>
      </c>
      <c r="D1176" s="8" t="n">
        <v>2601.2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>
        <f>IF(COUNT(D1176:S1176)=0,"",MIN(D1176:S1176))</f>
        <v/>
      </c>
      <c r="U1176" s="8">
        <f>IF(COUNT(D1176:S1176)=0,"",MEDIAN(D1176:S1176))</f>
        <v/>
      </c>
      <c r="V1176" s="8">
        <f>IF(COUNT(D1176:S1176)=0,"",MAX(D1176:S1176))</f>
        <v/>
      </c>
      <c r="W1176" s="9">
        <f>IF(OR(T1176="",T1176=0),"",(V1176-T1176)/T1176)</f>
        <v/>
      </c>
      <c r="X1176" s="7">
        <f>IF(COUNT(D1176:S1176)=0,"",INDEX($D$1:$S$1,MATCH(MIN(D1176:S1176),D1176:S1176,0)))</f>
        <v/>
      </c>
      <c r="Y1176" s="8" t="n">
        <v>2601.2</v>
      </c>
      <c r="Z1176" s="10" t="n">
        <v>1</v>
      </c>
    </row>
    <row r="1177">
      <c r="A1177" s="7" t="inlineStr">
        <is>
          <t>MAT-22-012</t>
        </is>
      </c>
      <c r="B1177" s="4" t="inlineStr">
        <is>
          <t>Alambre de púas calibre 15, rollo de 250 metros</t>
        </is>
      </c>
      <c r="C1177" s="7" t="inlineStr">
        <is>
          <t>rollo</t>
        </is>
      </c>
      <c r="D1177" s="8" t="n">
        <v>2541.47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>
        <f>IF(COUNT(D1177:S1177)=0,"",MIN(D1177:S1177))</f>
        <v/>
      </c>
      <c r="U1177" s="8">
        <f>IF(COUNT(D1177:S1177)=0,"",MEDIAN(D1177:S1177))</f>
        <v/>
      </c>
      <c r="V1177" s="8">
        <f>IF(COUNT(D1177:S1177)=0,"",MAX(D1177:S1177))</f>
        <v/>
      </c>
      <c r="W1177" s="9">
        <f>IF(OR(T1177="",T1177=0),"",(V1177-T1177)/T1177)</f>
        <v/>
      </c>
      <c r="X1177" s="7">
        <f>IF(COUNT(D1177:S1177)=0,"",INDEX($D$1:$S$1,MATCH(MIN(D1177:S1177),D1177:S1177,0)))</f>
        <v/>
      </c>
      <c r="Y1177" s="8" t="n">
        <v>2541.47</v>
      </c>
      <c r="Z1177" s="10" t="n">
        <v>1</v>
      </c>
    </row>
    <row r="1178">
      <c r="A1178" s="7" t="inlineStr">
        <is>
          <t>MAT-22-013</t>
        </is>
      </c>
      <c r="B1178" s="4" t="inlineStr">
        <is>
          <t>Alambre de púas calibre 16, rollo de 110 metros</t>
        </is>
      </c>
      <c r="C1178" s="7" t="inlineStr">
        <is>
          <t>rollo</t>
        </is>
      </c>
      <c r="D1178" s="8" t="n">
        <v>964.11</v>
      </c>
      <c r="E1178" s="8" t="n"/>
      <c r="F1178" s="8" t="n"/>
      <c r="G1178" s="8" t="n"/>
      <c r="H1178" s="8" t="n"/>
      <c r="I1178" s="8" t="n"/>
      <c r="J1178" s="8" t="n"/>
      <c r="K1178" s="8" t="n">
        <v>845</v>
      </c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>
        <f>IF(COUNT(D1178:S1178)=0,"",MIN(D1178:S1178))</f>
        <v/>
      </c>
      <c r="U1178" s="8">
        <f>IF(COUNT(D1178:S1178)=0,"",MEDIAN(D1178:S1178))</f>
        <v/>
      </c>
      <c r="V1178" s="8">
        <f>IF(COUNT(D1178:S1178)=0,"",MAX(D1178:S1178))</f>
        <v/>
      </c>
      <c r="W1178" s="9">
        <f>IF(OR(T1178="",T1178=0),"",(V1178-T1178)/T1178)</f>
        <v/>
      </c>
      <c r="X1178" s="7">
        <f>IF(COUNT(D1178:S1178)=0,"",INDEX($D$1:$S$1,MATCH(MIN(D1178:S1178),D1178:S1178,0)))</f>
        <v/>
      </c>
      <c r="Y1178" s="8" t="n">
        <v>904.5599999999999</v>
      </c>
      <c r="Z1178" s="10" t="n">
        <v>2</v>
      </c>
    </row>
    <row r="1179">
      <c r="A1179" s="7" t="inlineStr">
        <is>
          <t>MAT-22-014</t>
        </is>
      </c>
      <c r="B1179" s="4" t="inlineStr">
        <is>
          <t>Alambre de púas calibre 16, rollo de 250 metros</t>
        </is>
      </c>
      <c r="C1179" s="7" t="inlineStr">
        <is>
          <t>rollo</t>
        </is>
      </c>
      <c r="D1179" s="8" t="n">
        <v>2108.46</v>
      </c>
      <c r="E1179" s="8" t="n"/>
      <c r="F1179" s="8" t="n"/>
      <c r="G1179" s="8" t="n">
        <v>2663</v>
      </c>
      <c r="H1179" s="8" t="n"/>
      <c r="I1179" s="8" t="n"/>
      <c r="J1179" s="8" t="n"/>
      <c r="K1179" s="8" t="n">
        <v>1885</v>
      </c>
      <c r="L1179" s="8" t="n">
        <v>2390.01</v>
      </c>
      <c r="M1179" s="8" t="n"/>
      <c r="N1179" s="8" t="n"/>
      <c r="O1179" s="8" t="n"/>
      <c r="P1179" s="8" t="n"/>
      <c r="Q1179" s="8" t="n"/>
      <c r="R1179" s="8" t="n"/>
      <c r="S1179" s="8" t="n"/>
      <c r="T1179" s="8">
        <f>IF(COUNT(D1179:S1179)=0,"",MIN(D1179:S1179))</f>
        <v/>
      </c>
      <c r="U1179" s="8">
        <f>IF(COUNT(D1179:S1179)=0,"",MEDIAN(D1179:S1179))</f>
        <v/>
      </c>
      <c r="V1179" s="8">
        <f>IF(COUNT(D1179:S1179)=0,"",MAX(D1179:S1179))</f>
        <v/>
      </c>
      <c r="W1179" s="9">
        <f>IF(OR(T1179="",T1179=0),"",(V1179-T1179)/T1179)</f>
        <v/>
      </c>
      <c r="X1179" s="7">
        <f>IF(COUNT(D1179:S1179)=0,"",INDEX($D$1:$S$1,MATCH(MIN(D1179:S1179),D1179:S1179,0)))</f>
        <v/>
      </c>
      <c r="Y1179" s="8" t="n">
        <v>2696.5</v>
      </c>
      <c r="Z1179" s="10" t="n">
        <v>4</v>
      </c>
    </row>
    <row r="1180">
      <c r="A1180" s="7" t="inlineStr">
        <is>
          <t>MAT-22-015</t>
        </is>
      </c>
      <c r="B1180" s="4" t="inlineStr">
        <is>
          <t>Alambre de púas calibre 17, rollo de 250 metros</t>
        </is>
      </c>
      <c r="C1180" s="7" t="inlineStr">
        <is>
          <t>rollo</t>
        </is>
      </c>
      <c r="D1180" s="8" t="n">
        <v>1933.36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>
        <f>IF(COUNT(D1180:S1180)=0,"",MIN(D1180:S1180))</f>
        <v/>
      </c>
      <c r="U1180" s="8">
        <f>IF(COUNT(D1180:S1180)=0,"",MEDIAN(D1180:S1180))</f>
        <v/>
      </c>
      <c r="V1180" s="8">
        <f>IF(COUNT(D1180:S1180)=0,"",MAX(D1180:S1180))</f>
        <v/>
      </c>
      <c r="W1180" s="9">
        <f>IF(OR(T1180="",T1180=0),"",(V1180-T1180)/T1180)</f>
        <v/>
      </c>
      <c r="X1180" s="7">
        <f>IF(COUNT(D1180:S1180)=0,"",INDEX($D$1:$S$1,MATCH(MIN(D1180:S1180),D1180:S1180,0)))</f>
        <v/>
      </c>
      <c r="Y1180" s="8" t="n">
        <v>1933.36</v>
      </c>
      <c r="Z1180" s="10" t="n">
        <v>1</v>
      </c>
    </row>
    <row r="1181">
      <c r="A1181" s="7" t="inlineStr">
        <is>
          <t>MAT-22-016</t>
        </is>
      </c>
      <c r="B1181" s="4" t="inlineStr">
        <is>
          <t>Tela metálica calibre 16, retícula 1" x 2", 4 pies de alto</t>
        </is>
      </c>
      <c r="C1181" s="7" t="inlineStr">
        <is>
          <t>yarda</t>
        </is>
      </c>
      <c r="D1181" s="8" t="n">
        <v>113.78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>
        <f>IF(COUNT(D1181:S1181)=0,"",MIN(D1181:S1181))</f>
        <v/>
      </c>
      <c r="U1181" s="8">
        <f>IF(COUNT(D1181:S1181)=0,"",MEDIAN(D1181:S1181))</f>
        <v/>
      </c>
      <c r="V1181" s="8">
        <f>IF(COUNT(D1181:S1181)=0,"",MAX(D1181:S1181))</f>
        <v/>
      </c>
      <c r="W1181" s="9">
        <f>IF(OR(T1181="",T1181=0),"",(V1181-T1181)/T1181)</f>
        <v/>
      </c>
      <c r="X1181" s="7">
        <f>IF(COUNT(D1181:S1181)=0,"",INDEX($D$1:$S$1,MATCH(MIN(D1181:S1181),D1181:S1181,0)))</f>
        <v/>
      </c>
      <c r="Y1181" s="8" t="n">
        <v>113.78</v>
      </c>
      <c r="Z1181" s="10" t="n">
        <v>1</v>
      </c>
    </row>
    <row r="1182">
      <c r="A1182" s="7" t="inlineStr">
        <is>
          <t>MAT-22-017</t>
        </is>
      </c>
      <c r="B1182" s="4" t="inlineStr">
        <is>
          <t>Tela metálica calibre 18, retícula 1/2" x 1/2", 4 pies de alto</t>
        </is>
      </c>
      <c r="C1182" s="7" t="inlineStr">
        <is>
          <t>yarda</t>
        </is>
      </c>
      <c r="D1182" s="8" t="n">
        <v>192.26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>
        <f>IF(COUNT(D1182:S1182)=0,"",MIN(D1182:S1182))</f>
        <v/>
      </c>
      <c r="U1182" s="8">
        <f>IF(COUNT(D1182:S1182)=0,"",MEDIAN(D1182:S1182))</f>
        <v/>
      </c>
      <c r="V1182" s="8">
        <f>IF(COUNT(D1182:S1182)=0,"",MAX(D1182:S1182))</f>
        <v/>
      </c>
      <c r="W1182" s="9">
        <f>IF(OR(T1182="",T1182=0),"",(V1182-T1182)/T1182)</f>
        <v/>
      </c>
      <c r="X1182" s="7">
        <f>IF(COUNT(D1182:S1182)=0,"",INDEX($D$1:$S$1,MATCH(MIN(D1182:S1182),D1182:S1182,0)))</f>
        <v/>
      </c>
      <c r="Y1182" s="8" t="n">
        <v>192.26</v>
      </c>
      <c r="Z1182" s="10" t="n">
        <v>1</v>
      </c>
    </row>
    <row r="1183">
      <c r="A1183" s="7" t="inlineStr">
        <is>
          <t>MAT-22-018</t>
        </is>
      </c>
      <c r="B1183" s="4" t="inlineStr">
        <is>
          <t>Tela metálica calibre 18, retícula 1" x 1/2", 3 pies de alto</t>
        </is>
      </c>
      <c r="C1183" s="7" t="inlineStr">
        <is>
          <t>yarda</t>
        </is>
      </c>
      <c r="D1183" s="8" t="n">
        <v>106.11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>
        <f>IF(COUNT(D1183:S1183)=0,"",MIN(D1183:S1183))</f>
        <v/>
      </c>
      <c r="U1183" s="8">
        <f>IF(COUNT(D1183:S1183)=0,"",MEDIAN(D1183:S1183))</f>
        <v/>
      </c>
      <c r="V1183" s="8">
        <f>IF(COUNT(D1183:S1183)=0,"",MAX(D1183:S1183))</f>
        <v/>
      </c>
      <c r="W1183" s="9">
        <f>IF(OR(T1183="",T1183=0),"",(V1183-T1183)/T1183)</f>
        <v/>
      </c>
      <c r="X1183" s="7">
        <f>IF(COUNT(D1183:S1183)=0,"",INDEX($D$1:$S$1,MATCH(MIN(D1183:S1183),D1183:S1183,0)))</f>
        <v/>
      </c>
      <c r="Y1183" s="8" t="n">
        <v>106.11</v>
      </c>
      <c r="Z1183" s="10" t="n">
        <v>1</v>
      </c>
    </row>
    <row r="1184">
      <c r="A1184" s="7" t="inlineStr">
        <is>
          <t>MAT-22-019</t>
        </is>
      </c>
      <c r="B1184" s="4" t="inlineStr">
        <is>
          <t>Tela metálica calibre 18, retícula 1" x 1/2", 4 pies de alto</t>
        </is>
      </c>
      <c r="C1184" s="7" t="inlineStr">
        <is>
          <t>yarda</t>
        </is>
      </c>
      <c r="D1184" s="8" t="n">
        <v>145.1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>
        <f>IF(COUNT(D1184:S1184)=0,"",MIN(D1184:S1184))</f>
        <v/>
      </c>
      <c r="U1184" s="8">
        <f>IF(COUNT(D1184:S1184)=0,"",MEDIAN(D1184:S1184))</f>
        <v/>
      </c>
      <c r="V1184" s="8">
        <f>IF(COUNT(D1184:S1184)=0,"",MAX(D1184:S1184))</f>
        <v/>
      </c>
      <c r="W1184" s="9">
        <f>IF(OR(T1184="",T1184=0),"",(V1184-T1184)/T1184)</f>
        <v/>
      </c>
      <c r="X1184" s="7">
        <f>IF(COUNT(D1184:S1184)=0,"",INDEX($D$1:$S$1,MATCH(MIN(D1184:S1184),D1184:S1184,0)))</f>
        <v/>
      </c>
      <c r="Y1184" s="8" t="n">
        <v>145.1</v>
      </c>
      <c r="Z1184" s="10" t="n">
        <v>1</v>
      </c>
    </row>
    <row r="1185">
      <c r="A1185" s="7" t="inlineStr">
        <is>
          <t>MAT-22-020</t>
        </is>
      </c>
      <c r="B1185" s="4" t="inlineStr">
        <is>
          <t>Tela metálica calibre 20, retícula 1" x 2", 3 pies de alto</t>
        </is>
      </c>
      <c r="C1185" s="7" t="inlineStr">
        <is>
          <t>yarda</t>
        </is>
      </c>
      <c r="D1185" s="8" t="n">
        <v>37.54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>
        <f>IF(COUNT(D1185:S1185)=0,"",MIN(D1185:S1185))</f>
        <v/>
      </c>
      <c r="U1185" s="8">
        <f>IF(COUNT(D1185:S1185)=0,"",MEDIAN(D1185:S1185))</f>
        <v/>
      </c>
      <c r="V1185" s="8">
        <f>IF(COUNT(D1185:S1185)=0,"",MAX(D1185:S1185))</f>
        <v/>
      </c>
      <c r="W1185" s="9">
        <f>IF(OR(T1185="",T1185=0),"",(V1185-T1185)/T1185)</f>
        <v/>
      </c>
      <c r="X1185" s="7">
        <f>IF(COUNT(D1185:S1185)=0,"",INDEX($D$1:$S$1,MATCH(MIN(D1185:S1185),D1185:S1185,0)))</f>
        <v/>
      </c>
      <c r="Y1185" s="8" t="n">
        <v>37.54</v>
      </c>
      <c r="Z1185" s="10" t="n">
        <v>1</v>
      </c>
    </row>
    <row r="1186">
      <c r="A1186" s="7" t="inlineStr">
        <is>
          <t>MAT-22-021</t>
        </is>
      </c>
      <c r="B1186" s="4" t="inlineStr">
        <is>
          <t>Tela metálica calibre 21, retícula 3/8" x 3/8", 3 pies de alto</t>
        </is>
      </c>
      <c r="C1186" s="7" t="inlineStr">
        <is>
          <t>yarda</t>
        </is>
      </c>
      <c r="D1186" s="8" t="n">
        <v>72.61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>
        <f>IF(COUNT(D1186:S1186)=0,"",MIN(D1186:S1186))</f>
        <v/>
      </c>
      <c r="U1186" s="8">
        <f>IF(COUNT(D1186:S1186)=0,"",MEDIAN(D1186:S1186))</f>
        <v/>
      </c>
      <c r="V1186" s="8">
        <f>IF(COUNT(D1186:S1186)=0,"",MAX(D1186:S1186))</f>
        <v/>
      </c>
      <c r="W1186" s="9">
        <f>IF(OR(T1186="",T1186=0),"",(V1186-T1186)/T1186)</f>
        <v/>
      </c>
      <c r="X1186" s="7">
        <f>IF(COUNT(D1186:S1186)=0,"",INDEX($D$1:$S$1,MATCH(MIN(D1186:S1186),D1186:S1186,0)))</f>
        <v/>
      </c>
      <c r="Y1186" s="8" t="n">
        <v>72.61</v>
      </c>
      <c r="Z1186" s="10" t="n">
        <v>1</v>
      </c>
    </row>
    <row r="1187">
      <c r="A1187" s="7" t="inlineStr">
        <is>
          <t>MAT-22-022</t>
        </is>
      </c>
      <c r="B1187" s="4" t="inlineStr">
        <is>
          <t>Tela para gallinero calibre 19, 3 pies de alto</t>
        </is>
      </c>
      <c r="C1187" s="7" t="inlineStr">
        <is>
          <t>yarda</t>
        </is>
      </c>
      <c r="D1187" s="8" t="n">
        <v>54.04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>
        <f>IF(COUNT(D1187:S1187)=0,"",MIN(D1187:S1187))</f>
        <v/>
      </c>
      <c r="U1187" s="8">
        <f>IF(COUNT(D1187:S1187)=0,"",MEDIAN(D1187:S1187))</f>
        <v/>
      </c>
      <c r="V1187" s="8">
        <f>IF(COUNT(D1187:S1187)=0,"",MAX(D1187:S1187))</f>
        <v/>
      </c>
      <c r="W1187" s="9">
        <f>IF(OR(T1187="",T1187=0),"",(V1187-T1187)/T1187)</f>
        <v/>
      </c>
      <c r="X1187" s="7">
        <f>IF(COUNT(D1187:S1187)=0,"",INDEX($D$1:$S$1,MATCH(MIN(D1187:S1187),D1187:S1187,0)))</f>
        <v/>
      </c>
      <c r="Y1187" s="8" t="n">
        <v>54.04</v>
      </c>
      <c r="Z1187" s="10" t="n">
        <v>1</v>
      </c>
    </row>
    <row r="1188">
      <c r="A1188" s="7" t="inlineStr">
        <is>
          <t>MAT-22-023</t>
        </is>
      </c>
      <c r="B1188" s="4" t="inlineStr">
        <is>
          <t>Tela para gallinero calibre 20, 3 pies de alto</t>
        </is>
      </c>
      <c r="C1188" s="7" t="inlineStr">
        <is>
          <t>yarda</t>
        </is>
      </c>
      <c r="D1188" s="8" t="n">
        <v>46.53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>
        <f>IF(COUNT(D1188:S1188)=0,"",MIN(D1188:S1188))</f>
        <v/>
      </c>
      <c r="U1188" s="8">
        <f>IF(COUNT(D1188:S1188)=0,"",MEDIAN(D1188:S1188))</f>
        <v/>
      </c>
      <c r="V1188" s="8">
        <f>IF(COUNT(D1188:S1188)=0,"",MAX(D1188:S1188))</f>
        <v/>
      </c>
      <c r="W1188" s="9">
        <f>IF(OR(T1188="",T1188=0),"",(V1188-T1188)/T1188)</f>
        <v/>
      </c>
      <c r="X1188" s="7">
        <f>IF(COUNT(D1188:S1188)=0,"",INDEX($D$1:$S$1,MATCH(MIN(D1188:S1188),D1188:S1188,0)))</f>
        <v/>
      </c>
      <c r="Y1188" s="8" t="n">
        <v>46.53</v>
      </c>
      <c r="Z1188" s="10" t="n">
        <v>1</v>
      </c>
    </row>
    <row r="1189">
      <c r="A1189" s="7" t="inlineStr">
        <is>
          <t>MAT-22-024</t>
        </is>
      </c>
      <c r="B1189" s="4" t="inlineStr">
        <is>
          <t>Alambre de trinchera, 45 Mts</t>
        </is>
      </c>
      <c r="C1189" s="7" t="inlineStr">
        <is>
          <t>rollo</t>
        </is>
      </c>
      <c r="D1189" s="8" t="n"/>
      <c r="E1189" s="8" t="n"/>
      <c r="F1189" s="8" t="n"/>
      <c r="G1189" s="8" t="n"/>
      <c r="H1189" s="8" t="n"/>
      <c r="I1189" s="8" t="n"/>
      <c r="J1189" s="8" t="n"/>
      <c r="K1189" s="8" t="n">
        <v>595</v>
      </c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>
        <f>IF(COUNT(D1189:S1189)=0,"",MIN(D1189:S1189))</f>
        <v/>
      </c>
      <c r="U1189" s="8">
        <f>IF(COUNT(D1189:S1189)=0,"",MEDIAN(D1189:S1189))</f>
        <v/>
      </c>
      <c r="V1189" s="8">
        <f>IF(COUNT(D1189:S1189)=0,"",MAX(D1189:S1189))</f>
        <v/>
      </c>
      <c r="W1189" s="9">
        <f>IF(OR(T1189="",T1189=0),"",(V1189-T1189)/T1189)</f>
        <v/>
      </c>
      <c r="X1189" s="7">
        <f>IF(COUNT(D1189:S1189)=0,"",INDEX($D$1:$S$1,MATCH(MIN(D1189:S1189),D1189:S1189,0)))</f>
        <v/>
      </c>
      <c r="Y1189" s="8" t="n">
        <v>595</v>
      </c>
      <c r="Z1189" s="10" t="n">
        <v>1</v>
      </c>
    </row>
    <row r="1190">
      <c r="A1190" s="7" t="inlineStr">
        <is>
          <t>MAT-22-025</t>
        </is>
      </c>
      <c r="B1190" s="4" t="inlineStr">
        <is>
          <t>Protección de verja, 1mt</t>
        </is>
      </c>
      <c r="C1190" s="7" t="inlineStr">
        <is>
          <t>unidad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985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>
        <f>IF(COUNT(D1190:S1190)=0,"",MIN(D1190:S1190))</f>
        <v/>
      </c>
      <c r="U1190" s="8">
        <f>IF(COUNT(D1190:S1190)=0,"",MEDIAN(D1190:S1190))</f>
        <v/>
      </c>
      <c r="V1190" s="8">
        <f>IF(COUNT(D1190:S1190)=0,"",MAX(D1190:S1190))</f>
        <v/>
      </c>
      <c r="W1190" s="9">
        <f>IF(OR(T1190="",T1190=0),"",(V1190-T1190)/T1190)</f>
        <v/>
      </c>
      <c r="X1190" s="7">
        <f>IF(COUNT(D1190:S1190)=0,"",INDEX($D$1:$S$1,MATCH(MIN(D1190:S1190),D1190:S1190,0)))</f>
        <v/>
      </c>
      <c r="Y1190" s="8" t="n">
        <v>990</v>
      </c>
      <c r="Z1190" s="10" t="n">
        <v>1</v>
      </c>
    </row>
    <row r="1191">
      <c r="A1191" s="7" t="inlineStr">
        <is>
          <t>MAT-22-026</t>
        </is>
      </c>
      <c r="B1191" s="4" t="inlineStr">
        <is>
          <t>Abrazadera corta para malla ciclónica 1 1/4"</t>
        </is>
      </c>
      <c r="C1191" s="7" t="inlineStr">
        <is>
          <t>unidad</t>
        </is>
      </c>
      <c r="D1191" s="8" t="n">
        <v>16.91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34</v>
      </c>
      <c r="N1191" s="8" t="n"/>
      <c r="O1191" s="8" t="n"/>
      <c r="P1191" s="8" t="n"/>
      <c r="Q1191" s="8" t="n"/>
      <c r="R1191" s="8" t="n"/>
      <c r="S1191" s="8" t="n"/>
      <c r="T1191" s="8">
        <f>IF(COUNT(D1191:S1191)=0,"",MIN(D1191:S1191))</f>
        <v/>
      </c>
      <c r="U1191" s="8">
        <f>IF(COUNT(D1191:S1191)=0,"",MEDIAN(D1191:S1191))</f>
        <v/>
      </c>
      <c r="V1191" s="8">
        <f>IF(COUNT(D1191:S1191)=0,"",MAX(D1191:S1191))</f>
        <v/>
      </c>
      <c r="W1191" s="9">
        <f>IF(OR(T1191="",T1191=0),"",(V1191-T1191)/T1191)</f>
        <v/>
      </c>
      <c r="X1191" s="7">
        <f>IF(COUNT(D1191:S1191)=0,"",INDEX($D$1:$S$1,MATCH(MIN(D1191:S1191),D1191:S1191,0)))</f>
        <v/>
      </c>
      <c r="Y1191" s="8" t="n">
        <v>28.52</v>
      </c>
      <c r="Z1191" s="10" t="n">
        <v>2</v>
      </c>
    </row>
    <row r="1192">
      <c r="A1192" s="7" t="inlineStr">
        <is>
          <t>MAT-22-027</t>
        </is>
      </c>
      <c r="B1192" s="4" t="inlineStr">
        <is>
          <t>Copa pasante para malla ciclónica 1 1/4" x 1 1/2"</t>
        </is>
      </c>
      <c r="C1192" s="7" t="inlineStr">
        <is>
          <t>unidad</t>
        </is>
      </c>
      <c r="D1192" s="8" t="n">
        <v>76.66</v>
      </c>
      <c r="E1192" s="8" t="n"/>
      <c r="F1192" s="8" t="n"/>
      <c r="G1192" s="8" t="n"/>
      <c r="H1192" s="8" t="n"/>
      <c r="I1192" s="8" t="n"/>
      <c r="J1192" s="8" t="n"/>
      <c r="K1192" s="8" t="n">
        <v>98</v>
      </c>
      <c r="L1192" s="8" t="n"/>
      <c r="M1192" s="8" t="n">
        <v>115.6</v>
      </c>
      <c r="N1192" s="8" t="n"/>
      <c r="O1192" s="8" t="n"/>
      <c r="P1192" s="8" t="n"/>
      <c r="Q1192" s="8" t="n"/>
      <c r="R1192" s="8" t="n"/>
      <c r="S1192" s="8" t="n"/>
      <c r="T1192" s="8">
        <f>IF(COUNT(D1192:S1192)=0,"",MIN(D1192:S1192))</f>
        <v/>
      </c>
      <c r="U1192" s="8">
        <f>IF(COUNT(D1192:S1192)=0,"",MEDIAN(D1192:S1192))</f>
        <v/>
      </c>
      <c r="V1192" s="8">
        <f>IF(COUNT(D1192:S1192)=0,"",MAX(D1192:S1192))</f>
        <v/>
      </c>
      <c r="W1192" s="9">
        <f>IF(OR(T1192="",T1192=0),"",(V1192-T1192)/T1192)</f>
        <v/>
      </c>
      <c r="X1192" s="7">
        <f>IF(COUNT(D1192:S1192)=0,"",INDEX($D$1:$S$1,MATCH(MIN(D1192:S1192),D1192:S1192,0)))</f>
        <v/>
      </c>
      <c r="Y1192" s="8" t="n">
        <v>98</v>
      </c>
      <c r="Z1192" s="10" t="n">
        <v>3</v>
      </c>
    </row>
    <row r="1193">
      <c r="A1193" s="7" t="inlineStr">
        <is>
          <t>MAT-22-028</t>
        </is>
      </c>
      <c r="B1193" s="4" t="inlineStr">
        <is>
          <t>Copa tensora para malla ciclónica 1 1/4"</t>
        </is>
      </c>
      <c r="C1193" s="7" t="inlineStr">
        <is>
          <t>unidad</t>
        </is>
      </c>
      <c r="D1193" s="8" t="n">
        <v>55.61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>
        <f>IF(COUNT(D1193:S1193)=0,"",MIN(D1193:S1193))</f>
        <v/>
      </c>
      <c r="U1193" s="8">
        <f>IF(COUNT(D1193:S1193)=0,"",MEDIAN(D1193:S1193))</f>
        <v/>
      </c>
      <c r="V1193" s="8">
        <f>IF(COUNT(D1193:S1193)=0,"",MAX(D1193:S1193))</f>
        <v/>
      </c>
      <c r="W1193" s="9">
        <f>IF(OR(T1193="",T1193=0),"",(V1193-T1193)/T1193)</f>
        <v/>
      </c>
      <c r="X1193" s="7">
        <f>IF(COUNT(D1193:S1193)=0,"",INDEX($D$1:$S$1,MATCH(MIN(D1193:S1193),D1193:S1193,0)))</f>
        <v/>
      </c>
      <c r="Y1193" s="8" t="n">
        <v>55.61</v>
      </c>
      <c r="Z1193" s="10" t="n">
        <v>1</v>
      </c>
    </row>
    <row r="1194">
      <c r="A1194" s="7" t="inlineStr">
        <is>
          <t>MAT-22-029</t>
        </is>
      </c>
      <c r="B1194" s="4" t="inlineStr">
        <is>
          <t>Copa terminal para malla ciclónica 1 1/4"</t>
        </is>
      </c>
      <c r="C1194" s="7" t="inlineStr">
        <is>
          <t>unidad</t>
        </is>
      </c>
      <c r="D1194" s="8" t="n">
        <v>36.96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>
        <v>81.59999999999999</v>
      </c>
      <c r="N1194" s="8" t="n"/>
      <c r="O1194" s="8" t="n"/>
      <c r="P1194" s="8" t="n"/>
      <c r="Q1194" s="8" t="n"/>
      <c r="R1194" s="8" t="n"/>
      <c r="S1194" s="8" t="n"/>
      <c r="T1194" s="8">
        <f>IF(COUNT(D1194:S1194)=0,"",MIN(D1194:S1194))</f>
        <v/>
      </c>
      <c r="U1194" s="8">
        <f>IF(COUNT(D1194:S1194)=0,"",MEDIAN(D1194:S1194))</f>
        <v/>
      </c>
      <c r="V1194" s="8">
        <f>IF(COUNT(D1194:S1194)=0,"",MAX(D1194:S1194))</f>
        <v/>
      </c>
      <c r="W1194" s="9">
        <f>IF(OR(T1194="",T1194=0),"",(V1194-T1194)/T1194)</f>
        <v/>
      </c>
      <c r="X1194" s="7">
        <f>IF(COUNT(D1194:S1194)=0,"",INDEX($D$1:$S$1,MATCH(MIN(D1194:S1194),D1194:S1194,0)))</f>
        <v/>
      </c>
      <c r="Y1194" s="8" t="n">
        <v>66.62</v>
      </c>
      <c r="Z1194" s="10" t="n">
        <v>2</v>
      </c>
    </row>
    <row r="1195">
      <c r="A1195" s="7" t="inlineStr">
        <is>
          <t>MAT-22-030</t>
        </is>
      </c>
      <c r="B1195" s="4" t="inlineStr">
        <is>
          <t>Unión reforzada para malla ciclónica 1 1/4"</t>
        </is>
      </c>
      <c r="C1195" s="7" t="inlineStr">
        <is>
          <t>unidad</t>
        </is>
      </c>
      <c r="D1195" s="8" t="n">
        <v>60.03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>
        <f>IF(COUNT(D1195:S1195)=0,"",MIN(D1195:S1195))</f>
        <v/>
      </c>
      <c r="U1195" s="8">
        <f>IF(COUNT(D1195:S1195)=0,"",MEDIAN(D1195:S1195))</f>
        <v/>
      </c>
      <c r="V1195" s="8">
        <f>IF(COUNT(D1195:S1195)=0,"",MAX(D1195:S1195))</f>
        <v/>
      </c>
      <c r="W1195" s="9">
        <f>IF(OR(T1195="",T1195=0),"",(V1195-T1195)/T1195)</f>
        <v/>
      </c>
      <c r="X1195" s="7">
        <f>IF(COUNT(D1195:S1195)=0,"",INDEX($D$1:$S$1,MATCH(MIN(D1195:S1195),D1195:S1195,0)))</f>
        <v/>
      </c>
      <c r="Y1195" s="8" t="n">
        <v>60.03</v>
      </c>
      <c r="Z1195" s="10" t="n">
        <v>1</v>
      </c>
    </row>
    <row r="1196">
      <c r="A1196" s="7" t="inlineStr">
        <is>
          <t>MAT-22-031</t>
        </is>
      </c>
      <c r="B1196" s="4" t="inlineStr">
        <is>
          <t>Abrazadera corta para malla ciclónica 1 1/2"</t>
        </is>
      </c>
      <c r="C1196" s="7" t="inlineStr">
        <is>
          <t>unidad</t>
        </is>
      </c>
      <c r="D1196" s="8" t="n">
        <v>19.14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>
        <v>25.57</v>
      </c>
      <c r="N1196" s="8" t="n"/>
      <c r="O1196" s="8" t="n"/>
      <c r="P1196" s="8" t="n"/>
      <c r="Q1196" s="8" t="n"/>
      <c r="R1196" s="8" t="n"/>
      <c r="S1196" s="8" t="n"/>
      <c r="T1196" s="8">
        <f>IF(COUNT(D1196:S1196)=0,"",MIN(D1196:S1196))</f>
        <v/>
      </c>
      <c r="U1196" s="8">
        <f>IF(COUNT(D1196:S1196)=0,"",MEDIAN(D1196:S1196))</f>
        <v/>
      </c>
      <c r="V1196" s="8">
        <f>IF(COUNT(D1196:S1196)=0,"",MAX(D1196:S1196))</f>
        <v/>
      </c>
      <c r="W1196" s="9">
        <f>IF(OR(T1196="",T1196=0),"",(V1196-T1196)/T1196)</f>
        <v/>
      </c>
      <c r="X1196" s="7">
        <f>IF(COUNT(D1196:S1196)=0,"",INDEX($D$1:$S$1,MATCH(MIN(D1196:S1196),D1196:S1196,0)))</f>
        <v/>
      </c>
      <c r="Y1196" s="8" t="n">
        <v>24.66</v>
      </c>
      <c r="Z1196" s="10" t="n">
        <v>2</v>
      </c>
    </row>
    <row r="1197">
      <c r="A1197" s="7" t="inlineStr">
        <is>
          <t>MAT-22-032</t>
        </is>
      </c>
      <c r="B1197" s="4" t="inlineStr">
        <is>
          <t>Abrazadera larga para malla ciclónica 1 1/2"</t>
        </is>
      </c>
      <c r="C1197" s="7" t="inlineStr">
        <is>
          <t>unidad</t>
        </is>
      </c>
      <c r="D1197" s="8" t="n">
        <v>28.77</v>
      </c>
      <c r="E1197" s="8" t="n"/>
      <c r="F1197" s="8" t="n"/>
      <c r="G1197" s="8" t="n"/>
      <c r="H1197" s="8" t="n"/>
      <c r="I1197" s="8" t="n"/>
      <c r="J1197" s="8" t="n"/>
      <c r="K1197" s="8" t="n">
        <v>46</v>
      </c>
      <c r="L1197" s="8" t="n"/>
      <c r="M1197" s="8" t="n">
        <v>33.82</v>
      </c>
      <c r="N1197" s="8" t="n"/>
      <c r="O1197" s="8" t="n"/>
      <c r="P1197" s="8" t="n"/>
      <c r="Q1197" s="8" t="n"/>
      <c r="R1197" s="8" t="n"/>
      <c r="S1197" s="8" t="n"/>
      <c r="T1197" s="8">
        <f>IF(COUNT(D1197:S1197)=0,"",MIN(D1197:S1197))</f>
        <v/>
      </c>
      <c r="U1197" s="8">
        <f>IF(COUNT(D1197:S1197)=0,"",MEDIAN(D1197:S1197))</f>
        <v/>
      </c>
      <c r="V1197" s="8">
        <f>IF(COUNT(D1197:S1197)=0,"",MAX(D1197:S1197))</f>
        <v/>
      </c>
      <c r="W1197" s="9">
        <f>IF(OR(T1197="",T1197=0),"",(V1197-T1197)/T1197)</f>
        <v/>
      </c>
      <c r="X1197" s="7">
        <f>IF(COUNT(D1197:S1197)=0,"",INDEX($D$1:$S$1,MATCH(MIN(D1197:S1197),D1197:S1197,0)))</f>
        <v/>
      </c>
      <c r="Y1197" s="8" t="n">
        <v>39.91</v>
      </c>
      <c r="Z1197" s="10" t="n">
        <v>3</v>
      </c>
    </row>
    <row r="1198">
      <c r="A1198" s="7" t="inlineStr">
        <is>
          <t>MAT-22-033</t>
        </is>
      </c>
      <c r="B1198" s="4" t="inlineStr">
        <is>
          <t>Brazo doble para malla ciclónica 1 1/2" x 1 1/4"</t>
        </is>
      </c>
      <c r="C1198" s="7" t="inlineStr">
        <is>
          <t>unidad</t>
        </is>
      </c>
      <c r="D1198" s="8" t="n">
        <v>187.9</v>
      </c>
      <c r="E1198" s="8" t="n"/>
      <c r="F1198" s="8" t="n"/>
      <c r="G1198" s="8" t="n"/>
      <c r="H1198" s="8" t="n"/>
      <c r="I1198" s="8" t="n"/>
      <c r="J1198" s="8" t="n"/>
      <c r="K1198" s="8" t="n">
        <v>277</v>
      </c>
      <c r="L1198" s="8" t="n"/>
      <c r="M1198" s="8" t="n">
        <v>286</v>
      </c>
      <c r="N1198" s="8" t="n"/>
      <c r="O1198" s="8" t="n"/>
      <c r="P1198" s="8" t="n"/>
      <c r="Q1198" s="8" t="n"/>
      <c r="R1198" s="8" t="n"/>
      <c r="S1198" s="8" t="n"/>
      <c r="T1198" s="8">
        <f>IF(COUNT(D1198:S1198)=0,"",MIN(D1198:S1198))</f>
        <v/>
      </c>
      <c r="U1198" s="8">
        <f>IF(COUNT(D1198:S1198)=0,"",MEDIAN(D1198:S1198))</f>
        <v/>
      </c>
      <c r="V1198" s="8">
        <f>IF(COUNT(D1198:S1198)=0,"",MAX(D1198:S1198))</f>
        <v/>
      </c>
      <c r="W1198" s="9">
        <f>IF(OR(T1198="",T1198=0),"",(V1198-T1198)/T1198)</f>
        <v/>
      </c>
      <c r="X1198" s="7">
        <f>IF(COUNT(D1198:S1198)=0,"",INDEX($D$1:$S$1,MATCH(MIN(D1198:S1198),D1198:S1198,0)))</f>
        <v/>
      </c>
      <c r="Y1198" s="8" t="n">
        <v>277</v>
      </c>
      <c r="Z1198" s="10" t="n">
        <v>3</v>
      </c>
    </row>
    <row r="1199">
      <c r="A1199" s="7" t="inlineStr">
        <is>
          <t>MAT-22-034</t>
        </is>
      </c>
      <c r="B1199" s="4" t="inlineStr">
        <is>
          <t>Brazo sencillo para malla ciclónica 1 1/2" x 1 1/4"</t>
        </is>
      </c>
      <c r="C1199" s="7" t="inlineStr">
        <is>
          <t>unidad</t>
        </is>
      </c>
      <c r="D1199" s="8" t="n">
        <v>124.76</v>
      </c>
      <c r="E1199" s="8" t="n"/>
      <c r="F1199" s="8" t="n"/>
      <c r="G1199" s="8" t="n"/>
      <c r="H1199" s="8" t="n"/>
      <c r="I1199" s="8" t="n"/>
      <c r="J1199" s="8" t="n"/>
      <c r="K1199" s="8" t="n">
        <v>168</v>
      </c>
      <c r="L1199" s="8" t="n"/>
      <c r="M1199" s="8" t="n">
        <v>218</v>
      </c>
      <c r="N1199" s="8" t="n"/>
      <c r="O1199" s="8" t="n"/>
      <c r="P1199" s="8" t="n"/>
      <c r="Q1199" s="8" t="n"/>
      <c r="R1199" s="8" t="n"/>
      <c r="S1199" s="8" t="n"/>
      <c r="T1199" s="8">
        <f>IF(COUNT(D1199:S1199)=0,"",MIN(D1199:S1199))</f>
        <v/>
      </c>
      <c r="U1199" s="8">
        <f>IF(COUNT(D1199:S1199)=0,"",MEDIAN(D1199:S1199))</f>
        <v/>
      </c>
      <c r="V1199" s="8">
        <f>IF(COUNT(D1199:S1199)=0,"",MAX(D1199:S1199))</f>
        <v/>
      </c>
      <c r="W1199" s="9">
        <f>IF(OR(T1199="",T1199=0),"",(V1199-T1199)/T1199)</f>
        <v/>
      </c>
      <c r="X1199" s="7">
        <f>IF(COUNT(D1199:S1199)=0,"",INDEX($D$1:$S$1,MATCH(MIN(D1199:S1199),D1199:S1199,0)))</f>
        <v/>
      </c>
      <c r="Y1199" s="8" t="n">
        <v>168</v>
      </c>
      <c r="Z1199" s="10" t="n">
        <v>3</v>
      </c>
    </row>
    <row r="1200">
      <c r="A1200" s="7" t="inlineStr">
        <is>
          <t>MAT-22-035</t>
        </is>
      </c>
      <c r="B1200" s="4" t="inlineStr">
        <is>
          <t>Copa pasante para malla ciclónica 1 1/2" x 1 1/2"</t>
        </is>
      </c>
      <c r="C1200" s="7" t="inlineStr">
        <is>
          <t>unidad</t>
        </is>
      </c>
      <c r="D1200" s="8" t="n">
        <v>76.66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>
        <f>IF(COUNT(D1200:S1200)=0,"",MIN(D1200:S1200))</f>
        <v/>
      </c>
      <c r="U1200" s="8">
        <f>IF(COUNT(D1200:S1200)=0,"",MEDIAN(D1200:S1200))</f>
        <v/>
      </c>
      <c r="V1200" s="8">
        <f>IF(COUNT(D1200:S1200)=0,"",MAX(D1200:S1200))</f>
        <v/>
      </c>
      <c r="W1200" s="9">
        <f>IF(OR(T1200="",T1200=0),"",(V1200-T1200)/T1200)</f>
        <v/>
      </c>
      <c r="X1200" s="7">
        <f>IF(COUNT(D1200:S1200)=0,"",INDEX($D$1:$S$1,MATCH(MIN(D1200:S1200),D1200:S1200,0)))</f>
        <v/>
      </c>
      <c r="Y1200" s="8" t="n">
        <v>76.66</v>
      </c>
      <c r="Z1200" s="10" t="n">
        <v>1</v>
      </c>
    </row>
    <row r="1201">
      <c r="A1201" s="7" t="inlineStr">
        <is>
          <t>MAT-22-036</t>
        </is>
      </c>
      <c r="B1201" s="4" t="inlineStr">
        <is>
          <t>Copa terminal para malla ciclónica 1 1/2"</t>
        </is>
      </c>
      <c r="C1201" s="7" t="inlineStr">
        <is>
          <t>unidad</t>
        </is>
      </c>
      <c r="D1201" s="8" t="n">
        <v>61.63</v>
      </c>
      <c r="E1201" s="8" t="n"/>
      <c r="F1201" s="8" t="n"/>
      <c r="G1201" s="8" t="n"/>
      <c r="H1201" s="8" t="n"/>
      <c r="I1201" s="8" t="n"/>
      <c r="J1201" s="8" t="n"/>
      <c r="K1201" s="8" t="n">
        <v>105</v>
      </c>
      <c r="L1201" s="8" t="n"/>
      <c r="M1201" s="8" t="n">
        <v>81.59999999999999</v>
      </c>
      <c r="N1201" s="8" t="n"/>
      <c r="O1201" s="8" t="n"/>
      <c r="P1201" s="8" t="n"/>
      <c r="Q1201" s="8" t="n"/>
      <c r="R1201" s="8" t="n"/>
      <c r="S1201" s="8" t="n"/>
      <c r="T1201" s="8">
        <f>IF(COUNT(D1201:S1201)=0,"",MIN(D1201:S1201))</f>
        <v/>
      </c>
      <c r="U1201" s="8">
        <f>IF(COUNT(D1201:S1201)=0,"",MEDIAN(D1201:S1201))</f>
        <v/>
      </c>
      <c r="V1201" s="8">
        <f>IF(COUNT(D1201:S1201)=0,"",MAX(D1201:S1201))</f>
        <v/>
      </c>
      <c r="W1201" s="9">
        <f>IF(OR(T1201="",T1201=0),"",(V1201-T1201)/T1201)</f>
        <v/>
      </c>
      <c r="X1201" s="7">
        <f>IF(COUNT(D1201:S1201)=0,"",INDEX($D$1:$S$1,MATCH(MIN(D1201:S1201),D1201:S1201,0)))</f>
        <v/>
      </c>
      <c r="Y1201" s="8" t="n">
        <v>96.29000000000001</v>
      </c>
      <c r="Z1201" s="10" t="n">
        <v>3</v>
      </c>
    </row>
    <row r="1202">
      <c r="A1202" s="7" t="inlineStr">
        <is>
          <t>MAT-22-037</t>
        </is>
      </c>
      <c r="B1202" s="4" t="inlineStr">
        <is>
          <t>Abrazadera corta para malla ciclónica 2"</t>
        </is>
      </c>
      <c r="C1202" s="7" t="inlineStr">
        <is>
          <t>unidad</t>
        </is>
      </c>
      <c r="D1202" s="8" t="n">
        <v>21.04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39.44</v>
      </c>
      <c r="N1202" s="8" t="n"/>
      <c r="O1202" s="8" t="n"/>
      <c r="P1202" s="8" t="n"/>
      <c r="Q1202" s="8" t="n"/>
      <c r="R1202" s="8" t="n"/>
      <c r="S1202" s="8" t="n"/>
      <c r="T1202" s="8">
        <f>IF(COUNT(D1202:S1202)=0,"",MIN(D1202:S1202))</f>
        <v/>
      </c>
      <c r="U1202" s="8">
        <f>IF(COUNT(D1202:S1202)=0,"",MEDIAN(D1202:S1202))</f>
        <v/>
      </c>
      <c r="V1202" s="8">
        <f>IF(COUNT(D1202:S1202)=0,"",MAX(D1202:S1202))</f>
        <v/>
      </c>
      <c r="W1202" s="9">
        <f>IF(OR(T1202="",T1202=0),"",(V1202-T1202)/T1202)</f>
        <v/>
      </c>
      <c r="X1202" s="7">
        <f>IF(COUNT(D1202:S1202)=0,"",INDEX($D$1:$S$1,MATCH(MIN(D1202:S1202),D1202:S1202,0)))</f>
        <v/>
      </c>
      <c r="Y1202" s="8" t="n">
        <v>33.79</v>
      </c>
      <c r="Z1202" s="10" t="n">
        <v>2</v>
      </c>
    </row>
    <row r="1203">
      <c r="A1203" s="7" t="inlineStr">
        <is>
          <t>MAT-22-038</t>
        </is>
      </c>
      <c r="B1203" s="4" t="inlineStr">
        <is>
          <t>Abrazadera larga para malla ciclónica 2"</t>
        </is>
      </c>
      <c r="C1203" s="7" t="inlineStr">
        <is>
          <t>unidad</t>
        </is>
      </c>
      <c r="D1203" s="8" t="n">
        <v>20.38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40.8</v>
      </c>
      <c r="N1203" s="8" t="n"/>
      <c r="O1203" s="8" t="n"/>
      <c r="P1203" s="8" t="n"/>
      <c r="Q1203" s="8" t="n"/>
      <c r="R1203" s="8" t="n"/>
      <c r="S1203" s="8" t="n"/>
      <c r="T1203" s="8">
        <f>IF(COUNT(D1203:S1203)=0,"",MIN(D1203:S1203))</f>
        <v/>
      </c>
      <c r="U1203" s="8">
        <f>IF(COUNT(D1203:S1203)=0,"",MEDIAN(D1203:S1203))</f>
        <v/>
      </c>
      <c r="V1203" s="8">
        <f>IF(COUNT(D1203:S1203)=0,"",MAX(D1203:S1203))</f>
        <v/>
      </c>
      <c r="W1203" s="9">
        <f>IF(OR(T1203="",T1203=0),"",(V1203-T1203)/T1203)</f>
        <v/>
      </c>
      <c r="X1203" s="7">
        <f>IF(COUNT(D1203:S1203)=0,"",INDEX($D$1:$S$1,MATCH(MIN(D1203:S1203),D1203:S1203,0)))</f>
        <v/>
      </c>
      <c r="Y1203" s="8" t="n">
        <v>34.26</v>
      </c>
      <c r="Z1203" s="10" t="n">
        <v>2</v>
      </c>
    </row>
    <row r="1204">
      <c r="A1204" s="7" t="inlineStr">
        <is>
          <t>MAT-22-039</t>
        </is>
      </c>
      <c r="B1204" s="4" t="inlineStr">
        <is>
          <t>Brazo sencillo para malla ciclónica 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>
        <v>269.5</v>
      </c>
      <c r="N1204" s="8" t="n"/>
      <c r="O1204" s="8" t="n"/>
      <c r="P1204" s="8" t="n"/>
      <c r="Q1204" s="8" t="n"/>
      <c r="R1204" s="8" t="n"/>
      <c r="S1204" s="8" t="n"/>
      <c r="T1204" s="8">
        <f>IF(COUNT(D1204:S1204)=0,"",MIN(D1204:S1204))</f>
        <v/>
      </c>
      <c r="U1204" s="8">
        <f>IF(COUNT(D1204:S1204)=0,"",MEDIAN(D1204:S1204))</f>
        <v/>
      </c>
      <c r="V1204" s="8">
        <f>IF(COUNT(D1204:S1204)=0,"",MAX(D1204:S1204))</f>
        <v/>
      </c>
      <c r="W1204" s="9">
        <f>IF(OR(T1204="",T1204=0),"",(V1204-T1204)/T1204)</f>
        <v/>
      </c>
      <c r="X1204" s="7">
        <f>IF(COUNT(D1204:S1204)=0,"",INDEX($D$1:$S$1,MATCH(MIN(D1204:S1204),D1204:S1204,0)))</f>
        <v/>
      </c>
      <c r="Y1204" s="8" t="n">
        <v>252.96</v>
      </c>
      <c r="Z1204" s="10" t="n">
        <v>2</v>
      </c>
    </row>
    <row r="1205">
      <c r="A1205" s="7" t="inlineStr">
        <is>
          <t>MAT-22-040</t>
        </is>
      </c>
      <c r="B1205" s="4" t="inlineStr">
        <is>
          <t>Brazo doble para malla ciclónica 2" x 1 1/2"</t>
        </is>
      </c>
      <c r="C1205" s="7" t="inlineStr">
        <is>
          <t>unidad</t>
        </is>
      </c>
      <c r="D1205" s="8" t="n">
        <v>373.18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>
        <v>286</v>
      </c>
      <c r="N1205" s="8" t="n"/>
      <c r="O1205" s="8" t="n"/>
      <c r="P1205" s="8" t="n"/>
      <c r="Q1205" s="8" t="n"/>
      <c r="R1205" s="8" t="n"/>
      <c r="S1205" s="8" t="n"/>
      <c r="T1205" s="8">
        <f>IF(COUNT(D1205:S1205)=0,"",MIN(D1205:S1205))</f>
        <v/>
      </c>
      <c r="U1205" s="8">
        <f>IF(COUNT(D1205:S1205)=0,"",MEDIAN(D1205:S1205))</f>
        <v/>
      </c>
      <c r="V1205" s="8">
        <f>IF(COUNT(D1205:S1205)=0,"",MAX(D1205:S1205))</f>
        <v/>
      </c>
      <c r="W1205" s="9">
        <f>IF(OR(T1205="",T1205=0),"",(V1205-T1205)/T1205)</f>
        <v/>
      </c>
      <c r="X1205" s="7">
        <f>IF(COUNT(D1205:S1205)=0,"",INDEX($D$1:$S$1,MATCH(MIN(D1205:S1205),D1205:S1205,0)))</f>
        <v/>
      </c>
      <c r="Y1205" s="8" t="n">
        <v>355.33</v>
      </c>
      <c r="Z1205" s="10" t="n">
        <v>2</v>
      </c>
    </row>
    <row r="1206">
      <c r="A1206" s="7" t="inlineStr">
        <is>
          <t>MAT-22-041</t>
        </is>
      </c>
      <c r="B1206" s="4" t="inlineStr">
        <is>
          <t>Copa terminal para malla ciclónica 2"</t>
        </is>
      </c>
      <c r="C1206" s="7" t="inlineStr">
        <is>
          <t>unidad</t>
        </is>
      </c>
      <c r="D1206" s="8" t="n">
        <v>51.11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>
        <v>88.40000000000001</v>
      </c>
      <c r="N1206" s="8" t="n"/>
      <c r="O1206" s="8" t="n"/>
      <c r="P1206" s="8" t="n"/>
      <c r="Q1206" s="8" t="n"/>
      <c r="R1206" s="8" t="n"/>
      <c r="S1206" s="8" t="n"/>
      <c r="T1206" s="8">
        <f>IF(COUNT(D1206:S1206)=0,"",MIN(D1206:S1206))</f>
        <v/>
      </c>
      <c r="U1206" s="8">
        <f>IF(COUNT(D1206:S1206)=0,"",MEDIAN(D1206:S1206))</f>
        <v/>
      </c>
      <c r="V1206" s="8">
        <f>IF(COUNT(D1206:S1206)=0,"",MAX(D1206:S1206))</f>
        <v/>
      </c>
      <c r="W1206" s="9">
        <f>IF(OR(T1206="",T1206=0),"",(V1206-T1206)/T1206)</f>
        <v/>
      </c>
      <c r="X1206" s="7">
        <f>IF(COUNT(D1206:S1206)=0,"",INDEX($D$1:$S$1,MATCH(MIN(D1206:S1206),D1206:S1206,0)))</f>
        <v/>
      </c>
      <c r="Y1206" s="8" t="n">
        <v>77.70999999999999</v>
      </c>
      <c r="Z1206" s="10" t="n">
        <v>2</v>
      </c>
    </row>
    <row r="1207">
      <c r="A1207" s="7" t="inlineStr">
        <is>
          <t>MAT-22-042</t>
        </is>
      </c>
      <c r="B1207" s="4" t="inlineStr">
        <is>
          <t>Brazo para malla ciclónica 2 3/8" x 1 1/2"</t>
        </is>
      </c>
      <c r="C1207" s="7" t="inlineStr">
        <is>
          <t>unidad</t>
        </is>
      </c>
      <c r="D1207" s="8" t="n">
        <v>300.64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>
        <f>IF(COUNT(D1207:S1207)=0,"",MIN(D1207:S1207))</f>
        <v/>
      </c>
      <c r="U1207" s="8">
        <f>IF(COUNT(D1207:S1207)=0,"",MEDIAN(D1207:S1207))</f>
        <v/>
      </c>
      <c r="V1207" s="8">
        <f>IF(COUNT(D1207:S1207)=0,"",MAX(D1207:S1207))</f>
        <v/>
      </c>
      <c r="W1207" s="9">
        <f>IF(OR(T1207="",T1207=0),"",(V1207-T1207)/T1207)</f>
        <v/>
      </c>
      <c r="X1207" s="7">
        <f>IF(COUNT(D1207:S1207)=0,"",INDEX($D$1:$S$1,MATCH(MIN(D1207:S1207),D1207:S1207,0)))</f>
        <v/>
      </c>
      <c r="Y1207" s="8" t="n">
        <v>300.64</v>
      </c>
      <c r="Z1207" s="10" t="n">
        <v>1</v>
      </c>
    </row>
    <row r="1208">
      <c r="A1208" s="7" t="inlineStr">
        <is>
          <t>MAT-22-043</t>
        </is>
      </c>
      <c r="B1208" s="4" t="inlineStr">
        <is>
          <t>Copa terminal para malla ciclónica 3"</t>
        </is>
      </c>
      <c r="C1208" s="7" t="inlineStr">
        <is>
          <t>unidad</t>
        </is>
      </c>
      <c r="D1208" s="8" t="n">
        <v>36.5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>
        <f>IF(COUNT(D1208:S1208)=0,"",MIN(D1208:S1208))</f>
        <v/>
      </c>
      <c r="U1208" s="8">
        <f>IF(COUNT(D1208:S1208)=0,"",MEDIAN(D1208:S1208))</f>
        <v/>
      </c>
      <c r="V1208" s="8">
        <f>IF(COUNT(D1208:S1208)=0,"",MAX(D1208:S1208))</f>
        <v/>
      </c>
      <c r="W1208" s="9">
        <f>IF(OR(T1208="",T1208=0),"",(V1208-T1208)/T1208)</f>
        <v/>
      </c>
      <c r="X1208" s="7">
        <f>IF(COUNT(D1208:S1208)=0,"",INDEX($D$1:$S$1,MATCH(MIN(D1208:S1208),D1208:S1208,0)))</f>
        <v/>
      </c>
      <c r="Y1208" s="8" t="n">
        <v>36.5</v>
      </c>
      <c r="Z1208" s="10" t="n">
        <v>1</v>
      </c>
    </row>
    <row r="1209">
      <c r="A1209" s="7" t="inlineStr">
        <is>
          <t>MAT-23-001</t>
        </is>
      </c>
      <c r="B1209" s="4" t="inlineStr">
        <is>
          <t>Tubo redondo de aluminio 3/8" x 19.20 pies</t>
        </is>
      </c>
      <c r="C1209" s="7" t="inlineStr">
        <is>
          <t>unidad</t>
        </is>
      </c>
      <c r="D1209" s="8" t="n">
        <v>299.9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>
        <f>IF(COUNT(D1209:S1209)=0,"",MIN(D1209:S1209))</f>
        <v/>
      </c>
      <c r="U1209" s="8">
        <f>IF(COUNT(D1209:S1209)=0,"",MEDIAN(D1209:S1209))</f>
        <v/>
      </c>
      <c r="V1209" s="8">
        <f>IF(COUNT(D1209:S1209)=0,"",MAX(D1209:S1209))</f>
        <v/>
      </c>
      <c r="W1209" s="9">
        <f>IF(OR(T1209="",T1209=0),"",(V1209-T1209)/T1209)</f>
        <v/>
      </c>
      <c r="X1209" s="7">
        <f>IF(COUNT(D1209:S1209)=0,"",INDEX($D$1:$S$1,MATCH(MIN(D1209:S1209),D1209:S1209,0)))</f>
        <v/>
      </c>
      <c r="Y1209" s="8" t="n">
        <v>299.9</v>
      </c>
      <c r="Z1209" s="10" t="n">
        <v>1</v>
      </c>
    </row>
    <row r="1210">
      <c r="A1210" s="7" t="inlineStr">
        <is>
          <t>MAT-23-002</t>
        </is>
      </c>
      <c r="B1210" s="4" t="inlineStr">
        <is>
          <t>Tubo redondo de aluminio 1/2" x 19.20 pies</t>
        </is>
      </c>
      <c r="C1210" s="7" t="inlineStr">
        <is>
          <t>unidad</t>
        </is>
      </c>
      <c r="D1210" s="8" t="n">
        <v>373.61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>
        <f>IF(COUNT(D1210:S1210)=0,"",MIN(D1210:S1210))</f>
        <v/>
      </c>
      <c r="U1210" s="8">
        <f>IF(COUNT(D1210:S1210)=0,"",MEDIAN(D1210:S1210))</f>
        <v/>
      </c>
      <c r="V1210" s="8">
        <f>IF(COUNT(D1210:S1210)=0,"",MAX(D1210:S1210))</f>
        <v/>
      </c>
      <c r="W1210" s="9">
        <f>IF(OR(T1210="",T1210=0),"",(V1210-T1210)/T1210)</f>
        <v/>
      </c>
      <c r="X1210" s="7">
        <f>IF(COUNT(D1210:S1210)=0,"",INDEX($D$1:$S$1,MATCH(MIN(D1210:S1210),D1210:S1210,0)))</f>
        <v/>
      </c>
      <c r="Y1210" s="8" t="n">
        <v>373.61</v>
      </c>
      <c r="Z1210" s="10" t="n">
        <v>1</v>
      </c>
    </row>
    <row r="1211">
      <c r="A1211" s="7" t="inlineStr">
        <is>
          <t>MAT-23-003</t>
        </is>
      </c>
      <c r="B1211" s="4" t="inlineStr">
        <is>
          <t>Planchuela de aluminio 1/2" x 1/8" x 19.20 pies</t>
        </is>
      </c>
      <c r="C1211" s="7" t="inlineStr">
        <is>
          <t>unidad</t>
        </is>
      </c>
      <c r="D1211" s="8" t="n">
        <v>452.36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>
        <f>IF(COUNT(D1211:S1211)=0,"",MIN(D1211:S1211))</f>
        <v/>
      </c>
      <c r="U1211" s="8">
        <f>IF(COUNT(D1211:S1211)=0,"",MEDIAN(D1211:S1211))</f>
        <v/>
      </c>
      <c r="V1211" s="8">
        <f>IF(COUNT(D1211:S1211)=0,"",MAX(D1211:S1211))</f>
        <v/>
      </c>
      <c r="W1211" s="9">
        <f>IF(OR(T1211="",T1211=0),"",(V1211-T1211)/T1211)</f>
        <v/>
      </c>
      <c r="X1211" s="7">
        <f>IF(COUNT(D1211:S1211)=0,"",INDEX($D$1:$S$1,MATCH(MIN(D1211:S1211),D1211:S1211,0)))</f>
        <v/>
      </c>
      <c r="Y1211" s="8" t="n">
        <v>452.36</v>
      </c>
      <c r="Z1211" s="10" t="n">
        <v>1</v>
      </c>
    </row>
    <row r="1212">
      <c r="A1212" s="7" t="inlineStr">
        <is>
          <t>MAT-23-004</t>
        </is>
      </c>
      <c r="B1212" s="4" t="inlineStr">
        <is>
          <t>Angular de aluminio 1/2" x 1/2" x 19.20 pies</t>
        </is>
      </c>
      <c r="C1212" s="7" t="inlineStr">
        <is>
          <t>unidad</t>
        </is>
      </c>
      <c r="D1212" s="8" t="n">
        <v>394.72</v>
      </c>
      <c r="E1212" s="8" t="n"/>
      <c r="F1212" s="8" t="n"/>
      <c r="G1212" s="8" t="n"/>
      <c r="H1212" s="8" t="n"/>
      <c r="I1212" s="8" t="n"/>
      <c r="J1212" s="8" t="n"/>
      <c r="K1212" s="8" t="n">
        <v>295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>
        <f>IF(COUNT(D1212:S1212)=0,"",MIN(D1212:S1212))</f>
        <v/>
      </c>
      <c r="U1212" s="8">
        <f>IF(COUNT(D1212:S1212)=0,"",MEDIAN(D1212:S1212))</f>
        <v/>
      </c>
      <c r="V1212" s="8">
        <f>IF(COUNT(D1212:S1212)=0,"",MAX(D1212:S1212))</f>
        <v/>
      </c>
      <c r="W1212" s="9">
        <f>IF(OR(T1212="",T1212=0),"",(V1212-T1212)/T1212)</f>
        <v/>
      </c>
      <c r="X1212" s="7">
        <f>IF(COUNT(D1212:S1212)=0,"",INDEX($D$1:$S$1,MATCH(MIN(D1212:S1212),D1212:S1212,0)))</f>
        <v/>
      </c>
      <c r="Y1212" s="8" t="n">
        <v>344.86</v>
      </c>
      <c r="Z1212" s="10" t="n">
        <v>2</v>
      </c>
    </row>
    <row r="1213">
      <c r="A1213" s="7" t="inlineStr">
        <is>
          <t>MAT-23-005</t>
        </is>
      </c>
      <c r="B1213" s="4" t="inlineStr">
        <is>
          <t>Moldura U de aluminio 1/2" x 1/2" x 19.20 pies</t>
        </is>
      </c>
      <c r="C1213" s="7" t="inlineStr">
        <is>
          <t>unidad</t>
        </is>
      </c>
      <c r="D1213" s="8" t="n">
        <v>377.71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>
        <f>IF(COUNT(D1213:S1213)=0,"",MIN(D1213:S1213))</f>
        <v/>
      </c>
      <c r="U1213" s="8">
        <f>IF(COUNT(D1213:S1213)=0,"",MEDIAN(D1213:S1213))</f>
        <v/>
      </c>
      <c r="V1213" s="8">
        <f>IF(COUNT(D1213:S1213)=0,"",MAX(D1213:S1213))</f>
        <v/>
      </c>
      <c r="W1213" s="9">
        <f>IF(OR(T1213="",T1213=0),"",(V1213-T1213)/T1213)</f>
        <v/>
      </c>
      <c r="X1213" s="7">
        <f>IF(COUNT(D1213:S1213)=0,"",INDEX($D$1:$S$1,MATCH(MIN(D1213:S1213),D1213:S1213,0)))</f>
        <v/>
      </c>
      <c r="Y1213" s="8" t="n">
        <v>377.71</v>
      </c>
      <c r="Z1213" s="10" t="n">
        <v>1</v>
      </c>
    </row>
    <row r="1214">
      <c r="A1214" s="7" t="inlineStr">
        <is>
          <t>MAT-23-006</t>
        </is>
      </c>
      <c r="B1214" s="4" t="inlineStr">
        <is>
          <t>Moldura U de aluminio 5/8" x 5/8" x 19.20 pies</t>
        </is>
      </c>
      <c r="C1214" s="7" t="inlineStr">
        <is>
          <t>unidad</t>
        </is>
      </c>
      <c r="D1214" s="8" t="n">
        <v>827.9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>
        <f>IF(COUNT(D1214:S1214)=0,"",MIN(D1214:S1214))</f>
        <v/>
      </c>
      <c r="U1214" s="8">
        <f>IF(COUNT(D1214:S1214)=0,"",MEDIAN(D1214:S1214))</f>
        <v/>
      </c>
      <c r="V1214" s="8">
        <f>IF(COUNT(D1214:S1214)=0,"",MAX(D1214:S1214))</f>
        <v/>
      </c>
      <c r="W1214" s="9">
        <f>IF(OR(T1214="",T1214=0),"",(V1214-T1214)/T1214)</f>
        <v/>
      </c>
      <c r="X1214" s="7">
        <f>IF(COUNT(D1214:S1214)=0,"",INDEX($D$1:$S$1,MATCH(MIN(D1214:S1214),D1214:S1214,0)))</f>
        <v/>
      </c>
      <c r="Y1214" s="8" t="n">
        <v>827.9</v>
      </c>
      <c r="Z1214" s="10" t="n">
        <v>1</v>
      </c>
    </row>
    <row r="1215">
      <c r="A1215" s="7" t="inlineStr">
        <is>
          <t>MAT-23-007</t>
        </is>
      </c>
      <c r="B1215" s="4" t="inlineStr">
        <is>
          <t>Tubo redondo de aluminio 3/4" x 19.20 pies</t>
        </is>
      </c>
      <c r="C1215" s="7" t="inlineStr">
        <is>
          <t>unidad</t>
        </is>
      </c>
      <c r="D1215" s="8" t="n">
        <v>772.42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>
        <f>IF(COUNT(D1215:S1215)=0,"",MIN(D1215:S1215))</f>
        <v/>
      </c>
      <c r="U1215" s="8">
        <f>IF(COUNT(D1215:S1215)=0,"",MEDIAN(D1215:S1215))</f>
        <v/>
      </c>
      <c r="V1215" s="8">
        <f>IF(COUNT(D1215:S1215)=0,"",MAX(D1215:S1215))</f>
        <v/>
      </c>
      <c r="W1215" s="9">
        <f>IF(OR(T1215="",T1215=0),"",(V1215-T1215)/T1215)</f>
        <v/>
      </c>
      <c r="X1215" s="7">
        <f>IF(COUNT(D1215:S1215)=0,"",INDEX($D$1:$S$1,MATCH(MIN(D1215:S1215),D1215:S1215,0)))</f>
        <v/>
      </c>
      <c r="Y1215" s="8" t="n">
        <v>772.42</v>
      </c>
      <c r="Z1215" s="10" t="n">
        <v>1</v>
      </c>
    </row>
    <row r="1216">
      <c r="A1216" s="7" t="inlineStr">
        <is>
          <t>MAT-23-008</t>
        </is>
      </c>
      <c r="B1216" s="4" t="inlineStr">
        <is>
          <t>Angular de aluminio 3/4" x 3/4" x 19.20 pies</t>
        </is>
      </c>
      <c r="C1216" s="7" t="inlineStr">
        <is>
          <t>unidad</t>
        </is>
      </c>
      <c r="D1216" s="8" t="n">
        <v>436.29</v>
      </c>
      <c r="E1216" s="8" t="n"/>
      <c r="F1216" s="8" t="n"/>
      <c r="G1216" s="8" t="n"/>
      <c r="H1216" s="8" t="n"/>
      <c r="I1216" s="8" t="n"/>
      <c r="J1216" s="8" t="n"/>
      <c r="K1216" s="8" t="n">
        <v>445</v>
      </c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>
        <f>IF(COUNT(D1216:S1216)=0,"",MIN(D1216:S1216))</f>
        <v/>
      </c>
      <c r="U1216" s="8">
        <f>IF(COUNT(D1216:S1216)=0,"",MEDIAN(D1216:S1216))</f>
        <v/>
      </c>
      <c r="V1216" s="8">
        <f>IF(COUNT(D1216:S1216)=0,"",MAX(D1216:S1216))</f>
        <v/>
      </c>
      <c r="W1216" s="9">
        <f>IF(OR(T1216="",T1216=0),"",(V1216-T1216)/T1216)</f>
        <v/>
      </c>
      <c r="X1216" s="7">
        <f>IF(COUNT(D1216:S1216)=0,"",INDEX($D$1:$S$1,MATCH(MIN(D1216:S1216),D1216:S1216,0)))</f>
        <v/>
      </c>
      <c r="Y1216" s="8" t="n">
        <v>440.65</v>
      </c>
      <c r="Z1216" s="10" t="n">
        <v>2</v>
      </c>
    </row>
    <row r="1217">
      <c r="A1217" s="7" t="inlineStr">
        <is>
          <t>MAT-23-009</t>
        </is>
      </c>
      <c r="B1217" s="4" t="inlineStr">
        <is>
          <t>Tubo redondo de aluminio 1" x 19.20 pies</t>
        </is>
      </c>
      <c r="C1217" s="7" t="inlineStr">
        <is>
          <t>unidad</t>
        </is>
      </c>
      <c r="D1217" s="8" t="n">
        <v>957.33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>
        <f>IF(COUNT(D1217:S1217)=0,"",MIN(D1217:S1217))</f>
        <v/>
      </c>
      <c r="U1217" s="8">
        <f>IF(COUNT(D1217:S1217)=0,"",MEDIAN(D1217:S1217))</f>
        <v/>
      </c>
      <c r="V1217" s="8">
        <f>IF(COUNT(D1217:S1217)=0,"",MAX(D1217:S1217))</f>
        <v/>
      </c>
      <c r="W1217" s="9">
        <f>IF(OR(T1217="",T1217=0),"",(V1217-T1217)/T1217)</f>
        <v/>
      </c>
      <c r="X1217" s="7">
        <f>IF(COUNT(D1217:S1217)=0,"",INDEX($D$1:$S$1,MATCH(MIN(D1217:S1217),D1217:S1217,0)))</f>
        <v/>
      </c>
      <c r="Y1217" s="8" t="n">
        <v>957.33</v>
      </c>
      <c r="Z1217" s="10" t="n">
        <v>1</v>
      </c>
    </row>
    <row r="1218">
      <c r="A1218" s="7" t="inlineStr">
        <is>
          <t>MAT-23-010</t>
        </is>
      </c>
      <c r="B1218" s="4" t="inlineStr">
        <is>
          <t>Planchuela de aluminio 1" x 1/4" x 19.20 pies</t>
        </is>
      </c>
      <c r="C1218" s="7" t="inlineStr">
        <is>
          <t>unidad</t>
        </is>
      </c>
      <c r="D1218" s="8" t="n">
        <v>1709.91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>
        <f>IF(COUNT(D1218:S1218)=0,"",MIN(D1218:S1218))</f>
        <v/>
      </c>
      <c r="U1218" s="8">
        <f>IF(COUNT(D1218:S1218)=0,"",MEDIAN(D1218:S1218))</f>
        <v/>
      </c>
      <c r="V1218" s="8">
        <f>IF(COUNT(D1218:S1218)=0,"",MAX(D1218:S1218))</f>
        <v/>
      </c>
      <c r="W1218" s="9">
        <f>IF(OR(T1218="",T1218=0),"",(V1218-T1218)/T1218)</f>
        <v/>
      </c>
      <c r="X1218" s="7">
        <f>IF(COUNT(D1218:S1218)=0,"",INDEX($D$1:$S$1,MATCH(MIN(D1218:S1218),D1218:S1218,0)))</f>
        <v/>
      </c>
      <c r="Y1218" s="8" t="n">
        <v>1709.91</v>
      </c>
      <c r="Z1218" s="10" t="n">
        <v>1</v>
      </c>
    </row>
    <row r="1219">
      <c r="A1219" s="7" t="inlineStr">
        <is>
          <t>MAT-23-011</t>
        </is>
      </c>
      <c r="B1219" s="4" t="inlineStr">
        <is>
          <t>Angular de aluminio 1" x 3/4" x 19.20 pies</t>
        </is>
      </c>
      <c r="C1219" s="7" t="inlineStr">
        <is>
          <t>unidad</t>
        </is>
      </c>
      <c r="D1219" s="8" t="n">
        <v>626.5700000000001</v>
      </c>
      <c r="E1219" s="8" t="n"/>
      <c r="F1219" s="8" t="n"/>
      <c r="G1219" s="8" t="n"/>
      <c r="H1219" s="8" t="n"/>
      <c r="I1219" s="8" t="n"/>
      <c r="J1219" s="8" t="n"/>
      <c r="K1219" s="8" t="n">
        <v>755</v>
      </c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>
        <f>IF(COUNT(D1219:S1219)=0,"",MIN(D1219:S1219))</f>
        <v/>
      </c>
      <c r="U1219" s="8">
        <f>IF(COUNT(D1219:S1219)=0,"",MEDIAN(D1219:S1219))</f>
        <v/>
      </c>
      <c r="V1219" s="8">
        <f>IF(COUNT(D1219:S1219)=0,"",MAX(D1219:S1219))</f>
        <v/>
      </c>
      <c r="W1219" s="9">
        <f>IF(OR(T1219="",T1219=0),"",(V1219-T1219)/T1219)</f>
        <v/>
      </c>
      <c r="X1219" s="7">
        <f>IF(COUNT(D1219:S1219)=0,"",INDEX($D$1:$S$1,MATCH(MIN(D1219:S1219),D1219:S1219,0)))</f>
        <v/>
      </c>
      <c r="Y1219" s="8" t="n">
        <v>690.79</v>
      </c>
      <c r="Z1219" s="10" t="n">
        <v>2</v>
      </c>
    </row>
    <row r="1220">
      <c r="A1220" s="7" t="inlineStr">
        <is>
          <t>MAT-23-012</t>
        </is>
      </c>
      <c r="B1220" s="4" t="inlineStr">
        <is>
          <t>Perfil de aluminio 1" x 1" x 19.20 pies</t>
        </is>
      </c>
      <c r="C1220" s="7" t="inlineStr">
        <is>
          <t>unidad</t>
        </is>
      </c>
      <c r="D1220" s="8" t="n">
        <v>1336.93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>
        <f>IF(COUNT(D1220:S1220)=0,"",MIN(D1220:S1220))</f>
        <v/>
      </c>
      <c r="U1220" s="8">
        <f>IF(COUNT(D1220:S1220)=0,"",MEDIAN(D1220:S1220))</f>
        <v/>
      </c>
      <c r="V1220" s="8">
        <f>IF(COUNT(D1220:S1220)=0,"",MAX(D1220:S1220))</f>
        <v/>
      </c>
      <c r="W1220" s="9">
        <f>IF(OR(T1220="",T1220=0),"",(V1220-T1220)/T1220)</f>
        <v/>
      </c>
      <c r="X1220" s="7">
        <f>IF(COUNT(D1220:S1220)=0,"",INDEX($D$1:$S$1,MATCH(MIN(D1220:S1220),D1220:S1220,0)))</f>
        <v/>
      </c>
      <c r="Y1220" s="8" t="n">
        <v>1336.93</v>
      </c>
      <c r="Z1220" s="10" t="n">
        <v>1</v>
      </c>
    </row>
    <row r="1221">
      <c r="A1221" s="7" t="inlineStr">
        <is>
          <t>MAT-23-013</t>
        </is>
      </c>
      <c r="B1221" s="4" t="inlineStr">
        <is>
          <t>Tubo redondo de aluminio 1 1/4" x 19.20 pies</t>
        </is>
      </c>
      <c r="C1221" s="7" t="inlineStr">
        <is>
          <t>unidad</t>
        </is>
      </c>
      <c r="D1221" s="8" t="n">
        <v>2185.58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>
        <f>IF(COUNT(D1221:S1221)=0,"",MIN(D1221:S1221))</f>
        <v/>
      </c>
      <c r="U1221" s="8">
        <f>IF(COUNT(D1221:S1221)=0,"",MEDIAN(D1221:S1221))</f>
        <v/>
      </c>
      <c r="V1221" s="8">
        <f>IF(COUNT(D1221:S1221)=0,"",MAX(D1221:S1221))</f>
        <v/>
      </c>
      <c r="W1221" s="9">
        <f>IF(OR(T1221="",T1221=0),"",(V1221-T1221)/T1221)</f>
        <v/>
      </c>
      <c r="X1221" s="7">
        <f>IF(COUNT(D1221:S1221)=0,"",INDEX($D$1:$S$1,MATCH(MIN(D1221:S1221),D1221:S1221,0)))</f>
        <v/>
      </c>
      <c r="Y1221" s="8" t="n">
        <v>2185.58</v>
      </c>
      <c r="Z1221" s="10" t="n">
        <v>1</v>
      </c>
    </row>
    <row r="1222">
      <c r="A1222" s="7" t="inlineStr">
        <is>
          <t>MAT-23-014</t>
        </is>
      </c>
      <c r="B1222" s="4" t="inlineStr">
        <is>
          <t>Angular de aluminio 1 1/4" x 1 1/4" x 19.20 pies</t>
        </is>
      </c>
      <c r="C1222" s="7" t="inlineStr">
        <is>
          <t>unidad</t>
        </is>
      </c>
      <c r="D1222" s="8" t="n">
        <v>982.22</v>
      </c>
      <c r="E1222" s="8" t="n"/>
      <c r="F1222" s="8" t="n"/>
      <c r="G1222" s="8" t="n"/>
      <c r="H1222" s="8" t="n"/>
      <c r="I1222" s="8" t="n"/>
      <c r="J1222" s="8" t="n"/>
      <c r="K1222" s="8" t="n">
        <v>1165</v>
      </c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>
        <f>IF(COUNT(D1222:S1222)=0,"",MIN(D1222:S1222))</f>
        <v/>
      </c>
      <c r="U1222" s="8">
        <f>IF(COUNT(D1222:S1222)=0,"",MEDIAN(D1222:S1222))</f>
        <v/>
      </c>
      <c r="V1222" s="8">
        <f>IF(COUNT(D1222:S1222)=0,"",MAX(D1222:S1222))</f>
        <v/>
      </c>
      <c r="W1222" s="9">
        <f>IF(OR(T1222="",T1222=0),"",(V1222-T1222)/T1222)</f>
        <v/>
      </c>
      <c r="X1222" s="7">
        <f>IF(COUNT(D1222:S1222)=0,"",INDEX($D$1:$S$1,MATCH(MIN(D1222:S1222),D1222:S1222,0)))</f>
        <v/>
      </c>
      <c r="Y1222" s="8" t="n">
        <v>1073.61</v>
      </c>
      <c r="Z1222" s="10" t="n">
        <v>2</v>
      </c>
    </row>
    <row r="1223">
      <c r="A1223" s="7" t="inlineStr">
        <is>
          <t>MAT-23-015</t>
        </is>
      </c>
      <c r="B1223" s="4" t="inlineStr">
        <is>
          <t>Planchuela de aluminio 1 1/2" x 1/4" x 19.20 pies</t>
        </is>
      </c>
      <c r="C1223" s="7" t="inlineStr">
        <is>
          <t>unidad</t>
        </is>
      </c>
      <c r="D1223" s="8" t="n">
        <v>2567.7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>
        <f>IF(COUNT(D1223:S1223)=0,"",MIN(D1223:S1223))</f>
        <v/>
      </c>
      <c r="U1223" s="8">
        <f>IF(COUNT(D1223:S1223)=0,"",MEDIAN(D1223:S1223))</f>
        <v/>
      </c>
      <c r="V1223" s="8">
        <f>IF(COUNT(D1223:S1223)=0,"",MAX(D1223:S1223))</f>
        <v/>
      </c>
      <c r="W1223" s="9">
        <f>IF(OR(T1223="",T1223=0),"",(V1223-T1223)/T1223)</f>
        <v/>
      </c>
      <c r="X1223" s="7">
        <f>IF(COUNT(D1223:S1223)=0,"",INDEX($D$1:$S$1,MATCH(MIN(D1223:S1223),D1223:S1223,0)))</f>
        <v/>
      </c>
      <c r="Y1223" s="8" t="n">
        <v>2567.7</v>
      </c>
      <c r="Z1223" s="10" t="n">
        <v>1</v>
      </c>
    </row>
    <row r="1224">
      <c r="A1224" s="7" t="inlineStr">
        <is>
          <t>MAT-23-016</t>
        </is>
      </c>
      <c r="B1224" s="4" t="inlineStr">
        <is>
          <t>Moldura U de aluminio 1 1/2" x 3/4" x 19.20 pies</t>
        </is>
      </c>
      <c r="C1224" s="7" t="inlineStr">
        <is>
          <t>unidad</t>
        </is>
      </c>
      <c r="D1224" s="8" t="n">
        <v>1117.37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>
        <f>IF(COUNT(D1224:S1224)=0,"",MIN(D1224:S1224))</f>
        <v/>
      </c>
      <c r="U1224" s="8">
        <f>IF(COUNT(D1224:S1224)=0,"",MEDIAN(D1224:S1224))</f>
        <v/>
      </c>
      <c r="V1224" s="8">
        <f>IF(COUNT(D1224:S1224)=0,"",MAX(D1224:S1224))</f>
        <v/>
      </c>
      <c r="W1224" s="9">
        <f>IF(OR(T1224="",T1224=0),"",(V1224-T1224)/T1224)</f>
        <v/>
      </c>
      <c r="X1224" s="7">
        <f>IF(COUNT(D1224:S1224)=0,"",INDEX($D$1:$S$1,MATCH(MIN(D1224:S1224),D1224:S1224,0)))</f>
        <v/>
      </c>
      <c r="Y1224" s="8" t="n">
        <v>1117.37</v>
      </c>
      <c r="Z1224" s="10" t="n">
        <v>1</v>
      </c>
    </row>
    <row r="1225">
      <c r="A1225" s="7" t="inlineStr">
        <is>
          <t>MAT-23-017</t>
        </is>
      </c>
      <c r="B1225" s="4" t="inlineStr">
        <is>
          <t>Angular de aluminio 1 1/2" x 1 1/2" x 19.20 pies</t>
        </is>
      </c>
      <c r="C1225" s="7" t="inlineStr">
        <is>
          <t>unidad</t>
        </is>
      </c>
      <c r="D1225" s="8" t="n">
        <v>2473.52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>
        <f>IF(COUNT(D1225:S1225)=0,"",MIN(D1225:S1225))</f>
        <v/>
      </c>
      <c r="U1225" s="8">
        <f>IF(COUNT(D1225:S1225)=0,"",MEDIAN(D1225:S1225))</f>
        <v/>
      </c>
      <c r="V1225" s="8">
        <f>IF(COUNT(D1225:S1225)=0,"",MAX(D1225:S1225))</f>
        <v/>
      </c>
      <c r="W1225" s="9">
        <f>IF(OR(T1225="",T1225=0),"",(V1225-T1225)/T1225)</f>
        <v/>
      </c>
      <c r="X1225" s="7">
        <f>IF(COUNT(D1225:S1225)=0,"",INDEX($D$1:$S$1,MATCH(MIN(D1225:S1225),D1225:S1225,0)))</f>
        <v/>
      </c>
      <c r="Y1225" s="8" t="n">
        <v>2473.52</v>
      </c>
      <c r="Z1225" s="10" t="n">
        <v>1</v>
      </c>
    </row>
    <row r="1226">
      <c r="A1226" s="7" t="inlineStr">
        <is>
          <t>MAT-23-018</t>
        </is>
      </c>
      <c r="B1226" s="4" t="inlineStr">
        <is>
          <t>Perfil cuadrado de aluminio 1 1/2" x 1 1/2" x 19.20 pies</t>
        </is>
      </c>
      <c r="C1226" s="7" t="inlineStr">
        <is>
          <t>unidad</t>
        </is>
      </c>
      <c r="D1226" s="8" t="n">
        <v>1701.73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>
        <f>IF(COUNT(D1226:S1226)=0,"",MIN(D1226:S1226))</f>
        <v/>
      </c>
      <c r="U1226" s="8">
        <f>IF(COUNT(D1226:S1226)=0,"",MEDIAN(D1226:S1226))</f>
        <v/>
      </c>
      <c r="V1226" s="8">
        <f>IF(COUNT(D1226:S1226)=0,"",MAX(D1226:S1226))</f>
        <v/>
      </c>
      <c r="W1226" s="9">
        <f>IF(OR(T1226="",T1226=0),"",(V1226-T1226)/T1226)</f>
        <v/>
      </c>
      <c r="X1226" s="7">
        <f>IF(COUNT(D1226:S1226)=0,"",INDEX($D$1:$S$1,MATCH(MIN(D1226:S1226),D1226:S1226,0)))</f>
        <v/>
      </c>
      <c r="Y1226" s="8" t="n">
        <v>1701.73</v>
      </c>
      <c r="Z1226" s="10" t="n">
        <v>1</v>
      </c>
    </row>
    <row r="1227">
      <c r="A1227" s="7" t="inlineStr">
        <is>
          <t>MAT-23-019</t>
        </is>
      </c>
      <c r="B1227" s="4" t="inlineStr">
        <is>
          <t>Perfil rectangular de aluminio 2" x 1" x 19.20 pies</t>
        </is>
      </c>
      <c r="C1227" s="7" t="inlineStr">
        <is>
          <t>unidad</t>
        </is>
      </c>
      <c r="D1227" s="8" t="n">
        <v>1846.63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>
        <f>IF(COUNT(D1227:S1227)=0,"",MIN(D1227:S1227))</f>
        <v/>
      </c>
      <c r="U1227" s="8">
        <f>IF(COUNT(D1227:S1227)=0,"",MEDIAN(D1227:S1227))</f>
        <v/>
      </c>
      <c r="V1227" s="8">
        <f>IF(COUNT(D1227:S1227)=0,"",MAX(D1227:S1227))</f>
        <v/>
      </c>
      <c r="W1227" s="9">
        <f>IF(OR(T1227="",T1227=0),"",(V1227-T1227)/T1227)</f>
        <v/>
      </c>
      <c r="X1227" s="7">
        <f>IF(COUNT(D1227:S1227)=0,"",INDEX($D$1:$S$1,MATCH(MIN(D1227:S1227),D1227:S1227,0)))</f>
        <v/>
      </c>
      <c r="Y1227" s="8" t="n">
        <v>1846.63</v>
      </c>
      <c r="Z1227" s="10" t="n">
        <v>1</v>
      </c>
    </row>
    <row r="1228">
      <c r="A1228" s="7" t="inlineStr">
        <is>
          <t>MAT-23-020</t>
        </is>
      </c>
      <c r="B1228" s="4" t="inlineStr">
        <is>
          <t>Angular de aluminio 2" x 2" x 19.20 pies</t>
        </is>
      </c>
      <c r="C1228" s="7" t="inlineStr">
        <is>
          <t>unidad</t>
        </is>
      </c>
      <c r="D1228" s="8" t="n">
        <v>3334.76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>
        <f>IF(COUNT(D1228:S1228)=0,"",MIN(D1228:S1228))</f>
        <v/>
      </c>
      <c r="U1228" s="8">
        <f>IF(COUNT(D1228:S1228)=0,"",MEDIAN(D1228:S1228))</f>
        <v/>
      </c>
      <c r="V1228" s="8">
        <f>IF(COUNT(D1228:S1228)=0,"",MAX(D1228:S1228))</f>
        <v/>
      </c>
      <c r="W1228" s="9">
        <f>IF(OR(T1228="",T1228=0),"",(V1228-T1228)/T1228)</f>
        <v/>
      </c>
      <c r="X1228" s="7">
        <f>IF(COUNT(D1228:S1228)=0,"",INDEX($D$1:$S$1,MATCH(MIN(D1228:S1228),D1228:S1228,0)))</f>
        <v/>
      </c>
      <c r="Y1228" s="8" t="n">
        <v>3334.76</v>
      </c>
      <c r="Z1228" s="10" t="n">
        <v>1</v>
      </c>
    </row>
    <row r="1229">
      <c r="A1229" s="7" t="inlineStr">
        <is>
          <t>MAT-23-021</t>
        </is>
      </c>
      <c r="B1229" s="4" t="inlineStr">
        <is>
          <t>Planchuela de aluminio 3" x 3/16" x 19.20 pies</t>
        </is>
      </c>
      <c r="C1229" s="7" t="inlineStr">
        <is>
          <t>unidad</t>
        </is>
      </c>
      <c r="D1229" s="8" t="n">
        <v>2695.59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>
        <f>IF(COUNT(D1229:S1229)=0,"",MIN(D1229:S1229))</f>
        <v/>
      </c>
      <c r="U1229" s="8">
        <f>IF(COUNT(D1229:S1229)=0,"",MEDIAN(D1229:S1229))</f>
        <v/>
      </c>
      <c r="V1229" s="8">
        <f>IF(COUNT(D1229:S1229)=0,"",MAX(D1229:S1229))</f>
        <v/>
      </c>
      <c r="W1229" s="9">
        <f>IF(OR(T1229="",T1229=0),"",(V1229-T1229)/T1229)</f>
        <v/>
      </c>
      <c r="X1229" s="7">
        <f>IF(COUNT(D1229:S1229)=0,"",INDEX($D$1:$S$1,MATCH(MIN(D1229:S1229),D1229:S1229,0)))</f>
        <v/>
      </c>
      <c r="Y1229" s="8" t="n">
        <v>2695.59</v>
      </c>
      <c r="Z1229" s="10" t="n">
        <v>1</v>
      </c>
    </row>
    <row r="1230">
      <c r="A1230" s="7" t="inlineStr">
        <is>
          <t>MAT-23-022</t>
        </is>
      </c>
      <c r="B1230" s="4" t="inlineStr">
        <is>
          <t>Perfil rectangular de aluminio 3" x 1 1/2" x 19.20 pies</t>
        </is>
      </c>
      <c r="C1230" s="7" t="inlineStr">
        <is>
          <t>unidad</t>
        </is>
      </c>
      <c r="D1230" s="8" t="n">
        <v>3956.93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>
        <f>IF(COUNT(D1230:S1230)=0,"",MIN(D1230:S1230))</f>
        <v/>
      </c>
      <c r="U1230" s="8">
        <f>IF(COUNT(D1230:S1230)=0,"",MEDIAN(D1230:S1230))</f>
        <v/>
      </c>
      <c r="V1230" s="8">
        <f>IF(COUNT(D1230:S1230)=0,"",MAX(D1230:S1230))</f>
        <v/>
      </c>
      <c r="W1230" s="9">
        <f>IF(OR(T1230="",T1230=0),"",(V1230-T1230)/T1230)</f>
        <v/>
      </c>
      <c r="X1230" s="7">
        <f>IF(COUNT(D1230:S1230)=0,"",INDEX($D$1:$S$1,MATCH(MIN(D1230:S1230),D1230:S1230,0)))</f>
        <v/>
      </c>
      <c r="Y1230" s="8" t="n">
        <v>3956.93</v>
      </c>
      <c r="Z1230" s="10" t="n">
        <v>1</v>
      </c>
    </row>
    <row r="1231">
      <c r="A1231" s="7" t="inlineStr">
        <is>
          <t>MAT-23-023</t>
        </is>
      </c>
      <c r="B1231" s="4" t="inlineStr">
        <is>
          <t>Planchuela de aluminio 4" x 1/8" x 19.20 pies</t>
        </is>
      </c>
      <c r="C1231" s="7" t="inlineStr">
        <is>
          <t>unidad</t>
        </is>
      </c>
      <c r="D1231" s="8" t="n">
        <v>3464.55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>
        <f>IF(COUNT(D1231:S1231)=0,"",MIN(D1231:S1231))</f>
        <v/>
      </c>
      <c r="U1231" s="8">
        <f>IF(COUNT(D1231:S1231)=0,"",MEDIAN(D1231:S1231))</f>
        <v/>
      </c>
      <c r="V1231" s="8">
        <f>IF(COUNT(D1231:S1231)=0,"",MAX(D1231:S1231))</f>
        <v/>
      </c>
      <c r="W1231" s="9">
        <f>IF(OR(T1231="",T1231=0),"",(V1231-T1231)/T1231)</f>
        <v/>
      </c>
      <c r="X1231" s="7">
        <f>IF(COUNT(D1231:S1231)=0,"",INDEX($D$1:$S$1,MATCH(MIN(D1231:S1231),D1231:S1231,0)))</f>
        <v/>
      </c>
      <c r="Y1231" s="8" t="n">
        <v>3464.55</v>
      </c>
      <c r="Z1231" s="10" t="n">
        <v>1</v>
      </c>
    </row>
    <row r="1232">
      <c r="A1232" s="7" t="inlineStr">
        <is>
          <t>MAT-23-024</t>
        </is>
      </c>
      <c r="B1232" s="4" t="inlineStr">
        <is>
          <t>Perfil rectangular de aluminio 4" x 1 3/4" x 19.20 pies</t>
        </is>
      </c>
      <c r="C1232" s="7" t="inlineStr">
        <is>
          <t>unidad</t>
        </is>
      </c>
      <c r="D1232" s="8" t="n">
        <v>5142.65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>
        <f>IF(COUNT(D1232:S1232)=0,"",MIN(D1232:S1232))</f>
        <v/>
      </c>
      <c r="U1232" s="8">
        <f>IF(COUNT(D1232:S1232)=0,"",MEDIAN(D1232:S1232))</f>
        <v/>
      </c>
      <c r="V1232" s="8">
        <f>IF(COUNT(D1232:S1232)=0,"",MAX(D1232:S1232))</f>
        <v/>
      </c>
      <c r="W1232" s="9">
        <f>IF(OR(T1232="",T1232=0),"",(V1232-T1232)/T1232)</f>
        <v/>
      </c>
      <c r="X1232" s="7">
        <f>IF(COUNT(D1232:S1232)=0,"",INDEX($D$1:$S$1,MATCH(MIN(D1232:S1232),D1232:S1232,0)))</f>
        <v/>
      </c>
      <c r="Y1232" s="8" t="n">
        <v>5142.65</v>
      </c>
      <c r="Z1232" s="10" t="n">
        <v>1</v>
      </c>
    </row>
    <row r="1233">
      <c r="A1233" s="7" t="inlineStr">
        <is>
          <t>MAT-23-025</t>
        </is>
      </c>
      <c r="B1233" s="4" t="inlineStr">
        <is>
          <t>Angular de aluminio, 1X1"X19'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750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>
        <f>IF(COUNT(D1233:S1233)=0,"",MIN(D1233:S1233))</f>
        <v/>
      </c>
      <c r="U1233" s="8">
        <f>IF(COUNT(D1233:S1233)=0,"",MEDIAN(D1233:S1233))</f>
        <v/>
      </c>
      <c r="V1233" s="8">
        <f>IF(COUNT(D1233:S1233)=0,"",MAX(D1233:S1233))</f>
        <v/>
      </c>
      <c r="W1233" s="9">
        <f>IF(OR(T1233="",T1233=0),"",(V1233-T1233)/T1233)</f>
        <v/>
      </c>
      <c r="X1233" s="7">
        <f>IF(COUNT(D1233:S1233)=0,"",INDEX($D$1:$S$1,MATCH(MIN(D1233:S1233),D1233:S1233,0)))</f>
        <v/>
      </c>
      <c r="Y1233" s="8" t="n">
        <v>750</v>
      </c>
      <c r="Z1233" s="10" t="n">
        <v>1</v>
      </c>
    </row>
    <row r="1234">
      <c r="A1234" s="7" t="inlineStr">
        <is>
          <t>MAT-23-026</t>
        </is>
      </c>
      <c r="B1234" s="4" t="inlineStr">
        <is>
          <t>Angular de aluminio, 3/4X1/2"X19'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398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>
        <f>IF(COUNT(D1234:S1234)=0,"",MIN(D1234:S1234))</f>
        <v/>
      </c>
      <c r="U1234" s="8">
        <f>IF(COUNT(D1234:S1234)=0,"",MEDIAN(D1234:S1234))</f>
        <v/>
      </c>
      <c r="V1234" s="8">
        <f>IF(COUNT(D1234:S1234)=0,"",MAX(D1234:S1234))</f>
        <v/>
      </c>
      <c r="W1234" s="9">
        <f>IF(OR(T1234="",T1234=0),"",(V1234-T1234)/T1234)</f>
        <v/>
      </c>
      <c r="X1234" s="7">
        <f>IF(COUNT(D1234:S1234)=0,"",INDEX($D$1:$S$1,MATCH(MIN(D1234:S1234),D1234:S1234,0)))</f>
        <v/>
      </c>
      <c r="Y1234" s="8" t="n">
        <v>398</v>
      </c>
      <c r="Z1234" s="10" t="n">
        <v>1</v>
      </c>
    </row>
    <row r="1235">
      <c r="A1235" s="7" t="inlineStr">
        <is>
          <t>MAT-24-001</t>
        </is>
      </c>
      <c r="B1235" s="4" t="inlineStr">
        <is>
          <t>Inodoro de una pieza</t>
        </is>
      </c>
      <c r="C1235" s="7" t="inlineStr">
        <is>
          <t>unidad</t>
        </is>
      </c>
      <c r="D1235" s="8" t="n">
        <v>5981.36</v>
      </c>
      <c r="E1235" s="8" t="n">
        <v>4980</v>
      </c>
      <c r="F1235" s="8" t="n">
        <v>5932.2</v>
      </c>
      <c r="G1235" s="8" t="n">
        <v>9971</v>
      </c>
      <c r="H1235" s="8" t="n">
        <v>5950</v>
      </c>
      <c r="I1235" s="8" t="n"/>
      <c r="J1235" s="8" t="n"/>
      <c r="K1235" s="8" t="n">
        <v>4225</v>
      </c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>
        <f>IF(COUNT(D1235:S1235)=0,"",MIN(D1235:S1235))</f>
        <v/>
      </c>
      <c r="U1235" s="8">
        <f>IF(COUNT(D1235:S1235)=0,"",MEDIAN(D1235:S1235))</f>
        <v/>
      </c>
      <c r="V1235" s="8">
        <f>IF(COUNT(D1235:S1235)=0,"",MAX(D1235:S1235))</f>
        <v/>
      </c>
      <c r="W1235" s="9">
        <f>IF(OR(T1235="",T1235=0),"",(V1235-T1235)/T1235)</f>
        <v/>
      </c>
      <c r="X1235" s="7">
        <f>IF(COUNT(D1235:S1235)=0,"",INDEX($D$1:$S$1,MATCH(MIN(D1235:S1235),D1235:S1235,0)))</f>
        <v/>
      </c>
      <c r="Y1235" s="8" t="n">
        <v>9860</v>
      </c>
      <c r="Z1235" s="10" t="n">
        <v>6</v>
      </c>
    </row>
    <row r="1236">
      <c r="A1236" s="7" t="inlineStr">
        <is>
          <t>MAT-24-002</t>
        </is>
      </c>
      <c r="B1236" s="4" t="inlineStr">
        <is>
          <t>Inodoro infantil</t>
        </is>
      </c>
      <c r="C1236" s="7" t="inlineStr">
        <is>
          <t>unidad</t>
        </is>
      </c>
      <c r="D1236" s="8" t="n"/>
      <c r="E1236" s="8" t="n">
        <v>11543.61</v>
      </c>
      <c r="F1236" s="8" t="n">
        <v>6348.02</v>
      </c>
      <c r="G1236" s="8" t="n"/>
      <c r="H1236" s="8" t="n">
        <v>13750</v>
      </c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>
        <f>IF(COUNT(D1236:S1236)=0,"",MIN(D1236:S1236))</f>
        <v/>
      </c>
      <c r="U1236" s="8">
        <f>IF(COUNT(D1236:S1236)=0,"",MEDIAN(D1236:S1236))</f>
        <v/>
      </c>
      <c r="V1236" s="8">
        <f>IF(COUNT(D1236:S1236)=0,"",MAX(D1236:S1236))</f>
        <v/>
      </c>
      <c r="W1236" s="9">
        <f>IF(OR(T1236="",T1236=0),"",(V1236-T1236)/T1236)</f>
        <v/>
      </c>
      <c r="X1236" s="7">
        <f>IF(COUNT(D1236:S1236)=0,"",INDEX($D$1:$S$1,MATCH(MIN(D1236:S1236),D1236:S1236,0)))</f>
        <v/>
      </c>
      <c r="Y1236" s="8" t="n">
        <v>11543.61</v>
      </c>
      <c r="Z1236" s="10" t="n">
        <v>3</v>
      </c>
    </row>
    <row r="1237">
      <c r="A1237" s="7" t="inlineStr">
        <is>
          <t>MAT-24-004</t>
        </is>
      </c>
      <c r="B1237" s="4" t="inlineStr">
        <is>
          <t>Inodoro de dos piezas</t>
        </is>
      </c>
      <c r="C1237" s="7" t="inlineStr">
        <is>
          <t>unidad</t>
        </is>
      </c>
      <c r="D1237" s="8" t="n"/>
      <c r="E1237" s="8" t="n">
        <v>5100</v>
      </c>
      <c r="F1237" s="8" t="n">
        <v>6355.93</v>
      </c>
      <c r="G1237" s="8" t="n">
        <v>5320</v>
      </c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>
        <f>IF(COUNT(D1237:S1237)=0,"",MIN(D1237:S1237))</f>
        <v/>
      </c>
      <c r="U1237" s="8">
        <f>IF(COUNT(D1237:S1237)=0,"",MEDIAN(D1237:S1237))</f>
        <v/>
      </c>
      <c r="V1237" s="8">
        <f>IF(COUNT(D1237:S1237)=0,"",MAX(D1237:S1237))</f>
        <v/>
      </c>
      <c r="W1237" s="9">
        <f>IF(OR(T1237="",T1237=0),"",(V1237-T1237)/T1237)</f>
        <v/>
      </c>
      <c r="X1237" s="7">
        <f>IF(COUNT(D1237:S1237)=0,"",INDEX($D$1:$S$1,MATCH(MIN(D1237:S1237),D1237:S1237,0)))</f>
        <v/>
      </c>
      <c r="Y1237" s="8" t="n">
        <v>8905.379999999999</v>
      </c>
      <c r="Z1237" s="10" t="n">
        <v>3</v>
      </c>
    </row>
    <row r="1238">
      <c r="A1238" s="7" t="inlineStr">
        <is>
          <t>MAT-24-005</t>
        </is>
      </c>
      <c r="B1238" s="4" t="inlineStr">
        <is>
          <t>Tanque para inodoro de dos piezas</t>
        </is>
      </c>
      <c r="C1238" s="7" t="inlineStr">
        <is>
          <t>unidad</t>
        </is>
      </c>
      <c r="D1238" s="8" t="n">
        <v>586.47</v>
      </c>
      <c r="E1238" s="8" t="n"/>
      <c r="F1238" s="8" t="n"/>
      <c r="G1238" s="8" t="n"/>
      <c r="H1238" s="8" t="n"/>
      <c r="I1238" s="8" t="n"/>
      <c r="J1238" s="8" t="n"/>
      <c r="K1238" s="8" t="n">
        <v>12715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>
        <f>IF(COUNT(D1238:S1238)=0,"",MIN(D1238:S1238))</f>
        <v/>
      </c>
      <c r="U1238" s="8">
        <f>IF(COUNT(D1238:S1238)=0,"",MEDIAN(D1238:S1238))</f>
        <v/>
      </c>
      <c r="V1238" s="8">
        <f>IF(COUNT(D1238:S1238)=0,"",MAX(D1238:S1238))</f>
        <v/>
      </c>
      <c r="W1238" s="9">
        <f>IF(OR(T1238="",T1238=0),"",(V1238-T1238)/T1238)</f>
        <v/>
      </c>
      <c r="X1238" s="7">
        <f>IF(COUNT(D1238:S1238)=0,"",INDEX($D$1:$S$1,MATCH(MIN(D1238:S1238),D1238:S1238,0)))</f>
        <v/>
      </c>
      <c r="Y1238" s="8" t="n">
        <v>4198.79</v>
      </c>
      <c r="Z1238" s="10" t="n">
        <v>2</v>
      </c>
    </row>
    <row r="1239">
      <c r="A1239" s="7" t="inlineStr">
        <is>
          <t>MAT-24-006</t>
        </is>
      </c>
      <c r="B1239" s="4" t="inlineStr">
        <is>
          <t>Basineta para inodoro de dos piezas</t>
        </is>
      </c>
      <c r="C1239" s="7" t="inlineStr">
        <is>
          <t>unidad</t>
        </is>
      </c>
      <c r="D1239" s="8" t="n">
        <v>2129.12</v>
      </c>
      <c r="E1239" s="8" t="n"/>
      <c r="F1239" s="8" t="n">
        <v>4225.59</v>
      </c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>
        <f>IF(COUNT(D1239:S1239)=0,"",MIN(D1239:S1239))</f>
        <v/>
      </c>
      <c r="U1239" s="8">
        <f>IF(COUNT(D1239:S1239)=0,"",MEDIAN(D1239:S1239))</f>
        <v/>
      </c>
      <c r="V1239" s="8">
        <f>IF(COUNT(D1239:S1239)=0,"",MAX(D1239:S1239))</f>
        <v/>
      </c>
      <c r="W1239" s="9">
        <f>IF(OR(T1239="",T1239=0),"",(V1239-T1239)/T1239)</f>
        <v/>
      </c>
      <c r="X1239" s="7">
        <f>IF(COUNT(D1239:S1239)=0,"",INDEX($D$1:$S$1,MATCH(MIN(D1239:S1239),D1239:S1239,0)))</f>
        <v/>
      </c>
      <c r="Y1239" s="8" t="n">
        <v>5574.97</v>
      </c>
      <c r="Z1239" s="10" t="n">
        <v>2</v>
      </c>
    </row>
    <row r="1240">
      <c r="A1240" s="7" t="inlineStr">
        <is>
          <t>MAT-24-007</t>
        </is>
      </c>
      <c r="B1240" s="4" t="inlineStr">
        <is>
          <t>Taza para fluxómetro</t>
        </is>
      </c>
      <c r="C1240" s="7" t="inlineStr">
        <is>
          <t>unidad</t>
        </is>
      </c>
      <c r="D1240" s="8" t="n"/>
      <c r="E1240" s="8" t="n"/>
      <c r="F1240" s="8" t="n">
        <v>5857.58</v>
      </c>
      <c r="G1240" s="8" t="n"/>
      <c r="H1240" s="8" t="n">
        <v>8400</v>
      </c>
      <c r="I1240" s="8" t="n"/>
      <c r="J1240" s="8" t="n"/>
      <c r="K1240" s="8" t="n">
        <v>3925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>
        <f>IF(COUNT(D1240:S1240)=0,"",MIN(D1240:S1240))</f>
        <v/>
      </c>
      <c r="U1240" s="8">
        <f>IF(COUNT(D1240:S1240)=0,"",MEDIAN(D1240:S1240))</f>
        <v/>
      </c>
      <c r="V1240" s="8">
        <f>IF(COUNT(D1240:S1240)=0,"",MAX(D1240:S1240))</f>
        <v/>
      </c>
      <c r="W1240" s="9">
        <f>IF(OR(T1240="",T1240=0),"",(V1240-T1240)/T1240)</f>
        <v/>
      </c>
      <c r="X1240" s="7">
        <f>IF(COUNT(D1240:S1240)=0,"",INDEX($D$1:$S$1,MATCH(MIN(D1240:S1240),D1240:S1240,0)))</f>
        <v/>
      </c>
      <c r="Y1240" s="8" t="n">
        <v>9091</v>
      </c>
      <c r="Z1240" s="10" t="n">
        <v>3</v>
      </c>
    </row>
    <row r="1241">
      <c r="A1241" s="7" t="inlineStr">
        <is>
          <t>MAT-24-008</t>
        </is>
      </c>
      <c r="B1241" s="4" t="inlineStr">
        <is>
          <t>Urinario de porcelana</t>
        </is>
      </c>
      <c r="C1241" s="7" t="inlineStr">
        <is>
          <t>unidad</t>
        </is>
      </c>
      <c r="D1241" s="8" t="n">
        <v>4422.13</v>
      </c>
      <c r="E1241" s="8" t="n">
        <v>3265</v>
      </c>
      <c r="F1241" s="8" t="n">
        <v>4650</v>
      </c>
      <c r="G1241" s="8" t="n"/>
      <c r="H1241" s="8" t="n">
        <v>6995</v>
      </c>
      <c r="I1241" s="8" t="n"/>
      <c r="J1241" s="8" t="n"/>
      <c r="K1241" s="8" t="n">
        <v>4362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>
        <f>IF(COUNT(D1241:S1241)=0,"",MIN(D1241:S1241))</f>
        <v/>
      </c>
      <c r="U1241" s="8">
        <f>IF(COUNT(D1241:S1241)=0,"",MEDIAN(D1241:S1241))</f>
        <v/>
      </c>
      <c r="V1241" s="8">
        <f>IF(COUNT(D1241:S1241)=0,"",MAX(D1241:S1241))</f>
        <v/>
      </c>
      <c r="W1241" s="9">
        <f>IF(OR(T1241="",T1241=0),"",(V1241-T1241)/T1241)</f>
        <v/>
      </c>
      <c r="X1241" s="7">
        <f>IF(COUNT(D1241:S1241)=0,"",INDEX($D$1:$S$1,MATCH(MIN(D1241:S1241),D1241:S1241,0)))</f>
        <v/>
      </c>
      <c r="Y1241" s="8" t="n">
        <v>9070.48</v>
      </c>
      <c r="Z1241" s="10" t="n">
        <v>5</v>
      </c>
    </row>
    <row r="1242">
      <c r="A1242" s="7" t="inlineStr">
        <is>
          <t>MAT-24-009</t>
        </is>
      </c>
      <c r="B1242" s="4" t="inlineStr">
        <is>
          <t>Bidé</t>
        </is>
      </c>
      <c r="C1242" s="7" t="inlineStr">
        <is>
          <t>unidad</t>
        </is>
      </c>
      <c r="D1242" s="8" t="n"/>
      <c r="E1242" s="8" t="n"/>
      <c r="F1242" s="8" t="n">
        <v>12574.54</v>
      </c>
      <c r="G1242" s="8" t="n">
        <v>3998</v>
      </c>
      <c r="H1242" s="8" t="n">
        <v>17500</v>
      </c>
      <c r="I1242" s="8" t="n"/>
      <c r="J1242" s="8" t="n"/>
      <c r="K1242" s="8" t="n">
        <v>5937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>
        <f>IF(COUNT(D1242:S1242)=0,"",MIN(D1242:S1242))</f>
        <v/>
      </c>
      <c r="U1242" s="8">
        <f>IF(COUNT(D1242:S1242)=0,"",MEDIAN(D1242:S1242))</f>
        <v/>
      </c>
      <c r="V1242" s="8">
        <f>IF(COUNT(D1242:S1242)=0,"",MAX(D1242:S1242))</f>
        <v/>
      </c>
      <c r="W1242" s="9">
        <f>IF(OR(T1242="",T1242=0),"",(V1242-T1242)/T1242)</f>
        <v/>
      </c>
      <c r="X1242" s="7">
        <f>IF(COUNT(D1242:S1242)=0,"",INDEX($D$1:$S$1,MATCH(MIN(D1242:S1242),D1242:S1242,0)))</f>
        <v/>
      </c>
      <c r="Y1242" s="8" t="n">
        <v>20490</v>
      </c>
      <c r="Z1242" s="10" t="n">
        <v>4</v>
      </c>
    </row>
    <row r="1243">
      <c r="A1243" s="7" t="inlineStr">
        <is>
          <t>MAT-24-010</t>
        </is>
      </c>
      <c r="B1243" s="4" t="inlineStr">
        <is>
          <t>Kit de instalación de inodoro</t>
        </is>
      </c>
      <c r="C1243" s="7" t="inlineStr">
        <is>
          <t>juego</t>
        </is>
      </c>
      <c r="D1243" s="8" t="n">
        <v>1773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>
        <f>IF(COUNT(D1243:S1243)=0,"",MIN(D1243:S1243))</f>
        <v/>
      </c>
      <c r="U1243" s="8">
        <f>IF(COUNT(D1243:S1243)=0,"",MEDIAN(D1243:S1243))</f>
        <v/>
      </c>
      <c r="V1243" s="8">
        <f>IF(COUNT(D1243:S1243)=0,"",MAX(D1243:S1243))</f>
        <v/>
      </c>
      <c r="W1243" s="9">
        <f>IF(OR(T1243="",T1243=0),"",(V1243-T1243)/T1243)</f>
        <v/>
      </c>
      <c r="X1243" s="7">
        <f>IF(COUNT(D1243:S1243)=0,"",INDEX($D$1:$S$1,MATCH(MIN(D1243:S1243),D1243:S1243,0)))</f>
        <v/>
      </c>
      <c r="Y1243" s="8" t="n">
        <v>1773</v>
      </c>
      <c r="Z1243" s="10" t="n">
        <v>1</v>
      </c>
    </row>
    <row r="1244">
      <c r="A1244" s="7" t="inlineStr">
        <is>
          <t>MAT-25-001</t>
        </is>
      </c>
      <c r="B1244" s="4" t="inlineStr">
        <is>
          <t>Lavamanos</t>
        </is>
      </c>
      <c r="C1244" s="7" t="inlineStr">
        <is>
          <t>unidad</t>
        </is>
      </c>
      <c r="D1244" s="8" t="n">
        <v>5360.96</v>
      </c>
      <c r="E1244" s="8" t="n"/>
      <c r="F1244" s="8" t="n"/>
      <c r="G1244" s="8" t="n"/>
      <c r="H1244" s="8" t="n">
        <v>1600</v>
      </c>
      <c r="I1244" s="8" t="n">
        <v>910</v>
      </c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>
        <f>IF(COUNT(D1244:S1244)=0,"",MIN(D1244:S1244))</f>
        <v/>
      </c>
      <c r="U1244" s="8">
        <f>IF(COUNT(D1244:S1244)=0,"",MEDIAN(D1244:S1244))</f>
        <v/>
      </c>
      <c r="V1244" s="8">
        <f>IF(COUNT(D1244:S1244)=0,"",MAX(D1244:S1244))</f>
        <v/>
      </c>
      <c r="W1244" s="9">
        <f>IF(OR(T1244="",T1244=0),"",(V1244-T1244)/T1244)</f>
        <v/>
      </c>
      <c r="X1244" s="7">
        <f>IF(COUNT(D1244:S1244)=0,"",INDEX($D$1:$S$1,MATCH(MIN(D1244:S1244),D1244:S1244,0)))</f>
        <v/>
      </c>
      <c r="Y1244" s="8" t="n">
        <v>8500</v>
      </c>
      <c r="Z1244" s="10" t="n">
        <v>3</v>
      </c>
    </row>
    <row r="1245">
      <c r="A1245" s="7" t="inlineStr">
        <is>
          <t>MAT-25-002</t>
        </is>
      </c>
      <c r="B1245" s="4" t="inlineStr">
        <is>
          <t>Lavamanos, de empotrar</t>
        </is>
      </c>
      <c r="C1245" s="7" t="inlineStr">
        <is>
          <t>unidad</t>
        </is>
      </c>
      <c r="D1245" s="8" t="n">
        <v>684.67</v>
      </c>
      <c r="E1245" s="8" t="n">
        <v>1345</v>
      </c>
      <c r="F1245" s="8" t="n">
        <v>1763.31</v>
      </c>
      <c r="G1245" s="8" t="n"/>
      <c r="H1245" s="8" t="n">
        <v>3535.4</v>
      </c>
      <c r="I1245" s="8" t="n"/>
      <c r="J1245" s="8" t="n"/>
      <c r="K1245" s="8" t="n">
        <v>1585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>
        <f>IF(COUNT(D1245:S1245)=0,"",MIN(D1245:S1245))</f>
        <v/>
      </c>
      <c r="U1245" s="8">
        <f>IF(COUNT(D1245:S1245)=0,"",MEDIAN(D1245:S1245))</f>
        <v/>
      </c>
      <c r="V1245" s="8">
        <f>IF(COUNT(D1245:S1245)=0,"",MAX(D1245:S1245))</f>
        <v/>
      </c>
      <c r="W1245" s="9">
        <f>IF(OR(T1245="",T1245=0),"",(V1245-T1245)/T1245)</f>
        <v/>
      </c>
      <c r="X1245" s="7">
        <f>IF(COUNT(D1245:S1245)=0,"",INDEX($D$1:$S$1,MATCH(MIN(D1245:S1245),D1245:S1245,0)))</f>
        <v/>
      </c>
      <c r="Y1245" s="8" t="n">
        <v>3403.56</v>
      </c>
      <c r="Z1245" s="10" t="n">
        <v>5</v>
      </c>
    </row>
    <row r="1246">
      <c r="A1246" s="7" t="inlineStr">
        <is>
          <t>MAT-25-003</t>
        </is>
      </c>
      <c r="B1246" s="4" t="inlineStr">
        <is>
          <t>Lavamanos, de exento</t>
        </is>
      </c>
      <c r="C1246" s="7" t="inlineStr">
        <is>
          <t>unidad</t>
        </is>
      </c>
      <c r="D1246" s="8" t="n"/>
      <c r="E1246" s="8" t="n"/>
      <c r="F1246" s="8" t="n">
        <v>185169.48</v>
      </c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>
        <f>IF(COUNT(D1246:S1246)=0,"",MIN(D1246:S1246))</f>
        <v/>
      </c>
      <c r="U1246" s="8">
        <f>IF(COUNT(D1246:S1246)=0,"",MEDIAN(D1246:S1246))</f>
        <v/>
      </c>
      <c r="V1246" s="8">
        <f>IF(COUNT(D1246:S1246)=0,"",MAX(D1246:S1246))</f>
        <v/>
      </c>
      <c r="W1246" s="9">
        <f>IF(OR(T1246="",T1246=0),"",(V1246-T1246)/T1246)</f>
        <v/>
      </c>
      <c r="X1246" s="7">
        <f>IF(COUNT(D1246:S1246)=0,"",INDEX($D$1:$S$1,MATCH(MIN(D1246:S1246),D1246:S1246,0)))</f>
        <v/>
      </c>
      <c r="Y1246" s="8" t="n">
        <v>244189.99</v>
      </c>
      <c r="Z1246" s="10" t="n">
        <v>1</v>
      </c>
    </row>
    <row r="1247">
      <c r="A1247" s="7" t="inlineStr">
        <is>
          <t>MAT-25-005</t>
        </is>
      </c>
      <c r="B1247" s="4" t="inlineStr">
        <is>
          <t>Lavamanos, de pedestal</t>
        </is>
      </c>
      <c r="C1247" s="7" t="inlineStr">
        <is>
          <t>unidad</t>
        </is>
      </c>
      <c r="D1247" s="8" t="n">
        <v>1093</v>
      </c>
      <c r="E1247" s="8" t="n">
        <v>1870</v>
      </c>
      <c r="F1247" s="8" t="n">
        <v>15434.59</v>
      </c>
      <c r="G1247" s="8" t="n">
        <v>3635</v>
      </c>
      <c r="H1247" s="8" t="n">
        <v>2590.01</v>
      </c>
      <c r="I1247" s="8" t="n"/>
      <c r="J1247" s="8" t="n"/>
      <c r="K1247" s="8" t="n">
        <v>216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>
        <f>IF(COUNT(D1247:S1247)=0,"",MIN(D1247:S1247))</f>
        <v/>
      </c>
      <c r="U1247" s="8">
        <f>IF(COUNT(D1247:S1247)=0,"",MEDIAN(D1247:S1247))</f>
        <v/>
      </c>
      <c r="V1247" s="8">
        <f>IF(COUNT(D1247:S1247)=0,"",MAX(D1247:S1247))</f>
        <v/>
      </c>
      <c r="W1247" s="9">
        <f>IF(OR(T1247="",T1247=0),"",(V1247-T1247)/T1247)</f>
        <v/>
      </c>
      <c r="X1247" s="7">
        <f>IF(COUNT(D1247:S1247)=0,"",INDEX($D$1:$S$1,MATCH(MIN(D1247:S1247),D1247:S1247,0)))</f>
        <v/>
      </c>
      <c r="Y1247" s="8" t="n">
        <v>2676.3</v>
      </c>
      <c r="Z1247" s="10" t="n">
        <v>6</v>
      </c>
    </row>
    <row r="1248">
      <c r="A1248" s="7" t="inlineStr">
        <is>
          <t>MAT-25-006</t>
        </is>
      </c>
      <c r="B1248" s="4" t="inlineStr">
        <is>
          <t>Lavamanos, de sobreponer</t>
        </is>
      </c>
      <c r="C1248" s="7" t="inlineStr">
        <is>
          <t>unidad</t>
        </is>
      </c>
      <c r="D1248" s="8" t="n">
        <v>2085.37</v>
      </c>
      <c r="E1248" s="8" t="n">
        <v>1680</v>
      </c>
      <c r="F1248" s="8" t="n">
        <v>1398.48</v>
      </c>
      <c r="G1248" s="8" t="n">
        <v>1150</v>
      </c>
      <c r="H1248" s="8" t="n">
        <v>5000</v>
      </c>
      <c r="I1248" s="8" t="n"/>
      <c r="J1248" s="8" t="n"/>
      <c r="K1248" s="8" t="n">
        <v>1495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>
        <f>IF(COUNT(D1248:S1248)=0,"",MIN(D1248:S1248))</f>
        <v/>
      </c>
      <c r="U1248" s="8">
        <f>IF(COUNT(D1248:S1248)=0,"",MEDIAN(D1248:S1248))</f>
        <v/>
      </c>
      <c r="V1248" s="8">
        <f>IF(COUNT(D1248:S1248)=0,"",MAX(D1248:S1248))</f>
        <v/>
      </c>
      <c r="W1248" s="9">
        <f>IF(OR(T1248="",T1248=0),"",(V1248-T1248)/T1248)</f>
        <v/>
      </c>
      <c r="X1248" s="7">
        <f>IF(COUNT(D1248:S1248)=0,"",INDEX($D$1:$S$1,MATCH(MIN(D1248:S1248),D1248:S1248,0)))</f>
        <v/>
      </c>
      <c r="Y1248" s="8" t="n">
        <v>4140.13</v>
      </c>
      <c r="Z1248" s="10" t="n">
        <v>6</v>
      </c>
    </row>
    <row r="1249">
      <c r="A1249" s="7" t="inlineStr">
        <is>
          <t>MAT-25-007</t>
        </is>
      </c>
      <c r="B1249" s="4" t="inlineStr">
        <is>
          <t>Pedestal para lavamanos</t>
        </is>
      </c>
      <c r="C1249" s="7" t="inlineStr">
        <is>
          <t>unidad</t>
        </is>
      </c>
      <c r="D1249" s="8" t="n">
        <v>891.27</v>
      </c>
      <c r="E1249" s="8" t="n"/>
      <c r="F1249" s="8" t="n"/>
      <c r="G1249" s="8" t="n"/>
      <c r="H1249" s="8" t="n">
        <v>1100</v>
      </c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>
        <f>IF(COUNT(D1249:S1249)=0,"",MIN(D1249:S1249))</f>
        <v/>
      </c>
      <c r="U1249" s="8">
        <f>IF(COUNT(D1249:S1249)=0,"",MEDIAN(D1249:S1249))</f>
        <v/>
      </c>
      <c r="V1249" s="8">
        <f>IF(COUNT(D1249:S1249)=0,"",MAX(D1249:S1249))</f>
        <v/>
      </c>
      <c r="W1249" s="9">
        <f>IF(OR(T1249="",T1249=0),"",(V1249-T1249)/T1249)</f>
        <v/>
      </c>
      <c r="X1249" s="7">
        <f>IF(COUNT(D1249:S1249)=0,"",INDEX($D$1:$S$1,MATCH(MIN(D1249:S1249),D1249:S1249,0)))</f>
        <v/>
      </c>
      <c r="Y1249" s="8" t="n">
        <v>2014.01</v>
      </c>
      <c r="Z1249" s="10" t="n">
        <v>2</v>
      </c>
    </row>
    <row r="1250">
      <c r="A1250" s="7" t="inlineStr">
        <is>
          <t>MAT-25-008</t>
        </is>
      </c>
      <c r="B1250" s="4" t="inlineStr">
        <is>
          <t>Palometa para lavamanos</t>
        </is>
      </c>
      <c r="C1250" s="7" t="inlineStr">
        <is>
          <t>unidad</t>
        </is>
      </c>
      <c r="D1250" s="8" t="n">
        <v>57.88</v>
      </c>
      <c r="E1250" s="8" t="n"/>
      <c r="F1250" s="8" t="n"/>
      <c r="G1250" s="8" t="n">
        <v>141</v>
      </c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>
        <f>IF(COUNT(D1250:S1250)=0,"",MIN(D1250:S1250))</f>
        <v/>
      </c>
      <c r="U1250" s="8">
        <f>IF(COUNT(D1250:S1250)=0,"",MEDIAN(D1250:S1250))</f>
        <v/>
      </c>
      <c r="V1250" s="8">
        <f>IF(COUNT(D1250:S1250)=0,"",MAX(D1250:S1250))</f>
        <v/>
      </c>
      <c r="W1250" s="9">
        <f>IF(OR(T1250="",T1250=0),"",(V1250-T1250)/T1250)</f>
        <v/>
      </c>
      <c r="X1250" s="7">
        <f>IF(COUNT(D1250:S1250)=0,"",INDEX($D$1:$S$1,MATCH(MIN(D1250:S1250),D1250:S1250,0)))</f>
        <v/>
      </c>
      <c r="Y1250" s="8" t="n">
        <v>80.59</v>
      </c>
      <c r="Z1250" s="10" t="n">
        <v>2</v>
      </c>
    </row>
    <row r="1251">
      <c r="A1251" s="7" t="inlineStr">
        <is>
          <t>MAT-25-009</t>
        </is>
      </c>
      <c r="B1251" s="4" t="inlineStr">
        <is>
          <t>Conector de desagüe para lavamanos</t>
        </is>
      </c>
      <c r="C1251" s="7" t="inlineStr">
        <is>
          <t>unidad</t>
        </is>
      </c>
      <c r="D1251" s="8" t="n">
        <v>255.94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>
        <f>IF(COUNT(D1251:S1251)=0,"",MIN(D1251:S1251))</f>
        <v/>
      </c>
      <c r="U1251" s="8">
        <f>IF(COUNT(D1251:S1251)=0,"",MEDIAN(D1251:S1251))</f>
        <v/>
      </c>
      <c r="V1251" s="8">
        <f>IF(COUNT(D1251:S1251)=0,"",MAX(D1251:S1251))</f>
        <v/>
      </c>
      <c r="W1251" s="9">
        <f>IF(OR(T1251="",T1251=0),"",(V1251-T1251)/T1251)</f>
        <v/>
      </c>
      <c r="X1251" s="7">
        <f>IF(COUNT(D1251:S1251)=0,"",INDEX($D$1:$S$1,MATCH(MIN(D1251:S1251),D1251:S1251,0)))</f>
        <v/>
      </c>
      <c r="Y1251" s="8" t="n">
        <v>255.94</v>
      </c>
      <c r="Z1251" s="10" t="n">
        <v>1</v>
      </c>
    </row>
    <row r="1252">
      <c r="A1252" s="7" t="inlineStr">
        <is>
          <t>MAT-26-001</t>
        </is>
      </c>
      <c r="B1252" s="4" t="inlineStr">
        <is>
          <t>Mueble de baño</t>
        </is>
      </c>
      <c r="C1252" s="7" t="inlineStr">
        <is>
          <t>unidad</t>
        </is>
      </c>
      <c r="D1252" s="8" t="n">
        <v>8614.57</v>
      </c>
      <c r="E1252" s="8" t="n"/>
      <c r="F1252" s="8" t="n"/>
      <c r="G1252" s="8" t="n"/>
      <c r="H1252" s="8" t="n"/>
      <c r="I1252" s="8" t="n"/>
      <c r="J1252" s="8" t="n"/>
      <c r="K1252" s="8" t="n">
        <v>6495</v>
      </c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>
        <f>IF(COUNT(D1252:S1252)=0,"",MIN(D1252:S1252))</f>
        <v/>
      </c>
      <c r="U1252" s="8">
        <f>IF(COUNT(D1252:S1252)=0,"",MEDIAN(D1252:S1252))</f>
        <v/>
      </c>
      <c r="V1252" s="8">
        <f>IF(COUNT(D1252:S1252)=0,"",MAX(D1252:S1252))</f>
        <v/>
      </c>
      <c r="W1252" s="9">
        <f>IF(OR(T1252="",T1252=0),"",(V1252-T1252)/T1252)</f>
        <v/>
      </c>
      <c r="X1252" s="7">
        <f>IF(COUNT(D1252:S1252)=0,"",INDEX($D$1:$S$1,MATCH(MIN(D1252:S1252),D1252:S1252,0)))</f>
        <v/>
      </c>
      <c r="Y1252" s="8" t="n">
        <v>14401.48</v>
      </c>
      <c r="Z1252" s="10" t="n">
        <v>2</v>
      </c>
    </row>
    <row r="1253">
      <c r="A1253" s="7" t="inlineStr">
        <is>
          <t>MAT-26-002</t>
        </is>
      </c>
      <c r="B1253" s="4" t="inlineStr">
        <is>
          <t>Mueble de baño, de pared</t>
        </is>
      </c>
      <c r="C1253" s="7" t="inlineStr">
        <is>
          <t>unidad</t>
        </is>
      </c>
      <c r="D1253" s="8" t="n">
        <v>5433.44</v>
      </c>
      <c r="E1253" s="8" t="n"/>
      <c r="F1253" s="8" t="n"/>
      <c r="G1253" s="8" t="n"/>
      <c r="H1253" s="8" t="n">
        <v>19500</v>
      </c>
      <c r="I1253" s="8" t="n">
        <v>13150</v>
      </c>
      <c r="J1253" s="8" t="n"/>
      <c r="K1253" s="8" t="n">
        <v>8120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>
        <f>IF(COUNT(D1253:S1253)=0,"",MIN(D1253:S1253))</f>
        <v/>
      </c>
      <c r="U1253" s="8">
        <f>IF(COUNT(D1253:S1253)=0,"",MEDIAN(D1253:S1253))</f>
        <v/>
      </c>
      <c r="V1253" s="8">
        <f>IF(COUNT(D1253:S1253)=0,"",MAX(D1253:S1253))</f>
        <v/>
      </c>
      <c r="W1253" s="9">
        <f>IF(OR(T1253="",T1253=0),"",(V1253-T1253)/T1253)</f>
        <v/>
      </c>
      <c r="X1253" s="7">
        <f>IF(COUNT(D1253:S1253)=0,"",INDEX($D$1:$S$1,MATCH(MIN(D1253:S1253),D1253:S1253,0)))</f>
        <v/>
      </c>
      <c r="Y1253" s="8" t="n">
        <v>17169.24</v>
      </c>
      <c r="Z1253" s="10" t="n">
        <v>4</v>
      </c>
    </row>
    <row r="1254">
      <c r="A1254" s="7" t="inlineStr">
        <is>
          <t>MAT-26-003</t>
        </is>
      </c>
      <c r="B1254" s="4" t="inlineStr">
        <is>
          <t>Mueble de baño, de piso</t>
        </is>
      </c>
      <c r="C1254" s="7" t="inlineStr">
        <is>
          <t>unidad</t>
        </is>
      </c>
      <c r="D1254" s="8" t="n"/>
      <c r="E1254" s="8" t="n"/>
      <c r="F1254" s="8" t="n">
        <v>8141.3</v>
      </c>
      <c r="G1254" s="8" t="n">
        <v>21825</v>
      </c>
      <c r="H1254" s="8" t="n">
        <v>7800</v>
      </c>
      <c r="I1254" s="8" t="n">
        <v>2725</v>
      </c>
      <c r="J1254" s="8" t="n"/>
      <c r="K1254" s="8" t="n">
        <v>7012.5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>
        <f>IF(COUNT(D1254:S1254)=0,"",MIN(D1254:S1254))</f>
        <v/>
      </c>
      <c r="U1254" s="8">
        <f>IF(COUNT(D1254:S1254)=0,"",MEDIAN(D1254:S1254))</f>
        <v/>
      </c>
      <c r="V1254" s="8">
        <f>IF(COUNT(D1254:S1254)=0,"",MAX(D1254:S1254))</f>
        <v/>
      </c>
      <c r="W1254" s="9">
        <f>IF(OR(T1254="",T1254=0),"",(V1254-T1254)/T1254)</f>
        <v/>
      </c>
      <c r="X1254" s="7">
        <f>IF(COUNT(D1254:S1254)=0,"",INDEX($D$1:$S$1,MATCH(MIN(D1254:S1254),D1254:S1254,0)))</f>
        <v/>
      </c>
      <c r="Y1254" s="8" t="n">
        <v>21623.89</v>
      </c>
      <c r="Z1254" s="10" t="n">
        <v>5</v>
      </c>
    </row>
    <row r="1255">
      <c r="A1255" s="7" t="inlineStr">
        <is>
          <t>MAT-26-004</t>
        </is>
      </c>
      <c r="B1255" s="4" t="inlineStr">
        <is>
          <t>Botiquín de baño</t>
        </is>
      </c>
      <c r="C1255" s="7" t="inlineStr">
        <is>
          <t>unidad</t>
        </is>
      </c>
      <c r="D1255" s="8" t="n">
        <v>725.87</v>
      </c>
      <c r="E1255" s="8" t="n"/>
      <c r="F1255" s="8" t="n"/>
      <c r="G1255" s="8" t="n">
        <v>2775</v>
      </c>
      <c r="H1255" s="8" t="n"/>
      <c r="I1255" s="8" t="n"/>
      <c r="J1255" s="8" t="n"/>
      <c r="K1255" s="8" t="n">
        <v>995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>
        <f>IF(COUNT(D1255:S1255)=0,"",MIN(D1255:S1255))</f>
        <v/>
      </c>
      <c r="U1255" s="8">
        <f>IF(COUNT(D1255:S1255)=0,"",MEDIAN(D1255:S1255))</f>
        <v/>
      </c>
      <c r="V1255" s="8">
        <f>IF(COUNT(D1255:S1255)=0,"",MAX(D1255:S1255))</f>
        <v/>
      </c>
      <c r="W1255" s="9">
        <f>IF(OR(T1255="",T1255=0),"",(V1255-T1255)/T1255)</f>
        <v/>
      </c>
      <c r="X1255" s="7">
        <f>IF(COUNT(D1255:S1255)=0,"",INDEX($D$1:$S$1,MATCH(MIN(D1255:S1255),D1255:S1255,0)))</f>
        <v/>
      </c>
      <c r="Y1255" s="8" t="n">
        <v>1481</v>
      </c>
      <c r="Z1255" s="10" t="n">
        <v>3</v>
      </c>
    </row>
    <row r="1256">
      <c r="A1256" s="7" t="inlineStr">
        <is>
          <t>MAT-26-005</t>
        </is>
      </c>
      <c r="B1256" s="4" t="inlineStr">
        <is>
          <t>Botiquín de baño, con luz LED</t>
        </is>
      </c>
      <c r="C1256" s="7" t="inlineStr">
        <is>
          <t>unidad</t>
        </is>
      </c>
      <c r="D1256" s="8" t="n">
        <v>10320.96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>
        <f>IF(COUNT(D1256:S1256)=0,"",MIN(D1256:S1256))</f>
        <v/>
      </c>
      <c r="U1256" s="8">
        <f>IF(COUNT(D1256:S1256)=0,"",MEDIAN(D1256:S1256))</f>
        <v/>
      </c>
      <c r="V1256" s="8">
        <f>IF(COUNT(D1256:S1256)=0,"",MAX(D1256:S1256))</f>
        <v/>
      </c>
      <c r="W1256" s="9">
        <f>IF(OR(T1256="",T1256=0),"",(V1256-T1256)/T1256)</f>
        <v/>
      </c>
      <c r="X1256" s="7">
        <f>IF(COUNT(D1256:S1256)=0,"",INDEX($D$1:$S$1,MATCH(MIN(D1256:S1256),D1256:S1256,0)))</f>
        <v/>
      </c>
      <c r="Y1256" s="8" t="n">
        <v>15456.85</v>
      </c>
      <c r="Z1256" s="10" t="n">
        <v>1</v>
      </c>
    </row>
    <row r="1257">
      <c r="A1257" s="7" t="inlineStr">
        <is>
          <t>MAT-26-006</t>
        </is>
      </c>
      <c r="B1257" s="4" t="inlineStr">
        <is>
          <t>Espejo de baño</t>
        </is>
      </c>
      <c r="C1257" s="7" t="inlineStr">
        <is>
          <t>unidad</t>
        </is>
      </c>
      <c r="D1257" s="8" t="n">
        <v>1210.04</v>
      </c>
      <c r="E1257" s="8" t="n"/>
      <c r="F1257" s="8" t="n">
        <v>1351.45</v>
      </c>
      <c r="G1257" s="8" t="n"/>
      <c r="H1257" s="8" t="n">
        <v>1490</v>
      </c>
      <c r="I1257" s="8" t="n"/>
      <c r="J1257" s="8" t="n"/>
      <c r="K1257" s="8" t="n">
        <v>665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>
        <f>IF(COUNT(D1257:S1257)=0,"",MIN(D1257:S1257))</f>
        <v/>
      </c>
      <c r="U1257" s="8">
        <f>IF(COUNT(D1257:S1257)=0,"",MEDIAN(D1257:S1257))</f>
        <v/>
      </c>
      <c r="V1257" s="8">
        <f>IF(COUNT(D1257:S1257)=0,"",MAX(D1257:S1257))</f>
        <v/>
      </c>
      <c r="W1257" s="9">
        <f>IF(OR(T1257="",T1257=0),"",(V1257-T1257)/T1257)</f>
        <v/>
      </c>
      <c r="X1257" s="7">
        <f>IF(COUNT(D1257:S1257)=0,"",INDEX($D$1:$S$1,MATCH(MIN(D1257:S1257),D1257:S1257,0)))</f>
        <v/>
      </c>
      <c r="Y1257" s="8" t="n">
        <v>1594.71</v>
      </c>
      <c r="Z1257" s="10" t="n">
        <v>4</v>
      </c>
    </row>
    <row r="1258">
      <c r="A1258" s="7" t="inlineStr">
        <is>
          <t>MAT-26-007</t>
        </is>
      </c>
      <c r="B1258" s="4" t="inlineStr">
        <is>
          <t>Espejo de baño, con luz LED</t>
        </is>
      </c>
      <c r="C1258" s="7" t="inlineStr">
        <is>
          <t>unidad</t>
        </is>
      </c>
      <c r="D1258" s="8" t="n">
        <v>4270.75</v>
      </c>
      <c r="E1258" s="8" t="n"/>
      <c r="F1258" s="8" t="n">
        <v>5123.51</v>
      </c>
      <c r="G1258" s="8" t="n"/>
      <c r="H1258" s="8" t="n">
        <v>4900</v>
      </c>
      <c r="I1258" s="8" t="n">
        <v>2035</v>
      </c>
      <c r="J1258" s="8" t="n"/>
      <c r="K1258" s="8" t="n">
        <v>1795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>
        <f>IF(COUNT(D1258:S1258)=0,"",MIN(D1258:S1258))</f>
        <v/>
      </c>
      <c r="U1258" s="8">
        <f>IF(COUNT(D1258:S1258)=0,"",MEDIAN(D1258:S1258))</f>
        <v/>
      </c>
      <c r="V1258" s="8">
        <f>IF(COUNT(D1258:S1258)=0,"",MAX(D1258:S1258))</f>
        <v/>
      </c>
      <c r="W1258" s="9">
        <f>IF(OR(T1258="",T1258=0),"",(V1258-T1258)/T1258)</f>
        <v/>
      </c>
      <c r="X1258" s="7">
        <f>IF(COUNT(D1258:S1258)=0,"",INDEX($D$1:$S$1,MATCH(MIN(D1258:S1258),D1258:S1258,0)))</f>
        <v/>
      </c>
      <c r="Y1258" s="8" t="n">
        <v>7811.18</v>
      </c>
      <c r="Z1258" s="10" t="n">
        <v>5</v>
      </c>
    </row>
    <row r="1259">
      <c r="A1259" s="7" t="inlineStr">
        <is>
          <t>MAT-26-008</t>
        </is>
      </c>
      <c r="B1259" s="4" t="inlineStr">
        <is>
          <t>Cabina o panel de ducha</t>
        </is>
      </c>
      <c r="C1259" s="7" t="inlineStr">
        <is>
          <t>unidad</t>
        </is>
      </c>
      <c r="D1259" s="8" t="n"/>
      <c r="E1259" s="8" t="n"/>
      <c r="F1259" s="8" t="n">
        <v>14364.41</v>
      </c>
      <c r="G1259" s="8" t="n"/>
      <c r="H1259" s="8" t="n">
        <v>8900</v>
      </c>
      <c r="I1259" s="8" t="n"/>
      <c r="J1259" s="8" t="n"/>
      <c r="K1259" s="8" t="n">
        <v>3118.5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>
        <f>IF(COUNT(D1259:S1259)=0,"",MIN(D1259:S1259))</f>
        <v/>
      </c>
      <c r="U1259" s="8">
        <f>IF(COUNT(D1259:S1259)=0,"",MEDIAN(D1259:S1259))</f>
        <v/>
      </c>
      <c r="V1259" s="8">
        <f>IF(COUNT(D1259:S1259)=0,"",MAX(D1259:S1259))</f>
        <v/>
      </c>
      <c r="W1259" s="9">
        <f>IF(OR(T1259="",T1259=0),"",(V1259-T1259)/T1259)</f>
        <v/>
      </c>
      <c r="X1259" s="7">
        <f>IF(COUNT(D1259:S1259)=0,"",INDEX($D$1:$S$1,MATCH(MIN(D1259:S1259),D1259:S1259,0)))</f>
        <v/>
      </c>
      <c r="Y1259" s="8" t="n">
        <v>6079</v>
      </c>
      <c r="Z1259" s="10" t="n">
        <v>3</v>
      </c>
    </row>
    <row r="1260">
      <c r="A1260" s="7" t="inlineStr">
        <is>
          <t>MAT-26-009</t>
        </is>
      </c>
      <c r="B1260" s="4" t="inlineStr">
        <is>
          <t>Bañera</t>
        </is>
      </c>
      <c r="C1260" s="7" t="inlineStr">
        <is>
          <t>unidad</t>
        </is>
      </c>
      <c r="D1260" s="8" t="n"/>
      <c r="E1260" s="8" t="n">
        <v>9469</v>
      </c>
      <c r="F1260" s="8" t="n">
        <v>43840</v>
      </c>
      <c r="G1260" s="8" t="n"/>
      <c r="H1260" s="8" t="n">
        <v>14250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>
        <f>IF(COUNT(D1260:S1260)=0,"",MIN(D1260:S1260))</f>
        <v/>
      </c>
      <c r="U1260" s="8">
        <f>IF(COUNT(D1260:S1260)=0,"",MEDIAN(D1260:S1260))</f>
        <v/>
      </c>
      <c r="V1260" s="8">
        <f>IF(COUNT(D1260:S1260)=0,"",MAX(D1260:S1260))</f>
        <v/>
      </c>
      <c r="W1260" s="9">
        <f>IF(OR(T1260="",T1260=0),"",(V1260-T1260)/T1260)</f>
        <v/>
      </c>
      <c r="X1260" s="7">
        <f>IF(COUNT(D1260:S1260)=0,"",INDEX($D$1:$S$1,MATCH(MIN(D1260:S1260),D1260:S1260,0)))</f>
        <v/>
      </c>
      <c r="Y1260" s="8" t="n">
        <v>97909.59</v>
      </c>
      <c r="Z1260" s="10" t="n">
        <v>3</v>
      </c>
    </row>
    <row r="1261">
      <c r="A1261" s="7" t="inlineStr">
        <is>
          <t>MAT-26-010</t>
        </is>
      </c>
      <c r="B1261" s="4" t="inlineStr">
        <is>
          <t>Plato de ducha</t>
        </is>
      </c>
      <c r="C1261" s="7" t="inlineStr">
        <is>
          <t>unidad</t>
        </is>
      </c>
      <c r="D1261" s="8" t="n"/>
      <c r="E1261" s="8" t="n"/>
      <c r="F1261" s="8" t="n">
        <v>14956.2</v>
      </c>
      <c r="G1261" s="8" t="n"/>
      <c r="H1261" s="8" t="n">
        <v>14999.99</v>
      </c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>
        <f>IF(COUNT(D1261:S1261)=0,"",MIN(D1261:S1261))</f>
        <v/>
      </c>
      <c r="U1261" s="8">
        <f>IF(COUNT(D1261:S1261)=0,"",MEDIAN(D1261:S1261))</f>
        <v/>
      </c>
      <c r="V1261" s="8">
        <f>IF(COUNT(D1261:S1261)=0,"",MAX(D1261:S1261))</f>
        <v/>
      </c>
      <c r="W1261" s="9">
        <f>IF(OR(T1261="",T1261=0),"",(V1261-T1261)/T1261)</f>
        <v/>
      </c>
      <c r="X1261" s="7">
        <f>IF(COUNT(D1261:S1261)=0,"",INDEX($D$1:$S$1,MATCH(MIN(D1261:S1261),D1261:S1261,0)))</f>
        <v/>
      </c>
      <c r="Y1261" s="8" t="n">
        <v>19278.36</v>
      </c>
      <c r="Z1261" s="10" t="n">
        <v>2</v>
      </c>
    </row>
    <row r="1262">
      <c r="A1262" s="7" t="inlineStr">
        <is>
          <t>MAT-27-001</t>
        </is>
      </c>
      <c r="B1262" s="4" t="inlineStr">
        <is>
          <t>Barra de seguridad, abatible, 20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2439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>
        <f>IF(COUNT(D1262:S1262)=0,"",MIN(D1262:S1262))</f>
        <v/>
      </c>
      <c r="U1262" s="8">
        <f>IF(COUNT(D1262:S1262)=0,"",MEDIAN(D1262:S1262))</f>
        <v/>
      </c>
      <c r="V1262" s="8">
        <f>IF(COUNT(D1262:S1262)=0,"",MAX(D1262:S1262))</f>
        <v/>
      </c>
      <c r="W1262" s="9">
        <f>IF(OR(T1262="",T1262=0),"",(V1262-T1262)/T1262)</f>
        <v/>
      </c>
      <c r="X1262" s="7">
        <f>IF(COUNT(D1262:S1262)=0,"",INDEX($D$1:$S$1,MATCH(MIN(D1262:S1262),D1262:S1262,0)))</f>
        <v/>
      </c>
      <c r="Y1262" s="8" t="n">
        <v>2439</v>
      </c>
      <c r="Z1262" s="10" t="n">
        <v>1</v>
      </c>
    </row>
    <row r="1263">
      <c r="A1263" s="7" t="inlineStr">
        <is>
          <t>MAT-27-002</t>
        </is>
      </c>
      <c r="B1263" s="4" t="inlineStr">
        <is>
          <t>Barra de seguridad, curva</t>
        </is>
      </c>
      <c r="C1263" s="7" t="inlineStr">
        <is>
          <t>unidad</t>
        </is>
      </c>
      <c r="D1263" s="8" t="n">
        <v>1416.67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>
        <f>IF(COUNT(D1263:S1263)=0,"",MIN(D1263:S1263))</f>
        <v/>
      </c>
      <c r="U1263" s="8">
        <f>IF(COUNT(D1263:S1263)=0,"",MEDIAN(D1263:S1263))</f>
        <v/>
      </c>
      <c r="V1263" s="8">
        <f>IF(COUNT(D1263:S1263)=0,"",MAX(D1263:S1263))</f>
        <v/>
      </c>
      <c r="W1263" s="9">
        <f>IF(OR(T1263="",T1263=0),"",(V1263-T1263)/T1263)</f>
        <v/>
      </c>
      <c r="X1263" s="7">
        <f>IF(COUNT(D1263:S1263)=0,"",INDEX($D$1:$S$1,MATCH(MIN(D1263:S1263),D1263:S1263,0)))</f>
        <v/>
      </c>
      <c r="Y1263" s="8" t="n">
        <v>1416.67</v>
      </c>
      <c r="Z1263" s="10" t="n">
        <v>1</v>
      </c>
    </row>
    <row r="1264">
      <c r="A1264" s="7" t="inlineStr">
        <is>
          <t>MAT-27-003</t>
        </is>
      </c>
      <c r="B1264" s="4" t="inlineStr">
        <is>
          <t>Barra de seguridad, en L, 30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1200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>
        <f>IF(COUNT(D1264:S1264)=0,"",MIN(D1264:S1264))</f>
        <v/>
      </c>
      <c r="U1264" s="8">
        <f>IF(COUNT(D1264:S1264)=0,"",MEDIAN(D1264:S1264))</f>
        <v/>
      </c>
      <c r="V1264" s="8">
        <f>IF(COUNT(D1264:S1264)=0,"",MAX(D1264:S1264))</f>
        <v/>
      </c>
      <c r="W1264" s="9">
        <f>IF(OR(T1264="",T1264=0),"",(V1264-T1264)/T1264)</f>
        <v/>
      </c>
      <c r="X1264" s="7">
        <f>IF(COUNT(D1264:S1264)=0,"",INDEX($D$1:$S$1,MATCH(MIN(D1264:S1264),D1264:S1264,0)))</f>
        <v/>
      </c>
      <c r="Y1264" s="8" t="n">
        <v>1200</v>
      </c>
      <c r="Z1264" s="10" t="n">
        <v>1</v>
      </c>
    </row>
    <row r="1265">
      <c r="A1265" s="7" t="inlineStr">
        <is>
          <t>MAT-27-004</t>
        </is>
      </c>
      <c r="B1265" s="4" t="inlineStr">
        <is>
          <t>Barra de seguridad, en L, 45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925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>
        <f>IF(COUNT(D1265:S1265)=0,"",MIN(D1265:S1265))</f>
        <v/>
      </c>
      <c r="U1265" s="8">
        <f>IF(COUNT(D1265:S1265)=0,"",MEDIAN(D1265:S1265))</f>
        <v/>
      </c>
      <c r="V1265" s="8">
        <f>IF(COUNT(D1265:S1265)=0,"",MAX(D1265:S1265))</f>
        <v/>
      </c>
      <c r="W1265" s="9">
        <f>IF(OR(T1265="",T1265=0),"",(V1265-T1265)/T1265)</f>
        <v/>
      </c>
      <c r="X1265" s="7">
        <f>IF(COUNT(D1265:S1265)=0,"",INDEX($D$1:$S$1,MATCH(MIN(D1265:S1265),D1265:S1265,0)))</f>
        <v/>
      </c>
      <c r="Y1265" s="8" t="n">
        <v>925</v>
      </c>
      <c r="Z1265" s="10" t="n">
        <v>1</v>
      </c>
    </row>
    <row r="1266">
      <c r="A1266" s="7" t="inlineStr">
        <is>
          <t>MAT-27-005</t>
        </is>
      </c>
      <c r="B1266" s="4" t="inlineStr">
        <is>
          <t>Barra de seguridad, en L, 55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2619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>
        <f>IF(COUNT(D1266:S1266)=0,"",MIN(D1266:S1266))</f>
        <v/>
      </c>
      <c r="U1266" s="8">
        <f>IF(COUNT(D1266:S1266)=0,"",MEDIAN(D1266:S1266))</f>
        <v/>
      </c>
      <c r="V1266" s="8">
        <f>IF(COUNT(D1266:S1266)=0,"",MAX(D1266:S1266))</f>
        <v/>
      </c>
      <c r="W1266" s="9">
        <f>IF(OR(T1266="",T1266=0),"",(V1266-T1266)/T1266)</f>
        <v/>
      </c>
      <c r="X1266" s="7">
        <f>IF(COUNT(D1266:S1266)=0,"",INDEX($D$1:$S$1,MATCH(MIN(D1266:S1266),D1266:S1266,0)))</f>
        <v/>
      </c>
      <c r="Y1266" s="8" t="n">
        <v>2619</v>
      </c>
      <c r="Z1266" s="10" t="n">
        <v>1</v>
      </c>
    </row>
    <row r="1267">
      <c r="A1267" s="7" t="inlineStr">
        <is>
          <t>MAT-27-006</t>
        </is>
      </c>
      <c r="B1267" s="4" t="inlineStr">
        <is>
          <t>Barra de seguridad, en L, 75 cm</t>
        </is>
      </c>
      <c r="C1267" s="7" t="inlineStr">
        <is>
          <t>unidad</t>
        </is>
      </c>
      <c r="D1267" s="8" t="n"/>
      <c r="E1267" s="8" t="n"/>
      <c r="F1267" s="8" t="n">
        <v>4786.74</v>
      </c>
      <c r="G1267" s="8" t="n"/>
      <c r="H1267" s="8" t="n"/>
      <c r="I1267" s="8" t="n"/>
      <c r="J1267" s="8" t="n"/>
      <c r="K1267" s="8" t="n">
        <v>6294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>
        <f>IF(COUNT(D1267:S1267)=0,"",MIN(D1267:S1267))</f>
        <v/>
      </c>
      <c r="U1267" s="8">
        <f>IF(COUNT(D1267:S1267)=0,"",MEDIAN(D1267:S1267))</f>
        <v/>
      </c>
      <c r="V1267" s="8">
        <f>IF(COUNT(D1267:S1267)=0,"",MAX(D1267:S1267))</f>
        <v/>
      </c>
      <c r="W1267" s="9">
        <f>IF(OR(T1267="",T1267=0),"",(V1267-T1267)/T1267)</f>
        <v/>
      </c>
      <c r="X1267" s="7">
        <f>IF(COUNT(D1267:S1267)=0,"",INDEX($D$1:$S$1,MATCH(MIN(D1267:S1267),D1267:S1267,0)))</f>
        <v/>
      </c>
      <c r="Y1267" s="8" t="n">
        <v>6294</v>
      </c>
      <c r="Z1267" s="10" t="n">
        <v>2</v>
      </c>
    </row>
    <row r="1268">
      <c r="A1268" s="7" t="inlineStr">
        <is>
          <t>MAT-27-007</t>
        </is>
      </c>
      <c r="B1268" s="4" t="inlineStr">
        <is>
          <t>Barra de seguridad, recta</t>
        </is>
      </c>
      <c r="C1268" s="7" t="inlineStr">
        <is>
          <t>unidad</t>
        </is>
      </c>
      <c r="D1268" s="8" t="n">
        <v>3022.13</v>
      </c>
      <c r="E1268" s="8" t="n"/>
      <c r="F1268" s="8" t="n"/>
      <c r="G1268" s="8" t="n"/>
      <c r="H1268" s="8" t="n"/>
      <c r="I1268" s="8" t="n">
        <v>1615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>
        <f>IF(COUNT(D1268:S1268)=0,"",MIN(D1268:S1268))</f>
        <v/>
      </c>
      <c r="U1268" s="8">
        <f>IF(COUNT(D1268:S1268)=0,"",MEDIAN(D1268:S1268))</f>
        <v/>
      </c>
      <c r="V1268" s="8">
        <f>IF(COUNT(D1268:S1268)=0,"",MAX(D1268:S1268))</f>
        <v/>
      </c>
      <c r="W1268" s="9">
        <f>IF(OR(T1268="",T1268=0),"",(V1268-T1268)/T1268)</f>
        <v/>
      </c>
      <c r="X1268" s="7">
        <f>IF(COUNT(D1268:S1268)=0,"",INDEX($D$1:$S$1,MATCH(MIN(D1268:S1268),D1268:S1268,0)))</f>
        <v/>
      </c>
      <c r="Y1268" s="8" t="n">
        <v>1940</v>
      </c>
      <c r="Z1268" s="10" t="n">
        <v>2</v>
      </c>
    </row>
    <row r="1269">
      <c r="A1269" s="7" t="inlineStr">
        <is>
          <t>MAT-27-008</t>
        </is>
      </c>
      <c r="B1269" s="4" t="inlineStr">
        <is>
          <t>Barra de seguridad, recta, 105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2750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>
        <f>IF(COUNT(D1269:S1269)=0,"",MIN(D1269:S1269))</f>
        <v/>
      </c>
      <c r="U1269" s="8">
        <f>IF(COUNT(D1269:S1269)=0,"",MEDIAN(D1269:S1269))</f>
        <v/>
      </c>
      <c r="V1269" s="8">
        <f>IF(COUNT(D1269:S1269)=0,"",MAX(D1269:S1269))</f>
        <v/>
      </c>
      <c r="W1269" s="9">
        <f>IF(OR(T1269="",T1269=0),"",(V1269-T1269)/T1269)</f>
        <v/>
      </c>
      <c r="X1269" s="7">
        <f>IF(COUNT(D1269:S1269)=0,"",INDEX($D$1:$S$1,MATCH(MIN(D1269:S1269),D1269:S1269,0)))</f>
        <v/>
      </c>
      <c r="Y1269" s="8" t="n">
        <v>2750</v>
      </c>
      <c r="Z1269" s="10" t="n">
        <v>1</v>
      </c>
    </row>
    <row r="1270">
      <c r="A1270" s="7" t="inlineStr">
        <is>
          <t>MAT-27-009</t>
        </is>
      </c>
      <c r="B1270" s="4" t="inlineStr">
        <is>
          <t>Barra de seguridad, recta, 120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3092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>
        <f>IF(COUNT(D1270:S1270)=0,"",MIN(D1270:S1270))</f>
        <v/>
      </c>
      <c r="U1270" s="8">
        <f>IF(COUNT(D1270:S1270)=0,"",MEDIAN(D1270:S1270))</f>
        <v/>
      </c>
      <c r="V1270" s="8">
        <f>IF(COUNT(D1270:S1270)=0,"",MAX(D1270:S1270))</f>
        <v/>
      </c>
      <c r="W1270" s="9">
        <f>IF(OR(T1270="",T1270=0),"",(V1270-T1270)/T1270)</f>
        <v/>
      </c>
      <c r="X1270" s="7">
        <f>IF(COUNT(D1270:S1270)=0,"",INDEX($D$1:$S$1,MATCH(MIN(D1270:S1270),D1270:S1270,0)))</f>
        <v/>
      </c>
      <c r="Y1270" s="8" t="n">
        <v>3092</v>
      </c>
      <c r="Z1270" s="10" t="n">
        <v>1</v>
      </c>
    </row>
    <row r="1271">
      <c r="A1271" s="7" t="inlineStr">
        <is>
          <t>MAT-27-010</t>
        </is>
      </c>
      <c r="B1271" s="4" t="inlineStr">
        <is>
          <t>Barra de seguridad, recta, 30 cm</t>
        </is>
      </c>
      <c r="C1271" s="7" t="inlineStr">
        <is>
          <t>unidad</t>
        </is>
      </c>
      <c r="D1271" s="8" t="n">
        <v>3007.09</v>
      </c>
      <c r="E1271" s="8" t="n"/>
      <c r="F1271" s="8" t="n">
        <v>1530</v>
      </c>
      <c r="G1271" s="8" t="n"/>
      <c r="H1271" s="8" t="n"/>
      <c r="I1271" s="8" t="n"/>
      <c r="J1271" s="8" t="n"/>
      <c r="K1271" s="8" t="n">
        <v>1200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>
        <f>IF(COUNT(D1271:S1271)=0,"",MIN(D1271:S1271))</f>
        <v/>
      </c>
      <c r="U1271" s="8">
        <f>IF(COUNT(D1271:S1271)=0,"",MEDIAN(D1271:S1271))</f>
        <v/>
      </c>
      <c r="V1271" s="8">
        <f>IF(COUNT(D1271:S1271)=0,"",MAX(D1271:S1271))</f>
        <v/>
      </c>
      <c r="W1271" s="9">
        <f>IF(OR(T1271="",T1271=0),"",(V1271-T1271)/T1271)</f>
        <v/>
      </c>
      <c r="X1271" s="7">
        <f>IF(COUNT(D1271:S1271)=0,"",INDEX($D$1:$S$1,MATCH(MIN(D1271:S1271),D1271:S1271,0)))</f>
        <v/>
      </c>
      <c r="Y1271" s="8" t="n">
        <v>1805.4</v>
      </c>
      <c r="Z1271" s="10" t="n">
        <v>3</v>
      </c>
    </row>
    <row r="1272">
      <c r="A1272" s="7" t="inlineStr">
        <is>
          <t>MAT-27-011</t>
        </is>
      </c>
      <c r="B1272" s="4" t="inlineStr">
        <is>
          <t>Barra de seguridad, recta, 40 cm</t>
        </is>
      </c>
      <c r="C1272" s="7" t="inlineStr">
        <is>
          <t>unidad</t>
        </is>
      </c>
      <c r="D1272" s="8" t="n">
        <v>1176.96</v>
      </c>
      <c r="E1272" s="8" t="n"/>
      <c r="F1272" s="8" t="n"/>
      <c r="G1272" s="8" t="n"/>
      <c r="H1272" s="8" t="n"/>
      <c r="I1272" s="8" t="n"/>
      <c r="J1272" s="8" t="n"/>
      <c r="K1272" s="8" t="n">
        <v>675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>
        <f>IF(COUNT(D1272:S1272)=0,"",MIN(D1272:S1272))</f>
        <v/>
      </c>
      <c r="U1272" s="8">
        <f>IF(COUNT(D1272:S1272)=0,"",MEDIAN(D1272:S1272))</f>
        <v/>
      </c>
      <c r="V1272" s="8">
        <f>IF(COUNT(D1272:S1272)=0,"",MAX(D1272:S1272))</f>
        <v/>
      </c>
      <c r="W1272" s="9">
        <f>IF(OR(T1272="",T1272=0),"",(V1272-T1272)/T1272)</f>
        <v/>
      </c>
      <c r="X1272" s="7">
        <f>IF(COUNT(D1272:S1272)=0,"",INDEX($D$1:$S$1,MATCH(MIN(D1272:S1272),D1272:S1272,0)))</f>
        <v/>
      </c>
      <c r="Y1272" s="8" t="n">
        <v>925.98</v>
      </c>
      <c r="Z1272" s="10" t="n">
        <v>2</v>
      </c>
    </row>
    <row r="1273">
      <c r="A1273" s="7" t="inlineStr">
        <is>
          <t>MAT-27-012</t>
        </is>
      </c>
      <c r="B1273" s="4" t="inlineStr">
        <is>
          <t>Barra de seguridad, recta, 45 cm</t>
        </is>
      </c>
      <c r="C1273" s="7" t="inlineStr">
        <is>
          <t>unidad</t>
        </is>
      </c>
      <c r="D1273" s="8" t="n"/>
      <c r="E1273" s="8" t="n"/>
      <c r="F1273" s="8" t="n"/>
      <c r="G1273" s="8" t="n"/>
      <c r="H1273" s="8" t="n"/>
      <c r="I1273" s="8" t="n"/>
      <c r="J1273" s="8" t="n"/>
      <c r="K1273" s="8" t="n">
        <v>1595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>
        <f>IF(COUNT(D1273:S1273)=0,"",MIN(D1273:S1273))</f>
        <v/>
      </c>
      <c r="U1273" s="8">
        <f>IF(COUNT(D1273:S1273)=0,"",MEDIAN(D1273:S1273))</f>
        <v/>
      </c>
      <c r="V1273" s="8">
        <f>IF(COUNT(D1273:S1273)=0,"",MAX(D1273:S1273))</f>
        <v/>
      </c>
      <c r="W1273" s="9">
        <f>IF(OR(T1273="",T1273=0),"",(V1273-T1273)/T1273)</f>
        <v/>
      </c>
      <c r="X1273" s="7">
        <f>IF(COUNT(D1273:S1273)=0,"",INDEX($D$1:$S$1,MATCH(MIN(D1273:S1273),D1273:S1273,0)))</f>
        <v/>
      </c>
      <c r="Y1273" s="8" t="n">
        <v>1665</v>
      </c>
      <c r="Z1273" s="10" t="n">
        <v>1</v>
      </c>
    </row>
    <row r="1274">
      <c r="A1274" s="7" t="inlineStr">
        <is>
          <t>MAT-27-013</t>
        </is>
      </c>
      <c r="B1274" s="4" t="inlineStr">
        <is>
          <t>Barra de seguridad, recta, 50 cm</t>
        </is>
      </c>
      <c r="C1274" s="7" t="inlineStr">
        <is>
          <t>unidad</t>
        </is>
      </c>
      <c r="D1274" s="8" t="n">
        <v>1522.47</v>
      </c>
      <c r="E1274" s="8" t="n"/>
      <c r="F1274" s="8" t="n"/>
      <c r="G1274" s="8" t="n"/>
      <c r="H1274" s="8" t="n"/>
      <c r="I1274" s="8" t="n"/>
      <c r="J1274" s="8" t="n"/>
      <c r="K1274" s="8" t="n">
        <v>745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>
        <f>IF(COUNT(D1274:S1274)=0,"",MIN(D1274:S1274))</f>
        <v/>
      </c>
      <c r="U1274" s="8">
        <f>IF(COUNT(D1274:S1274)=0,"",MEDIAN(D1274:S1274))</f>
        <v/>
      </c>
      <c r="V1274" s="8">
        <f>IF(COUNT(D1274:S1274)=0,"",MAX(D1274:S1274))</f>
        <v/>
      </c>
      <c r="W1274" s="9">
        <f>IF(OR(T1274="",T1274=0),"",(V1274-T1274)/T1274)</f>
        <v/>
      </c>
      <c r="X1274" s="7">
        <f>IF(COUNT(D1274:S1274)=0,"",INDEX($D$1:$S$1,MATCH(MIN(D1274:S1274),D1274:S1274,0)))</f>
        <v/>
      </c>
      <c r="Y1274" s="8" t="n">
        <v>1195</v>
      </c>
      <c r="Z1274" s="10" t="n">
        <v>2</v>
      </c>
    </row>
    <row r="1275">
      <c r="A1275" s="7" t="inlineStr">
        <is>
          <t>MAT-27-014</t>
        </is>
      </c>
      <c r="B1275" s="4" t="inlineStr">
        <is>
          <t>Barra de seguridad, recta, 60 cm</t>
        </is>
      </c>
      <c r="C1275" s="7" t="inlineStr">
        <is>
          <t>unidad</t>
        </is>
      </c>
      <c r="D1275" s="8" t="n">
        <v>3297.37</v>
      </c>
      <c r="E1275" s="8" t="n"/>
      <c r="F1275" s="8" t="n"/>
      <c r="G1275" s="8" t="n"/>
      <c r="H1275" s="8" t="n"/>
      <c r="I1275" s="8" t="n"/>
      <c r="J1275" s="8" t="n"/>
      <c r="K1275" s="8" t="n">
        <v>1869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>
        <f>IF(COUNT(D1275:S1275)=0,"",MIN(D1275:S1275))</f>
        <v/>
      </c>
      <c r="U1275" s="8">
        <f>IF(COUNT(D1275:S1275)=0,"",MEDIAN(D1275:S1275))</f>
        <v/>
      </c>
      <c r="V1275" s="8">
        <f>IF(COUNT(D1275:S1275)=0,"",MAX(D1275:S1275))</f>
        <v/>
      </c>
      <c r="W1275" s="9">
        <f>IF(OR(T1275="",T1275=0),"",(V1275-T1275)/T1275)</f>
        <v/>
      </c>
      <c r="X1275" s="7">
        <f>IF(COUNT(D1275:S1275)=0,"",INDEX($D$1:$S$1,MATCH(MIN(D1275:S1275),D1275:S1275,0)))</f>
        <v/>
      </c>
      <c r="Y1275" s="8" t="n">
        <v>1995</v>
      </c>
      <c r="Z1275" s="10" t="n">
        <v>2</v>
      </c>
    </row>
    <row r="1276">
      <c r="A1276" s="7" t="inlineStr">
        <is>
          <t>MAT-27-015</t>
        </is>
      </c>
      <c r="B1276" s="4" t="inlineStr">
        <is>
          <t>Barra de seguridad, recta, 70 cm</t>
        </is>
      </c>
      <c r="C1276" s="7" t="inlineStr">
        <is>
          <t>unidad</t>
        </is>
      </c>
      <c r="D1276" s="8" t="n">
        <v>3271.81</v>
      </c>
      <c r="E1276" s="8" t="n"/>
      <c r="F1276" s="8" t="n"/>
      <c r="G1276" s="8" t="n"/>
      <c r="H1276" s="8" t="n"/>
      <c r="I1276" s="8" t="n"/>
      <c r="J1276" s="8" t="n"/>
      <c r="K1276" s="8" t="n">
        <v>4695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>
        <f>IF(COUNT(D1276:S1276)=0,"",MIN(D1276:S1276))</f>
        <v/>
      </c>
      <c r="U1276" s="8">
        <f>IF(COUNT(D1276:S1276)=0,"",MEDIAN(D1276:S1276))</f>
        <v/>
      </c>
      <c r="V1276" s="8">
        <f>IF(COUNT(D1276:S1276)=0,"",MAX(D1276:S1276))</f>
        <v/>
      </c>
      <c r="W1276" s="9">
        <f>IF(OR(T1276="",T1276=0),"",(V1276-T1276)/T1276)</f>
        <v/>
      </c>
      <c r="X1276" s="7">
        <f>IF(COUNT(D1276:S1276)=0,"",INDEX($D$1:$S$1,MATCH(MIN(D1276:S1276),D1276:S1276,0)))</f>
        <v/>
      </c>
      <c r="Y1276" s="8" t="n">
        <v>3983.41</v>
      </c>
      <c r="Z1276" s="10" t="n">
        <v>2</v>
      </c>
    </row>
    <row r="1277">
      <c r="A1277" s="7" t="inlineStr">
        <is>
          <t>MAT-27-016</t>
        </is>
      </c>
      <c r="B1277" s="4" t="inlineStr">
        <is>
          <t>Barra de seguridad, recta, 75 cm</t>
        </is>
      </c>
      <c r="C1277" s="7" t="inlineStr">
        <is>
          <t>unidad</t>
        </is>
      </c>
      <c r="D1277" s="8" t="n"/>
      <c r="E1277" s="8" t="n"/>
      <c r="F1277" s="8" t="n"/>
      <c r="G1277" s="8" t="n"/>
      <c r="H1277" s="8" t="n"/>
      <c r="I1277" s="8" t="n"/>
      <c r="J1277" s="8" t="n"/>
      <c r="K1277" s="8" t="n">
        <v>2185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>
        <f>IF(COUNT(D1277:S1277)=0,"",MIN(D1277:S1277))</f>
        <v/>
      </c>
      <c r="U1277" s="8">
        <f>IF(COUNT(D1277:S1277)=0,"",MEDIAN(D1277:S1277))</f>
        <v/>
      </c>
      <c r="V1277" s="8">
        <f>IF(COUNT(D1277:S1277)=0,"",MAX(D1277:S1277))</f>
        <v/>
      </c>
      <c r="W1277" s="9">
        <f>IF(OR(T1277="",T1277=0),"",(V1277-T1277)/T1277)</f>
        <v/>
      </c>
      <c r="X1277" s="7">
        <f>IF(COUNT(D1277:S1277)=0,"",INDEX($D$1:$S$1,MATCH(MIN(D1277:S1277),D1277:S1277,0)))</f>
        <v/>
      </c>
      <c r="Y1277" s="8" t="n">
        <v>2185</v>
      </c>
      <c r="Z1277" s="10" t="n">
        <v>1</v>
      </c>
    </row>
    <row r="1278">
      <c r="A1278" s="7" t="inlineStr">
        <is>
          <t>MAT-27-017</t>
        </is>
      </c>
      <c r="B1278" s="4" t="inlineStr">
        <is>
          <t>Barra de seguridad, recta, 90 cm</t>
        </is>
      </c>
      <c r="C1278" s="7" t="inlineStr">
        <is>
          <t>unidad</t>
        </is>
      </c>
      <c r="D1278" s="8" t="n">
        <v>6226.47</v>
      </c>
      <c r="E1278" s="8" t="n"/>
      <c r="F1278" s="8" t="n"/>
      <c r="G1278" s="8" t="n"/>
      <c r="H1278" s="8" t="n"/>
      <c r="I1278" s="8" t="n"/>
      <c r="J1278" s="8" t="n"/>
      <c r="K1278" s="8" t="n">
        <v>2395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>
        <f>IF(COUNT(D1278:S1278)=0,"",MIN(D1278:S1278))</f>
        <v/>
      </c>
      <c r="U1278" s="8">
        <f>IF(COUNT(D1278:S1278)=0,"",MEDIAN(D1278:S1278))</f>
        <v/>
      </c>
      <c r="V1278" s="8">
        <f>IF(COUNT(D1278:S1278)=0,"",MAX(D1278:S1278))</f>
        <v/>
      </c>
      <c r="W1278" s="9">
        <f>IF(OR(T1278="",T1278=0),"",(V1278-T1278)/T1278)</f>
        <v/>
      </c>
      <c r="X1278" s="7">
        <f>IF(COUNT(D1278:S1278)=0,"",INDEX($D$1:$S$1,MATCH(MIN(D1278:S1278),D1278:S1278,0)))</f>
        <v/>
      </c>
      <c r="Y1278" s="8" t="n">
        <v>2439</v>
      </c>
      <c r="Z1278" s="10" t="n">
        <v>2</v>
      </c>
    </row>
    <row r="1279">
      <c r="A1279" s="7" t="inlineStr">
        <is>
          <t>MAT-27-018</t>
        </is>
      </c>
      <c r="B1279" s="4" t="inlineStr">
        <is>
          <t>Juego de accesorios de baño</t>
        </is>
      </c>
      <c r="C1279" s="7" t="inlineStr">
        <is>
          <t>juego</t>
        </is>
      </c>
      <c r="D1279" s="8" t="n">
        <v>345.39</v>
      </c>
      <c r="E1279" s="8" t="n"/>
      <c r="F1279" s="8" t="n">
        <v>4992.44</v>
      </c>
      <c r="G1279" s="8" t="n"/>
      <c r="H1279" s="8" t="n"/>
      <c r="I1279" s="8" t="n">
        <v>345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>
        <f>IF(COUNT(D1279:S1279)=0,"",MIN(D1279:S1279))</f>
        <v/>
      </c>
      <c r="U1279" s="8">
        <f>IF(COUNT(D1279:S1279)=0,"",MEDIAN(D1279:S1279))</f>
        <v/>
      </c>
      <c r="V1279" s="8">
        <f>IF(COUNT(D1279:S1279)=0,"",MAX(D1279:S1279))</f>
        <v/>
      </c>
      <c r="W1279" s="9">
        <f>IF(OR(T1279="",T1279=0),"",(V1279-T1279)/T1279)</f>
        <v/>
      </c>
      <c r="X1279" s="7">
        <f>IF(COUNT(D1279:S1279)=0,"",INDEX($D$1:$S$1,MATCH(MIN(D1279:S1279),D1279:S1279,0)))</f>
        <v/>
      </c>
      <c r="Y1279" s="8" t="n">
        <v>2367.36</v>
      </c>
      <c r="Z1279" s="10" t="n">
        <v>3</v>
      </c>
    </row>
    <row r="1280">
      <c r="A1280" s="7" t="inlineStr">
        <is>
          <t>MAT-27-019</t>
        </is>
      </c>
      <c r="B1280" s="4" t="inlineStr">
        <is>
          <t>Juego de accesorios de baño, 3 piezas</t>
        </is>
      </c>
      <c r="C1280" s="7" t="inlineStr">
        <is>
          <t>juego</t>
        </is>
      </c>
      <c r="D1280" s="8" t="n">
        <v>1081.92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>
        <f>IF(COUNT(D1280:S1280)=0,"",MIN(D1280:S1280))</f>
        <v/>
      </c>
      <c r="U1280" s="8">
        <f>IF(COUNT(D1280:S1280)=0,"",MEDIAN(D1280:S1280))</f>
        <v/>
      </c>
      <c r="V1280" s="8">
        <f>IF(COUNT(D1280:S1280)=0,"",MAX(D1280:S1280))</f>
        <v/>
      </c>
      <c r="W1280" s="9">
        <f>IF(OR(T1280="",T1280=0),"",(V1280-T1280)/T1280)</f>
        <v/>
      </c>
      <c r="X1280" s="7">
        <f>IF(COUNT(D1280:S1280)=0,"",INDEX($D$1:$S$1,MATCH(MIN(D1280:S1280),D1280:S1280,0)))</f>
        <v/>
      </c>
      <c r="Y1280" s="8" t="n">
        <v>1673.59</v>
      </c>
      <c r="Z1280" s="10" t="n">
        <v>1</v>
      </c>
    </row>
    <row r="1281">
      <c r="A1281" s="7" t="inlineStr">
        <is>
          <t>MAT-27-020</t>
        </is>
      </c>
      <c r="B1281" s="4" t="inlineStr">
        <is>
          <t>Juego de accesorios de baño, 4 piezas</t>
        </is>
      </c>
      <c r="C1281" s="7" t="inlineStr">
        <is>
          <t>juego</t>
        </is>
      </c>
      <c r="D1281" s="8" t="n">
        <v>1605.2</v>
      </c>
      <c r="E1281" s="8" t="n"/>
      <c r="F1281" s="8" t="n"/>
      <c r="G1281" s="8" t="n"/>
      <c r="H1281" s="8" t="n"/>
      <c r="I1281" s="8" t="n"/>
      <c r="J1281" s="8" t="n"/>
      <c r="K1281" s="8" t="n">
        <v>2790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>
        <f>IF(COUNT(D1281:S1281)=0,"",MIN(D1281:S1281))</f>
        <v/>
      </c>
      <c r="U1281" s="8">
        <f>IF(COUNT(D1281:S1281)=0,"",MEDIAN(D1281:S1281))</f>
        <v/>
      </c>
      <c r="V1281" s="8">
        <f>IF(COUNT(D1281:S1281)=0,"",MAX(D1281:S1281))</f>
        <v/>
      </c>
      <c r="W1281" s="9">
        <f>IF(OR(T1281="",T1281=0),"",(V1281-T1281)/T1281)</f>
        <v/>
      </c>
      <c r="X1281" s="7">
        <f>IF(COUNT(D1281:S1281)=0,"",INDEX($D$1:$S$1,MATCH(MIN(D1281:S1281),D1281:S1281,0)))</f>
        <v/>
      </c>
      <c r="Y1281" s="8" t="n">
        <v>2927.39</v>
      </c>
      <c r="Z1281" s="10" t="n">
        <v>2</v>
      </c>
    </row>
    <row r="1282">
      <c r="A1282" s="7" t="inlineStr">
        <is>
          <t>MAT-27-021</t>
        </is>
      </c>
      <c r="B1282" s="4" t="inlineStr">
        <is>
          <t>Juego de accesorios de baño, 5 piezas</t>
        </is>
      </c>
      <c r="C1282" s="7" t="inlineStr">
        <is>
          <t>juego</t>
        </is>
      </c>
      <c r="D1282" s="8" t="n">
        <v>940.91</v>
      </c>
      <c r="E1282" s="8" t="n"/>
      <c r="F1282" s="8" t="n"/>
      <c r="G1282" s="8" t="n">
        <v>1139</v>
      </c>
      <c r="H1282" s="8" t="n"/>
      <c r="I1282" s="8" t="n"/>
      <c r="J1282" s="8" t="n"/>
      <c r="K1282" s="8" t="n">
        <v>394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>
        <f>IF(COUNT(D1282:S1282)=0,"",MIN(D1282:S1282))</f>
        <v/>
      </c>
      <c r="U1282" s="8">
        <f>IF(COUNT(D1282:S1282)=0,"",MEDIAN(D1282:S1282))</f>
        <v/>
      </c>
      <c r="V1282" s="8">
        <f>IF(COUNT(D1282:S1282)=0,"",MAX(D1282:S1282))</f>
        <v/>
      </c>
      <c r="W1282" s="9">
        <f>IF(OR(T1282="",T1282=0),"",(V1282-T1282)/T1282)</f>
        <v/>
      </c>
      <c r="X1282" s="7">
        <f>IF(COUNT(D1282:S1282)=0,"",INDEX($D$1:$S$1,MATCH(MIN(D1282:S1282),D1282:S1282,0)))</f>
        <v/>
      </c>
      <c r="Y1282" s="8" t="n">
        <v>1139</v>
      </c>
      <c r="Z1282" s="10" t="n">
        <v>3</v>
      </c>
    </row>
    <row r="1283">
      <c r="A1283" s="7" t="inlineStr">
        <is>
          <t>MAT-27-022</t>
        </is>
      </c>
      <c r="B1283" s="4" t="inlineStr">
        <is>
          <t>Juego de accesorios de baño, 6 piezas</t>
        </is>
      </c>
      <c r="C1283" s="7" t="inlineStr">
        <is>
          <t>juego</t>
        </is>
      </c>
      <c r="D1283" s="8" t="n">
        <v>1342.61</v>
      </c>
      <c r="E1283" s="8" t="n"/>
      <c r="F1283" s="8" t="n"/>
      <c r="G1283" s="8" t="n">
        <v>2306</v>
      </c>
      <c r="H1283" s="8" t="n"/>
      <c r="I1283" s="8" t="n"/>
      <c r="J1283" s="8" t="n"/>
      <c r="K1283" s="8" t="n">
        <v>1545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>
        <f>IF(COUNT(D1283:S1283)=0,"",MIN(D1283:S1283))</f>
        <v/>
      </c>
      <c r="U1283" s="8">
        <f>IF(COUNT(D1283:S1283)=0,"",MEDIAN(D1283:S1283))</f>
        <v/>
      </c>
      <c r="V1283" s="8">
        <f>IF(COUNT(D1283:S1283)=0,"",MAX(D1283:S1283))</f>
        <v/>
      </c>
      <c r="W1283" s="9">
        <f>IF(OR(T1283="",T1283=0),"",(V1283-T1283)/T1283)</f>
        <v/>
      </c>
      <c r="X1283" s="7">
        <f>IF(COUNT(D1283:S1283)=0,"",INDEX($D$1:$S$1,MATCH(MIN(D1283:S1283),D1283:S1283,0)))</f>
        <v/>
      </c>
      <c r="Y1283" s="8" t="n">
        <v>3019.72</v>
      </c>
      <c r="Z1283" s="10" t="n">
        <v>3</v>
      </c>
    </row>
    <row r="1284">
      <c r="A1284" s="7" t="inlineStr">
        <is>
          <t>MAT-27-023</t>
        </is>
      </c>
      <c r="B1284" s="4" t="inlineStr">
        <is>
          <t>Secador de manos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3335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>
        <f>IF(COUNT(D1284:S1284)=0,"",MIN(D1284:S1284))</f>
        <v/>
      </c>
      <c r="U1284" s="8">
        <f>IF(COUNT(D1284:S1284)=0,"",MEDIAN(D1284:S1284))</f>
        <v/>
      </c>
      <c r="V1284" s="8">
        <f>IF(COUNT(D1284:S1284)=0,"",MAX(D1284:S1284))</f>
        <v/>
      </c>
      <c r="W1284" s="9">
        <f>IF(OR(T1284="",T1284=0),"",(V1284-T1284)/T1284)</f>
        <v/>
      </c>
      <c r="X1284" s="7">
        <f>IF(COUNT(D1284:S1284)=0,"",INDEX($D$1:$S$1,MATCH(MIN(D1284:S1284),D1284:S1284,0)))</f>
        <v/>
      </c>
      <c r="Y1284" s="8" t="n">
        <v>3467.5</v>
      </c>
      <c r="Z1284" s="10" t="n">
        <v>1</v>
      </c>
    </row>
    <row r="1285">
      <c r="A1285" s="7" t="inlineStr">
        <is>
          <t>MAT-27-024</t>
        </is>
      </c>
      <c r="B1285" s="4" t="inlineStr">
        <is>
          <t>Secador de manos, de botón</t>
        </is>
      </c>
      <c r="C1285" s="7" t="inlineStr">
        <is>
          <t>unidad</t>
        </is>
      </c>
      <c r="D1285" s="8" t="n">
        <v>16368.74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>
        <f>IF(COUNT(D1285:S1285)=0,"",MIN(D1285:S1285))</f>
        <v/>
      </c>
      <c r="U1285" s="8">
        <f>IF(COUNT(D1285:S1285)=0,"",MEDIAN(D1285:S1285))</f>
        <v/>
      </c>
      <c r="V1285" s="8">
        <f>IF(COUNT(D1285:S1285)=0,"",MAX(D1285:S1285))</f>
        <v/>
      </c>
      <c r="W1285" s="9">
        <f>IF(OR(T1285="",T1285=0),"",(V1285-T1285)/T1285)</f>
        <v/>
      </c>
      <c r="X1285" s="7">
        <f>IF(COUNT(D1285:S1285)=0,"",INDEX($D$1:$S$1,MATCH(MIN(D1285:S1285),D1285:S1285,0)))</f>
        <v/>
      </c>
      <c r="Y1285" s="8" t="n">
        <v>16368.74</v>
      </c>
      <c r="Z1285" s="10" t="n">
        <v>1</v>
      </c>
    </row>
    <row r="1286">
      <c r="A1286" s="7" t="inlineStr">
        <is>
          <t>MAT-27-025</t>
        </is>
      </c>
      <c r="B1286" s="4" t="inlineStr">
        <is>
          <t>Secador de manos, con sensor</t>
        </is>
      </c>
      <c r="C1286" s="7" t="inlineStr">
        <is>
          <t>unidad</t>
        </is>
      </c>
      <c r="D1286" s="8" t="n">
        <v>18390.47</v>
      </c>
      <c r="E1286" s="8" t="n"/>
      <c r="F1286" s="8" t="n"/>
      <c r="G1286" s="8" t="n"/>
      <c r="H1286" s="8" t="n"/>
      <c r="I1286" s="8" t="n">
        <v>16755</v>
      </c>
      <c r="J1286" s="8" t="n"/>
      <c r="K1286" s="8" t="n">
        <v>12495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>
        <f>IF(COUNT(D1286:S1286)=0,"",MIN(D1286:S1286))</f>
        <v/>
      </c>
      <c r="U1286" s="8">
        <f>IF(COUNT(D1286:S1286)=0,"",MEDIAN(D1286:S1286))</f>
        <v/>
      </c>
      <c r="V1286" s="8">
        <f>IF(COUNT(D1286:S1286)=0,"",MAX(D1286:S1286))</f>
        <v/>
      </c>
      <c r="W1286" s="9">
        <f>IF(OR(T1286="",T1286=0),"",(V1286-T1286)/T1286)</f>
        <v/>
      </c>
      <c r="X1286" s="7">
        <f>IF(COUNT(D1286:S1286)=0,"",INDEX($D$1:$S$1,MATCH(MIN(D1286:S1286),D1286:S1286,0)))</f>
        <v/>
      </c>
      <c r="Y1286" s="8" t="n">
        <v>16755</v>
      </c>
      <c r="Z1286" s="10" t="n">
        <v>3</v>
      </c>
    </row>
    <row r="1287">
      <c r="A1287" s="7" t="inlineStr">
        <is>
          <t>MAT-27-026</t>
        </is>
      </c>
      <c r="B1287" s="4" t="inlineStr">
        <is>
          <t>Secador de manos, institucional</t>
        </is>
      </c>
      <c r="C1287" s="7" t="inlineStr">
        <is>
          <t>unidad</t>
        </is>
      </c>
      <c r="D1287" s="8" t="n">
        <v>27487.14</v>
      </c>
      <c r="E1287" s="8" t="n"/>
      <c r="F1287" s="8" t="n">
        <v>33447.06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>
        <f>IF(COUNT(D1287:S1287)=0,"",MIN(D1287:S1287))</f>
        <v/>
      </c>
      <c r="U1287" s="8">
        <f>IF(COUNT(D1287:S1287)=0,"",MEDIAN(D1287:S1287))</f>
        <v/>
      </c>
      <c r="V1287" s="8">
        <f>IF(COUNT(D1287:S1287)=0,"",MAX(D1287:S1287))</f>
        <v/>
      </c>
      <c r="W1287" s="9">
        <f>IF(OR(T1287="",T1287=0),"",(V1287-T1287)/T1287)</f>
        <v/>
      </c>
      <c r="X1287" s="7">
        <f>IF(COUNT(D1287:S1287)=0,"",INDEX($D$1:$S$1,MATCH(MIN(D1287:S1287),D1287:S1287,0)))</f>
        <v/>
      </c>
      <c r="Y1287" s="8" t="n">
        <v>33477.34</v>
      </c>
      <c r="Z1287" s="10" t="n">
        <v>2</v>
      </c>
    </row>
    <row r="1288">
      <c r="A1288" s="7" t="inlineStr">
        <is>
          <t>MAT-27-027</t>
        </is>
      </c>
      <c r="B1288" s="4" t="inlineStr">
        <is>
          <t>Secador de manos, institucional, con sensor</t>
        </is>
      </c>
      <c r="C1288" s="7" t="inlineStr">
        <is>
          <t>unidad</t>
        </is>
      </c>
      <c r="D1288" s="8" t="n">
        <v>32765.78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>
        <f>IF(COUNT(D1288:S1288)=0,"",MIN(D1288:S1288))</f>
        <v/>
      </c>
      <c r="U1288" s="8">
        <f>IF(COUNT(D1288:S1288)=0,"",MEDIAN(D1288:S1288))</f>
        <v/>
      </c>
      <c r="V1288" s="8">
        <f>IF(COUNT(D1288:S1288)=0,"",MAX(D1288:S1288))</f>
        <v/>
      </c>
      <c r="W1288" s="9">
        <f>IF(OR(T1288="",T1288=0),"",(V1288-T1288)/T1288)</f>
        <v/>
      </c>
      <c r="X1288" s="7">
        <f>IF(COUNT(D1288:S1288)=0,"",INDEX($D$1:$S$1,MATCH(MIN(D1288:S1288),D1288:S1288,0)))</f>
        <v/>
      </c>
      <c r="Y1288" s="8" t="n">
        <v>32765.78</v>
      </c>
      <c r="Z1288" s="10" t="n">
        <v>1</v>
      </c>
    </row>
    <row r="1289">
      <c r="A1289" s="7" t="inlineStr">
        <is>
          <t>MAT-27-028</t>
        </is>
      </c>
      <c r="B1289" s="4" t="inlineStr">
        <is>
          <t>Dispensador de jabón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>
        <v>899</v>
      </c>
      <c r="J1289" s="8" t="n"/>
      <c r="K1289" s="8" t="n">
        <v>156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>
        <f>IF(COUNT(D1289:S1289)=0,"",MIN(D1289:S1289))</f>
        <v/>
      </c>
      <c r="U1289" s="8">
        <f>IF(COUNT(D1289:S1289)=0,"",MEDIAN(D1289:S1289))</f>
        <v/>
      </c>
      <c r="V1289" s="8">
        <f>IF(COUNT(D1289:S1289)=0,"",MAX(D1289:S1289))</f>
        <v/>
      </c>
      <c r="W1289" s="9">
        <f>IF(OR(T1289="",T1289=0),"",(V1289-T1289)/T1289)</f>
        <v/>
      </c>
      <c r="X1289" s="7">
        <f>IF(COUNT(D1289:S1289)=0,"",INDEX($D$1:$S$1,MATCH(MIN(D1289:S1289),D1289:S1289,0)))</f>
        <v/>
      </c>
      <c r="Y1289" s="8" t="n">
        <v>672</v>
      </c>
      <c r="Z1289" s="10" t="n">
        <v>2</v>
      </c>
    </row>
    <row r="1290">
      <c r="A1290" s="7" t="inlineStr">
        <is>
          <t>MAT-27-029</t>
        </is>
      </c>
      <c r="B1290" s="4" t="inlineStr">
        <is>
          <t>Dispensador de jabón, con sensor</t>
        </is>
      </c>
      <c r="C1290" s="7" t="inlineStr">
        <is>
          <t>unidad</t>
        </is>
      </c>
      <c r="D1290" s="8" t="n"/>
      <c r="E1290" s="8" t="n"/>
      <c r="F1290" s="8" t="n">
        <v>28704.01</v>
      </c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>
        <f>IF(COUNT(D1290:S1290)=0,"",MIN(D1290:S1290))</f>
        <v/>
      </c>
      <c r="U1290" s="8">
        <f>IF(COUNT(D1290:S1290)=0,"",MEDIAN(D1290:S1290))</f>
        <v/>
      </c>
      <c r="V1290" s="8">
        <f>IF(COUNT(D1290:S1290)=0,"",MAX(D1290:S1290))</f>
        <v/>
      </c>
      <c r="W1290" s="9">
        <f>IF(OR(T1290="",T1290=0),"",(V1290-T1290)/T1290)</f>
        <v/>
      </c>
      <c r="X1290" s="7">
        <f>IF(COUNT(D1290:S1290)=0,"",INDEX($D$1:$S$1,MATCH(MIN(D1290:S1290),D1290:S1290,0)))</f>
        <v/>
      </c>
      <c r="Y1290" s="8" t="n">
        <v>33870.73</v>
      </c>
      <c r="Z1290" s="10" t="n">
        <v>1</v>
      </c>
    </row>
    <row r="1291">
      <c r="A1291" s="7" t="inlineStr">
        <is>
          <t>MAT-27-030</t>
        </is>
      </c>
      <c r="B1291" s="4" t="inlineStr">
        <is>
          <t>Dispensador de jabón, institucional</t>
        </is>
      </c>
      <c r="C1291" s="7" t="inlineStr">
        <is>
          <t>unidad</t>
        </is>
      </c>
      <c r="D1291" s="8" t="n">
        <v>14903.09</v>
      </c>
      <c r="E1291" s="8" t="n"/>
      <c r="F1291" s="8" t="n"/>
      <c r="G1291" s="8" t="n"/>
      <c r="H1291" s="8" t="n"/>
      <c r="I1291" s="8" t="n"/>
      <c r="J1291" s="8" t="n"/>
      <c r="K1291" s="8" t="n">
        <v>1270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>
        <f>IF(COUNT(D1291:S1291)=0,"",MIN(D1291:S1291))</f>
        <v/>
      </c>
      <c r="U1291" s="8">
        <f>IF(COUNT(D1291:S1291)=0,"",MEDIAN(D1291:S1291))</f>
        <v/>
      </c>
      <c r="V1291" s="8">
        <f>IF(COUNT(D1291:S1291)=0,"",MAX(D1291:S1291))</f>
        <v/>
      </c>
      <c r="W1291" s="9">
        <f>IF(OR(T1291="",T1291=0),"",(V1291-T1291)/T1291)</f>
        <v/>
      </c>
      <c r="X1291" s="7">
        <f>IF(COUNT(D1291:S1291)=0,"",INDEX($D$1:$S$1,MATCH(MIN(D1291:S1291),D1291:S1291,0)))</f>
        <v/>
      </c>
      <c r="Y1291" s="8" t="n">
        <v>3782.5</v>
      </c>
      <c r="Z1291" s="10" t="n">
        <v>2</v>
      </c>
    </row>
    <row r="1292">
      <c r="A1292" s="7" t="inlineStr">
        <is>
          <t>MAT-27-031</t>
        </is>
      </c>
      <c r="B1292" s="4" t="inlineStr">
        <is>
          <t>Dispensador de papel,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485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>
        <f>IF(COUNT(D1292:S1292)=0,"",MIN(D1292:S1292))</f>
        <v/>
      </c>
      <c r="U1292" s="8">
        <f>IF(COUNT(D1292:S1292)=0,"",MEDIAN(D1292:S1292))</f>
        <v/>
      </c>
      <c r="V1292" s="8">
        <f>IF(COUNT(D1292:S1292)=0,"",MAX(D1292:S1292))</f>
        <v/>
      </c>
      <c r="W1292" s="9">
        <f>IF(OR(T1292="",T1292=0),"",(V1292-T1292)/T1292)</f>
        <v/>
      </c>
      <c r="X1292" s="7">
        <f>IF(COUNT(D1292:S1292)=0,"",INDEX($D$1:$S$1,MATCH(MIN(D1292:S1292),D1292:S1292,0)))</f>
        <v/>
      </c>
      <c r="Y1292" s="8" t="n">
        <v>587.5</v>
      </c>
      <c r="Z1292" s="10" t="n">
        <v>1</v>
      </c>
    </row>
    <row r="1293">
      <c r="A1293" s="7" t="inlineStr">
        <is>
          <t>MAT-27-032</t>
        </is>
      </c>
      <c r="B1293" s="4" t="inlineStr">
        <is>
          <t>Dispensador de papel, de toalla</t>
        </is>
      </c>
      <c r="C1293" s="7" t="inlineStr">
        <is>
          <t>unidad</t>
        </is>
      </c>
      <c r="D1293" s="8" t="n">
        <v>4472.06</v>
      </c>
      <c r="E1293" s="8" t="n"/>
      <c r="F1293" s="8" t="n"/>
      <c r="G1293" s="8" t="n"/>
      <c r="H1293" s="8" t="n"/>
      <c r="I1293" s="8" t="n"/>
      <c r="J1293" s="8" t="n"/>
      <c r="K1293" s="8" t="n">
        <v>274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>
        <f>IF(COUNT(D1293:S1293)=0,"",MIN(D1293:S1293))</f>
        <v/>
      </c>
      <c r="U1293" s="8">
        <f>IF(COUNT(D1293:S1293)=0,"",MEDIAN(D1293:S1293))</f>
        <v/>
      </c>
      <c r="V1293" s="8">
        <f>IF(COUNT(D1293:S1293)=0,"",MAX(D1293:S1293))</f>
        <v/>
      </c>
      <c r="W1293" s="9">
        <f>IF(OR(T1293="",T1293=0),"",(V1293-T1293)/T1293)</f>
        <v/>
      </c>
      <c r="X1293" s="7">
        <f>IF(COUNT(D1293:S1293)=0,"",INDEX($D$1:$S$1,MATCH(MIN(D1293:S1293),D1293:S1293,0)))</f>
        <v/>
      </c>
      <c r="Y1293" s="8" t="n">
        <v>2595</v>
      </c>
      <c r="Z1293" s="10" t="n">
        <v>2</v>
      </c>
    </row>
    <row r="1294">
      <c r="A1294" s="7" t="inlineStr">
        <is>
          <t>MAT-27-033</t>
        </is>
      </c>
      <c r="B1294" s="4" t="inlineStr">
        <is>
          <t>Dispensador de papel, institucional, de papel higiénico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1105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>
        <f>IF(COUNT(D1294:S1294)=0,"",MIN(D1294:S1294))</f>
        <v/>
      </c>
      <c r="U1294" s="8">
        <f>IF(COUNT(D1294:S1294)=0,"",MEDIAN(D1294:S1294))</f>
        <v/>
      </c>
      <c r="V1294" s="8">
        <f>IF(COUNT(D1294:S1294)=0,"",MAX(D1294:S1294))</f>
        <v/>
      </c>
      <c r="W1294" s="9">
        <f>IF(OR(T1294="",T1294=0),"",(V1294-T1294)/T1294)</f>
        <v/>
      </c>
      <c r="X1294" s="7">
        <f>IF(COUNT(D1294:S1294)=0,"",INDEX($D$1:$S$1,MATCH(MIN(D1294:S1294),D1294:S1294,0)))</f>
        <v/>
      </c>
      <c r="Y1294" s="8" t="n">
        <v>2870</v>
      </c>
      <c r="Z1294" s="10" t="n">
        <v>1</v>
      </c>
    </row>
    <row r="1295">
      <c r="A1295" s="7" t="inlineStr">
        <is>
          <t>MAT-27-034</t>
        </is>
      </c>
      <c r="B1295" s="4" t="inlineStr">
        <is>
          <t>Dispensador de papel, institucional, de toalla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2515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>
        <f>IF(COUNT(D1295:S1295)=0,"",MIN(D1295:S1295))</f>
        <v/>
      </c>
      <c r="U1295" s="8">
        <f>IF(COUNT(D1295:S1295)=0,"",MEDIAN(D1295:S1295))</f>
        <v/>
      </c>
      <c r="V1295" s="8">
        <f>IF(COUNT(D1295:S1295)=0,"",MAX(D1295:S1295))</f>
        <v/>
      </c>
      <c r="W1295" s="9">
        <f>IF(OR(T1295="",T1295=0),"",(V1295-T1295)/T1295)</f>
        <v/>
      </c>
      <c r="X1295" s="7">
        <f>IF(COUNT(D1295:S1295)=0,"",INDEX($D$1:$S$1,MATCH(MIN(D1295:S1295),D1295:S1295,0)))</f>
        <v/>
      </c>
      <c r="Y1295" s="8" t="n">
        <v>3245</v>
      </c>
      <c r="Z1295" s="10" t="n">
        <v>1</v>
      </c>
    </row>
    <row r="1296">
      <c r="A1296" s="7" t="inlineStr">
        <is>
          <t>MAT-27-035</t>
        </is>
      </c>
      <c r="B1296" s="4" t="inlineStr">
        <is>
          <t>Cambiador de bebés de pared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8705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>
        <f>IF(COUNT(D1296:S1296)=0,"",MIN(D1296:S1296))</f>
        <v/>
      </c>
      <c r="U1296" s="8">
        <f>IF(COUNT(D1296:S1296)=0,"",MEDIAN(D1296:S1296))</f>
        <v/>
      </c>
      <c r="V1296" s="8">
        <f>IF(COUNT(D1296:S1296)=0,"",MAX(D1296:S1296))</f>
        <v/>
      </c>
      <c r="W1296" s="9">
        <f>IF(OR(T1296="",T1296=0),"",(V1296-T1296)/T1296)</f>
        <v/>
      </c>
      <c r="X1296" s="7">
        <f>IF(COUNT(D1296:S1296)=0,"",INDEX($D$1:$S$1,MATCH(MIN(D1296:S1296),D1296:S1296,0)))</f>
        <v/>
      </c>
      <c r="Y1296" s="8" t="n">
        <v>8705</v>
      </c>
      <c r="Z1296" s="10" t="n">
        <v>1</v>
      </c>
    </row>
    <row r="1297">
      <c r="A1297" s="7" t="inlineStr">
        <is>
          <t>MAT-28-001</t>
        </is>
      </c>
      <c r="B1297" s="4" t="inlineStr">
        <is>
          <t>Kit de alarma</t>
        </is>
      </c>
      <c r="C1297" s="7" t="inlineStr">
        <is>
          <t>juego</t>
        </is>
      </c>
      <c r="D1297" s="8" t="n">
        <v>7107.67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>
        <f>IF(COUNT(D1297:S1297)=0,"",MIN(D1297:S1297))</f>
        <v/>
      </c>
      <c r="U1297" s="8">
        <f>IF(COUNT(D1297:S1297)=0,"",MEDIAN(D1297:S1297))</f>
        <v/>
      </c>
      <c r="V1297" s="8">
        <f>IF(COUNT(D1297:S1297)=0,"",MAX(D1297:S1297))</f>
        <v/>
      </c>
      <c r="W1297" s="9">
        <f>IF(OR(T1297="",T1297=0),"",(V1297-T1297)/T1297)</f>
        <v/>
      </c>
      <c r="X1297" s="7">
        <f>IF(COUNT(D1297:S1297)=0,"",INDEX($D$1:$S$1,MATCH(MIN(D1297:S1297),D1297:S1297,0)))</f>
        <v/>
      </c>
      <c r="Y1297" s="8" t="n">
        <v>7107.67</v>
      </c>
      <c r="Z1297" s="10" t="n">
        <v>1</v>
      </c>
    </row>
    <row r="1298">
      <c r="A1298" s="7" t="inlineStr">
        <is>
          <t>MAT-28-002</t>
        </is>
      </c>
      <c r="B1298" s="4" t="inlineStr">
        <is>
          <t>Panel de alarma</t>
        </is>
      </c>
      <c r="C1298" s="7" t="inlineStr">
        <is>
          <t>unidad</t>
        </is>
      </c>
      <c r="D1298" s="8" t="n">
        <v>3536.16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>
        <f>IF(COUNT(D1298:S1298)=0,"",MIN(D1298:S1298))</f>
        <v/>
      </c>
      <c r="U1298" s="8">
        <f>IF(COUNT(D1298:S1298)=0,"",MEDIAN(D1298:S1298))</f>
        <v/>
      </c>
      <c r="V1298" s="8">
        <f>IF(COUNT(D1298:S1298)=0,"",MAX(D1298:S1298))</f>
        <v/>
      </c>
      <c r="W1298" s="9">
        <f>IF(OR(T1298="",T1298=0),"",(V1298-T1298)/T1298)</f>
        <v/>
      </c>
      <c r="X1298" s="7">
        <f>IF(COUNT(D1298:S1298)=0,"",INDEX($D$1:$S$1,MATCH(MIN(D1298:S1298),D1298:S1298,0)))</f>
        <v/>
      </c>
      <c r="Y1298" s="8" t="n">
        <v>15771.4</v>
      </c>
      <c r="Z1298" s="10" t="n">
        <v>1</v>
      </c>
    </row>
    <row r="1299">
      <c r="A1299" s="7" t="inlineStr">
        <is>
          <t>MAT-28-003</t>
        </is>
      </c>
      <c r="B1299" s="4" t="inlineStr">
        <is>
          <t>Panel de alarma 28 zonas</t>
        </is>
      </c>
      <c r="C1299" s="7" t="inlineStr">
        <is>
          <t>unidad</t>
        </is>
      </c>
      <c r="D1299" s="8" t="n">
        <v>7194.58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>
        <f>IF(COUNT(D1299:S1299)=0,"",MIN(D1299:S1299))</f>
        <v/>
      </c>
      <c r="U1299" s="8">
        <f>IF(COUNT(D1299:S1299)=0,"",MEDIAN(D1299:S1299))</f>
        <v/>
      </c>
      <c r="V1299" s="8">
        <f>IF(COUNT(D1299:S1299)=0,"",MAX(D1299:S1299))</f>
        <v/>
      </c>
      <c r="W1299" s="9">
        <f>IF(OR(T1299="",T1299=0),"",(V1299-T1299)/T1299)</f>
        <v/>
      </c>
      <c r="X1299" s="7">
        <f>IF(COUNT(D1299:S1299)=0,"",INDEX($D$1:$S$1,MATCH(MIN(D1299:S1299),D1299:S1299,0)))</f>
        <v/>
      </c>
      <c r="Y1299" s="8" t="n">
        <v>7194.58</v>
      </c>
      <c r="Z1299" s="10" t="n">
        <v>1</v>
      </c>
    </row>
    <row r="1300">
      <c r="A1300" s="7" t="inlineStr">
        <is>
          <t>MAT-28-004</t>
        </is>
      </c>
      <c r="B1300" s="4" t="inlineStr">
        <is>
          <t>Panel de alarma 320 zonas</t>
        </is>
      </c>
      <c r="C1300" s="7" t="inlineStr">
        <is>
          <t>unidad</t>
        </is>
      </c>
      <c r="D1300" s="8" t="n">
        <v>13889.31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>
        <f>IF(COUNT(D1300:S1300)=0,"",MIN(D1300:S1300))</f>
        <v/>
      </c>
      <c r="U1300" s="8">
        <f>IF(COUNT(D1300:S1300)=0,"",MEDIAN(D1300:S1300))</f>
        <v/>
      </c>
      <c r="V1300" s="8">
        <f>IF(COUNT(D1300:S1300)=0,"",MAX(D1300:S1300))</f>
        <v/>
      </c>
      <c r="W1300" s="9">
        <f>IF(OR(T1300="",T1300=0),"",(V1300-T1300)/T1300)</f>
        <v/>
      </c>
      <c r="X1300" s="7">
        <f>IF(COUNT(D1300:S1300)=0,"",INDEX($D$1:$S$1,MATCH(MIN(D1300:S1300),D1300:S1300,0)))</f>
        <v/>
      </c>
      <c r="Y1300" s="8" t="n">
        <v>16552.7</v>
      </c>
      <c r="Z1300" s="10" t="n">
        <v>1</v>
      </c>
    </row>
    <row r="1301">
      <c r="A1301" s="7" t="inlineStr">
        <is>
          <t>MAT-28-005</t>
        </is>
      </c>
      <c r="B1301" s="4" t="inlineStr">
        <is>
          <t>Panel de alarma 4 zonas</t>
        </is>
      </c>
      <c r="C1301" s="7" t="inlineStr">
        <is>
          <t>unidad</t>
        </is>
      </c>
      <c r="D1301" s="8" t="n">
        <v>18682.71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>
        <f>IF(COUNT(D1301:S1301)=0,"",MIN(D1301:S1301))</f>
        <v/>
      </c>
      <c r="U1301" s="8">
        <f>IF(COUNT(D1301:S1301)=0,"",MEDIAN(D1301:S1301))</f>
        <v/>
      </c>
      <c r="V1301" s="8">
        <f>IF(COUNT(D1301:S1301)=0,"",MAX(D1301:S1301))</f>
        <v/>
      </c>
      <c r="W1301" s="9">
        <f>IF(OR(T1301="",T1301=0),"",(V1301-T1301)/T1301)</f>
        <v/>
      </c>
      <c r="X1301" s="7">
        <f>IF(COUNT(D1301:S1301)=0,"",INDEX($D$1:$S$1,MATCH(MIN(D1301:S1301),D1301:S1301,0)))</f>
        <v/>
      </c>
      <c r="Y1301" s="8" t="n">
        <v>18682.71</v>
      </c>
      <c r="Z1301" s="10" t="n">
        <v>1</v>
      </c>
    </row>
    <row r="1302">
      <c r="A1302" s="7" t="inlineStr">
        <is>
          <t>MAT-28-006</t>
        </is>
      </c>
      <c r="B1302" s="4" t="inlineStr">
        <is>
          <t>Panel de alarma 48 zonas</t>
        </is>
      </c>
      <c r="C1302" s="7" t="inlineStr">
        <is>
          <t>unidad</t>
        </is>
      </c>
      <c r="D1302" s="8" t="n">
        <v>8277.66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>
        <f>IF(COUNT(D1302:S1302)=0,"",MIN(D1302:S1302))</f>
        <v/>
      </c>
      <c r="U1302" s="8">
        <f>IF(COUNT(D1302:S1302)=0,"",MEDIAN(D1302:S1302))</f>
        <v/>
      </c>
      <c r="V1302" s="8">
        <f>IF(COUNT(D1302:S1302)=0,"",MAX(D1302:S1302))</f>
        <v/>
      </c>
      <c r="W1302" s="9">
        <f>IF(OR(T1302="",T1302=0),"",(V1302-T1302)/T1302)</f>
        <v/>
      </c>
      <c r="X1302" s="7">
        <f>IF(COUNT(D1302:S1302)=0,"",INDEX($D$1:$S$1,MATCH(MIN(D1302:S1302),D1302:S1302,0)))</f>
        <v/>
      </c>
      <c r="Y1302" s="8" t="n">
        <v>8277.66</v>
      </c>
      <c r="Z1302" s="10" t="n">
        <v>1</v>
      </c>
    </row>
    <row r="1303">
      <c r="A1303" s="7" t="inlineStr">
        <is>
          <t>MAT-28-007</t>
        </is>
      </c>
      <c r="B1303" s="4" t="inlineStr">
        <is>
          <t>Panel de alarma 8 zonas</t>
        </is>
      </c>
      <c r="C1303" s="7" t="inlineStr">
        <is>
          <t>unidad</t>
        </is>
      </c>
      <c r="D1303" s="8" t="n">
        <v>11668.57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>
        <f>IF(COUNT(D1303:S1303)=0,"",MIN(D1303:S1303))</f>
        <v/>
      </c>
      <c r="U1303" s="8">
        <f>IF(COUNT(D1303:S1303)=0,"",MEDIAN(D1303:S1303))</f>
        <v/>
      </c>
      <c r="V1303" s="8">
        <f>IF(COUNT(D1303:S1303)=0,"",MAX(D1303:S1303))</f>
        <v/>
      </c>
      <c r="W1303" s="9">
        <f>IF(OR(T1303="",T1303=0),"",(V1303-T1303)/T1303)</f>
        <v/>
      </c>
      <c r="X1303" s="7">
        <f>IF(COUNT(D1303:S1303)=0,"",INDEX($D$1:$S$1,MATCH(MIN(D1303:S1303),D1303:S1303,0)))</f>
        <v/>
      </c>
      <c r="Y1303" s="8" t="n">
        <v>11668.57</v>
      </c>
      <c r="Z1303" s="10" t="n">
        <v>1</v>
      </c>
    </row>
    <row r="1304">
      <c r="A1304" s="7" t="inlineStr">
        <is>
          <t>MAT-28-008</t>
        </is>
      </c>
      <c r="B1304" s="4" t="inlineStr">
        <is>
          <t>Teclado para alarma</t>
        </is>
      </c>
      <c r="C1304" s="7" t="inlineStr">
        <is>
          <t>unidad</t>
        </is>
      </c>
      <c r="D1304" s="8" t="n">
        <v>3449.44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>
        <f>IF(COUNT(D1304:S1304)=0,"",MIN(D1304:S1304))</f>
        <v/>
      </c>
      <c r="U1304" s="8">
        <f>IF(COUNT(D1304:S1304)=0,"",MEDIAN(D1304:S1304))</f>
        <v/>
      </c>
      <c r="V1304" s="8">
        <f>IF(COUNT(D1304:S1304)=0,"",MAX(D1304:S1304))</f>
        <v/>
      </c>
      <c r="W1304" s="9">
        <f>IF(OR(T1304="",T1304=0),"",(V1304-T1304)/T1304)</f>
        <v/>
      </c>
      <c r="X1304" s="7">
        <f>IF(COUNT(D1304:S1304)=0,"",INDEX($D$1:$S$1,MATCH(MIN(D1304:S1304),D1304:S1304,0)))</f>
        <v/>
      </c>
      <c r="Y1304" s="8" t="n">
        <v>6879.53</v>
      </c>
      <c r="Z1304" s="10" t="n">
        <v>1</v>
      </c>
    </row>
    <row r="1305">
      <c r="A1305" s="7" t="inlineStr">
        <is>
          <t>MAT-28-009</t>
        </is>
      </c>
      <c r="B1305" s="4" t="inlineStr">
        <is>
          <t>Detector de movimiento</t>
        </is>
      </c>
      <c r="C1305" s="7" t="inlineStr">
        <is>
          <t>unidad</t>
        </is>
      </c>
      <c r="D1305" s="8" t="n">
        <v>266.05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>
        <f>IF(COUNT(D1305:S1305)=0,"",MIN(D1305:S1305))</f>
        <v/>
      </c>
      <c r="U1305" s="8">
        <f>IF(COUNT(D1305:S1305)=0,"",MEDIAN(D1305:S1305))</f>
        <v/>
      </c>
      <c r="V1305" s="8">
        <f>IF(COUNT(D1305:S1305)=0,"",MAX(D1305:S1305))</f>
        <v/>
      </c>
      <c r="W1305" s="9">
        <f>IF(OR(T1305="",T1305=0),"",(V1305-T1305)/T1305)</f>
        <v/>
      </c>
      <c r="X1305" s="7">
        <f>IF(COUNT(D1305:S1305)=0,"",INDEX($D$1:$S$1,MATCH(MIN(D1305:S1305),D1305:S1305,0)))</f>
        <v/>
      </c>
      <c r="Y1305" s="8" t="n">
        <v>1486.93</v>
      </c>
      <c r="Z1305" s="10" t="n">
        <v>1</v>
      </c>
    </row>
    <row r="1306">
      <c r="A1306" s="7" t="inlineStr">
        <is>
          <t>MAT-28-010</t>
        </is>
      </c>
      <c r="B1306" s="4" t="inlineStr">
        <is>
          <t>Detector de movimiento alcance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>
        <f>IF(COUNT(D1306:S1306)=0,"",MIN(D1306:S1306))</f>
        <v/>
      </c>
      <c r="U1306" s="8">
        <f>IF(COUNT(D1306:S1306)=0,"",MEDIAN(D1306:S1306))</f>
        <v/>
      </c>
      <c r="V1306" s="8">
        <f>IF(COUNT(D1306:S1306)=0,"",MAX(D1306:S1306))</f>
        <v/>
      </c>
      <c r="W1306" s="9">
        <f>IF(OR(T1306="",T1306=0),"",(V1306-T1306)/T1306)</f>
        <v/>
      </c>
      <c r="X1306" s="7">
        <f>IF(COUNT(D1306:S1306)=0,"",INDEX($D$1:$S$1,MATCH(MIN(D1306:S1306),D1306:S1306,0)))</f>
        <v/>
      </c>
      <c r="Y1306" s="8" t="n">
        <v>7135.36</v>
      </c>
      <c r="Z1306" s="10" t="n">
        <v>1</v>
      </c>
    </row>
    <row r="1307">
      <c r="A1307" s="7" t="inlineStr">
        <is>
          <t>MAT-28-011</t>
        </is>
      </c>
      <c r="B1307" s="4" t="inlineStr">
        <is>
          <t>Detector de movimiento alcance 11 m</t>
        </is>
      </c>
      <c r="C1307" s="7" t="inlineStr">
        <is>
          <t>unidad</t>
        </is>
      </c>
      <c r="D1307" s="8" t="n">
        <v>5567.22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>
        <f>IF(COUNT(D1307:S1307)=0,"",MIN(D1307:S1307))</f>
        <v/>
      </c>
      <c r="U1307" s="8">
        <f>IF(COUNT(D1307:S1307)=0,"",MEDIAN(D1307:S1307))</f>
        <v/>
      </c>
      <c r="V1307" s="8">
        <f>IF(COUNT(D1307:S1307)=0,"",MAX(D1307:S1307))</f>
        <v/>
      </c>
      <c r="W1307" s="9">
        <f>IF(OR(T1307="",T1307=0),"",(V1307-T1307)/T1307)</f>
        <v/>
      </c>
      <c r="X1307" s="7">
        <f>IF(COUNT(D1307:S1307)=0,"",INDEX($D$1:$S$1,MATCH(MIN(D1307:S1307),D1307:S1307,0)))</f>
        <v/>
      </c>
      <c r="Y1307" s="8" t="n">
        <v>5567.22</v>
      </c>
      <c r="Z1307" s="10" t="n">
        <v>1</v>
      </c>
    </row>
    <row r="1308">
      <c r="A1308" s="7" t="inlineStr">
        <is>
          <t>MAT-28-012</t>
        </is>
      </c>
      <c r="B1308" s="4" t="inlineStr">
        <is>
          <t>Detector de movimiento alcance 12 m</t>
        </is>
      </c>
      <c r="C1308" s="7" t="inlineStr">
        <is>
          <t>unidad</t>
        </is>
      </c>
      <c r="D1308" s="8" t="n">
        <v>820.3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>
        <f>IF(COUNT(D1308:S1308)=0,"",MIN(D1308:S1308))</f>
        <v/>
      </c>
      <c r="U1308" s="8">
        <f>IF(COUNT(D1308:S1308)=0,"",MEDIAN(D1308:S1308))</f>
        <v/>
      </c>
      <c r="V1308" s="8">
        <f>IF(COUNT(D1308:S1308)=0,"",MAX(D1308:S1308))</f>
        <v/>
      </c>
      <c r="W1308" s="9">
        <f>IF(OR(T1308="",T1308=0),"",(V1308-T1308)/T1308)</f>
        <v/>
      </c>
      <c r="X1308" s="7">
        <f>IF(COUNT(D1308:S1308)=0,"",INDEX($D$1:$S$1,MATCH(MIN(D1308:S1308),D1308:S1308,0)))</f>
        <v/>
      </c>
      <c r="Y1308" s="8" t="n">
        <v>2831.47</v>
      </c>
      <c r="Z1308" s="10" t="n">
        <v>1</v>
      </c>
    </row>
    <row r="1309">
      <c r="A1309" s="7" t="inlineStr">
        <is>
          <t>MAT-28-013</t>
        </is>
      </c>
      <c r="B1309" s="4" t="inlineStr">
        <is>
          <t>Detector de movimiento alcance 15 m</t>
        </is>
      </c>
      <c r="C1309" s="7" t="inlineStr">
        <is>
          <t>unidad</t>
        </is>
      </c>
      <c r="D1309" s="8" t="n">
        <v>2675.69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>
        <f>IF(COUNT(D1309:S1309)=0,"",MIN(D1309:S1309))</f>
        <v/>
      </c>
      <c r="U1309" s="8">
        <f>IF(COUNT(D1309:S1309)=0,"",MEDIAN(D1309:S1309))</f>
        <v/>
      </c>
      <c r="V1309" s="8">
        <f>IF(COUNT(D1309:S1309)=0,"",MAX(D1309:S1309))</f>
        <v/>
      </c>
      <c r="W1309" s="9">
        <f>IF(OR(T1309="",T1309=0),"",(V1309-T1309)/T1309)</f>
        <v/>
      </c>
      <c r="X1309" s="7">
        <f>IF(COUNT(D1309:S1309)=0,"",INDEX($D$1:$S$1,MATCH(MIN(D1309:S1309),D1309:S1309,0)))</f>
        <v/>
      </c>
      <c r="Y1309" s="8" t="n">
        <v>2675.69</v>
      </c>
      <c r="Z1309" s="10" t="n">
        <v>1</v>
      </c>
    </row>
    <row r="1310">
      <c r="A1310" s="7" t="inlineStr">
        <is>
          <t>MAT-28-014</t>
        </is>
      </c>
      <c r="B1310" s="4" t="inlineStr">
        <is>
          <t>Detector de movimiento alcance 16 m</t>
        </is>
      </c>
      <c r="C1310" s="7" t="inlineStr">
        <is>
          <t>unidad</t>
        </is>
      </c>
      <c r="D1310" s="8" t="n">
        <v>2944.96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>
        <f>IF(COUNT(D1310:S1310)=0,"",MIN(D1310:S1310))</f>
        <v/>
      </c>
      <c r="U1310" s="8">
        <f>IF(COUNT(D1310:S1310)=0,"",MEDIAN(D1310:S1310))</f>
        <v/>
      </c>
      <c r="V1310" s="8">
        <f>IF(COUNT(D1310:S1310)=0,"",MAX(D1310:S1310))</f>
        <v/>
      </c>
      <c r="W1310" s="9">
        <f>IF(OR(T1310="",T1310=0),"",(V1310-T1310)/T1310)</f>
        <v/>
      </c>
      <c r="X1310" s="7">
        <f>IF(COUNT(D1310:S1310)=0,"",INDEX($D$1:$S$1,MATCH(MIN(D1310:S1310),D1310:S1310,0)))</f>
        <v/>
      </c>
      <c r="Y1310" s="8" t="n">
        <v>2944.96</v>
      </c>
      <c r="Z1310" s="10" t="n">
        <v>1</v>
      </c>
    </row>
    <row r="1311">
      <c r="A1311" s="7" t="inlineStr">
        <is>
          <t>MAT-28-015</t>
        </is>
      </c>
      <c r="B1311" s="4" t="inlineStr">
        <is>
          <t>Contacto magnético para puerta o ventana</t>
        </is>
      </c>
      <c r="C1311" s="7" t="inlineStr">
        <is>
          <t>unidad</t>
        </is>
      </c>
      <c r="D1311" s="8" t="n">
        <v>506.24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>
        <f>IF(COUNT(D1311:S1311)=0,"",MIN(D1311:S1311))</f>
        <v/>
      </c>
      <c r="U1311" s="8">
        <f>IF(COUNT(D1311:S1311)=0,"",MEDIAN(D1311:S1311))</f>
        <v/>
      </c>
      <c r="V1311" s="8">
        <f>IF(COUNT(D1311:S1311)=0,"",MAX(D1311:S1311))</f>
        <v/>
      </c>
      <c r="W1311" s="9">
        <f>IF(OR(T1311="",T1311=0),"",(V1311-T1311)/T1311)</f>
        <v/>
      </c>
      <c r="X1311" s="7">
        <f>IF(COUNT(D1311:S1311)=0,"",INDEX($D$1:$S$1,MATCH(MIN(D1311:S1311),D1311:S1311,0)))</f>
        <v/>
      </c>
      <c r="Y1311" s="8" t="n">
        <v>1673.26</v>
      </c>
      <c r="Z1311" s="10" t="n">
        <v>1</v>
      </c>
    </row>
    <row r="1312">
      <c r="A1312" s="7" t="inlineStr">
        <is>
          <t>MAT-28-016</t>
        </is>
      </c>
      <c r="B1312" s="4" t="inlineStr">
        <is>
          <t>Sirena de alarma</t>
        </is>
      </c>
      <c r="C1312" s="7" t="inlineStr">
        <is>
          <t>unidad</t>
        </is>
      </c>
      <c r="D1312" s="8" t="n">
        <v>713.99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>
        <f>IF(COUNT(D1312:S1312)=0,"",MIN(D1312:S1312))</f>
        <v/>
      </c>
      <c r="U1312" s="8">
        <f>IF(COUNT(D1312:S1312)=0,"",MEDIAN(D1312:S1312))</f>
        <v/>
      </c>
      <c r="V1312" s="8">
        <f>IF(COUNT(D1312:S1312)=0,"",MAX(D1312:S1312))</f>
        <v/>
      </c>
      <c r="W1312" s="9">
        <f>IF(OR(T1312="",T1312=0),"",(V1312-T1312)/T1312)</f>
        <v/>
      </c>
      <c r="X1312" s="7">
        <f>IF(COUNT(D1312:S1312)=0,"",INDEX($D$1:$S$1,MATCH(MIN(D1312:S1312),D1312:S1312,0)))</f>
        <v/>
      </c>
      <c r="Y1312" s="8" t="n">
        <v>12406.5</v>
      </c>
      <c r="Z1312" s="10" t="n">
        <v>1</v>
      </c>
    </row>
    <row r="1313">
      <c r="A1313" s="7" t="inlineStr">
        <is>
          <t>MAT-28-017</t>
        </is>
      </c>
      <c r="B1313" s="4" t="inlineStr">
        <is>
          <t>Sirena de alarma de exterior</t>
        </is>
      </c>
      <c r="C1313" s="7" t="inlineStr">
        <is>
          <t>unidad</t>
        </is>
      </c>
      <c r="D1313" s="8" t="n">
        <v>5053.69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>
        <f>IF(COUNT(D1313:S1313)=0,"",MIN(D1313:S1313))</f>
        <v/>
      </c>
      <c r="U1313" s="8">
        <f>IF(COUNT(D1313:S1313)=0,"",MEDIAN(D1313:S1313))</f>
        <v/>
      </c>
      <c r="V1313" s="8">
        <f>IF(COUNT(D1313:S1313)=0,"",MAX(D1313:S1313))</f>
        <v/>
      </c>
      <c r="W1313" s="9">
        <f>IF(OR(T1313="",T1313=0),"",(V1313-T1313)/T1313)</f>
        <v/>
      </c>
      <c r="X1313" s="7">
        <f>IF(COUNT(D1313:S1313)=0,"",INDEX($D$1:$S$1,MATCH(MIN(D1313:S1313),D1313:S1313,0)))</f>
        <v/>
      </c>
      <c r="Y1313" s="8" t="n">
        <v>5053.69</v>
      </c>
      <c r="Z1313" s="10" t="n">
        <v>1</v>
      </c>
    </row>
    <row r="1314">
      <c r="A1314" s="7" t="inlineStr">
        <is>
          <t>MAT-28-018</t>
        </is>
      </c>
      <c r="B1314" s="4" t="inlineStr">
        <is>
          <t>Sirena de alarma de interior</t>
        </is>
      </c>
      <c r="C1314" s="7" t="inlineStr">
        <is>
          <t>unidad</t>
        </is>
      </c>
      <c r="D1314" s="8" t="n">
        <v>3381.4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>
        <f>IF(COUNT(D1314:S1314)=0,"",MIN(D1314:S1314))</f>
        <v/>
      </c>
      <c r="U1314" s="8">
        <f>IF(COUNT(D1314:S1314)=0,"",MEDIAN(D1314:S1314))</f>
        <v/>
      </c>
      <c r="V1314" s="8">
        <f>IF(COUNT(D1314:S1314)=0,"",MAX(D1314:S1314))</f>
        <v/>
      </c>
      <c r="W1314" s="9">
        <f>IF(OR(T1314="",T1314=0),"",(V1314-T1314)/T1314)</f>
        <v/>
      </c>
      <c r="X1314" s="7">
        <f>IF(COUNT(D1314:S1314)=0,"",INDEX($D$1:$S$1,MATCH(MIN(D1314:S1314),D1314:S1314,0)))</f>
        <v/>
      </c>
      <c r="Y1314" s="8" t="n">
        <v>3381.4</v>
      </c>
      <c r="Z1314" s="10" t="n">
        <v>1</v>
      </c>
    </row>
    <row r="1315">
      <c r="A1315" s="7" t="inlineStr">
        <is>
          <t>MAT-28-019</t>
        </is>
      </c>
      <c r="B1315" s="4" t="inlineStr">
        <is>
          <t>Control de acceso</t>
        </is>
      </c>
      <c r="C1315" s="7" t="inlineStr">
        <is>
          <t>unidad</t>
        </is>
      </c>
      <c r="D1315" s="8" t="n">
        <v>5063.11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>
        <f>IF(COUNT(D1315:S1315)=0,"",MIN(D1315:S1315))</f>
        <v/>
      </c>
      <c r="U1315" s="8">
        <f>IF(COUNT(D1315:S1315)=0,"",MEDIAN(D1315:S1315))</f>
        <v/>
      </c>
      <c r="V1315" s="8">
        <f>IF(COUNT(D1315:S1315)=0,"",MAX(D1315:S1315))</f>
        <v/>
      </c>
      <c r="W1315" s="9">
        <f>IF(OR(T1315="",T1315=0),"",(V1315-T1315)/T1315)</f>
        <v/>
      </c>
      <c r="X1315" s="7">
        <f>IF(COUNT(D1315:S1315)=0,"",INDEX($D$1:$S$1,MATCH(MIN(D1315:S1315),D1315:S1315,0)))</f>
        <v/>
      </c>
      <c r="Y1315" s="8" t="n">
        <v>14529.44</v>
      </c>
      <c r="Z1315" s="10" t="n">
        <v>1</v>
      </c>
    </row>
    <row r="1316">
      <c r="A1316" s="7" t="inlineStr">
        <is>
          <t>MAT-28-020</t>
        </is>
      </c>
      <c r="B1316" s="4" t="inlineStr">
        <is>
          <t>Control de acceso huella</t>
        </is>
      </c>
      <c r="C1316" s="7" t="inlineStr">
        <is>
          <t>unidad</t>
        </is>
      </c>
      <c r="D1316" s="8" t="n">
        <v>10930.42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>
        <f>IF(COUNT(D1316:S1316)=0,"",MIN(D1316:S1316))</f>
        <v/>
      </c>
      <c r="U1316" s="8">
        <f>IF(COUNT(D1316:S1316)=0,"",MEDIAN(D1316:S1316))</f>
        <v/>
      </c>
      <c r="V1316" s="8">
        <f>IF(COUNT(D1316:S1316)=0,"",MAX(D1316:S1316))</f>
        <v/>
      </c>
      <c r="W1316" s="9">
        <f>IF(OR(T1316="",T1316=0),"",(V1316-T1316)/T1316)</f>
        <v/>
      </c>
      <c r="X1316" s="7">
        <f>IF(COUNT(D1316:S1316)=0,"",INDEX($D$1:$S$1,MATCH(MIN(D1316:S1316),D1316:S1316,0)))</f>
        <v/>
      </c>
      <c r="Y1316" s="8" t="n">
        <v>16289.94</v>
      </c>
      <c r="Z1316" s="10" t="n">
        <v>1</v>
      </c>
    </row>
    <row r="1317">
      <c r="A1317" s="7" t="inlineStr">
        <is>
          <t>MAT-28-021</t>
        </is>
      </c>
      <c r="B1317" s="4" t="inlineStr">
        <is>
          <t>Control de acceso proximidad</t>
        </is>
      </c>
      <c r="C1317" s="7" t="inlineStr">
        <is>
          <t>unidad</t>
        </is>
      </c>
      <c r="D1317" s="8" t="n">
        <v>8365.110000000001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>
        <f>IF(COUNT(D1317:S1317)=0,"",MIN(D1317:S1317))</f>
        <v/>
      </c>
      <c r="U1317" s="8">
        <f>IF(COUNT(D1317:S1317)=0,"",MEDIAN(D1317:S1317))</f>
        <v/>
      </c>
      <c r="V1317" s="8">
        <f>IF(COUNT(D1317:S1317)=0,"",MAX(D1317:S1317))</f>
        <v/>
      </c>
      <c r="W1317" s="9">
        <f>IF(OR(T1317="",T1317=0),"",(V1317-T1317)/T1317)</f>
        <v/>
      </c>
      <c r="X1317" s="7">
        <f>IF(COUNT(D1317:S1317)=0,"",INDEX($D$1:$S$1,MATCH(MIN(D1317:S1317),D1317:S1317,0)))</f>
        <v/>
      </c>
      <c r="Y1317" s="8" t="n">
        <v>9465.780000000001</v>
      </c>
      <c r="Z1317" s="10" t="n">
        <v>1</v>
      </c>
    </row>
    <row r="1318">
      <c r="A1318" s="7" t="inlineStr">
        <is>
          <t>MAT-28-022</t>
        </is>
      </c>
      <c r="B1318" s="4" t="inlineStr">
        <is>
          <t>Control de acceso teclado</t>
        </is>
      </c>
      <c r="C1318" s="7" t="inlineStr">
        <is>
          <t>unidad</t>
        </is>
      </c>
      <c r="D1318" s="8" t="n">
        <v>12767.79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>
        <f>IF(COUNT(D1318:S1318)=0,"",MIN(D1318:S1318))</f>
        <v/>
      </c>
      <c r="U1318" s="8">
        <f>IF(COUNT(D1318:S1318)=0,"",MEDIAN(D1318:S1318))</f>
        <v/>
      </c>
      <c r="V1318" s="8">
        <f>IF(COUNT(D1318:S1318)=0,"",MAX(D1318:S1318))</f>
        <v/>
      </c>
      <c r="W1318" s="9">
        <f>IF(OR(T1318="",T1318=0),"",(V1318-T1318)/T1318)</f>
        <v/>
      </c>
      <c r="X1318" s="7">
        <f>IF(COUNT(D1318:S1318)=0,"",INDEX($D$1:$S$1,MATCH(MIN(D1318:S1318),D1318:S1318,0)))</f>
        <v/>
      </c>
      <c r="Y1318" s="8" t="n">
        <v>12767.79</v>
      </c>
      <c r="Z1318" s="10" t="n">
        <v>1</v>
      </c>
    </row>
    <row r="1319">
      <c r="A1319" s="7" t="inlineStr">
        <is>
          <t>MAT-28-024</t>
        </is>
      </c>
      <c r="B1319" s="4" t="inlineStr">
        <is>
          <t>Accesorio de sistema de alarma</t>
        </is>
      </c>
      <c r="C1319" s="7" t="inlineStr">
        <is>
          <t>unidad</t>
        </is>
      </c>
      <c r="D1319" s="8" t="n">
        <v>146.83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>
        <f>IF(COUNT(D1319:S1319)=0,"",MIN(D1319:S1319))</f>
        <v/>
      </c>
      <c r="U1319" s="8">
        <f>IF(COUNT(D1319:S1319)=0,"",MEDIAN(D1319:S1319))</f>
        <v/>
      </c>
      <c r="V1319" s="8">
        <f>IF(COUNT(D1319:S1319)=0,"",MAX(D1319:S1319))</f>
        <v/>
      </c>
      <c r="W1319" s="9">
        <f>IF(OR(T1319="",T1319=0),"",(V1319-T1319)/T1319)</f>
        <v/>
      </c>
      <c r="X1319" s="7">
        <f>IF(COUNT(D1319:S1319)=0,"",INDEX($D$1:$S$1,MATCH(MIN(D1319:S1319),D1319:S1319,0)))</f>
        <v/>
      </c>
      <c r="Y1319" s="8" t="n">
        <v>1838.69</v>
      </c>
      <c r="Z1319" s="10" t="n">
        <v>1</v>
      </c>
    </row>
    <row r="1320">
      <c r="A1320" s="7" t="inlineStr">
        <is>
          <t>MAT-29-003</t>
        </is>
      </c>
      <c r="B1320" s="4" t="inlineStr">
        <is>
          <t>Detector para sistema de incendio de calor</t>
        </is>
      </c>
      <c r="C1320" s="7" t="inlineStr">
        <is>
          <t>unidad</t>
        </is>
      </c>
      <c r="D1320" s="8" t="n">
        <v>1508.54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>
        <f>IF(COUNT(D1320:S1320)=0,"",MIN(D1320:S1320))</f>
        <v/>
      </c>
      <c r="U1320" s="8">
        <f>IF(COUNT(D1320:S1320)=0,"",MEDIAN(D1320:S1320))</f>
        <v/>
      </c>
      <c r="V1320" s="8">
        <f>IF(COUNT(D1320:S1320)=0,"",MAX(D1320:S1320))</f>
        <v/>
      </c>
      <c r="W1320" s="9">
        <f>IF(OR(T1320="",T1320=0),"",(V1320-T1320)/T1320)</f>
        <v/>
      </c>
      <c r="X1320" s="7">
        <f>IF(COUNT(D1320:S1320)=0,"",INDEX($D$1:$S$1,MATCH(MIN(D1320:S1320),D1320:S1320,0)))</f>
        <v/>
      </c>
      <c r="Y1320" s="8" t="n">
        <v>1780.89</v>
      </c>
      <c r="Z1320" s="10" t="n">
        <v>1</v>
      </c>
    </row>
    <row r="1321">
      <c r="A1321" s="7" t="inlineStr">
        <is>
          <t>MAT-29-004</t>
        </is>
      </c>
      <c r="B1321" s="4" t="inlineStr">
        <is>
          <t>Detector para sistema de incendio de humo</t>
        </is>
      </c>
      <c r="C1321" s="7" t="inlineStr">
        <is>
          <t>unidad</t>
        </is>
      </c>
      <c r="D1321" s="8" t="n">
        <v>1934.03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>
        <f>IF(COUNT(D1321:S1321)=0,"",MIN(D1321:S1321))</f>
        <v/>
      </c>
      <c r="U1321" s="8">
        <f>IF(COUNT(D1321:S1321)=0,"",MEDIAN(D1321:S1321))</f>
        <v/>
      </c>
      <c r="V1321" s="8">
        <f>IF(COUNT(D1321:S1321)=0,"",MAX(D1321:S1321))</f>
        <v/>
      </c>
      <c r="W1321" s="9">
        <f>IF(OR(T1321="",T1321=0),"",(V1321-T1321)/T1321)</f>
        <v/>
      </c>
      <c r="X1321" s="7">
        <f>IF(COUNT(D1321:S1321)=0,"",INDEX($D$1:$S$1,MATCH(MIN(D1321:S1321),D1321:S1321,0)))</f>
        <v/>
      </c>
      <c r="Y1321" s="8" t="n">
        <v>2135.37</v>
      </c>
      <c r="Z1321" s="10" t="n">
        <v>1</v>
      </c>
    </row>
    <row r="1322">
      <c r="A1322" s="7" t="inlineStr">
        <is>
          <t>MAT-29-005</t>
        </is>
      </c>
      <c r="B1322" s="4" t="inlineStr">
        <is>
          <t>Detector para sistema de incendio de humo y calor</t>
        </is>
      </c>
      <c r="C1322" s="7" t="inlineStr">
        <is>
          <t>unidad</t>
        </is>
      </c>
      <c r="D1322" s="8" t="n">
        <v>1657.72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>
        <f>IF(COUNT(D1322:S1322)=0,"",MIN(D1322:S1322))</f>
        <v/>
      </c>
      <c r="U1322" s="8">
        <f>IF(COUNT(D1322:S1322)=0,"",MEDIAN(D1322:S1322))</f>
        <v/>
      </c>
      <c r="V1322" s="8">
        <f>IF(COUNT(D1322:S1322)=0,"",MAX(D1322:S1322))</f>
        <v/>
      </c>
      <c r="W1322" s="9">
        <f>IF(OR(T1322="",T1322=0),"",(V1322-T1322)/T1322)</f>
        <v/>
      </c>
      <c r="X1322" s="7">
        <f>IF(COUNT(D1322:S1322)=0,"",INDEX($D$1:$S$1,MATCH(MIN(D1322:S1322),D1322:S1322,0)))</f>
        <v/>
      </c>
      <c r="Y1322" s="8" t="n">
        <v>1657.72</v>
      </c>
      <c r="Z1322" s="10" t="n">
        <v>1</v>
      </c>
    </row>
    <row r="1323">
      <c r="A1323" s="7" t="inlineStr">
        <is>
          <t>MAT-29-006</t>
        </is>
      </c>
      <c r="B1323" s="4" t="inlineStr">
        <is>
          <t>Estación manual de incendio</t>
        </is>
      </c>
      <c r="C1323" s="7" t="inlineStr">
        <is>
          <t>unidad</t>
        </is>
      </c>
      <c r="D1323" s="8" t="n">
        <v>870.3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>
        <f>IF(COUNT(D1323:S1323)=0,"",MIN(D1323:S1323))</f>
        <v/>
      </c>
      <c r="U1323" s="8">
        <f>IF(COUNT(D1323:S1323)=0,"",MEDIAN(D1323:S1323))</f>
        <v/>
      </c>
      <c r="V1323" s="8">
        <f>IF(COUNT(D1323:S1323)=0,"",MAX(D1323:S1323))</f>
        <v/>
      </c>
      <c r="W1323" s="9">
        <f>IF(OR(T1323="",T1323=0),"",(V1323-T1323)/T1323)</f>
        <v/>
      </c>
      <c r="X1323" s="7">
        <f>IF(COUNT(D1323:S1323)=0,"",INDEX($D$1:$S$1,MATCH(MIN(D1323:S1323),D1323:S1323,0)))</f>
        <v/>
      </c>
      <c r="Y1323" s="8" t="n">
        <v>2358.36</v>
      </c>
      <c r="Z1323" s="10" t="n">
        <v>1</v>
      </c>
    </row>
    <row r="1324">
      <c r="A1324" s="7" t="inlineStr">
        <is>
          <t>MAT-29-007</t>
        </is>
      </c>
      <c r="B1324" s="4" t="inlineStr">
        <is>
          <t>Sirena o estrobo de incendio</t>
        </is>
      </c>
      <c r="C1324" s="7" t="inlineStr">
        <is>
          <t>unidad</t>
        </is>
      </c>
      <c r="D1324" s="8" t="n">
        <v>3502.55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>
        <f>IF(COUNT(D1324:S1324)=0,"",MIN(D1324:S1324))</f>
        <v/>
      </c>
      <c r="U1324" s="8">
        <f>IF(COUNT(D1324:S1324)=0,"",MEDIAN(D1324:S1324))</f>
        <v/>
      </c>
      <c r="V1324" s="8">
        <f>IF(COUNT(D1324:S1324)=0,"",MAX(D1324:S1324))</f>
        <v/>
      </c>
      <c r="W1324" s="9">
        <f>IF(OR(T1324="",T1324=0),"",(V1324-T1324)/T1324)</f>
        <v/>
      </c>
      <c r="X1324" s="7">
        <f>IF(COUNT(D1324:S1324)=0,"",INDEX($D$1:$S$1,MATCH(MIN(D1324:S1324),D1324:S1324,0)))</f>
        <v/>
      </c>
      <c r="Y1324" s="8" t="n">
        <v>3502.55</v>
      </c>
      <c r="Z1324" s="10" t="n">
        <v>1</v>
      </c>
    </row>
    <row r="1325">
      <c r="A1325" s="7" t="inlineStr">
        <is>
          <t>MAT-29-008</t>
        </is>
      </c>
      <c r="B1325" s="4" t="inlineStr">
        <is>
          <t>Accesorio de sistema de incendio</t>
        </is>
      </c>
      <c r="C1325" s="7" t="inlineStr">
        <is>
          <t>unidad</t>
        </is>
      </c>
      <c r="D1325" s="8" t="n">
        <v>232.07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>
        <f>IF(COUNT(D1325:S1325)=0,"",MIN(D1325:S1325))</f>
        <v/>
      </c>
      <c r="U1325" s="8">
        <f>IF(COUNT(D1325:S1325)=0,"",MEDIAN(D1325:S1325))</f>
        <v/>
      </c>
      <c r="V1325" s="8">
        <f>IF(COUNT(D1325:S1325)=0,"",MAX(D1325:S1325))</f>
        <v/>
      </c>
      <c r="W1325" s="9">
        <f>IF(OR(T1325="",T1325=0),"",(V1325-T1325)/T1325)</f>
        <v/>
      </c>
      <c r="X1325" s="7">
        <f>IF(COUNT(D1325:S1325)=0,"",INDEX($D$1:$S$1,MATCH(MIN(D1325:S1325),D1325:S1325,0)))</f>
        <v/>
      </c>
      <c r="Y1325" s="8" t="n">
        <v>270.76</v>
      </c>
      <c r="Z1325" s="10" t="n">
        <v>1</v>
      </c>
    </row>
    <row r="1326">
      <c r="A1326" s="7" t="inlineStr">
        <is>
          <t>MAT-30-003</t>
        </is>
      </c>
      <c r="B1326" s="4" t="inlineStr">
        <is>
          <t>Cable de red blindado</t>
        </is>
      </c>
      <c r="C1326" s="7" t="inlineStr">
        <is>
          <t>rollo</t>
        </is>
      </c>
      <c r="D1326" s="8" t="n">
        <v>1675.6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>
        <f>IF(COUNT(D1326:S1326)=0,"",MIN(D1326:S1326))</f>
        <v/>
      </c>
      <c r="U1326" s="8">
        <f>IF(COUNT(D1326:S1326)=0,"",MEDIAN(D1326:S1326))</f>
        <v/>
      </c>
      <c r="V1326" s="8">
        <f>IF(COUNT(D1326:S1326)=0,"",MAX(D1326:S1326))</f>
        <v/>
      </c>
      <c r="W1326" s="9">
        <f>IF(OR(T1326="",T1326=0),"",(V1326-T1326)/T1326)</f>
        <v/>
      </c>
      <c r="X1326" s="7">
        <f>IF(COUNT(D1326:S1326)=0,"",INDEX($D$1:$S$1,MATCH(MIN(D1326:S1326),D1326:S1326,0)))</f>
        <v/>
      </c>
      <c r="Y1326" s="8" t="n">
        <v>1675.6</v>
      </c>
      <c r="Z1326" s="10" t="n">
        <v>1</v>
      </c>
    </row>
    <row r="1327">
      <c r="A1327" s="7" t="inlineStr">
        <is>
          <t>MAT-30-004</t>
        </is>
      </c>
      <c r="B1327" s="4" t="inlineStr">
        <is>
          <t>Cable de red Cat 5</t>
        </is>
      </c>
      <c r="C1327" s="7" t="inlineStr">
        <is>
          <t>rollo</t>
        </is>
      </c>
      <c r="D1327" s="8" t="n">
        <v>72.59999999999999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>
        <f>IF(COUNT(D1327:S1327)=0,"",MIN(D1327:S1327))</f>
        <v/>
      </c>
      <c r="U1327" s="8">
        <f>IF(COUNT(D1327:S1327)=0,"",MEDIAN(D1327:S1327))</f>
        <v/>
      </c>
      <c r="V1327" s="8">
        <f>IF(COUNT(D1327:S1327)=0,"",MAX(D1327:S1327))</f>
        <v/>
      </c>
      <c r="W1327" s="9">
        <f>IF(OR(T1327="",T1327=0),"",(V1327-T1327)/T1327)</f>
        <v/>
      </c>
      <c r="X1327" s="7">
        <f>IF(COUNT(D1327:S1327)=0,"",INDEX($D$1:$S$1,MATCH(MIN(D1327:S1327),D1327:S1327,0)))</f>
        <v/>
      </c>
      <c r="Y1327" s="8" t="n">
        <v>106.6</v>
      </c>
      <c r="Z1327" s="10" t="n">
        <v>1</v>
      </c>
    </row>
    <row r="1328">
      <c r="A1328" s="7" t="inlineStr">
        <is>
          <t>MAT-30-005</t>
        </is>
      </c>
      <c r="B1328" s="4" t="inlineStr">
        <is>
          <t>Cable de red Cat 5 blindado</t>
        </is>
      </c>
      <c r="C1328" s="7" t="inlineStr">
        <is>
          <t>rollo</t>
        </is>
      </c>
      <c r="D1328" s="8" t="n">
        <v>813.6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>
        <f>IF(COUNT(D1328:S1328)=0,"",MIN(D1328:S1328))</f>
        <v/>
      </c>
      <c r="U1328" s="8">
        <f>IF(COUNT(D1328:S1328)=0,"",MEDIAN(D1328:S1328))</f>
        <v/>
      </c>
      <c r="V1328" s="8">
        <f>IF(COUNT(D1328:S1328)=0,"",MAX(D1328:S1328))</f>
        <v/>
      </c>
      <c r="W1328" s="9">
        <f>IF(OR(T1328="",T1328=0),"",(V1328-T1328)/T1328)</f>
        <v/>
      </c>
      <c r="X1328" s="7">
        <f>IF(COUNT(D1328:S1328)=0,"",INDEX($D$1:$S$1,MATCH(MIN(D1328:S1328),D1328:S1328,0)))</f>
        <v/>
      </c>
      <c r="Y1328" s="8" t="n">
        <v>813.6</v>
      </c>
      <c r="Z1328" s="10" t="n">
        <v>1</v>
      </c>
    </row>
    <row r="1329">
      <c r="A1329" s="7" t="inlineStr">
        <is>
          <t>MAT-30-007</t>
        </is>
      </c>
      <c r="B1329" s="4" t="inlineStr">
        <is>
          <t>Cable de red Cat 6A</t>
        </is>
      </c>
      <c r="C1329" s="7" t="inlineStr">
        <is>
          <t>rollo</t>
        </is>
      </c>
      <c r="D1329" s="8" t="n">
        <v>215.59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>
        <f>IF(COUNT(D1329:S1329)=0,"",MIN(D1329:S1329))</f>
        <v/>
      </c>
      <c r="U1329" s="8">
        <f>IF(COUNT(D1329:S1329)=0,"",MEDIAN(D1329:S1329))</f>
        <v/>
      </c>
      <c r="V1329" s="8">
        <f>IF(COUNT(D1329:S1329)=0,"",MAX(D1329:S1329))</f>
        <v/>
      </c>
      <c r="W1329" s="9">
        <f>IF(OR(T1329="",T1329=0),"",(V1329-T1329)/T1329)</f>
        <v/>
      </c>
      <c r="X1329" s="7">
        <f>IF(COUNT(D1329:S1329)=0,"",INDEX($D$1:$S$1,MATCH(MIN(D1329:S1329),D1329:S1329,0)))</f>
        <v/>
      </c>
      <c r="Y1329" s="8" t="n">
        <v>466.67</v>
      </c>
      <c r="Z1329" s="10" t="n">
        <v>1</v>
      </c>
    </row>
    <row r="1330">
      <c r="A1330" s="7" t="inlineStr">
        <is>
          <t>MAT-30-009</t>
        </is>
      </c>
      <c r="B1330" s="4" t="inlineStr">
        <is>
          <t>Jack RJ45 Cat 5</t>
        </is>
      </c>
      <c r="C1330" s="7" t="inlineStr">
        <is>
          <t>unidad</t>
        </is>
      </c>
      <c r="D1330" s="8" t="n">
        <v>106.97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>
        <f>IF(COUNT(D1330:S1330)=0,"",MIN(D1330:S1330))</f>
        <v/>
      </c>
      <c r="U1330" s="8">
        <f>IF(COUNT(D1330:S1330)=0,"",MEDIAN(D1330:S1330))</f>
        <v/>
      </c>
      <c r="V1330" s="8">
        <f>IF(COUNT(D1330:S1330)=0,"",MAX(D1330:S1330))</f>
        <v/>
      </c>
      <c r="W1330" s="9">
        <f>IF(OR(T1330="",T1330=0),"",(V1330-T1330)/T1330)</f>
        <v/>
      </c>
      <c r="X1330" s="7">
        <f>IF(COUNT(D1330:S1330)=0,"",INDEX($D$1:$S$1,MATCH(MIN(D1330:S1330),D1330:S1330,0)))</f>
        <v/>
      </c>
      <c r="Y1330" s="8" t="n">
        <v>106.97</v>
      </c>
      <c r="Z1330" s="10" t="n">
        <v>1</v>
      </c>
    </row>
    <row r="1331">
      <c r="A1331" s="7" t="inlineStr">
        <is>
          <t>MAT-30-010</t>
        </is>
      </c>
      <c r="B1331" s="4" t="inlineStr">
        <is>
          <t>Jack RJ45 Cat 6</t>
        </is>
      </c>
      <c r="C1331" s="7" t="inlineStr">
        <is>
          <t>unidad</t>
        </is>
      </c>
      <c r="D1331" s="8" t="n">
        <v>189.16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>
        <f>IF(COUNT(D1331:S1331)=0,"",MIN(D1331:S1331))</f>
        <v/>
      </c>
      <c r="U1331" s="8">
        <f>IF(COUNT(D1331:S1331)=0,"",MEDIAN(D1331:S1331))</f>
        <v/>
      </c>
      <c r="V1331" s="8">
        <f>IF(COUNT(D1331:S1331)=0,"",MAX(D1331:S1331))</f>
        <v/>
      </c>
      <c r="W1331" s="9">
        <f>IF(OR(T1331="",T1331=0),"",(V1331-T1331)/T1331)</f>
        <v/>
      </c>
      <c r="X1331" s="7">
        <f>IF(COUNT(D1331:S1331)=0,"",INDEX($D$1:$S$1,MATCH(MIN(D1331:S1331),D1331:S1331,0)))</f>
        <v/>
      </c>
      <c r="Y1331" s="8" t="n">
        <v>254.97</v>
      </c>
      <c r="Z1331" s="10" t="n">
        <v>1</v>
      </c>
    </row>
    <row r="1332">
      <c r="A1332" s="7" t="inlineStr">
        <is>
          <t>MAT-30-011</t>
        </is>
      </c>
      <c r="B1332" s="4" t="inlineStr">
        <is>
          <t>Jack RJ45 Cat 6A</t>
        </is>
      </c>
      <c r="C1332" s="7" t="inlineStr">
        <is>
          <t>unidad</t>
        </is>
      </c>
      <c r="D1332" s="8" t="n">
        <v>256.97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>
        <f>IF(COUNT(D1332:S1332)=0,"",MIN(D1332:S1332))</f>
        <v/>
      </c>
      <c r="U1332" s="8">
        <f>IF(COUNT(D1332:S1332)=0,"",MEDIAN(D1332:S1332))</f>
        <v/>
      </c>
      <c r="V1332" s="8">
        <f>IF(COUNT(D1332:S1332)=0,"",MAX(D1332:S1332))</f>
        <v/>
      </c>
      <c r="W1332" s="9">
        <f>IF(OR(T1332="",T1332=0),"",(V1332-T1332)/T1332)</f>
        <v/>
      </c>
      <c r="X1332" s="7">
        <f>IF(COUNT(D1332:S1332)=0,"",INDEX($D$1:$S$1,MATCH(MIN(D1332:S1332),D1332:S1332,0)))</f>
        <v/>
      </c>
      <c r="Y1332" s="8" t="n">
        <v>256.97</v>
      </c>
      <c r="Z1332" s="10" t="n">
        <v>1</v>
      </c>
    </row>
    <row r="1333">
      <c r="A1333" s="7" t="inlineStr">
        <is>
          <t>MAT-30-012</t>
        </is>
      </c>
      <c r="B1333" s="4" t="inlineStr">
        <is>
          <t>Jack RJ45 Cat 6A blindado</t>
        </is>
      </c>
      <c r="C1333" s="7" t="inlineStr">
        <is>
          <t>unidad</t>
        </is>
      </c>
      <c r="D1333" s="8" t="n">
        <v>275.76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>
        <f>IF(COUNT(D1333:S1333)=0,"",MIN(D1333:S1333))</f>
        <v/>
      </c>
      <c r="U1333" s="8">
        <f>IF(COUNT(D1333:S1333)=0,"",MEDIAN(D1333:S1333))</f>
        <v/>
      </c>
      <c r="V1333" s="8">
        <f>IF(COUNT(D1333:S1333)=0,"",MAX(D1333:S1333))</f>
        <v/>
      </c>
      <c r="W1333" s="9">
        <f>IF(OR(T1333="",T1333=0),"",(V1333-T1333)/T1333)</f>
        <v/>
      </c>
      <c r="X1333" s="7">
        <f>IF(COUNT(D1333:S1333)=0,"",INDEX($D$1:$S$1,MATCH(MIN(D1333:S1333),D1333:S1333,0)))</f>
        <v/>
      </c>
      <c r="Y1333" s="8" t="n">
        <v>334.53</v>
      </c>
      <c r="Z1333" s="10" t="n">
        <v>1</v>
      </c>
    </row>
    <row r="1334">
      <c r="A1334" s="7" t="inlineStr">
        <is>
          <t>MAT-30-013</t>
        </is>
      </c>
      <c r="B1334" s="4" t="inlineStr">
        <is>
          <t>Patch panel</t>
        </is>
      </c>
      <c r="C1334" s="7" t="inlineStr">
        <is>
          <t>unidad</t>
        </is>
      </c>
      <c r="D1334" s="8" t="n">
        <v>192.87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>
        <f>IF(COUNT(D1334:S1334)=0,"",MIN(D1334:S1334))</f>
        <v/>
      </c>
      <c r="U1334" s="8">
        <f>IF(COUNT(D1334:S1334)=0,"",MEDIAN(D1334:S1334))</f>
        <v/>
      </c>
      <c r="V1334" s="8">
        <f>IF(COUNT(D1334:S1334)=0,"",MAX(D1334:S1334))</f>
        <v/>
      </c>
      <c r="W1334" s="9">
        <f>IF(OR(T1334="",T1334=0),"",(V1334-T1334)/T1334)</f>
        <v/>
      </c>
      <c r="X1334" s="7">
        <f>IF(COUNT(D1334:S1334)=0,"",INDEX($D$1:$S$1,MATCH(MIN(D1334:S1334),D1334:S1334,0)))</f>
        <v/>
      </c>
      <c r="Y1334" s="8" t="n">
        <v>1305.12</v>
      </c>
      <c r="Z1334" s="10" t="n">
        <v>1</v>
      </c>
    </row>
    <row r="1335">
      <c r="A1335" s="7" t="inlineStr">
        <is>
          <t>MAT-30-014</t>
        </is>
      </c>
      <c r="B1335" s="4" t="inlineStr">
        <is>
          <t>Patch panel 24 puertos</t>
        </is>
      </c>
      <c r="C1335" s="7" t="inlineStr">
        <is>
          <t>unidad</t>
        </is>
      </c>
      <c r="D1335" s="8" t="n">
        <v>5568.67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>
        <f>IF(COUNT(D1335:S1335)=0,"",MIN(D1335:S1335))</f>
        <v/>
      </c>
      <c r="U1335" s="8">
        <f>IF(COUNT(D1335:S1335)=0,"",MEDIAN(D1335:S1335))</f>
        <v/>
      </c>
      <c r="V1335" s="8">
        <f>IF(COUNT(D1335:S1335)=0,"",MAX(D1335:S1335))</f>
        <v/>
      </c>
      <c r="W1335" s="9">
        <f>IF(OR(T1335="",T1335=0),"",(V1335-T1335)/T1335)</f>
        <v/>
      </c>
      <c r="X1335" s="7">
        <f>IF(COUNT(D1335:S1335)=0,"",INDEX($D$1:$S$1,MATCH(MIN(D1335:S1335),D1335:S1335,0)))</f>
        <v/>
      </c>
      <c r="Y1335" s="8" t="n">
        <v>5568.67</v>
      </c>
      <c r="Z1335" s="10" t="n">
        <v>1</v>
      </c>
    </row>
    <row r="1336">
      <c r="A1336" s="7" t="inlineStr">
        <is>
          <t>MAT-30-015</t>
        </is>
      </c>
      <c r="B1336" s="4" t="inlineStr">
        <is>
          <t>Patch panel 48 puertos</t>
        </is>
      </c>
      <c r="C1336" s="7" t="inlineStr">
        <is>
          <t>unidad</t>
        </is>
      </c>
      <c r="D1336" s="8" t="n">
        <v>1782.28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>
        <f>IF(COUNT(D1336:S1336)=0,"",MIN(D1336:S1336))</f>
        <v/>
      </c>
      <c r="U1336" s="8">
        <f>IF(COUNT(D1336:S1336)=0,"",MEDIAN(D1336:S1336))</f>
        <v/>
      </c>
      <c r="V1336" s="8">
        <f>IF(COUNT(D1336:S1336)=0,"",MAX(D1336:S1336))</f>
        <v/>
      </c>
      <c r="W1336" s="9">
        <f>IF(OR(T1336="",T1336=0),"",(V1336-T1336)/T1336)</f>
        <v/>
      </c>
      <c r="X1336" s="7">
        <f>IF(COUNT(D1336:S1336)=0,"",INDEX($D$1:$S$1,MATCH(MIN(D1336:S1336),D1336:S1336,0)))</f>
        <v/>
      </c>
      <c r="Y1336" s="8" t="n">
        <v>1782.28</v>
      </c>
      <c r="Z1336" s="10" t="n">
        <v>1</v>
      </c>
    </row>
    <row r="1337">
      <c r="A1337" s="7" t="inlineStr">
        <is>
          <t>MAT-30-016</t>
        </is>
      </c>
      <c r="B1337" s="4" t="inlineStr">
        <is>
          <t>Placa de pared para datos</t>
        </is>
      </c>
      <c r="C1337" s="7" t="inlineStr">
        <is>
          <t>unidad</t>
        </is>
      </c>
      <c r="D1337" s="8" t="n">
        <v>77.06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>
        <f>IF(COUNT(D1337:S1337)=0,"",MIN(D1337:S1337))</f>
        <v/>
      </c>
      <c r="U1337" s="8">
        <f>IF(COUNT(D1337:S1337)=0,"",MEDIAN(D1337:S1337))</f>
        <v/>
      </c>
      <c r="V1337" s="8">
        <f>IF(COUNT(D1337:S1337)=0,"",MAX(D1337:S1337))</f>
        <v/>
      </c>
      <c r="W1337" s="9">
        <f>IF(OR(T1337="",T1337=0),"",(V1337-T1337)/T1337)</f>
        <v/>
      </c>
      <c r="X1337" s="7">
        <f>IF(COUNT(D1337:S1337)=0,"",INDEX($D$1:$S$1,MATCH(MIN(D1337:S1337),D1337:S1337,0)))</f>
        <v/>
      </c>
      <c r="Y1337" s="8" t="n">
        <v>102.17</v>
      </c>
      <c r="Z1337" s="10" t="n">
        <v>1</v>
      </c>
    </row>
    <row r="1338">
      <c r="A1338" s="7" t="inlineStr">
        <is>
          <t>MAT-30-019</t>
        </is>
      </c>
      <c r="B1338" s="4" t="inlineStr">
        <is>
          <t>Placa de pared para datos 3 puertos</t>
        </is>
      </c>
      <c r="C1338" s="7" t="inlineStr">
        <is>
          <t>unidad</t>
        </is>
      </c>
      <c r="D1338" s="8" t="n">
        <v>1196.92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>
        <f>IF(COUNT(D1338:S1338)=0,"",MIN(D1338:S1338))</f>
        <v/>
      </c>
      <c r="U1338" s="8">
        <f>IF(COUNT(D1338:S1338)=0,"",MEDIAN(D1338:S1338))</f>
        <v/>
      </c>
      <c r="V1338" s="8">
        <f>IF(COUNT(D1338:S1338)=0,"",MAX(D1338:S1338))</f>
        <v/>
      </c>
      <c r="W1338" s="9">
        <f>IF(OR(T1338="",T1338=0),"",(V1338-T1338)/T1338)</f>
        <v/>
      </c>
      <c r="X1338" s="7">
        <f>IF(COUNT(D1338:S1338)=0,"",INDEX($D$1:$S$1,MATCH(MIN(D1338:S1338),D1338:S1338,0)))</f>
        <v/>
      </c>
      <c r="Y1338" s="8" t="n">
        <v>1196.92</v>
      </c>
      <c r="Z1338" s="10" t="n">
        <v>1</v>
      </c>
    </row>
    <row r="1339">
      <c r="A1339" s="7" t="inlineStr">
        <is>
          <t>MAT-30-021</t>
        </is>
      </c>
      <c r="B1339" s="4" t="inlineStr">
        <is>
          <t>Equipo de red</t>
        </is>
      </c>
      <c r="C1339" s="7" t="inlineStr">
        <is>
          <t>unidad</t>
        </is>
      </c>
      <c r="D1339" s="8" t="n">
        <v>587.39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>
        <f>IF(COUNT(D1339:S1339)=0,"",MIN(D1339:S1339))</f>
        <v/>
      </c>
      <c r="U1339" s="8">
        <f>IF(COUNT(D1339:S1339)=0,"",MEDIAN(D1339:S1339))</f>
        <v/>
      </c>
      <c r="V1339" s="8">
        <f>IF(COUNT(D1339:S1339)=0,"",MAX(D1339:S1339))</f>
        <v/>
      </c>
      <c r="W1339" s="9">
        <f>IF(OR(T1339="",T1339=0),"",(V1339-T1339)/T1339)</f>
        <v/>
      </c>
      <c r="X1339" s="7">
        <f>IF(COUNT(D1339:S1339)=0,"",INDEX($D$1:$S$1,MATCH(MIN(D1339:S1339),D1339:S1339,0)))</f>
        <v/>
      </c>
      <c r="Y1339" s="8" t="n">
        <v>4902.12</v>
      </c>
      <c r="Z1339" s="10" t="n">
        <v>1</v>
      </c>
    </row>
    <row r="1340">
      <c r="A1340" s="7" t="inlineStr">
        <is>
          <t>MAT-30-022</t>
        </is>
      </c>
      <c r="B1340" s="4" t="inlineStr">
        <is>
          <t>Equipo de red 24 puertos</t>
        </is>
      </c>
      <c r="C1340" s="7" t="inlineStr">
        <is>
          <t>unidad</t>
        </is>
      </c>
      <c r="D1340" s="8" t="n">
        <v>16692.67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>
        <f>IF(COUNT(D1340:S1340)=0,"",MIN(D1340:S1340))</f>
        <v/>
      </c>
      <c r="U1340" s="8">
        <f>IF(COUNT(D1340:S1340)=0,"",MEDIAN(D1340:S1340))</f>
        <v/>
      </c>
      <c r="V1340" s="8">
        <f>IF(COUNT(D1340:S1340)=0,"",MAX(D1340:S1340))</f>
        <v/>
      </c>
      <c r="W1340" s="9">
        <f>IF(OR(T1340="",T1340=0),"",(V1340-T1340)/T1340)</f>
        <v/>
      </c>
      <c r="X1340" s="7">
        <f>IF(COUNT(D1340:S1340)=0,"",INDEX($D$1:$S$1,MATCH(MIN(D1340:S1340),D1340:S1340,0)))</f>
        <v/>
      </c>
      <c r="Y1340" s="8" t="n">
        <v>16692.67</v>
      </c>
      <c r="Z1340" s="10" t="n">
        <v>1</v>
      </c>
    </row>
    <row r="1341">
      <c r="A1341" s="7" t="inlineStr">
        <is>
          <t>MAT-30-027</t>
        </is>
      </c>
      <c r="B1341" s="4" t="inlineStr">
        <is>
          <t>Fuente de alimentación para sistemas 12 V</t>
        </is>
      </c>
      <c r="C1341" s="7" t="inlineStr">
        <is>
          <t>unidad</t>
        </is>
      </c>
      <c r="D1341" s="8" t="n">
        <v>1111.78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>
        <f>IF(COUNT(D1341:S1341)=0,"",MIN(D1341:S1341))</f>
        <v/>
      </c>
      <c r="U1341" s="8">
        <f>IF(COUNT(D1341:S1341)=0,"",MEDIAN(D1341:S1341))</f>
        <v/>
      </c>
      <c r="V1341" s="8">
        <f>IF(COUNT(D1341:S1341)=0,"",MAX(D1341:S1341))</f>
        <v/>
      </c>
      <c r="W1341" s="9">
        <f>IF(OR(T1341="",T1341=0),"",(V1341-T1341)/T1341)</f>
        <v/>
      </c>
      <c r="X1341" s="7">
        <f>IF(COUNT(D1341:S1341)=0,"",INDEX($D$1:$S$1,MATCH(MIN(D1341:S1341),D1341:S1341,0)))</f>
        <v/>
      </c>
      <c r="Y1341" s="8" t="n">
        <v>2813.06</v>
      </c>
      <c r="Z1341" s="10" t="n">
        <v>1</v>
      </c>
    </row>
    <row r="1342">
      <c r="A1342" s="7" t="inlineStr">
        <is>
          <t>MAT-30-028</t>
        </is>
      </c>
      <c r="B1342" s="4" t="inlineStr">
        <is>
          <t>Fuente de alimentación para sistemas 120 V</t>
        </is>
      </c>
      <c r="C1342" s="7" t="inlineStr">
        <is>
          <t>unidad</t>
        </is>
      </c>
      <c r="D1342" s="8" t="n">
        <v>906.34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>
        <f>IF(COUNT(D1342:S1342)=0,"",MIN(D1342:S1342))</f>
        <v/>
      </c>
      <c r="U1342" s="8">
        <f>IF(COUNT(D1342:S1342)=0,"",MEDIAN(D1342:S1342))</f>
        <v/>
      </c>
      <c r="V1342" s="8">
        <f>IF(COUNT(D1342:S1342)=0,"",MAX(D1342:S1342))</f>
        <v/>
      </c>
      <c r="W1342" s="9">
        <f>IF(OR(T1342="",T1342=0),"",(V1342-T1342)/T1342)</f>
        <v/>
      </c>
      <c r="X1342" s="7">
        <f>IF(COUNT(D1342:S1342)=0,"",INDEX($D$1:$S$1,MATCH(MIN(D1342:S1342),D1342:S1342,0)))</f>
        <v/>
      </c>
      <c r="Y1342" s="8" t="n">
        <v>1031.86</v>
      </c>
      <c r="Z1342" s="10" t="n">
        <v>1</v>
      </c>
    </row>
    <row r="1343">
      <c r="A1343" s="7" t="inlineStr">
        <is>
          <t>MAT-30-029</t>
        </is>
      </c>
      <c r="B1343" s="4" t="inlineStr">
        <is>
          <t>Fuente de alimentación para sistemas 24 V</t>
        </is>
      </c>
      <c r="C1343" s="7" t="inlineStr">
        <is>
          <t>unidad</t>
        </is>
      </c>
      <c r="D1343" s="8" t="n">
        <v>11089.49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>
        <f>IF(COUNT(D1343:S1343)=0,"",MIN(D1343:S1343))</f>
        <v/>
      </c>
      <c r="U1343" s="8">
        <f>IF(COUNT(D1343:S1343)=0,"",MEDIAN(D1343:S1343))</f>
        <v/>
      </c>
      <c r="V1343" s="8">
        <f>IF(COUNT(D1343:S1343)=0,"",MAX(D1343:S1343))</f>
        <v/>
      </c>
      <c r="W1343" s="9">
        <f>IF(OR(T1343="",T1343=0),"",(V1343-T1343)/T1343)</f>
        <v/>
      </c>
      <c r="X1343" s="7">
        <f>IF(COUNT(D1343:S1343)=0,"",INDEX($D$1:$S$1,MATCH(MIN(D1343:S1343),D1343:S1343,0)))</f>
        <v/>
      </c>
      <c r="Y1343" s="8" t="n">
        <v>13861.06</v>
      </c>
      <c r="Z1343" s="10" t="n">
        <v>1</v>
      </c>
    </row>
    <row r="1344">
      <c r="A1344" s="7" t="inlineStr">
        <is>
          <t>MAT-30-030</t>
        </is>
      </c>
      <c r="B1344" s="4" t="inlineStr">
        <is>
          <t>Fuente de alimentación para sistemas 275 V</t>
        </is>
      </c>
      <c r="C1344" s="7" t="inlineStr">
        <is>
          <t>unidad</t>
        </is>
      </c>
      <c r="D1344" s="8" t="n">
        <v>28.95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>
        <f>IF(COUNT(D1344:S1344)=0,"",MIN(D1344:S1344))</f>
        <v/>
      </c>
      <c r="U1344" s="8">
        <f>IF(COUNT(D1344:S1344)=0,"",MEDIAN(D1344:S1344))</f>
        <v/>
      </c>
      <c r="V1344" s="8">
        <f>IF(COUNT(D1344:S1344)=0,"",MAX(D1344:S1344))</f>
        <v/>
      </c>
      <c r="W1344" s="9">
        <f>IF(OR(T1344="",T1344=0),"",(V1344-T1344)/T1344)</f>
        <v/>
      </c>
      <c r="X1344" s="7">
        <f>IF(COUNT(D1344:S1344)=0,"",INDEX($D$1:$S$1,MATCH(MIN(D1344:S1344),D1344:S1344,0)))</f>
        <v/>
      </c>
      <c r="Y1344" s="8" t="n">
        <v>28.95</v>
      </c>
      <c r="Z1344" s="10" t="n">
        <v>1</v>
      </c>
    </row>
    <row r="1345">
      <c r="A1345" s="7" t="inlineStr">
        <is>
          <t>MAT-30-031</t>
        </is>
      </c>
      <c r="B1345" s="4" t="inlineStr">
        <is>
          <t>Fuente de alimentación para sistemas 277 V</t>
        </is>
      </c>
      <c r="C1345" s="7" t="inlineStr">
        <is>
          <t>unidad</t>
        </is>
      </c>
      <c r="D1345" s="8" t="n">
        <v>2150.5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>
        <f>IF(COUNT(D1345:S1345)=0,"",MIN(D1345:S1345))</f>
        <v/>
      </c>
      <c r="U1345" s="8">
        <f>IF(COUNT(D1345:S1345)=0,"",MEDIAN(D1345:S1345))</f>
        <v/>
      </c>
      <c r="V1345" s="8">
        <f>IF(COUNT(D1345:S1345)=0,"",MAX(D1345:S1345))</f>
        <v/>
      </c>
      <c r="W1345" s="9">
        <f>IF(OR(T1345="",T1345=0),"",(V1345-T1345)/T1345)</f>
        <v/>
      </c>
      <c r="X1345" s="7">
        <f>IF(COUNT(D1345:S1345)=0,"",INDEX($D$1:$S$1,MATCH(MIN(D1345:S1345),D1345:S1345,0)))</f>
        <v/>
      </c>
      <c r="Y1345" s="8" t="n">
        <v>2150.5</v>
      </c>
      <c r="Z1345" s="10" t="n">
        <v>1</v>
      </c>
    </row>
    <row r="1346">
      <c r="A1346" s="7" t="inlineStr">
        <is>
          <t>MAT-31-003</t>
        </is>
      </c>
      <c r="B1346" s="4" t="inlineStr">
        <is>
          <t>Interruptor inteligente 1 canales</t>
        </is>
      </c>
      <c r="C1346" s="7" t="inlineStr">
        <is>
          <t>unidad</t>
        </is>
      </c>
      <c r="D1346" s="8" t="n">
        <v>1089.61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>
        <f>IF(COUNT(D1346:S1346)=0,"",MIN(D1346:S1346))</f>
        <v/>
      </c>
      <c r="U1346" s="8">
        <f>IF(COUNT(D1346:S1346)=0,"",MEDIAN(D1346:S1346))</f>
        <v/>
      </c>
      <c r="V1346" s="8">
        <f>IF(COUNT(D1346:S1346)=0,"",MAX(D1346:S1346))</f>
        <v/>
      </c>
      <c r="W1346" s="9">
        <f>IF(OR(T1346="",T1346=0),"",(V1346-T1346)/T1346)</f>
        <v/>
      </c>
      <c r="X1346" s="7">
        <f>IF(COUNT(D1346:S1346)=0,"",INDEX($D$1:$S$1,MATCH(MIN(D1346:S1346),D1346:S1346,0)))</f>
        <v/>
      </c>
      <c r="Y1346" s="8" t="n">
        <v>1549.16</v>
      </c>
      <c r="Z1346" s="10" t="n">
        <v>1</v>
      </c>
    </row>
    <row r="1347">
      <c r="A1347" s="7" t="inlineStr">
        <is>
          <t>MAT-31-004</t>
        </is>
      </c>
      <c r="B1347" s="4" t="inlineStr">
        <is>
          <t>Interruptor inteligente 1 canales con neutro</t>
        </is>
      </c>
      <c r="C1347" s="7" t="inlineStr">
        <is>
          <t>unidad</t>
        </is>
      </c>
      <c r="D1347" s="8" t="n">
        <v>2892.27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>
        <f>IF(COUNT(D1347:S1347)=0,"",MIN(D1347:S1347))</f>
        <v/>
      </c>
      <c r="U1347" s="8">
        <f>IF(COUNT(D1347:S1347)=0,"",MEDIAN(D1347:S1347))</f>
        <v/>
      </c>
      <c r="V1347" s="8">
        <f>IF(COUNT(D1347:S1347)=0,"",MAX(D1347:S1347))</f>
        <v/>
      </c>
      <c r="W1347" s="9">
        <f>IF(OR(T1347="",T1347=0),"",(V1347-T1347)/T1347)</f>
        <v/>
      </c>
      <c r="X1347" s="7">
        <f>IF(COUNT(D1347:S1347)=0,"",INDEX($D$1:$S$1,MATCH(MIN(D1347:S1347),D1347:S1347,0)))</f>
        <v/>
      </c>
      <c r="Y1347" s="8" t="n">
        <v>2892.27</v>
      </c>
      <c r="Z1347" s="10" t="n">
        <v>1</v>
      </c>
    </row>
    <row r="1348">
      <c r="A1348" s="7" t="inlineStr">
        <is>
          <t>MAT-31-005</t>
        </is>
      </c>
      <c r="B1348" s="4" t="inlineStr">
        <is>
          <t>Interruptor inteligente 1 canales sin neutro</t>
        </is>
      </c>
      <c r="C1348" s="7" t="inlineStr">
        <is>
          <t>unidad</t>
        </is>
      </c>
      <c r="D1348" s="8" t="n">
        <v>2958.46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>
        <f>IF(COUNT(D1348:S1348)=0,"",MIN(D1348:S1348))</f>
        <v/>
      </c>
      <c r="U1348" s="8">
        <f>IF(COUNT(D1348:S1348)=0,"",MEDIAN(D1348:S1348))</f>
        <v/>
      </c>
      <c r="V1348" s="8">
        <f>IF(COUNT(D1348:S1348)=0,"",MAX(D1348:S1348))</f>
        <v/>
      </c>
      <c r="W1348" s="9">
        <f>IF(OR(T1348="",T1348=0),"",(V1348-T1348)/T1348)</f>
        <v/>
      </c>
      <c r="X1348" s="7">
        <f>IF(COUNT(D1348:S1348)=0,"",INDEX($D$1:$S$1,MATCH(MIN(D1348:S1348),D1348:S1348,0)))</f>
        <v/>
      </c>
      <c r="Y1348" s="8" t="n">
        <v>2958.46</v>
      </c>
      <c r="Z1348" s="10" t="n">
        <v>1</v>
      </c>
    </row>
    <row r="1349">
      <c r="A1349" s="7" t="inlineStr">
        <is>
          <t>MAT-31-006</t>
        </is>
      </c>
      <c r="B1349" s="4" t="inlineStr">
        <is>
          <t>Interruptor inteligente 2 canales</t>
        </is>
      </c>
      <c r="C1349" s="7" t="inlineStr">
        <is>
          <t>unidad</t>
        </is>
      </c>
      <c r="D1349" s="8" t="n">
        <v>1210.31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>
        <f>IF(COUNT(D1349:S1349)=0,"",MIN(D1349:S1349))</f>
        <v/>
      </c>
      <c r="U1349" s="8">
        <f>IF(COUNT(D1349:S1349)=0,"",MEDIAN(D1349:S1349))</f>
        <v/>
      </c>
      <c r="V1349" s="8">
        <f>IF(COUNT(D1349:S1349)=0,"",MAX(D1349:S1349))</f>
        <v/>
      </c>
      <c r="W1349" s="9">
        <f>IF(OR(T1349="",T1349=0),"",(V1349-T1349)/T1349)</f>
        <v/>
      </c>
      <c r="X1349" s="7">
        <f>IF(COUNT(D1349:S1349)=0,"",INDEX($D$1:$S$1,MATCH(MIN(D1349:S1349),D1349:S1349,0)))</f>
        <v/>
      </c>
      <c r="Y1349" s="8" t="n">
        <v>1632.51</v>
      </c>
      <c r="Z1349" s="10" t="n">
        <v>1</v>
      </c>
    </row>
    <row r="1350">
      <c r="A1350" s="7" t="inlineStr">
        <is>
          <t>MAT-31-007</t>
        </is>
      </c>
      <c r="B1350" s="4" t="inlineStr">
        <is>
          <t>Interruptor inteligente 2 canales con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>
        <f>IF(COUNT(D1350:S1350)=0,"",MIN(D1350:S1350))</f>
        <v/>
      </c>
      <c r="U1350" s="8">
        <f>IF(COUNT(D1350:S1350)=0,"",MEDIAN(D1350:S1350))</f>
        <v/>
      </c>
      <c r="V1350" s="8">
        <f>IF(COUNT(D1350:S1350)=0,"",MAX(D1350:S1350))</f>
        <v/>
      </c>
      <c r="W1350" s="9">
        <f>IF(OR(T1350="",T1350=0),"",(V1350-T1350)/T1350)</f>
        <v/>
      </c>
      <c r="X1350" s="7">
        <f>IF(COUNT(D1350:S1350)=0,"",INDEX($D$1:$S$1,MATCH(MIN(D1350:S1350),D1350:S1350,0)))</f>
        <v/>
      </c>
      <c r="Y1350" s="8" t="n">
        <v>2743.31</v>
      </c>
      <c r="Z1350" s="10" t="n">
        <v>1</v>
      </c>
    </row>
    <row r="1351">
      <c r="A1351" s="7" t="inlineStr">
        <is>
          <t>MAT-31-008</t>
        </is>
      </c>
      <c r="B1351" s="4" t="inlineStr">
        <is>
          <t>Interruptor inteligente 2 canales sin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>
        <f>IF(COUNT(D1351:S1351)=0,"",MIN(D1351:S1351))</f>
        <v/>
      </c>
      <c r="U1351" s="8">
        <f>IF(COUNT(D1351:S1351)=0,"",MEDIAN(D1351:S1351))</f>
        <v/>
      </c>
      <c r="V1351" s="8">
        <f>IF(COUNT(D1351:S1351)=0,"",MAX(D1351:S1351))</f>
        <v/>
      </c>
      <c r="W1351" s="9">
        <f>IF(OR(T1351="",T1351=0),"",(V1351-T1351)/T1351)</f>
        <v/>
      </c>
      <c r="X1351" s="7">
        <f>IF(COUNT(D1351:S1351)=0,"",INDEX($D$1:$S$1,MATCH(MIN(D1351:S1351),D1351:S1351,0)))</f>
        <v/>
      </c>
      <c r="Y1351" s="8" t="n">
        <v>2743.31</v>
      </c>
      <c r="Z1351" s="10" t="n">
        <v>1</v>
      </c>
    </row>
    <row r="1352">
      <c r="A1352" s="7" t="inlineStr">
        <is>
          <t>MAT-31-009</t>
        </is>
      </c>
      <c r="B1352" s="4" t="inlineStr">
        <is>
          <t>Interruptor inteligente 3 canales</t>
        </is>
      </c>
      <c r="C1352" s="7" t="inlineStr">
        <is>
          <t>unidad</t>
        </is>
      </c>
      <c r="D1352" s="8" t="n">
        <v>1497.83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>
        <f>IF(COUNT(D1352:S1352)=0,"",MIN(D1352:S1352))</f>
        <v/>
      </c>
      <c r="U1352" s="8">
        <f>IF(COUNT(D1352:S1352)=0,"",MEDIAN(D1352:S1352))</f>
        <v/>
      </c>
      <c r="V1352" s="8">
        <f>IF(COUNT(D1352:S1352)=0,"",MAX(D1352:S1352))</f>
        <v/>
      </c>
      <c r="W1352" s="9">
        <f>IF(OR(T1352="",T1352=0),"",(V1352-T1352)/T1352)</f>
        <v/>
      </c>
      <c r="X1352" s="7">
        <f>IF(COUNT(D1352:S1352)=0,"",INDEX($D$1:$S$1,MATCH(MIN(D1352:S1352),D1352:S1352,0)))</f>
        <v/>
      </c>
      <c r="Y1352" s="8" t="n">
        <v>4577.22</v>
      </c>
      <c r="Z1352" s="10" t="n">
        <v>1</v>
      </c>
    </row>
    <row r="1353">
      <c r="A1353" s="7" t="inlineStr">
        <is>
          <t>MAT-31-011</t>
        </is>
      </c>
      <c r="B1353" s="4" t="inlineStr">
        <is>
          <t>Central de domótica</t>
        </is>
      </c>
      <c r="C1353" s="7" t="inlineStr">
        <is>
          <t>unidad</t>
        </is>
      </c>
      <c r="D1353" s="8" t="n">
        <v>1143.26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>
        <f>IF(COUNT(D1353:S1353)=0,"",MIN(D1353:S1353))</f>
        <v/>
      </c>
      <c r="U1353" s="8">
        <f>IF(COUNT(D1353:S1353)=0,"",MEDIAN(D1353:S1353))</f>
        <v/>
      </c>
      <c r="V1353" s="8">
        <f>IF(COUNT(D1353:S1353)=0,"",MAX(D1353:S1353))</f>
        <v/>
      </c>
      <c r="W1353" s="9">
        <f>IF(OR(T1353="",T1353=0),"",(V1353-T1353)/T1353)</f>
        <v/>
      </c>
      <c r="X1353" s="7">
        <f>IF(COUNT(D1353:S1353)=0,"",INDEX($D$1:$S$1,MATCH(MIN(D1353:S1353),D1353:S1353,0)))</f>
        <v/>
      </c>
      <c r="Y1353" s="8" t="n">
        <v>5847.29</v>
      </c>
      <c r="Z1353" s="10" t="n">
        <v>1</v>
      </c>
    </row>
    <row r="1354">
      <c r="A1354" s="7" t="inlineStr">
        <is>
          <t>MAT-31-012</t>
        </is>
      </c>
      <c r="B1354" s="4" t="inlineStr">
        <is>
          <t>Kit de intercomunicador 4 apartamentos con video</t>
        </is>
      </c>
      <c r="C1354" s="7" t="inlineStr">
        <is>
          <t>juego</t>
        </is>
      </c>
      <c r="D1354" s="8" t="n">
        <v>32009.7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>
        <f>IF(COUNT(D1354:S1354)=0,"",MIN(D1354:S1354))</f>
        <v/>
      </c>
      <c r="U1354" s="8">
        <f>IF(COUNT(D1354:S1354)=0,"",MEDIAN(D1354:S1354))</f>
        <v/>
      </c>
      <c r="V1354" s="8">
        <f>IF(COUNT(D1354:S1354)=0,"",MAX(D1354:S1354))</f>
        <v/>
      </c>
      <c r="W1354" s="9">
        <f>IF(OR(T1354="",T1354=0),"",(V1354-T1354)/T1354)</f>
        <v/>
      </c>
      <c r="X1354" s="7">
        <f>IF(COUNT(D1354:S1354)=0,"",INDEX($D$1:$S$1,MATCH(MIN(D1354:S1354),D1354:S1354,0)))</f>
        <v/>
      </c>
      <c r="Y1354" s="8" t="n">
        <v>32009.7</v>
      </c>
      <c r="Z1354" s="10" t="n">
        <v>1</v>
      </c>
    </row>
    <row r="1355">
      <c r="A1355" s="7" t="inlineStr">
        <is>
          <t>MAT-31-013</t>
        </is>
      </c>
      <c r="B1355" s="4" t="inlineStr">
        <is>
          <t>Kit de intercomunicador 6 apartamentos con video</t>
        </is>
      </c>
      <c r="C1355" s="7" t="inlineStr">
        <is>
          <t>juego</t>
        </is>
      </c>
      <c r="D1355" s="8" t="n">
        <v>41504.58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>
        <f>IF(COUNT(D1355:S1355)=0,"",MIN(D1355:S1355))</f>
        <v/>
      </c>
      <c r="U1355" s="8">
        <f>IF(COUNT(D1355:S1355)=0,"",MEDIAN(D1355:S1355))</f>
        <v/>
      </c>
      <c r="V1355" s="8">
        <f>IF(COUNT(D1355:S1355)=0,"",MAX(D1355:S1355))</f>
        <v/>
      </c>
      <c r="W1355" s="9">
        <f>IF(OR(T1355="",T1355=0),"",(V1355-T1355)/T1355)</f>
        <v/>
      </c>
      <c r="X1355" s="7">
        <f>IF(COUNT(D1355:S1355)=0,"",INDEX($D$1:$S$1,MATCH(MIN(D1355:S1355),D1355:S1355,0)))</f>
        <v/>
      </c>
      <c r="Y1355" s="8" t="n">
        <v>41504.58</v>
      </c>
      <c r="Z1355" s="10" t="n">
        <v>1</v>
      </c>
    </row>
    <row r="1356">
      <c r="A1356" s="7" t="inlineStr">
        <is>
          <t>MAT-31-014</t>
        </is>
      </c>
      <c r="B1356" s="4" t="inlineStr">
        <is>
          <t>Kit de intercomunicador 8 apartamentos solo audio</t>
        </is>
      </c>
      <c r="C1356" s="7" t="inlineStr">
        <is>
          <t>juego</t>
        </is>
      </c>
      <c r="D1356" s="8" t="n">
        <v>16951.2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>
        <f>IF(COUNT(D1356:S1356)=0,"",MIN(D1356:S1356))</f>
        <v/>
      </c>
      <c r="U1356" s="8">
        <f>IF(COUNT(D1356:S1356)=0,"",MEDIAN(D1356:S1356))</f>
        <v/>
      </c>
      <c r="V1356" s="8">
        <f>IF(COUNT(D1356:S1356)=0,"",MAX(D1356:S1356))</f>
        <v/>
      </c>
      <c r="W1356" s="9">
        <f>IF(OR(T1356="",T1356=0),"",(V1356-T1356)/T1356)</f>
        <v/>
      </c>
      <c r="X1356" s="7">
        <f>IF(COUNT(D1356:S1356)=0,"",INDEX($D$1:$S$1,MATCH(MIN(D1356:S1356),D1356:S1356,0)))</f>
        <v/>
      </c>
      <c r="Y1356" s="8" t="n">
        <v>16951.2</v>
      </c>
      <c r="Z1356" s="10" t="n">
        <v>1</v>
      </c>
    </row>
    <row r="1357">
      <c r="A1357" s="7" t="inlineStr">
        <is>
          <t>MAT-31-015</t>
        </is>
      </c>
      <c r="B1357" s="4" t="inlineStr">
        <is>
          <t>Kit de intercomunicador 8 apartamentos con video</t>
        </is>
      </c>
      <c r="C1357" s="7" t="inlineStr">
        <is>
          <t>juego</t>
        </is>
      </c>
      <c r="D1357" s="8" t="n">
        <v>50715.2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>
        <f>IF(COUNT(D1357:S1357)=0,"",MIN(D1357:S1357))</f>
        <v/>
      </c>
      <c r="U1357" s="8">
        <f>IF(COUNT(D1357:S1357)=0,"",MEDIAN(D1357:S1357))</f>
        <v/>
      </c>
      <c r="V1357" s="8">
        <f>IF(COUNT(D1357:S1357)=0,"",MAX(D1357:S1357))</f>
        <v/>
      </c>
      <c r="W1357" s="9">
        <f>IF(OR(T1357="",T1357=0),"",(V1357-T1357)/T1357)</f>
        <v/>
      </c>
      <c r="X1357" s="7">
        <f>IF(COUNT(D1357:S1357)=0,"",INDEX($D$1:$S$1,MATCH(MIN(D1357:S1357),D1357:S1357,0)))</f>
        <v/>
      </c>
      <c r="Y1357" s="8" t="n">
        <v>50715.2</v>
      </c>
      <c r="Z1357" s="10" t="n">
        <v>1</v>
      </c>
    </row>
    <row r="1358">
      <c r="A1358" s="7" t="inlineStr">
        <is>
          <t>MAT-31-016</t>
        </is>
      </c>
      <c r="B1358" s="4" t="inlineStr">
        <is>
          <t>Kit de intercomunicador con video</t>
        </is>
      </c>
      <c r="C1358" s="7" t="inlineStr">
        <is>
          <t>juego</t>
        </is>
      </c>
      <c r="D1358" s="8" t="n">
        <v>8802.870000000001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>
        <f>IF(COUNT(D1358:S1358)=0,"",MIN(D1358:S1358))</f>
        <v/>
      </c>
      <c r="U1358" s="8">
        <f>IF(COUNT(D1358:S1358)=0,"",MEDIAN(D1358:S1358))</f>
        <v/>
      </c>
      <c r="V1358" s="8">
        <f>IF(COUNT(D1358:S1358)=0,"",MAX(D1358:S1358))</f>
        <v/>
      </c>
      <c r="W1358" s="9">
        <f>IF(OR(T1358="",T1358=0),"",(V1358-T1358)/T1358)</f>
        <v/>
      </c>
      <c r="X1358" s="7">
        <f>IF(COUNT(D1358:S1358)=0,"",INDEX($D$1:$S$1,MATCH(MIN(D1358:S1358),D1358:S1358,0)))</f>
        <v/>
      </c>
      <c r="Y1358" s="8" t="n">
        <v>12858.25</v>
      </c>
      <c r="Z1358" s="10" t="n">
        <v>1</v>
      </c>
    </row>
    <row r="1359">
      <c r="A1359" s="7" t="inlineStr">
        <is>
          <t>MAT-31-017</t>
        </is>
      </c>
      <c r="B1359" s="4" t="inlineStr">
        <is>
          <t>Estación de intercomunicador</t>
        </is>
      </c>
      <c r="C1359" s="7" t="inlineStr">
        <is>
          <t>unidad</t>
        </is>
      </c>
      <c r="D1359" s="8" t="n">
        <v>9200.34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>
        <f>IF(COUNT(D1359:S1359)=0,"",MIN(D1359:S1359))</f>
        <v/>
      </c>
      <c r="U1359" s="8">
        <f>IF(COUNT(D1359:S1359)=0,"",MEDIAN(D1359:S1359))</f>
        <v/>
      </c>
      <c r="V1359" s="8">
        <f>IF(COUNT(D1359:S1359)=0,"",MAX(D1359:S1359))</f>
        <v/>
      </c>
      <c r="W1359" s="9">
        <f>IF(OR(T1359="",T1359=0),"",(V1359-T1359)/T1359)</f>
        <v/>
      </c>
      <c r="X1359" s="7">
        <f>IF(COUNT(D1359:S1359)=0,"",INDEX($D$1:$S$1,MATCH(MIN(D1359:S1359),D1359:S1359,0)))</f>
        <v/>
      </c>
      <c r="Y1359" s="8" t="n">
        <v>9200.34</v>
      </c>
      <c r="Z1359" s="10" t="n">
        <v>1</v>
      </c>
    </row>
    <row r="1360">
      <c r="A1360" s="7" t="inlineStr">
        <is>
          <t>MAT-31-018</t>
        </is>
      </c>
      <c r="B1360" s="4" t="inlineStr">
        <is>
          <t>Estación de intercomunicador 7"</t>
        </is>
      </c>
      <c r="C1360" s="7" t="inlineStr">
        <is>
          <t>unidad</t>
        </is>
      </c>
      <c r="D1360" s="8" t="n">
        <v>14861.01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>
        <f>IF(COUNT(D1360:S1360)=0,"",MIN(D1360:S1360))</f>
        <v/>
      </c>
      <c r="U1360" s="8">
        <f>IF(COUNT(D1360:S1360)=0,"",MEDIAN(D1360:S1360))</f>
        <v/>
      </c>
      <c r="V1360" s="8">
        <f>IF(COUNT(D1360:S1360)=0,"",MAX(D1360:S1360))</f>
        <v/>
      </c>
      <c r="W1360" s="9">
        <f>IF(OR(T1360="",T1360=0),"",(V1360-T1360)/T1360)</f>
        <v/>
      </c>
      <c r="X1360" s="7">
        <f>IF(COUNT(D1360:S1360)=0,"",INDEX($D$1:$S$1,MATCH(MIN(D1360:S1360),D1360:S1360,0)))</f>
        <v/>
      </c>
      <c r="Y1360" s="8" t="n">
        <v>14861.01</v>
      </c>
      <c r="Z1360" s="10" t="n">
        <v>1</v>
      </c>
    </row>
    <row r="1361">
      <c r="A1361" s="7" t="inlineStr">
        <is>
          <t>MAT-31-019</t>
        </is>
      </c>
      <c r="B1361" s="4" t="inlineStr">
        <is>
          <t>Accesorio de intercomunicador</t>
        </is>
      </c>
      <c r="C1361" s="7" t="inlineStr">
        <is>
          <t>unidad</t>
        </is>
      </c>
      <c r="D1361" s="8" t="n">
        <v>305.08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>
        <f>IF(COUNT(D1361:S1361)=0,"",MIN(D1361:S1361))</f>
        <v/>
      </c>
      <c r="U1361" s="8">
        <f>IF(COUNT(D1361:S1361)=0,"",MEDIAN(D1361:S1361))</f>
        <v/>
      </c>
      <c r="V1361" s="8">
        <f>IF(COUNT(D1361:S1361)=0,"",MAX(D1361:S1361))</f>
        <v/>
      </c>
      <c r="W1361" s="9">
        <f>IF(OR(T1361="",T1361=0),"",(V1361-T1361)/T1361)</f>
        <v/>
      </c>
      <c r="X1361" s="7">
        <f>IF(COUNT(D1361:S1361)=0,"",INDEX($D$1:$S$1,MATCH(MIN(D1361:S1361),D1361:S1361,0)))</f>
        <v/>
      </c>
      <c r="Y1361" s="8" t="n">
        <v>1765.47</v>
      </c>
      <c r="Z1361" s="10" t="n">
        <v>1</v>
      </c>
    </row>
    <row r="1362">
      <c r="A1362" s="7" t="inlineStr">
        <is>
          <t>MAT-32-008</t>
        </is>
      </c>
      <c r="B1362" s="4" t="inlineStr">
        <is>
          <t>Tubo Acero Inoxidable SCH-40 1/2" x 20 pies</t>
        </is>
      </c>
      <c r="C1362" s="7" t="inlineStr">
        <is>
          <t>tubo</t>
        </is>
      </c>
      <c r="D1362" s="8" t="n"/>
      <c r="E1362" s="8" t="n">
        <v>3075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>
        <f>IF(COUNT(D1362:S1362)=0,"",MIN(D1362:S1362))</f>
        <v/>
      </c>
      <c r="U1362" s="8">
        <f>IF(COUNT(D1362:S1362)=0,"",MEDIAN(D1362:S1362))</f>
        <v/>
      </c>
      <c r="V1362" s="8">
        <f>IF(COUNT(D1362:S1362)=0,"",MAX(D1362:S1362))</f>
        <v/>
      </c>
      <c r="W1362" s="9">
        <f>IF(OR(T1362="",T1362=0),"",(V1362-T1362)/T1362)</f>
        <v/>
      </c>
      <c r="X1362" s="7">
        <f>IF(COUNT(D1362:S1362)=0,"",INDEX($D$1:$S$1,MATCH(MIN(D1362:S1362),D1362:S1362,0)))</f>
        <v/>
      </c>
      <c r="Y1362" s="8" t="n">
        <v>3075</v>
      </c>
      <c r="Z1362" s="10" t="n">
        <v>1</v>
      </c>
    </row>
    <row r="1363">
      <c r="A1363" s="7" t="inlineStr">
        <is>
          <t>MAT-32-009</t>
        </is>
      </c>
      <c r="B1363" s="4" t="inlineStr">
        <is>
          <t>Tubo CPVC SDR-11 1/2" x 10 pies</t>
        </is>
      </c>
      <c r="C1363" s="7" t="inlineStr">
        <is>
          <t>tubo</t>
        </is>
      </c>
      <c r="D1363" s="8" t="n"/>
      <c r="E1363" s="8" t="n">
        <v>231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>
        <f>IF(COUNT(D1363:S1363)=0,"",MIN(D1363:S1363))</f>
        <v/>
      </c>
      <c r="U1363" s="8">
        <f>IF(COUNT(D1363:S1363)=0,"",MEDIAN(D1363:S1363))</f>
        <v/>
      </c>
      <c r="V1363" s="8">
        <f>IF(COUNT(D1363:S1363)=0,"",MAX(D1363:S1363))</f>
        <v/>
      </c>
      <c r="W1363" s="9">
        <f>IF(OR(T1363="",T1363=0),"",(V1363-T1363)/T1363)</f>
        <v/>
      </c>
      <c r="X1363" s="7">
        <f>IF(COUNT(D1363:S1363)=0,"",INDEX($D$1:$S$1,MATCH(MIN(D1363:S1363),D1363:S1363,0)))</f>
        <v/>
      </c>
      <c r="Y1363" s="8" t="n">
        <v>231</v>
      </c>
      <c r="Z1363" s="10" t="n">
        <v>1</v>
      </c>
    </row>
    <row r="1364">
      <c r="A1364" s="7" t="inlineStr">
        <is>
          <t>MAT-32-010</t>
        </is>
      </c>
      <c r="B1364" s="4" t="inlineStr">
        <is>
          <t>Tubo CPVC SDR-11 1" x 10 pies</t>
        </is>
      </c>
      <c r="C1364" s="7" t="inlineStr">
        <is>
          <t>tubo</t>
        </is>
      </c>
      <c r="D1364" s="8" t="n"/>
      <c r="E1364" s="8" t="n">
        <v>650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>
        <f>IF(COUNT(D1364:S1364)=0,"",MIN(D1364:S1364))</f>
        <v/>
      </c>
      <c r="U1364" s="8">
        <f>IF(COUNT(D1364:S1364)=0,"",MEDIAN(D1364:S1364))</f>
        <v/>
      </c>
      <c r="V1364" s="8">
        <f>IF(COUNT(D1364:S1364)=0,"",MAX(D1364:S1364))</f>
        <v/>
      </c>
      <c r="W1364" s="9">
        <f>IF(OR(T1364="",T1364=0),"",(V1364-T1364)/T1364)</f>
        <v/>
      </c>
      <c r="X1364" s="7">
        <f>IF(COUNT(D1364:S1364)=0,"",INDEX($D$1:$S$1,MATCH(MIN(D1364:S1364),D1364:S1364,0)))</f>
        <v/>
      </c>
      <c r="Y1364" s="8" t="n">
        <v>650</v>
      </c>
      <c r="Z1364" s="10" t="n">
        <v>1</v>
      </c>
    </row>
    <row r="1365">
      <c r="A1365" s="7" t="inlineStr">
        <is>
          <t>MAT-32-011</t>
        </is>
      </c>
      <c r="B1365" s="4" t="inlineStr">
        <is>
          <t>Tubo CPVC SDR-11 3/4" x 10 pies</t>
        </is>
      </c>
      <c r="C1365" s="7" t="inlineStr">
        <is>
          <t>tubo</t>
        </is>
      </c>
      <c r="D1365" s="8" t="n"/>
      <c r="E1365" s="8" t="n">
        <v>347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>
        <f>IF(COUNT(D1365:S1365)=0,"",MIN(D1365:S1365))</f>
        <v/>
      </c>
      <c r="U1365" s="8">
        <f>IF(COUNT(D1365:S1365)=0,"",MEDIAN(D1365:S1365))</f>
        <v/>
      </c>
      <c r="V1365" s="8">
        <f>IF(COUNT(D1365:S1365)=0,"",MAX(D1365:S1365))</f>
        <v/>
      </c>
      <c r="W1365" s="9">
        <f>IF(OR(T1365="",T1365=0),"",(V1365-T1365)/T1365)</f>
        <v/>
      </c>
      <c r="X1365" s="7">
        <f>IF(COUNT(D1365:S1365)=0,"",INDEX($D$1:$S$1,MATCH(MIN(D1365:S1365),D1365:S1365,0)))</f>
        <v/>
      </c>
      <c r="Y1365" s="8" t="n">
        <v>347</v>
      </c>
      <c r="Z1365" s="10" t="n">
        <v>1</v>
      </c>
    </row>
    <row r="1366">
      <c r="A1366" s="7" t="inlineStr">
        <is>
          <t>MAT-32-012</t>
        </is>
      </c>
      <c r="B1366" s="4" t="inlineStr">
        <is>
          <t>Tubo PVC DRENAJE 2" x 19 pies</t>
        </is>
      </c>
      <c r="C1366" s="7" t="inlineStr">
        <is>
          <t>tubo</t>
        </is>
      </c>
      <c r="D1366" s="8" t="n"/>
      <c r="E1366" s="8" t="n">
        <v>267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>
        <f>IF(COUNT(D1366:S1366)=0,"",MIN(D1366:S1366))</f>
        <v/>
      </c>
      <c r="U1366" s="8">
        <f>IF(COUNT(D1366:S1366)=0,"",MEDIAN(D1366:S1366))</f>
        <v/>
      </c>
      <c r="V1366" s="8">
        <f>IF(COUNT(D1366:S1366)=0,"",MAX(D1366:S1366))</f>
        <v/>
      </c>
      <c r="W1366" s="9">
        <f>IF(OR(T1366="",T1366=0),"",(V1366-T1366)/T1366)</f>
        <v/>
      </c>
      <c r="X1366" s="7">
        <f>IF(COUNT(D1366:S1366)=0,"",INDEX($D$1:$S$1,MATCH(MIN(D1366:S1366),D1366:S1366,0)))</f>
        <v/>
      </c>
      <c r="Y1366" s="8" t="n">
        <v>498</v>
      </c>
      <c r="Z1366" s="10" t="n">
        <v>1</v>
      </c>
    </row>
    <row r="1367">
      <c r="A1367" s="7" t="inlineStr">
        <is>
          <t>MAT-32-013</t>
        </is>
      </c>
      <c r="B1367" s="4" t="inlineStr">
        <is>
          <t>Tubo PVC DRENAJE 3" x 19 pies</t>
        </is>
      </c>
      <c r="C1367" s="7" t="inlineStr">
        <is>
          <t>tubo</t>
        </is>
      </c>
      <c r="D1367" s="8" t="n"/>
      <c r="E1367" s="8" t="n">
        <v>784.26</v>
      </c>
      <c r="F1367" s="8" t="n"/>
      <c r="G1367" s="8" t="n">
        <v>967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>
        <f>IF(COUNT(D1367:S1367)=0,"",MIN(D1367:S1367))</f>
        <v/>
      </c>
      <c r="U1367" s="8">
        <f>IF(COUNT(D1367:S1367)=0,"",MEDIAN(D1367:S1367))</f>
        <v/>
      </c>
      <c r="V1367" s="8">
        <f>IF(COUNT(D1367:S1367)=0,"",MAX(D1367:S1367))</f>
        <v/>
      </c>
      <c r="W1367" s="9">
        <f>IF(OR(T1367="",T1367=0),"",(V1367-T1367)/T1367)</f>
        <v/>
      </c>
      <c r="X1367" s="7">
        <f>IF(COUNT(D1367:S1367)=0,"",INDEX($D$1:$S$1,MATCH(MIN(D1367:S1367),D1367:S1367,0)))</f>
        <v/>
      </c>
      <c r="Y1367" s="8" t="n">
        <v>875.63</v>
      </c>
      <c r="Z1367" s="10" t="n">
        <v>2</v>
      </c>
    </row>
    <row r="1368">
      <c r="A1368" s="7" t="inlineStr">
        <is>
          <t>MAT-32-014</t>
        </is>
      </c>
      <c r="B1368" s="4" t="inlineStr">
        <is>
          <t>Tubo PVC DRENAJE 4" x 19 pies</t>
        </is>
      </c>
      <c r="C1368" s="7" t="inlineStr">
        <is>
          <t>tubo</t>
        </is>
      </c>
      <c r="D1368" s="8" t="n"/>
      <c r="E1368" s="8" t="n">
        <v>1041</v>
      </c>
      <c r="F1368" s="8" t="n"/>
      <c r="G1368" s="8" t="n">
        <v>1001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>
        <f>IF(COUNT(D1368:S1368)=0,"",MIN(D1368:S1368))</f>
        <v/>
      </c>
      <c r="U1368" s="8">
        <f>IF(COUNT(D1368:S1368)=0,"",MEDIAN(D1368:S1368))</f>
        <v/>
      </c>
      <c r="V1368" s="8">
        <f>IF(COUNT(D1368:S1368)=0,"",MAX(D1368:S1368))</f>
        <v/>
      </c>
      <c r="W1368" s="9">
        <f>IF(OR(T1368="",T1368=0),"",(V1368-T1368)/T1368)</f>
        <v/>
      </c>
      <c r="X1368" s="7">
        <f>IF(COUNT(D1368:S1368)=0,"",INDEX($D$1:$S$1,MATCH(MIN(D1368:S1368),D1368:S1368,0)))</f>
        <v/>
      </c>
      <c r="Y1368" s="8" t="n">
        <v>1021</v>
      </c>
      <c r="Z1368" s="10" t="n">
        <v>2</v>
      </c>
    </row>
    <row r="1369">
      <c r="A1369" s="7" t="inlineStr">
        <is>
          <t>MAT-32-015</t>
        </is>
      </c>
      <c r="B1369" s="4" t="inlineStr">
        <is>
          <t>Tubo PVC DRENAJE 6" x 19 pies</t>
        </is>
      </c>
      <c r="C1369" s="7" t="inlineStr">
        <is>
          <t>tubo</t>
        </is>
      </c>
      <c r="D1369" s="8" t="n"/>
      <c r="E1369" s="8" t="n">
        <v>3133.17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>
        <f>IF(COUNT(D1369:S1369)=0,"",MIN(D1369:S1369))</f>
        <v/>
      </c>
      <c r="U1369" s="8">
        <f>IF(COUNT(D1369:S1369)=0,"",MEDIAN(D1369:S1369))</f>
        <v/>
      </c>
      <c r="V1369" s="8">
        <f>IF(COUNT(D1369:S1369)=0,"",MAX(D1369:S1369))</f>
        <v/>
      </c>
      <c r="W1369" s="9">
        <f>IF(OR(T1369="",T1369=0),"",(V1369-T1369)/T1369)</f>
        <v/>
      </c>
      <c r="X1369" s="7">
        <f>IF(COUNT(D1369:S1369)=0,"",INDEX($D$1:$S$1,MATCH(MIN(D1369:S1369),D1369:S1369,0)))</f>
        <v/>
      </c>
      <c r="Y1369" s="8" t="n">
        <v>3133.17</v>
      </c>
      <c r="Z1369" s="10" t="n">
        <v>1</v>
      </c>
    </row>
    <row r="1370">
      <c r="A1370" s="7" t="inlineStr">
        <is>
          <t>MAT-32-016</t>
        </is>
      </c>
      <c r="B1370" s="4" t="inlineStr">
        <is>
          <t>Tubo PVC DRENAJE 8" x 19 pies</t>
        </is>
      </c>
      <c r="C1370" s="7" t="inlineStr">
        <is>
          <t>tubo</t>
        </is>
      </c>
      <c r="D1370" s="8" t="n"/>
      <c r="E1370" s="8" t="n">
        <v>5301.3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>
        <f>IF(COUNT(D1370:S1370)=0,"",MIN(D1370:S1370))</f>
        <v/>
      </c>
      <c r="U1370" s="8">
        <f>IF(COUNT(D1370:S1370)=0,"",MEDIAN(D1370:S1370))</f>
        <v/>
      </c>
      <c r="V1370" s="8">
        <f>IF(COUNT(D1370:S1370)=0,"",MAX(D1370:S1370))</f>
        <v/>
      </c>
      <c r="W1370" s="9">
        <f>IF(OR(T1370="",T1370=0),"",(V1370-T1370)/T1370)</f>
        <v/>
      </c>
      <c r="X1370" s="7">
        <f>IF(COUNT(D1370:S1370)=0,"",INDEX($D$1:$S$1,MATCH(MIN(D1370:S1370),D1370:S1370,0)))</f>
        <v/>
      </c>
      <c r="Y1370" s="8" t="n">
        <v>5301.3</v>
      </c>
      <c r="Z1370" s="10" t="n">
        <v>1</v>
      </c>
    </row>
    <row r="1371">
      <c r="A1371" s="7" t="inlineStr">
        <is>
          <t>MAT-32-017</t>
        </is>
      </c>
      <c r="B1371" s="4" t="inlineStr">
        <is>
          <t>Tubo PVC SCH-40 1 1/2" x 19 pies</t>
        </is>
      </c>
      <c r="C1371" s="7" t="inlineStr">
        <is>
          <t>tubo</t>
        </is>
      </c>
      <c r="D1371" s="8" t="n"/>
      <c r="E1371" s="8" t="n"/>
      <c r="F1371" s="8" t="n"/>
      <c r="G1371" s="8" t="n">
        <v>944</v>
      </c>
      <c r="H1371" s="8" t="n"/>
      <c r="I1371" s="8" t="n"/>
      <c r="J1371" s="8" t="n"/>
      <c r="K1371" s="8" t="n"/>
      <c r="L1371" s="8" t="n">
        <v>535</v>
      </c>
      <c r="M1371" s="8" t="n">
        <v>898</v>
      </c>
      <c r="N1371" s="8" t="n"/>
      <c r="O1371" s="8" t="n"/>
      <c r="P1371" s="8" t="n"/>
      <c r="Q1371" s="8" t="n"/>
      <c r="R1371" s="8" t="n"/>
      <c r="S1371" s="8" t="n"/>
      <c r="T1371" s="8">
        <f>IF(COUNT(D1371:S1371)=0,"",MIN(D1371:S1371))</f>
        <v/>
      </c>
      <c r="U1371" s="8">
        <f>IF(COUNT(D1371:S1371)=0,"",MEDIAN(D1371:S1371))</f>
        <v/>
      </c>
      <c r="V1371" s="8">
        <f>IF(COUNT(D1371:S1371)=0,"",MAX(D1371:S1371))</f>
        <v/>
      </c>
      <c r="W1371" s="9">
        <f>IF(OR(T1371="",T1371=0),"",(V1371-T1371)/T1371)</f>
        <v/>
      </c>
      <c r="X1371" s="7">
        <f>IF(COUNT(D1371:S1371)=0,"",INDEX($D$1:$S$1,MATCH(MIN(D1371:S1371),D1371:S1371,0)))</f>
        <v/>
      </c>
      <c r="Y1371" s="8" t="n">
        <v>944</v>
      </c>
      <c r="Z1371" s="10" t="n">
        <v>3</v>
      </c>
    </row>
    <row r="1372">
      <c r="A1372" s="7" t="inlineStr">
        <is>
          <t>MAT-32-018</t>
        </is>
      </c>
      <c r="B1372" s="4" t="inlineStr">
        <is>
          <t>Tubo PVC SCH-40 1/2" x 19 pies</t>
        </is>
      </c>
      <c r="C1372" s="7" t="inlineStr">
        <is>
          <t>tubo</t>
        </is>
      </c>
      <c r="D1372" s="8" t="n"/>
      <c r="E1372" s="8" t="n">
        <v>275</v>
      </c>
      <c r="F1372" s="8" t="n"/>
      <c r="G1372" s="8" t="n"/>
      <c r="H1372" s="8" t="n"/>
      <c r="I1372" s="8" t="n"/>
      <c r="J1372" s="8" t="n"/>
      <c r="K1372" s="8" t="n"/>
      <c r="L1372" s="8" t="n"/>
      <c r="M1372" s="8" t="n">
        <v>253.2</v>
      </c>
      <c r="N1372" s="8" t="n"/>
      <c r="O1372" s="8" t="n"/>
      <c r="P1372" s="8" t="n"/>
      <c r="Q1372" s="8" t="n"/>
      <c r="R1372" s="8" t="n"/>
      <c r="S1372" s="8" t="n"/>
      <c r="T1372" s="8">
        <f>IF(COUNT(D1372:S1372)=0,"",MIN(D1372:S1372))</f>
        <v/>
      </c>
      <c r="U1372" s="8">
        <f>IF(COUNT(D1372:S1372)=0,"",MEDIAN(D1372:S1372))</f>
        <v/>
      </c>
      <c r="V1372" s="8">
        <f>IF(COUNT(D1372:S1372)=0,"",MAX(D1372:S1372))</f>
        <v/>
      </c>
      <c r="W1372" s="9">
        <f>IF(OR(T1372="",T1372=0),"",(V1372-T1372)/T1372)</f>
        <v/>
      </c>
      <c r="X1372" s="7">
        <f>IF(COUNT(D1372:S1372)=0,"",INDEX($D$1:$S$1,MATCH(MIN(D1372:S1372),D1372:S1372,0)))</f>
        <v/>
      </c>
      <c r="Y1372" s="8" t="n">
        <v>298.78</v>
      </c>
      <c r="Z1372" s="10" t="n">
        <v>2</v>
      </c>
    </row>
    <row r="1373">
      <c r="A1373" s="7" t="inlineStr">
        <is>
          <t>MAT-32-019</t>
        </is>
      </c>
      <c r="B1373" s="4" t="inlineStr">
        <is>
          <t>Tubo PVC SCH-40 1" x 19 pies</t>
        </is>
      </c>
      <c r="C1373" s="7" t="inlineStr">
        <is>
          <t>tubo</t>
        </is>
      </c>
      <c r="D1373" s="8" t="n"/>
      <c r="E1373" s="8" t="n">
        <v>623</v>
      </c>
      <c r="F1373" s="8" t="n"/>
      <c r="G1373" s="8" t="n">
        <v>570</v>
      </c>
      <c r="H1373" s="8" t="n"/>
      <c r="I1373" s="8" t="n"/>
      <c r="J1373" s="8" t="n"/>
      <c r="K1373" s="8" t="n"/>
      <c r="L1373" s="8" t="n">
        <v>315</v>
      </c>
      <c r="M1373" s="8" t="n">
        <v>531.4</v>
      </c>
      <c r="N1373" s="8" t="n"/>
      <c r="O1373" s="8" t="n"/>
      <c r="P1373" s="8" t="n"/>
      <c r="Q1373" s="8" t="n"/>
      <c r="R1373" s="8" t="n"/>
      <c r="S1373" s="8" t="n"/>
      <c r="T1373" s="8">
        <f>IF(COUNT(D1373:S1373)=0,"",MIN(D1373:S1373))</f>
        <v/>
      </c>
      <c r="U1373" s="8">
        <f>IF(COUNT(D1373:S1373)=0,"",MEDIAN(D1373:S1373))</f>
        <v/>
      </c>
      <c r="V1373" s="8">
        <f>IF(COUNT(D1373:S1373)=0,"",MAX(D1373:S1373))</f>
        <v/>
      </c>
      <c r="W1373" s="9">
        <f>IF(OR(T1373="",T1373=0),"",(V1373-T1373)/T1373)</f>
        <v/>
      </c>
      <c r="X1373" s="7">
        <f>IF(COUNT(D1373:S1373)=0,"",INDEX($D$1:$S$1,MATCH(MIN(D1373:S1373),D1373:S1373,0)))</f>
        <v/>
      </c>
      <c r="Y1373" s="8" t="n">
        <v>596.5</v>
      </c>
      <c r="Z1373" s="10" t="n">
        <v>4</v>
      </c>
    </row>
    <row r="1374">
      <c r="A1374" s="7" t="inlineStr">
        <is>
          <t>MAT-32-020</t>
        </is>
      </c>
      <c r="B1374" s="4" t="inlineStr">
        <is>
          <t>Tubo PVC SCH-40 2" x 19 pies</t>
        </is>
      </c>
      <c r="C1374" s="7" t="inlineStr">
        <is>
          <t>tubo</t>
        </is>
      </c>
      <c r="D1374" s="8" t="n"/>
      <c r="E1374" s="8" t="n">
        <v>1416</v>
      </c>
      <c r="F1374" s="8" t="n"/>
      <c r="G1374" s="8" t="n"/>
      <c r="H1374" s="8" t="n"/>
      <c r="I1374" s="8" t="n"/>
      <c r="J1374" s="8" t="n"/>
      <c r="K1374" s="8" t="n"/>
      <c r="L1374" s="8" t="n">
        <v>745</v>
      </c>
      <c r="M1374" s="8" t="n">
        <v>1207.6</v>
      </c>
      <c r="N1374" s="8" t="n"/>
      <c r="O1374" s="8" t="n"/>
      <c r="P1374" s="8" t="n"/>
      <c r="Q1374" s="8" t="n"/>
      <c r="R1374" s="8" t="n"/>
      <c r="S1374" s="8" t="n"/>
      <c r="T1374" s="8">
        <f>IF(COUNT(D1374:S1374)=0,"",MIN(D1374:S1374))</f>
        <v/>
      </c>
      <c r="U1374" s="8">
        <f>IF(COUNT(D1374:S1374)=0,"",MEDIAN(D1374:S1374))</f>
        <v/>
      </c>
      <c r="V1374" s="8">
        <f>IF(COUNT(D1374:S1374)=0,"",MAX(D1374:S1374))</f>
        <v/>
      </c>
      <c r="W1374" s="9">
        <f>IF(OR(T1374="",T1374=0),"",(V1374-T1374)/T1374)</f>
        <v/>
      </c>
      <c r="X1374" s="7">
        <f>IF(COUNT(D1374:S1374)=0,"",INDEX($D$1:$S$1,MATCH(MIN(D1374:S1374),D1374:S1374,0)))</f>
        <v/>
      </c>
      <c r="Y1374" s="8" t="n">
        <v>1416</v>
      </c>
      <c r="Z1374" s="10" t="n">
        <v>3</v>
      </c>
    </row>
    <row r="1375">
      <c r="A1375" s="7" t="inlineStr">
        <is>
          <t>MAT-32-021</t>
        </is>
      </c>
      <c r="B1375" s="4" t="inlineStr">
        <is>
          <t>Tubo PVC SCH-40 2" x 9.5 pies</t>
        </is>
      </c>
      <c r="C1375" s="7" t="inlineStr">
        <is>
          <t>tubo</t>
        </is>
      </c>
      <c r="D1375" s="8" t="n"/>
      <c r="E1375" s="8" t="n">
        <v>698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>
        <f>IF(COUNT(D1375:S1375)=0,"",MIN(D1375:S1375))</f>
        <v/>
      </c>
      <c r="U1375" s="8">
        <f>IF(COUNT(D1375:S1375)=0,"",MEDIAN(D1375:S1375))</f>
        <v/>
      </c>
      <c r="V1375" s="8">
        <f>IF(COUNT(D1375:S1375)=0,"",MAX(D1375:S1375))</f>
        <v/>
      </c>
      <c r="W1375" s="9">
        <f>IF(OR(T1375="",T1375=0),"",(V1375-T1375)/T1375)</f>
        <v/>
      </c>
      <c r="X1375" s="7">
        <f>IF(COUNT(D1375:S1375)=0,"",INDEX($D$1:$S$1,MATCH(MIN(D1375:S1375),D1375:S1375,0)))</f>
        <v/>
      </c>
      <c r="Y1375" s="8" t="n">
        <v>698</v>
      </c>
      <c r="Z1375" s="10" t="n">
        <v>1</v>
      </c>
    </row>
    <row r="1376">
      <c r="A1376" s="7" t="inlineStr">
        <is>
          <t>MAT-32-022</t>
        </is>
      </c>
      <c r="B1376" s="4" t="inlineStr">
        <is>
          <t>Tubo PVC SCH-40 3/4" x 19 pies</t>
        </is>
      </c>
      <c r="C1376" s="7" t="inlineStr">
        <is>
          <t>tubo</t>
        </is>
      </c>
      <c r="D1376" s="8" t="n"/>
      <c r="E1376" s="8" t="n">
        <v>217</v>
      </c>
      <c r="F1376" s="8" t="n"/>
      <c r="G1376" s="8" t="n">
        <v>388</v>
      </c>
      <c r="H1376" s="8" t="n"/>
      <c r="I1376" s="8" t="n"/>
      <c r="J1376" s="8" t="n"/>
      <c r="K1376" s="8" t="n"/>
      <c r="L1376" s="8" t="n">
        <v>235</v>
      </c>
      <c r="M1376" s="8" t="n">
        <v>358.9</v>
      </c>
      <c r="N1376" s="8" t="n"/>
      <c r="O1376" s="8" t="n"/>
      <c r="P1376" s="8" t="n"/>
      <c r="Q1376" s="8" t="n"/>
      <c r="R1376" s="8" t="n"/>
      <c r="S1376" s="8" t="n"/>
      <c r="T1376" s="8">
        <f>IF(COUNT(D1376:S1376)=0,"",MIN(D1376:S1376))</f>
        <v/>
      </c>
      <c r="U1376" s="8">
        <f>IF(COUNT(D1376:S1376)=0,"",MEDIAN(D1376:S1376))</f>
        <v/>
      </c>
      <c r="V1376" s="8">
        <f>IF(COUNT(D1376:S1376)=0,"",MAX(D1376:S1376))</f>
        <v/>
      </c>
      <c r="W1376" s="9">
        <f>IF(OR(T1376="",T1376=0),"",(V1376-T1376)/T1376)</f>
        <v/>
      </c>
      <c r="X1376" s="7">
        <f>IF(COUNT(D1376:S1376)=0,"",INDEX($D$1:$S$1,MATCH(MIN(D1376:S1376),D1376:S1376,0)))</f>
        <v/>
      </c>
      <c r="Y1376" s="8" t="n">
        <v>388</v>
      </c>
      <c r="Z1376" s="10" t="n">
        <v>4</v>
      </c>
    </row>
    <row r="1377">
      <c r="A1377" s="7" t="inlineStr">
        <is>
          <t>MAT-32-023</t>
        </is>
      </c>
      <c r="B1377" s="4" t="inlineStr">
        <is>
          <t>Tubo PVC SCH-40 3/4" x 9.5 pies</t>
        </is>
      </c>
      <c r="C1377" s="7" t="inlineStr">
        <is>
          <t>tubo</t>
        </is>
      </c>
      <c r="D1377" s="8" t="n"/>
      <c r="E1377" s="8" t="n">
        <v>154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>
        <f>IF(COUNT(D1377:S1377)=0,"",MIN(D1377:S1377))</f>
        <v/>
      </c>
      <c r="U1377" s="8">
        <f>IF(COUNT(D1377:S1377)=0,"",MEDIAN(D1377:S1377))</f>
        <v/>
      </c>
      <c r="V1377" s="8">
        <f>IF(COUNT(D1377:S1377)=0,"",MAX(D1377:S1377))</f>
        <v/>
      </c>
      <c r="W1377" s="9">
        <f>IF(OR(T1377="",T1377=0),"",(V1377-T1377)/T1377)</f>
        <v/>
      </c>
      <c r="X1377" s="7">
        <f>IF(COUNT(D1377:S1377)=0,"",INDEX($D$1:$S$1,MATCH(MIN(D1377:S1377),D1377:S1377,0)))</f>
        <v/>
      </c>
      <c r="Y1377" s="8" t="n">
        <v>154</v>
      </c>
      <c r="Z1377" s="10" t="n">
        <v>1</v>
      </c>
    </row>
    <row r="1378">
      <c r="A1378" s="7" t="inlineStr">
        <is>
          <t>MAT-32-024</t>
        </is>
      </c>
      <c r="B1378" s="4" t="inlineStr">
        <is>
          <t>Tubo PVC SCH-40 3" x 19 pies</t>
        </is>
      </c>
      <c r="C1378" s="7" t="inlineStr">
        <is>
          <t>tubo</t>
        </is>
      </c>
      <c r="D1378" s="8" t="n"/>
      <c r="E1378" s="8" t="n">
        <v>2832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2507.1</v>
      </c>
      <c r="N1378" s="8" t="n"/>
      <c r="O1378" s="8" t="n"/>
      <c r="P1378" s="8" t="n"/>
      <c r="Q1378" s="8" t="n"/>
      <c r="R1378" s="8" t="n"/>
      <c r="S1378" s="8" t="n"/>
      <c r="T1378" s="8">
        <f>IF(COUNT(D1378:S1378)=0,"",MIN(D1378:S1378))</f>
        <v/>
      </c>
      <c r="U1378" s="8">
        <f>IF(COUNT(D1378:S1378)=0,"",MEDIAN(D1378:S1378))</f>
        <v/>
      </c>
      <c r="V1378" s="8">
        <f>IF(COUNT(D1378:S1378)=0,"",MAX(D1378:S1378))</f>
        <v/>
      </c>
      <c r="W1378" s="9">
        <f>IF(OR(T1378="",T1378=0),"",(V1378-T1378)/T1378)</f>
        <v/>
      </c>
      <c r="X1378" s="7">
        <f>IF(COUNT(D1378:S1378)=0,"",INDEX($D$1:$S$1,MATCH(MIN(D1378:S1378),D1378:S1378,0)))</f>
        <v/>
      </c>
      <c r="Y1378" s="8" t="n">
        <v>2895.19</v>
      </c>
      <c r="Z1378" s="10" t="n">
        <v>2</v>
      </c>
    </row>
    <row r="1379">
      <c r="A1379" s="7" t="inlineStr">
        <is>
          <t>MAT-32-025</t>
        </is>
      </c>
      <c r="B1379" s="4" t="inlineStr">
        <is>
          <t>Tubo PVC SCH-40 4" x 19 pies</t>
        </is>
      </c>
      <c r="C1379" s="7" t="inlineStr">
        <is>
          <t>tubo</t>
        </is>
      </c>
      <c r="D1379" s="8" t="n"/>
      <c r="E1379" s="8" t="n">
        <v>4020.28</v>
      </c>
      <c r="F1379" s="8" t="n"/>
      <c r="G1379" s="8" t="n"/>
      <c r="H1379" s="8" t="n"/>
      <c r="I1379" s="8" t="n"/>
      <c r="J1379" s="8" t="n"/>
      <c r="K1379" s="8" t="n"/>
      <c r="L1379" s="8" t="n"/>
      <c r="M1379" s="8" t="n">
        <v>3571.1</v>
      </c>
      <c r="N1379" s="8" t="n"/>
      <c r="O1379" s="8" t="n"/>
      <c r="P1379" s="8" t="n"/>
      <c r="Q1379" s="8" t="n"/>
      <c r="R1379" s="8" t="n"/>
      <c r="S1379" s="8" t="n"/>
      <c r="T1379" s="8">
        <f>IF(COUNT(D1379:S1379)=0,"",MIN(D1379:S1379))</f>
        <v/>
      </c>
      <c r="U1379" s="8">
        <f>IF(COUNT(D1379:S1379)=0,"",MEDIAN(D1379:S1379))</f>
        <v/>
      </c>
      <c r="V1379" s="8">
        <f>IF(COUNT(D1379:S1379)=0,"",MAX(D1379:S1379))</f>
        <v/>
      </c>
      <c r="W1379" s="9">
        <f>IF(OR(T1379="",T1379=0),"",(V1379-T1379)/T1379)</f>
        <v/>
      </c>
      <c r="X1379" s="7">
        <f>IF(COUNT(D1379:S1379)=0,"",INDEX($D$1:$S$1,MATCH(MIN(D1379:S1379),D1379:S1379,0)))</f>
        <v/>
      </c>
      <c r="Y1379" s="8" t="n">
        <v>4117.09</v>
      </c>
      <c r="Z1379" s="10" t="n">
        <v>2</v>
      </c>
    </row>
    <row r="1380">
      <c r="A1380" s="7" t="inlineStr">
        <is>
          <t>MAT-32-026</t>
        </is>
      </c>
      <c r="B1380" s="4" t="inlineStr">
        <is>
          <t>Tubo PVC SCH-40 6" x 19 pies</t>
        </is>
      </c>
      <c r="C1380" s="7" t="inlineStr">
        <is>
          <t>tubo</t>
        </is>
      </c>
      <c r="D1380" s="8" t="n"/>
      <c r="E1380" s="8" t="n">
        <v>7865</v>
      </c>
      <c r="F1380" s="8" t="n"/>
      <c r="G1380" s="8" t="n"/>
      <c r="H1380" s="8" t="n"/>
      <c r="I1380" s="8" t="n"/>
      <c r="J1380" s="8" t="n"/>
      <c r="K1380" s="8" t="n"/>
      <c r="L1380" s="8" t="n"/>
      <c r="M1380" s="8" t="n">
        <v>6907.8</v>
      </c>
      <c r="N1380" s="8" t="n"/>
      <c r="O1380" s="8" t="n"/>
      <c r="P1380" s="8" t="n"/>
      <c r="Q1380" s="8" t="n"/>
      <c r="R1380" s="8" t="n"/>
      <c r="S1380" s="8" t="n"/>
      <c r="T1380" s="8">
        <f>IF(COUNT(D1380:S1380)=0,"",MIN(D1380:S1380))</f>
        <v/>
      </c>
      <c r="U1380" s="8">
        <f>IF(COUNT(D1380:S1380)=0,"",MEDIAN(D1380:S1380))</f>
        <v/>
      </c>
      <c r="V1380" s="8">
        <f>IF(COUNT(D1380:S1380)=0,"",MAX(D1380:S1380))</f>
        <v/>
      </c>
      <c r="W1380" s="9">
        <f>IF(OR(T1380="",T1380=0),"",(V1380-T1380)/T1380)</f>
        <v/>
      </c>
      <c r="X1380" s="7">
        <f>IF(COUNT(D1380:S1380)=0,"",INDEX($D$1:$S$1,MATCH(MIN(D1380:S1380),D1380:S1380,0)))</f>
        <v/>
      </c>
      <c r="Y1380" s="8" t="n">
        <v>8008.1</v>
      </c>
      <c r="Z1380" s="10" t="n">
        <v>2</v>
      </c>
    </row>
    <row r="1381">
      <c r="A1381" s="7" t="inlineStr">
        <is>
          <t>MAT-32-027</t>
        </is>
      </c>
      <c r="B1381" s="4" t="inlineStr">
        <is>
          <t>Tubo PVC SCH-40 8" x 19 pies</t>
        </is>
      </c>
      <c r="C1381" s="7" t="inlineStr">
        <is>
          <t>tubo</t>
        </is>
      </c>
      <c r="D1381" s="8" t="n"/>
      <c r="E1381" s="8" t="n">
        <v>11841.41</v>
      </c>
      <c r="F1381" s="8" t="n"/>
      <c r="G1381" s="8" t="n"/>
      <c r="H1381" s="8" t="n"/>
      <c r="I1381" s="8" t="n"/>
      <c r="J1381" s="8" t="n"/>
      <c r="K1381" s="8" t="n"/>
      <c r="L1381" s="8" t="n"/>
      <c r="M1381" s="8" t="n">
        <v>10374.3</v>
      </c>
      <c r="N1381" s="8" t="n"/>
      <c r="O1381" s="8" t="n"/>
      <c r="P1381" s="8" t="n"/>
      <c r="Q1381" s="8" t="n"/>
      <c r="R1381" s="8" t="n"/>
      <c r="S1381" s="8" t="n"/>
      <c r="T1381" s="8">
        <f>IF(COUNT(D1381:S1381)=0,"",MIN(D1381:S1381))</f>
        <v/>
      </c>
      <c r="U1381" s="8">
        <f>IF(COUNT(D1381:S1381)=0,"",MEDIAN(D1381:S1381))</f>
        <v/>
      </c>
      <c r="V1381" s="8">
        <f>IF(COUNT(D1381:S1381)=0,"",MAX(D1381:S1381))</f>
        <v/>
      </c>
      <c r="W1381" s="9">
        <f>IF(OR(T1381="",T1381=0),"",(V1381-T1381)/T1381)</f>
        <v/>
      </c>
      <c r="X1381" s="7">
        <f>IF(COUNT(D1381:S1381)=0,"",INDEX($D$1:$S$1,MATCH(MIN(D1381:S1381),D1381:S1381,0)))</f>
        <v/>
      </c>
      <c r="Y1381" s="8" t="n">
        <v>12041.54</v>
      </c>
      <c r="Z1381" s="10" t="n">
        <v>2</v>
      </c>
    </row>
    <row r="1382">
      <c r="A1382" s="7" t="inlineStr">
        <is>
          <t>MAT-32-028</t>
        </is>
      </c>
      <c r="B1382" s="4" t="inlineStr">
        <is>
          <t>Tubo PVC SCH-80 1/2" x 19 pies</t>
        </is>
      </c>
      <c r="C1382" s="7" t="inlineStr">
        <is>
          <t>tubo</t>
        </is>
      </c>
      <c r="D1382" s="8" t="n"/>
      <c r="E1382" s="8" t="n">
        <v>465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>
        <f>IF(COUNT(D1382:S1382)=0,"",MIN(D1382:S1382))</f>
        <v/>
      </c>
      <c r="U1382" s="8">
        <f>IF(COUNT(D1382:S1382)=0,"",MEDIAN(D1382:S1382))</f>
        <v/>
      </c>
      <c r="V1382" s="8">
        <f>IF(COUNT(D1382:S1382)=0,"",MAX(D1382:S1382))</f>
        <v/>
      </c>
      <c r="W1382" s="9">
        <f>IF(OR(T1382="",T1382=0),"",(V1382-T1382)/T1382)</f>
        <v/>
      </c>
      <c r="X1382" s="7">
        <f>IF(COUNT(D1382:S1382)=0,"",INDEX($D$1:$S$1,MATCH(MIN(D1382:S1382),D1382:S1382,0)))</f>
        <v/>
      </c>
      <c r="Y1382" s="8" t="n">
        <v>1098.5</v>
      </c>
      <c r="Z1382" s="10" t="n">
        <v>1</v>
      </c>
    </row>
    <row r="1383">
      <c r="A1383" s="7" t="inlineStr">
        <is>
          <t>MAT-32-029</t>
        </is>
      </c>
      <c r="B1383" s="4" t="inlineStr">
        <is>
          <t>Tubo PVC SCH-80 1" x 19 pies</t>
        </is>
      </c>
      <c r="C1383" s="7" t="inlineStr">
        <is>
          <t>tubo</t>
        </is>
      </c>
      <c r="D1383" s="8" t="n"/>
      <c r="E1383" s="8" t="n">
        <v>905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>
        <f>IF(COUNT(D1383:S1383)=0,"",MIN(D1383:S1383))</f>
        <v/>
      </c>
      <c r="U1383" s="8">
        <f>IF(COUNT(D1383:S1383)=0,"",MEDIAN(D1383:S1383))</f>
        <v/>
      </c>
      <c r="V1383" s="8">
        <f>IF(COUNT(D1383:S1383)=0,"",MAX(D1383:S1383))</f>
        <v/>
      </c>
      <c r="W1383" s="9">
        <f>IF(OR(T1383="",T1383=0),"",(V1383-T1383)/T1383)</f>
        <v/>
      </c>
      <c r="X1383" s="7">
        <f>IF(COUNT(D1383:S1383)=0,"",INDEX($D$1:$S$1,MATCH(MIN(D1383:S1383),D1383:S1383,0)))</f>
        <v/>
      </c>
      <c r="Y1383" s="8" t="n">
        <v>905</v>
      </c>
      <c r="Z1383" s="10" t="n">
        <v>1</v>
      </c>
    </row>
    <row r="1384">
      <c r="A1384" s="7" t="inlineStr">
        <is>
          <t>MAT-32-030</t>
        </is>
      </c>
      <c r="B1384" s="4" t="inlineStr">
        <is>
          <t>Tubo PVC SCH-80 2" x 19 pies</t>
        </is>
      </c>
      <c r="C1384" s="7" t="inlineStr">
        <is>
          <t>tubo</t>
        </is>
      </c>
      <c r="D1384" s="8" t="n"/>
      <c r="E1384" s="8" t="n">
        <v>2276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>
        <f>IF(COUNT(D1384:S1384)=0,"",MIN(D1384:S1384))</f>
        <v/>
      </c>
      <c r="U1384" s="8">
        <f>IF(COUNT(D1384:S1384)=0,"",MEDIAN(D1384:S1384))</f>
        <v/>
      </c>
      <c r="V1384" s="8">
        <f>IF(COUNT(D1384:S1384)=0,"",MAX(D1384:S1384))</f>
        <v/>
      </c>
      <c r="W1384" s="9">
        <f>IF(OR(T1384="",T1384=0),"",(V1384-T1384)/T1384)</f>
        <v/>
      </c>
      <c r="X1384" s="7">
        <f>IF(COUNT(D1384:S1384)=0,"",INDEX($D$1:$S$1,MATCH(MIN(D1384:S1384),D1384:S1384,0)))</f>
        <v/>
      </c>
      <c r="Y1384" s="8" t="n">
        <v>2276</v>
      </c>
      <c r="Z1384" s="10" t="n">
        <v>1</v>
      </c>
    </row>
    <row r="1385">
      <c r="A1385" s="7" t="inlineStr">
        <is>
          <t>MAT-32-031</t>
        </is>
      </c>
      <c r="B1385" s="4" t="inlineStr">
        <is>
          <t>Tubo PVC SCH-80 3/4" x 19 pies</t>
        </is>
      </c>
      <c r="C1385" s="7" t="inlineStr">
        <is>
          <t>tubo</t>
        </is>
      </c>
      <c r="D1385" s="8" t="n"/>
      <c r="E1385" s="8" t="n">
        <v>621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>
        <f>IF(COUNT(D1385:S1385)=0,"",MIN(D1385:S1385))</f>
        <v/>
      </c>
      <c r="U1385" s="8">
        <f>IF(COUNT(D1385:S1385)=0,"",MEDIAN(D1385:S1385))</f>
        <v/>
      </c>
      <c r="V1385" s="8">
        <f>IF(COUNT(D1385:S1385)=0,"",MAX(D1385:S1385))</f>
        <v/>
      </c>
      <c r="W1385" s="9">
        <f>IF(OR(T1385="",T1385=0),"",(V1385-T1385)/T1385)</f>
        <v/>
      </c>
      <c r="X1385" s="7">
        <f>IF(COUNT(D1385:S1385)=0,"",INDEX($D$1:$S$1,MATCH(MIN(D1385:S1385),D1385:S1385,0)))</f>
        <v/>
      </c>
      <c r="Y1385" s="8" t="n">
        <v>621</v>
      </c>
      <c r="Z1385" s="10" t="n">
        <v>1</v>
      </c>
    </row>
    <row r="1386">
      <c r="A1386" s="7" t="inlineStr">
        <is>
          <t>MAT-32-032</t>
        </is>
      </c>
      <c r="B1386" s="4" t="inlineStr">
        <is>
          <t>Tubo PVC SCH-80 3" x 19 pies</t>
        </is>
      </c>
      <c r="C1386" s="7" t="inlineStr">
        <is>
          <t>tubo</t>
        </is>
      </c>
      <c r="D1386" s="8" t="n"/>
      <c r="E1386" s="8" t="n">
        <v>4177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>
        <f>IF(COUNT(D1386:S1386)=0,"",MIN(D1386:S1386))</f>
        <v/>
      </c>
      <c r="U1386" s="8">
        <f>IF(COUNT(D1386:S1386)=0,"",MEDIAN(D1386:S1386))</f>
        <v/>
      </c>
      <c r="V1386" s="8">
        <f>IF(COUNT(D1386:S1386)=0,"",MAX(D1386:S1386))</f>
        <v/>
      </c>
      <c r="W1386" s="9">
        <f>IF(OR(T1386="",T1386=0),"",(V1386-T1386)/T1386)</f>
        <v/>
      </c>
      <c r="X1386" s="7">
        <f>IF(COUNT(D1386:S1386)=0,"",INDEX($D$1:$S$1,MATCH(MIN(D1386:S1386),D1386:S1386,0)))</f>
        <v/>
      </c>
      <c r="Y1386" s="8" t="n">
        <v>4177</v>
      </c>
      <c r="Z1386" s="10" t="n">
        <v>1</v>
      </c>
    </row>
    <row r="1387">
      <c r="A1387" s="7" t="inlineStr">
        <is>
          <t>MAT-32-033</t>
        </is>
      </c>
      <c r="B1387" s="4" t="inlineStr">
        <is>
          <t>Tubo PVC SDR-13.5 1/2" x 19 pies</t>
        </is>
      </c>
      <c r="C1387" s="7" t="inlineStr">
        <is>
          <t>tubo</t>
        </is>
      </c>
      <c r="D1387" s="8" t="n"/>
      <c r="E1387" s="8" t="n">
        <v>181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>
        <f>IF(COUNT(D1387:S1387)=0,"",MIN(D1387:S1387))</f>
        <v/>
      </c>
      <c r="U1387" s="8">
        <f>IF(COUNT(D1387:S1387)=0,"",MEDIAN(D1387:S1387))</f>
        <v/>
      </c>
      <c r="V1387" s="8">
        <f>IF(COUNT(D1387:S1387)=0,"",MAX(D1387:S1387))</f>
        <v/>
      </c>
      <c r="W1387" s="9">
        <f>IF(OR(T1387="",T1387=0),"",(V1387-T1387)/T1387)</f>
        <v/>
      </c>
      <c r="X1387" s="7">
        <f>IF(COUNT(D1387:S1387)=0,"",INDEX($D$1:$S$1,MATCH(MIN(D1387:S1387),D1387:S1387,0)))</f>
        <v/>
      </c>
      <c r="Y1387" s="8" t="n">
        <v>181</v>
      </c>
      <c r="Z1387" s="10" t="n">
        <v>1</v>
      </c>
    </row>
    <row r="1388">
      <c r="A1388" s="7" t="inlineStr">
        <is>
          <t>MAT-32-034</t>
        </is>
      </c>
      <c r="B1388" s="4" t="inlineStr">
        <is>
          <t>Tubo PVC SDR-21 1" x 19 pies</t>
        </is>
      </c>
      <c r="C1388" s="7" t="inlineStr">
        <is>
          <t>tubo</t>
        </is>
      </c>
      <c r="D1388" s="8" t="n"/>
      <c r="E1388" s="8" t="n">
        <v>320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>
        <f>IF(COUNT(D1388:S1388)=0,"",MIN(D1388:S1388))</f>
        <v/>
      </c>
      <c r="U1388" s="8">
        <f>IF(COUNT(D1388:S1388)=0,"",MEDIAN(D1388:S1388))</f>
        <v/>
      </c>
      <c r="V1388" s="8">
        <f>IF(COUNT(D1388:S1388)=0,"",MAX(D1388:S1388))</f>
        <v/>
      </c>
      <c r="W1388" s="9">
        <f>IF(OR(T1388="",T1388=0),"",(V1388-T1388)/T1388)</f>
        <v/>
      </c>
      <c r="X1388" s="7">
        <f>IF(COUNT(D1388:S1388)=0,"",INDEX($D$1:$S$1,MATCH(MIN(D1388:S1388),D1388:S1388,0)))</f>
        <v/>
      </c>
      <c r="Y1388" s="8" t="n">
        <v>320</v>
      </c>
      <c r="Z1388" s="10" t="n">
        <v>1</v>
      </c>
    </row>
    <row r="1389">
      <c r="A1389" s="7" t="inlineStr">
        <is>
          <t>MAT-32-035</t>
        </is>
      </c>
      <c r="B1389" s="4" t="inlineStr">
        <is>
          <t>Tubo PVC SDR-21 1" x 9.5 pies</t>
        </is>
      </c>
      <c r="C1389" s="7" t="inlineStr">
        <is>
          <t>tubo</t>
        </is>
      </c>
      <c r="D1389" s="8" t="n"/>
      <c r="E1389" s="8" t="n">
        <v>176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>
        <f>IF(COUNT(D1389:S1389)=0,"",MIN(D1389:S1389))</f>
        <v/>
      </c>
      <c r="U1389" s="8">
        <f>IF(COUNT(D1389:S1389)=0,"",MEDIAN(D1389:S1389))</f>
        <v/>
      </c>
      <c r="V1389" s="8">
        <f>IF(COUNT(D1389:S1389)=0,"",MAX(D1389:S1389))</f>
        <v/>
      </c>
      <c r="W1389" s="9">
        <f>IF(OR(T1389="",T1389=0),"",(V1389-T1389)/T1389)</f>
        <v/>
      </c>
      <c r="X1389" s="7">
        <f>IF(COUNT(D1389:S1389)=0,"",INDEX($D$1:$S$1,MATCH(MIN(D1389:S1389),D1389:S1389,0)))</f>
        <v/>
      </c>
      <c r="Y1389" s="8" t="n">
        <v>176</v>
      </c>
      <c r="Z1389" s="10" t="n">
        <v>1</v>
      </c>
    </row>
    <row r="1390">
      <c r="A1390" s="7" t="inlineStr">
        <is>
          <t>MAT-32-036</t>
        </is>
      </c>
      <c r="B1390" s="4" t="inlineStr">
        <is>
          <t>Tubo PVC SDR-21 3/4" x 19 pies</t>
        </is>
      </c>
      <c r="C1390" s="7" t="inlineStr">
        <is>
          <t>tubo</t>
        </is>
      </c>
      <c r="D1390" s="8" t="n"/>
      <c r="E1390" s="8" t="n">
        <v>260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>
        <f>IF(COUNT(D1390:S1390)=0,"",MIN(D1390:S1390))</f>
        <v/>
      </c>
      <c r="U1390" s="8">
        <f>IF(COUNT(D1390:S1390)=0,"",MEDIAN(D1390:S1390))</f>
        <v/>
      </c>
      <c r="V1390" s="8">
        <f>IF(COUNT(D1390:S1390)=0,"",MAX(D1390:S1390))</f>
        <v/>
      </c>
      <c r="W1390" s="9">
        <f>IF(OR(T1390="",T1390=0),"",(V1390-T1390)/T1390)</f>
        <v/>
      </c>
      <c r="X1390" s="7">
        <f>IF(COUNT(D1390:S1390)=0,"",INDEX($D$1:$S$1,MATCH(MIN(D1390:S1390),D1390:S1390,0)))</f>
        <v/>
      </c>
      <c r="Y1390" s="8" t="n">
        <v>260</v>
      </c>
      <c r="Z1390" s="10" t="n">
        <v>1</v>
      </c>
    </row>
    <row r="1391">
      <c r="A1391" s="7" t="inlineStr">
        <is>
          <t>MAT-32-037</t>
        </is>
      </c>
      <c r="B1391" s="4" t="inlineStr">
        <is>
          <t>Tubo PVC SDR-21 3/4" x 9.5 pies</t>
        </is>
      </c>
      <c r="C1391" s="7" t="inlineStr">
        <is>
          <t>tubo</t>
        </is>
      </c>
      <c r="D1391" s="8" t="n"/>
      <c r="E1391" s="8" t="n">
        <v>146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>
        <f>IF(COUNT(D1391:S1391)=0,"",MIN(D1391:S1391))</f>
        <v/>
      </c>
      <c r="U1391" s="8">
        <f>IF(COUNT(D1391:S1391)=0,"",MEDIAN(D1391:S1391))</f>
        <v/>
      </c>
      <c r="V1391" s="8">
        <f>IF(COUNT(D1391:S1391)=0,"",MAX(D1391:S1391))</f>
        <v/>
      </c>
      <c r="W1391" s="9">
        <f>IF(OR(T1391="",T1391=0),"",(V1391-T1391)/T1391)</f>
        <v/>
      </c>
      <c r="X1391" s="7">
        <f>IF(COUNT(D1391:S1391)=0,"",INDEX($D$1:$S$1,MATCH(MIN(D1391:S1391),D1391:S1391,0)))</f>
        <v/>
      </c>
      <c r="Y1391" s="8" t="n">
        <v>146</v>
      </c>
      <c r="Z1391" s="10" t="n">
        <v>1</v>
      </c>
    </row>
    <row r="1392">
      <c r="A1392" s="7" t="inlineStr">
        <is>
          <t>MAT-32-038</t>
        </is>
      </c>
      <c r="B1392" s="4" t="inlineStr">
        <is>
          <t>Tubo PVC SDR-26 1 1/2" x 19 pies</t>
        </is>
      </c>
      <c r="C1392" s="7" t="inlineStr">
        <is>
          <t>tubo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>
        <v>496.6</v>
      </c>
      <c r="N1392" s="8" t="n"/>
      <c r="O1392" s="8" t="n"/>
      <c r="P1392" s="8" t="n"/>
      <c r="Q1392" s="8" t="n"/>
      <c r="R1392" s="8" t="n"/>
      <c r="S1392" s="8" t="n"/>
      <c r="T1392" s="8">
        <f>IF(COUNT(D1392:S1392)=0,"",MIN(D1392:S1392))</f>
        <v/>
      </c>
      <c r="U1392" s="8">
        <f>IF(COUNT(D1392:S1392)=0,"",MEDIAN(D1392:S1392))</f>
        <v/>
      </c>
      <c r="V1392" s="8">
        <f>IF(COUNT(D1392:S1392)=0,"",MAX(D1392:S1392))</f>
        <v/>
      </c>
      <c r="W1392" s="9">
        <f>IF(OR(T1392="",T1392=0),"",(V1392-T1392)/T1392)</f>
        <v/>
      </c>
      <c r="X1392" s="7">
        <f>IF(COUNT(D1392:S1392)=0,"",INDEX($D$1:$S$1,MATCH(MIN(D1392:S1392),D1392:S1392,0)))</f>
        <v/>
      </c>
      <c r="Y1392" s="8" t="n">
        <v>585.99</v>
      </c>
      <c r="Z1392" s="10" t="n">
        <v>1</v>
      </c>
    </row>
    <row r="1393">
      <c r="A1393" s="7" t="inlineStr">
        <is>
          <t>MAT-32-039</t>
        </is>
      </c>
      <c r="B1393" s="4" t="inlineStr">
        <is>
          <t>Tubo PVC SDR-26 1/2" x 19 pies</t>
        </is>
      </c>
      <c r="C1393" s="7" t="inlineStr">
        <is>
          <t>tubo</t>
        </is>
      </c>
      <c r="D1393" s="8" t="n"/>
      <c r="E1393" s="8" t="n">
        <v>70.78</v>
      </c>
      <c r="F1393" s="8" t="n"/>
      <c r="G1393" s="8" t="n">
        <v>135</v>
      </c>
      <c r="H1393" s="8" t="n"/>
      <c r="I1393" s="8" t="n"/>
      <c r="J1393" s="8" t="n"/>
      <c r="K1393" s="8" t="n"/>
      <c r="L1393" s="8" t="n"/>
      <c r="M1393" s="8" t="n">
        <v>96.51000000000001</v>
      </c>
      <c r="N1393" s="8" t="n"/>
      <c r="O1393" s="8" t="n"/>
      <c r="P1393" s="8" t="n"/>
      <c r="Q1393" s="8" t="n"/>
      <c r="R1393" s="8" t="n"/>
      <c r="S1393" s="8" t="n"/>
      <c r="T1393" s="8">
        <f>IF(COUNT(D1393:S1393)=0,"",MIN(D1393:S1393))</f>
        <v/>
      </c>
      <c r="U1393" s="8">
        <f>IF(COUNT(D1393:S1393)=0,"",MEDIAN(D1393:S1393))</f>
        <v/>
      </c>
      <c r="V1393" s="8">
        <f>IF(COUNT(D1393:S1393)=0,"",MAX(D1393:S1393))</f>
        <v/>
      </c>
      <c r="W1393" s="9">
        <f>IF(OR(T1393="",T1393=0),"",(V1393-T1393)/T1393)</f>
        <v/>
      </c>
      <c r="X1393" s="7">
        <f>IF(COUNT(D1393:S1393)=0,"",INDEX($D$1:$S$1,MATCH(MIN(D1393:S1393),D1393:S1393,0)))</f>
        <v/>
      </c>
      <c r="Y1393" s="8" t="n">
        <v>113.88</v>
      </c>
      <c r="Z1393" s="10" t="n">
        <v>3</v>
      </c>
    </row>
    <row r="1394">
      <c r="A1394" s="7" t="inlineStr">
        <is>
          <t>MAT-32-040</t>
        </is>
      </c>
      <c r="B1394" s="4" t="inlineStr">
        <is>
          <t>Tubo PVC SDR-26 1/2" x 9.5 pies</t>
        </is>
      </c>
      <c r="C1394" s="7" t="inlineStr">
        <is>
          <t>tubo</t>
        </is>
      </c>
      <c r="D1394" s="8" t="n"/>
      <c r="E1394" s="8" t="n">
        <v>293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>
        <f>IF(COUNT(D1394:S1394)=0,"",MIN(D1394:S1394))</f>
        <v/>
      </c>
      <c r="U1394" s="8">
        <f>IF(COUNT(D1394:S1394)=0,"",MEDIAN(D1394:S1394))</f>
        <v/>
      </c>
      <c r="V1394" s="8">
        <f>IF(COUNT(D1394:S1394)=0,"",MAX(D1394:S1394))</f>
        <v/>
      </c>
      <c r="W1394" s="9">
        <f>IF(OR(T1394="",T1394=0),"",(V1394-T1394)/T1394)</f>
        <v/>
      </c>
      <c r="X1394" s="7">
        <f>IF(COUNT(D1394:S1394)=0,"",INDEX($D$1:$S$1,MATCH(MIN(D1394:S1394),D1394:S1394,0)))</f>
        <v/>
      </c>
      <c r="Y1394" s="8" t="n">
        <v>293</v>
      </c>
      <c r="Z1394" s="10" t="n">
        <v>1</v>
      </c>
    </row>
    <row r="1395">
      <c r="A1395" s="7" t="inlineStr">
        <is>
          <t>MAT-32-041</t>
        </is>
      </c>
      <c r="B1395" s="4" t="inlineStr">
        <is>
          <t>Tubo PVC SDR-26 1" x 19 pies</t>
        </is>
      </c>
      <c r="C1395" s="7" t="inlineStr">
        <is>
          <t>tubo</t>
        </is>
      </c>
      <c r="D1395" s="8" t="n"/>
      <c r="E1395" s="8" t="n">
        <v>269</v>
      </c>
      <c r="F1395" s="8" t="n"/>
      <c r="G1395" s="8" t="n">
        <v>305</v>
      </c>
      <c r="H1395" s="8" t="n"/>
      <c r="I1395" s="8" t="n"/>
      <c r="J1395" s="8" t="n"/>
      <c r="K1395" s="8" t="n"/>
      <c r="L1395" s="8" t="n"/>
      <c r="M1395" s="8" t="n">
        <v>249.2</v>
      </c>
      <c r="N1395" s="8" t="n"/>
      <c r="O1395" s="8" t="n"/>
      <c r="P1395" s="8" t="n"/>
      <c r="Q1395" s="8" t="n"/>
      <c r="R1395" s="8" t="n"/>
      <c r="S1395" s="8" t="n"/>
      <c r="T1395" s="8">
        <f>IF(COUNT(D1395:S1395)=0,"",MIN(D1395:S1395))</f>
        <v/>
      </c>
      <c r="U1395" s="8">
        <f>IF(COUNT(D1395:S1395)=0,"",MEDIAN(D1395:S1395))</f>
        <v/>
      </c>
      <c r="V1395" s="8">
        <f>IF(COUNT(D1395:S1395)=0,"",MAX(D1395:S1395))</f>
        <v/>
      </c>
      <c r="W1395" s="9">
        <f>IF(OR(T1395="",T1395=0),"",(V1395-T1395)/T1395)</f>
        <v/>
      </c>
      <c r="X1395" s="7">
        <f>IF(COUNT(D1395:S1395)=0,"",INDEX($D$1:$S$1,MATCH(MIN(D1395:S1395),D1395:S1395,0)))</f>
        <v/>
      </c>
      <c r="Y1395" s="8" t="n">
        <v>294.06</v>
      </c>
      <c r="Z1395" s="10" t="n">
        <v>3</v>
      </c>
    </row>
    <row r="1396">
      <c r="A1396" s="7" t="inlineStr">
        <is>
          <t>MAT-32-042</t>
        </is>
      </c>
      <c r="B1396" s="4" t="inlineStr">
        <is>
          <t>Tubo PVC SDR-26 1" x 9.5 pies</t>
        </is>
      </c>
      <c r="C1396" s="7" t="inlineStr">
        <is>
          <t>tubo</t>
        </is>
      </c>
      <c r="D1396" s="8" t="n"/>
      <c r="E1396" s="8" t="n">
        <v>150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>
        <f>IF(COUNT(D1396:S1396)=0,"",MIN(D1396:S1396))</f>
        <v/>
      </c>
      <c r="U1396" s="8">
        <f>IF(COUNT(D1396:S1396)=0,"",MEDIAN(D1396:S1396))</f>
        <v/>
      </c>
      <c r="V1396" s="8">
        <f>IF(COUNT(D1396:S1396)=0,"",MAX(D1396:S1396))</f>
        <v/>
      </c>
      <c r="W1396" s="9">
        <f>IF(OR(T1396="",T1396=0),"",(V1396-T1396)/T1396)</f>
        <v/>
      </c>
      <c r="X1396" s="7">
        <f>IF(COUNT(D1396:S1396)=0,"",INDEX($D$1:$S$1,MATCH(MIN(D1396:S1396),D1396:S1396,0)))</f>
        <v/>
      </c>
      <c r="Y1396" s="8" t="n">
        <v>150</v>
      </c>
      <c r="Z1396" s="10" t="n">
        <v>1</v>
      </c>
    </row>
    <row r="1397">
      <c r="A1397" s="7" t="inlineStr">
        <is>
          <t>MAT-32-043</t>
        </is>
      </c>
      <c r="B1397" s="4" t="inlineStr">
        <is>
          <t>Tubo PVC SDR-26 2" x 19 pies</t>
        </is>
      </c>
      <c r="C1397" s="7" t="inlineStr">
        <is>
          <t>tubo</t>
        </is>
      </c>
      <c r="D1397" s="8" t="n"/>
      <c r="E1397" s="8" t="n">
        <v>881.41</v>
      </c>
      <c r="F1397" s="8" t="n"/>
      <c r="G1397" s="8" t="n"/>
      <c r="H1397" s="8" t="n"/>
      <c r="I1397" s="8" t="n"/>
      <c r="J1397" s="8" t="n"/>
      <c r="K1397" s="8" t="n"/>
      <c r="L1397" s="8" t="n"/>
      <c r="M1397" s="8" t="n">
        <v>774</v>
      </c>
      <c r="N1397" s="8" t="n"/>
      <c r="O1397" s="8" t="n"/>
      <c r="P1397" s="8" t="n"/>
      <c r="Q1397" s="8" t="n"/>
      <c r="R1397" s="8" t="n"/>
      <c r="S1397" s="8" t="n"/>
      <c r="T1397" s="8">
        <f>IF(COUNT(D1397:S1397)=0,"",MIN(D1397:S1397))</f>
        <v/>
      </c>
      <c r="U1397" s="8">
        <f>IF(COUNT(D1397:S1397)=0,"",MEDIAN(D1397:S1397))</f>
        <v/>
      </c>
      <c r="V1397" s="8">
        <f>IF(COUNT(D1397:S1397)=0,"",MAX(D1397:S1397))</f>
        <v/>
      </c>
      <c r="W1397" s="9">
        <f>IF(OR(T1397="",T1397=0),"",(V1397-T1397)/T1397)</f>
        <v/>
      </c>
      <c r="X1397" s="7">
        <f>IF(COUNT(D1397:S1397)=0,"",INDEX($D$1:$S$1,MATCH(MIN(D1397:S1397),D1397:S1397,0)))</f>
        <v/>
      </c>
      <c r="Y1397" s="8" t="n">
        <v>897.37</v>
      </c>
      <c r="Z1397" s="10" t="n">
        <v>2</v>
      </c>
    </row>
    <row r="1398">
      <c r="A1398" s="7" t="inlineStr">
        <is>
          <t>MAT-32-044</t>
        </is>
      </c>
      <c r="B1398" s="4" t="inlineStr">
        <is>
          <t>Tubo PVC SDR-26 2" x 9.5 pies</t>
        </is>
      </c>
      <c r="C1398" s="7" t="inlineStr">
        <is>
          <t>tubo</t>
        </is>
      </c>
      <c r="D1398" s="8" t="n"/>
      <c r="E1398" s="8" t="n">
        <v>455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>
        <f>IF(COUNT(D1398:S1398)=0,"",MIN(D1398:S1398))</f>
        <v/>
      </c>
      <c r="U1398" s="8">
        <f>IF(COUNT(D1398:S1398)=0,"",MEDIAN(D1398:S1398))</f>
        <v/>
      </c>
      <c r="V1398" s="8">
        <f>IF(COUNT(D1398:S1398)=0,"",MAX(D1398:S1398))</f>
        <v/>
      </c>
      <c r="W1398" s="9">
        <f>IF(OR(T1398="",T1398=0),"",(V1398-T1398)/T1398)</f>
        <v/>
      </c>
      <c r="X1398" s="7">
        <f>IF(COUNT(D1398:S1398)=0,"",INDEX($D$1:$S$1,MATCH(MIN(D1398:S1398),D1398:S1398,0)))</f>
        <v/>
      </c>
      <c r="Y1398" s="8" t="n">
        <v>455</v>
      </c>
      <c r="Z1398" s="10" t="n">
        <v>1</v>
      </c>
    </row>
    <row r="1399">
      <c r="A1399" s="7" t="inlineStr">
        <is>
          <t>MAT-32-045</t>
        </is>
      </c>
      <c r="B1399" s="4" t="inlineStr">
        <is>
          <t>Tubo PVC SDR-26 3/4" x 19 pies</t>
        </is>
      </c>
      <c r="C1399" s="7" t="inlineStr">
        <is>
          <t>tubo</t>
        </is>
      </c>
      <c r="D1399" s="8" t="n"/>
      <c r="E1399" s="8" t="n">
        <v>175</v>
      </c>
      <c r="F1399" s="8" t="n"/>
      <c r="G1399" s="8" t="n">
        <v>175</v>
      </c>
      <c r="H1399" s="8" t="n"/>
      <c r="I1399" s="8" t="n"/>
      <c r="J1399" s="8" t="n"/>
      <c r="K1399" s="8" t="n"/>
      <c r="L1399" s="8" t="n">
        <v>90</v>
      </c>
      <c r="M1399" s="8" t="n">
        <v>153.5</v>
      </c>
      <c r="N1399" s="8" t="n"/>
      <c r="O1399" s="8" t="n"/>
      <c r="P1399" s="8" t="n"/>
      <c r="Q1399" s="8" t="n"/>
      <c r="R1399" s="8" t="n"/>
      <c r="S1399" s="8" t="n"/>
      <c r="T1399" s="8">
        <f>IF(COUNT(D1399:S1399)=0,"",MIN(D1399:S1399))</f>
        <v/>
      </c>
      <c r="U1399" s="8">
        <f>IF(COUNT(D1399:S1399)=0,"",MEDIAN(D1399:S1399))</f>
        <v/>
      </c>
      <c r="V1399" s="8">
        <f>IF(COUNT(D1399:S1399)=0,"",MAX(D1399:S1399))</f>
        <v/>
      </c>
      <c r="W1399" s="9">
        <f>IF(OR(T1399="",T1399=0),"",(V1399-T1399)/T1399)</f>
        <v/>
      </c>
      <c r="X1399" s="7">
        <f>IF(COUNT(D1399:S1399)=0,"",INDEX($D$1:$S$1,MATCH(MIN(D1399:S1399),D1399:S1399,0)))</f>
        <v/>
      </c>
      <c r="Y1399" s="8" t="n">
        <v>175</v>
      </c>
      <c r="Z1399" s="10" t="n">
        <v>4</v>
      </c>
    </row>
    <row r="1400">
      <c r="A1400" s="7" t="inlineStr">
        <is>
          <t>MAT-32-046</t>
        </is>
      </c>
      <c r="B1400" s="4" t="inlineStr">
        <is>
          <t>Tubo PVC SDR-26 3/4" x 9.5 pies</t>
        </is>
      </c>
      <c r="C1400" s="7" t="inlineStr">
        <is>
          <t>tubo</t>
        </is>
      </c>
      <c r="D1400" s="8" t="n"/>
      <c r="E1400" s="8" t="n">
        <v>94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>
        <f>IF(COUNT(D1400:S1400)=0,"",MIN(D1400:S1400))</f>
        <v/>
      </c>
      <c r="U1400" s="8">
        <f>IF(COUNT(D1400:S1400)=0,"",MEDIAN(D1400:S1400))</f>
        <v/>
      </c>
      <c r="V1400" s="8">
        <f>IF(COUNT(D1400:S1400)=0,"",MAX(D1400:S1400))</f>
        <v/>
      </c>
      <c r="W1400" s="9">
        <f>IF(OR(T1400="",T1400=0),"",(V1400-T1400)/T1400)</f>
        <v/>
      </c>
      <c r="X1400" s="7">
        <f>IF(COUNT(D1400:S1400)=0,"",INDEX($D$1:$S$1,MATCH(MIN(D1400:S1400),D1400:S1400,0)))</f>
        <v/>
      </c>
      <c r="Y1400" s="8" t="n">
        <v>94</v>
      </c>
      <c r="Z1400" s="10" t="n">
        <v>1</v>
      </c>
    </row>
    <row r="1401">
      <c r="A1401" s="7" t="inlineStr">
        <is>
          <t>MAT-32-047</t>
        </is>
      </c>
      <c r="B1401" s="4" t="inlineStr">
        <is>
          <t>Tubo PVC SDR-26 3" x 19 pies</t>
        </is>
      </c>
      <c r="C1401" s="7" t="inlineStr">
        <is>
          <t>tubo</t>
        </is>
      </c>
      <c r="D1401" s="8" t="n"/>
      <c r="E1401" s="8" t="n">
        <v>1928.2</v>
      </c>
      <c r="F1401" s="8" t="n"/>
      <c r="G1401" s="8" t="n">
        <v>2172</v>
      </c>
      <c r="H1401" s="8" t="n"/>
      <c r="I1401" s="8" t="n"/>
      <c r="J1401" s="8" t="n"/>
      <c r="K1401" s="8" t="n"/>
      <c r="L1401" s="8" t="n"/>
      <c r="M1401" s="8" t="n">
        <v>1693.3</v>
      </c>
      <c r="N1401" s="8" t="n"/>
      <c r="O1401" s="8" t="n"/>
      <c r="P1401" s="8" t="n"/>
      <c r="Q1401" s="8" t="n"/>
      <c r="R1401" s="8" t="n"/>
      <c r="S1401" s="8" t="n"/>
      <c r="T1401" s="8">
        <f>IF(COUNT(D1401:S1401)=0,"",MIN(D1401:S1401))</f>
        <v/>
      </c>
      <c r="U1401" s="8">
        <f>IF(COUNT(D1401:S1401)=0,"",MEDIAN(D1401:S1401))</f>
        <v/>
      </c>
      <c r="V1401" s="8">
        <f>IF(COUNT(D1401:S1401)=0,"",MAX(D1401:S1401))</f>
        <v/>
      </c>
      <c r="W1401" s="9">
        <f>IF(OR(T1401="",T1401=0),"",(V1401-T1401)/T1401)</f>
        <v/>
      </c>
      <c r="X1401" s="7">
        <f>IF(COUNT(D1401:S1401)=0,"",INDEX($D$1:$S$1,MATCH(MIN(D1401:S1401),D1401:S1401,0)))</f>
        <v/>
      </c>
      <c r="Y1401" s="8" t="n">
        <v>1998.09</v>
      </c>
      <c r="Z1401" s="10" t="n">
        <v>3</v>
      </c>
    </row>
    <row r="1402">
      <c r="A1402" s="7" t="inlineStr">
        <is>
          <t>MAT-32-048</t>
        </is>
      </c>
      <c r="B1402" s="4" t="inlineStr">
        <is>
          <t>Tubo PVC SDR-26 3" x 9.5 pies</t>
        </is>
      </c>
      <c r="C1402" s="7" t="inlineStr">
        <is>
          <t>tubo</t>
        </is>
      </c>
      <c r="D1402" s="8" t="n"/>
      <c r="E1402" s="8" t="n">
        <v>988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>
        <f>IF(COUNT(D1402:S1402)=0,"",MIN(D1402:S1402))</f>
        <v/>
      </c>
      <c r="U1402" s="8">
        <f>IF(COUNT(D1402:S1402)=0,"",MEDIAN(D1402:S1402))</f>
        <v/>
      </c>
      <c r="V1402" s="8">
        <f>IF(COUNT(D1402:S1402)=0,"",MAX(D1402:S1402))</f>
        <v/>
      </c>
      <c r="W1402" s="9">
        <f>IF(OR(T1402="",T1402=0),"",(V1402-T1402)/T1402)</f>
        <v/>
      </c>
      <c r="X1402" s="7">
        <f>IF(COUNT(D1402:S1402)=0,"",INDEX($D$1:$S$1,MATCH(MIN(D1402:S1402),D1402:S1402,0)))</f>
        <v/>
      </c>
      <c r="Y1402" s="8" t="n">
        <v>988</v>
      </c>
      <c r="Z1402" s="10" t="n">
        <v>1</v>
      </c>
    </row>
    <row r="1403">
      <c r="A1403" s="7" t="inlineStr">
        <is>
          <t>MAT-32-049</t>
        </is>
      </c>
      <c r="B1403" s="4" t="inlineStr">
        <is>
          <t>Tubo PVC SDR-26 4" x 19 pies</t>
        </is>
      </c>
      <c r="C1403" s="7" t="inlineStr">
        <is>
          <t>tubo</t>
        </is>
      </c>
      <c r="D1403" s="8" t="n"/>
      <c r="E1403" s="8" t="n">
        <v>3133</v>
      </c>
      <c r="F1403" s="8" t="n"/>
      <c r="G1403" s="8" t="n"/>
      <c r="H1403" s="8" t="n"/>
      <c r="I1403" s="8" t="n"/>
      <c r="J1403" s="8" t="n"/>
      <c r="K1403" s="8" t="n"/>
      <c r="L1403" s="8" t="n"/>
      <c r="M1403" s="8" t="n">
        <v>2781</v>
      </c>
      <c r="N1403" s="8" t="n"/>
      <c r="O1403" s="8" t="n"/>
      <c r="P1403" s="8" t="n"/>
      <c r="Q1403" s="8" t="n"/>
      <c r="R1403" s="8" t="n"/>
      <c r="S1403" s="8" t="n"/>
      <c r="T1403" s="8">
        <f>IF(COUNT(D1403:S1403)=0,"",MIN(D1403:S1403))</f>
        <v/>
      </c>
      <c r="U1403" s="8">
        <f>IF(COUNT(D1403:S1403)=0,"",MEDIAN(D1403:S1403))</f>
        <v/>
      </c>
      <c r="V1403" s="8">
        <f>IF(COUNT(D1403:S1403)=0,"",MAX(D1403:S1403))</f>
        <v/>
      </c>
      <c r="W1403" s="9">
        <f>IF(OR(T1403="",T1403=0),"",(V1403-T1403)/T1403)</f>
        <v/>
      </c>
      <c r="X1403" s="7">
        <f>IF(COUNT(D1403:S1403)=0,"",INDEX($D$1:$S$1,MATCH(MIN(D1403:S1403),D1403:S1403,0)))</f>
        <v/>
      </c>
      <c r="Y1403" s="8" t="n">
        <v>3207.29</v>
      </c>
      <c r="Z1403" s="10" t="n">
        <v>2</v>
      </c>
    </row>
    <row r="1404">
      <c r="A1404" s="7" t="inlineStr">
        <is>
          <t>MAT-32-050</t>
        </is>
      </c>
      <c r="B1404" s="4" t="inlineStr">
        <is>
          <t>Tubo PVC SDR-26 6" x 19 pies</t>
        </is>
      </c>
      <c r="C1404" s="7" t="inlineStr">
        <is>
          <t>tubo</t>
        </is>
      </c>
      <c r="D1404" s="8" t="n"/>
      <c r="E1404" s="8" t="n">
        <v>6884.88</v>
      </c>
      <c r="F1404" s="8" t="n"/>
      <c r="G1404" s="8" t="n"/>
      <c r="H1404" s="8" t="n"/>
      <c r="I1404" s="8" t="n"/>
      <c r="J1404" s="8" t="n"/>
      <c r="K1404" s="8" t="n"/>
      <c r="L1404" s="8" t="n"/>
      <c r="M1404" s="8" t="n">
        <v>6031</v>
      </c>
      <c r="N1404" s="8" t="n"/>
      <c r="O1404" s="8" t="n"/>
      <c r="P1404" s="8" t="n"/>
      <c r="Q1404" s="8" t="n"/>
      <c r="R1404" s="8" t="n"/>
      <c r="S1404" s="8" t="n"/>
      <c r="T1404" s="8">
        <f>IF(COUNT(D1404:S1404)=0,"",MIN(D1404:S1404))</f>
        <v/>
      </c>
      <c r="U1404" s="8">
        <f>IF(COUNT(D1404:S1404)=0,"",MEDIAN(D1404:S1404))</f>
        <v/>
      </c>
      <c r="V1404" s="8">
        <f>IF(COUNT(D1404:S1404)=0,"",MAX(D1404:S1404))</f>
        <v/>
      </c>
      <c r="W1404" s="9">
        <f>IF(OR(T1404="",T1404=0),"",(V1404-T1404)/T1404)</f>
        <v/>
      </c>
      <c r="X1404" s="7">
        <f>IF(COUNT(D1404:S1404)=0,"",INDEX($D$1:$S$1,MATCH(MIN(D1404:S1404),D1404:S1404,0)))</f>
        <v/>
      </c>
      <c r="Y1404" s="8" t="n">
        <v>7000.73</v>
      </c>
      <c r="Z1404" s="10" t="n">
        <v>2</v>
      </c>
    </row>
    <row r="1405">
      <c r="A1405" s="7" t="inlineStr">
        <is>
          <t>MAT-32-051</t>
        </is>
      </c>
      <c r="B1405" s="4" t="inlineStr">
        <is>
          <t>Tubo PVC SDR-26 8" x 19 pies</t>
        </is>
      </c>
      <c r="C1405" s="7" t="inlineStr">
        <is>
          <t>tubo</t>
        </is>
      </c>
      <c r="D1405" s="8" t="n"/>
      <c r="E1405" s="8" t="n">
        <v>11666.54</v>
      </c>
      <c r="F1405" s="8" t="n"/>
      <c r="G1405" s="8" t="n"/>
      <c r="H1405" s="8" t="n"/>
      <c r="I1405" s="8" t="n"/>
      <c r="J1405" s="8" t="n"/>
      <c r="K1405" s="8" t="n"/>
      <c r="L1405" s="8" t="n">
        <v>10360</v>
      </c>
      <c r="M1405" s="8" t="n">
        <v>10110.1</v>
      </c>
      <c r="N1405" s="8" t="n"/>
      <c r="O1405" s="8" t="n"/>
      <c r="P1405" s="8" t="n"/>
      <c r="Q1405" s="8" t="n"/>
      <c r="R1405" s="8" t="n"/>
      <c r="S1405" s="8" t="n"/>
      <c r="T1405" s="8">
        <f>IF(COUNT(D1405:S1405)=0,"",MIN(D1405:S1405))</f>
        <v/>
      </c>
      <c r="U1405" s="8">
        <f>IF(COUNT(D1405:S1405)=0,"",MEDIAN(D1405:S1405))</f>
        <v/>
      </c>
      <c r="V1405" s="8">
        <f>IF(COUNT(D1405:S1405)=0,"",MAX(D1405:S1405))</f>
        <v/>
      </c>
      <c r="W1405" s="9">
        <f>IF(OR(T1405="",T1405=0),"",(V1405-T1405)/T1405)</f>
        <v/>
      </c>
      <c r="X1405" s="7">
        <f>IF(COUNT(D1405:S1405)=0,"",INDEX($D$1:$S$1,MATCH(MIN(D1405:S1405),D1405:S1405,0)))</f>
        <v/>
      </c>
      <c r="Y1405" s="8" t="n">
        <v>11666.54</v>
      </c>
      <c r="Z1405" s="10" t="n">
        <v>3</v>
      </c>
    </row>
    <row r="1406">
      <c r="A1406" s="7" t="inlineStr">
        <is>
          <t>MAT-32-052</t>
        </is>
      </c>
      <c r="B1406" s="4" t="inlineStr">
        <is>
          <t>Tubo PVC SDR-32.5 10" x 19 pies</t>
        </is>
      </c>
      <c r="C1406" s="7" t="inlineStr">
        <is>
          <t>tubo</t>
        </is>
      </c>
      <c r="D1406" s="8" t="n"/>
      <c r="E1406" s="8" t="n">
        <v>15540.55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>
        <f>IF(COUNT(D1406:S1406)=0,"",MIN(D1406:S1406))</f>
        <v/>
      </c>
      <c r="U1406" s="8">
        <f>IF(COUNT(D1406:S1406)=0,"",MEDIAN(D1406:S1406))</f>
        <v/>
      </c>
      <c r="V1406" s="8">
        <f>IF(COUNT(D1406:S1406)=0,"",MAX(D1406:S1406))</f>
        <v/>
      </c>
      <c r="W1406" s="9">
        <f>IF(OR(T1406="",T1406=0),"",(V1406-T1406)/T1406)</f>
        <v/>
      </c>
      <c r="X1406" s="7">
        <f>IF(COUNT(D1406:S1406)=0,"",INDEX($D$1:$S$1,MATCH(MIN(D1406:S1406),D1406:S1406,0)))</f>
        <v/>
      </c>
      <c r="Y1406" s="8" t="n">
        <v>15540.55</v>
      </c>
      <c r="Z1406" s="10" t="n">
        <v>1</v>
      </c>
    </row>
    <row r="1407">
      <c r="A1407" s="7" t="inlineStr">
        <is>
          <t>MAT-32-053</t>
        </is>
      </c>
      <c r="B1407" s="4" t="inlineStr">
        <is>
          <t>Tubo PVC SDR-32.5 2" x 19 pies</t>
        </is>
      </c>
      <c r="C1407" s="7" t="inlineStr">
        <is>
          <t>tubo</t>
        </is>
      </c>
      <c r="D1407" s="8" t="n"/>
      <c r="E1407" s="8" t="n">
        <v>711.42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>
        <f>IF(COUNT(D1407:S1407)=0,"",MIN(D1407:S1407))</f>
        <v/>
      </c>
      <c r="U1407" s="8">
        <f>IF(COUNT(D1407:S1407)=0,"",MEDIAN(D1407:S1407))</f>
        <v/>
      </c>
      <c r="V1407" s="8">
        <f>IF(COUNT(D1407:S1407)=0,"",MAX(D1407:S1407))</f>
        <v/>
      </c>
      <c r="W1407" s="9">
        <f>IF(OR(T1407="",T1407=0),"",(V1407-T1407)/T1407)</f>
        <v/>
      </c>
      <c r="X1407" s="7">
        <f>IF(COUNT(D1407:S1407)=0,"",INDEX($D$1:$S$1,MATCH(MIN(D1407:S1407),D1407:S1407,0)))</f>
        <v/>
      </c>
      <c r="Y1407" s="8" t="n">
        <v>711.42</v>
      </c>
      <c r="Z1407" s="10" t="n">
        <v>1</v>
      </c>
    </row>
    <row r="1408">
      <c r="A1408" s="7" t="inlineStr">
        <is>
          <t>MAT-32-054</t>
        </is>
      </c>
      <c r="B1408" s="4" t="inlineStr">
        <is>
          <t>Tubo PVC SDR-32.5 3" x 19 pies</t>
        </is>
      </c>
      <c r="C1408" s="7" t="inlineStr">
        <is>
          <t>tubo</t>
        </is>
      </c>
      <c r="D1408" s="8" t="n"/>
      <c r="E1408" s="8" t="n">
        <v>1549.5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>
        <f>IF(COUNT(D1408:S1408)=0,"",MIN(D1408:S1408))</f>
        <v/>
      </c>
      <c r="U1408" s="8">
        <f>IF(COUNT(D1408:S1408)=0,"",MEDIAN(D1408:S1408))</f>
        <v/>
      </c>
      <c r="V1408" s="8">
        <f>IF(COUNT(D1408:S1408)=0,"",MAX(D1408:S1408))</f>
        <v/>
      </c>
      <c r="W1408" s="9">
        <f>IF(OR(T1408="",T1408=0),"",(V1408-T1408)/T1408)</f>
        <v/>
      </c>
      <c r="X1408" s="7">
        <f>IF(COUNT(D1408:S1408)=0,"",INDEX($D$1:$S$1,MATCH(MIN(D1408:S1408),D1408:S1408,0)))</f>
        <v/>
      </c>
      <c r="Y1408" s="8" t="n">
        <v>1549.5</v>
      </c>
      <c r="Z1408" s="10" t="n">
        <v>1</v>
      </c>
    </row>
    <row r="1409">
      <c r="A1409" s="7" t="inlineStr">
        <is>
          <t>MAT-32-055</t>
        </is>
      </c>
      <c r="B1409" s="4" t="inlineStr">
        <is>
          <t>Tubo PVC SDR-32.5 4" x 19 pies</t>
        </is>
      </c>
      <c r="C1409" s="7" t="inlineStr">
        <is>
          <t>tubo</t>
        </is>
      </c>
      <c r="D1409" s="8" t="n"/>
      <c r="E1409" s="8" t="n">
        <v>2548.33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>
        <f>IF(COUNT(D1409:S1409)=0,"",MIN(D1409:S1409))</f>
        <v/>
      </c>
      <c r="U1409" s="8">
        <f>IF(COUNT(D1409:S1409)=0,"",MEDIAN(D1409:S1409))</f>
        <v/>
      </c>
      <c r="V1409" s="8">
        <f>IF(COUNT(D1409:S1409)=0,"",MAX(D1409:S1409))</f>
        <v/>
      </c>
      <c r="W1409" s="9">
        <f>IF(OR(T1409="",T1409=0),"",(V1409-T1409)/T1409)</f>
        <v/>
      </c>
      <c r="X1409" s="7">
        <f>IF(COUNT(D1409:S1409)=0,"",INDEX($D$1:$S$1,MATCH(MIN(D1409:S1409),D1409:S1409,0)))</f>
        <v/>
      </c>
      <c r="Y1409" s="8" t="n">
        <v>2548.33</v>
      </c>
      <c r="Z1409" s="10" t="n">
        <v>1</v>
      </c>
    </row>
    <row r="1410">
      <c r="A1410" s="7" t="inlineStr">
        <is>
          <t>MAT-32-056</t>
        </is>
      </c>
      <c r="B1410" s="4" t="inlineStr">
        <is>
          <t>Tubo PVC SDR-32.5 6"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>
        <f>IF(COUNT(D1410:S1410)=0,"",MIN(D1410:S1410))</f>
        <v/>
      </c>
      <c r="U1410" s="8">
        <f>IF(COUNT(D1410:S1410)=0,"",MEDIAN(D1410:S1410))</f>
        <v/>
      </c>
      <c r="V1410" s="8">
        <f>IF(COUNT(D1410:S1410)=0,"",MAX(D1410:S1410))</f>
        <v/>
      </c>
      <c r="W1410" s="9">
        <f>IF(OR(T1410="",T1410=0),"",(V1410-T1410)/T1410)</f>
        <v/>
      </c>
      <c r="X1410" s="7">
        <f>IF(COUNT(D1410:S1410)=0,"",INDEX($D$1:$S$1,MATCH(MIN(D1410:S1410),D1410:S1410,0)))</f>
        <v/>
      </c>
      <c r="Y1410" s="8" t="n">
        <v>9381.73</v>
      </c>
      <c r="Z1410" s="10" t="n">
        <v>1</v>
      </c>
    </row>
    <row r="1411">
      <c r="A1411" s="7" t="inlineStr">
        <is>
          <t>MAT-32-057</t>
        </is>
      </c>
      <c r="B1411" s="4" t="inlineStr">
        <is>
          <t>Tubo PVC SDR-32.5 8"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>
        <f>IF(COUNT(D1411:S1411)=0,"",MIN(D1411:S1411))</f>
        <v/>
      </c>
      <c r="U1411" s="8">
        <f>IF(COUNT(D1411:S1411)=0,"",MEDIAN(D1411:S1411))</f>
        <v/>
      </c>
      <c r="V1411" s="8">
        <f>IF(COUNT(D1411:S1411)=0,"",MAX(D1411:S1411))</f>
        <v/>
      </c>
      <c r="W1411" s="9">
        <f>IF(OR(T1411="",T1411=0),"",(V1411-T1411)/T1411)</f>
        <v/>
      </c>
      <c r="X1411" s="7">
        <f>IF(COUNT(D1411:S1411)=0,"",INDEX($D$1:$S$1,MATCH(MIN(D1411:S1411),D1411:S1411,0)))</f>
        <v/>
      </c>
      <c r="Y1411" s="8" t="n">
        <v>9381.73</v>
      </c>
      <c r="Z1411" s="10" t="n">
        <v>1</v>
      </c>
    </row>
    <row r="1412">
      <c r="A1412" s="7" t="inlineStr">
        <is>
          <t>MAT-32-058</t>
        </is>
      </c>
      <c r="B1412" s="4" t="inlineStr">
        <is>
          <t>Tubo PVC SDR-41 1 1/2" x 19 pies</t>
        </is>
      </c>
      <c r="C1412" s="7" t="inlineStr">
        <is>
          <t>tubo</t>
        </is>
      </c>
      <c r="D1412" s="8" t="n"/>
      <c r="E1412" s="8" t="n"/>
      <c r="F1412" s="8" t="n"/>
      <c r="G1412" s="8" t="n">
        <v>453</v>
      </c>
      <c r="H1412" s="8" t="n"/>
      <c r="I1412" s="8" t="n"/>
      <c r="J1412" s="8" t="n"/>
      <c r="K1412" s="8" t="n"/>
      <c r="L1412" s="8" t="n"/>
      <c r="M1412" s="8" t="n">
        <v>337.8</v>
      </c>
      <c r="N1412" s="8" t="n"/>
      <c r="O1412" s="8" t="n"/>
      <c r="P1412" s="8" t="n"/>
      <c r="Q1412" s="8" t="n"/>
      <c r="R1412" s="8" t="n"/>
      <c r="S1412" s="8" t="n"/>
      <c r="T1412" s="8">
        <f>IF(COUNT(D1412:S1412)=0,"",MIN(D1412:S1412))</f>
        <v/>
      </c>
      <c r="U1412" s="8">
        <f>IF(COUNT(D1412:S1412)=0,"",MEDIAN(D1412:S1412))</f>
        <v/>
      </c>
      <c r="V1412" s="8">
        <f>IF(COUNT(D1412:S1412)=0,"",MAX(D1412:S1412))</f>
        <v/>
      </c>
      <c r="W1412" s="9">
        <f>IF(OR(T1412="",T1412=0),"",(V1412-T1412)/T1412)</f>
        <v/>
      </c>
      <c r="X1412" s="7">
        <f>IF(COUNT(D1412:S1412)=0,"",INDEX($D$1:$S$1,MATCH(MIN(D1412:S1412),D1412:S1412,0)))</f>
        <v/>
      </c>
      <c r="Y1412" s="8" t="n">
        <v>425.8</v>
      </c>
      <c r="Z1412" s="10" t="n">
        <v>2</v>
      </c>
    </row>
    <row r="1413">
      <c r="A1413" s="7" t="inlineStr">
        <is>
          <t>MAT-32-059</t>
        </is>
      </c>
      <c r="B1413" s="4" t="inlineStr">
        <is>
          <t>Tubo PVC SDR-41 1/2" x 19 pies</t>
        </is>
      </c>
      <c r="C1413" s="7" t="inlineStr">
        <is>
          <t>tubo</t>
        </is>
      </c>
      <c r="D1413" s="8" t="n"/>
      <c r="E1413" s="8" t="n">
        <v>386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>
        <f>IF(COUNT(D1413:S1413)=0,"",MIN(D1413:S1413))</f>
        <v/>
      </c>
      <c r="U1413" s="8">
        <f>IF(COUNT(D1413:S1413)=0,"",MEDIAN(D1413:S1413))</f>
        <v/>
      </c>
      <c r="V1413" s="8">
        <f>IF(COUNT(D1413:S1413)=0,"",MAX(D1413:S1413))</f>
        <v/>
      </c>
      <c r="W1413" s="9">
        <f>IF(OR(T1413="",T1413=0),"",(V1413-T1413)/T1413)</f>
        <v/>
      </c>
      <c r="X1413" s="7">
        <f>IF(COUNT(D1413:S1413)=0,"",INDEX($D$1:$S$1,MATCH(MIN(D1413:S1413),D1413:S1413,0)))</f>
        <v/>
      </c>
      <c r="Y1413" s="8" t="n">
        <v>386</v>
      </c>
      <c r="Z1413" s="10" t="n">
        <v>1</v>
      </c>
    </row>
    <row r="1414">
      <c r="A1414" s="7" t="inlineStr">
        <is>
          <t>MAT-32-060</t>
        </is>
      </c>
      <c r="B1414" s="4" t="inlineStr">
        <is>
          <t>Tubo PVC SDR-41 1/2" x 9.5 pies</t>
        </is>
      </c>
      <c r="C1414" s="7" t="inlineStr">
        <is>
          <t>tubo</t>
        </is>
      </c>
      <c r="D1414" s="8" t="n"/>
      <c r="E1414" s="8" t="n">
        <v>202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>
        <f>IF(COUNT(D1414:S1414)=0,"",MIN(D1414:S1414))</f>
        <v/>
      </c>
      <c r="U1414" s="8">
        <f>IF(COUNT(D1414:S1414)=0,"",MEDIAN(D1414:S1414))</f>
        <v/>
      </c>
      <c r="V1414" s="8">
        <f>IF(COUNT(D1414:S1414)=0,"",MAX(D1414:S1414))</f>
        <v/>
      </c>
      <c r="W1414" s="9">
        <f>IF(OR(T1414="",T1414=0),"",(V1414-T1414)/T1414)</f>
        <v/>
      </c>
      <c r="X1414" s="7">
        <f>IF(COUNT(D1414:S1414)=0,"",INDEX($D$1:$S$1,MATCH(MIN(D1414:S1414),D1414:S1414,0)))</f>
        <v/>
      </c>
      <c r="Y1414" s="8" t="n">
        <v>202</v>
      </c>
      <c r="Z1414" s="10" t="n">
        <v>1</v>
      </c>
    </row>
    <row r="1415">
      <c r="A1415" s="7" t="inlineStr">
        <is>
          <t>MAT-32-061</t>
        </is>
      </c>
      <c r="B1415" s="4" t="inlineStr">
        <is>
          <t>Tubo PVC SDR-41 10" x 19 pies</t>
        </is>
      </c>
      <c r="C1415" s="7" t="inlineStr">
        <is>
          <t>tubo</t>
        </is>
      </c>
      <c r="D1415" s="8" t="n"/>
      <c r="E1415" s="8" t="n">
        <v>12736.57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>
        <f>IF(COUNT(D1415:S1415)=0,"",MIN(D1415:S1415))</f>
        <v/>
      </c>
      <c r="U1415" s="8">
        <f>IF(COUNT(D1415:S1415)=0,"",MEDIAN(D1415:S1415))</f>
        <v/>
      </c>
      <c r="V1415" s="8">
        <f>IF(COUNT(D1415:S1415)=0,"",MAX(D1415:S1415))</f>
        <v/>
      </c>
      <c r="W1415" s="9">
        <f>IF(OR(T1415="",T1415=0),"",(V1415-T1415)/T1415)</f>
        <v/>
      </c>
      <c r="X1415" s="7">
        <f>IF(COUNT(D1415:S1415)=0,"",INDEX($D$1:$S$1,MATCH(MIN(D1415:S1415),D1415:S1415,0)))</f>
        <v/>
      </c>
      <c r="Y1415" s="8" t="n">
        <v>12736.57</v>
      </c>
      <c r="Z1415" s="10" t="n">
        <v>1</v>
      </c>
    </row>
    <row r="1416">
      <c r="A1416" s="7" t="inlineStr">
        <is>
          <t>MAT-32-062</t>
        </is>
      </c>
      <c r="B1416" s="4" t="inlineStr">
        <is>
          <t>Tubo PVC SDR-41 12" x 19 pies</t>
        </is>
      </c>
      <c r="C1416" s="7" t="inlineStr">
        <is>
          <t>tubo</t>
        </is>
      </c>
      <c r="D1416" s="8" t="n"/>
      <c r="E1416" s="8" t="n">
        <v>17906.86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>
        <f>IF(COUNT(D1416:S1416)=0,"",MIN(D1416:S1416))</f>
        <v/>
      </c>
      <c r="U1416" s="8">
        <f>IF(COUNT(D1416:S1416)=0,"",MEDIAN(D1416:S1416))</f>
        <v/>
      </c>
      <c r="V1416" s="8">
        <f>IF(COUNT(D1416:S1416)=0,"",MAX(D1416:S1416))</f>
        <v/>
      </c>
      <c r="W1416" s="9">
        <f>IF(OR(T1416="",T1416=0),"",(V1416-T1416)/T1416)</f>
        <v/>
      </c>
      <c r="X1416" s="7">
        <f>IF(COUNT(D1416:S1416)=0,"",INDEX($D$1:$S$1,MATCH(MIN(D1416:S1416),D1416:S1416,0)))</f>
        <v/>
      </c>
      <c r="Y1416" s="8" t="n">
        <v>17906.86</v>
      </c>
      <c r="Z1416" s="10" t="n">
        <v>1</v>
      </c>
    </row>
    <row r="1417">
      <c r="A1417" s="7" t="inlineStr">
        <is>
          <t>MAT-32-063</t>
        </is>
      </c>
      <c r="B1417" s="4" t="inlineStr">
        <is>
          <t>Tubo PVC SDR-41 2" x 19 pies</t>
        </is>
      </c>
      <c r="C1417" s="7" t="inlineStr">
        <is>
          <t>tubo</t>
        </is>
      </c>
      <c r="D1417" s="8" t="n"/>
      <c r="E1417" s="8" t="n">
        <v>561</v>
      </c>
      <c r="F1417" s="8" t="n"/>
      <c r="G1417" s="8" t="n"/>
      <c r="H1417" s="8" t="n"/>
      <c r="I1417" s="8" t="n"/>
      <c r="J1417" s="8" t="n"/>
      <c r="K1417" s="8" t="n"/>
      <c r="L1417" s="8" t="n"/>
      <c r="M1417" s="8" t="n">
        <v>496.9</v>
      </c>
      <c r="N1417" s="8" t="n"/>
      <c r="O1417" s="8" t="n"/>
      <c r="P1417" s="8" t="n"/>
      <c r="Q1417" s="8" t="n"/>
      <c r="R1417" s="8" t="n"/>
      <c r="S1417" s="8" t="n"/>
      <c r="T1417" s="8">
        <f>IF(COUNT(D1417:S1417)=0,"",MIN(D1417:S1417))</f>
        <v/>
      </c>
      <c r="U1417" s="8">
        <f>IF(COUNT(D1417:S1417)=0,"",MEDIAN(D1417:S1417))</f>
        <v/>
      </c>
      <c r="V1417" s="8">
        <f>IF(COUNT(D1417:S1417)=0,"",MAX(D1417:S1417))</f>
        <v/>
      </c>
      <c r="W1417" s="9">
        <f>IF(OR(T1417="",T1417=0),"",(V1417-T1417)/T1417)</f>
        <v/>
      </c>
      <c r="X1417" s="7">
        <f>IF(COUNT(D1417:S1417)=0,"",INDEX($D$1:$S$1,MATCH(MIN(D1417:S1417),D1417:S1417,0)))</f>
        <v/>
      </c>
      <c r="Y1417" s="8" t="n">
        <v>573.67</v>
      </c>
      <c r="Z1417" s="10" t="n">
        <v>2</v>
      </c>
    </row>
    <row r="1418">
      <c r="A1418" s="7" t="inlineStr">
        <is>
          <t>MAT-32-064</t>
        </is>
      </c>
      <c r="B1418" s="4" t="inlineStr">
        <is>
          <t>Tubo PVC SDR-41 3" x 19 pies</t>
        </is>
      </c>
      <c r="C1418" s="7" t="inlineStr">
        <is>
          <t>tubo</t>
        </is>
      </c>
      <c r="D1418" s="8" t="n"/>
      <c r="E1418" s="8" t="n">
        <v>990</v>
      </c>
      <c r="F1418" s="8" t="n"/>
      <c r="G1418" s="8" t="n">
        <v>1150</v>
      </c>
      <c r="H1418" s="8" t="n"/>
      <c r="I1418" s="8" t="n"/>
      <c r="J1418" s="8" t="n"/>
      <c r="K1418" s="8" t="n"/>
      <c r="L1418" s="8" t="n">
        <v>670</v>
      </c>
      <c r="M1418" s="8" t="n">
        <v>918.5</v>
      </c>
      <c r="N1418" s="8" t="n"/>
      <c r="O1418" s="8" t="n"/>
      <c r="P1418" s="8" t="n"/>
      <c r="Q1418" s="8" t="n"/>
      <c r="R1418" s="8" t="n"/>
      <c r="S1418" s="8" t="n"/>
      <c r="T1418" s="8">
        <f>IF(COUNT(D1418:S1418)=0,"",MIN(D1418:S1418))</f>
        <v/>
      </c>
      <c r="U1418" s="8">
        <f>IF(COUNT(D1418:S1418)=0,"",MEDIAN(D1418:S1418))</f>
        <v/>
      </c>
      <c r="V1418" s="8">
        <f>IF(COUNT(D1418:S1418)=0,"",MAX(D1418:S1418))</f>
        <v/>
      </c>
      <c r="W1418" s="9">
        <f>IF(OR(T1418="",T1418=0),"",(V1418-T1418)/T1418)</f>
        <v/>
      </c>
      <c r="X1418" s="7">
        <f>IF(COUNT(D1418:S1418)=0,"",INDEX($D$1:$S$1,MATCH(MIN(D1418:S1418),D1418:S1418,0)))</f>
        <v/>
      </c>
      <c r="Y1418" s="8" t="n">
        <v>1036.92</v>
      </c>
      <c r="Z1418" s="10" t="n">
        <v>4</v>
      </c>
    </row>
    <row r="1419">
      <c r="A1419" s="7" t="inlineStr">
        <is>
          <t>MAT-32-065</t>
        </is>
      </c>
      <c r="B1419" s="4" t="inlineStr">
        <is>
          <t>Tubo PVC SDR-41 4" x 19 pies</t>
        </is>
      </c>
      <c r="C1419" s="7" t="inlineStr">
        <is>
          <t>tubo</t>
        </is>
      </c>
      <c r="D1419" s="8" t="n"/>
      <c r="E1419" s="8" t="n">
        <v>1738.6</v>
      </c>
      <c r="F1419" s="8" t="n"/>
      <c r="G1419" s="8" t="n"/>
      <c r="H1419" s="8" t="n"/>
      <c r="I1419" s="8" t="n"/>
      <c r="J1419" s="8" t="n"/>
      <c r="K1419" s="8" t="n"/>
      <c r="L1419" s="8" t="n"/>
      <c r="M1419" s="8" t="n">
        <v>1527</v>
      </c>
      <c r="N1419" s="8" t="n"/>
      <c r="O1419" s="8" t="n"/>
      <c r="P1419" s="8" t="n"/>
      <c r="Q1419" s="8" t="n"/>
      <c r="R1419" s="8" t="n"/>
      <c r="S1419" s="8" t="n"/>
      <c r="T1419" s="8">
        <f>IF(COUNT(D1419:S1419)=0,"",MIN(D1419:S1419))</f>
        <v/>
      </c>
      <c r="U1419" s="8">
        <f>IF(COUNT(D1419:S1419)=0,"",MEDIAN(D1419:S1419))</f>
        <v/>
      </c>
      <c r="V1419" s="8">
        <f>IF(COUNT(D1419:S1419)=0,"",MAX(D1419:S1419))</f>
        <v/>
      </c>
      <c r="W1419" s="9">
        <f>IF(OR(T1419="",T1419=0),"",(V1419-T1419)/T1419)</f>
        <v/>
      </c>
      <c r="X1419" s="7">
        <f>IF(COUNT(D1419:S1419)=0,"",INDEX($D$1:$S$1,MATCH(MIN(D1419:S1419),D1419:S1419,0)))</f>
        <v/>
      </c>
      <c r="Y1419" s="8" t="n">
        <v>1770.23</v>
      </c>
      <c r="Z1419" s="10" t="n">
        <v>2</v>
      </c>
    </row>
    <row r="1420">
      <c r="A1420" s="7" t="inlineStr">
        <is>
          <t>MAT-32-066</t>
        </is>
      </c>
      <c r="B1420" s="4" t="inlineStr">
        <is>
          <t>Tubo PVC SDR-41 4" x 9.5 pies</t>
        </is>
      </c>
      <c r="C1420" s="7" t="inlineStr">
        <is>
          <t>tubo</t>
        </is>
      </c>
      <c r="D1420" s="8" t="n"/>
      <c r="E1420" s="8" t="n">
        <v>868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>
        <f>IF(COUNT(D1420:S1420)=0,"",MIN(D1420:S1420))</f>
        <v/>
      </c>
      <c r="U1420" s="8">
        <f>IF(COUNT(D1420:S1420)=0,"",MEDIAN(D1420:S1420))</f>
        <v/>
      </c>
      <c r="V1420" s="8">
        <f>IF(COUNT(D1420:S1420)=0,"",MAX(D1420:S1420))</f>
        <v/>
      </c>
      <c r="W1420" s="9">
        <f>IF(OR(T1420="",T1420=0),"",(V1420-T1420)/T1420)</f>
        <v/>
      </c>
      <c r="X1420" s="7">
        <f>IF(COUNT(D1420:S1420)=0,"",INDEX($D$1:$S$1,MATCH(MIN(D1420:S1420),D1420:S1420,0)))</f>
        <v/>
      </c>
      <c r="Y1420" s="8" t="n">
        <v>868</v>
      </c>
      <c r="Z1420" s="10" t="n">
        <v>1</v>
      </c>
    </row>
    <row r="1421">
      <c r="A1421" s="7" t="inlineStr">
        <is>
          <t>MAT-32-067</t>
        </is>
      </c>
      <c r="B1421" s="4" t="inlineStr">
        <is>
          <t>Tubo PVC SDR-41 6" x 19 pies</t>
        </is>
      </c>
      <c r="C1421" s="7" t="inlineStr">
        <is>
          <t>tubo</t>
        </is>
      </c>
      <c r="D1421" s="8" t="n"/>
      <c r="E1421" s="8" t="n">
        <v>4920.87</v>
      </c>
      <c r="F1421" s="8" t="n"/>
      <c r="G1421" s="8" t="n"/>
      <c r="H1421" s="8" t="n"/>
      <c r="I1421" s="8" t="n"/>
      <c r="J1421" s="8" t="n"/>
      <c r="K1421" s="8" t="n"/>
      <c r="L1421" s="8" t="n"/>
      <c r="M1421" s="8" t="n">
        <v>4322</v>
      </c>
      <c r="N1421" s="8" t="n"/>
      <c r="O1421" s="8" t="n"/>
      <c r="P1421" s="8" t="n"/>
      <c r="Q1421" s="8" t="n"/>
      <c r="R1421" s="8" t="n"/>
      <c r="S1421" s="8" t="n"/>
      <c r="T1421" s="8">
        <f>IF(COUNT(D1421:S1421)=0,"",MIN(D1421:S1421))</f>
        <v/>
      </c>
      <c r="U1421" s="8">
        <f>IF(COUNT(D1421:S1421)=0,"",MEDIAN(D1421:S1421))</f>
        <v/>
      </c>
      <c r="V1421" s="8">
        <f>IF(COUNT(D1421:S1421)=0,"",MAX(D1421:S1421))</f>
        <v/>
      </c>
      <c r="W1421" s="9">
        <f>IF(OR(T1421="",T1421=0),"",(V1421-T1421)/T1421)</f>
        <v/>
      </c>
      <c r="X1421" s="7">
        <f>IF(COUNT(D1421:S1421)=0,"",INDEX($D$1:$S$1,MATCH(MIN(D1421:S1421),D1421:S1421,0)))</f>
        <v/>
      </c>
      <c r="Y1421" s="8" t="n">
        <v>5010.42</v>
      </c>
      <c r="Z1421" s="10" t="n">
        <v>2</v>
      </c>
    </row>
    <row r="1422">
      <c r="A1422" s="7" t="inlineStr">
        <is>
          <t>MAT-32-068</t>
        </is>
      </c>
      <c r="B1422" s="4" t="inlineStr">
        <is>
          <t>Tubo PVC SDR-41 8" x 19 pies</t>
        </is>
      </c>
      <c r="C1422" s="7" t="inlineStr">
        <is>
          <t>tubo</t>
        </is>
      </c>
      <c r="D1422" s="8" t="n"/>
      <c r="E1422" s="8" t="n">
        <v>7570</v>
      </c>
      <c r="F1422" s="8" t="n"/>
      <c r="G1422" s="8" t="n"/>
      <c r="H1422" s="8" t="n"/>
      <c r="I1422" s="8" t="n"/>
      <c r="J1422" s="8" t="n"/>
      <c r="K1422" s="8" t="n"/>
      <c r="L1422" s="8" t="n">
        <v>4819.99</v>
      </c>
      <c r="M1422" s="8" t="n">
        <v>6720.9</v>
      </c>
      <c r="N1422" s="8" t="n"/>
      <c r="O1422" s="8" t="n"/>
      <c r="P1422" s="8" t="n"/>
      <c r="Q1422" s="8" t="n"/>
      <c r="R1422" s="8" t="n"/>
      <c r="S1422" s="8" t="n"/>
      <c r="T1422" s="8">
        <f>IF(COUNT(D1422:S1422)=0,"",MIN(D1422:S1422))</f>
        <v/>
      </c>
      <c r="U1422" s="8">
        <f>IF(COUNT(D1422:S1422)=0,"",MEDIAN(D1422:S1422))</f>
        <v/>
      </c>
      <c r="V1422" s="8">
        <f>IF(COUNT(D1422:S1422)=0,"",MAX(D1422:S1422))</f>
        <v/>
      </c>
      <c r="W1422" s="9">
        <f>IF(OR(T1422="",T1422=0),"",(V1422-T1422)/T1422)</f>
        <v/>
      </c>
      <c r="X1422" s="7">
        <f>IF(COUNT(D1422:S1422)=0,"",INDEX($D$1:$S$1,MATCH(MIN(D1422:S1422),D1422:S1422,0)))</f>
        <v/>
      </c>
      <c r="Y1422" s="8" t="n">
        <v>7570</v>
      </c>
      <c r="Z1422" s="10" t="n">
        <v>3</v>
      </c>
    </row>
    <row r="1423">
      <c r="A1423" s="7" t="inlineStr">
        <is>
          <t>MAT-32-069</t>
        </is>
      </c>
      <c r="B1423" s="4" t="inlineStr">
        <is>
          <t>Abrazadera de manguera 1 1/2"</t>
        </is>
      </c>
      <c r="C1423" s="7" t="inlineStr">
        <is>
          <t>unidad</t>
        </is>
      </c>
      <c r="D1423" s="8" t="n"/>
      <c r="E1423" s="8" t="n"/>
      <c r="F1423" s="8" t="n"/>
      <c r="G1423" s="8" t="n">
        <v>39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>
        <f>IF(COUNT(D1423:S1423)=0,"",MIN(D1423:S1423))</f>
        <v/>
      </c>
      <c r="U1423" s="8">
        <f>IF(COUNT(D1423:S1423)=0,"",MEDIAN(D1423:S1423))</f>
        <v/>
      </c>
      <c r="V1423" s="8">
        <f>IF(COUNT(D1423:S1423)=0,"",MAX(D1423:S1423))</f>
        <v/>
      </c>
      <c r="W1423" s="9">
        <f>IF(OR(T1423="",T1423=0),"",(V1423-T1423)/T1423)</f>
        <v/>
      </c>
      <c r="X1423" s="7">
        <f>IF(COUNT(D1423:S1423)=0,"",INDEX($D$1:$S$1,MATCH(MIN(D1423:S1423),D1423:S1423,0)))</f>
        <v/>
      </c>
      <c r="Y1423" s="8" t="n">
        <v>53</v>
      </c>
      <c r="Z1423" s="10" t="n">
        <v>1</v>
      </c>
    </row>
    <row r="1424">
      <c r="A1424" s="7" t="inlineStr">
        <is>
          <t>MAT-32-070</t>
        </is>
      </c>
      <c r="B1424" s="4" t="inlineStr">
        <is>
          <t>Abrazadera de manguera 1/2"</t>
        </is>
      </c>
      <c r="C1424" s="7" t="inlineStr">
        <is>
          <t>unidad</t>
        </is>
      </c>
      <c r="D1424" s="8" t="n"/>
      <c r="E1424" s="8" t="n"/>
      <c r="F1424" s="8" t="n"/>
      <c r="G1424" s="8" t="n">
        <v>53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>
        <f>IF(COUNT(D1424:S1424)=0,"",MIN(D1424:S1424))</f>
        <v/>
      </c>
      <c r="U1424" s="8">
        <f>IF(COUNT(D1424:S1424)=0,"",MEDIAN(D1424:S1424))</f>
        <v/>
      </c>
      <c r="V1424" s="8">
        <f>IF(COUNT(D1424:S1424)=0,"",MAX(D1424:S1424))</f>
        <v/>
      </c>
      <c r="W1424" s="9">
        <f>IF(OR(T1424="",T1424=0),"",(V1424-T1424)/T1424)</f>
        <v/>
      </c>
      <c r="X1424" s="7">
        <f>IF(COUNT(D1424:S1424)=0,"",INDEX($D$1:$S$1,MATCH(MIN(D1424:S1424),D1424:S1424,0)))</f>
        <v/>
      </c>
      <c r="Y1424" s="8" t="n">
        <v>53</v>
      </c>
      <c r="Z1424" s="10" t="n">
        <v>1</v>
      </c>
    </row>
    <row r="1425">
      <c r="A1425" s="7" t="inlineStr">
        <is>
          <t>MAT-32-071</t>
        </is>
      </c>
      <c r="B1425" s="4" t="inlineStr">
        <is>
          <t>Abrazadera de manguera 1"</t>
        </is>
      </c>
      <c r="C1425" s="7" t="inlineStr">
        <is>
          <t>unidad</t>
        </is>
      </c>
      <c r="D1425" s="8" t="n"/>
      <c r="E1425" s="8" t="n"/>
      <c r="F1425" s="8" t="n"/>
      <c r="G1425" s="8" t="n">
        <v>56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>
        <f>IF(COUNT(D1425:S1425)=0,"",MIN(D1425:S1425))</f>
        <v/>
      </c>
      <c r="U1425" s="8">
        <f>IF(COUNT(D1425:S1425)=0,"",MEDIAN(D1425:S1425))</f>
        <v/>
      </c>
      <c r="V1425" s="8">
        <f>IF(COUNT(D1425:S1425)=0,"",MAX(D1425:S1425))</f>
        <v/>
      </c>
      <c r="W1425" s="9">
        <f>IF(OR(T1425="",T1425=0),"",(V1425-T1425)/T1425)</f>
        <v/>
      </c>
      <c r="X1425" s="7">
        <f>IF(COUNT(D1425:S1425)=0,"",INDEX($D$1:$S$1,MATCH(MIN(D1425:S1425),D1425:S1425,0)))</f>
        <v/>
      </c>
      <c r="Y1425" s="8" t="n">
        <v>56</v>
      </c>
      <c r="Z1425" s="10" t="n">
        <v>1</v>
      </c>
    </row>
    <row r="1426">
      <c r="A1426" s="7" t="inlineStr">
        <is>
          <t>MAT-32-072</t>
        </is>
      </c>
      <c r="B1426" s="4" t="inlineStr">
        <is>
          <t>Abrazadera de manguera 2"</t>
        </is>
      </c>
      <c r="C1426" s="7" t="inlineStr">
        <is>
          <t>unidad</t>
        </is>
      </c>
      <c r="D1426" s="8" t="n"/>
      <c r="E1426" s="8" t="n"/>
      <c r="F1426" s="8" t="n"/>
      <c r="G1426" s="8" t="n">
        <v>68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>
        <f>IF(COUNT(D1426:S1426)=0,"",MIN(D1426:S1426))</f>
        <v/>
      </c>
      <c r="U1426" s="8">
        <f>IF(COUNT(D1426:S1426)=0,"",MEDIAN(D1426:S1426))</f>
        <v/>
      </c>
      <c r="V1426" s="8">
        <f>IF(COUNT(D1426:S1426)=0,"",MAX(D1426:S1426))</f>
        <v/>
      </c>
      <c r="W1426" s="9">
        <f>IF(OR(T1426="",T1426=0),"",(V1426-T1426)/T1426)</f>
        <v/>
      </c>
      <c r="X1426" s="7">
        <f>IF(COUNT(D1426:S1426)=0,"",INDEX($D$1:$S$1,MATCH(MIN(D1426:S1426),D1426:S1426,0)))</f>
        <v/>
      </c>
      <c r="Y1426" s="8" t="n">
        <v>68</v>
      </c>
      <c r="Z1426" s="10" t="n">
        <v>1</v>
      </c>
    </row>
    <row r="1427">
      <c r="A1427" s="7" t="inlineStr">
        <is>
          <t>MAT-32-073</t>
        </is>
      </c>
      <c r="B1427" s="4" t="inlineStr">
        <is>
          <t>Abrazadera de manguera 3/4"</t>
        </is>
      </c>
      <c r="C1427" s="7" t="inlineStr">
        <is>
          <t>unidad</t>
        </is>
      </c>
      <c r="D1427" s="8" t="n"/>
      <c r="E1427" s="8" t="n"/>
      <c r="F1427" s="8" t="n"/>
      <c r="G1427" s="8" t="n">
        <v>65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>
        <f>IF(COUNT(D1427:S1427)=0,"",MIN(D1427:S1427))</f>
        <v/>
      </c>
      <c r="U1427" s="8">
        <f>IF(COUNT(D1427:S1427)=0,"",MEDIAN(D1427:S1427))</f>
        <v/>
      </c>
      <c r="V1427" s="8">
        <f>IF(COUNT(D1427:S1427)=0,"",MAX(D1427:S1427))</f>
        <v/>
      </c>
      <c r="W1427" s="9">
        <f>IF(OR(T1427="",T1427=0),"",(V1427-T1427)/T1427)</f>
        <v/>
      </c>
      <c r="X1427" s="7">
        <f>IF(COUNT(D1427:S1427)=0,"",INDEX($D$1:$S$1,MATCH(MIN(D1427:S1427),D1427:S1427,0)))</f>
        <v/>
      </c>
      <c r="Y1427" s="8" t="n">
        <v>65</v>
      </c>
      <c r="Z1427" s="10" t="n">
        <v>1</v>
      </c>
    </row>
    <row r="1428">
      <c r="A1428" s="7" t="inlineStr">
        <is>
          <t>MAT-32-074</t>
        </is>
      </c>
      <c r="B1428" s="4" t="inlineStr">
        <is>
          <t>Adaptador hembra de bronce 12" x 1/2"</t>
        </is>
      </c>
      <c r="C1428" s="7" t="inlineStr">
        <is>
          <t>unidad</t>
        </is>
      </c>
      <c r="D1428" s="8" t="n"/>
      <c r="E1428" s="8" t="n">
        <v>265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>
        <f>IF(COUNT(D1428:S1428)=0,"",MIN(D1428:S1428))</f>
        <v/>
      </c>
      <c r="U1428" s="8">
        <f>IF(COUNT(D1428:S1428)=0,"",MEDIAN(D1428:S1428))</f>
        <v/>
      </c>
      <c r="V1428" s="8">
        <f>IF(COUNT(D1428:S1428)=0,"",MAX(D1428:S1428))</f>
        <v/>
      </c>
      <c r="W1428" s="9">
        <f>IF(OR(T1428="",T1428=0),"",(V1428-T1428)/T1428)</f>
        <v/>
      </c>
      <c r="X1428" s="7">
        <f>IF(COUNT(D1428:S1428)=0,"",INDEX($D$1:$S$1,MATCH(MIN(D1428:S1428),D1428:S1428,0)))</f>
        <v/>
      </c>
      <c r="Y1428" s="8" t="n">
        <v>265</v>
      </c>
      <c r="Z1428" s="10" t="n">
        <v>1</v>
      </c>
    </row>
    <row r="1429">
      <c r="A1429" s="7" t="inlineStr">
        <is>
          <t>MAT-32-075</t>
        </is>
      </c>
      <c r="B1429" s="4" t="inlineStr">
        <is>
          <t>Adaptador hembra de bronce 12" x 3/8"</t>
        </is>
      </c>
      <c r="C1429" s="7" t="inlineStr">
        <is>
          <t>unidad</t>
        </is>
      </c>
      <c r="D1429" s="8" t="n"/>
      <c r="E1429" s="8" t="n">
        <v>282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>
        <f>IF(COUNT(D1429:S1429)=0,"",MIN(D1429:S1429))</f>
        <v/>
      </c>
      <c r="U1429" s="8">
        <f>IF(COUNT(D1429:S1429)=0,"",MEDIAN(D1429:S1429))</f>
        <v/>
      </c>
      <c r="V1429" s="8">
        <f>IF(COUNT(D1429:S1429)=0,"",MAX(D1429:S1429))</f>
        <v/>
      </c>
      <c r="W1429" s="9">
        <f>IF(OR(T1429="",T1429=0),"",(V1429-T1429)/T1429)</f>
        <v/>
      </c>
      <c r="X1429" s="7">
        <f>IF(COUNT(D1429:S1429)=0,"",INDEX($D$1:$S$1,MATCH(MIN(D1429:S1429),D1429:S1429,0)))</f>
        <v/>
      </c>
      <c r="Y1429" s="8" t="n">
        <v>282</v>
      </c>
      <c r="Z1429" s="10" t="n">
        <v>1</v>
      </c>
    </row>
    <row r="1430">
      <c r="A1430" s="7" t="inlineStr">
        <is>
          <t>MAT-32-076</t>
        </is>
      </c>
      <c r="B1430" s="4" t="inlineStr">
        <is>
          <t>Adaptador hembra de bronce 15" x 1/2"</t>
        </is>
      </c>
      <c r="C1430" s="7" t="inlineStr">
        <is>
          <t>unidad</t>
        </is>
      </c>
      <c r="D1430" s="8" t="n"/>
      <c r="E1430" s="8" t="n">
        <v>204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>
        <f>IF(COUNT(D1430:S1430)=0,"",MIN(D1430:S1430))</f>
        <v/>
      </c>
      <c r="U1430" s="8">
        <f>IF(COUNT(D1430:S1430)=0,"",MEDIAN(D1430:S1430))</f>
        <v/>
      </c>
      <c r="V1430" s="8">
        <f>IF(COUNT(D1430:S1430)=0,"",MAX(D1430:S1430))</f>
        <v/>
      </c>
      <c r="W1430" s="9">
        <f>IF(OR(T1430="",T1430=0),"",(V1430-T1430)/T1430)</f>
        <v/>
      </c>
      <c r="X1430" s="7">
        <f>IF(COUNT(D1430:S1430)=0,"",INDEX($D$1:$S$1,MATCH(MIN(D1430:S1430),D1430:S1430,0)))</f>
        <v/>
      </c>
      <c r="Y1430" s="8" t="n">
        <v>204</v>
      </c>
      <c r="Z1430" s="10" t="n">
        <v>1</v>
      </c>
    </row>
    <row r="1431">
      <c r="A1431" s="7" t="inlineStr">
        <is>
          <t>MAT-32-077</t>
        </is>
      </c>
      <c r="B1431" s="4" t="inlineStr">
        <is>
          <t>Adaptador hembra de bronce 15" x 3/4"</t>
        </is>
      </c>
      <c r="C1431" s="7" t="inlineStr">
        <is>
          <t>unidad</t>
        </is>
      </c>
      <c r="D1431" s="8" t="n"/>
      <c r="E1431" s="8" t="n">
        <v>349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>
        <f>IF(COUNT(D1431:S1431)=0,"",MIN(D1431:S1431))</f>
        <v/>
      </c>
      <c r="U1431" s="8">
        <f>IF(COUNT(D1431:S1431)=0,"",MEDIAN(D1431:S1431))</f>
        <v/>
      </c>
      <c r="V1431" s="8">
        <f>IF(COUNT(D1431:S1431)=0,"",MAX(D1431:S1431))</f>
        <v/>
      </c>
      <c r="W1431" s="9">
        <f>IF(OR(T1431="",T1431=0),"",(V1431-T1431)/T1431)</f>
        <v/>
      </c>
      <c r="X1431" s="7">
        <f>IF(COUNT(D1431:S1431)=0,"",INDEX($D$1:$S$1,MATCH(MIN(D1431:S1431),D1431:S1431,0)))</f>
        <v/>
      </c>
      <c r="Y1431" s="8" t="n">
        <v>349</v>
      </c>
      <c r="Z1431" s="10" t="n">
        <v>1</v>
      </c>
    </row>
    <row r="1432">
      <c r="A1432" s="7" t="inlineStr">
        <is>
          <t>MAT-32-078</t>
        </is>
      </c>
      <c r="B1432" s="4" t="inlineStr">
        <is>
          <t>Adaptador hembra de bronce 15" x 3/8"</t>
        </is>
      </c>
      <c r="C1432" s="7" t="inlineStr">
        <is>
          <t>unidad</t>
        </is>
      </c>
      <c r="D1432" s="8" t="n"/>
      <c r="E1432" s="8" t="n">
        <v>279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>
        <f>IF(COUNT(D1432:S1432)=0,"",MIN(D1432:S1432))</f>
        <v/>
      </c>
      <c r="U1432" s="8">
        <f>IF(COUNT(D1432:S1432)=0,"",MEDIAN(D1432:S1432))</f>
        <v/>
      </c>
      <c r="V1432" s="8">
        <f>IF(COUNT(D1432:S1432)=0,"",MAX(D1432:S1432))</f>
        <v/>
      </c>
      <c r="W1432" s="9">
        <f>IF(OR(T1432="",T1432=0),"",(V1432-T1432)/T1432)</f>
        <v/>
      </c>
      <c r="X1432" s="7">
        <f>IF(COUNT(D1432:S1432)=0,"",INDEX($D$1:$S$1,MATCH(MIN(D1432:S1432),D1432:S1432,0)))</f>
        <v/>
      </c>
      <c r="Y1432" s="8" t="n">
        <v>279</v>
      </c>
      <c r="Z1432" s="10" t="n">
        <v>1</v>
      </c>
    </row>
    <row r="1433">
      <c r="A1433" s="7" t="inlineStr">
        <is>
          <t>MAT-32-079</t>
        </is>
      </c>
      <c r="B1433" s="4" t="inlineStr">
        <is>
          <t>Adaptador hembra de bronce 18" x 1/2"</t>
        </is>
      </c>
      <c r="C1433" s="7" t="inlineStr">
        <is>
          <t>unidad</t>
        </is>
      </c>
      <c r="D1433" s="8" t="n"/>
      <c r="E1433" s="8" t="n">
        <v>253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>
        <f>IF(COUNT(D1433:S1433)=0,"",MIN(D1433:S1433))</f>
        <v/>
      </c>
      <c r="U1433" s="8">
        <f>IF(COUNT(D1433:S1433)=0,"",MEDIAN(D1433:S1433))</f>
        <v/>
      </c>
      <c r="V1433" s="8">
        <f>IF(COUNT(D1433:S1433)=0,"",MAX(D1433:S1433))</f>
        <v/>
      </c>
      <c r="W1433" s="9">
        <f>IF(OR(T1433="",T1433=0),"",(V1433-T1433)/T1433)</f>
        <v/>
      </c>
      <c r="X1433" s="7">
        <f>IF(COUNT(D1433:S1433)=0,"",INDEX($D$1:$S$1,MATCH(MIN(D1433:S1433),D1433:S1433,0)))</f>
        <v/>
      </c>
      <c r="Y1433" s="8" t="n">
        <v>253</v>
      </c>
      <c r="Z1433" s="10" t="n">
        <v>1</v>
      </c>
    </row>
    <row r="1434">
      <c r="A1434" s="7" t="inlineStr">
        <is>
          <t>MAT-32-080</t>
        </is>
      </c>
      <c r="B1434" s="4" t="inlineStr">
        <is>
          <t>Adaptador hembra de bronce 18" x 3/4"</t>
        </is>
      </c>
      <c r="C1434" s="7" t="inlineStr">
        <is>
          <t>unidad</t>
        </is>
      </c>
      <c r="D1434" s="8" t="n"/>
      <c r="E1434" s="8" t="n">
        <v>356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>
        <f>IF(COUNT(D1434:S1434)=0,"",MIN(D1434:S1434))</f>
        <v/>
      </c>
      <c r="U1434" s="8">
        <f>IF(COUNT(D1434:S1434)=0,"",MEDIAN(D1434:S1434))</f>
        <v/>
      </c>
      <c r="V1434" s="8">
        <f>IF(COUNT(D1434:S1434)=0,"",MAX(D1434:S1434))</f>
        <v/>
      </c>
      <c r="W1434" s="9">
        <f>IF(OR(T1434="",T1434=0),"",(V1434-T1434)/T1434)</f>
        <v/>
      </c>
      <c r="X1434" s="7">
        <f>IF(COUNT(D1434:S1434)=0,"",INDEX($D$1:$S$1,MATCH(MIN(D1434:S1434),D1434:S1434,0)))</f>
        <v/>
      </c>
      <c r="Y1434" s="8" t="n">
        <v>356</v>
      </c>
      <c r="Z1434" s="10" t="n">
        <v>1</v>
      </c>
    </row>
    <row r="1435">
      <c r="A1435" s="7" t="inlineStr">
        <is>
          <t>MAT-32-081</t>
        </is>
      </c>
      <c r="B1435" s="4" t="inlineStr">
        <is>
          <t>Adaptador hembra de bronce 25" x 3/4"</t>
        </is>
      </c>
      <c r="C1435" s="7" t="inlineStr">
        <is>
          <t>unidad</t>
        </is>
      </c>
      <c r="D1435" s="8" t="n"/>
      <c r="E1435" s="8" t="n">
        <v>423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>
        <f>IF(COUNT(D1435:S1435)=0,"",MIN(D1435:S1435))</f>
        <v/>
      </c>
      <c r="U1435" s="8">
        <f>IF(COUNT(D1435:S1435)=0,"",MEDIAN(D1435:S1435))</f>
        <v/>
      </c>
      <c r="V1435" s="8">
        <f>IF(COUNT(D1435:S1435)=0,"",MAX(D1435:S1435))</f>
        <v/>
      </c>
      <c r="W1435" s="9">
        <f>IF(OR(T1435="",T1435=0),"",(V1435-T1435)/T1435)</f>
        <v/>
      </c>
      <c r="X1435" s="7">
        <f>IF(COUNT(D1435:S1435)=0,"",INDEX($D$1:$S$1,MATCH(MIN(D1435:S1435),D1435:S1435,0)))</f>
        <v/>
      </c>
      <c r="Y1435" s="8" t="n">
        <v>423</v>
      </c>
      <c r="Z1435" s="10" t="n">
        <v>1</v>
      </c>
    </row>
    <row r="1436">
      <c r="A1436" s="7" t="inlineStr">
        <is>
          <t>MAT-32-082</t>
        </is>
      </c>
      <c r="B1436" s="4" t="inlineStr">
        <is>
          <t>Adaptador hembra de bronce 3/8" x 1/2"</t>
        </is>
      </c>
      <c r="C1436" s="7" t="inlineStr">
        <is>
          <t>unidad</t>
        </is>
      </c>
      <c r="D1436" s="8" t="n"/>
      <c r="E1436" s="8" t="n">
        <v>135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>
        <f>IF(COUNT(D1436:S1436)=0,"",MIN(D1436:S1436))</f>
        <v/>
      </c>
      <c r="U1436" s="8">
        <f>IF(COUNT(D1436:S1436)=0,"",MEDIAN(D1436:S1436))</f>
        <v/>
      </c>
      <c r="V1436" s="8">
        <f>IF(COUNT(D1436:S1436)=0,"",MAX(D1436:S1436))</f>
        <v/>
      </c>
      <c r="W1436" s="9">
        <f>IF(OR(T1436="",T1436=0),"",(V1436-T1436)/T1436)</f>
        <v/>
      </c>
      <c r="X1436" s="7">
        <f>IF(COUNT(D1436:S1436)=0,"",INDEX($D$1:$S$1,MATCH(MIN(D1436:S1436),D1436:S1436,0)))</f>
        <v/>
      </c>
      <c r="Y1436" s="8" t="n">
        <v>144.5</v>
      </c>
      <c r="Z1436" s="10" t="n">
        <v>1</v>
      </c>
    </row>
    <row r="1437">
      <c r="A1437" s="7" t="inlineStr">
        <is>
          <t>MAT-32-083</t>
        </is>
      </c>
      <c r="B1437" s="4" t="inlineStr">
        <is>
          <t>Adaptador hembra de bronce 3/8" x 1/4"</t>
        </is>
      </c>
      <c r="C1437" s="7" t="inlineStr">
        <is>
          <t>unidad</t>
        </is>
      </c>
      <c r="D1437" s="8" t="n"/>
      <c r="E1437" s="8" t="n">
        <v>104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>
        <f>IF(COUNT(D1437:S1437)=0,"",MIN(D1437:S1437))</f>
        <v/>
      </c>
      <c r="U1437" s="8">
        <f>IF(COUNT(D1437:S1437)=0,"",MEDIAN(D1437:S1437))</f>
        <v/>
      </c>
      <c r="V1437" s="8">
        <f>IF(COUNT(D1437:S1437)=0,"",MAX(D1437:S1437))</f>
        <v/>
      </c>
      <c r="W1437" s="9">
        <f>IF(OR(T1437="",T1437=0),"",(V1437-T1437)/T1437)</f>
        <v/>
      </c>
      <c r="X1437" s="7">
        <f>IF(COUNT(D1437:S1437)=0,"",INDEX($D$1:$S$1,MATCH(MIN(D1437:S1437),D1437:S1437,0)))</f>
        <v/>
      </c>
      <c r="Y1437" s="8" t="n">
        <v>104</v>
      </c>
      <c r="Z1437" s="10" t="n">
        <v>1</v>
      </c>
    </row>
    <row r="1438">
      <c r="A1438" s="7" t="inlineStr">
        <is>
          <t>MAT-32-084</t>
        </is>
      </c>
      <c r="B1438" s="4" t="inlineStr">
        <is>
          <t>Adaptador hembra de bronce 3/8" x 3/4"</t>
        </is>
      </c>
      <c r="C1438" s="7" t="inlineStr">
        <is>
          <t>unidad</t>
        </is>
      </c>
      <c r="D1438" s="8" t="n"/>
      <c r="E1438" s="8" t="n">
        <v>183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>
        <f>IF(COUNT(D1438:S1438)=0,"",MIN(D1438:S1438))</f>
        <v/>
      </c>
      <c r="U1438" s="8">
        <f>IF(COUNT(D1438:S1438)=0,"",MEDIAN(D1438:S1438))</f>
        <v/>
      </c>
      <c r="V1438" s="8">
        <f>IF(COUNT(D1438:S1438)=0,"",MAX(D1438:S1438))</f>
        <v/>
      </c>
      <c r="W1438" s="9">
        <f>IF(OR(T1438="",T1438=0),"",(V1438-T1438)/T1438)</f>
        <v/>
      </c>
      <c r="X1438" s="7">
        <f>IF(COUNT(D1438:S1438)=0,"",INDEX($D$1:$S$1,MATCH(MIN(D1438:S1438),D1438:S1438,0)))</f>
        <v/>
      </c>
      <c r="Y1438" s="8" t="n">
        <v>183</v>
      </c>
      <c r="Z1438" s="10" t="n">
        <v>1</v>
      </c>
    </row>
    <row r="1439">
      <c r="A1439" s="7" t="inlineStr">
        <is>
          <t>MAT-32-085</t>
        </is>
      </c>
      <c r="B1439" s="4" t="inlineStr">
        <is>
          <t>Adaptador hembra de bronce 3/8" x 3/8"</t>
        </is>
      </c>
      <c r="C1439" s="7" t="inlineStr">
        <is>
          <t>unidad</t>
        </is>
      </c>
      <c r="D1439" s="8" t="n"/>
      <c r="E1439" s="8" t="n">
        <v>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>
        <f>IF(COUNT(D1439:S1439)=0,"",MIN(D1439:S1439))</f>
        <v/>
      </c>
      <c r="U1439" s="8">
        <f>IF(COUNT(D1439:S1439)=0,"",MEDIAN(D1439:S1439))</f>
        <v/>
      </c>
      <c r="V1439" s="8">
        <f>IF(COUNT(D1439:S1439)=0,"",MAX(D1439:S1439))</f>
        <v/>
      </c>
      <c r="W1439" s="9">
        <f>IF(OR(T1439="",T1439=0),"",(V1439-T1439)/T1439)</f>
        <v/>
      </c>
      <c r="X1439" s="7">
        <f>IF(COUNT(D1439:S1439)=0,"",INDEX($D$1:$S$1,MATCH(MIN(D1439:S1439),D1439:S1439,0)))</f>
        <v/>
      </c>
      <c r="Y1439" s="8" t="n">
        <v>90</v>
      </c>
      <c r="Z1439" s="10" t="n">
        <v>1</v>
      </c>
    </row>
    <row r="1440">
      <c r="A1440" s="7" t="inlineStr">
        <is>
          <t>MAT-32-086</t>
        </is>
      </c>
      <c r="B1440" s="4" t="inlineStr">
        <is>
          <t>Adaptador hembra de bronce 32" x 1"</t>
        </is>
      </c>
      <c r="C1440" s="7" t="inlineStr">
        <is>
          <t>unidad</t>
        </is>
      </c>
      <c r="D1440" s="8" t="n"/>
      <c r="E1440" s="8" t="n">
        <v>535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>
        <f>IF(COUNT(D1440:S1440)=0,"",MIN(D1440:S1440))</f>
        <v/>
      </c>
      <c r="U1440" s="8">
        <f>IF(COUNT(D1440:S1440)=0,"",MEDIAN(D1440:S1440))</f>
        <v/>
      </c>
      <c r="V1440" s="8">
        <f>IF(COUNT(D1440:S1440)=0,"",MAX(D1440:S1440))</f>
        <v/>
      </c>
      <c r="W1440" s="9">
        <f>IF(OR(T1440="",T1440=0),"",(V1440-T1440)/T1440)</f>
        <v/>
      </c>
      <c r="X1440" s="7">
        <f>IF(COUNT(D1440:S1440)=0,"",INDEX($D$1:$S$1,MATCH(MIN(D1440:S1440),D1440:S1440,0)))</f>
        <v/>
      </c>
      <c r="Y1440" s="8" t="n">
        <v>535</v>
      </c>
      <c r="Z1440" s="10" t="n">
        <v>1</v>
      </c>
    </row>
    <row r="1441">
      <c r="A1441" s="7" t="inlineStr">
        <is>
          <t>MAT-32-087</t>
        </is>
      </c>
      <c r="B1441" s="4" t="inlineStr">
        <is>
          <t>Adaptador hembra de CPVC 1/2"</t>
        </is>
      </c>
      <c r="C1441" s="7" t="inlineStr">
        <is>
          <t>unidad</t>
        </is>
      </c>
      <c r="D1441" s="8" t="n"/>
      <c r="E1441" s="8" t="n">
        <v>11.01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>
        <f>IF(COUNT(D1441:S1441)=0,"",MIN(D1441:S1441))</f>
        <v/>
      </c>
      <c r="U1441" s="8">
        <f>IF(COUNT(D1441:S1441)=0,"",MEDIAN(D1441:S1441))</f>
        <v/>
      </c>
      <c r="V1441" s="8">
        <f>IF(COUNT(D1441:S1441)=0,"",MAX(D1441:S1441))</f>
        <v/>
      </c>
      <c r="W1441" s="9">
        <f>IF(OR(T1441="",T1441=0),"",(V1441-T1441)/T1441)</f>
        <v/>
      </c>
      <c r="X1441" s="7">
        <f>IF(COUNT(D1441:S1441)=0,"",INDEX($D$1:$S$1,MATCH(MIN(D1441:S1441),D1441:S1441,0)))</f>
        <v/>
      </c>
      <c r="Y1441" s="8" t="n">
        <v>11.01</v>
      </c>
      <c r="Z1441" s="10" t="n">
        <v>1</v>
      </c>
    </row>
    <row r="1442">
      <c r="A1442" s="7" t="inlineStr">
        <is>
          <t>MAT-32-088</t>
        </is>
      </c>
      <c r="B1442" s="4" t="inlineStr">
        <is>
          <t>Adaptador hembra de CPVC 1"</t>
        </is>
      </c>
      <c r="C1442" s="7" t="inlineStr">
        <is>
          <t>unidad</t>
        </is>
      </c>
      <c r="D1442" s="8" t="n"/>
      <c r="E1442" s="8" t="n">
        <v>26.25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>
        <f>IF(COUNT(D1442:S1442)=0,"",MIN(D1442:S1442))</f>
        <v/>
      </c>
      <c r="U1442" s="8">
        <f>IF(COUNT(D1442:S1442)=0,"",MEDIAN(D1442:S1442))</f>
        <v/>
      </c>
      <c r="V1442" s="8">
        <f>IF(COUNT(D1442:S1442)=0,"",MAX(D1442:S1442))</f>
        <v/>
      </c>
      <c r="W1442" s="9">
        <f>IF(OR(T1442="",T1442=0),"",(V1442-T1442)/T1442)</f>
        <v/>
      </c>
      <c r="X1442" s="7">
        <f>IF(COUNT(D1442:S1442)=0,"",INDEX($D$1:$S$1,MATCH(MIN(D1442:S1442),D1442:S1442,0)))</f>
        <v/>
      </c>
      <c r="Y1442" s="8" t="n">
        <v>26.25</v>
      </c>
      <c r="Z1442" s="10" t="n">
        <v>1</v>
      </c>
    </row>
    <row r="1443">
      <c r="A1443" s="7" t="inlineStr">
        <is>
          <t>MAT-32-089</t>
        </is>
      </c>
      <c r="B1443" s="4" t="inlineStr">
        <is>
          <t>Adaptador hembra de CPVC 3/4"</t>
        </is>
      </c>
      <c r="C1443" s="7" t="inlineStr">
        <is>
          <t>unidad</t>
        </is>
      </c>
      <c r="D1443" s="8" t="n"/>
      <c r="E1443" s="8" t="n">
        <v>27.22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>
        <f>IF(COUNT(D1443:S1443)=0,"",MIN(D1443:S1443))</f>
        <v/>
      </c>
      <c r="U1443" s="8">
        <f>IF(COUNT(D1443:S1443)=0,"",MEDIAN(D1443:S1443))</f>
        <v/>
      </c>
      <c r="V1443" s="8">
        <f>IF(COUNT(D1443:S1443)=0,"",MAX(D1443:S1443))</f>
        <v/>
      </c>
      <c r="W1443" s="9">
        <f>IF(OR(T1443="",T1443=0),"",(V1443-T1443)/T1443)</f>
        <v/>
      </c>
      <c r="X1443" s="7">
        <f>IF(COUNT(D1443:S1443)=0,"",INDEX($D$1:$S$1,MATCH(MIN(D1443:S1443),D1443:S1443,0)))</f>
        <v/>
      </c>
      <c r="Y1443" s="8" t="n">
        <v>27.22</v>
      </c>
      <c r="Z1443" s="10" t="n">
        <v>1</v>
      </c>
    </row>
    <row r="1444">
      <c r="A1444" s="7" t="inlineStr">
        <is>
          <t>MAT-32-090</t>
        </is>
      </c>
      <c r="B1444" s="4" t="inlineStr">
        <is>
          <t>Adaptador hembra de plástico 5/8"</t>
        </is>
      </c>
      <c r="C1444" s="7" t="inlineStr">
        <is>
          <t>unidad</t>
        </is>
      </c>
      <c r="D1444" s="8" t="n"/>
      <c r="E1444" s="8" t="n">
        <v>106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>
        <f>IF(COUNT(D1444:S1444)=0,"",MIN(D1444:S1444))</f>
        <v/>
      </c>
      <c r="U1444" s="8">
        <f>IF(COUNT(D1444:S1444)=0,"",MEDIAN(D1444:S1444))</f>
        <v/>
      </c>
      <c r="V1444" s="8">
        <f>IF(COUNT(D1444:S1444)=0,"",MAX(D1444:S1444))</f>
        <v/>
      </c>
      <c r="W1444" s="9">
        <f>IF(OR(T1444="",T1444=0),"",(V1444-T1444)/T1444)</f>
        <v/>
      </c>
      <c r="X1444" s="7">
        <f>IF(COUNT(D1444:S1444)=0,"",INDEX($D$1:$S$1,MATCH(MIN(D1444:S1444),D1444:S1444,0)))</f>
        <v/>
      </c>
      <c r="Y1444" s="8" t="n">
        <v>106</v>
      </c>
      <c r="Z1444" s="10" t="n">
        <v>1</v>
      </c>
    </row>
    <row r="1445">
      <c r="A1445" s="7" t="inlineStr">
        <is>
          <t>MAT-32-091</t>
        </is>
      </c>
      <c r="B1445" s="4" t="inlineStr">
        <is>
          <t>Adaptador hembra de PPR 20 mm</t>
        </is>
      </c>
      <c r="C1445" s="7" t="inlineStr">
        <is>
          <t>unidad</t>
        </is>
      </c>
      <c r="D1445" s="8" t="n"/>
      <c r="E1445" s="8" t="n">
        <v>58.58</v>
      </c>
      <c r="F1445" s="8" t="n"/>
      <c r="G1445" s="8" t="n">
        <v>172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>
        <f>IF(COUNT(D1445:S1445)=0,"",MIN(D1445:S1445))</f>
        <v/>
      </c>
      <c r="U1445" s="8">
        <f>IF(COUNT(D1445:S1445)=0,"",MEDIAN(D1445:S1445))</f>
        <v/>
      </c>
      <c r="V1445" s="8">
        <f>IF(COUNT(D1445:S1445)=0,"",MAX(D1445:S1445))</f>
        <v/>
      </c>
      <c r="W1445" s="9">
        <f>IF(OR(T1445="",T1445=0),"",(V1445-T1445)/T1445)</f>
        <v/>
      </c>
      <c r="X1445" s="7">
        <f>IF(COUNT(D1445:S1445)=0,"",INDEX($D$1:$S$1,MATCH(MIN(D1445:S1445),D1445:S1445,0)))</f>
        <v/>
      </c>
      <c r="Y1445" s="8" t="n">
        <v>69</v>
      </c>
      <c r="Z1445" s="10" t="n">
        <v>2</v>
      </c>
    </row>
    <row r="1446">
      <c r="A1446" s="7" t="inlineStr">
        <is>
          <t>MAT-32-092</t>
        </is>
      </c>
      <c r="B1446" s="4" t="inlineStr">
        <is>
          <t>Adaptador hembra de PPR 25 mm</t>
        </is>
      </c>
      <c r="C1446" s="7" t="inlineStr">
        <is>
          <t>unidad</t>
        </is>
      </c>
      <c r="D1446" s="8" t="n"/>
      <c r="E1446" s="8" t="n">
        <v>60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>
        <f>IF(COUNT(D1446:S1446)=0,"",MIN(D1446:S1446))</f>
        <v/>
      </c>
      <c r="U1446" s="8">
        <f>IF(COUNT(D1446:S1446)=0,"",MEDIAN(D1446:S1446))</f>
        <v/>
      </c>
      <c r="V1446" s="8">
        <f>IF(COUNT(D1446:S1446)=0,"",MAX(D1446:S1446))</f>
        <v/>
      </c>
      <c r="W1446" s="9">
        <f>IF(OR(T1446="",T1446=0),"",(V1446-T1446)/T1446)</f>
        <v/>
      </c>
      <c r="X1446" s="7">
        <f>IF(COUNT(D1446:S1446)=0,"",INDEX($D$1:$S$1,MATCH(MIN(D1446:S1446),D1446:S1446,0)))</f>
        <v/>
      </c>
      <c r="Y1446" s="8" t="n">
        <v>68</v>
      </c>
      <c r="Z1446" s="10" t="n">
        <v>1</v>
      </c>
    </row>
    <row r="1447">
      <c r="A1447" s="7" t="inlineStr">
        <is>
          <t>MAT-32-093</t>
        </is>
      </c>
      <c r="B1447" s="4" t="inlineStr">
        <is>
          <t>Adaptador hembra de PPR 32 mm</t>
        </is>
      </c>
      <c r="C1447" s="7" t="inlineStr">
        <is>
          <t>unidad</t>
        </is>
      </c>
      <c r="D1447" s="8" t="n"/>
      <c r="E1447" s="8" t="n">
        <v>56.64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>
        <f>IF(COUNT(D1447:S1447)=0,"",MIN(D1447:S1447))</f>
        <v/>
      </c>
      <c r="U1447" s="8">
        <f>IF(COUNT(D1447:S1447)=0,"",MEDIAN(D1447:S1447))</f>
        <v/>
      </c>
      <c r="V1447" s="8">
        <f>IF(COUNT(D1447:S1447)=0,"",MAX(D1447:S1447))</f>
        <v/>
      </c>
      <c r="W1447" s="9">
        <f>IF(OR(T1447="",T1447=0),"",(V1447-T1447)/T1447)</f>
        <v/>
      </c>
      <c r="X1447" s="7">
        <f>IF(COUNT(D1447:S1447)=0,"",INDEX($D$1:$S$1,MATCH(MIN(D1447:S1447),D1447:S1447,0)))</f>
        <v/>
      </c>
      <c r="Y1447" s="8" t="n">
        <v>80</v>
      </c>
      <c r="Z1447" s="10" t="n">
        <v>1</v>
      </c>
    </row>
    <row r="1448">
      <c r="A1448" s="7" t="inlineStr">
        <is>
          <t>MAT-32-094</t>
        </is>
      </c>
      <c r="B1448" s="4" t="inlineStr">
        <is>
          <t>Adaptador hembra de PPR 50 mm</t>
        </is>
      </c>
      <c r="C1448" s="7" t="inlineStr">
        <is>
          <t>unidad</t>
        </is>
      </c>
      <c r="D1448" s="8" t="n"/>
      <c r="E1448" s="8" t="n">
        <v>270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>
        <f>IF(COUNT(D1448:S1448)=0,"",MIN(D1448:S1448))</f>
        <v/>
      </c>
      <c r="U1448" s="8">
        <f>IF(COUNT(D1448:S1448)=0,"",MEDIAN(D1448:S1448))</f>
        <v/>
      </c>
      <c r="V1448" s="8">
        <f>IF(COUNT(D1448:S1448)=0,"",MAX(D1448:S1448))</f>
        <v/>
      </c>
      <c r="W1448" s="9">
        <f>IF(OR(T1448="",T1448=0),"",(V1448-T1448)/T1448)</f>
        <v/>
      </c>
      <c r="X1448" s="7">
        <f>IF(COUNT(D1448:S1448)=0,"",INDEX($D$1:$S$1,MATCH(MIN(D1448:S1448),D1448:S1448,0)))</f>
        <v/>
      </c>
      <c r="Y1448" s="8" t="n">
        <v>270</v>
      </c>
      <c r="Z1448" s="10" t="n">
        <v>1</v>
      </c>
    </row>
    <row r="1449">
      <c r="A1449" s="7" t="inlineStr">
        <is>
          <t>MAT-32-095</t>
        </is>
      </c>
      <c r="B1449" s="4" t="inlineStr">
        <is>
          <t>Adaptador hembra de PVC 1 1/2"</t>
        </is>
      </c>
      <c r="C1449" s="7" t="inlineStr">
        <is>
          <t>unidad</t>
        </is>
      </c>
      <c r="D1449" s="8" t="n"/>
      <c r="E1449" s="8" t="n">
        <v>19.21</v>
      </c>
      <c r="F1449" s="8" t="n"/>
      <c r="G1449" s="8" t="n">
        <v>75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>
        <f>IF(COUNT(D1449:S1449)=0,"",MIN(D1449:S1449))</f>
        <v/>
      </c>
      <c r="U1449" s="8">
        <f>IF(COUNT(D1449:S1449)=0,"",MEDIAN(D1449:S1449))</f>
        <v/>
      </c>
      <c r="V1449" s="8">
        <f>IF(COUNT(D1449:S1449)=0,"",MAX(D1449:S1449))</f>
        <v/>
      </c>
      <c r="W1449" s="9">
        <f>IF(OR(T1449="",T1449=0),"",(V1449-T1449)/T1449)</f>
        <v/>
      </c>
      <c r="X1449" s="7">
        <f>IF(COUNT(D1449:S1449)=0,"",INDEX($D$1:$S$1,MATCH(MIN(D1449:S1449),D1449:S1449,0)))</f>
        <v/>
      </c>
      <c r="Y1449" s="8" t="n">
        <v>47.15</v>
      </c>
      <c r="Z1449" s="10" t="n">
        <v>2</v>
      </c>
    </row>
    <row r="1450">
      <c r="A1450" s="7" t="inlineStr">
        <is>
          <t>MAT-32-096</t>
        </is>
      </c>
      <c r="B1450" s="4" t="inlineStr">
        <is>
          <t>Adaptador hembra de PVC 1/2"</t>
        </is>
      </c>
      <c r="C1450" s="7" t="inlineStr">
        <is>
          <t>unidad</t>
        </is>
      </c>
      <c r="D1450" s="8" t="n"/>
      <c r="E1450" s="8" t="n">
        <v>4.73</v>
      </c>
      <c r="F1450" s="8" t="n"/>
      <c r="G1450" s="8" t="n">
        <v>20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>
        <f>IF(COUNT(D1450:S1450)=0,"",MIN(D1450:S1450))</f>
        <v/>
      </c>
      <c r="U1450" s="8">
        <f>IF(COUNT(D1450:S1450)=0,"",MEDIAN(D1450:S1450))</f>
        <v/>
      </c>
      <c r="V1450" s="8">
        <f>IF(COUNT(D1450:S1450)=0,"",MAX(D1450:S1450))</f>
        <v/>
      </c>
      <c r="W1450" s="9">
        <f>IF(OR(T1450="",T1450=0),"",(V1450-T1450)/T1450)</f>
        <v/>
      </c>
      <c r="X1450" s="7">
        <f>IF(COUNT(D1450:S1450)=0,"",INDEX($D$1:$S$1,MATCH(MIN(D1450:S1450),D1450:S1450,0)))</f>
        <v/>
      </c>
      <c r="Y1450" s="8" t="n">
        <v>10.51</v>
      </c>
      <c r="Z1450" s="10" t="n">
        <v>2</v>
      </c>
    </row>
    <row r="1451">
      <c r="A1451" s="7" t="inlineStr">
        <is>
          <t>MAT-32-097</t>
        </is>
      </c>
      <c r="B1451" s="4" t="inlineStr">
        <is>
          <t>Adaptador hembra de PVC 1"</t>
        </is>
      </c>
      <c r="C1451" s="7" t="inlineStr">
        <is>
          <t>unidad</t>
        </is>
      </c>
      <c r="D1451" s="8" t="n"/>
      <c r="E1451" s="8" t="n">
        <v>11.28</v>
      </c>
      <c r="F1451" s="8" t="n"/>
      <c r="G1451" s="8" t="n">
        <v>45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>
        <f>IF(COUNT(D1451:S1451)=0,"",MIN(D1451:S1451))</f>
        <v/>
      </c>
      <c r="U1451" s="8">
        <f>IF(COUNT(D1451:S1451)=0,"",MEDIAN(D1451:S1451))</f>
        <v/>
      </c>
      <c r="V1451" s="8">
        <f>IF(COUNT(D1451:S1451)=0,"",MAX(D1451:S1451))</f>
        <v/>
      </c>
      <c r="W1451" s="9">
        <f>IF(OR(T1451="",T1451=0),"",(V1451-T1451)/T1451)</f>
        <v/>
      </c>
      <c r="X1451" s="7">
        <f>IF(COUNT(D1451:S1451)=0,"",INDEX($D$1:$S$1,MATCH(MIN(D1451:S1451),D1451:S1451,0)))</f>
        <v/>
      </c>
      <c r="Y1451" s="8" t="n">
        <v>23.63</v>
      </c>
      <c r="Z1451" s="10" t="n">
        <v>2</v>
      </c>
    </row>
    <row r="1452">
      <c r="A1452" s="7" t="inlineStr">
        <is>
          <t>MAT-32-098</t>
        </is>
      </c>
      <c r="B1452" s="4" t="inlineStr">
        <is>
          <t>Adaptador hembra de PVC 2"</t>
        </is>
      </c>
      <c r="C1452" s="7" t="inlineStr">
        <is>
          <t>unidad</t>
        </is>
      </c>
      <c r="D1452" s="8" t="n"/>
      <c r="E1452" s="8" t="n">
        <v>27.15</v>
      </c>
      <c r="F1452" s="8" t="n"/>
      <c r="G1452" s="8" t="n">
        <v>130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>
        <f>IF(COUNT(D1452:S1452)=0,"",MIN(D1452:S1452))</f>
        <v/>
      </c>
      <c r="U1452" s="8">
        <f>IF(COUNT(D1452:S1452)=0,"",MEDIAN(D1452:S1452))</f>
        <v/>
      </c>
      <c r="V1452" s="8">
        <f>IF(COUNT(D1452:S1452)=0,"",MAX(D1452:S1452))</f>
        <v/>
      </c>
      <c r="W1452" s="9">
        <f>IF(OR(T1452="",T1452=0),"",(V1452-T1452)/T1452)</f>
        <v/>
      </c>
      <c r="X1452" s="7">
        <f>IF(COUNT(D1452:S1452)=0,"",INDEX($D$1:$S$1,MATCH(MIN(D1452:S1452),D1452:S1452,0)))</f>
        <v/>
      </c>
      <c r="Y1452" s="8" t="n">
        <v>67.28</v>
      </c>
      <c r="Z1452" s="10" t="n">
        <v>2</v>
      </c>
    </row>
    <row r="1453">
      <c r="A1453" s="7" t="inlineStr">
        <is>
          <t>MAT-32-099</t>
        </is>
      </c>
      <c r="B1453" s="4" t="inlineStr">
        <is>
          <t>Adaptador hembra de PVC 3/4"</t>
        </is>
      </c>
      <c r="C1453" s="7" t="inlineStr">
        <is>
          <t>unidad</t>
        </is>
      </c>
      <c r="D1453" s="8" t="n"/>
      <c r="E1453" s="8" t="n">
        <v>6.78</v>
      </c>
      <c r="F1453" s="8" t="n"/>
      <c r="G1453" s="8" t="n">
        <v>26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>
        <f>IF(COUNT(D1453:S1453)=0,"",MIN(D1453:S1453))</f>
        <v/>
      </c>
      <c r="U1453" s="8">
        <f>IF(COUNT(D1453:S1453)=0,"",MEDIAN(D1453:S1453))</f>
        <v/>
      </c>
      <c r="V1453" s="8">
        <f>IF(COUNT(D1453:S1453)=0,"",MAX(D1453:S1453))</f>
        <v/>
      </c>
      <c r="W1453" s="9">
        <f>IF(OR(T1453="",T1453=0),"",(V1453-T1453)/T1453)</f>
        <v/>
      </c>
      <c r="X1453" s="7">
        <f>IF(COUNT(D1453:S1453)=0,"",INDEX($D$1:$S$1,MATCH(MIN(D1453:S1453),D1453:S1453,0)))</f>
        <v/>
      </c>
      <c r="Y1453" s="8" t="n">
        <v>25.11</v>
      </c>
      <c r="Z1453" s="10" t="n">
        <v>2</v>
      </c>
    </row>
    <row r="1454">
      <c r="A1454" s="7" t="inlineStr">
        <is>
          <t>MAT-32-100</t>
        </is>
      </c>
      <c r="B1454" s="4" t="inlineStr">
        <is>
          <t>Adaptador hembra de PVC 3"</t>
        </is>
      </c>
      <c r="C1454" s="7" t="inlineStr">
        <is>
          <t>unidad</t>
        </is>
      </c>
      <c r="D1454" s="8" t="n"/>
      <c r="E1454" s="8" t="n">
        <v>70.8</v>
      </c>
      <c r="F1454" s="8" t="n"/>
      <c r="G1454" s="8" t="n">
        <v>177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>
        <f>IF(COUNT(D1454:S1454)=0,"",MIN(D1454:S1454))</f>
        <v/>
      </c>
      <c r="U1454" s="8">
        <f>IF(COUNT(D1454:S1454)=0,"",MEDIAN(D1454:S1454))</f>
        <v/>
      </c>
      <c r="V1454" s="8">
        <f>IF(COUNT(D1454:S1454)=0,"",MAX(D1454:S1454))</f>
        <v/>
      </c>
      <c r="W1454" s="9">
        <f>IF(OR(T1454="",T1454=0),"",(V1454-T1454)/T1454)</f>
        <v/>
      </c>
      <c r="X1454" s="7">
        <f>IF(COUNT(D1454:S1454)=0,"",INDEX($D$1:$S$1,MATCH(MIN(D1454:S1454),D1454:S1454,0)))</f>
        <v/>
      </c>
      <c r="Y1454" s="8" t="n">
        <v>81.23</v>
      </c>
      <c r="Z1454" s="10" t="n">
        <v>2</v>
      </c>
    </row>
    <row r="1455">
      <c r="A1455" s="7" t="inlineStr">
        <is>
          <t>MAT-32-101</t>
        </is>
      </c>
      <c r="B1455" s="4" t="inlineStr">
        <is>
          <t>Adaptador hembra de PVC 4"</t>
        </is>
      </c>
      <c r="C1455" s="7" t="inlineStr">
        <is>
          <t>unidad</t>
        </is>
      </c>
      <c r="D1455" s="8" t="n"/>
      <c r="E1455" s="8" t="n">
        <v>94</v>
      </c>
      <c r="F1455" s="8" t="n"/>
      <c r="G1455" s="8" t="n">
        <v>172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>
        <f>IF(COUNT(D1455:S1455)=0,"",MIN(D1455:S1455))</f>
        <v/>
      </c>
      <c r="U1455" s="8">
        <f>IF(COUNT(D1455:S1455)=0,"",MEDIAN(D1455:S1455))</f>
        <v/>
      </c>
      <c r="V1455" s="8">
        <f>IF(COUNT(D1455:S1455)=0,"",MAX(D1455:S1455))</f>
        <v/>
      </c>
      <c r="W1455" s="9">
        <f>IF(OR(T1455="",T1455=0),"",(V1455-T1455)/T1455)</f>
        <v/>
      </c>
      <c r="X1455" s="7">
        <f>IF(COUNT(D1455:S1455)=0,"",INDEX($D$1:$S$1,MATCH(MIN(D1455:S1455),D1455:S1455,0)))</f>
        <v/>
      </c>
      <c r="Y1455" s="8" t="n">
        <v>128.31</v>
      </c>
      <c r="Z1455" s="10" t="n">
        <v>2</v>
      </c>
    </row>
    <row r="1456">
      <c r="A1456" s="7" t="inlineStr">
        <is>
          <t>MAT-32-102</t>
        </is>
      </c>
      <c r="B1456" s="4" t="inlineStr">
        <is>
          <t>Adaptador hembra de PVC 6"</t>
        </is>
      </c>
      <c r="C1456" s="7" t="inlineStr">
        <is>
          <t>unidad</t>
        </is>
      </c>
      <c r="D1456" s="8" t="n"/>
      <c r="E1456" s="8" t="n">
        <v>790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>
        <f>IF(COUNT(D1456:S1456)=0,"",MIN(D1456:S1456))</f>
        <v/>
      </c>
      <c r="U1456" s="8">
        <f>IF(COUNT(D1456:S1456)=0,"",MEDIAN(D1456:S1456))</f>
        <v/>
      </c>
      <c r="V1456" s="8">
        <f>IF(COUNT(D1456:S1456)=0,"",MAX(D1456:S1456))</f>
        <v/>
      </c>
      <c r="W1456" s="9">
        <f>IF(OR(T1456="",T1456=0),"",(V1456-T1456)/T1456)</f>
        <v/>
      </c>
      <c r="X1456" s="7">
        <f>IF(COUNT(D1456:S1456)=0,"",INDEX($D$1:$S$1,MATCH(MIN(D1456:S1456),D1456:S1456,0)))</f>
        <v/>
      </c>
      <c r="Y1456" s="8" t="n">
        <v>790</v>
      </c>
      <c r="Z1456" s="10" t="n">
        <v>1</v>
      </c>
    </row>
    <row r="1457">
      <c r="A1457" s="7" t="inlineStr">
        <is>
          <t>MAT-32-103</t>
        </is>
      </c>
      <c r="B1457" s="4" t="inlineStr">
        <is>
          <t>Adaptador macho de bronce 0.31" x 3/8"</t>
        </is>
      </c>
      <c r="C1457" s="7" t="inlineStr">
        <is>
          <t>unidad</t>
        </is>
      </c>
      <c r="D1457" s="8" t="n"/>
      <c r="E1457" s="8" t="n">
        <v>88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>
        <f>IF(COUNT(D1457:S1457)=0,"",MIN(D1457:S1457))</f>
        <v/>
      </c>
      <c r="U1457" s="8">
        <f>IF(COUNT(D1457:S1457)=0,"",MEDIAN(D1457:S1457))</f>
        <v/>
      </c>
      <c r="V1457" s="8">
        <f>IF(COUNT(D1457:S1457)=0,"",MAX(D1457:S1457))</f>
        <v/>
      </c>
      <c r="W1457" s="9">
        <f>IF(OR(T1457="",T1457=0),"",(V1457-T1457)/T1457)</f>
        <v/>
      </c>
      <c r="X1457" s="7">
        <f>IF(COUNT(D1457:S1457)=0,"",INDEX($D$1:$S$1,MATCH(MIN(D1457:S1457),D1457:S1457,0)))</f>
        <v/>
      </c>
      <c r="Y1457" s="8" t="n">
        <v>88</v>
      </c>
      <c r="Z1457" s="10" t="n">
        <v>1</v>
      </c>
    </row>
    <row r="1458">
      <c r="A1458" s="7" t="inlineStr">
        <is>
          <t>MAT-32-104</t>
        </is>
      </c>
      <c r="B1458" s="4" t="inlineStr">
        <is>
          <t>Adaptador macho de bronce 1/2" x 1/2"</t>
        </is>
      </c>
      <c r="C1458" s="7" t="inlineStr">
        <is>
          <t>unidad</t>
        </is>
      </c>
      <c r="D1458" s="8" t="n"/>
      <c r="E1458" s="8" t="n">
        <v>111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>
        <f>IF(COUNT(D1458:S1458)=0,"",MIN(D1458:S1458))</f>
        <v/>
      </c>
      <c r="U1458" s="8">
        <f>IF(COUNT(D1458:S1458)=0,"",MEDIAN(D1458:S1458))</f>
        <v/>
      </c>
      <c r="V1458" s="8">
        <f>IF(COUNT(D1458:S1458)=0,"",MAX(D1458:S1458))</f>
        <v/>
      </c>
      <c r="W1458" s="9">
        <f>IF(OR(T1458="",T1458=0),"",(V1458-T1458)/T1458)</f>
        <v/>
      </c>
      <c r="X1458" s="7">
        <f>IF(COUNT(D1458:S1458)=0,"",INDEX($D$1:$S$1,MATCH(MIN(D1458:S1458),D1458:S1458,0)))</f>
        <v/>
      </c>
      <c r="Y1458" s="8" t="n">
        <v>154</v>
      </c>
      <c r="Z1458" s="10" t="n">
        <v>1</v>
      </c>
    </row>
    <row r="1459">
      <c r="A1459" s="7" t="inlineStr">
        <is>
          <t>MAT-32-105</t>
        </is>
      </c>
      <c r="B1459" s="4" t="inlineStr">
        <is>
          <t>Adaptador macho de bronce 1/2" x 3/4"</t>
        </is>
      </c>
      <c r="C1459" s="7" t="inlineStr">
        <is>
          <t>unidad</t>
        </is>
      </c>
      <c r="D1459" s="8" t="n"/>
      <c r="E1459" s="8" t="n">
        <v>196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>
        <f>IF(COUNT(D1459:S1459)=0,"",MIN(D1459:S1459))</f>
        <v/>
      </c>
      <c r="U1459" s="8">
        <f>IF(COUNT(D1459:S1459)=0,"",MEDIAN(D1459:S1459))</f>
        <v/>
      </c>
      <c r="V1459" s="8">
        <f>IF(COUNT(D1459:S1459)=0,"",MAX(D1459:S1459))</f>
        <v/>
      </c>
      <c r="W1459" s="9">
        <f>IF(OR(T1459="",T1459=0),"",(V1459-T1459)/T1459)</f>
        <v/>
      </c>
      <c r="X1459" s="7">
        <f>IF(COUNT(D1459:S1459)=0,"",INDEX($D$1:$S$1,MATCH(MIN(D1459:S1459),D1459:S1459,0)))</f>
        <v/>
      </c>
      <c r="Y1459" s="8" t="n">
        <v>196</v>
      </c>
      <c r="Z1459" s="10" t="n">
        <v>1</v>
      </c>
    </row>
    <row r="1460">
      <c r="A1460" s="7" t="inlineStr">
        <is>
          <t>MAT-32-106</t>
        </is>
      </c>
      <c r="B1460" s="4" t="inlineStr">
        <is>
          <t>Adaptador macho de bronce 1/2" x 3/8"</t>
        </is>
      </c>
      <c r="C1460" s="7" t="inlineStr">
        <is>
          <t>unidad</t>
        </is>
      </c>
      <c r="D1460" s="8" t="n"/>
      <c r="E1460" s="8" t="n">
        <v>94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>
        <f>IF(COUNT(D1460:S1460)=0,"",MIN(D1460:S1460))</f>
        <v/>
      </c>
      <c r="U1460" s="8">
        <f>IF(COUNT(D1460:S1460)=0,"",MEDIAN(D1460:S1460))</f>
        <v/>
      </c>
      <c r="V1460" s="8">
        <f>IF(COUNT(D1460:S1460)=0,"",MAX(D1460:S1460))</f>
        <v/>
      </c>
      <c r="W1460" s="9">
        <f>IF(OR(T1460="",T1460=0),"",(V1460-T1460)/T1460)</f>
        <v/>
      </c>
      <c r="X1460" s="7">
        <f>IF(COUNT(D1460:S1460)=0,"",INDEX($D$1:$S$1,MATCH(MIN(D1460:S1460),D1460:S1460,0)))</f>
        <v/>
      </c>
      <c r="Y1460" s="8" t="n">
        <v>115.5</v>
      </c>
      <c r="Z1460" s="10" t="n">
        <v>1</v>
      </c>
    </row>
    <row r="1461">
      <c r="A1461" s="7" t="inlineStr">
        <is>
          <t>MAT-32-107</t>
        </is>
      </c>
      <c r="B1461" s="4" t="inlineStr">
        <is>
          <t>Adaptador macho de bronce 1/4" x 1/2"</t>
        </is>
      </c>
      <c r="C1461" s="7" t="inlineStr">
        <is>
          <t>unidad</t>
        </is>
      </c>
      <c r="D1461" s="8" t="n"/>
      <c r="E1461" s="8" t="n">
        <v>120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>
        <f>IF(COUNT(D1461:S1461)=0,"",MIN(D1461:S1461))</f>
        <v/>
      </c>
      <c r="U1461" s="8">
        <f>IF(COUNT(D1461:S1461)=0,"",MEDIAN(D1461:S1461))</f>
        <v/>
      </c>
      <c r="V1461" s="8">
        <f>IF(COUNT(D1461:S1461)=0,"",MAX(D1461:S1461))</f>
        <v/>
      </c>
      <c r="W1461" s="9">
        <f>IF(OR(T1461="",T1461=0),"",(V1461-T1461)/T1461)</f>
        <v/>
      </c>
      <c r="X1461" s="7">
        <f>IF(COUNT(D1461:S1461)=0,"",INDEX($D$1:$S$1,MATCH(MIN(D1461:S1461),D1461:S1461,0)))</f>
        <v/>
      </c>
      <c r="Y1461" s="8" t="n">
        <v>120</v>
      </c>
      <c r="Z1461" s="10" t="n">
        <v>1</v>
      </c>
    </row>
    <row r="1462">
      <c r="A1462" s="7" t="inlineStr">
        <is>
          <t>MAT-32-108</t>
        </is>
      </c>
      <c r="B1462" s="4" t="inlineStr">
        <is>
          <t>Adaptador macho de bronce 1/4" x 1/4"</t>
        </is>
      </c>
      <c r="C1462" s="7" t="inlineStr">
        <is>
          <t>unidad</t>
        </is>
      </c>
      <c r="D1462" s="8" t="n"/>
      <c r="E1462" s="8" t="n">
        <v>62.17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>
        <f>IF(COUNT(D1462:S1462)=0,"",MIN(D1462:S1462))</f>
        <v/>
      </c>
      <c r="U1462" s="8">
        <f>IF(COUNT(D1462:S1462)=0,"",MEDIAN(D1462:S1462))</f>
        <v/>
      </c>
      <c r="V1462" s="8">
        <f>IF(COUNT(D1462:S1462)=0,"",MAX(D1462:S1462))</f>
        <v/>
      </c>
      <c r="W1462" s="9">
        <f>IF(OR(T1462="",T1462=0),"",(V1462-T1462)/T1462)</f>
        <v/>
      </c>
      <c r="X1462" s="7">
        <f>IF(COUNT(D1462:S1462)=0,"",INDEX($D$1:$S$1,MATCH(MIN(D1462:S1462),D1462:S1462,0)))</f>
        <v/>
      </c>
      <c r="Y1462" s="8" t="n">
        <v>75.09</v>
      </c>
      <c r="Z1462" s="10" t="n">
        <v>1</v>
      </c>
    </row>
    <row r="1463">
      <c r="A1463" s="7" t="inlineStr">
        <is>
          <t>MAT-32-109</t>
        </is>
      </c>
      <c r="B1463" s="4" t="inlineStr">
        <is>
          <t>Adaptador macho de bronce 1/4" x 1/8"</t>
        </is>
      </c>
      <c r="C1463" s="7" t="inlineStr">
        <is>
          <t>unidad</t>
        </is>
      </c>
      <c r="D1463" s="8" t="n"/>
      <c r="E1463" s="8" t="n">
        <v>43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>
        <f>IF(COUNT(D1463:S1463)=0,"",MIN(D1463:S1463))</f>
        <v/>
      </c>
      <c r="U1463" s="8">
        <f>IF(COUNT(D1463:S1463)=0,"",MEDIAN(D1463:S1463))</f>
        <v/>
      </c>
      <c r="V1463" s="8">
        <f>IF(COUNT(D1463:S1463)=0,"",MAX(D1463:S1463))</f>
        <v/>
      </c>
      <c r="W1463" s="9">
        <f>IF(OR(T1463="",T1463=0),"",(V1463-T1463)/T1463)</f>
        <v/>
      </c>
      <c r="X1463" s="7">
        <f>IF(COUNT(D1463:S1463)=0,"",INDEX($D$1:$S$1,MATCH(MIN(D1463:S1463),D1463:S1463,0)))</f>
        <v/>
      </c>
      <c r="Y1463" s="8" t="n">
        <v>51.5</v>
      </c>
      <c r="Z1463" s="10" t="n">
        <v>1</v>
      </c>
    </row>
    <row r="1464">
      <c r="A1464" s="7" t="inlineStr">
        <is>
          <t>MAT-32-110</t>
        </is>
      </c>
      <c r="B1464" s="4" t="inlineStr">
        <is>
          <t>Adaptador macho de bronce 1/4" x 3/8"</t>
        </is>
      </c>
      <c r="C1464" s="7" t="inlineStr">
        <is>
          <t>unidad</t>
        </is>
      </c>
      <c r="D1464" s="8" t="n"/>
      <c r="E1464" s="8" t="n">
        <v>81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>
        <f>IF(COUNT(D1464:S1464)=0,"",MIN(D1464:S1464))</f>
        <v/>
      </c>
      <c r="U1464" s="8">
        <f>IF(COUNT(D1464:S1464)=0,"",MEDIAN(D1464:S1464))</f>
        <v/>
      </c>
      <c r="V1464" s="8">
        <f>IF(COUNT(D1464:S1464)=0,"",MAX(D1464:S1464))</f>
        <v/>
      </c>
      <c r="W1464" s="9">
        <f>IF(OR(T1464="",T1464=0),"",(V1464-T1464)/T1464)</f>
        <v/>
      </c>
      <c r="X1464" s="7">
        <f>IF(COUNT(D1464:S1464)=0,"",INDEX($D$1:$S$1,MATCH(MIN(D1464:S1464),D1464:S1464,0)))</f>
        <v/>
      </c>
      <c r="Y1464" s="8" t="n">
        <v>81</v>
      </c>
      <c r="Z1464" s="10" t="n">
        <v>1</v>
      </c>
    </row>
    <row r="1465">
      <c r="A1465" s="7" t="inlineStr">
        <is>
          <t>MAT-32-111</t>
        </is>
      </c>
      <c r="B1465" s="4" t="inlineStr">
        <is>
          <t>Adaptador macho de bronce 12" x 1/2"</t>
        </is>
      </c>
      <c r="C1465" s="7" t="inlineStr">
        <is>
          <t>unidad</t>
        </is>
      </c>
      <c r="D1465" s="8" t="n"/>
      <c r="E1465" s="8" t="n">
        <v>232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>
        <f>IF(COUNT(D1465:S1465)=0,"",MIN(D1465:S1465))</f>
        <v/>
      </c>
      <c r="U1465" s="8">
        <f>IF(COUNT(D1465:S1465)=0,"",MEDIAN(D1465:S1465))</f>
        <v/>
      </c>
      <c r="V1465" s="8">
        <f>IF(COUNT(D1465:S1465)=0,"",MAX(D1465:S1465))</f>
        <v/>
      </c>
      <c r="W1465" s="9">
        <f>IF(OR(T1465="",T1465=0),"",(V1465-T1465)/T1465)</f>
        <v/>
      </c>
      <c r="X1465" s="7">
        <f>IF(COUNT(D1465:S1465)=0,"",INDEX($D$1:$S$1,MATCH(MIN(D1465:S1465),D1465:S1465,0)))</f>
        <v/>
      </c>
      <c r="Y1465" s="8" t="n">
        <v>232</v>
      </c>
      <c r="Z1465" s="10" t="n">
        <v>1</v>
      </c>
    </row>
    <row r="1466">
      <c r="A1466" s="7" t="inlineStr">
        <is>
          <t>MAT-32-112</t>
        </is>
      </c>
      <c r="B1466" s="4" t="inlineStr">
        <is>
          <t>Adaptador macho de bronce 12" x 3/8"</t>
        </is>
      </c>
      <c r="C1466" s="7" t="inlineStr">
        <is>
          <t>unidad</t>
        </is>
      </c>
      <c r="D1466" s="8" t="n"/>
      <c r="E1466" s="8" t="n">
        <v>326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>
        <f>IF(COUNT(D1466:S1466)=0,"",MIN(D1466:S1466))</f>
        <v/>
      </c>
      <c r="U1466" s="8">
        <f>IF(COUNT(D1466:S1466)=0,"",MEDIAN(D1466:S1466))</f>
        <v/>
      </c>
      <c r="V1466" s="8">
        <f>IF(COUNT(D1466:S1466)=0,"",MAX(D1466:S1466))</f>
        <v/>
      </c>
      <c r="W1466" s="9">
        <f>IF(OR(T1466="",T1466=0),"",(V1466-T1466)/T1466)</f>
        <v/>
      </c>
      <c r="X1466" s="7">
        <f>IF(COUNT(D1466:S1466)=0,"",INDEX($D$1:$S$1,MATCH(MIN(D1466:S1466),D1466:S1466,0)))</f>
        <v/>
      </c>
      <c r="Y1466" s="8" t="n">
        <v>326</v>
      </c>
      <c r="Z1466" s="10" t="n">
        <v>1</v>
      </c>
    </row>
    <row r="1467">
      <c r="A1467" s="7" t="inlineStr">
        <is>
          <t>MAT-32-113</t>
        </is>
      </c>
      <c r="B1467" s="4" t="inlineStr">
        <is>
          <t>Adaptador macho de bronce 15" x 1/2"</t>
        </is>
      </c>
      <c r="C1467" s="7" t="inlineStr">
        <is>
          <t>unidad</t>
        </is>
      </c>
      <c r="D1467" s="8" t="n"/>
      <c r="E1467" s="8" t="n">
        <v>205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>
        <f>IF(COUNT(D1467:S1467)=0,"",MIN(D1467:S1467))</f>
        <v/>
      </c>
      <c r="U1467" s="8">
        <f>IF(COUNT(D1467:S1467)=0,"",MEDIAN(D1467:S1467))</f>
        <v/>
      </c>
      <c r="V1467" s="8">
        <f>IF(COUNT(D1467:S1467)=0,"",MAX(D1467:S1467))</f>
        <v/>
      </c>
      <c r="W1467" s="9">
        <f>IF(OR(T1467="",T1467=0),"",(V1467-T1467)/T1467)</f>
        <v/>
      </c>
      <c r="X1467" s="7">
        <f>IF(COUNT(D1467:S1467)=0,"",INDEX($D$1:$S$1,MATCH(MIN(D1467:S1467),D1467:S1467,0)))</f>
        <v/>
      </c>
      <c r="Y1467" s="8" t="n">
        <v>205</v>
      </c>
      <c r="Z1467" s="10" t="n">
        <v>1</v>
      </c>
    </row>
    <row r="1468">
      <c r="A1468" s="7" t="inlineStr">
        <is>
          <t>MAT-32-114</t>
        </is>
      </c>
      <c r="B1468" s="4" t="inlineStr">
        <is>
          <t>Adaptador macho de bronce 15" x 3/4"</t>
        </is>
      </c>
      <c r="C1468" s="7" t="inlineStr">
        <is>
          <t>unidad</t>
        </is>
      </c>
      <c r="D1468" s="8" t="n"/>
      <c r="E1468" s="8" t="n">
        <v>377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>
        <f>IF(COUNT(D1468:S1468)=0,"",MIN(D1468:S1468))</f>
        <v/>
      </c>
      <c r="U1468" s="8">
        <f>IF(COUNT(D1468:S1468)=0,"",MEDIAN(D1468:S1468))</f>
        <v/>
      </c>
      <c r="V1468" s="8">
        <f>IF(COUNT(D1468:S1468)=0,"",MAX(D1468:S1468))</f>
        <v/>
      </c>
      <c r="W1468" s="9">
        <f>IF(OR(T1468="",T1468=0),"",(V1468-T1468)/T1468)</f>
        <v/>
      </c>
      <c r="X1468" s="7">
        <f>IF(COUNT(D1468:S1468)=0,"",INDEX($D$1:$S$1,MATCH(MIN(D1468:S1468),D1468:S1468,0)))</f>
        <v/>
      </c>
      <c r="Y1468" s="8" t="n">
        <v>377</v>
      </c>
      <c r="Z1468" s="10" t="n">
        <v>1</v>
      </c>
    </row>
    <row r="1469">
      <c r="A1469" s="7" t="inlineStr">
        <is>
          <t>MAT-32-115</t>
        </is>
      </c>
      <c r="B1469" s="4" t="inlineStr">
        <is>
          <t>Adaptador macho de bronce 15" x 3/8"</t>
        </is>
      </c>
      <c r="C1469" s="7" t="inlineStr">
        <is>
          <t>unidad</t>
        </is>
      </c>
      <c r="D1469" s="8" t="n"/>
      <c r="E1469" s="8" t="n">
        <v>309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>
        <f>IF(COUNT(D1469:S1469)=0,"",MIN(D1469:S1469))</f>
        <v/>
      </c>
      <c r="U1469" s="8">
        <f>IF(COUNT(D1469:S1469)=0,"",MEDIAN(D1469:S1469))</f>
        <v/>
      </c>
      <c r="V1469" s="8">
        <f>IF(COUNT(D1469:S1469)=0,"",MAX(D1469:S1469))</f>
        <v/>
      </c>
      <c r="W1469" s="9">
        <f>IF(OR(T1469="",T1469=0),"",(V1469-T1469)/T1469)</f>
        <v/>
      </c>
      <c r="X1469" s="7">
        <f>IF(COUNT(D1469:S1469)=0,"",INDEX($D$1:$S$1,MATCH(MIN(D1469:S1469),D1469:S1469,0)))</f>
        <v/>
      </c>
      <c r="Y1469" s="8" t="n">
        <v>309</v>
      </c>
      <c r="Z1469" s="10" t="n">
        <v>1</v>
      </c>
    </row>
    <row r="1470">
      <c r="A1470" s="7" t="inlineStr">
        <is>
          <t>MAT-32-116</t>
        </is>
      </c>
      <c r="B1470" s="4" t="inlineStr">
        <is>
          <t>Adaptador macho de bronce 18" x 1/2"</t>
        </is>
      </c>
      <c r="C1470" s="7" t="inlineStr">
        <is>
          <t>unidad</t>
        </is>
      </c>
      <c r="D1470" s="8" t="n"/>
      <c r="E1470" s="8" t="n">
        <v>232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>
        <f>IF(COUNT(D1470:S1470)=0,"",MIN(D1470:S1470))</f>
        <v/>
      </c>
      <c r="U1470" s="8">
        <f>IF(COUNT(D1470:S1470)=0,"",MEDIAN(D1470:S1470))</f>
        <v/>
      </c>
      <c r="V1470" s="8">
        <f>IF(COUNT(D1470:S1470)=0,"",MAX(D1470:S1470))</f>
        <v/>
      </c>
      <c r="W1470" s="9">
        <f>IF(OR(T1470="",T1470=0),"",(V1470-T1470)/T1470)</f>
        <v/>
      </c>
      <c r="X1470" s="7">
        <f>IF(COUNT(D1470:S1470)=0,"",INDEX($D$1:$S$1,MATCH(MIN(D1470:S1470),D1470:S1470,0)))</f>
        <v/>
      </c>
      <c r="Y1470" s="8" t="n">
        <v>232</v>
      </c>
      <c r="Z1470" s="10" t="n">
        <v>1</v>
      </c>
    </row>
    <row r="1471">
      <c r="A1471" s="7" t="inlineStr">
        <is>
          <t>MAT-32-117</t>
        </is>
      </c>
      <c r="B1471" s="4" t="inlineStr">
        <is>
          <t>Adaptador macho de bronce 18" x 3/4"</t>
        </is>
      </c>
      <c r="C1471" s="7" t="inlineStr">
        <is>
          <t>unidad</t>
        </is>
      </c>
      <c r="D1471" s="8" t="n"/>
      <c r="E1471" s="8" t="n">
        <v>315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>
        <f>IF(COUNT(D1471:S1471)=0,"",MIN(D1471:S1471))</f>
        <v/>
      </c>
      <c r="U1471" s="8">
        <f>IF(COUNT(D1471:S1471)=0,"",MEDIAN(D1471:S1471))</f>
        <v/>
      </c>
      <c r="V1471" s="8">
        <f>IF(COUNT(D1471:S1471)=0,"",MAX(D1471:S1471))</f>
        <v/>
      </c>
      <c r="W1471" s="9">
        <f>IF(OR(T1471="",T1471=0),"",(V1471-T1471)/T1471)</f>
        <v/>
      </c>
      <c r="X1471" s="7">
        <f>IF(COUNT(D1471:S1471)=0,"",INDEX($D$1:$S$1,MATCH(MIN(D1471:S1471),D1471:S1471,0)))</f>
        <v/>
      </c>
      <c r="Y1471" s="8" t="n">
        <v>315</v>
      </c>
      <c r="Z1471" s="10" t="n">
        <v>1</v>
      </c>
    </row>
    <row r="1472">
      <c r="A1472" s="7" t="inlineStr">
        <is>
          <t>MAT-32-118</t>
        </is>
      </c>
      <c r="B1472" s="4" t="inlineStr">
        <is>
          <t>Adaptador macho de bronce 25" x 3/4"</t>
        </is>
      </c>
      <c r="C1472" s="7" t="inlineStr">
        <is>
          <t>unidad</t>
        </is>
      </c>
      <c r="D1472" s="8" t="n"/>
      <c r="E1472" s="8" t="n">
        <v>390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>
        <f>IF(COUNT(D1472:S1472)=0,"",MIN(D1472:S1472))</f>
        <v/>
      </c>
      <c r="U1472" s="8">
        <f>IF(COUNT(D1472:S1472)=0,"",MEDIAN(D1472:S1472))</f>
        <v/>
      </c>
      <c r="V1472" s="8">
        <f>IF(COUNT(D1472:S1472)=0,"",MAX(D1472:S1472))</f>
        <v/>
      </c>
      <c r="W1472" s="9">
        <f>IF(OR(T1472="",T1472=0),"",(V1472-T1472)/T1472)</f>
        <v/>
      </c>
      <c r="X1472" s="7">
        <f>IF(COUNT(D1472:S1472)=0,"",INDEX($D$1:$S$1,MATCH(MIN(D1472:S1472),D1472:S1472,0)))</f>
        <v/>
      </c>
      <c r="Y1472" s="8" t="n">
        <v>390</v>
      </c>
      <c r="Z1472" s="10" t="n">
        <v>1</v>
      </c>
    </row>
    <row r="1473">
      <c r="A1473" s="7" t="inlineStr">
        <is>
          <t>MAT-32-119</t>
        </is>
      </c>
      <c r="B1473" s="4" t="inlineStr">
        <is>
          <t>Adaptador macho de bronce 3/8" x 1/2"</t>
        </is>
      </c>
      <c r="C1473" s="7" t="inlineStr">
        <is>
          <t>unidad</t>
        </is>
      </c>
      <c r="D1473" s="8" t="n"/>
      <c r="E1473" s="8" t="n">
        <v>149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>
        <f>IF(COUNT(D1473:S1473)=0,"",MIN(D1473:S1473))</f>
        <v/>
      </c>
      <c r="U1473" s="8">
        <f>IF(COUNT(D1473:S1473)=0,"",MEDIAN(D1473:S1473))</f>
        <v/>
      </c>
      <c r="V1473" s="8">
        <f>IF(COUNT(D1473:S1473)=0,"",MAX(D1473:S1473))</f>
        <v/>
      </c>
      <c r="W1473" s="9">
        <f>IF(OR(T1473="",T1473=0),"",(V1473-T1473)/T1473)</f>
        <v/>
      </c>
      <c r="X1473" s="7">
        <f>IF(COUNT(D1473:S1473)=0,"",INDEX($D$1:$S$1,MATCH(MIN(D1473:S1473),D1473:S1473,0)))</f>
        <v/>
      </c>
      <c r="Y1473" s="8" t="n">
        <v>149</v>
      </c>
      <c r="Z1473" s="10" t="n">
        <v>1</v>
      </c>
    </row>
    <row r="1474">
      <c r="A1474" s="7" t="inlineStr">
        <is>
          <t>MAT-32-120</t>
        </is>
      </c>
      <c r="B1474" s="4" t="inlineStr">
        <is>
          <t>Adaptador macho de bronce 3/8" x 3/8"</t>
        </is>
      </c>
      <c r="C1474" s="7" t="inlineStr">
        <is>
          <t>unidad</t>
        </is>
      </c>
      <c r="D1474" s="8" t="n"/>
      <c r="E1474" s="8" t="n">
        <v>68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>
        <f>IF(COUNT(D1474:S1474)=0,"",MIN(D1474:S1474))</f>
        <v/>
      </c>
      <c r="U1474" s="8">
        <f>IF(COUNT(D1474:S1474)=0,"",MEDIAN(D1474:S1474))</f>
        <v/>
      </c>
      <c r="V1474" s="8">
        <f>IF(COUNT(D1474:S1474)=0,"",MAX(D1474:S1474))</f>
        <v/>
      </c>
      <c r="W1474" s="9">
        <f>IF(OR(T1474="",T1474=0),"",(V1474-T1474)/T1474)</f>
        <v/>
      </c>
      <c r="X1474" s="7">
        <f>IF(COUNT(D1474:S1474)=0,"",INDEX($D$1:$S$1,MATCH(MIN(D1474:S1474),D1474:S1474,0)))</f>
        <v/>
      </c>
      <c r="Y1474" s="8" t="n">
        <v>78</v>
      </c>
      <c r="Z1474" s="10" t="n">
        <v>1</v>
      </c>
    </row>
    <row r="1475">
      <c r="A1475" s="7" t="inlineStr">
        <is>
          <t>MAT-32-121</t>
        </is>
      </c>
      <c r="B1475" s="4" t="inlineStr">
        <is>
          <t>Adaptador macho de bronce 32" x 1"</t>
        </is>
      </c>
      <c r="C1475" s="7" t="inlineStr">
        <is>
          <t>unidad</t>
        </is>
      </c>
      <c r="D1475" s="8" t="n"/>
      <c r="E1475" s="8" t="n">
        <v>597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>
        <f>IF(COUNT(D1475:S1475)=0,"",MIN(D1475:S1475))</f>
        <v/>
      </c>
      <c r="U1475" s="8">
        <f>IF(COUNT(D1475:S1475)=0,"",MEDIAN(D1475:S1475))</f>
        <v/>
      </c>
      <c r="V1475" s="8">
        <f>IF(COUNT(D1475:S1475)=0,"",MAX(D1475:S1475))</f>
        <v/>
      </c>
      <c r="W1475" s="9">
        <f>IF(OR(T1475="",T1475=0),"",(V1475-T1475)/T1475)</f>
        <v/>
      </c>
      <c r="X1475" s="7">
        <f>IF(COUNT(D1475:S1475)=0,"",INDEX($D$1:$S$1,MATCH(MIN(D1475:S1475),D1475:S1475,0)))</f>
        <v/>
      </c>
      <c r="Y1475" s="8" t="n">
        <v>597</v>
      </c>
      <c r="Z1475" s="10" t="n">
        <v>1</v>
      </c>
    </row>
    <row r="1476">
      <c r="A1476" s="7" t="inlineStr">
        <is>
          <t>MAT-32-122</t>
        </is>
      </c>
      <c r="B1476" s="4" t="inlineStr">
        <is>
          <t>Adaptador macho de bronce 5/8" x 1/2"</t>
        </is>
      </c>
      <c r="C1476" s="7" t="inlineStr">
        <is>
          <t>unidad</t>
        </is>
      </c>
      <c r="D1476" s="8" t="n"/>
      <c r="E1476" s="8" t="n">
        <v>152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>
        <f>IF(COUNT(D1476:S1476)=0,"",MIN(D1476:S1476))</f>
        <v/>
      </c>
      <c r="U1476" s="8">
        <f>IF(COUNT(D1476:S1476)=0,"",MEDIAN(D1476:S1476))</f>
        <v/>
      </c>
      <c r="V1476" s="8">
        <f>IF(COUNT(D1476:S1476)=0,"",MAX(D1476:S1476))</f>
        <v/>
      </c>
      <c r="W1476" s="9">
        <f>IF(OR(T1476="",T1476=0),"",(V1476-T1476)/T1476)</f>
        <v/>
      </c>
      <c r="X1476" s="7">
        <f>IF(COUNT(D1476:S1476)=0,"",INDEX($D$1:$S$1,MATCH(MIN(D1476:S1476),D1476:S1476,0)))</f>
        <v/>
      </c>
      <c r="Y1476" s="8" t="n">
        <v>152</v>
      </c>
      <c r="Z1476" s="10" t="n">
        <v>1</v>
      </c>
    </row>
    <row r="1477">
      <c r="A1477" s="7" t="inlineStr">
        <is>
          <t>MAT-32-123</t>
        </is>
      </c>
      <c r="B1477" s="4" t="inlineStr">
        <is>
          <t>Adaptador macho de cobre 1" x 1 1/8"</t>
        </is>
      </c>
      <c r="C1477" s="7" t="inlineStr">
        <is>
          <t>unidad</t>
        </is>
      </c>
      <c r="D1477" s="8" t="n"/>
      <c r="E1477" s="8" t="n">
        <v>119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>
        <f>IF(COUNT(D1477:S1477)=0,"",MIN(D1477:S1477))</f>
        <v/>
      </c>
      <c r="U1477" s="8">
        <f>IF(COUNT(D1477:S1477)=0,"",MEDIAN(D1477:S1477))</f>
        <v/>
      </c>
      <c r="V1477" s="8">
        <f>IF(COUNT(D1477:S1477)=0,"",MAX(D1477:S1477))</f>
        <v/>
      </c>
      <c r="W1477" s="9">
        <f>IF(OR(T1477="",T1477=0),"",(V1477-T1477)/T1477)</f>
        <v/>
      </c>
      <c r="X1477" s="7">
        <f>IF(COUNT(D1477:S1477)=0,"",INDEX($D$1:$S$1,MATCH(MIN(D1477:S1477),D1477:S1477,0)))</f>
        <v/>
      </c>
      <c r="Y1477" s="8" t="n">
        <v>119</v>
      </c>
      <c r="Z1477" s="10" t="n">
        <v>1</v>
      </c>
    </row>
    <row r="1478">
      <c r="A1478" s="7" t="inlineStr">
        <is>
          <t>MAT-32-124</t>
        </is>
      </c>
      <c r="B1478" s="4" t="inlineStr">
        <is>
          <t>Adaptador macho de CPVC 1/2"</t>
        </is>
      </c>
      <c r="C1478" s="7" t="inlineStr">
        <is>
          <t>unidad</t>
        </is>
      </c>
      <c r="D1478" s="8" t="n"/>
      <c r="E1478" s="8" t="n">
        <v>13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>
        <f>IF(COUNT(D1478:S1478)=0,"",MIN(D1478:S1478))</f>
        <v/>
      </c>
      <c r="U1478" s="8">
        <f>IF(COUNT(D1478:S1478)=0,"",MEDIAN(D1478:S1478))</f>
        <v/>
      </c>
      <c r="V1478" s="8">
        <f>IF(COUNT(D1478:S1478)=0,"",MAX(D1478:S1478))</f>
        <v/>
      </c>
      <c r="W1478" s="9">
        <f>IF(OR(T1478="",T1478=0),"",(V1478-T1478)/T1478)</f>
        <v/>
      </c>
      <c r="X1478" s="7">
        <f>IF(COUNT(D1478:S1478)=0,"",INDEX($D$1:$S$1,MATCH(MIN(D1478:S1478),D1478:S1478,0)))</f>
        <v/>
      </c>
      <c r="Y1478" s="8" t="n">
        <v>13</v>
      </c>
      <c r="Z1478" s="10" t="n">
        <v>1</v>
      </c>
    </row>
    <row r="1479">
      <c r="A1479" s="7" t="inlineStr">
        <is>
          <t>MAT-32-125</t>
        </is>
      </c>
      <c r="B1479" s="4" t="inlineStr">
        <is>
          <t>Adaptador macho de CPVC 1"</t>
        </is>
      </c>
      <c r="C1479" s="7" t="inlineStr">
        <is>
          <t>unidad</t>
        </is>
      </c>
      <c r="D1479" s="8" t="n"/>
      <c r="E1479" s="8" t="n">
        <v>32.71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>
        <f>IF(COUNT(D1479:S1479)=0,"",MIN(D1479:S1479))</f>
        <v/>
      </c>
      <c r="U1479" s="8">
        <f>IF(COUNT(D1479:S1479)=0,"",MEDIAN(D1479:S1479))</f>
        <v/>
      </c>
      <c r="V1479" s="8">
        <f>IF(COUNT(D1479:S1479)=0,"",MAX(D1479:S1479))</f>
        <v/>
      </c>
      <c r="W1479" s="9">
        <f>IF(OR(T1479="",T1479=0),"",(V1479-T1479)/T1479)</f>
        <v/>
      </c>
      <c r="X1479" s="7">
        <f>IF(COUNT(D1479:S1479)=0,"",INDEX($D$1:$S$1,MATCH(MIN(D1479:S1479),D1479:S1479,0)))</f>
        <v/>
      </c>
      <c r="Y1479" s="8" t="n">
        <v>32.71</v>
      </c>
      <c r="Z1479" s="10" t="n">
        <v>1</v>
      </c>
    </row>
    <row r="1480">
      <c r="A1480" s="7" t="inlineStr">
        <is>
          <t>MAT-32-126</t>
        </is>
      </c>
      <c r="B1480" s="4" t="inlineStr">
        <is>
          <t>Adaptador macho de CPVC 3/4"</t>
        </is>
      </c>
      <c r="C1480" s="7" t="inlineStr">
        <is>
          <t>unidad</t>
        </is>
      </c>
      <c r="D1480" s="8" t="n"/>
      <c r="E1480" s="8" t="n">
        <v>18.22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>
        <f>IF(COUNT(D1480:S1480)=0,"",MIN(D1480:S1480))</f>
        <v/>
      </c>
      <c r="U1480" s="8">
        <f>IF(COUNT(D1480:S1480)=0,"",MEDIAN(D1480:S1480))</f>
        <v/>
      </c>
      <c r="V1480" s="8">
        <f>IF(COUNT(D1480:S1480)=0,"",MAX(D1480:S1480))</f>
        <v/>
      </c>
      <c r="W1480" s="9">
        <f>IF(OR(T1480="",T1480=0),"",(V1480-T1480)/T1480)</f>
        <v/>
      </c>
      <c r="X1480" s="7">
        <f>IF(COUNT(D1480:S1480)=0,"",INDEX($D$1:$S$1,MATCH(MIN(D1480:S1480),D1480:S1480,0)))</f>
        <v/>
      </c>
      <c r="Y1480" s="8" t="n">
        <v>18.22</v>
      </c>
      <c r="Z1480" s="10" t="n">
        <v>1</v>
      </c>
    </row>
    <row r="1481">
      <c r="A1481" s="7" t="inlineStr">
        <is>
          <t>MAT-32-127</t>
        </is>
      </c>
      <c r="B1481" s="4" t="inlineStr">
        <is>
          <t>Adaptador macho de plástico 1/2"</t>
        </is>
      </c>
      <c r="C1481" s="7" t="inlineStr">
        <is>
          <t>unidad</t>
        </is>
      </c>
      <c r="D1481" s="8" t="n"/>
      <c r="E1481" s="8" t="n">
        <v>155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>
        <f>IF(COUNT(D1481:S1481)=0,"",MIN(D1481:S1481))</f>
        <v/>
      </c>
      <c r="U1481" s="8">
        <f>IF(COUNT(D1481:S1481)=0,"",MEDIAN(D1481:S1481))</f>
        <v/>
      </c>
      <c r="V1481" s="8">
        <f>IF(COUNT(D1481:S1481)=0,"",MAX(D1481:S1481))</f>
        <v/>
      </c>
      <c r="W1481" s="9">
        <f>IF(OR(T1481="",T1481=0),"",(V1481-T1481)/T1481)</f>
        <v/>
      </c>
      <c r="X1481" s="7">
        <f>IF(COUNT(D1481:S1481)=0,"",INDEX($D$1:$S$1,MATCH(MIN(D1481:S1481),D1481:S1481,0)))</f>
        <v/>
      </c>
      <c r="Y1481" s="8" t="n">
        <v>155</v>
      </c>
      <c r="Z1481" s="10" t="n">
        <v>1</v>
      </c>
    </row>
    <row r="1482">
      <c r="A1482" s="7" t="inlineStr">
        <is>
          <t>MAT-32-128</t>
        </is>
      </c>
      <c r="B1482" s="4" t="inlineStr">
        <is>
          <t>Adaptador macho de plástico 1"</t>
        </is>
      </c>
      <c r="C1482" s="7" t="inlineStr">
        <is>
          <t>unidad</t>
        </is>
      </c>
      <c r="D1482" s="8" t="n"/>
      <c r="E1482" s="8" t="n">
        <v>190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>
        <f>IF(COUNT(D1482:S1482)=0,"",MIN(D1482:S1482))</f>
        <v/>
      </c>
      <c r="U1482" s="8">
        <f>IF(COUNT(D1482:S1482)=0,"",MEDIAN(D1482:S1482))</f>
        <v/>
      </c>
      <c r="V1482" s="8">
        <f>IF(COUNT(D1482:S1482)=0,"",MAX(D1482:S1482))</f>
        <v/>
      </c>
      <c r="W1482" s="9">
        <f>IF(OR(T1482="",T1482=0),"",(V1482-T1482)/T1482)</f>
        <v/>
      </c>
      <c r="X1482" s="7">
        <f>IF(COUNT(D1482:S1482)=0,"",INDEX($D$1:$S$1,MATCH(MIN(D1482:S1482),D1482:S1482,0)))</f>
        <v/>
      </c>
      <c r="Y1482" s="8" t="n">
        <v>190</v>
      </c>
      <c r="Z1482" s="10" t="n">
        <v>1</v>
      </c>
    </row>
    <row r="1483">
      <c r="A1483" s="7" t="inlineStr">
        <is>
          <t>MAT-32-129</t>
        </is>
      </c>
      <c r="B1483" s="4" t="inlineStr">
        <is>
          <t>Adaptador macho de plástico 2"</t>
        </is>
      </c>
      <c r="C1483" s="7" t="inlineStr">
        <is>
          <t>unidad</t>
        </is>
      </c>
      <c r="D1483" s="8" t="n"/>
      <c r="E1483" s="8" t="n">
        <v>285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>
        <f>IF(COUNT(D1483:S1483)=0,"",MIN(D1483:S1483))</f>
        <v/>
      </c>
      <c r="U1483" s="8">
        <f>IF(COUNT(D1483:S1483)=0,"",MEDIAN(D1483:S1483))</f>
        <v/>
      </c>
      <c r="V1483" s="8">
        <f>IF(COUNT(D1483:S1483)=0,"",MAX(D1483:S1483))</f>
        <v/>
      </c>
      <c r="W1483" s="9">
        <f>IF(OR(T1483="",T1483=0),"",(V1483-T1483)/T1483)</f>
        <v/>
      </c>
      <c r="X1483" s="7">
        <f>IF(COUNT(D1483:S1483)=0,"",INDEX($D$1:$S$1,MATCH(MIN(D1483:S1483),D1483:S1483,0)))</f>
        <v/>
      </c>
      <c r="Y1483" s="8" t="n">
        <v>285</v>
      </c>
      <c r="Z1483" s="10" t="n">
        <v>1</v>
      </c>
    </row>
    <row r="1484">
      <c r="A1484" s="7" t="inlineStr">
        <is>
          <t>MAT-32-130</t>
        </is>
      </c>
      <c r="B1484" s="4" t="inlineStr">
        <is>
          <t>Adaptador macho de plástico 3/4" x 0"</t>
        </is>
      </c>
      <c r="C1484" s="7" t="inlineStr">
        <is>
          <t>unidad</t>
        </is>
      </c>
      <c r="D1484" s="8" t="n"/>
      <c r="E1484" s="8" t="n">
        <v>187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>
        <f>IF(COUNT(D1484:S1484)=0,"",MIN(D1484:S1484))</f>
        <v/>
      </c>
      <c r="U1484" s="8">
        <f>IF(COUNT(D1484:S1484)=0,"",MEDIAN(D1484:S1484))</f>
        <v/>
      </c>
      <c r="V1484" s="8">
        <f>IF(COUNT(D1484:S1484)=0,"",MAX(D1484:S1484))</f>
        <v/>
      </c>
      <c r="W1484" s="9">
        <f>IF(OR(T1484="",T1484=0),"",(V1484-T1484)/T1484)</f>
        <v/>
      </c>
      <c r="X1484" s="7">
        <f>IF(COUNT(D1484:S1484)=0,"",INDEX($D$1:$S$1,MATCH(MIN(D1484:S1484),D1484:S1484,0)))</f>
        <v/>
      </c>
      <c r="Y1484" s="8" t="n">
        <v>187</v>
      </c>
      <c r="Z1484" s="10" t="n">
        <v>1</v>
      </c>
    </row>
    <row r="1485">
      <c r="A1485" s="7" t="inlineStr">
        <is>
          <t>MAT-32-131</t>
        </is>
      </c>
      <c r="B1485" s="4" t="inlineStr">
        <is>
          <t>Adaptador macho de PPR 20 mm</t>
        </is>
      </c>
      <c r="C1485" s="7" t="inlineStr">
        <is>
          <t>unidad</t>
        </is>
      </c>
      <c r="D1485" s="8" t="n"/>
      <c r="E1485" s="8" t="n">
        <v>63.5</v>
      </c>
      <c r="F1485" s="8" t="n"/>
      <c r="G1485" s="8" t="n">
        <v>188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>
        <f>IF(COUNT(D1485:S1485)=0,"",MIN(D1485:S1485))</f>
        <v/>
      </c>
      <c r="U1485" s="8">
        <f>IF(COUNT(D1485:S1485)=0,"",MEDIAN(D1485:S1485))</f>
        <v/>
      </c>
      <c r="V1485" s="8">
        <f>IF(COUNT(D1485:S1485)=0,"",MAX(D1485:S1485))</f>
        <v/>
      </c>
      <c r="W1485" s="9">
        <f>IF(OR(T1485="",T1485=0),"",(V1485-T1485)/T1485)</f>
        <v/>
      </c>
      <c r="X1485" s="7">
        <f>IF(COUNT(D1485:S1485)=0,"",INDEX($D$1:$S$1,MATCH(MIN(D1485:S1485),D1485:S1485,0)))</f>
        <v/>
      </c>
      <c r="Y1485" s="8" t="n">
        <v>136.06</v>
      </c>
      <c r="Z1485" s="10" t="n">
        <v>2</v>
      </c>
    </row>
    <row r="1486">
      <c r="A1486" s="7" t="inlineStr">
        <is>
          <t>MAT-32-132</t>
        </is>
      </c>
      <c r="B1486" s="4" t="inlineStr">
        <is>
          <t>Adaptador macho de PPR 25 mm</t>
        </is>
      </c>
      <c r="C1486" s="7" t="inlineStr">
        <is>
          <t>unidad</t>
        </is>
      </c>
      <c r="D1486" s="8" t="n"/>
      <c r="E1486" s="8" t="n">
        <v>74.16</v>
      </c>
      <c r="F1486" s="8" t="n"/>
      <c r="G1486" s="8" t="n">
        <v>253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>
        <f>IF(COUNT(D1486:S1486)=0,"",MIN(D1486:S1486))</f>
        <v/>
      </c>
      <c r="U1486" s="8">
        <f>IF(COUNT(D1486:S1486)=0,"",MEDIAN(D1486:S1486))</f>
        <v/>
      </c>
      <c r="V1486" s="8">
        <f>IF(COUNT(D1486:S1486)=0,"",MAX(D1486:S1486))</f>
        <v/>
      </c>
      <c r="W1486" s="9">
        <f>IF(OR(T1486="",T1486=0),"",(V1486-T1486)/T1486)</f>
        <v/>
      </c>
      <c r="X1486" s="7">
        <f>IF(COUNT(D1486:S1486)=0,"",INDEX($D$1:$S$1,MATCH(MIN(D1486:S1486),D1486:S1486,0)))</f>
        <v/>
      </c>
      <c r="Y1486" s="8" t="n">
        <v>91</v>
      </c>
      <c r="Z1486" s="10" t="n">
        <v>2</v>
      </c>
    </row>
    <row r="1487">
      <c r="A1487" s="7" t="inlineStr">
        <is>
          <t>MAT-32-133</t>
        </is>
      </c>
      <c r="B1487" s="4" t="inlineStr">
        <is>
          <t>Adaptador macho de PPR 32 mm</t>
        </is>
      </c>
      <c r="C1487" s="7" t="inlineStr">
        <is>
          <t>unidad</t>
        </is>
      </c>
      <c r="D1487" s="8" t="n"/>
      <c r="E1487" s="8" t="n">
        <v>78.15000000000001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>
        <f>IF(COUNT(D1487:S1487)=0,"",MIN(D1487:S1487))</f>
        <v/>
      </c>
      <c r="U1487" s="8">
        <f>IF(COUNT(D1487:S1487)=0,"",MEDIAN(D1487:S1487))</f>
        <v/>
      </c>
      <c r="V1487" s="8">
        <f>IF(COUNT(D1487:S1487)=0,"",MAX(D1487:S1487))</f>
        <v/>
      </c>
      <c r="W1487" s="9">
        <f>IF(OR(T1487="",T1487=0),"",(V1487-T1487)/T1487)</f>
        <v/>
      </c>
      <c r="X1487" s="7">
        <f>IF(COUNT(D1487:S1487)=0,"",INDEX($D$1:$S$1,MATCH(MIN(D1487:S1487),D1487:S1487,0)))</f>
        <v/>
      </c>
      <c r="Y1487" s="8" t="n">
        <v>83.45</v>
      </c>
      <c r="Z1487" s="10" t="n">
        <v>1</v>
      </c>
    </row>
    <row r="1488">
      <c r="A1488" s="7" t="inlineStr">
        <is>
          <t>MAT-32-134</t>
        </is>
      </c>
      <c r="B1488" s="4" t="inlineStr">
        <is>
          <t>Adaptador macho de PPR 50 mm</t>
        </is>
      </c>
      <c r="C1488" s="7" t="inlineStr">
        <is>
          <t>unidad</t>
        </is>
      </c>
      <c r="D1488" s="8" t="n"/>
      <c r="E1488" s="8" t="n">
        <v>310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>
        <f>IF(COUNT(D1488:S1488)=0,"",MIN(D1488:S1488))</f>
        <v/>
      </c>
      <c r="U1488" s="8">
        <f>IF(COUNT(D1488:S1488)=0,"",MEDIAN(D1488:S1488))</f>
        <v/>
      </c>
      <c r="V1488" s="8">
        <f>IF(COUNT(D1488:S1488)=0,"",MAX(D1488:S1488))</f>
        <v/>
      </c>
      <c r="W1488" s="9">
        <f>IF(OR(T1488="",T1488=0),"",(V1488-T1488)/T1488)</f>
        <v/>
      </c>
      <c r="X1488" s="7">
        <f>IF(COUNT(D1488:S1488)=0,"",INDEX($D$1:$S$1,MATCH(MIN(D1488:S1488),D1488:S1488,0)))</f>
        <v/>
      </c>
      <c r="Y1488" s="8" t="n">
        <v>310</v>
      </c>
      <c r="Z1488" s="10" t="n">
        <v>1</v>
      </c>
    </row>
    <row r="1489">
      <c r="A1489" s="7" t="inlineStr">
        <is>
          <t>MAT-32-135</t>
        </is>
      </c>
      <c r="B1489" s="4" t="inlineStr">
        <is>
          <t>Adaptador macho de PVC 1 1/2"</t>
        </is>
      </c>
      <c r="C1489" s="7" t="inlineStr">
        <is>
          <t>unidad</t>
        </is>
      </c>
      <c r="D1489" s="8" t="n"/>
      <c r="E1489" s="8" t="n">
        <v>19.31</v>
      </c>
      <c r="F1489" s="8" t="n"/>
      <c r="G1489" s="8" t="n">
        <v>95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>
        <f>IF(COUNT(D1489:S1489)=0,"",MIN(D1489:S1489))</f>
        <v/>
      </c>
      <c r="U1489" s="8">
        <f>IF(COUNT(D1489:S1489)=0,"",MEDIAN(D1489:S1489))</f>
        <v/>
      </c>
      <c r="V1489" s="8">
        <f>IF(COUNT(D1489:S1489)=0,"",MAX(D1489:S1489))</f>
        <v/>
      </c>
      <c r="W1489" s="9">
        <f>IF(OR(T1489="",T1489=0),"",(V1489-T1489)/T1489)</f>
        <v/>
      </c>
      <c r="X1489" s="7">
        <f>IF(COUNT(D1489:S1489)=0,"",INDEX($D$1:$S$1,MATCH(MIN(D1489:S1489),D1489:S1489,0)))</f>
        <v/>
      </c>
      <c r="Y1489" s="8" t="n">
        <v>34.5</v>
      </c>
      <c r="Z1489" s="10" t="n">
        <v>2</v>
      </c>
    </row>
    <row r="1490">
      <c r="A1490" s="7" t="inlineStr">
        <is>
          <t>MAT-32-136</t>
        </is>
      </c>
      <c r="B1490" s="4" t="inlineStr">
        <is>
          <t>Adaptador macho de PVC 1/2"</t>
        </is>
      </c>
      <c r="C1490" s="7" t="inlineStr">
        <is>
          <t>unidad</t>
        </is>
      </c>
      <c r="D1490" s="8" t="n"/>
      <c r="E1490" s="8" t="n">
        <v>4.08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>
        <f>IF(COUNT(D1490:S1490)=0,"",MIN(D1490:S1490))</f>
        <v/>
      </c>
      <c r="U1490" s="8">
        <f>IF(COUNT(D1490:S1490)=0,"",MEDIAN(D1490:S1490))</f>
        <v/>
      </c>
      <c r="V1490" s="8">
        <f>IF(COUNT(D1490:S1490)=0,"",MAX(D1490:S1490))</f>
        <v/>
      </c>
      <c r="W1490" s="9">
        <f>IF(OR(T1490="",T1490=0),"",(V1490-T1490)/T1490)</f>
        <v/>
      </c>
      <c r="X1490" s="7">
        <f>IF(COUNT(D1490:S1490)=0,"",INDEX($D$1:$S$1,MATCH(MIN(D1490:S1490),D1490:S1490,0)))</f>
        <v/>
      </c>
      <c r="Y1490" s="8" t="n">
        <v>5.36</v>
      </c>
      <c r="Z1490" s="10" t="n">
        <v>2</v>
      </c>
    </row>
    <row r="1491">
      <c r="A1491" s="7" t="inlineStr">
        <is>
          <t>MAT-32-137</t>
        </is>
      </c>
      <c r="B1491" s="4" t="inlineStr">
        <is>
          <t>Adaptador macho de PVC 1"</t>
        </is>
      </c>
      <c r="C1491" s="7" t="inlineStr">
        <is>
          <t>unidad</t>
        </is>
      </c>
      <c r="D1491" s="8" t="n"/>
      <c r="E1491" s="8" t="n">
        <v>8.73</v>
      </c>
      <c r="F1491" s="8" t="n"/>
      <c r="G1491" s="8" t="n">
        <v>40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>
        <f>IF(COUNT(D1491:S1491)=0,"",MIN(D1491:S1491))</f>
        <v/>
      </c>
      <c r="U1491" s="8">
        <f>IF(COUNT(D1491:S1491)=0,"",MEDIAN(D1491:S1491))</f>
        <v/>
      </c>
      <c r="V1491" s="8">
        <f>IF(COUNT(D1491:S1491)=0,"",MAX(D1491:S1491))</f>
        <v/>
      </c>
      <c r="W1491" s="9">
        <f>IF(OR(T1491="",T1491=0),"",(V1491-T1491)/T1491)</f>
        <v/>
      </c>
      <c r="X1491" s="7">
        <f>IF(COUNT(D1491:S1491)=0,"",INDEX($D$1:$S$1,MATCH(MIN(D1491:S1491),D1491:S1491,0)))</f>
        <v/>
      </c>
      <c r="Y1491" s="8" t="n">
        <v>18.2</v>
      </c>
      <c r="Z1491" s="10" t="n">
        <v>2</v>
      </c>
    </row>
    <row r="1492">
      <c r="A1492" s="7" t="inlineStr">
        <is>
          <t>MAT-32-138</t>
        </is>
      </c>
      <c r="B1492" s="4" t="inlineStr">
        <is>
          <t>Adaptador macho de PVC 2"</t>
        </is>
      </c>
      <c r="C1492" s="7" t="inlineStr">
        <is>
          <t>unidad</t>
        </is>
      </c>
      <c r="D1492" s="8" t="n"/>
      <c r="E1492" s="8" t="n">
        <v>28.05</v>
      </c>
      <c r="F1492" s="8" t="n"/>
      <c r="G1492" s="8" t="n">
        <v>105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>
        <f>IF(COUNT(D1492:S1492)=0,"",MIN(D1492:S1492))</f>
        <v/>
      </c>
      <c r="U1492" s="8">
        <f>IF(COUNT(D1492:S1492)=0,"",MEDIAN(D1492:S1492))</f>
        <v/>
      </c>
      <c r="V1492" s="8">
        <f>IF(COUNT(D1492:S1492)=0,"",MAX(D1492:S1492))</f>
        <v/>
      </c>
      <c r="W1492" s="9">
        <f>IF(OR(T1492="",T1492=0),"",(V1492-T1492)/T1492)</f>
        <v/>
      </c>
      <c r="X1492" s="7">
        <f>IF(COUNT(D1492:S1492)=0,"",INDEX($D$1:$S$1,MATCH(MIN(D1492:S1492),D1492:S1492,0)))</f>
        <v/>
      </c>
      <c r="Y1492" s="8" t="n">
        <v>60.76</v>
      </c>
      <c r="Z1492" s="10" t="n">
        <v>2</v>
      </c>
    </row>
    <row r="1493">
      <c r="A1493" s="7" t="inlineStr">
        <is>
          <t>MAT-32-139</t>
        </is>
      </c>
      <c r="B1493" s="4" t="inlineStr">
        <is>
          <t>Adaptador macho de PVC 3/4"</t>
        </is>
      </c>
      <c r="C1493" s="7" t="inlineStr">
        <is>
          <t>unidad</t>
        </is>
      </c>
      <c r="D1493" s="8" t="n"/>
      <c r="E1493" s="8" t="n">
        <v>5.62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>
        <f>IF(COUNT(D1493:S1493)=0,"",MIN(D1493:S1493))</f>
        <v/>
      </c>
      <c r="U1493" s="8">
        <f>IF(COUNT(D1493:S1493)=0,"",MEDIAN(D1493:S1493))</f>
        <v/>
      </c>
      <c r="V1493" s="8">
        <f>IF(COUNT(D1493:S1493)=0,"",MAX(D1493:S1493))</f>
        <v/>
      </c>
      <c r="W1493" s="9">
        <f>IF(OR(T1493="",T1493=0),"",(V1493-T1493)/T1493)</f>
        <v/>
      </c>
      <c r="X1493" s="7">
        <f>IF(COUNT(D1493:S1493)=0,"",INDEX($D$1:$S$1,MATCH(MIN(D1493:S1493),D1493:S1493,0)))</f>
        <v/>
      </c>
      <c r="Y1493" s="8" t="n">
        <v>10.75</v>
      </c>
      <c r="Z1493" s="10" t="n">
        <v>2</v>
      </c>
    </row>
    <row r="1494">
      <c r="A1494" s="7" t="inlineStr">
        <is>
          <t>MAT-32-140</t>
        </is>
      </c>
      <c r="B1494" s="4" t="inlineStr">
        <is>
          <t>Adaptador macho de PVC 3"</t>
        </is>
      </c>
      <c r="C1494" s="7" t="inlineStr">
        <is>
          <t>unidad</t>
        </is>
      </c>
      <c r="D1494" s="8" t="n"/>
      <c r="E1494" s="8" t="n">
        <v>85</v>
      </c>
      <c r="F1494" s="8" t="n"/>
      <c r="G1494" s="8" t="n">
        <v>271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>
        <f>IF(COUNT(D1494:S1494)=0,"",MIN(D1494:S1494))</f>
        <v/>
      </c>
      <c r="U1494" s="8">
        <f>IF(COUNT(D1494:S1494)=0,"",MEDIAN(D1494:S1494))</f>
        <v/>
      </c>
      <c r="V1494" s="8">
        <f>IF(COUNT(D1494:S1494)=0,"",MAX(D1494:S1494))</f>
        <v/>
      </c>
      <c r="W1494" s="9">
        <f>IF(OR(T1494="",T1494=0),"",(V1494-T1494)/T1494)</f>
        <v/>
      </c>
      <c r="X1494" s="7">
        <f>IF(COUNT(D1494:S1494)=0,"",INDEX($D$1:$S$1,MATCH(MIN(D1494:S1494),D1494:S1494,0)))</f>
        <v/>
      </c>
      <c r="Y1494" s="8" t="n">
        <v>157</v>
      </c>
      <c r="Z1494" s="10" t="n">
        <v>2</v>
      </c>
    </row>
    <row r="1495">
      <c r="A1495" s="7" t="inlineStr">
        <is>
          <t>MAT-32-141</t>
        </is>
      </c>
      <c r="B1495" s="4" t="inlineStr">
        <is>
          <t>Adaptador macho de PVC 4"</t>
        </is>
      </c>
      <c r="C1495" s="7" t="inlineStr">
        <is>
          <t>unidad</t>
        </is>
      </c>
      <c r="D1495" s="8" t="n"/>
      <c r="E1495" s="8" t="n">
        <v>120</v>
      </c>
      <c r="F1495" s="8" t="n"/>
      <c r="G1495" s="8" t="n">
        <v>291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>
        <f>IF(COUNT(D1495:S1495)=0,"",MIN(D1495:S1495))</f>
        <v/>
      </c>
      <c r="U1495" s="8">
        <f>IF(COUNT(D1495:S1495)=0,"",MEDIAN(D1495:S1495))</f>
        <v/>
      </c>
      <c r="V1495" s="8">
        <f>IF(COUNT(D1495:S1495)=0,"",MAX(D1495:S1495))</f>
        <v/>
      </c>
      <c r="W1495" s="9">
        <f>IF(OR(T1495="",T1495=0),"",(V1495-T1495)/T1495)</f>
        <v/>
      </c>
      <c r="X1495" s="7">
        <f>IF(COUNT(D1495:S1495)=0,"",INDEX($D$1:$S$1,MATCH(MIN(D1495:S1495),D1495:S1495,0)))</f>
        <v/>
      </c>
      <c r="Y1495" s="8" t="n">
        <v>234.99</v>
      </c>
      <c r="Z1495" s="10" t="n">
        <v>2</v>
      </c>
    </row>
    <row r="1496">
      <c r="A1496" s="7" t="inlineStr">
        <is>
          <t>MAT-32-142</t>
        </is>
      </c>
      <c r="B1496" s="4" t="inlineStr">
        <is>
          <t>Adaptador macho de PVC 6"</t>
        </is>
      </c>
      <c r="C1496" s="7" t="inlineStr">
        <is>
          <t>unidad</t>
        </is>
      </c>
      <c r="D1496" s="8" t="n"/>
      <c r="E1496" s="8" t="n">
        <v>567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>
        <f>IF(COUNT(D1496:S1496)=0,"",MIN(D1496:S1496))</f>
        <v/>
      </c>
      <c r="U1496" s="8">
        <f>IF(COUNT(D1496:S1496)=0,"",MEDIAN(D1496:S1496))</f>
        <v/>
      </c>
      <c r="V1496" s="8">
        <f>IF(COUNT(D1496:S1496)=0,"",MAX(D1496:S1496))</f>
        <v/>
      </c>
      <c r="W1496" s="9">
        <f>IF(OR(T1496="",T1496=0),"",(V1496-T1496)/T1496)</f>
        <v/>
      </c>
      <c r="X1496" s="7">
        <f>IF(COUNT(D1496:S1496)=0,"",INDEX($D$1:$S$1,MATCH(MIN(D1496:S1496),D1496:S1496,0)))</f>
        <v/>
      </c>
      <c r="Y1496" s="8" t="n">
        <v>567</v>
      </c>
      <c r="Z1496" s="10" t="n">
        <v>1</v>
      </c>
    </row>
    <row r="1497">
      <c r="A1497" s="7" t="inlineStr">
        <is>
          <t>MAT-32-143</t>
        </is>
      </c>
      <c r="B1497" s="4" t="inlineStr">
        <is>
          <t>Adaptador de bronce 7/8" x 1/2"</t>
        </is>
      </c>
      <c r="C1497" s="7" t="inlineStr">
        <is>
          <t>unidad</t>
        </is>
      </c>
      <c r="D1497" s="8" t="n"/>
      <c r="E1497" s="8" t="n">
        <v>176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>
        <f>IF(COUNT(D1497:S1497)=0,"",MIN(D1497:S1497))</f>
        <v/>
      </c>
      <c r="U1497" s="8">
        <f>IF(COUNT(D1497:S1497)=0,"",MEDIAN(D1497:S1497))</f>
        <v/>
      </c>
      <c r="V1497" s="8">
        <f>IF(COUNT(D1497:S1497)=0,"",MAX(D1497:S1497))</f>
        <v/>
      </c>
      <c r="W1497" s="9">
        <f>IF(OR(T1497="",T1497=0),"",(V1497-T1497)/T1497)</f>
        <v/>
      </c>
      <c r="X1497" s="7">
        <f>IF(COUNT(D1497:S1497)=0,"",INDEX($D$1:$S$1,MATCH(MIN(D1497:S1497),D1497:S1497,0)))</f>
        <v/>
      </c>
      <c r="Y1497" s="8" t="n">
        <v>176</v>
      </c>
      <c r="Z1497" s="10" t="n">
        <v>1</v>
      </c>
    </row>
    <row r="1498">
      <c r="A1498" s="7" t="inlineStr">
        <is>
          <t>MAT-32-144</t>
        </is>
      </c>
      <c r="B1498" s="4" t="inlineStr">
        <is>
          <t>Anilla de cobre 0.19"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>
        <f>IF(COUNT(D1498:S1498)=0,"",MIN(D1498:S1498))</f>
        <v/>
      </c>
      <c r="U1498" s="8">
        <f>IF(COUNT(D1498:S1498)=0,"",MEDIAN(D1498:S1498))</f>
        <v/>
      </c>
      <c r="V1498" s="8">
        <f>IF(COUNT(D1498:S1498)=0,"",MAX(D1498:S1498))</f>
        <v/>
      </c>
      <c r="W1498" s="9">
        <f>IF(OR(T1498="",T1498=0),"",(V1498-T1498)/T1498)</f>
        <v/>
      </c>
      <c r="X1498" s="7">
        <f>IF(COUNT(D1498:S1498)=0,"",INDEX($D$1:$S$1,MATCH(MIN(D1498:S1498),D1498:S1498,0)))</f>
        <v/>
      </c>
      <c r="Y1498" s="8" t="n">
        <v>31</v>
      </c>
      <c r="Z1498" s="10" t="n">
        <v>1</v>
      </c>
    </row>
    <row r="1499">
      <c r="A1499" s="7" t="inlineStr">
        <is>
          <t>MAT-32-145</t>
        </is>
      </c>
      <c r="B1499" s="4" t="inlineStr">
        <is>
          <t>Anilla de cobre 0.31"</t>
        </is>
      </c>
      <c r="C1499" s="7" t="inlineStr">
        <is>
          <t>unidad</t>
        </is>
      </c>
      <c r="D1499" s="8" t="n"/>
      <c r="E1499" s="8" t="n"/>
      <c r="F1499" s="8" t="n"/>
      <c r="G1499" s="8" t="n">
        <v>19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>
        <f>IF(COUNT(D1499:S1499)=0,"",MIN(D1499:S1499))</f>
        <v/>
      </c>
      <c r="U1499" s="8">
        <f>IF(COUNT(D1499:S1499)=0,"",MEDIAN(D1499:S1499))</f>
        <v/>
      </c>
      <c r="V1499" s="8">
        <f>IF(COUNT(D1499:S1499)=0,"",MAX(D1499:S1499))</f>
        <v/>
      </c>
      <c r="W1499" s="9">
        <f>IF(OR(T1499="",T1499=0),"",(V1499-T1499)/T1499)</f>
        <v/>
      </c>
      <c r="X1499" s="7">
        <f>IF(COUNT(D1499:S1499)=0,"",INDEX($D$1:$S$1,MATCH(MIN(D1499:S1499),D1499:S1499,0)))</f>
        <v/>
      </c>
      <c r="Y1499" s="8" t="n">
        <v>19</v>
      </c>
      <c r="Z1499" s="10" t="n">
        <v>1</v>
      </c>
    </row>
    <row r="1500">
      <c r="A1500" s="7" t="inlineStr">
        <is>
          <t>MAT-32-146</t>
        </is>
      </c>
      <c r="B1500" s="4" t="inlineStr">
        <is>
          <t>Anilla de cobre 1/2"</t>
        </is>
      </c>
      <c r="C1500" s="7" t="inlineStr">
        <is>
          <t>unidad</t>
        </is>
      </c>
      <c r="D1500" s="8" t="n"/>
      <c r="E1500" s="8" t="n"/>
      <c r="F1500" s="8" t="n"/>
      <c r="G1500" s="8" t="n">
        <v>32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>
        <f>IF(COUNT(D1500:S1500)=0,"",MIN(D1500:S1500))</f>
        <v/>
      </c>
      <c r="U1500" s="8">
        <f>IF(COUNT(D1500:S1500)=0,"",MEDIAN(D1500:S1500))</f>
        <v/>
      </c>
      <c r="V1500" s="8">
        <f>IF(COUNT(D1500:S1500)=0,"",MAX(D1500:S1500))</f>
        <v/>
      </c>
      <c r="W1500" s="9">
        <f>IF(OR(T1500="",T1500=0),"",(V1500-T1500)/T1500)</f>
        <v/>
      </c>
      <c r="X1500" s="7">
        <f>IF(COUNT(D1500:S1500)=0,"",INDEX($D$1:$S$1,MATCH(MIN(D1500:S1500),D1500:S1500,0)))</f>
        <v/>
      </c>
      <c r="Y1500" s="8" t="n">
        <v>32</v>
      </c>
      <c r="Z1500" s="10" t="n">
        <v>1</v>
      </c>
    </row>
    <row r="1501">
      <c r="A1501" s="7" t="inlineStr">
        <is>
          <t>MAT-32-147</t>
        </is>
      </c>
      <c r="B1501" s="4" t="inlineStr">
        <is>
          <t>Anilla de cobre 1/4"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>
        <f>IF(COUNT(D1501:S1501)=0,"",MIN(D1501:S1501))</f>
        <v/>
      </c>
      <c r="U1501" s="8">
        <f>IF(COUNT(D1501:S1501)=0,"",MEDIAN(D1501:S1501))</f>
        <v/>
      </c>
      <c r="V1501" s="8">
        <f>IF(COUNT(D1501:S1501)=0,"",MAX(D1501:S1501))</f>
        <v/>
      </c>
      <c r="W1501" s="9">
        <f>IF(OR(T1501="",T1501=0),"",(V1501-T1501)/T1501)</f>
        <v/>
      </c>
      <c r="X1501" s="7">
        <f>IF(COUNT(D1501:S1501)=0,"",INDEX($D$1:$S$1,MATCH(MIN(D1501:S1501),D1501:S1501,0)))</f>
        <v/>
      </c>
      <c r="Y1501" s="8" t="n">
        <v>31</v>
      </c>
      <c r="Z1501" s="10" t="n">
        <v>1</v>
      </c>
    </row>
    <row r="1502">
      <c r="A1502" s="7" t="inlineStr">
        <is>
          <t>MAT-32-148</t>
        </is>
      </c>
      <c r="B1502" s="4" t="inlineStr">
        <is>
          <t>Anilla de cobre 3/8"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>
        <f>IF(COUNT(D1502:S1502)=0,"",MIN(D1502:S1502))</f>
        <v/>
      </c>
      <c r="U1502" s="8">
        <f>IF(COUNT(D1502:S1502)=0,"",MEDIAN(D1502:S1502))</f>
        <v/>
      </c>
      <c r="V1502" s="8">
        <f>IF(COUNT(D1502:S1502)=0,"",MAX(D1502:S1502))</f>
        <v/>
      </c>
      <c r="W1502" s="9">
        <f>IF(OR(T1502="",T1502=0),"",(V1502-T1502)/T1502)</f>
        <v/>
      </c>
      <c r="X1502" s="7">
        <f>IF(COUNT(D1502:S1502)=0,"",INDEX($D$1:$S$1,MATCH(MIN(D1502:S1502),D1502:S1502,0)))</f>
        <v/>
      </c>
      <c r="Y1502" s="8" t="n">
        <v>31</v>
      </c>
      <c r="Z1502" s="10" t="n">
        <v>1</v>
      </c>
    </row>
    <row r="1503">
      <c r="A1503" s="7" t="inlineStr">
        <is>
          <t>MAT-32-149</t>
        </is>
      </c>
      <c r="B1503" s="4" t="inlineStr">
        <is>
          <t>Codo de 45° de CPVC 1/2"</t>
        </is>
      </c>
      <c r="C1503" s="7" t="inlineStr">
        <is>
          <t>unidad</t>
        </is>
      </c>
      <c r="D1503" s="8" t="n"/>
      <c r="E1503" s="8" t="n">
        <v>10.5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>
        <f>IF(COUNT(D1503:S1503)=0,"",MIN(D1503:S1503))</f>
        <v/>
      </c>
      <c r="U1503" s="8">
        <f>IF(COUNT(D1503:S1503)=0,"",MEDIAN(D1503:S1503))</f>
        <v/>
      </c>
      <c r="V1503" s="8">
        <f>IF(COUNT(D1503:S1503)=0,"",MAX(D1503:S1503))</f>
        <v/>
      </c>
      <c r="W1503" s="9">
        <f>IF(OR(T1503="",T1503=0),"",(V1503-T1503)/T1503)</f>
        <v/>
      </c>
      <c r="X1503" s="7">
        <f>IF(COUNT(D1503:S1503)=0,"",INDEX($D$1:$S$1,MATCH(MIN(D1503:S1503),D1503:S1503,0)))</f>
        <v/>
      </c>
      <c r="Y1503" s="8" t="n">
        <v>10.5</v>
      </c>
      <c r="Z1503" s="10" t="n">
        <v>1</v>
      </c>
    </row>
    <row r="1504">
      <c r="A1504" s="7" t="inlineStr">
        <is>
          <t>MAT-32-150</t>
        </is>
      </c>
      <c r="B1504" s="4" t="inlineStr">
        <is>
          <t>Codo de 45° de CPVC 1"</t>
        </is>
      </c>
      <c r="C1504" s="7" t="inlineStr">
        <is>
          <t>unidad</t>
        </is>
      </c>
      <c r="D1504" s="8" t="n"/>
      <c r="E1504" s="8" t="n">
        <v>33.39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>
        <f>IF(COUNT(D1504:S1504)=0,"",MIN(D1504:S1504))</f>
        <v/>
      </c>
      <c r="U1504" s="8">
        <f>IF(COUNT(D1504:S1504)=0,"",MEDIAN(D1504:S1504))</f>
        <v/>
      </c>
      <c r="V1504" s="8">
        <f>IF(COUNT(D1504:S1504)=0,"",MAX(D1504:S1504))</f>
        <v/>
      </c>
      <c r="W1504" s="9">
        <f>IF(OR(T1504="",T1504=0),"",(V1504-T1504)/T1504)</f>
        <v/>
      </c>
      <c r="X1504" s="7">
        <f>IF(COUNT(D1504:S1504)=0,"",INDEX($D$1:$S$1,MATCH(MIN(D1504:S1504),D1504:S1504,0)))</f>
        <v/>
      </c>
      <c r="Y1504" s="8" t="n">
        <v>33.39</v>
      </c>
      <c r="Z1504" s="10" t="n">
        <v>1</v>
      </c>
    </row>
    <row r="1505">
      <c r="A1505" s="7" t="inlineStr">
        <is>
          <t>MAT-32-151</t>
        </is>
      </c>
      <c r="B1505" s="4" t="inlineStr">
        <is>
          <t>Codo de 45° de CPVC 3/4"</t>
        </is>
      </c>
      <c r="C1505" s="7" t="inlineStr">
        <is>
          <t>unidad</t>
        </is>
      </c>
      <c r="D1505" s="8" t="n"/>
      <c r="E1505" s="8" t="n">
        <v>25.61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>
        <f>IF(COUNT(D1505:S1505)=0,"",MIN(D1505:S1505))</f>
        <v/>
      </c>
      <c r="U1505" s="8">
        <f>IF(COUNT(D1505:S1505)=0,"",MEDIAN(D1505:S1505))</f>
        <v/>
      </c>
      <c r="V1505" s="8">
        <f>IF(COUNT(D1505:S1505)=0,"",MAX(D1505:S1505))</f>
        <v/>
      </c>
      <c r="W1505" s="9">
        <f>IF(OR(T1505="",T1505=0),"",(V1505-T1505)/T1505)</f>
        <v/>
      </c>
      <c r="X1505" s="7">
        <f>IF(COUNT(D1505:S1505)=0,"",INDEX($D$1:$S$1,MATCH(MIN(D1505:S1505),D1505:S1505,0)))</f>
        <v/>
      </c>
      <c r="Y1505" s="8" t="n">
        <v>25.61</v>
      </c>
      <c r="Z1505" s="10" t="n">
        <v>1</v>
      </c>
    </row>
    <row r="1506">
      <c r="A1506" s="7" t="inlineStr">
        <is>
          <t>MAT-32-152</t>
        </is>
      </c>
      <c r="B1506" s="4" t="inlineStr">
        <is>
          <t>Codo de 45° de HG 1 1/2"</t>
        </is>
      </c>
      <c r="C1506" s="7" t="inlineStr">
        <is>
          <t>unidad</t>
        </is>
      </c>
      <c r="D1506" s="8" t="n"/>
      <c r="E1506" s="8" t="n">
        <v>120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>
        <f>IF(COUNT(D1506:S1506)=0,"",MIN(D1506:S1506))</f>
        <v/>
      </c>
      <c r="U1506" s="8">
        <f>IF(COUNT(D1506:S1506)=0,"",MEDIAN(D1506:S1506))</f>
        <v/>
      </c>
      <c r="V1506" s="8">
        <f>IF(COUNT(D1506:S1506)=0,"",MAX(D1506:S1506))</f>
        <v/>
      </c>
      <c r="W1506" s="9">
        <f>IF(OR(T1506="",T1506=0),"",(V1506-T1506)/T1506)</f>
        <v/>
      </c>
      <c r="X1506" s="7">
        <f>IF(COUNT(D1506:S1506)=0,"",INDEX($D$1:$S$1,MATCH(MIN(D1506:S1506),D1506:S1506,0)))</f>
        <v/>
      </c>
      <c r="Y1506" s="8" t="n">
        <v>120</v>
      </c>
      <c r="Z1506" s="10" t="n">
        <v>1</v>
      </c>
    </row>
    <row r="1507">
      <c r="A1507" s="7" t="inlineStr">
        <is>
          <t>MAT-32-153</t>
        </is>
      </c>
      <c r="B1507" s="4" t="inlineStr">
        <is>
          <t>Codo de 45° de HG 1/2"</t>
        </is>
      </c>
      <c r="C1507" s="7" t="inlineStr">
        <is>
          <t>unidad</t>
        </is>
      </c>
      <c r="D1507" s="8" t="n"/>
      <c r="E1507" s="8" t="n">
        <v>25.82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>
        <f>IF(COUNT(D1507:S1507)=0,"",MIN(D1507:S1507))</f>
        <v/>
      </c>
      <c r="U1507" s="8">
        <f>IF(COUNT(D1507:S1507)=0,"",MEDIAN(D1507:S1507))</f>
        <v/>
      </c>
      <c r="V1507" s="8">
        <f>IF(COUNT(D1507:S1507)=0,"",MAX(D1507:S1507))</f>
        <v/>
      </c>
      <c r="W1507" s="9">
        <f>IF(OR(T1507="",T1507=0),"",(V1507-T1507)/T1507)</f>
        <v/>
      </c>
      <c r="X1507" s="7">
        <f>IF(COUNT(D1507:S1507)=0,"",INDEX($D$1:$S$1,MATCH(MIN(D1507:S1507),D1507:S1507,0)))</f>
        <v/>
      </c>
      <c r="Y1507" s="8" t="n">
        <v>25.82</v>
      </c>
      <c r="Z1507" s="10" t="n">
        <v>1</v>
      </c>
    </row>
    <row r="1508">
      <c r="A1508" s="7" t="inlineStr">
        <is>
          <t>MAT-32-154</t>
        </is>
      </c>
      <c r="B1508" s="4" t="inlineStr">
        <is>
          <t>Codo de 45° de HG 1/4"</t>
        </is>
      </c>
      <c r="C1508" s="7" t="inlineStr">
        <is>
          <t>unidad</t>
        </is>
      </c>
      <c r="D1508" s="8" t="n"/>
      <c r="E1508" s="8" t="n">
        <v>35.9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>
        <f>IF(COUNT(D1508:S1508)=0,"",MIN(D1508:S1508))</f>
        <v/>
      </c>
      <c r="U1508" s="8">
        <f>IF(COUNT(D1508:S1508)=0,"",MEDIAN(D1508:S1508))</f>
        <v/>
      </c>
      <c r="V1508" s="8">
        <f>IF(COUNT(D1508:S1508)=0,"",MAX(D1508:S1508))</f>
        <v/>
      </c>
      <c r="W1508" s="9">
        <f>IF(OR(T1508="",T1508=0),"",(V1508-T1508)/T1508)</f>
        <v/>
      </c>
      <c r="X1508" s="7">
        <f>IF(COUNT(D1508:S1508)=0,"",INDEX($D$1:$S$1,MATCH(MIN(D1508:S1508),D1508:S1508,0)))</f>
        <v/>
      </c>
      <c r="Y1508" s="8" t="n">
        <v>35.9</v>
      </c>
      <c r="Z1508" s="10" t="n">
        <v>1</v>
      </c>
    </row>
    <row r="1509">
      <c r="A1509" s="7" t="inlineStr">
        <is>
          <t>MAT-32-155</t>
        </is>
      </c>
      <c r="B1509" s="4" t="inlineStr">
        <is>
          <t>Codo de 45° de HG 1"</t>
        </is>
      </c>
      <c r="C1509" s="7" t="inlineStr">
        <is>
          <t>unidad</t>
        </is>
      </c>
      <c r="D1509" s="8" t="n"/>
      <c r="E1509" s="8" t="n">
        <v>57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>
        <f>IF(COUNT(D1509:S1509)=0,"",MIN(D1509:S1509))</f>
        <v/>
      </c>
      <c r="U1509" s="8">
        <f>IF(COUNT(D1509:S1509)=0,"",MEDIAN(D1509:S1509))</f>
        <v/>
      </c>
      <c r="V1509" s="8">
        <f>IF(COUNT(D1509:S1509)=0,"",MAX(D1509:S1509))</f>
        <v/>
      </c>
      <c r="W1509" s="9">
        <f>IF(OR(T1509="",T1509=0),"",(V1509-T1509)/T1509)</f>
        <v/>
      </c>
      <c r="X1509" s="7">
        <f>IF(COUNT(D1509:S1509)=0,"",INDEX($D$1:$S$1,MATCH(MIN(D1509:S1509),D1509:S1509,0)))</f>
        <v/>
      </c>
      <c r="Y1509" s="8" t="n">
        <v>57</v>
      </c>
      <c r="Z1509" s="10" t="n">
        <v>1</v>
      </c>
    </row>
    <row r="1510">
      <c r="A1510" s="7" t="inlineStr">
        <is>
          <t>MAT-32-156</t>
        </is>
      </c>
      <c r="B1510" s="4" t="inlineStr">
        <is>
          <t>Codo de 45° de HG 2"</t>
        </is>
      </c>
      <c r="C1510" s="7" t="inlineStr">
        <is>
          <t>unidad</t>
        </is>
      </c>
      <c r="D1510" s="8" t="n"/>
      <c r="E1510" s="8" t="n">
        <v>181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>
        <f>IF(COUNT(D1510:S1510)=0,"",MIN(D1510:S1510))</f>
        <v/>
      </c>
      <c r="U1510" s="8">
        <f>IF(COUNT(D1510:S1510)=0,"",MEDIAN(D1510:S1510))</f>
        <v/>
      </c>
      <c r="V1510" s="8">
        <f>IF(COUNT(D1510:S1510)=0,"",MAX(D1510:S1510))</f>
        <v/>
      </c>
      <c r="W1510" s="9">
        <f>IF(OR(T1510="",T1510=0),"",(V1510-T1510)/T1510)</f>
        <v/>
      </c>
      <c r="X1510" s="7">
        <f>IF(COUNT(D1510:S1510)=0,"",INDEX($D$1:$S$1,MATCH(MIN(D1510:S1510),D1510:S1510,0)))</f>
        <v/>
      </c>
      <c r="Y1510" s="8" t="n">
        <v>181</v>
      </c>
      <c r="Z1510" s="10" t="n">
        <v>1</v>
      </c>
    </row>
    <row r="1511">
      <c r="A1511" s="7" t="inlineStr">
        <is>
          <t>MAT-32-157</t>
        </is>
      </c>
      <c r="B1511" s="4" t="inlineStr">
        <is>
          <t>Codo de 45° de HG 3/8"</t>
        </is>
      </c>
      <c r="C1511" s="7" t="inlineStr">
        <is>
          <t>unidad</t>
        </is>
      </c>
      <c r="D1511" s="8" t="n"/>
      <c r="E1511" s="8" t="n">
        <v>4.27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>
        <f>IF(COUNT(D1511:S1511)=0,"",MIN(D1511:S1511))</f>
        <v/>
      </c>
      <c r="U1511" s="8">
        <f>IF(COUNT(D1511:S1511)=0,"",MEDIAN(D1511:S1511))</f>
        <v/>
      </c>
      <c r="V1511" s="8">
        <f>IF(COUNT(D1511:S1511)=0,"",MAX(D1511:S1511))</f>
        <v/>
      </c>
      <c r="W1511" s="9">
        <f>IF(OR(T1511="",T1511=0),"",(V1511-T1511)/T1511)</f>
        <v/>
      </c>
      <c r="X1511" s="7">
        <f>IF(COUNT(D1511:S1511)=0,"",INDEX($D$1:$S$1,MATCH(MIN(D1511:S1511),D1511:S1511,0)))</f>
        <v/>
      </c>
      <c r="Y1511" s="8" t="n">
        <v>4.27</v>
      </c>
      <c r="Z1511" s="10" t="n">
        <v>1</v>
      </c>
    </row>
    <row r="1512">
      <c r="A1512" s="7" t="inlineStr">
        <is>
          <t>MAT-32-158</t>
        </is>
      </c>
      <c r="B1512" s="4" t="inlineStr">
        <is>
          <t>Codo de 45° de PPR 20 mm</t>
        </is>
      </c>
      <c r="C1512" s="7" t="inlineStr">
        <is>
          <t>unidad</t>
        </is>
      </c>
      <c r="D1512" s="8" t="n"/>
      <c r="E1512" s="8" t="n">
        <v>5.85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>
        <f>IF(COUNT(D1512:S1512)=0,"",MIN(D1512:S1512))</f>
        <v/>
      </c>
      <c r="U1512" s="8">
        <f>IF(COUNT(D1512:S1512)=0,"",MEDIAN(D1512:S1512))</f>
        <v/>
      </c>
      <c r="V1512" s="8">
        <f>IF(COUNT(D1512:S1512)=0,"",MAX(D1512:S1512))</f>
        <v/>
      </c>
      <c r="W1512" s="9">
        <f>IF(OR(T1512="",T1512=0),"",(V1512-T1512)/T1512)</f>
        <v/>
      </c>
      <c r="X1512" s="7">
        <f>IF(COUNT(D1512:S1512)=0,"",INDEX($D$1:$S$1,MATCH(MIN(D1512:S1512),D1512:S1512,0)))</f>
        <v/>
      </c>
      <c r="Y1512" s="8" t="n">
        <v>5.85</v>
      </c>
      <c r="Z1512" s="10" t="n">
        <v>1</v>
      </c>
    </row>
    <row r="1513">
      <c r="A1513" s="7" t="inlineStr">
        <is>
          <t>MAT-32-159</t>
        </is>
      </c>
      <c r="B1513" s="4" t="inlineStr">
        <is>
          <t>Codo de 45° de PPR 25 mm</t>
        </is>
      </c>
      <c r="C1513" s="7" t="inlineStr">
        <is>
          <t>unidad</t>
        </is>
      </c>
      <c r="D1513" s="8" t="n"/>
      <c r="E1513" s="8" t="n">
        <v>8.08</v>
      </c>
      <c r="F1513" s="8" t="n"/>
      <c r="G1513" s="8" t="n">
        <v>37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>
        <f>IF(COUNT(D1513:S1513)=0,"",MIN(D1513:S1513))</f>
        <v/>
      </c>
      <c r="U1513" s="8">
        <f>IF(COUNT(D1513:S1513)=0,"",MEDIAN(D1513:S1513))</f>
        <v/>
      </c>
      <c r="V1513" s="8">
        <f>IF(COUNT(D1513:S1513)=0,"",MAX(D1513:S1513))</f>
        <v/>
      </c>
      <c r="W1513" s="9">
        <f>IF(OR(T1513="",T1513=0),"",(V1513-T1513)/T1513)</f>
        <v/>
      </c>
      <c r="X1513" s="7">
        <f>IF(COUNT(D1513:S1513)=0,"",INDEX($D$1:$S$1,MATCH(MIN(D1513:S1513),D1513:S1513,0)))</f>
        <v/>
      </c>
      <c r="Y1513" s="8" t="n">
        <v>22.54</v>
      </c>
      <c r="Z1513" s="10" t="n">
        <v>2</v>
      </c>
    </row>
    <row r="1514">
      <c r="A1514" s="7" t="inlineStr">
        <is>
          <t>MAT-32-160</t>
        </is>
      </c>
      <c r="B1514" s="4" t="inlineStr">
        <is>
          <t>Codo de 45° de PPR 32 mm</t>
        </is>
      </c>
      <c r="C1514" s="7" t="inlineStr">
        <is>
          <t>unidad</t>
        </is>
      </c>
      <c r="D1514" s="8" t="n"/>
      <c r="E1514" s="8" t="n">
        <v>14.42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>
        <f>IF(COUNT(D1514:S1514)=0,"",MIN(D1514:S1514))</f>
        <v/>
      </c>
      <c r="U1514" s="8">
        <f>IF(COUNT(D1514:S1514)=0,"",MEDIAN(D1514:S1514))</f>
        <v/>
      </c>
      <c r="V1514" s="8">
        <f>IF(COUNT(D1514:S1514)=0,"",MAX(D1514:S1514))</f>
        <v/>
      </c>
      <c r="W1514" s="9">
        <f>IF(OR(T1514="",T1514=0),"",(V1514-T1514)/T1514)</f>
        <v/>
      </c>
      <c r="X1514" s="7">
        <f>IF(COUNT(D1514:S1514)=0,"",INDEX($D$1:$S$1,MATCH(MIN(D1514:S1514),D1514:S1514,0)))</f>
        <v/>
      </c>
      <c r="Y1514" s="8" t="n">
        <v>14.42</v>
      </c>
      <c r="Z1514" s="10" t="n">
        <v>1</v>
      </c>
    </row>
    <row r="1515">
      <c r="A1515" s="7" t="inlineStr">
        <is>
          <t>MAT-32-161</t>
        </is>
      </c>
      <c r="B1515" s="4" t="inlineStr">
        <is>
          <t>Codo de 45° de PPR 50 mm</t>
        </is>
      </c>
      <c r="C1515" s="7" t="inlineStr">
        <is>
          <t>unidad</t>
        </is>
      </c>
      <c r="D1515" s="8" t="n"/>
      <c r="E1515" s="8" t="n">
        <v>46.63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>
        <f>IF(COUNT(D1515:S1515)=0,"",MIN(D1515:S1515))</f>
        <v/>
      </c>
      <c r="U1515" s="8">
        <f>IF(COUNT(D1515:S1515)=0,"",MEDIAN(D1515:S1515))</f>
        <v/>
      </c>
      <c r="V1515" s="8">
        <f>IF(COUNT(D1515:S1515)=0,"",MAX(D1515:S1515))</f>
        <v/>
      </c>
      <c r="W1515" s="9">
        <f>IF(OR(T1515="",T1515=0),"",(V1515-T1515)/T1515)</f>
        <v/>
      </c>
      <c r="X1515" s="7">
        <f>IF(COUNT(D1515:S1515)=0,"",INDEX($D$1:$S$1,MATCH(MIN(D1515:S1515),D1515:S1515,0)))</f>
        <v/>
      </c>
      <c r="Y1515" s="8" t="n">
        <v>46.63</v>
      </c>
      <c r="Z1515" s="10" t="n">
        <v>1</v>
      </c>
    </row>
    <row r="1516">
      <c r="A1516" s="7" t="inlineStr">
        <is>
          <t>MAT-32-162</t>
        </is>
      </c>
      <c r="B1516" s="4" t="inlineStr">
        <is>
          <t>Codo de 45° de PVC drenaje 1 1/2"</t>
        </is>
      </c>
      <c r="C1516" s="7" t="inlineStr">
        <is>
          <t>unidad</t>
        </is>
      </c>
      <c r="D1516" s="8" t="n"/>
      <c r="E1516" s="8" t="n">
        <v>11</v>
      </c>
      <c r="F1516" s="8" t="n"/>
      <c r="G1516" s="8" t="n">
        <v>45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>
        <f>IF(COUNT(D1516:S1516)=0,"",MIN(D1516:S1516))</f>
        <v/>
      </c>
      <c r="U1516" s="8">
        <f>IF(COUNT(D1516:S1516)=0,"",MEDIAN(D1516:S1516))</f>
        <v/>
      </c>
      <c r="V1516" s="8">
        <f>IF(COUNT(D1516:S1516)=0,"",MAX(D1516:S1516))</f>
        <v/>
      </c>
      <c r="W1516" s="9">
        <f>IF(OR(T1516="",T1516=0),"",(V1516-T1516)/T1516)</f>
        <v/>
      </c>
      <c r="X1516" s="7">
        <f>IF(COUNT(D1516:S1516)=0,"",INDEX($D$1:$S$1,MATCH(MIN(D1516:S1516),D1516:S1516,0)))</f>
        <v/>
      </c>
      <c r="Y1516" s="8" t="n">
        <v>14.84</v>
      </c>
      <c r="Z1516" s="10" t="n">
        <v>2</v>
      </c>
    </row>
    <row r="1517">
      <c r="A1517" s="7" t="inlineStr">
        <is>
          <t>MAT-32-163</t>
        </is>
      </c>
      <c r="B1517" s="4" t="inlineStr">
        <is>
          <t>Codo de 45° de PVC drenaje 2"</t>
        </is>
      </c>
      <c r="C1517" s="7" t="inlineStr">
        <is>
          <t>unidad</t>
        </is>
      </c>
      <c r="D1517" s="8" t="n"/>
      <c r="E1517" s="8" t="n">
        <v>15.6</v>
      </c>
      <c r="F1517" s="8" t="n"/>
      <c r="G1517" s="8" t="n">
        <v>55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>
        <f>IF(COUNT(D1517:S1517)=0,"",MIN(D1517:S1517))</f>
        <v/>
      </c>
      <c r="U1517" s="8">
        <f>IF(COUNT(D1517:S1517)=0,"",MEDIAN(D1517:S1517))</f>
        <v/>
      </c>
      <c r="V1517" s="8">
        <f>IF(COUNT(D1517:S1517)=0,"",MAX(D1517:S1517))</f>
        <v/>
      </c>
      <c r="W1517" s="9">
        <f>IF(OR(T1517="",T1517=0),"",(V1517-T1517)/T1517)</f>
        <v/>
      </c>
      <c r="X1517" s="7">
        <f>IF(COUNT(D1517:S1517)=0,"",INDEX($D$1:$S$1,MATCH(MIN(D1517:S1517),D1517:S1517,0)))</f>
        <v/>
      </c>
      <c r="Y1517" s="8" t="n">
        <v>20.33</v>
      </c>
      <c r="Z1517" s="10" t="n">
        <v>2</v>
      </c>
    </row>
    <row r="1518">
      <c r="A1518" s="7" t="inlineStr">
        <is>
          <t>MAT-32-164</t>
        </is>
      </c>
      <c r="B1518" s="4" t="inlineStr">
        <is>
          <t>Codo de 45° de PVC drenaje 3"</t>
        </is>
      </c>
      <c r="C1518" s="7" t="inlineStr">
        <is>
          <t>unidad</t>
        </is>
      </c>
      <c r="D1518" s="8" t="n"/>
      <c r="E1518" s="8" t="n">
        <v>41</v>
      </c>
      <c r="F1518" s="8" t="n"/>
      <c r="G1518" s="8" t="n">
        <v>85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>
        <f>IF(COUNT(D1518:S1518)=0,"",MIN(D1518:S1518))</f>
        <v/>
      </c>
      <c r="U1518" s="8">
        <f>IF(COUNT(D1518:S1518)=0,"",MEDIAN(D1518:S1518))</f>
        <v/>
      </c>
      <c r="V1518" s="8">
        <f>IF(COUNT(D1518:S1518)=0,"",MAX(D1518:S1518))</f>
        <v/>
      </c>
      <c r="W1518" s="9">
        <f>IF(OR(T1518="",T1518=0),"",(V1518-T1518)/T1518)</f>
        <v/>
      </c>
      <c r="X1518" s="7">
        <f>IF(COUNT(D1518:S1518)=0,"",INDEX($D$1:$S$1,MATCH(MIN(D1518:S1518),D1518:S1518,0)))</f>
        <v/>
      </c>
      <c r="Y1518" s="8" t="n">
        <v>55.48</v>
      </c>
      <c r="Z1518" s="10" t="n">
        <v>2</v>
      </c>
    </row>
    <row r="1519">
      <c r="A1519" s="7" t="inlineStr">
        <is>
          <t>MAT-32-165</t>
        </is>
      </c>
      <c r="B1519" s="4" t="inlineStr">
        <is>
          <t>Codo de 45° de PVC drenaje 4"</t>
        </is>
      </c>
      <c r="C1519" s="7" t="inlineStr">
        <is>
          <t>unidad</t>
        </is>
      </c>
      <c r="D1519" s="8" t="n"/>
      <c r="E1519" s="8" t="n">
        <v>66</v>
      </c>
      <c r="F1519" s="8" t="n"/>
      <c r="G1519" s="8" t="n">
        <v>135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>
        <f>IF(COUNT(D1519:S1519)=0,"",MIN(D1519:S1519))</f>
        <v/>
      </c>
      <c r="U1519" s="8">
        <f>IF(COUNT(D1519:S1519)=0,"",MEDIAN(D1519:S1519))</f>
        <v/>
      </c>
      <c r="V1519" s="8">
        <f>IF(COUNT(D1519:S1519)=0,"",MAX(D1519:S1519))</f>
        <v/>
      </c>
      <c r="W1519" s="9">
        <f>IF(OR(T1519="",T1519=0),"",(V1519-T1519)/T1519)</f>
        <v/>
      </c>
      <c r="X1519" s="7">
        <f>IF(COUNT(D1519:S1519)=0,"",INDEX($D$1:$S$1,MATCH(MIN(D1519:S1519),D1519:S1519,0)))</f>
        <v/>
      </c>
      <c r="Y1519" s="8" t="n">
        <v>90.86</v>
      </c>
      <c r="Z1519" s="10" t="n">
        <v>2</v>
      </c>
    </row>
    <row r="1520">
      <c r="A1520" s="7" t="inlineStr">
        <is>
          <t>MAT-32-166</t>
        </is>
      </c>
      <c r="B1520" s="4" t="inlineStr">
        <is>
          <t>Codo de 45° de PVC drenaje 6"</t>
        </is>
      </c>
      <c r="C1520" s="7" t="inlineStr">
        <is>
          <t>unidad</t>
        </is>
      </c>
      <c r="D1520" s="8" t="n"/>
      <c r="E1520" s="8" t="n">
        <v>445</v>
      </c>
      <c r="F1520" s="8" t="n"/>
      <c r="G1520" s="8" t="n">
        <v>612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>
        <f>IF(COUNT(D1520:S1520)=0,"",MIN(D1520:S1520))</f>
        <v/>
      </c>
      <c r="U1520" s="8">
        <f>IF(COUNT(D1520:S1520)=0,"",MEDIAN(D1520:S1520))</f>
        <v/>
      </c>
      <c r="V1520" s="8">
        <f>IF(COUNT(D1520:S1520)=0,"",MAX(D1520:S1520))</f>
        <v/>
      </c>
      <c r="W1520" s="9">
        <f>IF(OR(T1520="",T1520=0),"",(V1520-T1520)/T1520)</f>
        <v/>
      </c>
      <c r="X1520" s="7">
        <f>IF(COUNT(D1520:S1520)=0,"",INDEX($D$1:$S$1,MATCH(MIN(D1520:S1520),D1520:S1520,0)))</f>
        <v/>
      </c>
      <c r="Y1520" s="8" t="n">
        <v>528.5</v>
      </c>
      <c r="Z1520" s="10" t="n">
        <v>2</v>
      </c>
    </row>
    <row r="1521">
      <c r="A1521" s="7" t="inlineStr">
        <is>
          <t>MAT-32-167</t>
        </is>
      </c>
      <c r="B1521" s="4" t="inlineStr">
        <is>
          <t>Codo de 45° de PVC 1 1/2"</t>
        </is>
      </c>
      <c r="C1521" s="7" t="inlineStr">
        <is>
          <t>unidad</t>
        </is>
      </c>
      <c r="D1521" s="8" t="n"/>
      <c r="E1521" s="8" t="n">
        <v>101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>
        <f>IF(COUNT(D1521:S1521)=0,"",MIN(D1521:S1521))</f>
        <v/>
      </c>
      <c r="U1521" s="8">
        <f>IF(COUNT(D1521:S1521)=0,"",MEDIAN(D1521:S1521))</f>
        <v/>
      </c>
      <c r="V1521" s="8">
        <f>IF(COUNT(D1521:S1521)=0,"",MAX(D1521:S1521))</f>
        <v/>
      </c>
      <c r="W1521" s="9">
        <f>IF(OR(T1521="",T1521=0),"",(V1521-T1521)/T1521)</f>
        <v/>
      </c>
      <c r="X1521" s="7">
        <f>IF(COUNT(D1521:S1521)=0,"",INDEX($D$1:$S$1,MATCH(MIN(D1521:S1521),D1521:S1521,0)))</f>
        <v/>
      </c>
      <c r="Y1521" s="8" t="n">
        <v>101</v>
      </c>
      <c r="Z1521" s="10" t="n">
        <v>1</v>
      </c>
    </row>
    <row r="1522">
      <c r="A1522" s="7" t="inlineStr">
        <is>
          <t>MAT-32-168</t>
        </is>
      </c>
      <c r="B1522" s="4" t="inlineStr">
        <is>
          <t>Codo de 45° de PVC 1/2"</t>
        </is>
      </c>
      <c r="C1522" s="7" t="inlineStr">
        <is>
          <t>unidad</t>
        </is>
      </c>
      <c r="D1522" s="8" t="n"/>
      <c r="E1522" s="8" t="n">
        <v>12.69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>
        <f>IF(COUNT(D1522:S1522)=0,"",MIN(D1522:S1522))</f>
        <v/>
      </c>
      <c r="U1522" s="8">
        <f>IF(COUNT(D1522:S1522)=0,"",MEDIAN(D1522:S1522))</f>
        <v/>
      </c>
      <c r="V1522" s="8">
        <f>IF(COUNT(D1522:S1522)=0,"",MAX(D1522:S1522))</f>
        <v/>
      </c>
      <c r="W1522" s="9">
        <f>IF(OR(T1522="",T1522=0),"",(V1522-T1522)/T1522)</f>
        <v/>
      </c>
      <c r="X1522" s="7">
        <f>IF(COUNT(D1522:S1522)=0,"",INDEX($D$1:$S$1,MATCH(MIN(D1522:S1522),D1522:S1522,0)))</f>
        <v/>
      </c>
      <c r="Y1522" s="8" t="n">
        <v>12.69</v>
      </c>
      <c r="Z1522" s="10" t="n">
        <v>1</v>
      </c>
    </row>
    <row r="1523">
      <c r="A1523" s="7" t="inlineStr">
        <is>
          <t>MAT-32-169</t>
        </is>
      </c>
      <c r="B1523" s="4" t="inlineStr">
        <is>
          <t>Codo de 45° de PVC 1"</t>
        </is>
      </c>
      <c r="C1523" s="7" t="inlineStr">
        <is>
          <t>unidad</t>
        </is>
      </c>
      <c r="D1523" s="8" t="n"/>
      <c r="E1523" s="8" t="n">
        <v>33.87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>
        <f>IF(COUNT(D1523:S1523)=0,"",MIN(D1523:S1523))</f>
        <v/>
      </c>
      <c r="U1523" s="8">
        <f>IF(COUNT(D1523:S1523)=0,"",MEDIAN(D1523:S1523))</f>
        <v/>
      </c>
      <c r="V1523" s="8">
        <f>IF(COUNT(D1523:S1523)=0,"",MAX(D1523:S1523))</f>
        <v/>
      </c>
      <c r="W1523" s="9">
        <f>IF(OR(T1523="",T1523=0),"",(V1523-T1523)/T1523)</f>
        <v/>
      </c>
      <c r="X1523" s="7">
        <f>IF(COUNT(D1523:S1523)=0,"",INDEX($D$1:$S$1,MATCH(MIN(D1523:S1523),D1523:S1523,0)))</f>
        <v/>
      </c>
      <c r="Y1523" s="8" t="n">
        <v>33.87</v>
      </c>
      <c r="Z1523" s="10" t="n">
        <v>1</v>
      </c>
    </row>
    <row r="1524">
      <c r="A1524" s="7" t="inlineStr">
        <is>
          <t>MAT-32-170</t>
        </is>
      </c>
      <c r="B1524" s="4" t="inlineStr">
        <is>
          <t>Codo de 45° de PVC 2"</t>
        </is>
      </c>
      <c r="C1524" s="7" t="inlineStr">
        <is>
          <t>unidad</t>
        </is>
      </c>
      <c r="D1524" s="8" t="n"/>
      <c r="E1524" s="8" t="n">
        <v>85.05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>
        <f>IF(COUNT(D1524:S1524)=0,"",MIN(D1524:S1524))</f>
        <v/>
      </c>
      <c r="U1524" s="8">
        <f>IF(COUNT(D1524:S1524)=0,"",MEDIAN(D1524:S1524))</f>
        <v/>
      </c>
      <c r="V1524" s="8">
        <f>IF(COUNT(D1524:S1524)=0,"",MAX(D1524:S1524))</f>
        <v/>
      </c>
      <c r="W1524" s="9">
        <f>IF(OR(T1524="",T1524=0),"",(V1524-T1524)/T1524)</f>
        <v/>
      </c>
      <c r="X1524" s="7">
        <f>IF(COUNT(D1524:S1524)=0,"",INDEX($D$1:$S$1,MATCH(MIN(D1524:S1524),D1524:S1524,0)))</f>
        <v/>
      </c>
      <c r="Y1524" s="8" t="n">
        <v>85.05</v>
      </c>
      <c r="Z1524" s="10" t="n">
        <v>1</v>
      </c>
    </row>
    <row r="1525">
      <c r="A1525" s="7" t="inlineStr">
        <is>
          <t>MAT-32-171</t>
        </is>
      </c>
      <c r="B1525" s="4" t="inlineStr">
        <is>
          <t>Codo de 45° de PVC 3/4"</t>
        </is>
      </c>
      <c r="C1525" s="7" t="inlineStr">
        <is>
          <t>unidad</t>
        </is>
      </c>
      <c r="D1525" s="8" t="n"/>
      <c r="E1525" s="8" t="n">
        <v>20.29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>
        <f>IF(COUNT(D1525:S1525)=0,"",MIN(D1525:S1525))</f>
        <v/>
      </c>
      <c r="U1525" s="8">
        <f>IF(COUNT(D1525:S1525)=0,"",MEDIAN(D1525:S1525))</f>
        <v/>
      </c>
      <c r="V1525" s="8">
        <f>IF(COUNT(D1525:S1525)=0,"",MAX(D1525:S1525))</f>
        <v/>
      </c>
      <c r="W1525" s="9">
        <f>IF(OR(T1525="",T1525=0),"",(V1525-T1525)/T1525)</f>
        <v/>
      </c>
      <c r="X1525" s="7">
        <f>IF(COUNT(D1525:S1525)=0,"",INDEX($D$1:$S$1,MATCH(MIN(D1525:S1525),D1525:S1525,0)))</f>
        <v/>
      </c>
      <c r="Y1525" s="8" t="n">
        <v>20.29</v>
      </c>
      <c r="Z1525" s="10" t="n">
        <v>1</v>
      </c>
    </row>
    <row r="1526">
      <c r="A1526" s="7" t="inlineStr">
        <is>
          <t>MAT-32-172</t>
        </is>
      </c>
      <c r="B1526" s="4" t="inlineStr">
        <is>
          <t>Codo de 45° de PVC presión 1 1/2"</t>
        </is>
      </c>
      <c r="C1526" s="7" t="inlineStr">
        <is>
          <t>unidad</t>
        </is>
      </c>
      <c r="D1526" s="8" t="n"/>
      <c r="E1526" s="8" t="n">
        <v>29.55</v>
      </c>
      <c r="F1526" s="8" t="n"/>
      <c r="G1526" s="8" t="n">
        <v>65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>
        <f>IF(COUNT(D1526:S1526)=0,"",MIN(D1526:S1526))</f>
        <v/>
      </c>
      <c r="U1526" s="8">
        <f>IF(COUNT(D1526:S1526)=0,"",MEDIAN(D1526:S1526))</f>
        <v/>
      </c>
      <c r="V1526" s="8">
        <f>IF(COUNT(D1526:S1526)=0,"",MAX(D1526:S1526))</f>
        <v/>
      </c>
      <c r="W1526" s="9">
        <f>IF(OR(T1526="",T1526=0),"",(V1526-T1526)/T1526)</f>
        <v/>
      </c>
      <c r="X1526" s="7">
        <f>IF(COUNT(D1526:S1526)=0,"",INDEX($D$1:$S$1,MATCH(MIN(D1526:S1526),D1526:S1526,0)))</f>
        <v/>
      </c>
      <c r="Y1526" s="8" t="n">
        <v>47.28</v>
      </c>
      <c r="Z1526" s="10" t="n">
        <v>2</v>
      </c>
    </row>
    <row r="1527">
      <c r="A1527" s="7" t="inlineStr">
        <is>
          <t>MAT-32-173</t>
        </is>
      </c>
      <c r="B1527" s="4" t="inlineStr">
        <is>
          <t>Codo de 45° de PVC presión 1/2"</t>
        </is>
      </c>
      <c r="C1527" s="7" t="inlineStr">
        <is>
          <t>unidad</t>
        </is>
      </c>
      <c r="D1527" s="8" t="n"/>
      <c r="E1527" s="8" t="n">
        <v>4.75</v>
      </c>
      <c r="F1527" s="8" t="n"/>
      <c r="G1527" s="8" t="n">
        <v>35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>
        <f>IF(COUNT(D1527:S1527)=0,"",MIN(D1527:S1527))</f>
        <v/>
      </c>
      <c r="U1527" s="8">
        <f>IF(COUNT(D1527:S1527)=0,"",MEDIAN(D1527:S1527))</f>
        <v/>
      </c>
      <c r="V1527" s="8">
        <f>IF(COUNT(D1527:S1527)=0,"",MAX(D1527:S1527))</f>
        <v/>
      </c>
      <c r="W1527" s="9">
        <f>IF(OR(T1527="",T1527=0),"",(V1527-T1527)/T1527)</f>
        <v/>
      </c>
      <c r="X1527" s="7">
        <f>IF(COUNT(D1527:S1527)=0,"",INDEX($D$1:$S$1,MATCH(MIN(D1527:S1527),D1527:S1527,0)))</f>
        <v/>
      </c>
      <c r="Y1527" s="8" t="n">
        <v>7.08</v>
      </c>
      <c r="Z1527" s="10" t="n">
        <v>2</v>
      </c>
    </row>
    <row r="1528">
      <c r="A1528" s="7" t="inlineStr">
        <is>
          <t>MAT-32-174</t>
        </is>
      </c>
      <c r="B1528" s="4" t="inlineStr">
        <is>
          <t>Codo de 45° de PVC presión 1"</t>
        </is>
      </c>
      <c r="C1528" s="7" t="inlineStr">
        <is>
          <t>unidad</t>
        </is>
      </c>
      <c r="D1528" s="8" t="n"/>
      <c r="E1528" s="8" t="n">
        <v>14.1</v>
      </c>
      <c r="F1528" s="8" t="n"/>
      <c r="G1528" s="8" t="n">
        <v>90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>
        <f>IF(COUNT(D1528:S1528)=0,"",MIN(D1528:S1528))</f>
        <v/>
      </c>
      <c r="U1528" s="8">
        <f>IF(COUNT(D1528:S1528)=0,"",MEDIAN(D1528:S1528))</f>
        <v/>
      </c>
      <c r="V1528" s="8">
        <f>IF(COUNT(D1528:S1528)=0,"",MAX(D1528:S1528))</f>
        <v/>
      </c>
      <c r="W1528" s="9">
        <f>IF(OR(T1528="",T1528=0),"",(V1528-T1528)/T1528)</f>
        <v/>
      </c>
      <c r="X1528" s="7">
        <f>IF(COUNT(D1528:S1528)=0,"",INDEX($D$1:$S$1,MATCH(MIN(D1528:S1528),D1528:S1528,0)))</f>
        <v/>
      </c>
      <c r="Y1528" s="8" t="n">
        <v>22.03</v>
      </c>
      <c r="Z1528" s="10" t="n">
        <v>2</v>
      </c>
    </row>
    <row r="1529">
      <c r="A1529" s="7" t="inlineStr">
        <is>
          <t>MAT-32-175</t>
        </is>
      </c>
      <c r="B1529" s="4" t="inlineStr">
        <is>
          <t>Codo de 45° de PVC presión 2"</t>
        </is>
      </c>
      <c r="C1529" s="7" t="inlineStr">
        <is>
          <t>unidad</t>
        </is>
      </c>
      <c r="D1529" s="8" t="n"/>
      <c r="E1529" s="8" t="n">
        <v>33.12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>
        <f>IF(COUNT(D1529:S1529)=0,"",MIN(D1529:S1529))</f>
        <v/>
      </c>
      <c r="U1529" s="8">
        <f>IF(COUNT(D1529:S1529)=0,"",MEDIAN(D1529:S1529))</f>
        <v/>
      </c>
      <c r="V1529" s="8">
        <f>IF(COUNT(D1529:S1529)=0,"",MAX(D1529:S1529))</f>
        <v/>
      </c>
      <c r="W1529" s="9">
        <f>IF(OR(T1529="",T1529=0),"",(V1529-T1529)/T1529)</f>
        <v/>
      </c>
      <c r="X1529" s="7">
        <f>IF(COUNT(D1529:S1529)=0,"",INDEX($D$1:$S$1,MATCH(MIN(D1529:S1529),D1529:S1529,0)))</f>
        <v/>
      </c>
      <c r="Y1529" s="8" t="n">
        <v>40.63</v>
      </c>
      <c r="Z1529" s="10" t="n">
        <v>1</v>
      </c>
    </row>
    <row r="1530">
      <c r="A1530" s="7" t="inlineStr">
        <is>
          <t>MAT-32-176</t>
        </is>
      </c>
      <c r="B1530" s="4" t="inlineStr">
        <is>
          <t>Codo de 45° de PVC presión 3/4"</t>
        </is>
      </c>
      <c r="C1530" s="7" t="inlineStr">
        <is>
          <t>unidad</t>
        </is>
      </c>
      <c r="D1530" s="8" t="n"/>
      <c r="E1530" s="8" t="n">
        <v>9.050000000000001</v>
      </c>
      <c r="F1530" s="8" t="n"/>
      <c r="G1530" s="8" t="n">
        <v>25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>
        <f>IF(COUNT(D1530:S1530)=0,"",MIN(D1530:S1530))</f>
        <v/>
      </c>
      <c r="U1530" s="8">
        <f>IF(COUNT(D1530:S1530)=0,"",MEDIAN(D1530:S1530))</f>
        <v/>
      </c>
      <c r="V1530" s="8">
        <f>IF(COUNT(D1530:S1530)=0,"",MAX(D1530:S1530))</f>
        <v/>
      </c>
      <c r="W1530" s="9">
        <f>IF(OR(T1530="",T1530=0),"",(V1530-T1530)/T1530)</f>
        <v/>
      </c>
      <c r="X1530" s="7">
        <f>IF(COUNT(D1530:S1530)=0,"",INDEX($D$1:$S$1,MATCH(MIN(D1530:S1530),D1530:S1530,0)))</f>
        <v/>
      </c>
      <c r="Y1530" s="8" t="n">
        <v>12.38</v>
      </c>
      <c r="Z1530" s="10" t="n">
        <v>2</v>
      </c>
    </row>
    <row r="1531">
      <c r="A1531" s="7" t="inlineStr">
        <is>
          <t>MAT-32-177</t>
        </is>
      </c>
      <c r="B1531" s="4" t="inlineStr">
        <is>
          <t>Codo de 45° de PVC presión 3"</t>
        </is>
      </c>
      <c r="C1531" s="7" t="inlineStr">
        <is>
          <t>unidad</t>
        </is>
      </c>
      <c r="D1531" s="8" t="n"/>
      <c r="E1531" s="8" t="n">
        <v>142.32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>
        <f>IF(COUNT(D1531:S1531)=0,"",MIN(D1531:S1531))</f>
        <v/>
      </c>
      <c r="U1531" s="8">
        <f>IF(COUNT(D1531:S1531)=0,"",MEDIAN(D1531:S1531))</f>
        <v/>
      </c>
      <c r="V1531" s="8">
        <f>IF(COUNT(D1531:S1531)=0,"",MAX(D1531:S1531))</f>
        <v/>
      </c>
      <c r="W1531" s="9">
        <f>IF(OR(T1531="",T1531=0),"",(V1531-T1531)/T1531)</f>
        <v/>
      </c>
      <c r="X1531" s="7">
        <f>IF(COUNT(D1531:S1531)=0,"",INDEX($D$1:$S$1,MATCH(MIN(D1531:S1531),D1531:S1531,0)))</f>
        <v/>
      </c>
      <c r="Y1531" s="8" t="n">
        <v>142.32</v>
      </c>
      <c r="Z1531" s="10" t="n">
        <v>1</v>
      </c>
    </row>
    <row r="1532">
      <c r="A1532" s="7" t="inlineStr">
        <is>
          <t>MAT-32-178</t>
        </is>
      </c>
      <c r="B1532" s="4" t="inlineStr">
        <is>
          <t>Codo de 45° de PVC presión 4"</t>
        </is>
      </c>
      <c r="C1532" s="7" t="inlineStr">
        <is>
          <t>unidad</t>
        </is>
      </c>
      <c r="D1532" s="8" t="n"/>
      <c r="E1532" s="8" t="n">
        <v>273.86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>
        <f>IF(COUNT(D1532:S1532)=0,"",MIN(D1532:S1532))</f>
        <v/>
      </c>
      <c r="U1532" s="8">
        <f>IF(COUNT(D1532:S1532)=0,"",MEDIAN(D1532:S1532))</f>
        <v/>
      </c>
      <c r="V1532" s="8">
        <f>IF(COUNT(D1532:S1532)=0,"",MAX(D1532:S1532))</f>
        <v/>
      </c>
      <c r="W1532" s="9">
        <f>IF(OR(T1532="",T1532=0),"",(V1532-T1532)/T1532)</f>
        <v/>
      </c>
      <c r="X1532" s="7">
        <f>IF(COUNT(D1532:S1532)=0,"",INDEX($D$1:$S$1,MATCH(MIN(D1532:S1532),D1532:S1532,0)))</f>
        <v/>
      </c>
      <c r="Y1532" s="8" t="n">
        <v>273.86</v>
      </c>
      <c r="Z1532" s="10" t="n">
        <v>1</v>
      </c>
    </row>
    <row r="1533">
      <c r="A1533" s="7" t="inlineStr">
        <is>
          <t>MAT-32-179</t>
        </is>
      </c>
      <c r="B1533" s="4" t="inlineStr">
        <is>
          <t>Codo de 45° de PVC presión 6"</t>
        </is>
      </c>
      <c r="C1533" s="7" t="inlineStr">
        <is>
          <t>unidad</t>
        </is>
      </c>
      <c r="D1533" s="8" t="n"/>
      <c r="E1533" s="8" t="n">
        <v>576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>
        <f>IF(COUNT(D1533:S1533)=0,"",MIN(D1533:S1533))</f>
        <v/>
      </c>
      <c r="U1533" s="8">
        <f>IF(COUNT(D1533:S1533)=0,"",MEDIAN(D1533:S1533))</f>
        <v/>
      </c>
      <c r="V1533" s="8">
        <f>IF(COUNT(D1533:S1533)=0,"",MAX(D1533:S1533))</f>
        <v/>
      </c>
      <c r="W1533" s="9">
        <f>IF(OR(T1533="",T1533=0),"",(V1533-T1533)/T1533)</f>
        <v/>
      </c>
      <c r="X1533" s="7">
        <f>IF(COUNT(D1533:S1533)=0,"",INDEX($D$1:$S$1,MATCH(MIN(D1533:S1533),D1533:S1533,0)))</f>
        <v/>
      </c>
      <c r="Y1533" s="8" t="n">
        <v>745.5</v>
      </c>
      <c r="Z1533" s="10" t="n">
        <v>1</v>
      </c>
    </row>
    <row r="1534">
      <c r="A1534" s="7" t="inlineStr">
        <is>
          <t>MAT-32-180</t>
        </is>
      </c>
      <c r="B1534" s="4" t="inlineStr">
        <is>
          <t>Codo de 45° de PVC presión 8"</t>
        </is>
      </c>
      <c r="C1534" s="7" t="inlineStr">
        <is>
          <t>unidad</t>
        </is>
      </c>
      <c r="D1534" s="8" t="n"/>
      <c r="E1534" s="8" t="n">
        <v>4409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>
        <f>IF(COUNT(D1534:S1534)=0,"",MIN(D1534:S1534))</f>
        <v/>
      </c>
      <c r="U1534" s="8">
        <f>IF(COUNT(D1534:S1534)=0,"",MEDIAN(D1534:S1534))</f>
        <v/>
      </c>
      <c r="V1534" s="8">
        <f>IF(COUNT(D1534:S1534)=0,"",MAX(D1534:S1534))</f>
        <v/>
      </c>
      <c r="W1534" s="9">
        <f>IF(OR(T1534="",T1534=0),"",(V1534-T1534)/T1534)</f>
        <v/>
      </c>
      <c r="X1534" s="7">
        <f>IF(COUNT(D1534:S1534)=0,"",INDEX($D$1:$S$1,MATCH(MIN(D1534:S1534),D1534:S1534,0)))</f>
        <v/>
      </c>
      <c r="Y1534" s="8" t="n">
        <v>4409</v>
      </c>
      <c r="Z1534" s="10" t="n">
        <v>1</v>
      </c>
    </row>
    <row r="1535">
      <c r="A1535" s="7" t="inlineStr">
        <is>
          <t>MAT-32-181</t>
        </is>
      </c>
      <c r="B1535" s="4" t="inlineStr">
        <is>
          <t>Codo de 90° de cobre 1 1/8"</t>
        </is>
      </c>
      <c r="C1535" s="7" t="inlineStr">
        <is>
          <t>unidad</t>
        </is>
      </c>
      <c r="D1535" s="8" t="n"/>
      <c r="E1535" s="8" t="n">
        <v>380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>
        <f>IF(COUNT(D1535:S1535)=0,"",MIN(D1535:S1535))</f>
        <v/>
      </c>
      <c r="U1535" s="8">
        <f>IF(COUNT(D1535:S1535)=0,"",MEDIAN(D1535:S1535))</f>
        <v/>
      </c>
      <c r="V1535" s="8">
        <f>IF(COUNT(D1535:S1535)=0,"",MAX(D1535:S1535))</f>
        <v/>
      </c>
      <c r="W1535" s="9">
        <f>IF(OR(T1535="",T1535=0),"",(V1535-T1535)/T1535)</f>
        <v/>
      </c>
      <c r="X1535" s="7">
        <f>IF(COUNT(D1535:S1535)=0,"",INDEX($D$1:$S$1,MATCH(MIN(D1535:S1535),D1535:S1535,0)))</f>
        <v/>
      </c>
      <c r="Y1535" s="8" t="n">
        <v>380</v>
      </c>
      <c r="Z1535" s="10" t="n">
        <v>1</v>
      </c>
    </row>
    <row r="1536">
      <c r="A1536" s="7" t="inlineStr">
        <is>
          <t>MAT-32-182</t>
        </is>
      </c>
      <c r="B1536" s="4" t="inlineStr">
        <is>
          <t>Codo de 90° de cobre 1/2"</t>
        </is>
      </c>
      <c r="C1536" s="7" t="inlineStr">
        <is>
          <t>unidad</t>
        </is>
      </c>
      <c r="D1536" s="8" t="n"/>
      <c r="E1536" s="8" t="n">
        <v>49.82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>
        <f>IF(COUNT(D1536:S1536)=0,"",MIN(D1536:S1536))</f>
        <v/>
      </c>
      <c r="U1536" s="8">
        <f>IF(COUNT(D1536:S1536)=0,"",MEDIAN(D1536:S1536))</f>
        <v/>
      </c>
      <c r="V1536" s="8">
        <f>IF(COUNT(D1536:S1536)=0,"",MAX(D1536:S1536))</f>
        <v/>
      </c>
      <c r="W1536" s="9">
        <f>IF(OR(T1536="",T1536=0),"",(V1536-T1536)/T1536)</f>
        <v/>
      </c>
      <c r="X1536" s="7">
        <f>IF(COUNT(D1536:S1536)=0,"",INDEX($D$1:$S$1,MATCH(MIN(D1536:S1536),D1536:S1536,0)))</f>
        <v/>
      </c>
      <c r="Y1536" s="8" t="n">
        <v>49.82</v>
      </c>
      <c r="Z1536" s="10" t="n">
        <v>1</v>
      </c>
    </row>
    <row r="1537">
      <c r="A1537" s="7" t="inlineStr">
        <is>
          <t>MAT-32-183</t>
        </is>
      </c>
      <c r="B1537" s="4" t="inlineStr">
        <is>
          <t>Codo de 90° de cobre 3/4"</t>
        </is>
      </c>
      <c r="C1537" s="7" t="inlineStr">
        <is>
          <t>unidad</t>
        </is>
      </c>
      <c r="D1537" s="8" t="n"/>
      <c r="E1537" s="8" t="n">
        <v>107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>
        <f>IF(COUNT(D1537:S1537)=0,"",MIN(D1537:S1537))</f>
        <v/>
      </c>
      <c r="U1537" s="8">
        <f>IF(COUNT(D1537:S1537)=0,"",MEDIAN(D1537:S1537))</f>
        <v/>
      </c>
      <c r="V1537" s="8">
        <f>IF(COUNT(D1537:S1537)=0,"",MAX(D1537:S1537))</f>
        <v/>
      </c>
      <c r="W1537" s="9">
        <f>IF(OR(T1537="",T1537=0),"",(V1537-T1537)/T1537)</f>
        <v/>
      </c>
      <c r="X1537" s="7">
        <f>IF(COUNT(D1537:S1537)=0,"",INDEX($D$1:$S$1,MATCH(MIN(D1537:S1537),D1537:S1537,0)))</f>
        <v/>
      </c>
      <c r="Y1537" s="8" t="n">
        <v>107</v>
      </c>
      <c r="Z1537" s="10" t="n">
        <v>1</v>
      </c>
    </row>
    <row r="1538">
      <c r="A1538" s="7" t="inlineStr">
        <is>
          <t>MAT-32-184</t>
        </is>
      </c>
      <c r="B1538" s="4" t="inlineStr">
        <is>
          <t>Codo de 90° de cobre 3/8"</t>
        </is>
      </c>
      <c r="C1538" s="7" t="inlineStr">
        <is>
          <t>unidad</t>
        </is>
      </c>
      <c r="D1538" s="8" t="n"/>
      <c r="E1538" s="8" t="n">
        <v>46.98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>
        <f>IF(COUNT(D1538:S1538)=0,"",MIN(D1538:S1538))</f>
        <v/>
      </c>
      <c r="U1538" s="8">
        <f>IF(COUNT(D1538:S1538)=0,"",MEDIAN(D1538:S1538))</f>
        <v/>
      </c>
      <c r="V1538" s="8">
        <f>IF(COUNT(D1538:S1538)=0,"",MAX(D1538:S1538))</f>
        <v/>
      </c>
      <c r="W1538" s="9">
        <f>IF(OR(T1538="",T1538=0),"",(V1538-T1538)/T1538)</f>
        <v/>
      </c>
      <c r="X1538" s="7">
        <f>IF(COUNT(D1538:S1538)=0,"",INDEX($D$1:$S$1,MATCH(MIN(D1538:S1538),D1538:S1538,0)))</f>
        <v/>
      </c>
      <c r="Y1538" s="8" t="n">
        <v>46.98</v>
      </c>
      <c r="Z1538" s="10" t="n">
        <v>1</v>
      </c>
    </row>
    <row r="1539">
      <c r="A1539" s="7" t="inlineStr">
        <is>
          <t>MAT-32-185</t>
        </is>
      </c>
      <c r="B1539" s="4" t="inlineStr">
        <is>
          <t>Codo de 90° de cobre 5/8"</t>
        </is>
      </c>
      <c r="C1539" s="7" t="inlineStr">
        <is>
          <t>unidad</t>
        </is>
      </c>
      <c r="D1539" s="8" t="n"/>
      <c r="E1539" s="8" t="n">
        <v>80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>
        <f>IF(COUNT(D1539:S1539)=0,"",MIN(D1539:S1539))</f>
        <v/>
      </c>
      <c r="U1539" s="8">
        <f>IF(COUNT(D1539:S1539)=0,"",MEDIAN(D1539:S1539))</f>
        <v/>
      </c>
      <c r="V1539" s="8">
        <f>IF(COUNT(D1539:S1539)=0,"",MAX(D1539:S1539))</f>
        <v/>
      </c>
      <c r="W1539" s="9">
        <f>IF(OR(T1539="",T1539=0),"",(V1539-T1539)/T1539)</f>
        <v/>
      </c>
      <c r="X1539" s="7">
        <f>IF(COUNT(D1539:S1539)=0,"",INDEX($D$1:$S$1,MATCH(MIN(D1539:S1539),D1539:S1539,0)))</f>
        <v/>
      </c>
      <c r="Y1539" s="8" t="n">
        <v>80</v>
      </c>
      <c r="Z1539" s="10" t="n">
        <v>1</v>
      </c>
    </row>
    <row r="1540">
      <c r="A1540" s="7" t="inlineStr">
        <is>
          <t>MAT-32-186</t>
        </is>
      </c>
      <c r="B1540" s="4" t="inlineStr">
        <is>
          <t>Codo de 90° de cobre 7/8"</t>
        </is>
      </c>
      <c r="C1540" s="7" t="inlineStr">
        <is>
          <t>unidad</t>
        </is>
      </c>
      <c r="D1540" s="8" t="n"/>
      <c r="E1540" s="8" t="n">
        <v>159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>
        <f>IF(COUNT(D1540:S1540)=0,"",MIN(D1540:S1540))</f>
        <v/>
      </c>
      <c r="U1540" s="8">
        <f>IF(COUNT(D1540:S1540)=0,"",MEDIAN(D1540:S1540))</f>
        <v/>
      </c>
      <c r="V1540" s="8">
        <f>IF(COUNT(D1540:S1540)=0,"",MAX(D1540:S1540))</f>
        <v/>
      </c>
      <c r="W1540" s="9">
        <f>IF(OR(T1540="",T1540=0),"",(V1540-T1540)/T1540)</f>
        <v/>
      </c>
      <c r="X1540" s="7">
        <f>IF(COUNT(D1540:S1540)=0,"",INDEX($D$1:$S$1,MATCH(MIN(D1540:S1540),D1540:S1540,0)))</f>
        <v/>
      </c>
      <c r="Y1540" s="8" t="n">
        <v>159</v>
      </c>
      <c r="Z1540" s="10" t="n">
        <v>1</v>
      </c>
    </row>
    <row r="1541">
      <c r="A1541" s="7" t="inlineStr">
        <is>
          <t>MAT-32-187</t>
        </is>
      </c>
      <c r="B1541" s="4" t="inlineStr">
        <is>
          <t>Codo de 90° de CPVC 1/2"</t>
        </is>
      </c>
      <c r="C1541" s="7" t="inlineStr">
        <is>
          <t>unidad</t>
        </is>
      </c>
      <c r="D1541" s="8" t="n"/>
      <c r="E1541" s="8" t="n">
        <v>10.61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>
        <f>IF(COUNT(D1541:S1541)=0,"",MIN(D1541:S1541))</f>
        <v/>
      </c>
      <c r="U1541" s="8">
        <f>IF(COUNT(D1541:S1541)=0,"",MEDIAN(D1541:S1541))</f>
        <v/>
      </c>
      <c r="V1541" s="8">
        <f>IF(COUNT(D1541:S1541)=0,"",MAX(D1541:S1541))</f>
        <v/>
      </c>
      <c r="W1541" s="9">
        <f>IF(OR(T1541="",T1541=0),"",(V1541-T1541)/T1541)</f>
        <v/>
      </c>
      <c r="X1541" s="7">
        <f>IF(COUNT(D1541:S1541)=0,"",INDEX($D$1:$S$1,MATCH(MIN(D1541:S1541),D1541:S1541,0)))</f>
        <v/>
      </c>
      <c r="Y1541" s="8" t="n">
        <v>10.61</v>
      </c>
      <c r="Z1541" s="10" t="n">
        <v>1</v>
      </c>
    </row>
    <row r="1542">
      <c r="A1542" s="7" t="inlineStr">
        <is>
          <t>MAT-32-188</t>
        </is>
      </c>
      <c r="B1542" s="4" t="inlineStr">
        <is>
          <t>Codo de 90° de CPVC 1"</t>
        </is>
      </c>
      <c r="C1542" s="7" t="inlineStr">
        <is>
          <t>unidad</t>
        </is>
      </c>
      <c r="D1542" s="8" t="n"/>
      <c r="E1542" s="8" t="n">
        <v>45.15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>
        <f>IF(COUNT(D1542:S1542)=0,"",MIN(D1542:S1542))</f>
        <v/>
      </c>
      <c r="U1542" s="8">
        <f>IF(COUNT(D1542:S1542)=0,"",MEDIAN(D1542:S1542))</f>
        <v/>
      </c>
      <c r="V1542" s="8">
        <f>IF(COUNT(D1542:S1542)=0,"",MAX(D1542:S1542))</f>
        <v/>
      </c>
      <c r="W1542" s="9">
        <f>IF(OR(T1542="",T1542=0),"",(V1542-T1542)/T1542)</f>
        <v/>
      </c>
      <c r="X1542" s="7">
        <f>IF(COUNT(D1542:S1542)=0,"",INDEX($D$1:$S$1,MATCH(MIN(D1542:S1542),D1542:S1542,0)))</f>
        <v/>
      </c>
      <c r="Y1542" s="8" t="n">
        <v>45.15</v>
      </c>
      <c r="Z1542" s="10" t="n">
        <v>1</v>
      </c>
    </row>
    <row r="1543">
      <c r="A1543" s="7" t="inlineStr">
        <is>
          <t>MAT-32-189</t>
        </is>
      </c>
      <c r="B1543" s="4" t="inlineStr">
        <is>
          <t>Codo de 90° de CPVC 3/4"</t>
        </is>
      </c>
      <c r="C1543" s="7" t="inlineStr">
        <is>
          <t>unidad</t>
        </is>
      </c>
      <c r="D1543" s="8" t="n"/>
      <c r="E1543" s="8" t="n">
        <v>15.75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>
        <f>IF(COUNT(D1543:S1543)=0,"",MIN(D1543:S1543))</f>
        <v/>
      </c>
      <c r="U1543" s="8">
        <f>IF(COUNT(D1543:S1543)=0,"",MEDIAN(D1543:S1543))</f>
        <v/>
      </c>
      <c r="V1543" s="8">
        <f>IF(COUNT(D1543:S1543)=0,"",MAX(D1543:S1543))</f>
        <v/>
      </c>
      <c r="W1543" s="9">
        <f>IF(OR(T1543="",T1543=0),"",(V1543-T1543)/T1543)</f>
        <v/>
      </c>
      <c r="X1543" s="7">
        <f>IF(COUNT(D1543:S1543)=0,"",INDEX($D$1:$S$1,MATCH(MIN(D1543:S1543),D1543:S1543,0)))</f>
        <v/>
      </c>
      <c r="Y1543" s="8" t="n">
        <v>15.75</v>
      </c>
      <c r="Z1543" s="10" t="n">
        <v>1</v>
      </c>
    </row>
    <row r="1544">
      <c r="A1544" s="7" t="inlineStr">
        <is>
          <t>MAT-32-190</t>
        </is>
      </c>
      <c r="B1544" s="4" t="inlineStr">
        <is>
          <t>Codo de 90° de HG 1 1/2"</t>
        </is>
      </c>
      <c r="C1544" s="7" t="inlineStr">
        <is>
          <t>unidad</t>
        </is>
      </c>
      <c r="D1544" s="8" t="n"/>
      <c r="E1544" s="8" t="n">
        <v>106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>
        <f>IF(COUNT(D1544:S1544)=0,"",MIN(D1544:S1544))</f>
        <v/>
      </c>
      <c r="U1544" s="8">
        <f>IF(COUNT(D1544:S1544)=0,"",MEDIAN(D1544:S1544))</f>
        <v/>
      </c>
      <c r="V1544" s="8">
        <f>IF(COUNT(D1544:S1544)=0,"",MAX(D1544:S1544))</f>
        <v/>
      </c>
      <c r="W1544" s="9">
        <f>IF(OR(T1544="",T1544=0),"",(V1544-T1544)/T1544)</f>
        <v/>
      </c>
      <c r="X1544" s="7">
        <f>IF(COUNT(D1544:S1544)=0,"",INDEX($D$1:$S$1,MATCH(MIN(D1544:S1544),D1544:S1544,0)))</f>
        <v/>
      </c>
      <c r="Y1544" s="8" t="n">
        <v>106</v>
      </c>
      <c r="Z1544" s="10" t="n">
        <v>1</v>
      </c>
    </row>
    <row r="1545">
      <c r="A1545" s="7" t="inlineStr">
        <is>
          <t>MAT-32-191</t>
        </is>
      </c>
      <c r="B1545" s="4" t="inlineStr">
        <is>
          <t>Codo de 90° de HG 1 1/4"</t>
        </is>
      </c>
      <c r="C1545" s="7" t="inlineStr">
        <is>
          <t>unidad</t>
        </is>
      </c>
      <c r="D1545" s="8" t="n"/>
      <c r="E1545" s="8" t="n">
        <v>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>
        <f>IF(COUNT(D1545:S1545)=0,"",MIN(D1545:S1545))</f>
        <v/>
      </c>
      <c r="U1545" s="8">
        <f>IF(COUNT(D1545:S1545)=0,"",MEDIAN(D1545:S1545))</f>
        <v/>
      </c>
      <c r="V1545" s="8">
        <f>IF(COUNT(D1545:S1545)=0,"",MAX(D1545:S1545))</f>
        <v/>
      </c>
      <c r="W1545" s="9">
        <f>IF(OR(T1545="",T1545=0),"",(V1545-T1545)/T1545)</f>
        <v/>
      </c>
      <c r="X1545" s="7">
        <f>IF(COUNT(D1545:S1545)=0,"",INDEX($D$1:$S$1,MATCH(MIN(D1545:S1545),D1545:S1545,0)))</f>
        <v/>
      </c>
      <c r="Y1545" s="8" t="n">
        <v>87</v>
      </c>
      <c r="Z1545" s="10" t="n">
        <v>1</v>
      </c>
    </row>
    <row r="1546">
      <c r="A1546" s="7" t="inlineStr">
        <is>
          <t>MAT-32-192</t>
        </is>
      </c>
      <c r="B1546" s="4" t="inlineStr">
        <is>
          <t>Codo de 90° de HG 1/2"</t>
        </is>
      </c>
      <c r="C1546" s="7" t="inlineStr">
        <is>
          <t>unidad</t>
        </is>
      </c>
      <c r="D1546" s="8" t="n"/>
      <c r="E1546" s="8" t="n">
        <v>24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>
        <f>IF(COUNT(D1546:S1546)=0,"",MIN(D1546:S1546))</f>
        <v/>
      </c>
      <c r="U1546" s="8">
        <f>IF(COUNT(D1546:S1546)=0,"",MEDIAN(D1546:S1546))</f>
        <v/>
      </c>
      <c r="V1546" s="8">
        <f>IF(COUNT(D1546:S1546)=0,"",MAX(D1546:S1546))</f>
        <v/>
      </c>
      <c r="W1546" s="9">
        <f>IF(OR(T1546="",T1546=0),"",(V1546-T1546)/T1546)</f>
        <v/>
      </c>
      <c r="X1546" s="7">
        <f>IF(COUNT(D1546:S1546)=0,"",INDEX($D$1:$S$1,MATCH(MIN(D1546:S1546),D1546:S1546,0)))</f>
        <v/>
      </c>
      <c r="Y1546" s="8" t="n">
        <v>24</v>
      </c>
      <c r="Z1546" s="10" t="n">
        <v>1</v>
      </c>
    </row>
    <row r="1547">
      <c r="A1547" s="7" t="inlineStr">
        <is>
          <t>MAT-32-193</t>
        </is>
      </c>
      <c r="B1547" s="4" t="inlineStr">
        <is>
          <t>Codo de 90° de HG 1/4"</t>
        </is>
      </c>
      <c r="C1547" s="7" t="inlineStr">
        <is>
          <t>unidad</t>
        </is>
      </c>
      <c r="D1547" s="8" t="n"/>
      <c r="E1547" s="8" t="n">
        <v>38.35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>
        <f>IF(COUNT(D1547:S1547)=0,"",MIN(D1547:S1547))</f>
        <v/>
      </c>
      <c r="U1547" s="8">
        <f>IF(COUNT(D1547:S1547)=0,"",MEDIAN(D1547:S1547))</f>
        <v/>
      </c>
      <c r="V1547" s="8">
        <f>IF(COUNT(D1547:S1547)=0,"",MAX(D1547:S1547))</f>
        <v/>
      </c>
      <c r="W1547" s="9">
        <f>IF(OR(T1547="",T1547=0),"",(V1547-T1547)/T1547)</f>
        <v/>
      </c>
      <c r="X1547" s="7">
        <f>IF(COUNT(D1547:S1547)=0,"",INDEX($D$1:$S$1,MATCH(MIN(D1547:S1547),D1547:S1547,0)))</f>
        <v/>
      </c>
      <c r="Y1547" s="8" t="n">
        <v>38.35</v>
      </c>
      <c r="Z1547" s="10" t="n">
        <v>1</v>
      </c>
    </row>
    <row r="1548">
      <c r="A1548" s="7" t="inlineStr">
        <is>
          <t>MAT-32-194</t>
        </is>
      </c>
      <c r="B1548" s="4" t="inlineStr">
        <is>
          <t>Codo de 90° de HG 1"</t>
        </is>
      </c>
      <c r="C1548" s="7" t="inlineStr">
        <is>
          <t>unidad</t>
        </is>
      </c>
      <c r="D1548" s="8" t="n"/>
      <c r="E1548" s="8" t="n">
        <v>51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>
        <f>IF(COUNT(D1548:S1548)=0,"",MIN(D1548:S1548))</f>
        <v/>
      </c>
      <c r="U1548" s="8">
        <f>IF(COUNT(D1548:S1548)=0,"",MEDIAN(D1548:S1548))</f>
        <v/>
      </c>
      <c r="V1548" s="8">
        <f>IF(COUNT(D1548:S1548)=0,"",MAX(D1548:S1548))</f>
        <v/>
      </c>
      <c r="W1548" s="9">
        <f>IF(OR(T1548="",T1548=0),"",(V1548-T1548)/T1548)</f>
        <v/>
      </c>
      <c r="X1548" s="7">
        <f>IF(COUNT(D1548:S1548)=0,"",INDEX($D$1:$S$1,MATCH(MIN(D1548:S1548),D1548:S1548,0)))</f>
        <v/>
      </c>
      <c r="Y1548" s="8" t="n">
        <v>51</v>
      </c>
      <c r="Z1548" s="10" t="n">
        <v>1</v>
      </c>
    </row>
    <row r="1549">
      <c r="A1549" s="7" t="inlineStr">
        <is>
          <t>MAT-32-195</t>
        </is>
      </c>
      <c r="B1549" s="4" t="inlineStr">
        <is>
          <t>Codo de 90° de HG 2"</t>
        </is>
      </c>
      <c r="C1549" s="7" t="inlineStr">
        <is>
          <t>unidad</t>
        </is>
      </c>
      <c r="D1549" s="8" t="n"/>
      <c r="E1549" s="8" t="n">
        <v>170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>
        <f>IF(COUNT(D1549:S1549)=0,"",MIN(D1549:S1549))</f>
        <v/>
      </c>
      <c r="U1549" s="8">
        <f>IF(COUNT(D1549:S1549)=0,"",MEDIAN(D1549:S1549))</f>
        <v/>
      </c>
      <c r="V1549" s="8">
        <f>IF(COUNT(D1549:S1549)=0,"",MAX(D1549:S1549))</f>
        <v/>
      </c>
      <c r="W1549" s="9">
        <f>IF(OR(T1549="",T1549=0),"",(V1549-T1549)/T1549)</f>
        <v/>
      </c>
      <c r="X1549" s="7">
        <f>IF(COUNT(D1549:S1549)=0,"",INDEX($D$1:$S$1,MATCH(MIN(D1549:S1549),D1549:S1549,0)))</f>
        <v/>
      </c>
      <c r="Y1549" s="8" t="n">
        <v>170</v>
      </c>
      <c r="Z1549" s="10" t="n">
        <v>1</v>
      </c>
    </row>
    <row r="1550">
      <c r="A1550" s="7" t="inlineStr">
        <is>
          <t>MAT-32-196</t>
        </is>
      </c>
      <c r="B1550" s="4" t="inlineStr">
        <is>
          <t>Codo de 90° de HG 3/4"</t>
        </is>
      </c>
      <c r="C1550" s="7" t="inlineStr">
        <is>
          <t>unidad</t>
        </is>
      </c>
      <c r="D1550" s="8" t="n"/>
      <c r="E1550" s="8" t="n">
        <v>34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>
        <f>IF(COUNT(D1550:S1550)=0,"",MIN(D1550:S1550))</f>
        <v/>
      </c>
      <c r="U1550" s="8">
        <f>IF(COUNT(D1550:S1550)=0,"",MEDIAN(D1550:S1550))</f>
        <v/>
      </c>
      <c r="V1550" s="8">
        <f>IF(COUNT(D1550:S1550)=0,"",MAX(D1550:S1550))</f>
        <v/>
      </c>
      <c r="W1550" s="9">
        <f>IF(OR(T1550="",T1550=0),"",(V1550-T1550)/T1550)</f>
        <v/>
      </c>
      <c r="X1550" s="7">
        <f>IF(COUNT(D1550:S1550)=0,"",INDEX($D$1:$S$1,MATCH(MIN(D1550:S1550),D1550:S1550,0)))</f>
        <v/>
      </c>
      <c r="Y1550" s="8" t="n">
        <v>34</v>
      </c>
      <c r="Z1550" s="10" t="n">
        <v>1</v>
      </c>
    </row>
    <row r="1551">
      <c r="A1551" s="7" t="inlineStr">
        <is>
          <t>MAT-32-197</t>
        </is>
      </c>
      <c r="B1551" s="4" t="inlineStr">
        <is>
          <t>Codo de 90° de HG 3/8"</t>
        </is>
      </c>
      <c r="C1551" s="7" t="inlineStr">
        <is>
          <t>unidad</t>
        </is>
      </c>
      <c r="D1551" s="8" t="n"/>
      <c r="E1551" s="8" t="n">
        <v>51.55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>
        <f>IF(COUNT(D1551:S1551)=0,"",MIN(D1551:S1551))</f>
        <v/>
      </c>
      <c r="U1551" s="8">
        <f>IF(COUNT(D1551:S1551)=0,"",MEDIAN(D1551:S1551))</f>
        <v/>
      </c>
      <c r="V1551" s="8">
        <f>IF(COUNT(D1551:S1551)=0,"",MAX(D1551:S1551))</f>
        <v/>
      </c>
      <c r="W1551" s="9">
        <f>IF(OR(T1551="",T1551=0),"",(V1551-T1551)/T1551)</f>
        <v/>
      </c>
      <c r="X1551" s="7">
        <f>IF(COUNT(D1551:S1551)=0,"",INDEX($D$1:$S$1,MATCH(MIN(D1551:S1551),D1551:S1551,0)))</f>
        <v/>
      </c>
      <c r="Y1551" s="8" t="n">
        <v>51.55</v>
      </c>
      <c r="Z1551" s="10" t="n">
        <v>1</v>
      </c>
    </row>
    <row r="1552">
      <c r="A1552" s="7" t="inlineStr">
        <is>
          <t>MAT-32-198</t>
        </is>
      </c>
      <c r="B1552" s="4" t="inlineStr">
        <is>
          <t>Codo de 90° de HG 3"</t>
        </is>
      </c>
      <c r="C1552" s="7" t="inlineStr">
        <is>
          <t>unidad</t>
        </is>
      </c>
      <c r="D1552" s="8" t="n"/>
      <c r="E1552" s="8" t="n">
        <v>464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>
        <f>IF(COUNT(D1552:S1552)=0,"",MIN(D1552:S1552))</f>
        <v/>
      </c>
      <c r="U1552" s="8">
        <f>IF(COUNT(D1552:S1552)=0,"",MEDIAN(D1552:S1552))</f>
        <v/>
      </c>
      <c r="V1552" s="8">
        <f>IF(COUNT(D1552:S1552)=0,"",MAX(D1552:S1552))</f>
        <v/>
      </c>
      <c r="W1552" s="9">
        <f>IF(OR(T1552="",T1552=0),"",(V1552-T1552)/T1552)</f>
        <v/>
      </c>
      <c r="X1552" s="7">
        <f>IF(COUNT(D1552:S1552)=0,"",INDEX($D$1:$S$1,MATCH(MIN(D1552:S1552),D1552:S1552,0)))</f>
        <v/>
      </c>
      <c r="Y1552" s="8" t="n">
        <v>464</v>
      </c>
      <c r="Z1552" s="10" t="n">
        <v>1</v>
      </c>
    </row>
    <row r="1553">
      <c r="A1553" s="7" t="inlineStr">
        <is>
          <t>MAT-32-199</t>
        </is>
      </c>
      <c r="B1553" s="4" t="inlineStr">
        <is>
          <t>Codo de 90° de HG 4"</t>
        </is>
      </c>
      <c r="C1553" s="7" t="inlineStr">
        <is>
          <t>unidad</t>
        </is>
      </c>
      <c r="D1553" s="8" t="n"/>
      <c r="E1553" s="8" t="n">
        <v>840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>
        <f>IF(COUNT(D1553:S1553)=0,"",MIN(D1553:S1553))</f>
        <v/>
      </c>
      <c r="U1553" s="8">
        <f>IF(COUNT(D1553:S1553)=0,"",MEDIAN(D1553:S1553))</f>
        <v/>
      </c>
      <c r="V1553" s="8">
        <f>IF(COUNT(D1553:S1553)=0,"",MAX(D1553:S1553))</f>
        <v/>
      </c>
      <c r="W1553" s="9">
        <f>IF(OR(T1553="",T1553=0),"",(V1553-T1553)/T1553)</f>
        <v/>
      </c>
      <c r="X1553" s="7">
        <f>IF(COUNT(D1553:S1553)=0,"",INDEX($D$1:$S$1,MATCH(MIN(D1553:S1553),D1553:S1553,0)))</f>
        <v/>
      </c>
      <c r="Y1553" s="8" t="n">
        <v>840</v>
      </c>
      <c r="Z1553" s="10" t="n">
        <v>1</v>
      </c>
    </row>
    <row r="1554">
      <c r="A1554" s="7" t="inlineStr">
        <is>
          <t>MAT-32-200</t>
        </is>
      </c>
      <c r="B1554" s="4" t="inlineStr">
        <is>
          <t>Codo de 90° de plástico 50"</t>
        </is>
      </c>
      <c r="C1554" s="7" t="inlineStr">
        <is>
          <t>unidad</t>
        </is>
      </c>
      <c r="D1554" s="8" t="n"/>
      <c r="E1554" s="8" t="n">
        <v>315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>
        <f>IF(COUNT(D1554:S1554)=0,"",MIN(D1554:S1554))</f>
        <v/>
      </c>
      <c r="U1554" s="8">
        <f>IF(COUNT(D1554:S1554)=0,"",MEDIAN(D1554:S1554))</f>
        <v/>
      </c>
      <c r="V1554" s="8">
        <f>IF(COUNT(D1554:S1554)=0,"",MAX(D1554:S1554))</f>
        <v/>
      </c>
      <c r="W1554" s="9">
        <f>IF(OR(T1554="",T1554=0),"",(V1554-T1554)/T1554)</f>
        <v/>
      </c>
      <c r="X1554" s="7">
        <f>IF(COUNT(D1554:S1554)=0,"",INDEX($D$1:$S$1,MATCH(MIN(D1554:S1554),D1554:S1554,0)))</f>
        <v/>
      </c>
      <c r="Y1554" s="8" t="n">
        <v>315</v>
      </c>
      <c r="Z1554" s="10" t="n">
        <v>1</v>
      </c>
    </row>
    <row r="1555">
      <c r="A1555" s="7" t="inlineStr">
        <is>
          <t>MAT-32-201</t>
        </is>
      </c>
      <c r="B1555" s="4" t="inlineStr">
        <is>
          <t>Codo de 90° de plástico 63"</t>
        </is>
      </c>
      <c r="C1555" s="7" t="inlineStr">
        <is>
          <t>unidad</t>
        </is>
      </c>
      <c r="D1555" s="8" t="n"/>
      <c r="E1555" s="8" t="n">
        <v>370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>
        <f>IF(COUNT(D1555:S1555)=0,"",MIN(D1555:S1555))</f>
        <v/>
      </c>
      <c r="U1555" s="8">
        <f>IF(COUNT(D1555:S1555)=0,"",MEDIAN(D1555:S1555))</f>
        <v/>
      </c>
      <c r="V1555" s="8">
        <f>IF(COUNT(D1555:S1555)=0,"",MAX(D1555:S1555))</f>
        <v/>
      </c>
      <c r="W1555" s="9">
        <f>IF(OR(T1555="",T1555=0),"",(V1555-T1555)/T1555)</f>
        <v/>
      </c>
      <c r="X1555" s="7">
        <f>IF(COUNT(D1555:S1555)=0,"",INDEX($D$1:$S$1,MATCH(MIN(D1555:S1555),D1555:S1555,0)))</f>
        <v/>
      </c>
      <c r="Y1555" s="8" t="n">
        <v>415</v>
      </c>
      <c r="Z1555" s="10" t="n">
        <v>1</v>
      </c>
    </row>
    <row r="1556">
      <c r="A1556" s="7" t="inlineStr">
        <is>
          <t>MAT-32-202</t>
        </is>
      </c>
      <c r="B1556" s="4" t="inlineStr">
        <is>
          <t>Codo de 90° de PPR 20 mm</t>
        </is>
      </c>
      <c r="C1556" s="7" t="inlineStr">
        <is>
          <t>unidad</t>
        </is>
      </c>
      <c r="D1556" s="8" t="n"/>
      <c r="E1556" s="8" t="n">
        <v>6.25</v>
      </c>
      <c r="F1556" s="8" t="n"/>
      <c r="G1556" s="8" t="n">
        <v>33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>
        <f>IF(COUNT(D1556:S1556)=0,"",MIN(D1556:S1556))</f>
        <v/>
      </c>
      <c r="U1556" s="8">
        <f>IF(COUNT(D1556:S1556)=0,"",MEDIAN(D1556:S1556))</f>
        <v/>
      </c>
      <c r="V1556" s="8">
        <f>IF(COUNT(D1556:S1556)=0,"",MAX(D1556:S1556))</f>
        <v/>
      </c>
      <c r="W1556" s="9">
        <f>IF(OR(T1556="",T1556=0),"",(V1556-T1556)/T1556)</f>
        <v/>
      </c>
      <c r="X1556" s="7">
        <f>IF(COUNT(D1556:S1556)=0,"",INDEX($D$1:$S$1,MATCH(MIN(D1556:S1556),D1556:S1556,0)))</f>
        <v/>
      </c>
      <c r="Y1556" s="8" t="n">
        <v>19.63</v>
      </c>
      <c r="Z1556" s="10" t="n">
        <v>2</v>
      </c>
    </row>
    <row r="1557">
      <c r="A1557" s="7" t="inlineStr">
        <is>
          <t>MAT-32-203</t>
        </is>
      </c>
      <c r="B1557" s="4" t="inlineStr">
        <is>
          <t>Codo de 90° de PPR 25 mm</t>
        </is>
      </c>
      <c r="C1557" s="7" t="inlineStr">
        <is>
          <t>unidad</t>
        </is>
      </c>
      <c r="D1557" s="8" t="n"/>
      <c r="E1557" s="8" t="n">
        <v>9.92</v>
      </c>
      <c r="F1557" s="8" t="n"/>
      <c r="G1557" s="8" t="n">
        <v>40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>
        <f>IF(COUNT(D1557:S1557)=0,"",MIN(D1557:S1557))</f>
        <v/>
      </c>
      <c r="U1557" s="8">
        <f>IF(COUNT(D1557:S1557)=0,"",MEDIAN(D1557:S1557))</f>
        <v/>
      </c>
      <c r="V1557" s="8">
        <f>IF(COUNT(D1557:S1557)=0,"",MAX(D1557:S1557))</f>
        <v/>
      </c>
      <c r="W1557" s="9">
        <f>IF(OR(T1557="",T1557=0),"",(V1557-T1557)/T1557)</f>
        <v/>
      </c>
      <c r="X1557" s="7">
        <f>IF(COUNT(D1557:S1557)=0,"",INDEX($D$1:$S$1,MATCH(MIN(D1557:S1557),D1557:S1557,0)))</f>
        <v/>
      </c>
      <c r="Y1557" s="8" t="n">
        <v>24.96</v>
      </c>
      <c r="Z1557" s="10" t="n">
        <v>2</v>
      </c>
    </row>
    <row r="1558">
      <c r="A1558" s="7" t="inlineStr">
        <is>
          <t>MAT-32-204</t>
        </is>
      </c>
      <c r="B1558" s="4" t="inlineStr">
        <is>
          <t>Codo de 90° de PPR 32 mm</t>
        </is>
      </c>
      <c r="C1558" s="7" t="inlineStr">
        <is>
          <t>unidad</t>
        </is>
      </c>
      <c r="D1558" s="8" t="n"/>
      <c r="E1558" s="8" t="n">
        <v>17.67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>
        <f>IF(COUNT(D1558:S1558)=0,"",MIN(D1558:S1558))</f>
        <v/>
      </c>
      <c r="U1558" s="8">
        <f>IF(COUNT(D1558:S1558)=0,"",MEDIAN(D1558:S1558))</f>
        <v/>
      </c>
      <c r="V1558" s="8">
        <f>IF(COUNT(D1558:S1558)=0,"",MAX(D1558:S1558))</f>
        <v/>
      </c>
      <c r="W1558" s="9">
        <f>IF(OR(T1558="",T1558=0),"",(V1558-T1558)/T1558)</f>
        <v/>
      </c>
      <c r="X1558" s="7">
        <f>IF(COUNT(D1558:S1558)=0,"",INDEX($D$1:$S$1,MATCH(MIN(D1558:S1558),D1558:S1558,0)))</f>
        <v/>
      </c>
      <c r="Y1558" s="8" t="n">
        <v>17.67</v>
      </c>
      <c r="Z1558" s="10" t="n">
        <v>1</v>
      </c>
    </row>
    <row r="1559">
      <c r="A1559" s="7" t="inlineStr">
        <is>
          <t>MAT-32-205</t>
        </is>
      </c>
      <c r="B1559" s="4" t="inlineStr">
        <is>
          <t>Codo de 90° de PPR 50 mm</t>
        </is>
      </c>
      <c r="C1559" s="7" t="inlineStr">
        <is>
          <t>unidad</t>
        </is>
      </c>
      <c r="D1559" s="8" t="n"/>
      <c r="E1559" s="8" t="n">
        <v>60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>
        <f>IF(COUNT(D1559:S1559)=0,"",MIN(D1559:S1559))</f>
        <v/>
      </c>
      <c r="U1559" s="8">
        <f>IF(COUNT(D1559:S1559)=0,"",MEDIAN(D1559:S1559))</f>
        <v/>
      </c>
      <c r="V1559" s="8">
        <f>IF(COUNT(D1559:S1559)=0,"",MAX(D1559:S1559))</f>
        <v/>
      </c>
      <c r="W1559" s="9">
        <f>IF(OR(T1559="",T1559=0),"",(V1559-T1559)/T1559)</f>
        <v/>
      </c>
      <c r="X1559" s="7">
        <f>IF(COUNT(D1559:S1559)=0,"",INDEX($D$1:$S$1,MATCH(MIN(D1559:S1559),D1559:S1559,0)))</f>
        <v/>
      </c>
      <c r="Y1559" s="8" t="n">
        <v>60</v>
      </c>
      <c r="Z1559" s="10" t="n">
        <v>1</v>
      </c>
    </row>
    <row r="1560">
      <c r="A1560" s="7" t="inlineStr">
        <is>
          <t>MAT-32-206</t>
        </is>
      </c>
      <c r="B1560" s="4" t="inlineStr">
        <is>
          <t>Codo de 90° de PVC drenaje 1 1/2"</t>
        </is>
      </c>
      <c r="C1560" s="7" t="inlineStr">
        <is>
          <t>unidad</t>
        </is>
      </c>
      <c r="D1560" s="8" t="n"/>
      <c r="E1560" s="8" t="n">
        <v>17.32</v>
      </c>
      <c r="F1560" s="8" t="n"/>
      <c r="G1560" s="8" t="n">
        <v>30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>
        <f>IF(COUNT(D1560:S1560)=0,"",MIN(D1560:S1560))</f>
        <v/>
      </c>
      <c r="U1560" s="8">
        <f>IF(COUNT(D1560:S1560)=0,"",MEDIAN(D1560:S1560))</f>
        <v/>
      </c>
      <c r="V1560" s="8">
        <f>IF(COUNT(D1560:S1560)=0,"",MAX(D1560:S1560))</f>
        <v/>
      </c>
      <c r="W1560" s="9">
        <f>IF(OR(T1560="",T1560=0),"",(V1560-T1560)/T1560)</f>
        <v/>
      </c>
      <c r="X1560" s="7">
        <f>IF(COUNT(D1560:S1560)=0,"",INDEX($D$1:$S$1,MATCH(MIN(D1560:S1560),D1560:S1560,0)))</f>
        <v/>
      </c>
      <c r="Y1560" s="8" t="n">
        <v>23.66</v>
      </c>
      <c r="Z1560" s="10" t="n">
        <v>2</v>
      </c>
    </row>
    <row r="1561">
      <c r="A1561" s="7" t="inlineStr">
        <is>
          <t>MAT-32-207</t>
        </is>
      </c>
      <c r="B1561" s="4" t="inlineStr">
        <is>
          <t>Codo de 90° de PVC drenaje 2"</t>
        </is>
      </c>
      <c r="C1561" s="7" t="inlineStr">
        <is>
          <t>unidad</t>
        </is>
      </c>
      <c r="D1561" s="8" t="n"/>
      <c r="E1561" s="8" t="n">
        <v>16.01</v>
      </c>
      <c r="F1561" s="8" t="n"/>
      <c r="G1561" s="8" t="n">
        <v>35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>
        <f>IF(COUNT(D1561:S1561)=0,"",MIN(D1561:S1561))</f>
        <v/>
      </c>
      <c r="U1561" s="8">
        <f>IF(COUNT(D1561:S1561)=0,"",MEDIAN(D1561:S1561))</f>
        <v/>
      </c>
      <c r="V1561" s="8">
        <f>IF(COUNT(D1561:S1561)=0,"",MAX(D1561:S1561))</f>
        <v/>
      </c>
      <c r="W1561" s="9">
        <f>IF(OR(T1561="",T1561=0),"",(V1561-T1561)/T1561)</f>
        <v/>
      </c>
      <c r="X1561" s="7">
        <f>IF(COUNT(D1561:S1561)=0,"",INDEX($D$1:$S$1,MATCH(MIN(D1561:S1561),D1561:S1561,0)))</f>
        <v/>
      </c>
      <c r="Y1561" s="8" t="n">
        <v>26.8</v>
      </c>
      <c r="Z1561" s="10" t="n">
        <v>2</v>
      </c>
    </row>
    <row r="1562">
      <c r="A1562" s="7" t="inlineStr">
        <is>
          <t>MAT-32-208</t>
        </is>
      </c>
      <c r="B1562" s="4" t="inlineStr">
        <is>
          <t>Codo de 90° de PVC drenaje 3"</t>
        </is>
      </c>
      <c r="C1562" s="7" t="inlineStr">
        <is>
          <t>unidad</t>
        </is>
      </c>
      <c r="D1562" s="8" t="n"/>
      <c r="E1562" s="8" t="n">
        <v>54.53</v>
      </c>
      <c r="F1562" s="8" t="n"/>
      <c r="G1562" s="8" t="n">
        <v>95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>
        <f>IF(COUNT(D1562:S1562)=0,"",MIN(D1562:S1562))</f>
        <v/>
      </c>
      <c r="U1562" s="8">
        <f>IF(COUNT(D1562:S1562)=0,"",MEDIAN(D1562:S1562))</f>
        <v/>
      </c>
      <c r="V1562" s="8">
        <f>IF(COUNT(D1562:S1562)=0,"",MAX(D1562:S1562))</f>
        <v/>
      </c>
      <c r="W1562" s="9">
        <f>IF(OR(T1562="",T1562=0),"",(V1562-T1562)/T1562)</f>
        <v/>
      </c>
      <c r="X1562" s="7">
        <f>IF(COUNT(D1562:S1562)=0,"",INDEX($D$1:$S$1,MATCH(MIN(D1562:S1562),D1562:S1562,0)))</f>
        <v/>
      </c>
      <c r="Y1562" s="8" t="n">
        <v>75.16</v>
      </c>
      <c r="Z1562" s="10" t="n">
        <v>2</v>
      </c>
    </row>
    <row r="1563">
      <c r="A1563" s="7" t="inlineStr">
        <is>
          <t>MAT-32-209</t>
        </is>
      </c>
      <c r="B1563" s="4" t="inlineStr">
        <is>
          <t>Codo de 90° de PVC drenaje 4"</t>
        </is>
      </c>
      <c r="C1563" s="7" t="inlineStr">
        <is>
          <t>unidad</t>
        </is>
      </c>
      <c r="D1563" s="8" t="n"/>
      <c r="E1563" s="8" t="n">
        <v>89.5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>
        <f>IF(COUNT(D1563:S1563)=0,"",MIN(D1563:S1563))</f>
        <v/>
      </c>
      <c r="U1563" s="8">
        <f>IF(COUNT(D1563:S1563)=0,"",MEDIAN(D1563:S1563))</f>
        <v/>
      </c>
      <c r="V1563" s="8">
        <f>IF(COUNT(D1563:S1563)=0,"",MAX(D1563:S1563))</f>
        <v/>
      </c>
      <c r="W1563" s="9">
        <f>IF(OR(T1563="",T1563=0),"",(V1563-T1563)/T1563)</f>
        <v/>
      </c>
      <c r="X1563" s="7">
        <f>IF(COUNT(D1563:S1563)=0,"",INDEX($D$1:$S$1,MATCH(MIN(D1563:S1563),D1563:S1563,0)))</f>
        <v/>
      </c>
      <c r="Y1563" s="8" t="n">
        <v>113.88</v>
      </c>
      <c r="Z1563" s="10" t="n">
        <v>1</v>
      </c>
    </row>
    <row r="1564">
      <c r="A1564" s="7" t="inlineStr">
        <is>
          <t>MAT-32-210</t>
        </is>
      </c>
      <c r="B1564" s="4" t="inlineStr">
        <is>
          <t>Codo de 90° de PVC drenaje 6"</t>
        </is>
      </c>
      <c r="C1564" s="7" t="inlineStr">
        <is>
          <t>unidad</t>
        </is>
      </c>
      <c r="D1564" s="8" t="n"/>
      <c r="E1564" s="8" t="n">
        <v>256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>
        <f>IF(COUNT(D1564:S1564)=0,"",MIN(D1564:S1564))</f>
        <v/>
      </c>
      <c r="U1564" s="8">
        <f>IF(COUNT(D1564:S1564)=0,"",MEDIAN(D1564:S1564))</f>
        <v/>
      </c>
      <c r="V1564" s="8">
        <f>IF(COUNT(D1564:S1564)=0,"",MAX(D1564:S1564))</f>
        <v/>
      </c>
      <c r="W1564" s="9">
        <f>IF(OR(T1564="",T1564=0),"",(V1564-T1564)/T1564)</f>
        <v/>
      </c>
      <c r="X1564" s="7">
        <f>IF(COUNT(D1564:S1564)=0,"",INDEX($D$1:$S$1,MATCH(MIN(D1564:S1564),D1564:S1564,0)))</f>
        <v/>
      </c>
      <c r="Y1564" s="8" t="n">
        <v>360.5</v>
      </c>
      <c r="Z1564" s="10" t="n">
        <v>1</v>
      </c>
    </row>
    <row r="1565">
      <c r="A1565" s="7" t="inlineStr">
        <is>
          <t>MAT-32-211</t>
        </is>
      </c>
      <c r="B1565" s="4" t="inlineStr">
        <is>
          <t>Codo de 90° de PVC 1 1/2"</t>
        </is>
      </c>
      <c r="C1565" s="7" t="inlineStr">
        <is>
          <t>unidad</t>
        </is>
      </c>
      <c r="D1565" s="8" t="n"/>
      <c r="E1565" s="8" t="n">
        <v>70.2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>
        <f>IF(COUNT(D1565:S1565)=0,"",MIN(D1565:S1565))</f>
        <v/>
      </c>
      <c r="U1565" s="8">
        <f>IF(COUNT(D1565:S1565)=0,"",MEDIAN(D1565:S1565))</f>
        <v/>
      </c>
      <c r="V1565" s="8">
        <f>IF(COUNT(D1565:S1565)=0,"",MAX(D1565:S1565))</f>
        <v/>
      </c>
      <c r="W1565" s="9">
        <f>IF(OR(T1565="",T1565=0),"",(V1565-T1565)/T1565)</f>
        <v/>
      </c>
      <c r="X1565" s="7">
        <f>IF(COUNT(D1565:S1565)=0,"",INDEX($D$1:$S$1,MATCH(MIN(D1565:S1565),D1565:S1565,0)))</f>
        <v/>
      </c>
      <c r="Y1565" s="8" t="n">
        <v>70.2</v>
      </c>
      <c r="Z1565" s="10" t="n">
        <v>1</v>
      </c>
    </row>
    <row r="1566">
      <c r="A1566" s="7" t="inlineStr">
        <is>
          <t>MAT-32-212</t>
        </is>
      </c>
      <c r="B1566" s="4" t="inlineStr">
        <is>
          <t>Codo de 90° de PVC 1"</t>
        </is>
      </c>
      <c r="C1566" s="7" t="inlineStr">
        <is>
          <t>unidad</t>
        </is>
      </c>
      <c r="D1566" s="8" t="n"/>
      <c r="E1566" s="8" t="n">
        <v>40.38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>
        <f>IF(COUNT(D1566:S1566)=0,"",MIN(D1566:S1566))</f>
        <v/>
      </c>
      <c r="U1566" s="8">
        <f>IF(COUNT(D1566:S1566)=0,"",MEDIAN(D1566:S1566))</f>
        <v/>
      </c>
      <c r="V1566" s="8">
        <f>IF(COUNT(D1566:S1566)=0,"",MAX(D1566:S1566))</f>
        <v/>
      </c>
      <c r="W1566" s="9">
        <f>IF(OR(T1566="",T1566=0),"",(V1566-T1566)/T1566)</f>
        <v/>
      </c>
      <c r="X1566" s="7">
        <f>IF(COUNT(D1566:S1566)=0,"",INDEX($D$1:$S$1,MATCH(MIN(D1566:S1566),D1566:S1566,0)))</f>
        <v/>
      </c>
      <c r="Y1566" s="8" t="n">
        <v>40.38</v>
      </c>
      <c r="Z1566" s="10" t="n">
        <v>1</v>
      </c>
    </row>
    <row r="1567">
      <c r="A1567" s="7" t="inlineStr">
        <is>
          <t>MAT-32-213</t>
        </is>
      </c>
      <c r="B1567" s="4" t="inlineStr">
        <is>
          <t>Codo de 90° de PVC 2"</t>
        </is>
      </c>
      <c r="C1567" s="7" t="inlineStr">
        <is>
          <t>unidad</t>
        </is>
      </c>
      <c r="D1567" s="8" t="n"/>
      <c r="E1567" s="8" t="n">
        <v>120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>
        <f>IF(COUNT(D1567:S1567)=0,"",MIN(D1567:S1567))</f>
        <v/>
      </c>
      <c r="U1567" s="8">
        <f>IF(COUNT(D1567:S1567)=0,"",MEDIAN(D1567:S1567))</f>
        <v/>
      </c>
      <c r="V1567" s="8">
        <f>IF(COUNT(D1567:S1567)=0,"",MAX(D1567:S1567))</f>
        <v/>
      </c>
      <c r="W1567" s="9">
        <f>IF(OR(T1567="",T1567=0),"",(V1567-T1567)/T1567)</f>
        <v/>
      </c>
      <c r="X1567" s="7">
        <f>IF(COUNT(D1567:S1567)=0,"",INDEX($D$1:$S$1,MATCH(MIN(D1567:S1567),D1567:S1567,0)))</f>
        <v/>
      </c>
      <c r="Y1567" s="8" t="n">
        <v>120</v>
      </c>
      <c r="Z1567" s="10" t="n">
        <v>1</v>
      </c>
    </row>
    <row r="1568">
      <c r="A1568" s="7" t="inlineStr">
        <is>
          <t>MAT-32-214</t>
        </is>
      </c>
      <c r="B1568" s="4" t="inlineStr">
        <is>
          <t>Codo de 90° de PVC 3/4"</t>
        </is>
      </c>
      <c r="C1568" s="7" t="inlineStr">
        <is>
          <t>unidad</t>
        </is>
      </c>
      <c r="D1568" s="8" t="n"/>
      <c r="E1568" s="8" t="n">
        <v>22.22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>
        <f>IF(COUNT(D1568:S1568)=0,"",MIN(D1568:S1568))</f>
        <v/>
      </c>
      <c r="U1568" s="8">
        <f>IF(COUNT(D1568:S1568)=0,"",MEDIAN(D1568:S1568))</f>
        <v/>
      </c>
      <c r="V1568" s="8">
        <f>IF(COUNT(D1568:S1568)=0,"",MAX(D1568:S1568))</f>
        <v/>
      </c>
      <c r="W1568" s="9">
        <f>IF(OR(T1568="",T1568=0),"",(V1568-T1568)/T1568)</f>
        <v/>
      </c>
      <c r="X1568" s="7">
        <f>IF(COUNT(D1568:S1568)=0,"",INDEX($D$1:$S$1,MATCH(MIN(D1568:S1568),D1568:S1568,0)))</f>
        <v/>
      </c>
      <c r="Y1568" s="8" t="n">
        <v>22.22</v>
      </c>
      <c r="Z1568" s="10" t="n">
        <v>1</v>
      </c>
    </row>
    <row r="1569">
      <c r="A1569" s="7" t="inlineStr">
        <is>
          <t>MAT-32-215</t>
        </is>
      </c>
      <c r="B1569" s="4" t="inlineStr">
        <is>
          <t>Codo de 90° de PVC presión 1 1/2"</t>
        </is>
      </c>
      <c r="C1569" s="7" t="inlineStr">
        <is>
          <t>unidad</t>
        </is>
      </c>
      <c r="D1569" s="8" t="n"/>
      <c r="E1569" s="8" t="n">
        <v>28.52</v>
      </c>
      <c r="F1569" s="8" t="n"/>
      <c r="G1569" s="8" t="n">
        <v>55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>
        <f>IF(COUNT(D1569:S1569)=0,"",MIN(D1569:S1569))</f>
        <v/>
      </c>
      <c r="U1569" s="8">
        <f>IF(COUNT(D1569:S1569)=0,"",MEDIAN(D1569:S1569))</f>
        <v/>
      </c>
      <c r="V1569" s="8">
        <f>IF(COUNT(D1569:S1569)=0,"",MAX(D1569:S1569))</f>
        <v/>
      </c>
      <c r="W1569" s="9">
        <f>IF(OR(T1569="",T1569=0),"",(V1569-T1569)/T1569)</f>
        <v/>
      </c>
      <c r="X1569" s="7">
        <f>IF(COUNT(D1569:S1569)=0,"",INDEX($D$1:$S$1,MATCH(MIN(D1569:S1569),D1569:S1569,0)))</f>
        <v/>
      </c>
      <c r="Y1569" s="8" t="n">
        <v>44.53</v>
      </c>
      <c r="Z1569" s="10" t="n">
        <v>2</v>
      </c>
    </row>
    <row r="1570">
      <c r="A1570" s="7" t="inlineStr">
        <is>
          <t>MAT-32-216</t>
        </is>
      </c>
      <c r="B1570" s="4" t="inlineStr">
        <is>
          <t>Codo de 90° de PVC presión 1/2"</t>
        </is>
      </c>
      <c r="C1570" s="7" t="inlineStr">
        <is>
          <t>unidad</t>
        </is>
      </c>
      <c r="D1570" s="8" t="n"/>
      <c r="E1570" s="8" t="n">
        <v>5.75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>
        <f>IF(COUNT(D1570:S1570)=0,"",MIN(D1570:S1570))</f>
        <v/>
      </c>
      <c r="U1570" s="8">
        <f>IF(COUNT(D1570:S1570)=0,"",MEDIAN(D1570:S1570))</f>
        <v/>
      </c>
      <c r="V1570" s="8">
        <f>IF(COUNT(D1570:S1570)=0,"",MAX(D1570:S1570))</f>
        <v/>
      </c>
      <c r="W1570" s="9">
        <f>IF(OR(T1570="",T1570=0),"",(V1570-T1570)/T1570)</f>
        <v/>
      </c>
      <c r="X1570" s="7">
        <f>IF(COUNT(D1570:S1570)=0,"",INDEX($D$1:$S$1,MATCH(MIN(D1570:S1570),D1570:S1570,0)))</f>
        <v/>
      </c>
      <c r="Y1570" s="8" t="n">
        <v>10</v>
      </c>
      <c r="Z1570" s="10" t="n">
        <v>2</v>
      </c>
    </row>
    <row r="1571">
      <c r="A1571" s="7" t="inlineStr">
        <is>
          <t>MAT-32-217</t>
        </is>
      </c>
      <c r="B1571" s="4" t="inlineStr">
        <is>
          <t>Codo de 90° de PVC presión 1"</t>
        </is>
      </c>
      <c r="C1571" s="7" t="inlineStr">
        <is>
          <t>unidad</t>
        </is>
      </c>
      <c r="D1571" s="8" t="n"/>
      <c r="E1571" s="8" t="n">
        <v>11.38</v>
      </c>
      <c r="F1571" s="8" t="n"/>
      <c r="G1571" s="8" t="n">
        <v>27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>
        <f>IF(COUNT(D1571:S1571)=0,"",MIN(D1571:S1571))</f>
        <v/>
      </c>
      <c r="U1571" s="8">
        <f>IF(COUNT(D1571:S1571)=0,"",MEDIAN(D1571:S1571))</f>
        <v/>
      </c>
      <c r="V1571" s="8">
        <f>IF(COUNT(D1571:S1571)=0,"",MAX(D1571:S1571))</f>
        <v/>
      </c>
      <c r="W1571" s="9">
        <f>IF(OR(T1571="",T1571=0),"",(V1571-T1571)/T1571)</f>
        <v/>
      </c>
      <c r="X1571" s="7">
        <f>IF(COUNT(D1571:S1571)=0,"",INDEX($D$1:$S$1,MATCH(MIN(D1571:S1571),D1571:S1571,0)))</f>
        <v/>
      </c>
      <c r="Y1571" s="8" t="n">
        <v>20.05</v>
      </c>
      <c r="Z1571" s="10" t="n">
        <v>2</v>
      </c>
    </row>
    <row r="1572">
      <c r="A1572" s="7" t="inlineStr">
        <is>
          <t>MAT-32-218</t>
        </is>
      </c>
      <c r="B1572" s="4" t="inlineStr">
        <is>
          <t>Codo de 90° de PVC presión 2"</t>
        </is>
      </c>
      <c r="C1572" s="7" t="inlineStr">
        <is>
          <t>unidad</t>
        </is>
      </c>
      <c r="D1572" s="8" t="n"/>
      <c r="E1572" s="8" t="n">
        <v>46.28</v>
      </c>
      <c r="F1572" s="8" t="n"/>
      <c r="G1572" s="8" t="n">
        <v>145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>
        <f>IF(COUNT(D1572:S1572)=0,"",MIN(D1572:S1572))</f>
        <v/>
      </c>
      <c r="U1572" s="8">
        <f>IF(COUNT(D1572:S1572)=0,"",MEDIAN(D1572:S1572))</f>
        <v/>
      </c>
      <c r="V1572" s="8">
        <f>IF(COUNT(D1572:S1572)=0,"",MAX(D1572:S1572))</f>
        <v/>
      </c>
      <c r="W1572" s="9">
        <f>IF(OR(T1572="",T1572=0),"",(V1572-T1572)/T1572)</f>
        <v/>
      </c>
      <c r="X1572" s="7">
        <f>IF(COUNT(D1572:S1572)=0,"",INDEX($D$1:$S$1,MATCH(MIN(D1572:S1572),D1572:S1572,0)))</f>
        <v/>
      </c>
      <c r="Y1572" s="8" t="n">
        <v>67.15000000000001</v>
      </c>
      <c r="Z1572" s="10" t="n">
        <v>2</v>
      </c>
    </row>
    <row r="1573">
      <c r="A1573" s="7" t="inlineStr">
        <is>
          <t>MAT-32-219</t>
        </is>
      </c>
      <c r="B1573" s="4" t="inlineStr">
        <is>
          <t>Codo de 90° de PVC presión 3/4"</t>
        </is>
      </c>
      <c r="C1573" s="7" t="inlineStr">
        <is>
          <t>unidad</t>
        </is>
      </c>
      <c r="D1573" s="8" t="n"/>
      <c r="E1573" s="8" t="n">
        <v>8.42</v>
      </c>
      <c r="F1573" s="8" t="n"/>
      <c r="G1573" s="8" t="n">
        <v>15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>
        <f>IF(COUNT(D1573:S1573)=0,"",MIN(D1573:S1573))</f>
        <v/>
      </c>
      <c r="U1573" s="8">
        <f>IF(COUNT(D1573:S1573)=0,"",MEDIAN(D1573:S1573))</f>
        <v/>
      </c>
      <c r="V1573" s="8">
        <f>IF(COUNT(D1573:S1573)=0,"",MAX(D1573:S1573))</f>
        <v/>
      </c>
      <c r="W1573" s="9">
        <f>IF(OR(T1573="",T1573=0),"",(V1573-T1573)/T1573)</f>
        <v/>
      </c>
      <c r="X1573" s="7">
        <f>IF(COUNT(D1573:S1573)=0,"",INDEX($D$1:$S$1,MATCH(MIN(D1573:S1573),D1573:S1573,0)))</f>
        <v/>
      </c>
      <c r="Y1573" s="8" t="n">
        <v>12.15</v>
      </c>
      <c r="Z1573" s="10" t="n">
        <v>2</v>
      </c>
    </row>
    <row r="1574">
      <c r="A1574" s="7" t="inlineStr">
        <is>
          <t>MAT-32-220</t>
        </is>
      </c>
      <c r="B1574" s="4" t="inlineStr">
        <is>
          <t>Codo de 90° de PVC presión 3"</t>
        </is>
      </c>
      <c r="C1574" s="7" t="inlineStr">
        <is>
          <t>unidad</t>
        </is>
      </c>
      <c r="D1574" s="8" t="n"/>
      <c r="E1574" s="8" t="n">
        <v>126</v>
      </c>
      <c r="F1574" s="8" t="n"/>
      <c r="G1574" s="8" t="n">
        <v>233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>
        <f>IF(COUNT(D1574:S1574)=0,"",MIN(D1574:S1574))</f>
        <v/>
      </c>
      <c r="U1574" s="8">
        <f>IF(COUNT(D1574:S1574)=0,"",MEDIAN(D1574:S1574))</f>
        <v/>
      </c>
      <c r="V1574" s="8">
        <f>IF(COUNT(D1574:S1574)=0,"",MAX(D1574:S1574))</f>
        <v/>
      </c>
      <c r="W1574" s="9">
        <f>IF(OR(T1574="",T1574=0),"",(V1574-T1574)/T1574)</f>
        <v/>
      </c>
      <c r="X1574" s="7">
        <f>IF(COUNT(D1574:S1574)=0,"",INDEX($D$1:$S$1,MATCH(MIN(D1574:S1574),D1574:S1574,0)))</f>
        <v/>
      </c>
      <c r="Y1574" s="8" t="n">
        <v>187.35</v>
      </c>
      <c r="Z1574" s="10" t="n">
        <v>2</v>
      </c>
    </row>
    <row r="1575">
      <c r="A1575" s="7" t="inlineStr">
        <is>
          <t>MAT-32-221</t>
        </is>
      </c>
      <c r="B1575" s="4" t="inlineStr">
        <is>
          <t>Codo de 90° de PVC presión 4"</t>
        </is>
      </c>
      <c r="C1575" s="7" t="inlineStr">
        <is>
          <t>unidad</t>
        </is>
      </c>
      <c r="D1575" s="8" t="n"/>
      <c r="E1575" s="8" t="n">
        <v>206</v>
      </c>
      <c r="F1575" s="8" t="n"/>
      <c r="G1575" s="8" t="n">
        <v>370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>
        <f>IF(COUNT(D1575:S1575)=0,"",MIN(D1575:S1575))</f>
        <v/>
      </c>
      <c r="U1575" s="8">
        <f>IF(COUNT(D1575:S1575)=0,"",MEDIAN(D1575:S1575))</f>
        <v/>
      </c>
      <c r="V1575" s="8">
        <f>IF(COUNT(D1575:S1575)=0,"",MAX(D1575:S1575))</f>
        <v/>
      </c>
      <c r="W1575" s="9">
        <f>IF(OR(T1575="",T1575=0),"",(V1575-T1575)/T1575)</f>
        <v/>
      </c>
      <c r="X1575" s="7">
        <f>IF(COUNT(D1575:S1575)=0,"",INDEX($D$1:$S$1,MATCH(MIN(D1575:S1575),D1575:S1575,0)))</f>
        <v/>
      </c>
      <c r="Y1575" s="8" t="n">
        <v>309.43</v>
      </c>
      <c r="Z1575" s="10" t="n">
        <v>2</v>
      </c>
    </row>
    <row r="1576">
      <c r="A1576" s="7" t="inlineStr">
        <is>
          <t>MAT-32-222</t>
        </is>
      </c>
      <c r="B1576" s="4" t="inlineStr">
        <is>
          <t>Codo de 90° de PVC presión 6"</t>
        </is>
      </c>
      <c r="C1576" s="7" t="inlineStr">
        <is>
          <t>unidad</t>
        </is>
      </c>
      <c r="D1576" s="8" t="n"/>
      <c r="E1576" s="8" t="n">
        <v>710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>
        <f>IF(COUNT(D1576:S1576)=0,"",MIN(D1576:S1576))</f>
        <v/>
      </c>
      <c r="U1576" s="8">
        <f>IF(COUNT(D1576:S1576)=0,"",MEDIAN(D1576:S1576))</f>
        <v/>
      </c>
      <c r="V1576" s="8">
        <f>IF(COUNT(D1576:S1576)=0,"",MAX(D1576:S1576))</f>
        <v/>
      </c>
      <c r="W1576" s="9">
        <f>IF(OR(T1576="",T1576=0),"",(V1576-T1576)/T1576)</f>
        <v/>
      </c>
      <c r="X1576" s="7">
        <f>IF(COUNT(D1576:S1576)=0,"",INDEX($D$1:$S$1,MATCH(MIN(D1576:S1576),D1576:S1576,0)))</f>
        <v/>
      </c>
      <c r="Y1576" s="8" t="n">
        <v>787.5</v>
      </c>
      <c r="Z1576" s="10" t="n">
        <v>1</v>
      </c>
    </row>
    <row r="1577">
      <c r="A1577" s="7" t="inlineStr">
        <is>
          <t>MAT-32-223</t>
        </is>
      </c>
      <c r="B1577" s="4" t="inlineStr">
        <is>
          <t>Codo de 90° de PVC presión 8"</t>
        </is>
      </c>
      <c r="C1577" s="7" t="inlineStr">
        <is>
          <t>unidad</t>
        </is>
      </c>
      <c r="D1577" s="8" t="n"/>
      <c r="E1577" s="8" t="n">
        <v>4205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>
        <f>IF(COUNT(D1577:S1577)=0,"",MIN(D1577:S1577))</f>
        <v/>
      </c>
      <c r="U1577" s="8">
        <f>IF(COUNT(D1577:S1577)=0,"",MEDIAN(D1577:S1577))</f>
        <v/>
      </c>
      <c r="V1577" s="8">
        <f>IF(COUNT(D1577:S1577)=0,"",MAX(D1577:S1577))</f>
        <v/>
      </c>
      <c r="W1577" s="9">
        <f>IF(OR(T1577="",T1577=0),"",(V1577-T1577)/T1577)</f>
        <v/>
      </c>
      <c r="X1577" s="7">
        <f>IF(COUNT(D1577:S1577)=0,"",INDEX($D$1:$S$1,MATCH(MIN(D1577:S1577),D1577:S1577,0)))</f>
        <v/>
      </c>
      <c r="Y1577" s="8" t="n">
        <v>4205</v>
      </c>
      <c r="Z1577" s="10" t="n">
        <v>1</v>
      </c>
    </row>
    <row r="1578">
      <c r="A1578" s="7" t="inlineStr">
        <is>
          <t>MAT-32-224</t>
        </is>
      </c>
      <c r="B1578" s="4" t="inlineStr">
        <is>
          <t>Codo de bronce 1/2"</t>
        </is>
      </c>
      <c r="C1578" s="7" t="inlineStr">
        <is>
          <t>unidad</t>
        </is>
      </c>
      <c r="D1578" s="8" t="n"/>
      <c r="E1578" s="8" t="n">
        <v>195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>
        <f>IF(COUNT(D1578:S1578)=0,"",MIN(D1578:S1578))</f>
        <v/>
      </c>
      <c r="U1578" s="8">
        <f>IF(COUNT(D1578:S1578)=0,"",MEDIAN(D1578:S1578))</f>
        <v/>
      </c>
      <c r="V1578" s="8">
        <f>IF(COUNT(D1578:S1578)=0,"",MAX(D1578:S1578))</f>
        <v/>
      </c>
      <c r="W1578" s="9">
        <f>IF(OR(T1578="",T1578=0),"",(V1578-T1578)/T1578)</f>
        <v/>
      </c>
      <c r="X1578" s="7">
        <f>IF(COUNT(D1578:S1578)=0,"",INDEX($D$1:$S$1,MATCH(MIN(D1578:S1578),D1578:S1578,0)))</f>
        <v/>
      </c>
      <c r="Y1578" s="8" t="n">
        <v>195</v>
      </c>
      <c r="Z1578" s="10" t="n">
        <v>1</v>
      </c>
    </row>
    <row r="1579">
      <c r="A1579" s="7" t="inlineStr">
        <is>
          <t>MAT-32-225</t>
        </is>
      </c>
      <c r="B1579" s="4" t="inlineStr">
        <is>
          <t>Codo de bronce 1/4"</t>
        </is>
      </c>
      <c r="C1579" s="7" t="inlineStr">
        <is>
          <t>unidad</t>
        </is>
      </c>
      <c r="D1579" s="8" t="n"/>
      <c r="E1579" s="8" t="n">
        <v>60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>
        <f>IF(COUNT(D1579:S1579)=0,"",MIN(D1579:S1579))</f>
        <v/>
      </c>
      <c r="U1579" s="8">
        <f>IF(COUNT(D1579:S1579)=0,"",MEDIAN(D1579:S1579))</f>
        <v/>
      </c>
      <c r="V1579" s="8">
        <f>IF(COUNT(D1579:S1579)=0,"",MAX(D1579:S1579))</f>
        <v/>
      </c>
      <c r="W1579" s="9">
        <f>IF(OR(T1579="",T1579=0),"",(V1579-T1579)/T1579)</f>
        <v/>
      </c>
      <c r="X1579" s="7">
        <f>IF(COUNT(D1579:S1579)=0,"",INDEX($D$1:$S$1,MATCH(MIN(D1579:S1579),D1579:S1579,0)))</f>
        <v/>
      </c>
      <c r="Y1579" s="8" t="n">
        <v>65</v>
      </c>
      <c r="Z1579" s="10" t="n">
        <v>1</v>
      </c>
    </row>
    <row r="1580">
      <c r="A1580" s="7" t="inlineStr">
        <is>
          <t>MAT-32-226</t>
        </is>
      </c>
      <c r="B1580" s="4" t="inlineStr">
        <is>
          <t>Codo de bronce 12"</t>
        </is>
      </c>
      <c r="C1580" s="7" t="inlineStr">
        <is>
          <t>unidad</t>
        </is>
      </c>
      <c r="D1580" s="8" t="n"/>
      <c r="E1580" s="8" t="n">
        <v>407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>
        <f>IF(COUNT(D1580:S1580)=0,"",MIN(D1580:S1580))</f>
        <v/>
      </c>
      <c r="U1580" s="8">
        <f>IF(COUNT(D1580:S1580)=0,"",MEDIAN(D1580:S1580))</f>
        <v/>
      </c>
      <c r="V1580" s="8">
        <f>IF(COUNT(D1580:S1580)=0,"",MAX(D1580:S1580))</f>
        <v/>
      </c>
      <c r="W1580" s="9">
        <f>IF(OR(T1580="",T1580=0),"",(V1580-T1580)/T1580)</f>
        <v/>
      </c>
      <c r="X1580" s="7">
        <f>IF(COUNT(D1580:S1580)=0,"",INDEX($D$1:$S$1,MATCH(MIN(D1580:S1580),D1580:S1580,0)))</f>
        <v/>
      </c>
      <c r="Y1580" s="8" t="n">
        <v>407</v>
      </c>
      <c r="Z1580" s="10" t="n">
        <v>1</v>
      </c>
    </row>
    <row r="1581">
      <c r="A1581" s="7" t="inlineStr">
        <is>
          <t>MAT-32-227</t>
        </is>
      </c>
      <c r="B1581" s="4" t="inlineStr">
        <is>
          <t>Codo de bronce 12" x 1/2"</t>
        </is>
      </c>
      <c r="C1581" s="7" t="inlineStr">
        <is>
          <t>unidad</t>
        </is>
      </c>
      <c r="D1581" s="8" t="n"/>
      <c r="E1581" s="8" t="n">
        <v>279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>
        <f>IF(COUNT(D1581:S1581)=0,"",MIN(D1581:S1581))</f>
        <v/>
      </c>
      <c r="U1581" s="8">
        <f>IF(COUNT(D1581:S1581)=0,"",MEDIAN(D1581:S1581))</f>
        <v/>
      </c>
      <c r="V1581" s="8">
        <f>IF(COUNT(D1581:S1581)=0,"",MAX(D1581:S1581))</f>
        <v/>
      </c>
      <c r="W1581" s="9">
        <f>IF(OR(T1581="",T1581=0),"",(V1581-T1581)/T1581)</f>
        <v/>
      </c>
      <c r="X1581" s="7">
        <f>IF(COUNT(D1581:S1581)=0,"",INDEX($D$1:$S$1,MATCH(MIN(D1581:S1581),D1581:S1581,0)))</f>
        <v/>
      </c>
      <c r="Y1581" s="8" t="n">
        <v>287</v>
      </c>
      <c r="Z1581" s="10" t="n">
        <v>1</v>
      </c>
    </row>
    <row r="1582">
      <c r="A1582" s="7" t="inlineStr">
        <is>
          <t>MAT-32-228</t>
        </is>
      </c>
      <c r="B1582" s="4" t="inlineStr">
        <is>
          <t>Codo de bronce 15"</t>
        </is>
      </c>
      <c r="C1582" s="7" t="inlineStr">
        <is>
          <t>unidad</t>
        </is>
      </c>
      <c r="D1582" s="8" t="n"/>
      <c r="E1582" s="8" t="n">
        <v>422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>
        <f>IF(COUNT(D1582:S1582)=0,"",MIN(D1582:S1582))</f>
        <v/>
      </c>
      <c r="U1582" s="8">
        <f>IF(COUNT(D1582:S1582)=0,"",MEDIAN(D1582:S1582))</f>
        <v/>
      </c>
      <c r="V1582" s="8">
        <f>IF(COUNT(D1582:S1582)=0,"",MAX(D1582:S1582))</f>
        <v/>
      </c>
      <c r="W1582" s="9">
        <f>IF(OR(T1582="",T1582=0),"",(V1582-T1582)/T1582)</f>
        <v/>
      </c>
      <c r="X1582" s="7">
        <f>IF(COUNT(D1582:S1582)=0,"",INDEX($D$1:$S$1,MATCH(MIN(D1582:S1582),D1582:S1582,0)))</f>
        <v/>
      </c>
      <c r="Y1582" s="8" t="n">
        <v>432</v>
      </c>
      <c r="Z1582" s="10" t="n">
        <v>1</v>
      </c>
    </row>
    <row r="1583">
      <c r="A1583" s="7" t="inlineStr">
        <is>
          <t>MAT-32-229</t>
        </is>
      </c>
      <c r="B1583" s="4" t="inlineStr">
        <is>
          <t>Codo de bronce 15" x 1/2"</t>
        </is>
      </c>
      <c r="C1583" s="7" t="inlineStr">
        <is>
          <t>unidad</t>
        </is>
      </c>
      <c r="D1583" s="8" t="n"/>
      <c r="E1583" s="8" t="n">
        <v>269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>
        <f>IF(COUNT(D1583:S1583)=0,"",MIN(D1583:S1583))</f>
        <v/>
      </c>
      <c r="U1583" s="8">
        <f>IF(COUNT(D1583:S1583)=0,"",MEDIAN(D1583:S1583))</f>
        <v/>
      </c>
      <c r="V1583" s="8">
        <f>IF(COUNT(D1583:S1583)=0,"",MAX(D1583:S1583))</f>
        <v/>
      </c>
      <c r="W1583" s="9">
        <f>IF(OR(T1583="",T1583=0),"",(V1583-T1583)/T1583)</f>
        <v/>
      </c>
      <c r="X1583" s="7">
        <f>IF(COUNT(D1583:S1583)=0,"",INDEX($D$1:$S$1,MATCH(MIN(D1583:S1583),D1583:S1583,0)))</f>
        <v/>
      </c>
      <c r="Y1583" s="8" t="n">
        <v>294.5</v>
      </c>
      <c r="Z1583" s="10" t="n">
        <v>1</v>
      </c>
    </row>
    <row r="1584">
      <c r="A1584" s="7" t="inlineStr">
        <is>
          <t>MAT-32-230</t>
        </is>
      </c>
      <c r="B1584" s="4" t="inlineStr">
        <is>
          <t>Codo de bronce 15" x 3/4"</t>
        </is>
      </c>
      <c r="C1584" s="7" t="inlineStr">
        <is>
          <t>unidad</t>
        </is>
      </c>
      <c r="D1584" s="8" t="n"/>
      <c r="E1584" s="8" t="n">
        <v>430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>
        <f>IF(COUNT(D1584:S1584)=0,"",MIN(D1584:S1584))</f>
        <v/>
      </c>
      <c r="U1584" s="8">
        <f>IF(COUNT(D1584:S1584)=0,"",MEDIAN(D1584:S1584))</f>
        <v/>
      </c>
      <c r="V1584" s="8">
        <f>IF(COUNT(D1584:S1584)=0,"",MAX(D1584:S1584))</f>
        <v/>
      </c>
      <c r="W1584" s="9">
        <f>IF(OR(T1584="",T1584=0),"",(V1584-T1584)/T1584)</f>
        <v/>
      </c>
      <c r="X1584" s="7">
        <f>IF(COUNT(D1584:S1584)=0,"",INDEX($D$1:$S$1,MATCH(MIN(D1584:S1584),D1584:S1584,0)))</f>
        <v/>
      </c>
      <c r="Y1584" s="8" t="n">
        <v>430</v>
      </c>
      <c r="Z1584" s="10" t="n">
        <v>1</v>
      </c>
    </row>
    <row r="1585">
      <c r="A1585" s="7" t="inlineStr">
        <is>
          <t>MAT-32-231</t>
        </is>
      </c>
      <c r="B1585" s="4" t="inlineStr">
        <is>
          <t>Codo de bronce 18"</t>
        </is>
      </c>
      <c r="C1585" s="7" t="inlineStr">
        <is>
          <t>unidad</t>
        </is>
      </c>
      <c r="D1585" s="8" t="n"/>
      <c r="E1585" s="8" t="n">
        <v>592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>
        <f>IF(COUNT(D1585:S1585)=0,"",MIN(D1585:S1585))</f>
        <v/>
      </c>
      <c r="U1585" s="8">
        <f>IF(COUNT(D1585:S1585)=0,"",MEDIAN(D1585:S1585))</f>
        <v/>
      </c>
      <c r="V1585" s="8">
        <f>IF(COUNT(D1585:S1585)=0,"",MAX(D1585:S1585))</f>
        <v/>
      </c>
      <c r="W1585" s="9">
        <f>IF(OR(T1585="",T1585=0),"",(V1585-T1585)/T1585)</f>
        <v/>
      </c>
      <c r="X1585" s="7">
        <f>IF(COUNT(D1585:S1585)=0,"",INDEX($D$1:$S$1,MATCH(MIN(D1585:S1585),D1585:S1585,0)))</f>
        <v/>
      </c>
      <c r="Y1585" s="8" t="n">
        <v>592</v>
      </c>
      <c r="Z1585" s="10" t="n">
        <v>1</v>
      </c>
    </row>
    <row r="1586">
      <c r="A1586" s="7" t="inlineStr">
        <is>
          <t>MAT-32-232</t>
        </is>
      </c>
      <c r="B1586" s="4" t="inlineStr">
        <is>
          <t>Codo de bronce 18" x 1/2"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>
        <f>IF(COUNT(D1586:S1586)=0,"",MIN(D1586:S1586))</f>
        <v/>
      </c>
      <c r="U1586" s="8">
        <f>IF(COUNT(D1586:S1586)=0,"",MEDIAN(D1586:S1586))</f>
        <v/>
      </c>
      <c r="V1586" s="8">
        <f>IF(COUNT(D1586:S1586)=0,"",MAX(D1586:S1586))</f>
        <v/>
      </c>
      <c r="W1586" s="9">
        <f>IF(OR(T1586="",T1586=0),"",(V1586-T1586)/T1586)</f>
        <v/>
      </c>
      <c r="X1586" s="7">
        <f>IF(COUNT(D1586:S1586)=0,"",INDEX($D$1:$S$1,MATCH(MIN(D1586:S1586),D1586:S1586,0)))</f>
        <v/>
      </c>
      <c r="Y1586" s="8" t="n">
        <v>421</v>
      </c>
      <c r="Z1586" s="10" t="n">
        <v>1</v>
      </c>
    </row>
    <row r="1587">
      <c r="A1587" s="7" t="inlineStr">
        <is>
          <t>MAT-32-233</t>
        </is>
      </c>
      <c r="B1587" s="4" t="inlineStr">
        <is>
          <t>Codo de bronce 18" x 3/4"</t>
        </is>
      </c>
      <c r="C1587" s="7" t="inlineStr">
        <is>
          <t>unidad</t>
        </is>
      </c>
      <c r="D1587" s="8" t="n"/>
      <c r="E1587" s="8" t="n">
        <v>415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>
        <f>IF(COUNT(D1587:S1587)=0,"",MIN(D1587:S1587))</f>
        <v/>
      </c>
      <c r="U1587" s="8">
        <f>IF(COUNT(D1587:S1587)=0,"",MEDIAN(D1587:S1587))</f>
        <v/>
      </c>
      <c r="V1587" s="8">
        <f>IF(COUNT(D1587:S1587)=0,"",MAX(D1587:S1587))</f>
        <v/>
      </c>
      <c r="W1587" s="9">
        <f>IF(OR(T1587="",T1587=0),"",(V1587-T1587)/T1587)</f>
        <v/>
      </c>
      <c r="X1587" s="7">
        <f>IF(COUNT(D1587:S1587)=0,"",INDEX($D$1:$S$1,MATCH(MIN(D1587:S1587),D1587:S1587,0)))</f>
        <v/>
      </c>
      <c r="Y1587" s="8" t="n">
        <v>499</v>
      </c>
      <c r="Z1587" s="10" t="n">
        <v>1</v>
      </c>
    </row>
    <row r="1588">
      <c r="A1588" s="7" t="inlineStr">
        <is>
          <t>MAT-32-234</t>
        </is>
      </c>
      <c r="B1588" s="4" t="inlineStr">
        <is>
          <t>Codo de bronce 25 mm</t>
        </is>
      </c>
      <c r="C1588" s="7" t="inlineStr">
        <is>
          <t>unidad</t>
        </is>
      </c>
      <c r="D1588" s="8" t="n"/>
      <c r="E1588" s="8" t="n">
        <v>724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>
        <f>IF(COUNT(D1588:S1588)=0,"",MIN(D1588:S1588))</f>
        <v/>
      </c>
      <c r="U1588" s="8">
        <f>IF(COUNT(D1588:S1588)=0,"",MEDIAN(D1588:S1588))</f>
        <v/>
      </c>
      <c r="V1588" s="8">
        <f>IF(COUNT(D1588:S1588)=0,"",MAX(D1588:S1588))</f>
        <v/>
      </c>
      <c r="W1588" s="9">
        <f>IF(OR(T1588="",T1588=0),"",(V1588-T1588)/T1588)</f>
        <v/>
      </c>
      <c r="X1588" s="7">
        <f>IF(COUNT(D1588:S1588)=0,"",INDEX($D$1:$S$1,MATCH(MIN(D1588:S1588),D1588:S1588,0)))</f>
        <v/>
      </c>
      <c r="Y1588" s="8" t="n">
        <v>724</v>
      </c>
      <c r="Z1588" s="10" t="n">
        <v>1</v>
      </c>
    </row>
    <row r="1589">
      <c r="A1589" s="7" t="inlineStr">
        <is>
          <t>MAT-32-235</t>
        </is>
      </c>
      <c r="B1589" s="4" t="inlineStr">
        <is>
          <t>Codo de bronce 25"</t>
        </is>
      </c>
      <c r="C1589" s="7" t="inlineStr">
        <is>
          <t>unidad</t>
        </is>
      </c>
      <c r="D1589" s="8" t="n"/>
      <c r="E1589" s="8" t="n">
        <v>500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>
        <f>IF(COUNT(D1589:S1589)=0,"",MIN(D1589:S1589))</f>
        <v/>
      </c>
      <c r="U1589" s="8">
        <f>IF(COUNT(D1589:S1589)=0,"",MEDIAN(D1589:S1589))</f>
        <v/>
      </c>
      <c r="V1589" s="8">
        <f>IF(COUNT(D1589:S1589)=0,"",MAX(D1589:S1589))</f>
        <v/>
      </c>
      <c r="W1589" s="9">
        <f>IF(OR(T1589="",T1589=0),"",(V1589-T1589)/T1589)</f>
        <v/>
      </c>
      <c r="X1589" s="7">
        <f>IF(COUNT(D1589:S1589)=0,"",INDEX($D$1:$S$1,MATCH(MIN(D1589:S1589),D1589:S1589,0)))</f>
        <v/>
      </c>
      <c r="Y1589" s="8" t="n">
        <v>500</v>
      </c>
      <c r="Z1589" s="10" t="n">
        <v>1</v>
      </c>
    </row>
    <row r="1590">
      <c r="A1590" s="7" t="inlineStr">
        <is>
          <t>MAT-32-236</t>
        </is>
      </c>
      <c r="B1590" s="4" t="inlineStr">
        <is>
          <t>Codo de bronce 3/8"</t>
        </is>
      </c>
      <c r="C1590" s="7" t="inlineStr">
        <is>
          <t>unidad</t>
        </is>
      </c>
      <c r="D1590" s="8" t="n"/>
      <c r="E1590" s="8" t="n">
        <v>99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>
        <f>IF(COUNT(D1590:S1590)=0,"",MIN(D1590:S1590))</f>
        <v/>
      </c>
      <c r="U1590" s="8">
        <f>IF(COUNT(D1590:S1590)=0,"",MEDIAN(D1590:S1590))</f>
        <v/>
      </c>
      <c r="V1590" s="8">
        <f>IF(COUNT(D1590:S1590)=0,"",MAX(D1590:S1590))</f>
        <v/>
      </c>
      <c r="W1590" s="9">
        <f>IF(OR(T1590="",T1590=0),"",(V1590-T1590)/T1590)</f>
        <v/>
      </c>
      <c r="X1590" s="7">
        <f>IF(COUNT(D1590:S1590)=0,"",INDEX($D$1:$S$1,MATCH(MIN(D1590:S1590),D1590:S1590,0)))</f>
        <v/>
      </c>
      <c r="Y1590" s="8" t="n">
        <v>147</v>
      </c>
      <c r="Z1590" s="10" t="n">
        <v>1</v>
      </c>
    </row>
    <row r="1591">
      <c r="A1591" s="7" t="inlineStr">
        <is>
          <t>MAT-32-237</t>
        </is>
      </c>
      <c r="B1591" s="4" t="inlineStr">
        <is>
          <t>Codo de bronce 32 mm</t>
        </is>
      </c>
      <c r="C1591" s="7" t="inlineStr">
        <is>
          <t>unidad</t>
        </is>
      </c>
      <c r="D1591" s="8" t="n"/>
      <c r="E1591" s="8" t="n">
        <v>1429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>
        <f>IF(COUNT(D1591:S1591)=0,"",MIN(D1591:S1591))</f>
        <v/>
      </c>
      <c r="U1591" s="8">
        <f>IF(COUNT(D1591:S1591)=0,"",MEDIAN(D1591:S1591))</f>
        <v/>
      </c>
      <c r="V1591" s="8">
        <f>IF(COUNT(D1591:S1591)=0,"",MAX(D1591:S1591))</f>
        <v/>
      </c>
      <c r="W1591" s="9">
        <f>IF(OR(T1591="",T1591=0),"",(V1591-T1591)/T1591)</f>
        <v/>
      </c>
      <c r="X1591" s="7">
        <f>IF(COUNT(D1591:S1591)=0,"",INDEX($D$1:$S$1,MATCH(MIN(D1591:S1591),D1591:S1591,0)))</f>
        <v/>
      </c>
      <c r="Y1591" s="8" t="n">
        <v>1429</v>
      </c>
      <c r="Z1591" s="10" t="n">
        <v>1</v>
      </c>
    </row>
    <row r="1592">
      <c r="A1592" s="7" t="inlineStr">
        <is>
          <t>MAT-32-238</t>
        </is>
      </c>
      <c r="B1592" s="4" t="inlineStr">
        <is>
          <t>Codo de bronce 32"</t>
        </is>
      </c>
      <c r="C1592" s="7" t="inlineStr">
        <is>
          <t>unidad</t>
        </is>
      </c>
      <c r="D1592" s="8" t="n"/>
      <c r="E1592" s="8" t="n">
        <v>882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>
        <f>IF(COUNT(D1592:S1592)=0,"",MIN(D1592:S1592))</f>
        <v/>
      </c>
      <c r="U1592" s="8">
        <f>IF(COUNT(D1592:S1592)=0,"",MEDIAN(D1592:S1592))</f>
        <v/>
      </c>
      <c r="V1592" s="8">
        <f>IF(COUNT(D1592:S1592)=0,"",MAX(D1592:S1592))</f>
        <v/>
      </c>
      <c r="W1592" s="9">
        <f>IF(OR(T1592="",T1592=0),"",(V1592-T1592)/T1592)</f>
        <v/>
      </c>
      <c r="X1592" s="7">
        <f>IF(COUNT(D1592:S1592)=0,"",INDEX($D$1:$S$1,MATCH(MIN(D1592:S1592),D1592:S1592,0)))</f>
        <v/>
      </c>
      <c r="Y1592" s="8" t="n">
        <v>882</v>
      </c>
      <c r="Z1592" s="10" t="n">
        <v>1</v>
      </c>
    </row>
    <row r="1593">
      <c r="A1593" s="7" t="inlineStr">
        <is>
          <t>MAT-32-239</t>
        </is>
      </c>
      <c r="B1593" s="4" t="inlineStr">
        <is>
          <t>Codo de HG 1 1/2"</t>
        </is>
      </c>
      <c r="C1593" s="7" t="inlineStr">
        <is>
          <t>unidad</t>
        </is>
      </c>
      <c r="D1593" s="8" t="n"/>
      <c r="E1593" s="8" t="n">
        <v>134</v>
      </c>
      <c r="F1593" s="8" t="n"/>
      <c r="G1593" s="8" t="n">
        <v>234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>
        <f>IF(COUNT(D1593:S1593)=0,"",MIN(D1593:S1593))</f>
        <v/>
      </c>
      <c r="U1593" s="8">
        <f>IF(COUNT(D1593:S1593)=0,"",MEDIAN(D1593:S1593))</f>
        <v/>
      </c>
      <c r="V1593" s="8">
        <f>IF(COUNT(D1593:S1593)=0,"",MAX(D1593:S1593))</f>
        <v/>
      </c>
      <c r="W1593" s="9">
        <f>IF(OR(T1593="",T1593=0),"",(V1593-T1593)/T1593)</f>
        <v/>
      </c>
      <c r="X1593" s="7">
        <f>IF(COUNT(D1593:S1593)=0,"",INDEX($D$1:$S$1,MATCH(MIN(D1593:S1593),D1593:S1593,0)))</f>
        <v/>
      </c>
      <c r="Y1593" s="8" t="n">
        <v>184</v>
      </c>
      <c r="Z1593" s="10" t="n">
        <v>2</v>
      </c>
    </row>
    <row r="1594">
      <c r="A1594" s="7" t="inlineStr">
        <is>
          <t>MAT-32-240</t>
        </is>
      </c>
      <c r="B1594" s="4" t="inlineStr">
        <is>
          <t>Codo de HG 1 1/4"</t>
        </is>
      </c>
      <c r="C1594" s="7" t="inlineStr">
        <is>
          <t>unidad</t>
        </is>
      </c>
      <c r="D1594" s="8" t="n"/>
      <c r="E1594" s="8" t="n"/>
      <c r="F1594" s="8" t="n"/>
      <c r="G1594" s="8" t="n">
        <v>130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>
        <f>IF(COUNT(D1594:S1594)=0,"",MIN(D1594:S1594))</f>
        <v/>
      </c>
      <c r="U1594" s="8">
        <f>IF(COUNT(D1594:S1594)=0,"",MEDIAN(D1594:S1594))</f>
        <v/>
      </c>
      <c r="V1594" s="8">
        <f>IF(COUNT(D1594:S1594)=0,"",MAX(D1594:S1594))</f>
        <v/>
      </c>
      <c r="W1594" s="9">
        <f>IF(OR(T1594="",T1594=0),"",(V1594-T1594)/T1594)</f>
        <v/>
      </c>
      <c r="X1594" s="7">
        <f>IF(COUNT(D1594:S1594)=0,"",INDEX($D$1:$S$1,MATCH(MIN(D1594:S1594),D1594:S1594,0)))</f>
        <v/>
      </c>
      <c r="Y1594" s="8" t="n">
        <v>130</v>
      </c>
      <c r="Z1594" s="10" t="n">
        <v>1</v>
      </c>
    </row>
    <row r="1595">
      <c r="A1595" s="7" t="inlineStr">
        <is>
          <t>MAT-32-241</t>
        </is>
      </c>
      <c r="B1595" s="4" t="inlineStr">
        <is>
          <t>Codo de HG 1/2"</t>
        </is>
      </c>
      <c r="C1595" s="7" t="inlineStr">
        <is>
          <t>unidad</t>
        </is>
      </c>
      <c r="D1595" s="8" t="n"/>
      <c r="E1595" s="8" t="n">
        <v>26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>
        <f>IF(COUNT(D1595:S1595)=0,"",MIN(D1595:S1595))</f>
        <v/>
      </c>
      <c r="U1595" s="8">
        <f>IF(COUNT(D1595:S1595)=0,"",MEDIAN(D1595:S1595))</f>
        <v/>
      </c>
      <c r="V1595" s="8">
        <f>IF(COUNT(D1595:S1595)=0,"",MAX(D1595:S1595))</f>
        <v/>
      </c>
      <c r="W1595" s="9">
        <f>IF(OR(T1595="",T1595=0),"",(V1595-T1595)/T1595)</f>
        <v/>
      </c>
      <c r="X1595" s="7">
        <f>IF(COUNT(D1595:S1595)=0,"",INDEX($D$1:$S$1,MATCH(MIN(D1595:S1595),D1595:S1595,0)))</f>
        <v/>
      </c>
      <c r="Y1595" s="8" t="n">
        <v>28</v>
      </c>
      <c r="Z1595" s="10" t="n">
        <v>2</v>
      </c>
    </row>
    <row r="1596">
      <c r="A1596" s="7" t="inlineStr">
        <is>
          <t>MAT-32-242</t>
        </is>
      </c>
      <c r="B1596" s="4" t="inlineStr">
        <is>
          <t>Codo de HG 1/4"</t>
        </is>
      </c>
      <c r="C1596" s="7" t="inlineStr">
        <is>
          <t>unidad</t>
        </is>
      </c>
      <c r="D1596" s="8" t="n"/>
      <c r="E1596" s="8" t="n"/>
      <c r="F1596" s="8" t="n"/>
      <c r="G1596" s="8" t="n">
        <v>75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>
        <f>IF(COUNT(D1596:S1596)=0,"",MIN(D1596:S1596))</f>
        <v/>
      </c>
      <c r="U1596" s="8">
        <f>IF(COUNT(D1596:S1596)=0,"",MEDIAN(D1596:S1596))</f>
        <v/>
      </c>
      <c r="V1596" s="8">
        <f>IF(COUNT(D1596:S1596)=0,"",MAX(D1596:S1596))</f>
        <v/>
      </c>
      <c r="W1596" s="9">
        <f>IF(OR(T1596="",T1596=0),"",(V1596-T1596)/T1596)</f>
        <v/>
      </c>
      <c r="X1596" s="7">
        <f>IF(COUNT(D1596:S1596)=0,"",INDEX($D$1:$S$1,MATCH(MIN(D1596:S1596),D1596:S1596,0)))</f>
        <v/>
      </c>
      <c r="Y1596" s="8" t="n">
        <v>75</v>
      </c>
      <c r="Z1596" s="10" t="n">
        <v>1</v>
      </c>
    </row>
    <row r="1597">
      <c r="A1597" s="7" t="inlineStr">
        <is>
          <t>MAT-32-243</t>
        </is>
      </c>
      <c r="B1597" s="4" t="inlineStr">
        <is>
          <t>Codo de HG 1"</t>
        </is>
      </c>
      <c r="C1597" s="7" t="inlineStr">
        <is>
          <t>unidad</t>
        </is>
      </c>
      <c r="D1597" s="8" t="n"/>
      <c r="E1597" s="8" t="n"/>
      <c r="F1597" s="8" t="n"/>
      <c r="G1597" s="8" t="n">
        <v>65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>
        <f>IF(COUNT(D1597:S1597)=0,"",MIN(D1597:S1597))</f>
        <v/>
      </c>
      <c r="U1597" s="8">
        <f>IF(COUNT(D1597:S1597)=0,"",MEDIAN(D1597:S1597))</f>
        <v/>
      </c>
      <c r="V1597" s="8">
        <f>IF(COUNT(D1597:S1597)=0,"",MAX(D1597:S1597))</f>
        <v/>
      </c>
      <c r="W1597" s="9">
        <f>IF(OR(T1597="",T1597=0),"",(V1597-T1597)/T1597)</f>
        <v/>
      </c>
      <c r="X1597" s="7">
        <f>IF(COUNT(D1597:S1597)=0,"",INDEX($D$1:$S$1,MATCH(MIN(D1597:S1597),D1597:S1597,0)))</f>
        <v/>
      </c>
      <c r="Y1597" s="8" t="n">
        <v>65</v>
      </c>
      <c r="Z1597" s="10" t="n">
        <v>1</v>
      </c>
    </row>
    <row r="1598">
      <c r="A1598" s="7" t="inlineStr">
        <is>
          <t>MAT-32-244</t>
        </is>
      </c>
      <c r="B1598" s="4" t="inlineStr">
        <is>
          <t>Codo de HG 2"</t>
        </is>
      </c>
      <c r="C1598" s="7" t="inlineStr">
        <is>
          <t>unidad</t>
        </is>
      </c>
      <c r="D1598" s="8" t="n"/>
      <c r="E1598" s="8" t="n">
        <v>191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>
        <f>IF(COUNT(D1598:S1598)=0,"",MIN(D1598:S1598))</f>
        <v/>
      </c>
      <c r="U1598" s="8">
        <f>IF(COUNT(D1598:S1598)=0,"",MEDIAN(D1598:S1598))</f>
        <v/>
      </c>
      <c r="V1598" s="8">
        <f>IF(COUNT(D1598:S1598)=0,"",MAX(D1598:S1598))</f>
        <v/>
      </c>
      <c r="W1598" s="9">
        <f>IF(OR(T1598="",T1598=0),"",(V1598-T1598)/T1598)</f>
        <v/>
      </c>
      <c r="X1598" s="7">
        <f>IF(COUNT(D1598:S1598)=0,"",INDEX($D$1:$S$1,MATCH(MIN(D1598:S1598),D1598:S1598,0)))</f>
        <v/>
      </c>
      <c r="Y1598" s="8" t="n">
        <v>241</v>
      </c>
      <c r="Z1598" s="10" t="n">
        <v>2</v>
      </c>
    </row>
    <row r="1599">
      <c r="A1599" s="7" t="inlineStr">
        <is>
          <t>MAT-32-245</t>
        </is>
      </c>
      <c r="B1599" s="4" t="inlineStr">
        <is>
          <t>Codo de HG 3/4"</t>
        </is>
      </c>
      <c r="C1599" s="7" t="inlineStr">
        <is>
          <t>unidad</t>
        </is>
      </c>
      <c r="D1599" s="8" t="n"/>
      <c r="E1599" s="8" t="n"/>
      <c r="F1599" s="8" t="n"/>
      <c r="G1599" s="8" t="n">
        <v>51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>
        <f>IF(COUNT(D1599:S1599)=0,"",MIN(D1599:S1599))</f>
        <v/>
      </c>
      <c r="U1599" s="8">
        <f>IF(COUNT(D1599:S1599)=0,"",MEDIAN(D1599:S1599))</f>
        <v/>
      </c>
      <c r="V1599" s="8">
        <f>IF(COUNT(D1599:S1599)=0,"",MAX(D1599:S1599))</f>
        <v/>
      </c>
      <c r="W1599" s="9">
        <f>IF(OR(T1599="",T1599=0),"",(V1599-T1599)/T1599)</f>
        <v/>
      </c>
      <c r="X1599" s="7">
        <f>IF(COUNT(D1599:S1599)=0,"",INDEX($D$1:$S$1,MATCH(MIN(D1599:S1599),D1599:S1599,0)))</f>
        <v/>
      </c>
      <c r="Y1599" s="8" t="n">
        <v>51</v>
      </c>
      <c r="Z1599" s="10" t="n">
        <v>1</v>
      </c>
    </row>
    <row r="1600">
      <c r="A1600" s="7" t="inlineStr">
        <is>
          <t>MAT-32-246</t>
        </is>
      </c>
      <c r="B1600" s="4" t="inlineStr">
        <is>
          <t>Codo de HG 3/8"</t>
        </is>
      </c>
      <c r="C1600" s="7" t="inlineStr">
        <is>
          <t>unidad</t>
        </is>
      </c>
      <c r="D1600" s="8" t="n"/>
      <c r="E1600" s="8" t="n"/>
      <c r="F1600" s="8" t="n"/>
      <c r="G1600" s="8" t="n">
        <v>50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>
        <f>IF(COUNT(D1600:S1600)=0,"",MIN(D1600:S1600))</f>
        <v/>
      </c>
      <c r="U1600" s="8">
        <f>IF(COUNT(D1600:S1600)=0,"",MEDIAN(D1600:S1600))</f>
        <v/>
      </c>
      <c r="V1600" s="8">
        <f>IF(COUNT(D1600:S1600)=0,"",MAX(D1600:S1600))</f>
        <v/>
      </c>
      <c r="W1600" s="9">
        <f>IF(OR(T1600="",T1600=0),"",(V1600-T1600)/T1600)</f>
        <v/>
      </c>
      <c r="X1600" s="7">
        <f>IF(COUNT(D1600:S1600)=0,"",INDEX($D$1:$S$1,MATCH(MIN(D1600:S1600),D1600:S1600,0)))</f>
        <v/>
      </c>
      <c r="Y1600" s="8" t="n">
        <v>50</v>
      </c>
      <c r="Z1600" s="10" t="n">
        <v>1</v>
      </c>
    </row>
    <row r="1601">
      <c r="A1601" s="7" t="inlineStr">
        <is>
          <t>MAT-32-247</t>
        </is>
      </c>
      <c r="B1601" s="4" t="inlineStr">
        <is>
          <t>Codo de niquelado 1/2"</t>
        </is>
      </c>
      <c r="C1601" s="7" t="inlineStr">
        <is>
          <t>unidad</t>
        </is>
      </c>
      <c r="D1601" s="8" t="n"/>
      <c r="E1601" s="8" t="n"/>
      <c r="F1601" s="8" t="n"/>
      <c r="G1601" s="8" t="n">
        <v>363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>
        <f>IF(COUNT(D1601:S1601)=0,"",MIN(D1601:S1601))</f>
        <v/>
      </c>
      <c r="U1601" s="8">
        <f>IF(COUNT(D1601:S1601)=0,"",MEDIAN(D1601:S1601))</f>
        <v/>
      </c>
      <c r="V1601" s="8">
        <f>IF(COUNT(D1601:S1601)=0,"",MAX(D1601:S1601))</f>
        <v/>
      </c>
      <c r="W1601" s="9">
        <f>IF(OR(T1601="",T1601=0),"",(V1601-T1601)/T1601)</f>
        <v/>
      </c>
      <c r="X1601" s="7">
        <f>IF(COUNT(D1601:S1601)=0,"",INDEX($D$1:$S$1,MATCH(MIN(D1601:S1601),D1601:S1601,0)))</f>
        <v/>
      </c>
      <c r="Y1601" s="8" t="n">
        <v>363</v>
      </c>
      <c r="Z1601" s="10" t="n">
        <v>1</v>
      </c>
    </row>
    <row r="1602">
      <c r="A1602" s="7" t="inlineStr">
        <is>
          <t>MAT-32-248</t>
        </is>
      </c>
      <c r="B1602" s="4" t="inlineStr">
        <is>
          <t>Codo de plástico 16 mm</t>
        </is>
      </c>
      <c r="C1602" s="7" t="inlineStr">
        <is>
          <t>unidad</t>
        </is>
      </c>
      <c r="D1602" s="8" t="n"/>
      <c r="E1602" s="8" t="n">
        <v>28.58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>
        <f>IF(COUNT(D1602:S1602)=0,"",MIN(D1602:S1602))</f>
        <v/>
      </c>
      <c r="U1602" s="8">
        <f>IF(COUNT(D1602:S1602)=0,"",MEDIAN(D1602:S1602))</f>
        <v/>
      </c>
      <c r="V1602" s="8">
        <f>IF(COUNT(D1602:S1602)=0,"",MAX(D1602:S1602))</f>
        <v/>
      </c>
      <c r="W1602" s="9">
        <f>IF(OR(T1602="",T1602=0),"",(V1602-T1602)/T1602)</f>
        <v/>
      </c>
      <c r="X1602" s="7">
        <f>IF(COUNT(D1602:S1602)=0,"",INDEX($D$1:$S$1,MATCH(MIN(D1602:S1602),D1602:S1602,0)))</f>
        <v/>
      </c>
      <c r="Y1602" s="8" t="n">
        <v>28.58</v>
      </c>
      <c r="Z1602" s="10" t="n">
        <v>1</v>
      </c>
    </row>
    <row r="1603">
      <c r="A1603" s="7" t="inlineStr">
        <is>
          <t>MAT-32-249</t>
        </is>
      </c>
      <c r="B1603" s="4" t="inlineStr">
        <is>
          <t>Codo de PPR 20 mm</t>
        </is>
      </c>
      <c r="C1603" s="7" t="inlineStr">
        <is>
          <t>unidad</t>
        </is>
      </c>
      <c r="D1603" s="8" t="n"/>
      <c r="E1603" s="8" t="n">
        <v>8.59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>
        <f>IF(COUNT(D1603:S1603)=0,"",MIN(D1603:S1603))</f>
        <v/>
      </c>
      <c r="U1603" s="8">
        <f>IF(COUNT(D1603:S1603)=0,"",MEDIAN(D1603:S1603))</f>
        <v/>
      </c>
      <c r="V1603" s="8">
        <f>IF(COUNT(D1603:S1603)=0,"",MAX(D1603:S1603))</f>
        <v/>
      </c>
      <c r="W1603" s="9">
        <f>IF(OR(T1603="",T1603=0),"",(V1603-T1603)/T1603)</f>
        <v/>
      </c>
      <c r="X1603" s="7">
        <f>IF(COUNT(D1603:S1603)=0,"",INDEX($D$1:$S$1,MATCH(MIN(D1603:S1603),D1603:S1603,0)))</f>
        <v/>
      </c>
      <c r="Y1603" s="8" t="n">
        <v>65.56999999999999</v>
      </c>
      <c r="Z1603" s="10" t="n">
        <v>1</v>
      </c>
    </row>
    <row r="1604">
      <c r="A1604" s="7" t="inlineStr">
        <is>
          <t>MAT-32-250</t>
        </is>
      </c>
      <c r="B1604" s="4" t="inlineStr">
        <is>
          <t>Codo de PPR 25 mm</t>
        </is>
      </c>
      <c r="C1604" s="7" t="inlineStr">
        <is>
          <t>unidad</t>
        </is>
      </c>
      <c r="D1604" s="8" t="n"/>
      <c r="E1604" s="8" t="n">
        <v>15.37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>
        <f>IF(COUNT(D1604:S1604)=0,"",MIN(D1604:S1604))</f>
        <v/>
      </c>
      <c r="U1604" s="8">
        <f>IF(COUNT(D1604:S1604)=0,"",MEDIAN(D1604:S1604))</f>
        <v/>
      </c>
      <c r="V1604" s="8">
        <f>IF(COUNT(D1604:S1604)=0,"",MAX(D1604:S1604))</f>
        <v/>
      </c>
      <c r="W1604" s="9">
        <f>IF(OR(T1604="",T1604=0),"",(V1604-T1604)/T1604)</f>
        <v/>
      </c>
      <c r="X1604" s="7">
        <f>IF(COUNT(D1604:S1604)=0,"",INDEX($D$1:$S$1,MATCH(MIN(D1604:S1604),D1604:S1604,0)))</f>
        <v/>
      </c>
      <c r="Y1604" s="8" t="n">
        <v>80</v>
      </c>
      <c r="Z1604" s="10" t="n">
        <v>1</v>
      </c>
    </row>
    <row r="1605">
      <c r="A1605" s="7" t="inlineStr">
        <is>
          <t>MAT-32-251</t>
        </is>
      </c>
      <c r="B1605" s="4" t="inlineStr">
        <is>
          <t>Codo de PPR 32 mm</t>
        </is>
      </c>
      <c r="C1605" s="7" t="inlineStr">
        <is>
          <t>unidad</t>
        </is>
      </c>
      <c r="D1605" s="8" t="n"/>
      <c r="E1605" s="8" t="n">
        <v>87.15000000000001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>
        <f>IF(COUNT(D1605:S1605)=0,"",MIN(D1605:S1605))</f>
        <v/>
      </c>
      <c r="U1605" s="8">
        <f>IF(COUNT(D1605:S1605)=0,"",MEDIAN(D1605:S1605))</f>
        <v/>
      </c>
      <c r="V1605" s="8">
        <f>IF(COUNT(D1605:S1605)=0,"",MAX(D1605:S1605))</f>
        <v/>
      </c>
      <c r="W1605" s="9">
        <f>IF(OR(T1605="",T1605=0),"",(V1605-T1605)/T1605)</f>
        <v/>
      </c>
      <c r="X1605" s="7">
        <f>IF(COUNT(D1605:S1605)=0,"",INDEX($D$1:$S$1,MATCH(MIN(D1605:S1605),D1605:S1605,0)))</f>
        <v/>
      </c>
      <c r="Y1605" s="8" t="n">
        <v>92.89</v>
      </c>
      <c r="Z1605" s="10" t="n">
        <v>1</v>
      </c>
    </row>
    <row r="1606">
      <c r="A1606" s="7" t="inlineStr">
        <is>
          <t>MAT-32-252</t>
        </is>
      </c>
      <c r="B1606" s="4" t="inlineStr">
        <is>
          <t>Codo de PVC 1" x 1"</t>
        </is>
      </c>
      <c r="C1606" s="7" t="inlineStr">
        <is>
          <t>unidad</t>
        </is>
      </c>
      <c r="D1606" s="8" t="n"/>
      <c r="E1606" s="8" t="n">
        <v>47.12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>
        <f>IF(COUNT(D1606:S1606)=0,"",MIN(D1606:S1606))</f>
        <v/>
      </c>
      <c r="U1606" s="8">
        <f>IF(COUNT(D1606:S1606)=0,"",MEDIAN(D1606:S1606))</f>
        <v/>
      </c>
      <c r="V1606" s="8">
        <f>IF(COUNT(D1606:S1606)=0,"",MAX(D1606:S1606))</f>
        <v/>
      </c>
      <c r="W1606" s="9">
        <f>IF(OR(T1606="",T1606=0),"",(V1606-T1606)/T1606)</f>
        <v/>
      </c>
      <c r="X1606" s="7">
        <f>IF(COUNT(D1606:S1606)=0,"",INDEX($D$1:$S$1,MATCH(MIN(D1606:S1606),D1606:S1606,0)))</f>
        <v/>
      </c>
      <c r="Y1606" s="8" t="n">
        <v>47.12</v>
      </c>
      <c r="Z1606" s="10" t="n">
        <v>1</v>
      </c>
    </row>
    <row r="1607">
      <c r="A1607" s="7" t="inlineStr">
        <is>
          <t>MAT-32-253</t>
        </is>
      </c>
      <c r="B1607" s="4" t="inlineStr">
        <is>
          <t>Codo de PVC 3/4"</t>
        </is>
      </c>
      <c r="C1607" s="7" t="inlineStr">
        <is>
          <t>unidad</t>
        </is>
      </c>
      <c r="D1607" s="8" t="n"/>
      <c r="E1607" s="8" t="n">
        <v>40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>
        <f>IF(COUNT(D1607:S1607)=0,"",MIN(D1607:S1607))</f>
        <v/>
      </c>
      <c r="U1607" s="8">
        <f>IF(COUNT(D1607:S1607)=0,"",MEDIAN(D1607:S1607))</f>
        <v/>
      </c>
      <c r="V1607" s="8">
        <f>IF(COUNT(D1607:S1607)=0,"",MAX(D1607:S1607))</f>
        <v/>
      </c>
      <c r="W1607" s="9">
        <f>IF(OR(T1607="",T1607=0),"",(V1607-T1607)/T1607)</f>
        <v/>
      </c>
      <c r="X1607" s="7">
        <f>IF(COUNT(D1607:S1607)=0,"",INDEX($D$1:$S$1,MATCH(MIN(D1607:S1607),D1607:S1607,0)))</f>
        <v/>
      </c>
      <c r="Y1607" s="8" t="n">
        <v>40</v>
      </c>
      <c r="Z1607" s="10" t="n">
        <v>1</v>
      </c>
    </row>
    <row r="1608">
      <c r="A1608" s="7" t="inlineStr">
        <is>
          <t>MAT-32-254</t>
        </is>
      </c>
      <c r="B1608" s="4" t="inlineStr">
        <is>
          <t>Codo niple de bronce 3/8"</t>
        </is>
      </c>
      <c r="C1608" s="7" t="inlineStr">
        <is>
          <t>unidad</t>
        </is>
      </c>
      <c r="D1608" s="8" t="n"/>
      <c r="E1608" s="8" t="n"/>
      <c r="F1608" s="8" t="n"/>
      <c r="G1608" s="8" t="n">
        <v>179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>
        <f>IF(COUNT(D1608:S1608)=0,"",MIN(D1608:S1608))</f>
        <v/>
      </c>
      <c r="U1608" s="8">
        <f>IF(COUNT(D1608:S1608)=0,"",MEDIAN(D1608:S1608))</f>
        <v/>
      </c>
      <c r="V1608" s="8">
        <f>IF(COUNT(D1608:S1608)=0,"",MAX(D1608:S1608))</f>
        <v/>
      </c>
      <c r="W1608" s="9">
        <f>IF(OR(T1608="",T1608=0),"",(V1608-T1608)/T1608)</f>
        <v/>
      </c>
      <c r="X1608" s="7">
        <f>IF(COUNT(D1608:S1608)=0,"",INDEX($D$1:$S$1,MATCH(MIN(D1608:S1608),D1608:S1608,0)))</f>
        <v/>
      </c>
      <c r="Y1608" s="8" t="n">
        <v>179</v>
      </c>
      <c r="Z1608" s="10" t="n">
        <v>1</v>
      </c>
    </row>
    <row r="1609">
      <c r="A1609" s="7" t="inlineStr">
        <is>
          <t>MAT-32-255</t>
        </is>
      </c>
      <c r="B1609" s="4" t="inlineStr">
        <is>
          <t>Codo niple de HG 1 1/2"</t>
        </is>
      </c>
      <c r="C1609" s="7" t="inlineStr">
        <is>
          <t>unidad</t>
        </is>
      </c>
      <c r="D1609" s="8" t="n"/>
      <c r="E1609" s="8" t="n"/>
      <c r="F1609" s="8" t="n"/>
      <c r="G1609" s="8" t="n">
        <v>215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>
        <f>IF(COUNT(D1609:S1609)=0,"",MIN(D1609:S1609))</f>
        <v/>
      </c>
      <c r="U1609" s="8">
        <f>IF(COUNT(D1609:S1609)=0,"",MEDIAN(D1609:S1609))</f>
        <v/>
      </c>
      <c r="V1609" s="8">
        <f>IF(COUNT(D1609:S1609)=0,"",MAX(D1609:S1609))</f>
        <v/>
      </c>
      <c r="W1609" s="9">
        <f>IF(OR(T1609="",T1609=0),"",(V1609-T1609)/T1609)</f>
        <v/>
      </c>
      <c r="X1609" s="7">
        <f>IF(COUNT(D1609:S1609)=0,"",INDEX($D$1:$S$1,MATCH(MIN(D1609:S1609),D1609:S1609,0)))</f>
        <v/>
      </c>
      <c r="Y1609" s="8" t="n">
        <v>215</v>
      </c>
      <c r="Z1609" s="10" t="n">
        <v>1</v>
      </c>
    </row>
    <row r="1610">
      <c r="A1610" s="7" t="inlineStr">
        <is>
          <t>MAT-32-256</t>
        </is>
      </c>
      <c r="B1610" s="4" t="inlineStr">
        <is>
          <t>Codo niple de HG 1 1/4"</t>
        </is>
      </c>
      <c r="C1610" s="7" t="inlineStr">
        <is>
          <t>unidad</t>
        </is>
      </c>
      <c r="D1610" s="8" t="n"/>
      <c r="E1610" s="8" t="n"/>
      <c r="F1610" s="8" t="n"/>
      <c r="G1610" s="8" t="n">
        <v>160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>
        <f>IF(COUNT(D1610:S1610)=0,"",MIN(D1610:S1610))</f>
        <v/>
      </c>
      <c r="U1610" s="8">
        <f>IF(COUNT(D1610:S1610)=0,"",MEDIAN(D1610:S1610))</f>
        <v/>
      </c>
      <c r="V1610" s="8">
        <f>IF(COUNT(D1610:S1610)=0,"",MAX(D1610:S1610))</f>
        <v/>
      </c>
      <c r="W1610" s="9">
        <f>IF(OR(T1610="",T1610=0),"",(V1610-T1610)/T1610)</f>
        <v/>
      </c>
      <c r="X1610" s="7">
        <f>IF(COUNT(D1610:S1610)=0,"",INDEX($D$1:$S$1,MATCH(MIN(D1610:S1610),D1610:S1610,0)))</f>
        <v/>
      </c>
      <c r="Y1610" s="8" t="n">
        <v>160</v>
      </c>
      <c r="Z1610" s="10" t="n">
        <v>1</v>
      </c>
    </row>
    <row r="1611">
      <c r="A1611" s="7" t="inlineStr">
        <is>
          <t>MAT-32-257</t>
        </is>
      </c>
      <c r="B1611" s="4" t="inlineStr">
        <is>
          <t>Codo niple de HG 1/2"</t>
        </is>
      </c>
      <c r="C1611" s="7" t="inlineStr">
        <is>
          <t>unidad</t>
        </is>
      </c>
      <c r="D1611" s="8" t="n"/>
      <c r="E1611" s="8" t="n"/>
      <c r="F1611" s="8" t="n"/>
      <c r="G1611" s="8" t="n">
        <v>45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>
        <f>IF(COUNT(D1611:S1611)=0,"",MIN(D1611:S1611))</f>
        <v/>
      </c>
      <c r="U1611" s="8">
        <f>IF(COUNT(D1611:S1611)=0,"",MEDIAN(D1611:S1611))</f>
        <v/>
      </c>
      <c r="V1611" s="8">
        <f>IF(COUNT(D1611:S1611)=0,"",MAX(D1611:S1611))</f>
        <v/>
      </c>
      <c r="W1611" s="9">
        <f>IF(OR(T1611="",T1611=0),"",(V1611-T1611)/T1611)</f>
        <v/>
      </c>
      <c r="X1611" s="7">
        <f>IF(COUNT(D1611:S1611)=0,"",INDEX($D$1:$S$1,MATCH(MIN(D1611:S1611),D1611:S1611,0)))</f>
        <v/>
      </c>
      <c r="Y1611" s="8" t="n">
        <v>45</v>
      </c>
      <c r="Z1611" s="10" t="n">
        <v>1</v>
      </c>
    </row>
    <row r="1612">
      <c r="A1612" s="7" t="inlineStr">
        <is>
          <t>MAT-32-258</t>
        </is>
      </c>
      <c r="B1612" s="4" t="inlineStr">
        <is>
          <t>Codo niple de HG 1/4"</t>
        </is>
      </c>
      <c r="C1612" s="7" t="inlineStr">
        <is>
          <t>unidad</t>
        </is>
      </c>
      <c r="D1612" s="8" t="n"/>
      <c r="E1612" s="8" t="n"/>
      <c r="F1612" s="8" t="n"/>
      <c r="G1612" s="8" t="n">
        <v>39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>
        <f>IF(COUNT(D1612:S1612)=0,"",MIN(D1612:S1612))</f>
        <v/>
      </c>
      <c r="U1612" s="8">
        <f>IF(COUNT(D1612:S1612)=0,"",MEDIAN(D1612:S1612))</f>
        <v/>
      </c>
      <c r="V1612" s="8">
        <f>IF(COUNT(D1612:S1612)=0,"",MAX(D1612:S1612))</f>
        <v/>
      </c>
      <c r="W1612" s="9">
        <f>IF(OR(T1612="",T1612=0),"",(V1612-T1612)/T1612)</f>
        <v/>
      </c>
      <c r="X1612" s="7">
        <f>IF(COUNT(D1612:S1612)=0,"",INDEX($D$1:$S$1,MATCH(MIN(D1612:S1612),D1612:S1612,0)))</f>
        <v/>
      </c>
      <c r="Y1612" s="8" t="n">
        <v>39</v>
      </c>
      <c r="Z1612" s="10" t="n">
        <v>1</v>
      </c>
    </row>
    <row r="1613">
      <c r="A1613" s="7" t="inlineStr">
        <is>
          <t>MAT-32-259</t>
        </is>
      </c>
      <c r="B1613" s="4" t="inlineStr">
        <is>
          <t>Codo niple de HG 1"</t>
        </is>
      </c>
      <c r="C1613" s="7" t="inlineStr">
        <is>
          <t>unidad</t>
        </is>
      </c>
      <c r="D1613" s="8" t="n"/>
      <c r="E1613" s="8" t="n"/>
      <c r="F1613" s="8" t="n"/>
      <c r="G1613" s="8" t="n">
        <v>149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>
        <f>IF(COUNT(D1613:S1613)=0,"",MIN(D1613:S1613))</f>
        <v/>
      </c>
      <c r="U1613" s="8">
        <f>IF(COUNT(D1613:S1613)=0,"",MEDIAN(D1613:S1613))</f>
        <v/>
      </c>
      <c r="V1613" s="8">
        <f>IF(COUNT(D1613:S1613)=0,"",MAX(D1613:S1613))</f>
        <v/>
      </c>
      <c r="W1613" s="9">
        <f>IF(OR(T1613="",T1613=0),"",(V1613-T1613)/T1613)</f>
        <v/>
      </c>
      <c r="X1613" s="7">
        <f>IF(COUNT(D1613:S1613)=0,"",INDEX($D$1:$S$1,MATCH(MIN(D1613:S1613),D1613:S1613,0)))</f>
        <v/>
      </c>
      <c r="Y1613" s="8" t="n">
        <v>149</v>
      </c>
      <c r="Z1613" s="10" t="n">
        <v>1</v>
      </c>
    </row>
    <row r="1614">
      <c r="A1614" s="7" t="inlineStr">
        <is>
          <t>MAT-32-260</t>
        </is>
      </c>
      <c r="B1614" s="4" t="inlineStr">
        <is>
          <t>Codo niple de HG 2"</t>
        </is>
      </c>
      <c r="C1614" s="7" t="inlineStr">
        <is>
          <t>unidad</t>
        </is>
      </c>
      <c r="D1614" s="8" t="n"/>
      <c r="E1614" s="8" t="n"/>
      <c r="F1614" s="8" t="n"/>
      <c r="G1614" s="8" t="n">
        <v>266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>
        <f>IF(COUNT(D1614:S1614)=0,"",MIN(D1614:S1614))</f>
        <v/>
      </c>
      <c r="U1614" s="8">
        <f>IF(COUNT(D1614:S1614)=0,"",MEDIAN(D1614:S1614))</f>
        <v/>
      </c>
      <c r="V1614" s="8">
        <f>IF(COUNT(D1614:S1614)=0,"",MAX(D1614:S1614))</f>
        <v/>
      </c>
      <c r="W1614" s="9">
        <f>IF(OR(T1614="",T1614=0),"",(V1614-T1614)/T1614)</f>
        <v/>
      </c>
      <c r="X1614" s="7">
        <f>IF(COUNT(D1614:S1614)=0,"",INDEX($D$1:$S$1,MATCH(MIN(D1614:S1614),D1614:S1614,0)))</f>
        <v/>
      </c>
      <c r="Y1614" s="8" t="n">
        <v>266</v>
      </c>
      <c r="Z1614" s="10" t="n">
        <v>1</v>
      </c>
    </row>
    <row r="1615">
      <c r="A1615" s="7" t="inlineStr">
        <is>
          <t>MAT-32-261</t>
        </is>
      </c>
      <c r="B1615" s="4" t="inlineStr">
        <is>
          <t>Codo niple de HG 3/4"</t>
        </is>
      </c>
      <c r="C1615" s="7" t="inlineStr">
        <is>
          <t>unidad</t>
        </is>
      </c>
      <c r="D1615" s="8" t="n"/>
      <c r="E1615" s="8" t="n"/>
      <c r="F1615" s="8" t="n"/>
      <c r="G1615" s="8" t="n">
        <v>92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>
        <f>IF(COUNT(D1615:S1615)=0,"",MIN(D1615:S1615))</f>
        <v/>
      </c>
      <c r="U1615" s="8">
        <f>IF(COUNT(D1615:S1615)=0,"",MEDIAN(D1615:S1615))</f>
        <v/>
      </c>
      <c r="V1615" s="8">
        <f>IF(COUNT(D1615:S1615)=0,"",MAX(D1615:S1615))</f>
        <v/>
      </c>
      <c r="W1615" s="9">
        <f>IF(OR(T1615="",T1615=0),"",(V1615-T1615)/T1615)</f>
        <v/>
      </c>
      <c r="X1615" s="7">
        <f>IF(COUNT(D1615:S1615)=0,"",INDEX($D$1:$S$1,MATCH(MIN(D1615:S1615),D1615:S1615,0)))</f>
        <v/>
      </c>
      <c r="Y1615" s="8" t="n">
        <v>92</v>
      </c>
      <c r="Z1615" s="10" t="n">
        <v>1</v>
      </c>
    </row>
    <row r="1616">
      <c r="A1616" s="7" t="inlineStr">
        <is>
          <t>MAT-32-262</t>
        </is>
      </c>
      <c r="B1616" s="4" t="inlineStr">
        <is>
          <t>Codo niple de niquelado 1/2"</t>
        </is>
      </c>
      <c r="C1616" s="7" t="inlineStr">
        <is>
          <t>unidad</t>
        </is>
      </c>
      <c r="D1616" s="8" t="n"/>
      <c r="E1616" s="8" t="n"/>
      <c r="F1616" s="8" t="n"/>
      <c r="G1616" s="8" t="n">
        <v>333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>
        <f>IF(COUNT(D1616:S1616)=0,"",MIN(D1616:S1616))</f>
        <v/>
      </c>
      <c r="U1616" s="8">
        <f>IF(COUNT(D1616:S1616)=0,"",MEDIAN(D1616:S1616))</f>
        <v/>
      </c>
      <c r="V1616" s="8">
        <f>IF(COUNT(D1616:S1616)=0,"",MAX(D1616:S1616))</f>
        <v/>
      </c>
      <c r="W1616" s="9">
        <f>IF(OR(T1616="",T1616=0),"",(V1616-T1616)/T1616)</f>
        <v/>
      </c>
      <c r="X1616" s="7">
        <f>IF(COUNT(D1616:S1616)=0,"",INDEX($D$1:$S$1,MATCH(MIN(D1616:S1616),D1616:S1616,0)))</f>
        <v/>
      </c>
      <c r="Y1616" s="8" t="n">
        <v>333</v>
      </c>
      <c r="Z1616" s="10" t="n">
        <v>1</v>
      </c>
    </row>
    <row r="1617">
      <c r="A1617" s="7" t="inlineStr">
        <is>
          <t>MAT-32-263</t>
        </is>
      </c>
      <c r="B1617" s="4" t="inlineStr">
        <is>
          <t>Coupling de HG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199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>
        <f>IF(COUNT(D1617:S1617)=0,"",MIN(D1617:S1617))</f>
        <v/>
      </c>
      <c r="U1617" s="8">
        <f>IF(COUNT(D1617:S1617)=0,"",MEDIAN(D1617:S1617))</f>
        <v/>
      </c>
      <c r="V1617" s="8">
        <f>IF(COUNT(D1617:S1617)=0,"",MAX(D1617:S1617))</f>
        <v/>
      </c>
      <c r="W1617" s="9">
        <f>IF(OR(T1617="",T1617=0),"",(V1617-T1617)/T1617)</f>
        <v/>
      </c>
      <c r="X1617" s="7">
        <f>IF(COUNT(D1617:S1617)=0,"",INDEX($D$1:$S$1,MATCH(MIN(D1617:S1617),D1617:S1617,0)))</f>
        <v/>
      </c>
      <c r="Y1617" s="8" t="n">
        <v>199</v>
      </c>
      <c r="Z1617" s="10" t="n">
        <v>1</v>
      </c>
    </row>
    <row r="1618">
      <c r="A1618" s="7" t="inlineStr">
        <is>
          <t>MAT-32-264</t>
        </is>
      </c>
      <c r="B1618" s="4" t="inlineStr">
        <is>
          <t>Coupling de HG 1 1/4"</t>
        </is>
      </c>
      <c r="C1618" s="7" t="inlineStr">
        <is>
          <t>unidad</t>
        </is>
      </c>
      <c r="D1618" s="8" t="n"/>
      <c r="E1618" s="8" t="n"/>
      <c r="F1618" s="8" t="n"/>
      <c r="G1618" s="8" t="n">
        <v>141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>
        <f>IF(COUNT(D1618:S1618)=0,"",MIN(D1618:S1618))</f>
        <v/>
      </c>
      <c r="U1618" s="8">
        <f>IF(COUNT(D1618:S1618)=0,"",MEDIAN(D1618:S1618))</f>
        <v/>
      </c>
      <c r="V1618" s="8">
        <f>IF(COUNT(D1618:S1618)=0,"",MAX(D1618:S1618))</f>
        <v/>
      </c>
      <c r="W1618" s="9">
        <f>IF(OR(T1618="",T1618=0),"",(V1618-T1618)/T1618)</f>
        <v/>
      </c>
      <c r="X1618" s="7">
        <f>IF(COUNT(D1618:S1618)=0,"",INDEX($D$1:$S$1,MATCH(MIN(D1618:S1618),D1618:S1618,0)))</f>
        <v/>
      </c>
      <c r="Y1618" s="8" t="n">
        <v>141</v>
      </c>
      <c r="Z1618" s="10" t="n">
        <v>1</v>
      </c>
    </row>
    <row r="1619">
      <c r="A1619" s="7" t="inlineStr">
        <is>
          <t>MAT-32-265</t>
        </is>
      </c>
      <c r="B1619" s="4" t="inlineStr">
        <is>
          <t>Coupling de HG 1/2"</t>
        </is>
      </c>
      <c r="C1619" s="7" t="inlineStr">
        <is>
          <t>unidad</t>
        </is>
      </c>
      <c r="D1619" s="8" t="n"/>
      <c r="E1619" s="8" t="n"/>
      <c r="F1619" s="8" t="n"/>
      <c r="G1619" s="8" t="n">
        <v>25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>
        <f>IF(COUNT(D1619:S1619)=0,"",MIN(D1619:S1619))</f>
        <v/>
      </c>
      <c r="U1619" s="8">
        <f>IF(COUNT(D1619:S1619)=0,"",MEDIAN(D1619:S1619))</f>
        <v/>
      </c>
      <c r="V1619" s="8">
        <f>IF(COUNT(D1619:S1619)=0,"",MAX(D1619:S1619))</f>
        <v/>
      </c>
      <c r="W1619" s="9">
        <f>IF(OR(T1619="",T1619=0),"",(V1619-T1619)/T1619)</f>
        <v/>
      </c>
      <c r="X1619" s="7">
        <f>IF(COUNT(D1619:S1619)=0,"",INDEX($D$1:$S$1,MATCH(MIN(D1619:S1619),D1619:S1619,0)))</f>
        <v/>
      </c>
      <c r="Y1619" s="8" t="n">
        <v>25</v>
      </c>
      <c r="Z1619" s="10" t="n">
        <v>1</v>
      </c>
    </row>
    <row r="1620">
      <c r="A1620" s="7" t="inlineStr">
        <is>
          <t>MAT-32-266</t>
        </is>
      </c>
      <c r="B1620" s="4" t="inlineStr">
        <is>
          <t>Coupling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>
        <f>IF(COUNT(D1620:S1620)=0,"",MIN(D1620:S1620))</f>
        <v/>
      </c>
      <c r="U1620" s="8">
        <f>IF(COUNT(D1620:S1620)=0,"",MEDIAN(D1620:S1620))</f>
        <v/>
      </c>
      <c r="V1620" s="8">
        <f>IF(COUNT(D1620:S1620)=0,"",MAX(D1620:S1620))</f>
        <v/>
      </c>
      <c r="W1620" s="9">
        <f>IF(OR(T1620="",T1620=0),"",(V1620-T1620)/T1620)</f>
        <v/>
      </c>
      <c r="X1620" s="7">
        <f>IF(COUNT(D1620:S1620)=0,"",INDEX($D$1:$S$1,MATCH(MIN(D1620:S1620),D1620:S1620,0)))</f>
        <v/>
      </c>
      <c r="Y1620" s="8" t="n">
        <v>65</v>
      </c>
      <c r="Z1620" s="10" t="n">
        <v>1</v>
      </c>
    </row>
    <row r="1621">
      <c r="A1621" s="7" t="inlineStr">
        <is>
          <t>MAT-32-267</t>
        </is>
      </c>
      <c r="B1621" s="4" t="inlineStr">
        <is>
          <t>Coupling de HG 2"</t>
        </is>
      </c>
      <c r="C1621" s="7" t="inlineStr">
        <is>
          <t>unidad</t>
        </is>
      </c>
      <c r="D1621" s="8" t="n"/>
      <c r="E1621" s="8" t="n"/>
      <c r="F1621" s="8" t="n"/>
      <c r="G1621" s="8" t="n">
        <v>237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>
        <f>IF(COUNT(D1621:S1621)=0,"",MIN(D1621:S1621))</f>
        <v/>
      </c>
      <c r="U1621" s="8">
        <f>IF(COUNT(D1621:S1621)=0,"",MEDIAN(D1621:S1621))</f>
        <v/>
      </c>
      <c r="V1621" s="8">
        <f>IF(COUNT(D1621:S1621)=0,"",MAX(D1621:S1621))</f>
        <v/>
      </c>
      <c r="W1621" s="9">
        <f>IF(OR(T1621="",T1621=0),"",(V1621-T1621)/T1621)</f>
        <v/>
      </c>
      <c r="X1621" s="7">
        <f>IF(COUNT(D1621:S1621)=0,"",INDEX($D$1:$S$1,MATCH(MIN(D1621:S1621),D1621:S1621,0)))</f>
        <v/>
      </c>
      <c r="Y1621" s="8" t="n">
        <v>237</v>
      </c>
      <c r="Z1621" s="10" t="n">
        <v>1</v>
      </c>
    </row>
    <row r="1622">
      <c r="A1622" s="7" t="inlineStr">
        <is>
          <t>MAT-32-268</t>
        </is>
      </c>
      <c r="B1622" s="4" t="inlineStr">
        <is>
          <t>Coupling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>
        <f>IF(COUNT(D1622:S1622)=0,"",MIN(D1622:S1622))</f>
        <v/>
      </c>
      <c r="U1622" s="8">
        <f>IF(COUNT(D1622:S1622)=0,"",MEDIAN(D1622:S1622))</f>
        <v/>
      </c>
      <c r="V1622" s="8">
        <f>IF(COUNT(D1622:S1622)=0,"",MAX(D1622:S1622))</f>
        <v/>
      </c>
      <c r="W1622" s="9">
        <f>IF(OR(T1622="",T1622=0),"",(V1622-T1622)/T1622)</f>
        <v/>
      </c>
      <c r="X1622" s="7">
        <f>IF(COUNT(D1622:S1622)=0,"",INDEX($D$1:$S$1,MATCH(MIN(D1622:S1622),D1622:S1622,0)))</f>
        <v/>
      </c>
      <c r="Y1622" s="8" t="n">
        <v>35</v>
      </c>
      <c r="Z1622" s="10" t="n">
        <v>1</v>
      </c>
    </row>
    <row r="1623">
      <c r="A1623" s="7" t="inlineStr">
        <is>
          <t>MAT-32-269</t>
        </is>
      </c>
      <c r="B1623" s="4" t="inlineStr">
        <is>
          <t>Coupling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42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>
        <f>IF(COUNT(D1623:S1623)=0,"",MIN(D1623:S1623))</f>
        <v/>
      </c>
      <c r="U1623" s="8">
        <f>IF(COUNT(D1623:S1623)=0,"",MEDIAN(D1623:S1623))</f>
        <v/>
      </c>
      <c r="V1623" s="8">
        <f>IF(COUNT(D1623:S1623)=0,"",MAX(D1623:S1623))</f>
        <v/>
      </c>
      <c r="W1623" s="9">
        <f>IF(OR(T1623="",T1623=0),"",(V1623-T1623)/T1623)</f>
        <v/>
      </c>
      <c r="X1623" s="7">
        <f>IF(COUNT(D1623:S1623)=0,"",INDEX($D$1:$S$1,MATCH(MIN(D1623:S1623),D1623:S1623,0)))</f>
        <v/>
      </c>
      <c r="Y1623" s="8" t="n">
        <v>42</v>
      </c>
      <c r="Z1623" s="10" t="n">
        <v>1</v>
      </c>
    </row>
    <row r="1624">
      <c r="A1624" s="7" t="inlineStr">
        <is>
          <t>MAT-32-270</t>
        </is>
      </c>
      <c r="B1624" s="4" t="inlineStr">
        <is>
          <t>Coupling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247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>
        <f>IF(COUNT(D1624:S1624)=0,"",MIN(D1624:S1624))</f>
        <v/>
      </c>
      <c r="U1624" s="8">
        <f>IF(COUNT(D1624:S1624)=0,"",MEDIAN(D1624:S1624))</f>
        <v/>
      </c>
      <c r="V1624" s="8">
        <f>IF(COUNT(D1624:S1624)=0,"",MAX(D1624:S1624))</f>
        <v/>
      </c>
      <c r="W1624" s="9">
        <f>IF(OR(T1624="",T1624=0),"",(V1624-T1624)/T1624)</f>
        <v/>
      </c>
      <c r="X1624" s="7">
        <f>IF(COUNT(D1624:S1624)=0,"",INDEX($D$1:$S$1,MATCH(MIN(D1624:S1624),D1624:S1624,0)))</f>
        <v/>
      </c>
      <c r="Y1624" s="8" t="n">
        <v>247</v>
      </c>
      <c r="Z1624" s="10" t="n">
        <v>1</v>
      </c>
    </row>
    <row r="1625">
      <c r="A1625" s="7" t="inlineStr">
        <is>
          <t>MAT-32-271</t>
        </is>
      </c>
      <c r="B1625" s="4" t="inlineStr">
        <is>
          <t>Coupling de PPR 25 mm</t>
        </is>
      </c>
      <c r="C1625" s="7" t="inlineStr">
        <is>
          <t>unidad</t>
        </is>
      </c>
      <c r="D1625" s="8" t="n"/>
      <c r="E1625" s="8" t="n"/>
      <c r="F1625" s="8" t="n"/>
      <c r="G1625" s="8" t="n">
        <v>40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>
        <f>IF(COUNT(D1625:S1625)=0,"",MIN(D1625:S1625))</f>
        <v/>
      </c>
      <c r="U1625" s="8">
        <f>IF(COUNT(D1625:S1625)=0,"",MEDIAN(D1625:S1625))</f>
        <v/>
      </c>
      <c r="V1625" s="8">
        <f>IF(COUNT(D1625:S1625)=0,"",MAX(D1625:S1625))</f>
        <v/>
      </c>
      <c r="W1625" s="9">
        <f>IF(OR(T1625="",T1625=0),"",(V1625-T1625)/T1625)</f>
        <v/>
      </c>
      <c r="X1625" s="7">
        <f>IF(COUNT(D1625:S1625)=0,"",INDEX($D$1:$S$1,MATCH(MIN(D1625:S1625),D1625:S1625,0)))</f>
        <v/>
      </c>
      <c r="Y1625" s="8" t="n">
        <v>40</v>
      </c>
      <c r="Z1625" s="10" t="n">
        <v>1</v>
      </c>
    </row>
    <row r="1626">
      <c r="A1626" s="7" t="inlineStr">
        <is>
          <t>MAT-32-272</t>
        </is>
      </c>
      <c r="B1626" s="4" t="inlineStr">
        <is>
          <t>Coupling de PPR 32 mm</t>
        </is>
      </c>
      <c r="C1626" s="7" t="inlineStr">
        <is>
          <t>unidad</t>
        </is>
      </c>
      <c r="D1626" s="8" t="n"/>
      <c r="E1626" s="8" t="n"/>
      <c r="F1626" s="8" t="n"/>
      <c r="G1626" s="8" t="n">
        <v>35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>
        <f>IF(COUNT(D1626:S1626)=0,"",MIN(D1626:S1626))</f>
        <v/>
      </c>
      <c r="U1626" s="8">
        <f>IF(COUNT(D1626:S1626)=0,"",MEDIAN(D1626:S1626))</f>
        <v/>
      </c>
      <c r="V1626" s="8">
        <f>IF(COUNT(D1626:S1626)=0,"",MAX(D1626:S1626))</f>
        <v/>
      </c>
      <c r="W1626" s="9">
        <f>IF(OR(T1626="",T1626=0),"",(V1626-T1626)/T1626)</f>
        <v/>
      </c>
      <c r="X1626" s="7">
        <f>IF(COUNT(D1626:S1626)=0,"",INDEX($D$1:$S$1,MATCH(MIN(D1626:S1626),D1626:S1626,0)))</f>
        <v/>
      </c>
      <c r="Y1626" s="8" t="n">
        <v>35</v>
      </c>
      <c r="Z1626" s="10" t="n">
        <v>1</v>
      </c>
    </row>
    <row r="1627">
      <c r="A1627" s="7" t="inlineStr">
        <is>
          <t>MAT-32-273</t>
        </is>
      </c>
      <c r="B1627" s="4" t="inlineStr">
        <is>
          <t>Coupling de PVC presión 1 1/2"</t>
        </is>
      </c>
      <c r="C1627" s="7" t="inlineStr">
        <is>
          <t>unidad</t>
        </is>
      </c>
      <c r="D1627" s="8" t="n"/>
      <c r="E1627" s="8" t="n"/>
      <c r="F1627" s="8" t="n"/>
      <c r="G1627" s="8" t="n">
        <v>65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>
        <f>IF(COUNT(D1627:S1627)=0,"",MIN(D1627:S1627))</f>
        <v/>
      </c>
      <c r="U1627" s="8">
        <f>IF(COUNT(D1627:S1627)=0,"",MEDIAN(D1627:S1627))</f>
        <v/>
      </c>
      <c r="V1627" s="8">
        <f>IF(COUNT(D1627:S1627)=0,"",MAX(D1627:S1627))</f>
        <v/>
      </c>
      <c r="W1627" s="9">
        <f>IF(OR(T1627="",T1627=0),"",(V1627-T1627)/T1627)</f>
        <v/>
      </c>
      <c r="X1627" s="7">
        <f>IF(COUNT(D1627:S1627)=0,"",INDEX($D$1:$S$1,MATCH(MIN(D1627:S1627),D1627:S1627,0)))</f>
        <v/>
      </c>
      <c r="Y1627" s="8" t="n">
        <v>65</v>
      </c>
      <c r="Z1627" s="10" t="n">
        <v>1</v>
      </c>
    </row>
    <row r="1628">
      <c r="A1628" s="7" t="inlineStr">
        <is>
          <t>MAT-32-274</t>
        </is>
      </c>
      <c r="B1628" s="4" t="inlineStr">
        <is>
          <t>Coupling de PVC presión 1/2"</t>
        </is>
      </c>
      <c r="C1628" s="7" t="inlineStr">
        <is>
          <t>unidad</t>
        </is>
      </c>
      <c r="D1628" s="8" t="n"/>
      <c r="E1628" s="8" t="n"/>
      <c r="F1628" s="8" t="n"/>
      <c r="G1628" s="8" t="n">
        <v>27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>
        <f>IF(COUNT(D1628:S1628)=0,"",MIN(D1628:S1628))</f>
        <v/>
      </c>
      <c r="U1628" s="8">
        <f>IF(COUNT(D1628:S1628)=0,"",MEDIAN(D1628:S1628))</f>
        <v/>
      </c>
      <c r="V1628" s="8">
        <f>IF(COUNT(D1628:S1628)=0,"",MAX(D1628:S1628))</f>
        <v/>
      </c>
      <c r="W1628" s="9">
        <f>IF(OR(T1628="",T1628=0),"",(V1628-T1628)/T1628)</f>
        <v/>
      </c>
      <c r="X1628" s="7">
        <f>IF(COUNT(D1628:S1628)=0,"",INDEX($D$1:$S$1,MATCH(MIN(D1628:S1628),D1628:S1628,0)))</f>
        <v/>
      </c>
      <c r="Y1628" s="8" t="n">
        <v>27</v>
      </c>
      <c r="Z1628" s="10" t="n">
        <v>1</v>
      </c>
    </row>
    <row r="1629">
      <c r="A1629" s="7" t="inlineStr">
        <is>
          <t>MAT-32-275</t>
        </is>
      </c>
      <c r="B1629" s="4" t="inlineStr">
        <is>
          <t>Coupling de PVC presión 1"</t>
        </is>
      </c>
      <c r="C1629" s="7" t="inlineStr">
        <is>
          <t>unidad</t>
        </is>
      </c>
      <c r="D1629" s="8" t="n"/>
      <c r="E1629" s="8" t="n"/>
      <c r="F1629" s="8" t="n"/>
      <c r="G1629" s="8" t="n">
        <v>41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>
        <f>IF(COUNT(D1629:S1629)=0,"",MIN(D1629:S1629))</f>
        <v/>
      </c>
      <c r="U1629" s="8">
        <f>IF(COUNT(D1629:S1629)=0,"",MEDIAN(D1629:S1629))</f>
        <v/>
      </c>
      <c r="V1629" s="8">
        <f>IF(COUNT(D1629:S1629)=0,"",MAX(D1629:S1629))</f>
        <v/>
      </c>
      <c r="W1629" s="9">
        <f>IF(OR(T1629="",T1629=0),"",(V1629-T1629)/T1629)</f>
        <v/>
      </c>
      <c r="X1629" s="7">
        <f>IF(COUNT(D1629:S1629)=0,"",INDEX($D$1:$S$1,MATCH(MIN(D1629:S1629),D1629:S1629,0)))</f>
        <v/>
      </c>
      <c r="Y1629" s="8" t="n">
        <v>41</v>
      </c>
      <c r="Z1629" s="10" t="n">
        <v>1</v>
      </c>
    </row>
    <row r="1630">
      <c r="A1630" s="7" t="inlineStr">
        <is>
          <t>MAT-32-276</t>
        </is>
      </c>
      <c r="B1630" s="4" t="inlineStr">
        <is>
          <t>Coupling de PVC presión 2"</t>
        </is>
      </c>
      <c r="C1630" s="7" t="inlineStr">
        <is>
          <t>unidad</t>
        </is>
      </c>
      <c r="D1630" s="8" t="n"/>
      <c r="E1630" s="8" t="n"/>
      <c r="F1630" s="8" t="n"/>
      <c r="G1630" s="8" t="n">
        <v>95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>
        <f>IF(COUNT(D1630:S1630)=0,"",MIN(D1630:S1630))</f>
        <v/>
      </c>
      <c r="U1630" s="8">
        <f>IF(COUNT(D1630:S1630)=0,"",MEDIAN(D1630:S1630))</f>
        <v/>
      </c>
      <c r="V1630" s="8">
        <f>IF(COUNT(D1630:S1630)=0,"",MAX(D1630:S1630))</f>
        <v/>
      </c>
      <c r="W1630" s="9">
        <f>IF(OR(T1630="",T1630=0),"",(V1630-T1630)/T1630)</f>
        <v/>
      </c>
      <c r="X1630" s="7">
        <f>IF(COUNT(D1630:S1630)=0,"",INDEX($D$1:$S$1,MATCH(MIN(D1630:S1630),D1630:S1630,0)))</f>
        <v/>
      </c>
      <c r="Y1630" s="8" t="n">
        <v>95</v>
      </c>
      <c r="Z1630" s="10" t="n">
        <v>1</v>
      </c>
    </row>
    <row r="1631">
      <c r="A1631" s="7" t="inlineStr">
        <is>
          <t>MAT-32-277</t>
        </is>
      </c>
      <c r="B1631" s="4" t="inlineStr">
        <is>
          <t>Coupling de PVC presión 3/4"</t>
        </is>
      </c>
      <c r="C1631" s="7" t="inlineStr">
        <is>
          <t>unidad</t>
        </is>
      </c>
      <c r="D1631" s="8" t="n"/>
      <c r="E1631" s="8" t="n"/>
      <c r="F1631" s="8" t="n"/>
      <c r="G1631" s="8" t="n">
        <v>26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>
        <f>IF(COUNT(D1631:S1631)=0,"",MIN(D1631:S1631))</f>
        <v/>
      </c>
      <c r="U1631" s="8">
        <f>IF(COUNT(D1631:S1631)=0,"",MEDIAN(D1631:S1631))</f>
        <v/>
      </c>
      <c r="V1631" s="8">
        <f>IF(COUNT(D1631:S1631)=0,"",MAX(D1631:S1631))</f>
        <v/>
      </c>
      <c r="W1631" s="9">
        <f>IF(OR(T1631="",T1631=0),"",(V1631-T1631)/T1631)</f>
        <v/>
      </c>
      <c r="X1631" s="7">
        <f>IF(COUNT(D1631:S1631)=0,"",INDEX($D$1:$S$1,MATCH(MIN(D1631:S1631),D1631:S1631,0)))</f>
        <v/>
      </c>
      <c r="Y1631" s="8" t="n">
        <v>26</v>
      </c>
      <c r="Z1631" s="10" t="n">
        <v>1</v>
      </c>
    </row>
    <row r="1632">
      <c r="A1632" s="7" t="inlineStr">
        <is>
          <t>MAT-32-278</t>
        </is>
      </c>
      <c r="B1632" s="4" t="inlineStr">
        <is>
          <t>Coupling de PVC presión 3"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>
        <f>IF(COUNT(D1632:S1632)=0,"",MIN(D1632:S1632))</f>
        <v/>
      </c>
      <c r="U1632" s="8">
        <f>IF(COUNT(D1632:S1632)=0,"",MEDIAN(D1632:S1632))</f>
        <v/>
      </c>
      <c r="V1632" s="8">
        <f>IF(COUNT(D1632:S1632)=0,"",MAX(D1632:S1632))</f>
        <v/>
      </c>
      <c r="W1632" s="9">
        <f>IF(OR(T1632="",T1632=0),"",(V1632-T1632)/T1632)</f>
        <v/>
      </c>
      <c r="X1632" s="7">
        <f>IF(COUNT(D1632:S1632)=0,"",INDEX($D$1:$S$1,MATCH(MIN(D1632:S1632),D1632:S1632,0)))</f>
        <v/>
      </c>
      <c r="Y1632" s="8" t="n">
        <v>215</v>
      </c>
      <c r="Z1632" s="10" t="n">
        <v>1</v>
      </c>
    </row>
    <row r="1633">
      <c r="A1633" s="7" t="inlineStr">
        <is>
          <t>MAT-32-279</t>
        </is>
      </c>
      <c r="B1633" s="4" t="inlineStr">
        <is>
          <t>Coupling de PVC presión 4"</t>
        </is>
      </c>
      <c r="C1633" s="7" t="inlineStr">
        <is>
          <t>unidad</t>
        </is>
      </c>
      <c r="D1633" s="8" t="n"/>
      <c r="E1633" s="8" t="n"/>
      <c r="F1633" s="8" t="n"/>
      <c r="G1633" s="8" t="n">
        <v>335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>
        <f>IF(COUNT(D1633:S1633)=0,"",MIN(D1633:S1633))</f>
        <v/>
      </c>
      <c r="U1633" s="8">
        <f>IF(COUNT(D1633:S1633)=0,"",MEDIAN(D1633:S1633))</f>
        <v/>
      </c>
      <c r="V1633" s="8">
        <f>IF(COUNT(D1633:S1633)=0,"",MAX(D1633:S1633))</f>
        <v/>
      </c>
      <c r="W1633" s="9">
        <f>IF(OR(T1633="",T1633=0),"",(V1633-T1633)/T1633)</f>
        <v/>
      </c>
      <c r="X1633" s="7">
        <f>IF(COUNT(D1633:S1633)=0,"",INDEX($D$1:$S$1,MATCH(MIN(D1633:S1633),D1633:S1633,0)))</f>
        <v/>
      </c>
      <c r="Y1633" s="8" t="n">
        <v>335</v>
      </c>
      <c r="Z1633" s="10" t="n">
        <v>1</v>
      </c>
    </row>
    <row r="1634">
      <c r="A1634" s="7" t="inlineStr">
        <is>
          <t>MAT-32-280</t>
        </is>
      </c>
      <c r="B1634" s="4" t="inlineStr">
        <is>
          <t>Cruz de PVC presión 1"</t>
        </is>
      </c>
      <c r="C1634" s="7" t="inlineStr">
        <is>
          <t>unidad</t>
        </is>
      </c>
      <c r="D1634" s="8" t="n"/>
      <c r="E1634" s="8" t="n"/>
      <c r="F1634" s="8" t="n"/>
      <c r="G1634" s="8" t="n">
        <v>136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>
        <f>IF(COUNT(D1634:S1634)=0,"",MIN(D1634:S1634))</f>
        <v/>
      </c>
      <c r="U1634" s="8">
        <f>IF(COUNT(D1634:S1634)=0,"",MEDIAN(D1634:S1634))</f>
        <v/>
      </c>
      <c r="V1634" s="8">
        <f>IF(COUNT(D1634:S1634)=0,"",MAX(D1634:S1634))</f>
        <v/>
      </c>
      <c r="W1634" s="9">
        <f>IF(OR(T1634="",T1634=0),"",(V1634-T1634)/T1634)</f>
        <v/>
      </c>
      <c r="X1634" s="7">
        <f>IF(COUNT(D1634:S1634)=0,"",INDEX($D$1:$S$1,MATCH(MIN(D1634:S1634),D1634:S1634,0)))</f>
        <v/>
      </c>
      <c r="Y1634" s="8" t="n">
        <v>136</v>
      </c>
      <c r="Z1634" s="10" t="n">
        <v>1</v>
      </c>
    </row>
    <row r="1635">
      <c r="A1635" s="7" t="inlineStr">
        <is>
          <t>MAT-32-281</t>
        </is>
      </c>
      <c r="B1635" s="4" t="inlineStr">
        <is>
          <t>Fitting de manguera 1/2"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165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>
        <f>IF(COUNT(D1635:S1635)=0,"",MIN(D1635:S1635))</f>
        <v/>
      </c>
      <c r="U1635" s="8">
        <f>IF(COUNT(D1635:S1635)=0,"",MEDIAN(D1635:S1635))</f>
        <v/>
      </c>
      <c r="V1635" s="8">
        <f>IF(COUNT(D1635:S1635)=0,"",MAX(D1635:S1635))</f>
        <v/>
      </c>
      <c r="W1635" s="9">
        <f>IF(OR(T1635="",T1635=0),"",(V1635-T1635)/T1635)</f>
        <v/>
      </c>
      <c r="X1635" s="7">
        <f>IF(COUNT(D1635:S1635)=0,"",INDEX($D$1:$S$1,MATCH(MIN(D1635:S1635),D1635:S1635,0)))</f>
        <v/>
      </c>
      <c r="Y1635" s="8" t="n">
        <v>165</v>
      </c>
      <c r="Z1635" s="10" t="n">
        <v>1</v>
      </c>
    </row>
    <row r="1636">
      <c r="A1636" s="7" t="inlineStr">
        <is>
          <t>MAT-32-282</t>
        </is>
      </c>
      <c r="B1636" s="4" t="inlineStr">
        <is>
          <t>Fitting de manguera 1/2"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205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>
        <f>IF(COUNT(D1636:S1636)=0,"",MIN(D1636:S1636))</f>
        <v/>
      </c>
      <c r="U1636" s="8">
        <f>IF(COUNT(D1636:S1636)=0,"",MEDIAN(D1636:S1636))</f>
        <v/>
      </c>
      <c r="V1636" s="8">
        <f>IF(COUNT(D1636:S1636)=0,"",MAX(D1636:S1636))</f>
        <v/>
      </c>
      <c r="W1636" s="9">
        <f>IF(OR(T1636="",T1636=0),"",(V1636-T1636)/T1636)</f>
        <v/>
      </c>
      <c r="X1636" s="7">
        <f>IF(COUNT(D1636:S1636)=0,"",INDEX($D$1:$S$1,MATCH(MIN(D1636:S1636),D1636:S1636,0)))</f>
        <v/>
      </c>
      <c r="Y1636" s="8" t="n">
        <v>205</v>
      </c>
      <c r="Z1636" s="10" t="n">
        <v>1</v>
      </c>
    </row>
    <row r="1637">
      <c r="A1637" s="7" t="inlineStr">
        <is>
          <t>MAT-32-283</t>
        </is>
      </c>
      <c r="B1637" s="4" t="inlineStr">
        <is>
          <t>Fitting de manguera 1/4"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122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>
        <f>IF(COUNT(D1637:S1637)=0,"",MIN(D1637:S1637))</f>
        <v/>
      </c>
      <c r="U1637" s="8">
        <f>IF(COUNT(D1637:S1637)=0,"",MEDIAN(D1637:S1637))</f>
        <v/>
      </c>
      <c r="V1637" s="8">
        <f>IF(COUNT(D1637:S1637)=0,"",MAX(D1637:S1637))</f>
        <v/>
      </c>
      <c r="W1637" s="9">
        <f>IF(OR(T1637="",T1637=0),"",(V1637-T1637)/T1637)</f>
        <v/>
      </c>
      <c r="X1637" s="7">
        <f>IF(COUNT(D1637:S1637)=0,"",INDEX($D$1:$S$1,MATCH(MIN(D1637:S1637),D1637:S1637,0)))</f>
        <v/>
      </c>
      <c r="Y1637" s="8" t="n">
        <v>122</v>
      </c>
      <c r="Z1637" s="10" t="n">
        <v>1</v>
      </c>
    </row>
    <row r="1638">
      <c r="A1638" s="7" t="inlineStr">
        <is>
          <t>MAT-32-284</t>
        </is>
      </c>
      <c r="B1638" s="4" t="inlineStr">
        <is>
          <t>Fitting de manguera 3/8" x 1/4"</t>
        </is>
      </c>
      <c r="C1638" s="7" t="inlineStr">
        <is>
          <t>unidad</t>
        </is>
      </c>
      <c r="D1638" s="8" t="n"/>
      <c r="E1638" s="8" t="n"/>
      <c r="F1638" s="8" t="n"/>
      <c r="G1638" s="8" t="n">
        <v>102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>
        <f>IF(COUNT(D1638:S1638)=0,"",MIN(D1638:S1638))</f>
        <v/>
      </c>
      <c r="U1638" s="8">
        <f>IF(COUNT(D1638:S1638)=0,"",MEDIAN(D1638:S1638))</f>
        <v/>
      </c>
      <c r="V1638" s="8">
        <f>IF(COUNT(D1638:S1638)=0,"",MAX(D1638:S1638))</f>
        <v/>
      </c>
      <c r="W1638" s="9">
        <f>IF(OR(T1638="",T1638=0),"",(V1638-T1638)/T1638)</f>
        <v/>
      </c>
      <c r="X1638" s="7">
        <f>IF(COUNT(D1638:S1638)=0,"",INDEX($D$1:$S$1,MATCH(MIN(D1638:S1638),D1638:S1638,0)))</f>
        <v/>
      </c>
      <c r="Y1638" s="8" t="n">
        <v>102</v>
      </c>
      <c r="Z1638" s="10" t="n">
        <v>1</v>
      </c>
    </row>
    <row r="1639">
      <c r="A1639" s="7" t="inlineStr">
        <is>
          <t>MAT-32-285</t>
        </is>
      </c>
      <c r="B1639" s="4" t="inlineStr">
        <is>
          <t>Junta de PVC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308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>
        <f>IF(COUNT(D1639:S1639)=0,"",MIN(D1639:S1639))</f>
        <v/>
      </c>
      <c r="U1639" s="8">
        <f>IF(COUNT(D1639:S1639)=0,"",MEDIAN(D1639:S1639))</f>
        <v/>
      </c>
      <c r="V1639" s="8">
        <f>IF(COUNT(D1639:S1639)=0,"",MAX(D1639:S1639))</f>
        <v/>
      </c>
      <c r="W1639" s="9">
        <f>IF(OR(T1639="",T1639=0),"",(V1639-T1639)/T1639)</f>
        <v/>
      </c>
      <c r="X1639" s="7">
        <f>IF(COUNT(D1639:S1639)=0,"",INDEX($D$1:$S$1,MATCH(MIN(D1639:S1639),D1639:S1639,0)))</f>
        <v/>
      </c>
      <c r="Y1639" s="8" t="n">
        <v>308</v>
      </c>
      <c r="Z1639" s="10" t="n">
        <v>1</v>
      </c>
    </row>
    <row r="1640">
      <c r="A1640" s="7" t="inlineStr">
        <is>
          <t>MAT-32-286</t>
        </is>
      </c>
      <c r="B1640" s="4" t="inlineStr">
        <is>
          <t>Junta de PVC 1/2"</t>
        </is>
      </c>
      <c r="C1640" s="7" t="inlineStr">
        <is>
          <t>unidad</t>
        </is>
      </c>
      <c r="D1640" s="8" t="n"/>
      <c r="E1640" s="8" t="n"/>
      <c r="F1640" s="8" t="n"/>
      <c r="G1640" s="8" t="n">
        <v>86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>
        <f>IF(COUNT(D1640:S1640)=0,"",MIN(D1640:S1640))</f>
        <v/>
      </c>
      <c r="U1640" s="8">
        <f>IF(COUNT(D1640:S1640)=0,"",MEDIAN(D1640:S1640))</f>
        <v/>
      </c>
      <c r="V1640" s="8">
        <f>IF(COUNT(D1640:S1640)=0,"",MAX(D1640:S1640))</f>
        <v/>
      </c>
      <c r="W1640" s="9">
        <f>IF(OR(T1640="",T1640=0),"",(V1640-T1640)/T1640)</f>
        <v/>
      </c>
      <c r="X1640" s="7">
        <f>IF(COUNT(D1640:S1640)=0,"",INDEX($D$1:$S$1,MATCH(MIN(D1640:S1640),D1640:S1640,0)))</f>
        <v/>
      </c>
      <c r="Y1640" s="8" t="n">
        <v>86</v>
      </c>
      <c r="Z1640" s="10" t="n">
        <v>1</v>
      </c>
    </row>
    <row r="1641">
      <c r="A1641" s="7" t="inlineStr">
        <is>
          <t>MAT-32-287</t>
        </is>
      </c>
      <c r="B1641" s="4" t="inlineStr">
        <is>
          <t>Junta de PVC 1"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>
        <f>IF(COUNT(D1641:S1641)=0,"",MIN(D1641:S1641))</f>
        <v/>
      </c>
      <c r="U1641" s="8">
        <f>IF(COUNT(D1641:S1641)=0,"",MEDIAN(D1641:S1641))</f>
        <v/>
      </c>
      <c r="V1641" s="8">
        <f>IF(COUNT(D1641:S1641)=0,"",MAX(D1641:S1641))</f>
        <v/>
      </c>
      <c r="W1641" s="9">
        <f>IF(OR(T1641="",T1641=0),"",(V1641-T1641)/T1641)</f>
        <v/>
      </c>
      <c r="X1641" s="7">
        <f>IF(COUNT(D1641:S1641)=0,"",INDEX($D$1:$S$1,MATCH(MIN(D1641:S1641),D1641:S1641,0)))</f>
        <v/>
      </c>
      <c r="Y1641" s="8" t="n">
        <v>160</v>
      </c>
      <c r="Z1641" s="10" t="n">
        <v>1</v>
      </c>
    </row>
    <row r="1642">
      <c r="A1642" s="7" t="inlineStr">
        <is>
          <t>MAT-32-288</t>
        </is>
      </c>
      <c r="B1642" s="4" t="inlineStr">
        <is>
          <t>Junta de PVC 3/4"</t>
        </is>
      </c>
      <c r="C1642" s="7" t="inlineStr">
        <is>
          <t>unidad</t>
        </is>
      </c>
      <c r="D1642" s="8" t="n"/>
      <c r="E1642" s="8" t="n"/>
      <c r="F1642" s="8" t="n"/>
      <c r="G1642" s="8" t="n">
        <v>135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>
        <f>IF(COUNT(D1642:S1642)=0,"",MIN(D1642:S1642))</f>
        <v/>
      </c>
      <c r="U1642" s="8">
        <f>IF(COUNT(D1642:S1642)=0,"",MEDIAN(D1642:S1642))</f>
        <v/>
      </c>
      <c r="V1642" s="8">
        <f>IF(COUNT(D1642:S1642)=0,"",MAX(D1642:S1642))</f>
        <v/>
      </c>
      <c r="W1642" s="9">
        <f>IF(OR(T1642="",T1642=0),"",(V1642-T1642)/T1642)</f>
        <v/>
      </c>
      <c r="X1642" s="7">
        <f>IF(COUNT(D1642:S1642)=0,"",INDEX($D$1:$S$1,MATCH(MIN(D1642:S1642),D1642:S1642,0)))</f>
        <v/>
      </c>
      <c r="Y1642" s="8" t="n">
        <v>135</v>
      </c>
      <c r="Z1642" s="10" t="n">
        <v>1</v>
      </c>
    </row>
    <row r="1643">
      <c r="A1643" s="7" t="inlineStr">
        <is>
          <t>MAT-32-289</t>
        </is>
      </c>
      <c r="B1643" s="4" t="inlineStr">
        <is>
          <t>Niple de bronce 1/2" x 2"</t>
        </is>
      </c>
      <c r="C1643" s="7" t="inlineStr">
        <is>
          <t>unidad</t>
        </is>
      </c>
      <c r="D1643" s="8" t="n"/>
      <c r="E1643" s="8" t="n">
        <v>133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>
        <f>IF(COUNT(D1643:S1643)=0,"",MIN(D1643:S1643))</f>
        <v/>
      </c>
      <c r="U1643" s="8">
        <f>IF(COUNT(D1643:S1643)=0,"",MEDIAN(D1643:S1643))</f>
        <v/>
      </c>
      <c r="V1643" s="8">
        <f>IF(COUNT(D1643:S1643)=0,"",MAX(D1643:S1643))</f>
        <v/>
      </c>
      <c r="W1643" s="9">
        <f>IF(OR(T1643="",T1643=0),"",(V1643-T1643)/T1643)</f>
        <v/>
      </c>
      <c r="X1643" s="7">
        <f>IF(COUNT(D1643:S1643)=0,"",INDEX($D$1:$S$1,MATCH(MIN(D1643:S1643),D1643:S1643,0)))</f>
        <v/>
      </c>
      <c r="Y1643" s="8" t="n">
        <v>133</v>
      </c>
      <c r="Z1643" s="10" t="n">
        <v>1</v>
      </c>
    </row>
    <row r="1644">
      <c r="A1644" s="7" t="inlineStr">
        <is>
          <t>MAT-32-290</t>
        </is>
      </c>
      <c r="B1644" s="4" t="inlineStr">
        <is>
          <t>Niple de bronce 1/2" x 3"</t>
        </is>
      </c>
      <c r="C1644" s="7" t="inlineStr">
        <is>
          <t>unidad</t>
        </is>
      </c>
      <c r="D1644" s="8" t="n"/>
      <c r="E1644" s="8" t="n">
        <v>192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>
        <f>IF(COUNT(D1644:S1644)=0,"",MIN(D1644:S1644))</f>
        <v/>
      </c>
      <c r="U1644" s="8">
        <f>IF(COUNT(D1644:S1644)=0,"",MEDIAN(D1644:S1644))</f>
        <v/>
      </c>
      <c r="V1644" s="8">
        <f>IF(COUNT(D1644:S1644)=0,"",MAX(D1644:S1644))</f>
        <v/>
      </c>
      <c r="W1644" s="9">
        <f>IF(OR(T1644="",T1644=0),"",(V1644-T1644)/T1644)</f>
        <v/>
      </c>
      <c r="X1644" s="7">
        <f>IF(COUNT(D1644:S1644)=0,"",INDEX($D$1:$S$1,MATCH(MIN(D1644:S1644),D1644:S1644,0)))</f>
        <v/>
      </c>
      <c r="Y1644" s="8" t="n">
        <v>192</v>
      </c>
      <c r="Z1644" s="10" t="n">
        <v>1</v>
      </c>
    </row>
    <row r="1645">
      <c r="A1645" s="7" t="inlineStr">
        <is>
          <t>MAT-32-291</t>
        </is>
      </c>
      <c r="B1645" s="4" t="inlineStr">
        <is>
          <t>Niple de bronce 1/4" x 1 1/2"</t>
        </is>
      </c>
      <c r="C1645" s="7" t="inlineStr">
        <is>
          <t>unidad</t>
        </is>
      </c>
      <c r="D1645" s="8" t="n"/>
      <c r="E1645" s="8" t="n">
        <v>66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>
        <f>IF(COUNT(D1645:S1645)=0,"",MIN(D1645:S1645))</f>
        <v/>
      </c>
      <c r="U1645" s="8">
        <f>IF(COUNT(D1645:S1645)=0,"",MEDIAN(D1645:S1645))</f>
        <v/>
      </c>
      <c r="V1645" s="8">
        <f>IF(COUNT(D1645:S1645)=0,"",MAX(D1645:S1645))</f>
        <v/>
      </c>
      <c r="W1645" s="9">
        <f>IF(OR(T1645="",T1645=0),"",(V1645-T1645)/T1645)</f>
        <v/>
      </c>
      <c r="X1645" s="7">
        <f>IF(COUNT(D1645:S1645)=0,"",INDEX($D$1:$S$1,MATCH(MIN(D1645:S1645),D1645:S1645,0)))</f>
        <v/>
      </c>
      <c r="Y1645" s="8" t="n">
        <v>66</v>
      </c>
      <c r="Z1645" s="10" t="n">
        <v>1</v>
      </c>
    </row>
    <row r="1646">
      <c r="A1646" s="7" t="inlineStr">
        <is>
          <t>MAT-32-292</t>
        </is>
      </c>
      <c r="B1646" s="4" t="inlineStr">
        <is>
          <t>Niple de bronce 1/4" x 3"</t>
        </is>
      </c>
      <c r="C1646" s="7" t="inlineStr">
        <is>
          <t>unidad</t>
        </is>
      </c>
      <c r="D1646" s="8" t="n"/>
      <c r="E1646" s="8" t="n">
        <v>165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>
        <f>IF(COUNT(D1646:S1646)=0,"",MIN(D1646:S1646))</f>
        <v/>
      </c>
      <c r="U1646" s="8">
        <f>IF(COUNT(D1646:S1646)=0,"",MEDIAN(D1646:S1646))</f>
        <v/>
      </c>
      <c r="V1646" s="8">
        <f>IF(COUNT(D1646:S1646)=0,"",MAX(D1646:S1646))</f>
        <v/>
      </c>
      <c r="W1646" s="9">
        <f>IF(OR(T1646="",T1646=0),"",(V1646-T1646)/T1646)</f>
        <v/>
      </c>
      <c r="X1646" s="7">
        <f>IF(COUNT(D1646:S1646)=0,"",INDEX($D$1:$S$1,MATCH(MIN(D1646:S1646),D1646:S1646,0)))</f>
        <v/>
      </c>
      <c r="Y1646" s="8" t="n">
        <v>165</v>
      </c>
      <c r="Z1646" s="10" t="n">
        <v>1</v>
      </c>
    </row>
    <row r="1647">
      <c r="A1647" s="7" t="inlineStr">
        <is>
          <t>MAT-32-293</t>
        </is>
      </c>
      <c r="B1647" s="4" t="inlineStr">
        <is>
          <t>Niple de bronce 1/8" x 1 1/2"</t>
        </is>
      </c>
      <c r="C1647" s="7" t="inlineStr">
        <is>
          <t>unidad</t>
        </is>
      </c>
      <c r="D1647" s="8" t="n"/>
      <c r="E1647" s="8" t="n">
        <v>51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>
        <f>IF(COUNT(D1647:S1647)=0,"",MIN(D1647:S1647))</f>
        <v/>
      </c>
      <c r="U1647" s="8">
        <f>IF(COUNT(D1647:S1647)=0,"",MEDIAN(D1647:S1647))</f>
        <v/>
      </c>
      <c r="V1647" s="8">
        <f>IF(COUNT(D1647:S1647)=0,"",MAX(D1647:S1647))</f>
        <v/>
      </c>
      <c r="W1647" s="9">
        <f>IF(OR(T1647="",T1647=0),"",(V1647-T1647)/T1647)</f>
        <v/>
      </c>
      <c r="X1647" s="7">
        <f>IF(COUNT(D1647:S1647)=0,"",INDEX($D$1:$S$1,MATCH(MIN(D1647:S1647),D1647:S1647,0)))</f>
        <v/>
      </c>
      <c r="Y1647" s="8" t="n">
        <v>51</v>
      </c>
      <c r="Z1647" s="10" t="n">
        <v>1</v>
      </c>
    </row>
    <row r="1648">
      <c r="A1648" s="7" t="inlineStr">
        <is>
          <t>MAT-32-294</t>
        </is>
      </c>
      <c r="B1648" s="4" t="inlineStr">
        <is>
          <t>Niple de bronce 3/8" x 1 1/2"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>
        <f>IF(COUNT(D1648:S1648)=0,"",MIN(D1648:S1648))</f>
        <v/>
      </c>
      <c r="U1648" s="8">
        <f>IF(COUNT(D1648:S1648)=0,"",MEDIAN(D1648:S1648))</f>
        <v/>
      </c>
      <c r="V1648" s="8">
        <f>IF(COUNT(D1648:S1648)=0,"",MAX(D1648:S1648))</f>
        <v/>
      </c>
      <c r="W1648" s="9">
        <f>IF(OR(T1648="",T1648=0),"",(V1648-T1648)/T1648)</f>
        <v/>
      </c>
      <c r="X1648" s="7">
        <f>IF(COUNT(D1648:S1648)=0,"",INDEX($D$1:$S$1,MATCH(MIN(D1648:S1648),D1648:S1648,0)))</f>
        <v/>
      </c>
      <c r="Y1648" s="8" t="n">
        <v>87</v>
      </c>
      <c r="Z1648" s="10" t="n">
        <v>1</v>
      </c>
    </row>
    <row r="1649">
      <c r="A1649" s="7" t="inlineStr">
        <is>
          <t>MAT-32-295</t>
        </is>
      </c>
      <c r="B1649" s="4" t="inlineStr">
        <is>
          <t>Niple de bronce 3/8" x 2"</t>
        </is>
      </c>
      <c r="C1649" s="7" t="inlineStr">
        <is>
          <t>unidad</t>
        </is>
      </c>
      <c r="D1649" s="8" t="n"/>
      <c r="E1649" s="8" t="n">
        <v>90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>
        <f>IF(COUNT(D1649:S1649)=0,"",MIN(D1649:S1649))</f>
        <v/>
      </c>
      <c r="U1649" s="8">
        <f>IF(COUNT(D1649:S1649)=0,"",MEDIAN(D1649:S1649))</f>
        <v/>
      </c>
      <c r="V1649" s="8">
        <f>IF(COUNT(D1649:S1649)=0,"",MAX(D1649:S1649))</f>
        <v/>
      </c>
      <c r="W1649" s="9">
        <f>IF(OR(T1649="",T1649=0),"",(V1649-T1649)/T1649)</f>
        <v/>
      </c>
      <c r="X1649" s="7">
        <f>IF(COUNT(D1649:S1649)=0,"",INDEX($D$1:$S$1,MATCH(MIN(D1649:S1649),D1649:S1649,0)))</f>
        <v/>
      </c>
      <c r="Y1649" s="8" t="n">
        <v>90</v>
      </c>
      <c r="Z1649" s="10" t="n">
        <v>1</v>
      </c>
    </row>
    <row r="1650">
      <c r="A1650" s="7" t="inlineStr">
        <is>
          <t>MAT-32-296</t>
        </is>
      </c>
      <c r="B1650" s="4" t="inlineStr">
        <is>
          <t>Niple de cobre 1/4"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121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>
        <f>IF(COUNT(D1650:S1650)=0,"",MIN(D1650:S1650))</f>
        <v/>
      </c>
      <c r="U1650" s="8">
        <f>IF(COUNT(D1650:S1650)=0,"",MEDIAN(D1650:S1650))</f>
        <v/>
      </c>
      <c r="V1650" s="8">
        <f>IF(COUNT(D1650:S1650)=0,"",MAX(D1650:S1650))</f>
        <v/>
      </c>
      <c r="W1650" s="9">
        <f>IF(OR(T1650="",T1650=0),"",(V1650-T1650)/T1650)</f>
        <v/>
      </c>
      <c r="X1650" s="7">
        <f>IF(COUNT(D1650:S1650)=0,"",INDEX($D$1:$S$1,MATCH(MIN(D1650:S1650),D1650:S1650,0)))</f>
        <v/>
      </c>
      <c r="Y1650" s="8" t="n">
        <v>121</v>
      </c>
      <c r="Z1650" s="10" t="n">
        <v>1</v>
      </c>
    </row>
    <row r="1651">
      <c r="A1651" s="7" t="inlineStr">
        <is>
          <t>MAT-32-297</t>
        </is>
      </c>
      <c r="B1651" s="4" t="inlineStr">
        <is>
          <t>Niple de cobre 3/4" x 3"</t>
        </is>
      </c>
      <c r="C1651" s="7" t="inlineStr">
        <is>
          <t>unidad</t>
        </is>
      </c>
      <c r="D1651" s="8" t="n"/>
      <c r="E1651" s="8" t="n"/>
      <c r="F1651" s="8" t="n"/>
      <c r="G1651" s="8" t="n">
        <v>230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>
        <f>IF(COUNT(D1651:S1651)=0,"",MIN(D1651:S1651))</f>
        <v/>
      </c>
      <c r="U1651" s="8">
        <f>IF(COUNT(D1651:S1651)=0,"",MEDIAN(D1651:S1651))</f>
        <v/>
      </c>
      <c r="V1651" s="8">
        <f>IF(COUNT(D1651:S1651)=0,"",MAX(D1651:S1651))</f>
        <v/>
      </c>
      <c r="W1651" s="9">
        <f>IF(OR(T1651="",T1651=0),"",(V1651-T1651)/T1651)</f>
        <v/>
      </c>
      <c r="X1651" s="7">
        <f>IF(COUNT(D1651:S1651)=0,"",INDEX($D$1:$S$1,MATCH(MIN(D1651:S1651),D1651:S1651,0)))</f>
        <v/>
      </c>
      <c r="Y1651" s="8" t="n">
        <v>230</v>
      </c>
      <c r="Z1651" s="10" t="n">
        <v>1</v>
      </c>
    </row>
    <row r="1652">
      <c r="A1652" s="7" t="inlineStr">
        <is>
          <t>MAT-32-298</t>
        </is>
      </c>
      <c r="B1652" s="4" t="inlineStr">
        <is>
          <t>Niple de cobre 3/8" x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193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>
        <f>IF(COUNT(D1652:S1652)=0,"",MIN(D1652:S1652))</f>
        <v/>
      </c>
      <c r="U1652" s="8">
        <f>IF(COUNT(D1652:S1652)=0,"",MEDIAN(D1652:S1652))</f>
        <v/>
      </c>
      <c r="V1652" s="8">
        <f>IF(COUNT(D1652:S1652)=0,"",MAX(D1652:S1652))</f>
        <v/>
      </c>
      <c r="W1652" s="9">
        <f>IF(OR(T1652="",T1652=0),"",(V1652-T1652)/T1652)</f>
        <v/>
      </c>
      <c r="X1652" s="7">
        <f>IF(COUNT(D1652:S1652)=0,"",INDEX($D$1:$S$1,MATCH(MIN(D1652:S1652),D1652:S1652,0)))</f>
        <v/>
      </c>
      <c r="Y1652" s="8" t="n">
        <v>193</v>
      </c>
      <c r="Z1652" s="10" t="n">
        <v>1</v>
      </c>
    </row>
    <row r="1653">
      <c r="A1653" s="7" t="inlineStr">
        <is>
          <t>MAT-32-299</t>
        </is>
      </c>
      <c r="B1653" s="4" t="inlineStr">
        <is>
          <t>Niple de cobre 3/8" x 1"</t>
        </is>
      </c>
      <c r="C1653" s="7" t="inlineStr">
        <is>
          <t>unidad</t>
        </is>
      </c>
      <c r="D1653" s="8" t="n"/>
      <c r="E1653" s="8" t="n"/>
      <c r="F1653" s="8" t="n"/>
      <c r="G1653" s="8" t="n">
        <v>177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>
        <f>IF(COUNT(D1653:S1653)=0,"",MIN(D1653:S1653))</f>
        <v/>
      </c>
      <c r="U1653" s="8">
        <f>IF(COUNT(D1653:S1653)=0,"",MEDIAN(D1653:S1653))</f>
        <v/>
      </c>
      <c r="V1653" s="8">
        <f>IF(COUNT(D1653:S1653)=0,"",MAX(D1653:S1653))</f>
        <v/>
      </c>
      <c r="W1653" s="9">
        <f>IF(OR(T1653="",T1653=0),"",(V1653-T1653)/T1653)</f>
        <v/>
      </c>
      <c r="X1653" s="7">
        <f>IF(COUNT(D1653:S1653)=0,"",INDEX($D$1:$S$1,MATCH(MIN(D1653:S1653),D1653:S1653,0)))</f>
        <v/>
      </c>
      <c r="Y1653" s="8" t="n">
        <v>177</v>
      </c>
      <c r="Z1653" s="10" t="n">
        <v>1</v>
      </c>
    </row>
    <row r="1654">
      <c r="A1654" s="7" t="inlineStr">
        <is>
          <t>MAT-32-300</t>
        </is>
      </c>
      <c r="B1654" s="4" t="inlineStr">
        <is>
          <t>Niple de cobre 3/8" x 2"</t>
        </is>
      </c>
      <c r="C1654" s="7" t="inlineStr">
        <is>
          <t>unidad</t>
        </is>
      </c>
      <c r="D1654" s="8" t="n"/>
      <c r="E1654" s="8" t="n"/>
      <c r="F1654" s="8" t="n"/>
      <c r="G1654" s="8" t="n">
        <v>189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>
        <f>IF(COUNT(D1654:S1654)=0,"",MIN(D1654:S1654))</f>
        <v/>
      </c>
      <c r="U1654" s="8">
        <f>IF(COUNT(D1654:S1654)=0,"",MEDIAN(D1654:S1654))</f>
        <v/>
      </c>
      <c r="V1654" s="8">
        <f>IF(COUNT(D1654:S1654)=0,"",MAX(D1654:S1654))</f>
        <v/>
      </c>
      <c r="W1654" s="9">
        <f>IF(OR(T1654="",T1654=0),"",(V1654-T1654)/T1654)</f>
        <v/>
      </c>
      <c r="X1654" s="7">
        <f>IF(COUNT(D1654:S1654)=0,"",INDEX($D$1:$S$1,MATCH(MIN(D1654:S1654),D1654:S1654,0)))</f>
        <v/>
      </c>
      <c r="Y1654" s="8" t="n">
        <v>189</v>
      </c>
      <c r="Z1654" s="10" t="n">
        <v>1</v>
      </c>
    </row>
    <row r="1655">
      <c r="A1655" s="7" t="inlineStr">
        <is>
          <t>MAT-32-301</t>
        </is>
      </c>
      <c r="B1655" s="4" t="inlineStr">
        <is>
          <t>Niple de HG 1 1/2" x 10"</t>
        </is>
      </c>
      <c r="C1655" s="7" t="inlineStr">
        <is>
          <t>unidad</t>
        </is>
      </c>
      <c r="D1655" s="8" t="n"/>
      <c r="E1655" s="8" t="n"/>
      <c r="F1655" s="8" t="n"/>
      <c r="G1655" s="8" t="n">
        <v>372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>
        <f>IF(COUNT(D1655:S1655)=0,"",MIN(D1655:S1655))</f>
        <v/>
      </c>
      <c r="U1655" s="8">
        <f>IF(COUNT(D1655:S1655)=0,"",MEDIAN(D1655:S1655))</f>
        <v/>
      </c>
      <c r="V1655" s="8">
        <f>IF(COUNT(D1655:S1655)=0,"",MAX(D1655:S1655))</f>
        <v/>
      </c>
      <c r="W1655" s="9">
        <f>IF(OR(T1655="",T1655=0),"",(V1655-T1655)/T1655)</f>
        <v/>
      </c>
      <c r="X1655" s="7">
        <f>IF(COUNT(D1655:S1655)=0,"",INDEX($D$1:$S$1,MATCH(MIN(D1655:S1655),D1655:S1655,0)))</f>
        <v/>
      </c>
      <c r="Y1655" s="8" t="n">
        <v>372</v>
      </c>
      <c r="Z1655" s="10" t="n">
        <v>1</v>
      </c>
    </row>
    <row r="1656">
      <c r="A1656" s="7" t="inlineStr">
        <is>
          <t>MAT-32-302</t>
        </is>
      </c>
      <c r="B1656" s="4" t="inlineStr">
        <is>
          <t>Niple de HG 1 1/2" x 2 1/2"</t>
        </is>
      </c>
      <c r="C1656" s="7" t="inlineStr">
        <is>
          <t>unidad</t>
        </is>
      </c>
      <c r="D1656" s="8" t="n"/>
      <c r="E1656" s="8" t="n">
        <v>82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>
        <f>IF(COUNT(D1656:S1656)=0,"",MIN(D1656:S1656))</f>
        <v/>
      </c>
      <c r="U1656" s="8">
        <f>IF(COUNT(D1656:S1656)=0,"",MEDIAN(D1656:S1656))</f>
        <v/>
      </c>
      <c r="V1656" s="8">
        <f>IF(COUNT(D1656:S1656)=0,"",MAX(D1656:S1656))</f>
        <v/>
      </c>
      <c r="W1656" s="9">
        <f>IF(OR(T1656="",T1656=0),"",(V1656-T1656)/T1656)</f>
        <v/>
      </c>
      <c r="X1656" s="7">
        <f>IF(COUNT(D1656:S1656)=0,"",INDEX($D$1:$S$1,MATCH(MIN(D1656:S1656),D1656:S1656,0)))</f>
        <v/>
      </c>
      <c r="Y1656" s="8" t="n">
        <v>82</v>
      </c>
      <c r="Z1656" s="10" t="n">
        <v>1</v>
      </c>
    </row>
    <row r="1657">
      <c r="A1657" s="7" t="inlineStr">
        <is>
          <t>MAT-32-303</t>
        </is>
      </c>
      <c r="B1657" s="4" t="inlineStr">
        <is>
          <t>Niple de HG 1 1/2" x 2"</t>
        </is>
      </c>
      <c r="C1657" s="7" t="inlineStr">
        <is>
          <t>unidad</t>
        </is>
      </c>
      <c r="D1657" s="8" t="n"/>
      <c r="E1657" s="8" t="n">
        <v>85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>
        <f>IF(COUNT(D1657:S1657)=0,"",MIN(D1657:S1657))</f>
        <v/>
      </c>
      <c r="U1657" s="8">
        <f>IF(COUNT(D1657:S1657)=0,"",MEDIAN(D1657:S1657))</f>
        <v/>
      </c>
      <c r="V1657" s="8">
        <f>IF(COUNT(D1657:S1657)=0,"",MAX(D1657:S1657))</f>
        <v/>
      </c>
      <c r="W1657" s="9">
        <f>IF(OR(T1657="",T1657=0),"",(V1657-T1657)/T1657)</f>
        <v/>
      </c>
      <c r="X1657" s="7">
        <f>IF(COUNT(D1657:S1657)=0,"",INDEX($D$1:$S$1,MATCH(MIN(D1657:S1657),D1657:S1657,0)))</f>
        <v/>
      </c>
      <c r="Y1657" s="8" t="n">
        <v>85</v>
      </c>
      <c r="Z1657" s="10" t="n">
        <v>1</v>
      </c>
    </row>
    <row r="1658">
      <c r="A1658" s="7" t="inlineStr">
        <is>
          <t>MAT-32-304</t>
        </is>
      </c>
      <c r="B1658" s="4" t="inlineStr">
        <is>
          <t>Niple de HG 1 1/2" x 3"</t>
        </is>
      </c>
      <c r="C1658" s="7" t="inlineStr">
        <is>
          <t>unidad</t>
        </is>
      </c>
      <c r="D1658" s="8" t="n"/>
      <c r="E1658" s="8" t="n">
        <v>102</v>
      </c>
      <c r="F1658" s="8" t="n"/>
      <c r="G1658" s="8" t="n">
        <v>187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>
        <f>IF(COUNT(D1658:S1658)=0,"",MIN(D1658:S1658))</f>
        <v/>
      </c>
      <c r="U1658" s="8">
        <f>IF(COUNT(D1658:S1658)=0,"",MEDIAN(D1658:S1658))</f>
        <v/>
      </c>
      <c r="V1658" s="8">
        <f>IF(COUNT(D1658:S1658)=0,"",MAX(D1658:S1658))</f>
        <v/>
      </c>
      <c r="W1658" s="9">
        <f>IF(OR(T1658="",T1658=0),"",(V1658-T1658)/T1658)</f>
        <v/>
      </c>
      <c r="X1658" s="7">
        <f>IF(COUNT(D1658:S1658)=0,"",INDEX($D$1:$S$1,MATCH(MIN(D1658:S1658),D1658:S1658,0)))</f>
        <v/>
      </c>
      <c r="Y1658" s="8" t="n">
        <v>144.5</v>
      </c>
      <c r="Z1658" s="10" t="n">
        <v>2</v>
      </c>
    </row>
    <row r="1659">
      <c r="A1659" s="7" t="inlineStr">
        <is>
          <t>MAT-32-305</t>
        </is>
      </c>
      <c r="B1659" s="4" t="inlineStr">
        <is>
          <t>Niple de HG 1 1/2" x 4"</t>
        </is>
      </c>
      <c r="C1659" s="7" t="inlineStr">
        <is>
          <t>unidad</t>
        </is>
      </c>
      <c r="D1659" s="8" t="n"/>
      <c r="E1659" s="8" t="n">
        <v>104</v>
      </c>
      <c r="F1659" s="8" t="n"/>
      <c r="G1659" s="8" t="n">
        <v>257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>
        <f>IF(COUNT(D1659:S1659)=0,"",MIN(D1659:S1659))</f>
        <v/>
      </c>
      <c r="U1659" s="8">
        <f>IF(COUNT(D1659:S1659)=0,"",MEDIAN(D1659:S1659))</f>
        <v/>
      </c>
      <c r="V1659" s="8">
        <f>IF(COUNT(D1659:S1659)=0,"",MAX(D1659:S1659))</f>
        <v/>
      </c>
      <c r="W1659" s="9">
        <f>IF(OR(T1659="",T1659=0),"",(V1659-T1659)/T1659)</f>
        <v/>
      </c>
      <c r="X1659" s="7">
        <f>IF(COUNT(D1659:S1659)=0,"",INDEX($D$1:$S$1,MATCH(MIN(D1659:S1659),D1659:S1659,0)))</f>
        <v/>
      </c>
      <c r="Y1659" s="8" t="n">
        <v>180.5</v>
      </c>
      <c r="Z1659" s="10" t="n">
        <v>2</v>
      </c>
    </row>
    <row r="1660">
      <c r="A1660" s="7" t="inlineStr">
        <is>
          <t>MAT-32-306</t>
        </is>
      </c>
      <c r="B1660" s="4" t="inlineStr">
        <is>
          <t>Niple de HG 1 1/2" x 5"</t>
        </is>
      </c>
      <c r="C1660" s="7" t="inlineStr">
        <is>
          <t>unidad</t>
        </is>
      </c>
      <c r="D1660" s="8" t="n"/>
      <c r="E1660" s="8" t="n">
        <v>150</v>
      </c>
      <c r="F1660" s="8" t="n"/>
      <c r="G1660" s="8" t="n"/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>
        <f>IF(COUNT(D1660:S1660)=0,"",MIN(D1660:S1660))</f>
        <v/>
      </c>
      <c r="U1660" s="8">
        <f>IF(COUNT(D1660:S1660)=0,"",MEDIAN(D1660:S1660))</f>
        <v/>
      </c>
      <c r="V1660" s="8">
        <f>IF(COUNT(D1660:S1660)=0,"",MAX(D1660:S1660))</f>
        <v/>
      </c>
      <c r="W1660" s="9">
        <f>IF(OR(T1660="",T1660=0),"",(V1660-T1660)/T1660)</f>
        <v/>
      </c>
      <c r="X1660" s="7">
        <f>IF(COUNT(D1660:S1660)=0,"",INDEX($D$1:$S$1,MATCH(MIN(D1660:S1660),D1660:S1660,0)))</f>
        <v/>
      </c>
      <c r="Y1660" s="8" t="n">
        <v>150</v>
      </c>
      <c r="Z1660" s="10" t="n">
        <v>1</v>
      </c>
    </row>
    <row r="1661">
      <c r="A1661" s="7" t="inlineStr">
        <is>
          <t>MAT-32-307</t>
        </is>
      </c>
      <c r="B1661" s="4" t="inlineStr">
        <is>
          <t>Niple de HG 1 1/2" x 6"</t>
        </is>
      </c>
      <c r="C1661" s="7" t="inlineStr">
        <is>
          <t>unidad</t>
        </is>
      </c>
      <c r="D1661" s="8" t="n"/>
      <c r="E1661" s="8" t="n">
        <v>141</v>
      </c>
      <c r="F1661" s="8" t="n"/>
      <c r="G1661" s="8" t="n">
        <v>379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>
        <f>IF(COUNT(D1661:S1661)=0,"",MIN(D1661:S1661))</f>
        <v/>
      </c>
      <c r="U1661" s="8">
        <f>IF(COUNT(D1661:S1661)=0,"",MEDIAN(D1661:S1661))</f>
        <v/>
      </c>
      <c r="V1661" s="8">
        <f>IF(COUNT(D1661:S1661)=0,"",MAX(D1661:S1661))</f>
        <v/>
      </c>
      <c r="W1661" s="9">
        <f>IF(OR(T1661="",T1661=0),"",(V1661-T1661)/T1661)</f>
        <v/>
      </c>
      <c r="X1661" s="7">
        <f>IF(COUNT(D1661:S1661)=0,"",INDEX($D$1:$S$1,MATCH(MIN(D1661:S1661),D1661:S1661,0)))</f>
        <v/>
      </c>
      <c r="Y1661" s="8" t="n">
        <v>260</v>
      </c>
      <c r="Z1661" s="10" t="n">
        <v>2</v>
      </c>
    </row>
    <row r="1662">
      <c r="A1662" s="7" t="inlineStr">
        <is>
          <t>MAT-32-308</t>
        </is>
      </c>
      <c r="B1662" s="4" t="inlineStr">
        <is>
          <t>Niple de HG 1 1/4" x 2"</t>
        </is>
      </c>
      <c r="C1662" s="7" t="inlineStr">
        <is>
          <t>unidad</t>
        </is>
      </c>
      <c r="D1662" s="8" t="n"/>
      <c r="E1662" s="8" t="n"/>
      <c r="F1662" s="8" t="n"/>
      <c r="G1662" s="8" t="n">
        <v>170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>
        <f>IF(COUNT(D1662:S1662)=0,"",MIN(D1662:S1662))</f>
        <v/>
      </c>
      <c r="U1662" s="8">
        <f>IF(COUNT(D1662:S1662)=0,"",MEDIAN(D1662:S1662))</f>
        <v/>
      </c>
      <c r="V1662" s="8">
        <f>IF(COUNT(D1662:S1662)=0,"",MAX(D1662:S1662))</f>
        <v/>
      </c>
      <c r="W1662" s="9">
        <f>IF(OR(T1662="",T1662=0),"",(V1662-T1662)/T1662)</f>
        <v/>
      </c>
      <c r="X1662" s="7">
        <f>IF(COUNT(D1662:S1662)=0,"",INDEX($D$1:$S$1,MATCH(MIN(D1662:S1662),D1662:S1662,0)))</f>
        <v/>
      </c>
      <c r="Y1662" s="8" t="n">
        <v>170</v>
      </c>
      <c r="Z1662" s="10" t="n">
        <v>1</v>
      </c>
    </row>
    <row r="1663">
      <c r="A1663" s="7" t="inlineStr">
        <is>
          <t>MAT-32-309</t>
        </is>
      </c>
      <c r="B1663" s="4" t="inlineStr">
        <is>
          <t>Niple de HG 1 1/4" x 3"</t>
        </is>
      </c>
      <c r="C1663" s="7" t="inlineStr">
        <is>
          <t>unidad</t>
        </is>
      </c>
      <c r="D1663" s="8" t="n"/>
      <c r="E1663" s="8" t="n">
        <v>78</v>
      </c>
      <c r="F1663" s="8" t="n"/>
      <c r="G1663" s="8" t="n">
        <v>174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>
        <f>IF(COUNT(D1663:S1663)=0,"",MIN(D1663:S1663))</f>
        <v/>
      </c>
      <c r="U1663" s="8">
        <f>IF(COUNT(D1663:S1663)=0,"",MEDIAN(D1663:S1663))</f>
        <v/>
      </c>
      <c r="V1663" s="8">
        <f>IF(COUNT(D1663:S1663)=0,"",MAX(D1663:S1663))</f>
        <v/>
      </c>
      <c r="W1663" s="9">
        <f>IF(OR(T1663="",T1663=0),"",(V1663-T1663)/T1663)</f>
        <v/>
      </c>
      <c r="X1663" s="7">
        <f>IF(COUNT(D1663:S1663)=0,"",INDEX($D$1:$S$1,MATCH(MIN(D1663:S1663),D1663:S1663,0)))</f>
        <v/>
      </c>
      <c r="Y1663" s="8" t="n">
        <v>126</v>
      </c>
      <c r="Z1663" s="10" t="n">
        <v>2</v>
      </c>
    </row>
    <row r="1664">
      <c r="A1664" s="7" t="inlineStr">
        <is>
          <t>MAT-32-310</t>
        </is>
      </c>
      <c r="B1664" s="4" t="inlineStr">
        <is>
          <t>Niple de HG 1 1/4" x 4"</t>
        </is>
      </c>
      <c r="C1664" s="7" t="inlineStr">
        <is>
          <t>unidad</t>
        </is>
      </c>
      <c r="D1664" s="8" t="n"/>
      <c r="E1664" s="8" t="n">
        <v>101</v>
      </c>
      <c r="F1664" s="8" t="n"/>
      <c r="G1664" s="8" t="n">
        <v>191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>
        <f>IF(COUNT(D1664:S1664)=0,"",MIN(D1664:S1664))</f>
        <v/>
      </c>
      <c r="U1664" s="8">
        <f>IF(COUNT(D1664:S1664)=0,"",MEDIAN(D1664:S1664))</f>
        <v/>
      </c>
      <c r="V1664" s="8">
        <f>IF(COUNT(D1664:S1664)=0,"",MAX(D1664:S1664))</f>
        <v/>
      </c>
      <c r="W1664" s="9">
        <f>IF(OR(T1664="",T1664=0),"",(V1664-T1664)/T1664)</f>
        <v/>
      </c>
      <c r="X1664" s="7">
        <f>IF(COUNT(D1664:S1664)=0,"",INDEX($D$1:$S$1,MATCH(MIN(D1664:S1664),D1664:S1664,0)))</f>
        <v/>
      </c>
      <c r="Y1664" s="8" t="n">
        <v>146</v>
      </c>
      <c r="Z1664" s="10" t="n">
        <v>2</v>
      </c>
    </row>
    <row r="1665">
      <c r="A1665" s="7" t="inlineStr">
        <is>
          <t>MAT-32-311</t>
        </is>
      </c>
      <c r="B1665" s="4" t="inlineStr">
        <is>
          <t>Niple de HG 1 1/4" x 5"</t>
        </is>
      </c>
      <c r="C1665" s="7" t="inlineStr">
        <is>
          <t>unidad</t>
        </is>
      </c>
      <c r="D1665" s="8" t="n"/>
      <c r="E1665" s="8" t="n">
        <v>98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>
        <f>IF(COUNT(D1665:S1665)=0,"",MIN(D1665:S1665))</f>
        <v/>
      </c>
      <c r="U1665" s="8">
        <f>IF(COUNT(D1665:S1665)=0,"",MEDIAN(D1665:S1665))</f>
        <v/>
      </c>
      <c r="V1665" s="8">
        <f>IF(COUNT(D1665:S1665)=0,"",MAX(D1665:S1665))</f>
        <v/>
      </c>
      <c r="W1665" s="9">
        <f>IF(OR(T1665="",T1665=0),"",(V1665-T1665)/T1665)</f>
        <v/>
      </c>
      <c r="X1665" s="7">
        <f>IF(COUNT(D1665:S1665)=0,"",INDEX($D$1:$S$1,MATCH(MIN(D1665:S1665),D1665:S1665,0)))</f>
        <v/>
      </c>
      <c r="Y1665" s="8" t="n">
        <v>98</v>
      </c>
      <c r="Z1665" s="10" t="n">
        <v>1</v>
      </c>
    </row>
    <row r="1666">
      <c r="A1666" s="7" t="inlineStr">
        <is>
          <t>MAT-32-312</t>
        </is>
      </c>
      <c r="B1666" s="4" t="inlineStr">
        <is>
          <t>Niple de HG 1 1/4" x 6"</t>
        </is>
      </c>
      <c r="C1666" s="7" t="inlineStr">
        <is>
          <t>unidad</t>
        </is>
      </c>
      <c r="D1666" s="8" t="n"/>
      <c r="E1666" s="8" t="n">
        <v>118</v>
      </c>
      <c r="F1666" s="8" t="n"/>
      <c r="G1666" s="8" t="n">
        <v>236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>
        <f>IF(COUNT(D1666:S1666)=0,"",MIN(D1666:S1666))</f>
        <v/>
      </c>
      <c r="U1666" s="8">
        <f>IF(COUNT(D1666:S1666)=0,"",MEDIAN(D1666:S1666))</f>
        <v/>
      </c>
      <c r="V1666" s="8">
        <f>IF(COUNT(D1666:S1666)=0,"",MAX(D1666:S1666))</f>
        <v/>
      </c>
      <c r="W1666" s="9">
        <f>IF(OR(T1666="",T1666=0),"",(V1666-T1666)/T1666)</f>
        <v/>
      </c>
      <c r="X1666" s="7">
        <f>IF(COUNT(D1666:S1666)=0,"",INDEX($D$1:$S$1,MATCH(MIN(D1666:S1666),D1666:S1666,0)))</f>
        <v/>
      </c>
      <c r="Y1666" s="8" t="n">
        <v>177</v>
      </c>
      <c r="Z1666" s="10" t="n">
        <v>2</v>
      </c>
    </row>
    <row r="1667">
      <c r="A1667" s="7" t="inlineStr">
        <is>
          <t>MAT-32-313</t>
        </is>
      </c>
      <c r="B1667" s="4" t="inlineStr">
        <is>
          <t>Niple de HG 1/2" x 1 1/2"</t>
        </is>
      </c>
      <c r="C1667" s="7" t="inlineStr">
        <is>
          <t>unidad</t>
        </is>
      </c>
      <c r="D1667" s="8" t="n"/>
      <c r="E1667" s="8" t="n">
        <v>17.47</v>
      </c>
      <c r="F1667" s="8" t="n"/>
      <c r="G1667" s="8" t="n">
        <v>75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>
        <f>IF(COUNT(D1667:S1667)=0,"",MIN(D1667:S1667))</f>
        <v/>
      </c>
      <c r="U1667" s="8">
        <f>IF(COUNT(D1667:S1667)=0,"",MEDIAN(D1667:S1667))</f>
        <v/>
      </c>
      <c r="V1667" s="8">
        <f>IF(COUNT(D1667:S1667)=0,"",MAX(D1667:S1667))</f>
        <v/>
      </c>
      <c r="W1667" s="9">
        <f>IF(OR(T1667="",T1667=0),"",(V1667-T1667)/T1667)</f>
        <v/>
      </c>
      <c r="X1667" s="7">
        <f>IF(COUNT(D1667:S1667)=0,"",INDEX($D$1:$S$1,MATCH(MIN(D1667:S1667),D1667:S1667,0)))</f>
        <v/>
      </c>
      <c r="Y1667" s="8" t="n">
        <v>46.24</v>
      </c>
      <c r="Z1667" s="10" t="n">
        <v>2</v>
      </c>
    </row>
    <row r="1668">
      <c r="A1668" s="7" t="inlineStr">
        <is>
          <t>MAT-32-314</t>
        </is>
      </c>
      <c r="B1668" s="4" t="inlineStr">
        <is>
          <t>Niple de HG 1/2" x 10"</t>
        </is>
      </c>
      <c r="C1668" s="7" t="inlineStr">
        <is>
          <t>unidad</t>
        </is>
      </c>
      <c r="D1668" s="8" t="n"/>
      <c r="E1668" s="8" t="n">
        <v>115</v>
      </c>
      <c r="F1668" s="8" t="n"/>
      <c r="G1668" s="8" t="n">
        <v>199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>
        <f>IF(COUNT(D1668:S1668)=0,"",MIN(D1668:S1668))</f>
        <v/>
      </c>
      <c r="U1668" s="8">
        <f>IF(COUNT(D1668:S1668)=0,"",MEDIAN(D1668:S1668))</f>
        <v/>
      </c>
      <c r="V1668" s="8">
        <f>IF(COUNT(D1668:S1668)=0,"",MAX(D1668:S1668))</f>
        <v/>
      </c>
      <c r="W1668" s="9">
        <f>IF(OR(T1668="",T1668=0),"",(V1668-T1668)/T1668)</f>
        <v/>
      </c>
      <c r="X1668" s="7">
        <f>IF(COUNT(D1668:S1668)=0,"",INDEX($D$1:$S$1,MATCH(MIN(D1668:S1668),D1668:S1668,0)))</f>
        <v/>
      </c>
      <c r="Y1668" s="8" t="n">
        <v>157</v>
      </c>
      <c r="Z1668" s="10" t="n">
        <v>2</v>
      </c>
    </row>
    <row r="1669">
      <c r="A1669" s="7" t="inlineStr">
        <is>
          <t>MAT-32-315</t>
        </is>
      </c>
      <c r="B1669" s="4" t="inlineStr">
        <is>
          <t>Niple de HG 1/2" x 12"</t>
        </is>
      </c>
      <c r="C1669" s="7" t="inlineStr">
        <is>
          <t>unidad</t>
        </is>
      </c>
      <c r="D1669" s="8" t="n"/>
      <c r="E1669" s="8" t="n">
        <v>119</v>
      </c>
      <c r="F1669" s="8" t="n"/>
      <c r="G1669" s="8" t="n">
        <v>259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>
        <f>IF(COUNT(D1669:S1669)=0,"",MIN(D1669:S1669))</f>
        <v/>
      </c>
      <c r="U1669" s="8">
        <f>IF(COUNT(D1669:S1669)=0,"",MEDIAN(D1669:S1669))</f>
        <v/>
      </c>
      <c r="V1669" s="8">
        <f>IF(COUNT(D1669:S1669)=0,"",MAX(D1669:S1669))</f>
        <v/>
      </c>
      <c r="W1669" s="9">
        <f>IF(OR(T1669="",T1669=0),"",(V1669-T1669)/T1669)</f>
        <v/>
      </c>
      <c r="X1669" s="7">
        <f>IF(COUNT(D1669:S1669)=0,"",INDEX($D$1:$S$1,MATCH(MIN(D1669:S1669),D1669:S1669,0)))</f>
        <v/>
      </c>
      <c r="Y1669" s="8" t="n">
        <v>189</v>
      </c>
      <c r="Z1669" s="10" t="n">
        <v>2</v>
      </c>
    </row>
    <row r="1670">
      <c r="A1670" s="7" t="inlineStr">
        <is>
          <t>MAT-32-316</t>
        </is>
      </c>
      <c r="B1670" s="4" t="inlineStr">
        <is>
          <t>Niple de HG 1/2" x 1"</t>
        </is>
      </c>
      <c r="C1670" s="7" t="inlineStr">
        <is>
          <t>unidad</t>
        </is>
      </c>
      <c r="D1670" s="8" t="n"/>
      <c r="E1670" s="8" t="n">
        <v>16.38</v>
      </c>
      <c r="F1670" s="8" t="n"/>
      <c r="G1670" s="8" t="n">
        <v>67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>
        <f>IF(COUNT(D1670:S1670)=0,"",MIN(D1670:S1670))</f>
        <v/>
      </c>
      <c r="U1670" s="8">
        <f>IF(COUNT(D1670:S1670)=0,"",MEDIAN(D1670:S1670))</f>
        <v/>
      </c>
      <c r="V1670" s="8">
        <f>IF(COUNT(D1670:S1670)=0,"",MAX(D1670:S1670))</f>
        <v/>
      </c>
      <c r="W1670" s="9">
        <f>IF(OR(T1670="",T1670=0),"",(V1670-T1670)/T1670)</f>
        <v/>
      </c>
      <c r="X1670" s="7">
        <f>IF(COUNT(D1670:S1670)=0,"",INDEX($D$1:$S$1,MATCH(MIN(D1670:S1670),D1670:S1670,0)))</f>
        <v/>
      </c>
      <c r="Y1670" s="8" t="n">
        <v>41.69</v>
      </c>
      <c r="Z1670" s="10" t="n">
        <v>2</v>
      </c>
    </row>
    <row r="1671">
      <c r="A1671" s="7" t="inlineStr">
        <is>
          <t>MAT-32-317</t>
        </is>
      </c>
      <c r="B1671" s="4" t="inlineStr">
        <is>
          <t>Niple de HG 1/2" x 2 1/2"</t>
        </is>
      </c>
      <c r="C1671" s="7" t="inlineStr">
        <is>
          <t>unidad</t>
        </is>
      </c>
      <c r="D1671" s="8" t="n"/>
      <c r="E1671" s="8" t="n">
        <v>24.02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>
        <f>IF(COUNT(D1671:S1671)=0,"",MIN(D1671:S1671))</f>
        <v/>
      </c>
      <c r="U1671" s="8">
        <f>IF(COUNT(D1671:S1671)=0,"",MEDIAN(D1671:S1671))</f>
        <v/>
      </c>
      <c r="V1671" s="8">
        <f>IF(COUNT(D1671:S1671)=0,"",MAX(D1671:S1671))</f>
        <v/>
      </c>
      <c r="W1671" s="9">
        <f>IF(OR(T1671="",T1671=0),"",(V1671-T1671)/T1671)</f>
        <v/>
      </c>
      <c r="X1671" s="7">
        <f>IF(COUNT(D1671:S1671)=0,"",INDEX($D$1:$S$1,MATCH(MIN(D1671:S1671),D1671:S1671,0)))</f>
        <v/>
      </c>
      <c r="Y1671" s="8" t="n">
        <v>44.51</v>
      </c>
      <c r="Z1671" s="10" t="n">
        <v>2</v>
      </c>
    </row>
    <row r="1672">
      <c r="A1672" s="7" t="inlineStr">
        <is>
          <t>MAT-32-318</t>
        </is>
      </c>
      <c r="B1672" s="4" t="inlineStr">
        <is>
          <t>Niple de HG 1/2" x 2"</t>
        </is>
      </c>
      <c r="C1672" s="7" t="inlineStr">
        <is>
          <t>unidad</t>
        </is>
      </c>
      <c r="D1672" s="8" t="n"/>
      <c r="E1672" s="8" t="n">
        <v>19.66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>
        <f>IF(COUNT(D1672:S1672)=0,"",MIN(D1672:S1672))</f>
        <v/>
      </c>
      <c r="U1672" s="8">
        <f>IF(COUNT(D1672:S1672)=0,"",MEDIAN(D1672:S1672))</f>
        <v/>
      </c>
      <c r="V1672" s="8">
        <f>IF(COUNT(D1672:S1672)=0,"",MAX(D1672:S1672))</f>
        <v/>
      </c>
      <c r="W1672" s="9">
        <f>IF(OR(T1672="",T1672=0),"",(V1672-T1672)/T1672)</f>
        <v/>
      </c>
      <c r="X1672" s="7">
        <f>IF(COUNT(D1672:S1672)=0,"",INDEX($D$1:$S$1,MATCH(MIN(D1672:S1672),D1672:S1672,0)))</f>
        <v/>
      </c>
      <c r="Y1672" s="8" t="n">
        <v>42.33</v>
      </c>
      <c r="Z1672" s="10" t="n">
        <v>2</v>
      </c>
    </row>
    <row r="1673">
      <c r="A1673" s="7" t="inlineStr">
        <is>
          <t>MAT-32-319</t>
        </is>
      </c>
      <c r="B1673" s="4" t="inlineStr">
        <is>
          <t>Niple de HG 1/2" x 3"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>
        <f>IF(COUNT(D1673:S1673)=0,"",MIN(D1673:S1673))</f>
        <v/>
      </c>
      <c r="U1673" s="8">
        <f>IF(COUNT(D1673:S1673)=0,"",MEDIAN(D1673:S1673))</f>
        <v/>
      </c>
      <c r="V1673" s="8">
        <f>IF(COUNT(D1673:S1673)=0,"",MAX(D1673:S1673))</f>
        <v/>
      </c>
      <c r="W1673" s="9">
        <f>IF(OR(T1673="",T1673=0),"",(V1673-T1673)/T1673)</f>
        <v/>
      </c>
      <c r="X1673" s="7">
        <f>IF(COUNT(D1673:S1673)=0,"",INDEX($D$1:$S$1,MATCH(MIN(D1673:S1673),D1673:S1673,0)))</f>
        <v/>
      </c>
      <c r="Y1673" s="8" t="n">
        <v>46.15</v>
      </c>
      <c r="Z1673" s="10" t="n">
        <v>2</v>
      </c>
    </row>
    <row r="1674">
      <c r="A1674" s="7" t="inlineStr">
        <is>
          <t>MAT-32-320</t>
        </is>
      </c>
      <c r="B1674" s="4" t="inlineStr">
        <is>
          <t>Niple de HG 1/2" x 4"</t>
        </is>
      </c>
      <c r="C1674" s="7" t="inlineStr">
        <is>
          <t>unidad</t>
        </is>
      </c>
      <c r="D1674" s="8" t="n"/>
      <c r="E1674" s="8" t="n">
        <v>34.5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>
        <f>IF(COUNT(D1674:S1674)=0,"",MIN(D1674:S1674))</f>
        <v/>
      </c>
      <c r="U1674" s="8">
        <f>IF(COUNT(D1674:S1674)=0,"",MEDIAN(D1674:S1674))</f>
        <v/>
      </c>
      <c r="V1674" s="8">
        <f>IF(COUNT(D1674:S1674)=0,"",MAX(D1674:S1674))</f>
        <v/>
      </c>
      <c r="W1674" s="9">
        <f>IF(OR(T1674="",T1674=0),"",(V1674-T1674)/T1674)</f>
        <v/>
      </c>
      <c r="X1674" s="7">
        <f>IF(COUNT(D1674:S1674)=0,"",INDEX($D$1:$S$1,MATCH(MIN(D1674:S1674),D1674:S1674,0)))</f>
        <v/>
      </c>
      <c r="Y1674" s="8" t="n">
        <v>94.75</v>
      </c>
      <c r="Z1674" s="10" t="n">
        <v>2</v>
      </c>
    </row>
    <row r="1675">
      <c r="A1675" s="7" t="inlineStr">
        <is>
          <t>MAT-32-321</t>
        </is>
      </c>
      <c r="B1675" s="4" t="inlineStr">
        <is>
          <t>Niple de HG 1/2" x 5"</t>
        </is>
      </c>
      <c r="C1675" s="7" t="inlineStr">
        <is>
          <t>unidad</t>
        </is>
      </c>
      <c r="D1675" s="8" t="n"/>
      <c r="E1675" s="8" t="n">
        <v>41.5</v>
      </c>
      <c r="F1675" s="8" t="n"/>
      <c r="G1675" s="8" t="n">
        <v>182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>
        <f>IF(COUNT(D1675:S1675)=0,"",MIN(D1675:S1675))</f>
        <v/>
      </c>
      <c r="U1675" s="8">
        <f>IF(COUNT(D1675:S1675)=0,"",MEDIAN(D1675:S1675))</f>
        <v/>
      </c>
      <c r="V1675" s="8">
        <f>IF(COUNT(D1675:S1675)=0,"",MAX(D1675:S1675))</f>
        <v/>
      </c>
      <c r="W1675" s="9">
        <f>IF(OR(T1675="",T1675=0),"",(V1675-T1675)/T1675)</f>
        <v/>
      </c>
      <c r="X1675" s="7">
        <f>IF(COUNT(D1675:S1675)=0,"",INDEX($D$1:$S$1,MATCH(MIN(D1675:S1675),D1675:S1675,0)))</f>
        <v/>
      </c>
      <c r="Y1675" s="8" t="n">
        <v>111.75</v>
      </c>
      <c r="Z1675" s="10" t="n">
        <v>2</v>
      </c>
    </row>
    <row r="1676">
      <c r="A1676" s="7" t="inlineStr">
        <is>
          <t>MAT-32-322</t>
        </is>
      </c>
      <c r="B1676" s="4" t="inlineStr">
        <is>
          <t>Niple de HG 1/2" x 6"</t>
        </is>
      </c>
      <c r="C1676" s="7" t="inlineStr">
        <is>
          <t>unidad</t>
        </is>
      </c>
      <c r="D1676" s="8" t="n"/>
      <c r="E1676" s="8" t="n">
        <v>70</v>
      </c>
      <c r="F1676" s="8" t="n"/>
      <c r="G1676" s="8" t="n">
        <v>49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>
        <f>IF(COUNT(D1676:S1676)=0,"",MIN(D1676:S1676))</f>
        <v/>
      </c>
      <c r="U1676" s="8">
        <f>IF(COUNT(D1676:S1676)=0,"",MEDIAN(D1676:S1676))</f>
        <v/>
      </c>
      <c r="V1676" s="8">
        <f>IF(COUNT(D1676:S1676)=0,"",MAX(D1676:S1676))</f>
        <v/>
      </c>
      <c r="W1676" s="9">
        <f>IF(OR(T1676="",T1676=0),"",(V1676-T1676)/T1676)</f>
        <v/>
      </c>
      <c r="X1676" s="7">
        <f>IF(COUNT(D1676:S1676)=0,"",INDEX($D$1:$S$1,MATCH(MIN(D1676:S1676),D1676:S1676,0)))</f>
        <v/>
      </c>
      <c r="Y1676" s="8" t="n">
        <v>59.5</v>
      </c>
      <c r="Z1676" s="10" t="n">
        <v>2</v>
      </c>
    </row>
    <row r="1677">
      <c r="A1677" s="7" t="inlineStr">
        <is>
          <t>MAT-32-323</t>
        </is>
      </c>
      <c r="B1677" s="4" t="inlineStr">
        <is>
          <t>Niple de HG 1/2" x 8"</t>
        </is>
      </c>
      <c r="C1677" s="7" t="inlineStr">
        <is>
          <t>unidad</t>
        </is>
      </c>
      <c r="D1677" s="8" t="n"/>
      <c r="E1677" s="8" t="n">
        <v>77</v>
      </c>
      <c r="F1677" s="8" t="n"/>
      <c r="G1677" s="8" t="n">
        <v>187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>
        <f>IF(COUNT(D1677:S1677)=0,"",MIN(D1677:S1677))</f>
        <v/>
      </c>
      <c r="U1677" s="8">
        <f>IF(COUNT(D1677:S1677)=0,"",MEDIAN(D1677:S1677))</f>
        <v/>
      </c>
      <c r="V1677" s="8">
        <f>IF(COUNT(D1677:S1677)=0,"",MAX(D1677:S1677))</f>
        <v/>
      </c>
      <c r="W1677" s="9">
        <f>IF(OR(T1677="",T1677=0),"",(V1677-T1677)/T1677)</f>
        <v/>
      </c>
      <c r="X1677" s="7">
        <f>IF(COUNT(D1677:S1677)=0,"",INDEX($D$1:$S$1,MATCH(MIN(D1677:S1677),D1677:S1677,0)))</f>
        <v/>
      </c>
      <c r="Y1677" s="8" t="n">
        <v>132</v>
      </c>
      <c r="Z1677" s="10" t="n">
        <v>2</v>
      </c>
    </row>
    <row r="1678">
      <c r="A1678" s="7" t="inlineStr">
        <is>
          <t>MAT-32-324</t>
        </is>
      </c>
      <c r="B1678" s="4" t="inlineStr">
        <is>
          <t>Niple de HG 1/4" x 1 1/2"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>
        <f>IF(COUNT(D1678:S1678)=0,"",MIN(D1678:S1678))</f>
        <v/>
      </c>
      <c r="U1678" s="8">
        <f>IF(COUNT(D1678:S1678)=0,"",MEDIAN(D1678:S1678))</f>
        <v/>
      </c>
      <c r="V1678" s="8">
        <f>IF(COUNT(D1678:S1678)=0,"",MAX(D1678:S1678))</f>
        <v/>
      </c>
      <c r="W1678" s="9">
        <f>IF(OR(T1678="",T1678=0),"",(V1678-T1678)/T1678)</f>
        <v/>
      </c>
      <c r="X1678" s="7">
        <f>IF(COUNT(D1678:S1678)=0,"",INDEX($D$1:$S$1,MATCH(MIN(D1678:S1678),D1678:S1678,0)))</f>
        <v/>
      </c>
      <c r="Y1678" s="8" t="n">
        <v>27.3</v>
      </c>
      <c r="Z1678" s="10" t="n">
        <v>1</v>
      </c>
    </row>
    <row r="1679">
      <c r="A1679" s="7" t="inlineStr">
        <is>
          <t>MAT-32-325</t>
        </is>
      </c>
      <c r="B1679" s="4" t="inlineStr">
        <is>
          <t>Niple de HG 1/4" x 2"</t>
        </is>
      </c>
      <c r="C1679" s="7" t="inlineStr">
        <is>
          <t>unidad</t>
        </is>
      </c>
      <c r="D1679" s="8" t="n"/>
      <c r="E1679" s="8" t="n">
        <v>29.45</v>
      </c>
      <c r="F1679" s="8" t="n"/>
      <c r="G1679" s="8" t="n">
        <v>170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>
        <f>IF(COUNT(D1679:S1679)=0,"",MIN(D1679:S1679))</f>
        <v/>
      </c>
      <c r="U1679" s="8">
        <f>IF(COUNT(D1679:S1679)=0,"",MEDIAN(D1679:S1679))</f>
        <v/>
      </c>
      <c r="V1679" s="8">
        <f>IF(COUNT(D1679:S1679)=0,"",MAX(D1679:S1679))</f>
        <v/>
      </c>
      <c r="W1679" s="9">
        <f>IF(OR(T1679="",T1679=0),"",(V1679-T1679)/T1679)</f>
        <v/>
      </c>
      <c r="X1679" s="7">
        <f>IF(COUNT(D1679:S1679)=0,"",INDEX($D$1:$S$1,MATCH(MIN(D1679:S1679),D1679:S1679,0)))</f>
        <v/>
      </c>
      <c r="Y1679" s="8" t="n">
        <v>99.73</v>
      </c>
      <c r="Z1679" s="10" t="n">
        <v>2</v>
      </c>
    </row>
    <row r="1680">
      <c r="A1680" s="7" t="inlineStr">
        <is>
          <t>MAT-32-326</t>
        </is>
      </c>
      <c r="B1680" s="4" t="inlineStr">
        <is>
          <t>Niple de HG 1/4" x 3"</t>
        </is>
      </c>
      <c r="C1680" s="7" t="inlineStr">
        <is>
          <t>unidad</t>
        </is>
      </c>
      <c r="D1680" s="8" t="n"/>
      <c r="E1680" s="8" t="n">
        <v>26.76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>
        <f>IF(COUNT(D1680:S1680)=0,"",MIN(D1680:S1680))</f>
        <v/>
      </c>
      <c r="U1680" s="8">
        <f>IF(COUNT(D1680:S1680)=0,"",MEDIAN(D1680:S1680))</f>
        <v/>
      </c>
      <c r="V1680" s="8">
        <f>IF(COUNT(D1680:S1680)=0,"",MAX(D1680:S1680))</f>
        <v/>
      </c>
      <c r="W1680" s="9">
        <f>IF(OR(T1680="",T1680=0),"",(V1680-T1680)/T1680)</f>
        <v/>
      </c>
      <c r="X1680" s="7">
        <f>IF(COUNT(D1680:S1680)=0,"",INDEX($D$1:$S$1,MATCH(MIN(D1680:S1680),D1680:S1680,0)))</f>
        <v/>
      </c>
      <c r="Y1680" s="8" t="n">
        <v>26.76</v>
      </c>
      <c r="Z1680" s="10" t="n">
        <v>1</v>
      </c>
    </row>
    <row r="1681">
      <c r="A1681" s="7" t="inlineStr">
        <is>
          <t>MAT-32-327</t>
        </is>
      </c>
      <c r="B1681" s="4" t="inlineStr">
        <is>
          <t>Niple de HG 1/4" x 4"</t>
        </is>
      </c>
      <c r="C1681" s="7" t="inlineStr">
        <is>
          <t>unidad</t>
        </is>
      </c>
      <c r="D1681" s="8" t="n"/>
      <c r="E1681" s="8" t="n">
        <v>35.88</v>
      </c>
      <c r="F1681" s="8" t="n"/>
      <c r="G1681" s="8" t="n">
        <v>204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>
        <f>IF(COUNT(D1681:S1681)=0,"",MIN(D1681:S1681))</f>
        <v/>
      </c>
      <c r="U1681" s="8">
        <f>IF(COUNT(D1681:S1681)=0,"",MEDIAN(D1681:S1681))</f>
        <v/>
      </c>
      <c r="V1681" s="8">
        <f>IF(COUNT(D1681:S1681)=0,"",MAX(D1681:S1681))</f>
        <v/>
      </c>
      <c r="W1681" s="9">
        <f>IF(OR(T1681="",T1681=0),"",(V1681-T1681)/T1681)</f>
        <v/>
      </c>
      <c r="X1681" s="7">
        <f>IF(COUNT(D1681:S1681)=0,"",INDEX($D$1:$S$1,MATCH(MIN(D1681:S1681),D1681:S1681,0)))</f>
        <v/>
      </c>
      <c r="Y1681" s="8" t="n">
        <v>119.94</v>
      </c>
      <c r="Z1681" s="10" t="n">
        <v>2</v>
      </c>
    </row>
    <row r="1682">
      <c r="A1682" s="7" t="inlineStr">
        <is>
          <t>MAT-32-328</t>
        </is>
      </c>
      <c r="B1682" s="4" t="inlineStr">
        <is>
          <t>Niple de HG 1" x 1 1/2"</t>
        </is>
      </c>
      <c r="C1682" s="7" t="inlineStr">
        <is>
          <t>unidad</t>
        </is>
      </c>
      <c r="D1682" s="8" t="n"/>
      <c r="E1682" s="8" t="n">
        <v>38.22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>
        <f>IF(COUNT(D1682:S1682)=0,"",MIN(D1682:S1682))</f>
        <v/>
      </c>
      <c r="U1682" s="8">
        <f>IF(COUNT(D1682:S1682)=0,"",MEDIAN(D1682:S1682))</f>
        <v/>
      </c>
      <c r="V1682" s="8">
        <f>IF(COUNT(D1682:S1682)=0,"",MAX(D1682:S1682))</f>
        <v/>
      </c>
      <c r="W1682" s="9">
        <f>IF(OR(T1682="",T1682=0),"",(V1682-T1682)/T1682)</f>
        <v/>
      </c>
      <c r="X1682" s="7">
        <f>IF(COUNT(D1682:S1682)=0,"",INDEX($D$1:$S$1,MATCH(MIN(D1682:S1682),D1682:S1682,0)))</f>
        <v/>
      </c>
      <c r="Y1682" s="8" t="n">
        <v>38.22</v>
      </c>
      <c r="Z1682" s="10" t="n">
        <v>1</v>
      </c>
    </row>
    <row r="1683">
      <c r="A1683" s="7" t="inlineStr">
        <is>
          <t>MAT-32-329</t>
        </is>
      </c>
      <c r="B1683" s="4" t="inlineStr">
        <is>
          <t>Niple de HG 1" x 10"</t>
        </is>
      </c>
      <c r="C1683" s="7" t="inlineStr">
        <is>
          <t>unidad</t>
        </is>
      </c>
      <c r="D1683" s="8" t="n"/>
      <c r="E1683" s="8" t="n"/>
      <c r="F1683" s="8" t="n"/>
      <c r="G1683" s="8" t="n">
        <v>344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>
        <f>IF(COUNT(D1683:S1683)=0,"",MIN(D1683:S1683))</f>
        <v/>
      </c>
      <c r="U1683" s="8">
        <f>IF(COUNT(D1683:S1683)=0,"",MEDIAN(D1683:S1683))</f>
        <v/>
      </c>
      <c r="V1683" s="8">
        <f>IF(COUNT(D1683:S1683)=0,"",MAX(D1683:S1683))</f>
        <v/>
      </c>
      <c r="W1683" s="9">
        <f>IF(OR(T1683="",T1683=0),"",(V1683-T1683)/T1683)</f>
        <v/>
      </c>
      <c r="X1683" s="7">
        <f>IF(COUNT(D1683:S1683)=0,"",INDEX($D$1:$S$1,MATCH(MIN(D1683:S1683),D1683:S1683,0)))</f>
        <v/>
      </c>
      <c r="Y1683" s="8" t="n">
        <v>344</v>
      </c>
      <c r="Z1683" s="10" t="n">
        <v>1</v>
      </c>
    </row>
    <row r="1684">
      <c r="A1684" s="7" t="inlineStr">
        <is>
          <t>MAT-32-330</t>
        </is>
      </c>
      <c r="B1684" s="4" t="inlineStr">
        <is>
          <t>Niple de HG 1" x 2 1/2"</t>
        </is>
      </c>
      <c r="C1684" s="7" t="inlineStr">
        <is>
          <t>unidad</t>
        </is>
      </c>
      <c r="D1684" s="8" t="n"/>
      <c r="E1684" s="8" t="n">
        <v>45.86</v>
      </c>
      <c r="F1684" s="8" t="n"/>
      <c r="G1684" s="8" t="n">
        <v>130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>
        <f>IF(COUNT(D1684:S1684)=0,"",MIN(D1684:S1684))</f>
        <v/>
      </c>
      <c r="U1684" s="8">
        <f>IF(COUNT(D1684:S1684)=0,"",MEDIAN(D1684:S1684))</f>
        <v/>
      </c>
      <c r="V1684" s="8">
        <f>IF(COUNT(D1684:S1684)=0,"",MAX(D1684:S1684))</f>
        <v/>
      </c>
      <c r="W1684" s="9">
        <f>IF(OR(T1684="",T1684=0),"",(V1684-T1684)/T1684)</f>
        <v/>
      </c>
      <c r="X1684" s="7">
        <f>IF(COUNT(D1684:S1684)=0,"",INDEX($D$1:$S$1,MATCH(MIN(D1684:S1684),D1684:S1684,0)))</f>
        <v/>
      </c>
      <c r="Y1684" s="8" t="n">
        <v>87.93000000000001</v>
      </c>
      <c r="Z1684" s="10" t="n">
        <v>2</v>
      </c>
    </row>
    <row r="1685">
      <c r="A1685" s="7" t="inlineStr">
        <is>
          <t>MAT-32-331</t>
        </is>
      </c>
      <c r="B1685" s="4" t="inlineStr">
        <is>
          <t>Niple de HG 1" x 2"</t>
        </is>
      </c>
      <c r="C1685" s="7" t="inlineStr">
        <is>
          <t>unidad</t>
        </is>
      </c>
      <c r="D1685" s="8" t="n"/>
      <c r="E1685" s="8" t="n">
        <v>48.61</v>
      </c>
      <c r="F1685" s="8" t="n"/>
      <c r="G1685" s="8" t="n">
        <v>53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>
        <f>IF(COUNT(D1685:S1685)=0,"",MIN(D1685:S1685))</f>
        <v/>
      </c>
      <c r="U1685" s="8">
        <f>IF(COUNT(D1685:S1685)=0,"",MEDIAN(D1685:S1685))</f>
        <v/>
      </c>
      <c r="V1685" s="8">
        <f>IF(COUNT(D1685:S1685)=0,"",MAX(D1685:S1685))</f>
        <v/>
      </c>
      <c r="W1685" s="9">
        <f>IF(OR(T1685="",T1685=0),"",(V1685-T1685)/T1685)</f>
        <v/>
      </c>
      <c r="X1685" s="7">
        <f>IF(COUNT(D1685:S1685)=0,"",INDEX($D$1:$S$1,MATCH(MIN(D1685:S1685),D1685:S1685,0)))</f>
        <v/>
      </c>
      <c r="Y1685" s="8" t="n">
        <v>50.81</v>
      </c>
      <c r="Z1685" s="10" t="n">
        <v>2</v>
      </c>
    </row>
    <row r="1686">
      <c r="A1686" s="7" t="inlineStr">
        <is>
          <t>MAT-32-332</t>
        </is>
      </c>
      <c r="B1686" s="4" t="inlineStr">
        <is>
          <t>Niple de HG 1"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63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>
        <f>IF(COUNT(D1686:S1686)=0,"",MIN(D1686:S1686))</f>
        <v/>
      </c>
      <c r="U1686" s="8">
        <f>IF(COUNT(D1686:S1686)=0,"",MEDIAN(D1686:S1686))</f>
        <v/>
      </c>
      <c r="V1686" s="8">
        <f>IF(COUNT(D1686:S1686)=0,"",MAX(D1686:S1686))</f>
        <v/>
      </c>
      <c r="W1686" s="9">
        <f>IF(OR(T1686="",T1686=0),"",(V1686-T1686)/T1686)</f>
        <v/>
      </c>
      <c r="X1686" s="7">
        <f>IF(COUNT(D1686:S1686)=0,"",INDEX($D$1:$S$1,MATCH(MIN(D1686:S1686),D1686:S1686,0)))</f>
        <v/>
      </c>
      <c r="Y1686" s="8" t="n">
        <v>63</v>
      </c>
      <c r="Z1686" s="10" t="n">
        <v>1</v>
      </c>
    </row>
    <row r="1687">
      <c r="A1687" s="7" t="inlineStr">
        <is>
          <t>MAT-32-333</t>
        </is>
      </c>
      <c r="B1687" s="4" t="inlineStr">
        <is>
          <t>Niple de HG 1" x 4"</t>
        </is>
      </c>
      <c r="C1687" s="7" t="inlineStr">
        <is>
          <t>unidad</t>
        </is>
      </c>
      <c r="D1687" s="8" t="n"/>
      <c r="E1687" s="8" t="n">
        <v>88</v>
      </c>
      <c r="F1687" s="8" t="n"/>
      <c r="G1687" s="8" t="n">
        <v>65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>
        <f>IF(COUNT(D1687:S1687)=0,"",MIN(D1687:S1687))</f>
        <v/>
      </c>
      <c r="U1687" s="8">
        <f>IF(COUNT(D1687:S1687)=0,"",MEDIAN(D1687:S1687))</f>
        <v/>
      </c>
      <c r="V1687" s="8">
        <f>IF(COUNT(D1687:S1687)=0,"",MAX(D1687:S1687))</f>
        <v/>
      </c>
      <c r="W1687" s="9">
        <f>IF(OR(T1687="",T1687=0),"",(V1687-T1687)/T1687)</f>
        <v/>
      </c>
      <c r="X1687" s="7">
        <f>IF(COUNT(D1687:S1687)=0,"",INDEX($D$1:$S$1,MATCH(MIN(D1687:S1687),D1687:S1687,0)))</f>
        <v/>
      </c>
      <c r="Y1687" s="8" t="n">
        <v>76.5</v>
      </c>
      <c r="Z1687" s="10" t="n">
        <v>2</v>
      </c>
    </row>
    <row r="1688">
      <c r="A1688" s="7" t="inlineStr">
        <is>
          <t>MAT-32-334</t>
        </is>
      </c>
      <c r="B1688" s="4" t="inlineStr">
        <is>
          <t>Niple de HG 1" x 5"</t>
        </is>
      </c>
      <c r="C1688" s="7" t="inlineStr">
        <is>
          <t>unidad</t>
        </is>
      </c>
      <c r="D1688" s="8" t="n"/>
      <c r="E1688" s="8" t="n">
        <v>108</v>
      </c>
      <c r="F1688" s="8" t="n"/>
      <c r="G1688" s="8" t="n">
        <v>31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>
        <f>IF(COUNT(D1688:S1688)=0,"",MIN(D1688:S1688))</f>
        <v/>
      </c>
      <c r="U1688" s="8">
        <f>IF(COUNT(D1688:S1688)=0,"",MEDIAN(D1688:S1688))</f>
        <v/>
      </c>
      <c r="V1688" s="8">
        <f>IF(COUNT(D1688:S1688)=0,"",MAX(D1688:S1688))</f>
        <v/>
      </c>
      <c r="W1688" s="9">
        <f>IF(OR(T1688="",T1688=0),"",(V1688-T1688)/T1688)</f>
        <v/>
      </c>
      <c r="X1688" s="7">
        <f>IF(COUNT(D1688:S1688)=0,"",INDEX($D$1:$S$1,MATCH(MIN(D1688:S1688),D1688:S1688,0)))</f>
        <v/>
      </c>
      <c r="Y1688" s="8" t="n">
        <v>69.5</v>
      </c>
      <c r="Z1688" s="10" t="n">
        <v>2</v>
      </c>
    </row>
    <row r="1689">
      <c r="A1689" s="7" t="inlineStr">
        <is>
          <t>MAT-32-335</t>
        </is>
      </c>
      <c r="B1689" s="4" t="inlineStr">
        <is>
          <t>Niple de HG 1" x 6"</t>
        </is>
      </c>
      <c r="C1689" s="7" t="inlineStr">
        <is>
          <t>unidad</t>
        </is>
      </c>
      <c r="D1689" s="8" t="n"/>
      <c r="E1689" s="8" t="n">
        <v>91</v>
      </c>
      <c r="F1689" s="8" t="n"/>
      <c r="G1689" s="8" t="n">
        <v>86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>
        <f>IF(COUNT(D1689:S1689)=0,"",MIN(D1689:S1689))</f>
        <v/>
      </c>
      <c r="U1689" s="8">
        <f>IF(COUNT(D1689:S1689)=0,"",MEDIAN(D1689:S1689))</f>
        <v/>
      </c>
      <c r="V1689" s="8">
        <f>IF(COUNT(D1689:S1689)=0,"",MAX(D1689:S1689))</f>
        <v/>
      </c>
      <c r="W1689" s="9">
        <f>IF(OR(T1689="",T1689=0),"",(V1689-T1689)/T1689)</f>
        <v/>
      </c>
      <c r="X1689" s="7">
        <f>IF(COUNT(D1689:S1689)=0,"",INDEX($D$1:$S$1,MATCH(MIN(D1689:S1689),D1689:S1689,0)))</f>
        <v/>
      </c>
      <c r="Y1689" s="8" t="n">
        <v>88.5</v>
      </c>
      <c r="Z1689" s="10" t="n">
        <v>2</v>
      </c>
    </row>
    <row r="1690">
      <c r="A1690" s="7" t="inlineStr">
        <is>
          <t>MAT-32-336</t>
        </is>
      </c>
      <c r="B1690" s="4" t="inlineStr">
        <is>
          <t>Niple de HG 2" x 2"</t>
        </is>
      </c>
      <c r="C1690" s="7" t="inlineStr">
        <is>
          <t>unidad</t>
        </is>
      </c>
      <c r="D1690" s="8" t="n"/>
      <c r="E1690" s="8" t="n">
        <v>78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>
        <f>IF(COUNT(D1690:S1690)=0,"",MIN(D1690:S1690))</f>
        <v/>
      </c>
      <c r="U1690" s="8">
        <f>IF(COUNT(D1690:S1690)=0,"",MEDIAN(D1690:S1690))</f>
        <v/>
      </c>
      <c r="V1690" s="8">
        <f>IF(COUNT(D1690:S1690)=0,"",MAX(D1690:S1690))</f>
        <v/>
      </c>
      <c r="W1690" s="9">
        <f>IF(OR(T1690="",T1690=0),"",(V1690-T1690)/T1690)</f>
        <v/>
      </c>
      <c r="X1690" s="7">
        <f>IF(COUNT(D1690:S1690)=0,"",INDEX($D$1:$S$1,MATCH(MIN(D1690:S1690),D1690:S1690,0)))</f>
        <v/>
      </c>
      <c r="Y1690" s="8" t="n">
        <v>78</v>
      </c>
      <c r="Z1690" s="10" t="n">
        <v>1</v>
      </c>
    </row>
    <row r="1691">
      <c r="A1691" s="7" t="inlineStr">
        <is>
          <t>MAT-32-337</t>
        </is>
      </c>
      <c r="B1691" s="4" t="inlineStr">
        <is>
          <t>Niple de HG 2" x 3"</t>
        </is>
      </c>
      <c r="C1691" s="7" t="inlineStr">
        <is>
          <t>unidad</t>
        </is>
      </c>
      <c r="D1691" s="8" t="n"/>
      <c r="E1691" s="8" t="n">
        <v>99</v>
      </c>
      <c r="F1691" s="8" t="n"/>
      <c r="G1691" s="8" t="n">
        <v>338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>
        <f>IF(COUNT(D1691:S1691)=0,"",MIN(D1691:S1691))</f>
        <v/>
      </c>
      <c r="U1691" s="8">
        <f>IF(COUNT(D1691:S1691)=0,"",MEDIAN(D1691:S1691))</f>
        <v/>
      </c>
      <c r="V1691" s="8">
        <f>IF(COUNT(D1691:S1691)=0,"",MAX(D1691:S1691))</f>
        <v/>
      </c>
      <c r="W1691" s="9">
        <f>IF(OR(T1691="",T1691=0),"",(V1691-T1691)/T1691)</f>
        <v/>
      </c>
      <c r="X1691" s="7">
        <f>IF(COUNT(D1691:S1691)=0,"",INDEX($D$1:$S$1,MATCH(MIN(D1691:S1691),D1691:S1691,0)))</f>
        <v/>
      </c>
      <c r="Y1691" s="8" t="n">
        <v>218.5</v>
      </c>
      <c r="Z1691" s="10" t="n">
        <v>2</v>
      </c>
    </row>
    <row r="1692">
      <c r="A1692" s="7" t="inlineStr">
        <is>
          <t>MAT-32-338</t>
        </is>
      </c>
      <c r="B1692" s="4" t="inlineStr">
        <is>
          <t>Niple de HG 2" x 4"</t>
        </is>
      </c>
      <c r="C1692" s="7" t="inlineStr">
        <is>
          <t>unidad</t>
        </is>
      </c>
      <c r="D1692" s="8" t="n"/>
      <c r="E1692" s="8" t="n">
        <v>123</v>
      </c>
      <c r="F1692" s="8" t="n"/>
      <c r="G1692" s="8" t="n">
        <v>368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>
        <f>IF(COUNT(D1692:S1692)=0,"",MIN(D1692:S1692))</f>
        <v/>
      </c>
      <c r="U1692" s="8">
        <f>IF(COUNT(D1692:S1692)=0,"",MEDIAN(D1692:S1692))</f>
        <v/>
      </c>
      <c r="V1692" s="8">
        <f>IF(COUNT(D1692:S1692)=0,"",MAX(D1692:S1692))</f>
        <v/>
      </c>
      <c r="W1692" s="9">
        <f>IF(OR(T1692="",T1692=0),"",(V1692-T1692)/T1692)</f>
        <v/>
      </c>
      <c r="X1692" s="7">
        <f>IF(COUNT(D1692:S1692)=0,"",INDEX($D$1:$S$1,MATCH(MIN(D1692:S1692),D1692:S1692,0)))</f>
        <v/>
      </c>
      <c r="Y1692" s="8" t="n">
        <v>245.5</v>
      </c>
      <c r="Z1692" s="10" t="n">
        <v>2</v>
      </c>
    </row>
    <row r="1693">
      <c r="A1693" s="7" t="inlineStr">
        <is>
          <t>MAT-32-339</t>
        </is>
      </c>
      <c r="B1693" s="4" t="inlineStr">
        <is>
          <t>Niple de HG 2" x 5"</t>
        </is>
      </c>
      <c r="C1693" s="7" t="inlineStr">
        <is>
          <t>unidad</t>
        </is>
      </c>
      <c r="D1693" s="8" t="n"/>
      <c r="E1693" s="8" t="n">
        <v>188</v>
      </c>
      <c r="F1693" s="8" t="n"/>
      <c r="G1693" s="8" t="n">
        <v>257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>
        <f>IF(COUNT(D1693:S1693)=0,"",MIN(D1693:S1693))</f>
        <v/>
      </c>
      <c r="U1693" s="8">
        <f>IF(COUNT(D1693:S1693)=0,"",MEDIAN(D1693:S1693))</f>
        <v/>
      </c>
      <c r="V1693" s="8">
        <f>IF(COUNT(D1693:S1693)=0,"",MAX(D1693:S1693))</f>
        <v/>
      </c>
      <c r="W1693" s="9">
        <f>IF(OR(T1693="",T1693=0),"",(V1693-T1693)/T1693)</f>
        <v/>
      </c>
      <c r="X1693" s="7">
        <f>IF(COUNT(D1693:S1693)=0,"",INDEX($D$1:$S$1,MATCH(MIN(D1693:S1693),D1693:S1693,0)))</f>
        <v/>
      </c>
      <c r="Y1693" s="8" t="n">
        <v>222.5</v>
      </c>
      <c r="Z1693" s="10" t="n">
        <v>2</v>
      </c>
    </row>
    <row r="1694">
      <c r="A1694" s="7" t="inlineStr">
        <is>
          <t>MAT-32-340</t>
        </is>
      </c>
      <c r="B1694" s="4" t="inlineStr">
        <is>
          <t>Niple de HG 2" x 6"</t>
        </is>
      </c>
      <c r="C1694" s="7" t="inlineStr">
        <is>
          <t>unidad</t>
        </is>
      </c>
      <c r="D1694" s="8" t="n"/>
      <c r="E1694" s="8" t="n">
        <v>234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>
        <f>IF(COUNT(D1694:S1694)=0,"",MIN(D1694:S1694))</f>
        <v/>
      </c>
      <c r="U1694" s="8">
        <f>IF(COUNT(D1694:S1694)=0,"",MEDIAN(D1694:S1694))</f>
        <v/>
      </c>
      <c r="V1694" s="8">
        <f>IF(COUNT(D1694:S1694)=0,"",MAX(D1694:S1694))</f>
        <v/>
      </c>
      <c r="W1694" s="9">
        <f>IF(OR(T1694="",T1694=0),"",(V1694-T1694)/T1694)</f>
        <v/>
      </c>
      <c r="X1694" s="7">
        <f>IF(COUNT(D1694:S1694)=0,"",INDEX($D$1:$S$1,MATCH(MIN(D1694:S1694),D1694:S1694,0)))</f>
        <v/>
      </c>
      <c r="Y1694" s="8" t="n">
        <v>234</v>
      </c>
      <c r="Z1694" s="10" t="n">
        <v>1</v>
      </c>
    </row>
    <row r="1695">
      <c r="A1695" s="7" t="inlineStr">
        <is>
          <t>MAT-32-341</t>
        </is>
      </c>
      <c r="B1695" s="4" t="inlineStr">
        <is>
          <t>Niple de HG 3/4" x 1 1/2"</t>
        </is>
      </c>
      <c r="C1695" s="7" t="inlineStr">
        <is>
          <t>unidad</t>
        </is>
      </c>
      <c r="D1695" s="8" t="n"/>
      <c r="E1695" s="8" t="n">
        <v>25.12</v>
      </c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>
        <f>IF(COUNT(D1695:S1695)=0,"",MIN(D1695:S1695))</f>
        <v/>
      </c>
      <c r="U1695" s="8">
        <f>IF(COUNT(D1695:S1695)=0,"",MEDIAN(D1695:S1695))</f>
        <v/>
      </c>
      <c r="V1695" s="8">
        <f>IF(COUNT(D1695:S1695)=0,"",MAX(D1695:S1695))</f>
        <v/>
      </c>
      <c r="W1695" s="9">
        <f>IF(OR(T1695="",T1695=0),"",(V1695-T1695)/T1695)</f>
        <v/>
      </c>
      <c r="X1695" s="7">
        <f>IF(COUNT(D1695:S1695)=0,"",INDEX($D$1:$S$1,MATCH(MIN(D1695:S1695),D1695:S1695,0)))</f>
        <v/>
      </c>
      <c r="Y1695" s="8" t="n">
        <v>51.06</v>
      </c>
      <c r="Z1695" s="10" t="n">
        <v>2</v>
      </c>
    </row>
    <row r="1696">
      <c r="A1696" s="7" t="inlineStr">
        <is>
          <t>MAT-32-342</t>
        </is>
      </c>
      <c r="B1696" s="4" t="inlineStr">
        <is>
          <t>Niple de HG 3/4" x 10"</t>
        </is>
      </c>
      <c r="C1696" s="7" t="inlineStr">
        <is>
          <t>unidad</t>
        </is>
      </c>
      <c r="D1696" s="8" t="n"/>
      <c r="E1696" s="8" t="n">
        <v>88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>
        <f>IF(COUNT(D1696:S1696)=0,"",MIN(D1696:S1696))</f>
        <v/>
      </c>
      <c r="U1696" s="8">
        <f>IF(COUNT(D1696:S1696)=0,"",MEDIAN(D1696:S1696))</f>
        <v/>
      </c>
      <c r="V1696" s="8">
        <f>IF(COUNT(D1696:S1696)=0,"",MAX(D1696:S1696))</f>
        <v/>
      </c>
      <c r="W1696" s="9">
        <f>IF(OR(T1696="",T1696=0),"",(V1696-T1696)/T1696)</f>
        <v/>
      </c>
      <c r="X1696" s="7">
        <f>IF(COUNT(D1696:S1696)=0,"",INDEX($D$1:$S$1,MATCH(MIN(D1696:S1696),D1696:S1696,0)))</f>
        <v/>
      </c>
      <c r="Y1696" s="8" t="n">
        <v>88</v>
      </c>
      <c r="Z1696" s="10" t="n">
        <v>1</v>
      </c>
    </row>
    <row r="1697">
      <c r="A1697" s="7" t="inlineStr">
        <is>
          <t>MAT-32-343</t>
        </is>
      </c>
      <c r="B1697" s="4" t="inlineStr">
        <is>
          <t>Niple de HG 3/4" x 12"</t>
        </is>
      </c>
      <c r="C1697" s="7" t="inlineStr">
        <is>
          <t>unidad</t>
        </is>
      </c>
      <c r="D1697" s="8" t="n"/>
      <c r="E1697" s="8" t="n">
        <v>109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>
        <f>IF(COUNT(D1697:S1697)=0,"",MIN(D1697:S1697))</f>
        <v/>
      </c>
      <c r="U1697" s="8">
        <f>IF(COUNT(D1697:S1697)=0,"",MEDIAN(D1697:S1697))</f>
        <v/>
      </c>
      <c r="V1697" s="8">
        <f>IF(COUNT(D1697:S1697)=0,"",MAX(D1697:S1697))</f>
        <v/>
      </c>
      <c r="W1697" s="9">
        <f>IF(OR(T1697="",T1697=0),"",(V1697-T1697)/T1697)</f>
        <v/>
      </c>
      <c r="X1697" s="7">
        <f>IF(COUNT(D1697:S1697)=0,"",INDEX($D$1:$S$1,MATCH(MIN(D1697:S1697),D1697:S1697,0)))</f>
        <v/>
      </c>
      <c r="Y1697" s="8" t="n">
        <v>109</v>
      </c>
      <c r="Z1697" s="10" t="n">
        <v>1</v>
      </c>
    </row>
    <row r="1698">
      <c r="A1698" s="7" t="inlineStr">
        <is>
          <t>MAT-32-344</t>
        </is>
      </c>
      <c r="B1698" s="4" t="inlineStr">
        <is>
          <t>Niple de HG 3/4" x 1"</t>
        </is>
      </c>
      <c r="C1698" s="7" t="inlineStr">
        <is>
          <t>unidad</t>
        </is>
      </c>
      <c r="D1698" s="8" t="n"/>
      <c r="E1698" s="8" t="n">
        <v>21.54</v>
      </c>
      <c r="F1698" s="8" t="n"/>
      <c r="G1698" s="8" t="n">
        <v>62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>
        <f>IF(COUNT(D1698:S1698)=0,"",MIN(D1698:S1698))</f>
        <v/>
      </c>
      <c r="U1698" s="8">
        <f>IF(COUNT(D1698:S1698)=0,"",MEDIAN(D1698:S1698))</f>
        <v/>
      </c>
      <c r="V1698" s="8">
        <f>IF(COUNT(D1698:S1698)=0,"",MAX(D1698:S1698))</f>
        <v/>
      </c>
      <c r="W1698" s="9">
        <f>IF(OR(T1698="",T1698=0),"",(V1698-T1698)/T1698)</f>
        <v/>
      </c>
      <c r="X1698" s="7">
        <f>IF(COUNT(D1698:S1698)=0,"",INDEX($D$1:$S$1,MATCH(MIN(D1698:S1698),D1698:S1698,0)))</f>
        <v/>
      </c>
      <c r="Y1698" s="8" t="n">
        <v>41.77</v>
      </c>
      <c r="Z1698" s="10" t="n">
        <v>2</v>
      </c>
    </row>
    <row r="1699">
      <c r="A1699" s="7" t="inlineStr">
        <is>
          <t>MAT-32-345</t>
        </is>
      </c>
      <c r="B1699" s="4" t="inlineStr">
        <is>
          <t>Niple de HG 3/4" x 2 1/2"</t>
        </is>
      </c>
      <c r="C1699" s="7" t="inlineStr">
        <is>
          <t>unidad</t>
        </is>
      </c>
      <c r="D1699" s="8" t="n"/>
      <c r="E1699" s="8" t="n">
        <v>27.3</v>
      </c>
      <c r="F1699" s="8" t="n"/>
      <c r="G1699" s="8" t="n">
        <v>131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>
        <f>IF(COUNT(D1699:S1699)=0,"",MIN(D1699:S1699))</f>
        <v/>
      </c>
      <c r="U1699" s="8">
        <f>IF(COUNT(D1699:S1699)=0,"",MEDIAN(D1699:S1699))</f>
        <v/>
      </c>
      <c r="V1699" s="8">
        <f>IF(COUNT(D1699:S1699)=0,"",MAX(D1699:S1699))</f>
        <v/>
      </c>
      <c r="W1699" s="9">
        <f>IF(OR(T1699="",T1699=0),"",(V1699-T1699)/T1699)</f>
        <v/>
      </c>
      <c r="X1699" s="7">
        <f>IF(COUNT(D1699:S1699)=0,"",INDEX($D$1:$S$1,MATCH(MIN(D1699:S1699),D1699:S1699,0)))</f>
        <v/>
      </c>
      <c r="Y1699" s="8" t="n">
        <v>79.15000000000001</v>
      </c>
      <c r="Z1699" s="10" t="n">
        <v>2</v>
      </c>
    </row>
    <row r="1700">
      <c r="A1700" s="7" t="inlineStr">
        <is>
          <t>MAT-32-346</t>
        </is>
      </c>
      <c r="B1700" s="4" t="inlineStr">
        <is>
          <t>Niple de HG 3/4" x 2"</t>
        </is>
      </c>
      <c r="C1700" s="7" t="inlineStr">
        <is>
          <t>unidad</t>
        </is>
      </c>
      <c r="D1700" s="8" t="n"/>
      <c r="E1700" s="8" t="n">
        <v>21.84</v>
      </c>
      <c r="F1700" s="8" t="n"/>
      <c r="G1700" s="8" t="n">
        <v>120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>
        <f>IF(COUNT(D1700:S1700)=0,"",MIN(D1700:S1700))</f>
        <v/>
      </c>
      <c r="U1700" s="8">
        <f>IF(COUNT(D1700:S1700)=0,"",MEDIAN(D1700:S1700))</f>
        <v/>
      </c>
      <c r="V1700" s="8">
        <f>IF(COUNT(D1700:S1700)=0,"",MAX(D1700:S1700))</f>
        <v/>
      </c>
      <c r="W1700" s="9">
        <f>IF(OR(T1700="",T1700=0),"",(V1700-T1700)/T1700)</f>
        <v/>
      </c>
      <c r="X1700" s="7">
        <f>IF(COUNT(D1700:S1700)=0,"",INDEX($D$1:$S$1,MATCH(MIN(D1700:S1700),D1700:S1700,0)))</f>
        <v/>
      </c>
      <c r="Y1700" s="8" t="n">
        <v>70.92</v>
      </c>
      <c r="Z1700" s="10" t="n">
        <v>2</v>
      </c>
    </row>
    <row r="1701">
      <c r="A1701" s="7" t="inlineStr">
        <is>
          <t>MAT-32-347</t>
        </is>
      </c>
      <c r="B1701" s="4" t="inlineStr">
        <is>
          <t>Niple de HG 3/4" x 3 1/2"</t>
        </is>
      </c>
      <c r="C1701" s="7" t="inlineStr">
        <is>
          <t>unidad</t>
        </is>
      </c>
      <c r="D1701" s="8" t="n"/>
      <c r="E1701" s="8" t="n">
        <v>35.35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>
        <f>IF(COUNT(D1701:S1701)=0,"",MIN(D1701:S1701))</f>
        <v/>
      </c>
      <c r="U1701" s="8">
        <f>IF(COUNT(D1701:S1701)=0,"",MEDIAN(D1701:S1701))</f>
        <v/>
      </c>
      <c r="V1701" s="8">
        <f>IF(COUNT(D1701:S1701)=0,"",MAX(D1701:S1701))</f>
        <v/>
      </c>
      <c r="W1701" s="9">
        <f>IF(OR(T1701="",T1701=0),"",(V1701-T1701)/T1701)</f>
        <v/>
      </c>
      <c r="X1701" s="7">
        <f>IF(COUNT(D1701:S1701)=0,"",INDEX($D$1:$S$1,MATCH(MIN(D1701:S1701),D1701:S1701,0)))</f>
        <v/>
      </c>
      <c r="Y1701" s="8" t="n">
        <v>35.35</v>
      </c>
      <c r="Z1701" s="10" t="n">
        <v>1</v>
      </c>
    </row>
    <row r="1702">
      <c r="A1702" s="7" t="inlineStr">
        <is>
          <t>MAT-32-348</t>
        </is>
      </c>
      <c r="B1702" s="4" t="inlineStr">
        <is>
          <t>Niple de HG 3/4" x 3"</t>
        </is>
      </c>
      <c r="C1702" s="7" t="inlineStr">
        <is>
          <t>unidad</t>
        </is>
      </c>
      <c r="D1702" s="8" t="n"/>
      <c r="E1702" s="8" t="n">
        <v>33.77</v>
      </c>
      <c r="F1702" s="8" t="n"/>
      <c r="G1702" s="8" t="n">
        <v>149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>
        <f>IF(COUNT(D1702:S1702)=0,"",MIN(D1702:S1702))</f>
        <v/>
      </c>
      <c r="U1702" s="8">
        <f>IF(COUNT(D1702:S1702)=0,"",MEDIAN(D1702:S1702))</f>
        <v/>
      </c>
      <c r="V1702" s="8">
        <f>IF(COUNT(D1702:S1702)=0,"",MAX(D1702:S1702))</f>
        <v/>
      </c>
      <c r="W1702" s="9">
        <f>IF(OR(T1702="",T1702=0),"",(V1702-T1702)/T1702)</f>
        <v/>
      </c>
      <c r="X1702" s="7">
        <f>IF(COUNT(D1702:S1702)=0,"",INDEX($D$1:$S$1,MATCH(MIN(D1702:S1702),D1702:S1702,0)))</f>
        <v/>
      </c>
      <c r="Y1702" s="8" t="n">
        <v>91.39</v>
      </c>
      <c r="Z1702" s="10" t="n">
        <v>2</v>
      </c>
    </row>
    <row r="1703">
      <c r="A1703" s="7" t="inlineStr">
        <is>
          <t>MAT-32-349</t>
        </is>
      </c>
      <c r="B1703" s="4" t="inlineStr">
        <is>
          <t>Niple de HG 3/4" x 4"</t>
        </is>
      </c>
      <c r="C1703" s="7" t="inlineStr">
        <is>
          <t>unidad</t>
        </is>
      </c>
      <c r="D1703" s="8" t="n"/>
      <c r="E1703" s="8" t="n">
        <v>51</v>
      </c>
      <c r="F1703" s="8" t="n"/>
      <c r="G1703" s="8" t="n">
        <v>160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>
        <f>IF(COUNT(D1703:S1703)=0,"",MIN(D1703:S1703))</f>
        <v/>
      </c>
      <c r="U1703" s="8">
        <f>IF(COUNT(D1703:S1703)=0,"",MEDIAN(D1703:S1703))</f>
        <v/>
      </c>
      <c r="V1703" s="8">
        <f>IF(COUNT(D1703:S1703)=0,"",MAX(D1703:S1703))</f>
        <v/>
      </c>
      <c r="W1703" s="9">
        <f>IF(OR(T1703="",T1703=0),"",(V1703-T1703)/T1703)</f>
        <v/>
      </c>
      <c r="X1703" s="7">
        <f>IF(COUNT(D1703:S1703)=0,"",INDEX($D$1:$S$1,MATCH(MIN(D1703:S1703),D1703:S1703,0)))</f>
        <v/>
      </c>
      <c r="Y1703" s="8" t="n">
        <v>105.5</v>
      </c>
      <c r="Z1703" s="10" t="n">
        <v>2</v>
      </c>
    </row>
    <row r="1704">
      <c r="A1704" s="7" t="inlineStr">
        <is>
          <t>MAT-32-350</t>
        </is>
      </c>
      <c r="B1704" s="4" t="inlineStr">
        <is>
          <t>Niple de HG 3/4" x 5"</t>
        </is>
      </c>
      <c r="C1704" s="7" t="inlineStr">
        <is>
          <t>unidad</t>
        </is>
      </c>
      <c r="D1704" s="8" t="n"/>
      <c r="E1704" s="8" t="n">
        <v>54</v>
      </c>
      <c r="F1704" s="8" t="n"/>
      <c r="G1704" s="8" t="n">
        <v>194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>
        <f>IF(COUNT(D1704:S1704)=0,"",MIN(D1704:S1704))</f>
        <v/>
      </c>
      <c r="U1704" s="8">
        <f>IF(COUNT(D1704:S1704)=0,"",MEDIAN(D1704:S1704))</f>
        <v/>
      </c>
      <c r="V1704" s="8">
        <f>IF(COUNT(D1704:S1704)=0,"",MAX(D1704:S1704))</f>
        <v/>
      </c>
      <c r="W1704" s="9">
        <f>IF(OR(T1704="",T1704=0),"",(V1704-T1704)/T1704)</f>
        <v/>
      </c>
      <c r="X1704" s="7">
        <f>IF(COUNT(D1704:S1704)=0,"",INDEX($D$1:$S$1,MATCH(MIN(D1704:S1704),D1704:S1704,0)))</f>
        <v/>
      </c>
      <c r="Y1704" s="8" t="n">
        <v>124</v>
      </c>
      <c r="Z1704" s="10" t="n">
        <v>2</v>
      </c>
    </row>
    <row r="1705">
      <c r="A1705" s="7" t="inlineStr">
        <is>
          <t>MAT-32-351</t>
        </is>
      </c>
      <c r="B1705" s="4" t="inlineStr">
        <is>
          <t>Niple de HG 3/4" x 6"</t>
        </is>
      </c>
      <c r="C1705" s="7" t="inlineStr">
        <is>
          <t>unidad</t>
        </is>
      </c>
      <c r="D1705" s="8" t="n"/>
      <c r="E1705" s="8" t="n">
        <v>87</v>
      </c>
      <c r="F1705" s="8" t="n"/>
      <c r="G1705" s="8" t="n">
        <v>248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>
        <f>IF(COUNT(D1705:S1705)=0,"",MIN(D1705:S1705))</f>
        <v/>
      </c>
      <c r="U1705" s="8">
        <f>IF(COUNT(D1705:S1705)=0,"",MEDIAN(D1705:S1705))</f>
        <v/>
      </c>
      <c r="V1705" s="8">
        <f>IF(COUNT(D1705:S1705)=0,"",MAX(D1705:S1705))</f>
        <v/>
      </c>
      <c r="W1705" s="9">
        <f>IF(OR(T1705="",T1705=0),"",(V1705-T1705)/T1705)</f>
        <v/>
      </c>
      <c r="X1705" s="7">
        <f>IF(COUNT(D1705:S1705)=0,"",INDEX($D$1:$S$1,MATCH(MIN(D1705:S1705),D1705:S1705,0)))</f>
        <v/>
      </c>
      <c r="Y1705" s="8" t="n">
        <v>167.5</v>
      </c>
      <c r="Z1705" s="10" t="n">
        <v>2</v>
      </c>
    </row>
    <row r="1706">
      <c r="A1706" s="7" t="inlineStr">
        <is>
          <t>MAT-32-352</t>
        </is>
      </c>
      <c r="B1706" s="4" t="inlineStr">
        <is>
          <t>Niple de HG 3/4" x 8"</t>
        </is>
      </c>
      <c r="C1706" s="7" t="inlineStr">
        <is>
          <t>unidad</t>
        </is>
      </c>
      <c r="D1706" s="8" t="n"/>
      <c r="E1706" s="8" t="n">
        <v>81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>
        <f>IF(COUNT(D1706:S1706)=0,"",MIN(D1706:S1706))</f>
        <v/>
      </c>
      <c r="U1706" s="8">
        <f>IF(COUNT(D1706:S1706)=0,"",MEDIAN(D1706:S1706))</f>
        <v/>
      </c>
      <c r="V1706" s="8">
        <f>IF(COUNT(D1706:S1706)=0,"",MAX(D1706:S1706))</f>
        <v/>
      </c>
      <c r="W1706" s="9">
        <f>IF(OR(T1706="",T1706=0),"",(V1706-T1706)/T1706)</f>
        <v/>
      </c>
      <c r="X1706" s="7">
        <f>IF(COUNT(D1706:S1706)=0,"",INDEX($D$1:$S$1,MATCH(MIN(D1706:S1706),D1706:S1706,0)))</f>
        <v/>
      </c>
      <c r="Y1706" s="8" t="n">
        <v>81</v>
      </c>
      <c r="Z1706" s="10" t="n">
        <v>1</v>
      </c>
    </row>
    <row r="1707">
      <c r="A1707" s="7" t="inlineStr">
        <is>
          <t>MAT-32-353</t>
        </is>
      </c>
      <c r="B1707" s="4" t="inlineStr">
        <is>
          <t>Niple de HG 3/8" x 2 1/2"</t>
        </is>
      </c>
      <c r="C1707" s="7" t="inlineStr">
        <is>
          <t>unidad</t>
        </is>
      </c>
      <c r="D1707" s="8" t="n"/>
      <c r="E1707" s="8" t="n">
        <v>24.74</v>
      </c>
      <c r="F1707" s="8" t="n"/>
      <c r="G1707" s="8" t="n">
        <v>155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>
        <f>IF(COUNT(D1707:S1707)=0,"",MIN(D1707:S1707))</f>
        <v/>
      </c>
      <c r="U1707" s="8">
        <f>IF(COUNT(D1707:S1707)=0,"",MEDIAN(D1707:S1707))</f>
        <v/>
      </c>
      <c r="V1707" s="8">
        <f>IF(COUNT(D1707:S1707)=0,"",MAX(D1707:S1707))</f>
        <v/>
      </c>
      <c r="W1707" s="9">
        <f>IF(OR(T1707="",T1707=0),"",(V1707-T1707)/T1707)</f>
        <v/>
      </c>
      <c r="X1707" s="7">
        <f>IF(COUNT(D1707:S1707)=0,"",INDEX($D$1:$S$1,MATCH(MIN(D1707:S1707),D1707:S1707,0)))</f>
        <v/>
      </c>
      <c r="Y1707" s="8" t="n">
        <v>89.87</v>
      </c>
      <c r="Z1707" s="10" t="n">
        <v>2</v>
      </c>
    </row>
    <row r="1708">
      <c r="A1708" s="7" t="inlineStr">
        <is>
          <t>MAT-32-354</t>
        </is>
      </c>
      <c r="B1708" s="4" t="inlineStr">
        <is>
          <t>Niple de HG 3/8" x 2"</t>
        </is>
      </c>
      <c r="C1708" s="7" t="inlineStr">
        <is>
          <t>unidad</t>
        </is>
      </c>
      <c r="D1708" s="8" t="n"/>
      <c r="E1708" s="8" t="n">
        <v>61.6</v>
      </c>
      <c r="F1708" s="8" t="n"/>
      <c r="G1708" s="8" t="n">
        <v>160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>
        <f>IF(COUNT(D1708:S1708)=0,"",MIN(D1708:S1708))</f>
        <v/>
      </c>
      <c r="U1708" s="8">
        <f>IF(COUNT(D1708:S1708)=0,"",MEDIAN(D1708:S1708))</f>
        <v/>
      </c>
      <c r="V1708" s="8">
        <f>IF(COUNT(D1708:S1708)=0,"",MAX(D1708:S1708))</f>
        <v/>
      </c>
      <c r="W1708" s="9">
        <f>IF(OR(T1708="",T1708=0),"",(V1708-T1708)/T1708)</f>
        <v/>
      </c>
      <c r="X1708" s="7">
        <f>IF(COUNT(D1708:S1708)=0,"",INDEX($D$1:$S$1,MATCH(MIN(D1708:S1708),D1708:S1708,0)))</f>
        <v/>
      </c>
      <c r="Y1708" s="8" t="n">
        <v>110.8</v>
      </c>
      <c r="Z1708" s="10" t="n">
        <v>2</v>
      </c>
    </row>
    <row r="1709">
      <c r="A1709" s="7" t="inlineStr">
        <is>
          <t>MAT-32-355</t>
        </is>
      </c>
      <c r="B1709" s="4" t="inlineStr">
        <is>
          <t>Niple de HG 3/8" x 3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>
        <f>IF(COUNT(D1709:S1709)=0,"",MIN(D1709:S1709))</f>
        <v/>
      </c>
      <c r="U1709" s="8">
        <f>IF(COUNT(D1709:S1709)=0,"",MEDIAN(D1709:S1709))</f>
        <v/>
      </c>
      <c r="V1709" s="8">
        <f>IF(COUNT(D1709:S1709)=0,"",MAX(D1709:S1709))</f>
        <v/>
      </c>
      <c r="W1709" s="9">
        <f>IF(OR(T1709="",T1709=0),"",(V1709-T1709)/T1709)</f>
        <v/>
      </c>
      <c r="X1709" s="7">
        <f>IF(COUNT(D1709:S1709)=0,"",INDEX($D$1:$S$1,MATCH(MIN(D1709:S1709),D1709:S1709,0)))</f>
        <v/>
      </c>
      <c r="Y1709" s="8" t="n">
        <v>194</v>
      </c>
      <c r="Z1709" s="10" t="n">
        <v>1</v>
      </c>
    </row>
    <row r="1710">
      <c r="A1710" s="7" t="inlineStr">
        <is>
          <t>MAT-32-356</t>
        </is>
      </c>
      <c r="B1710" s="4" t="inlineStr">
        <is>
          <t>Niple de HG 3/8" x 3"</t>
        </is>
      </c>
      <c r="C1710" s="7" t="inlineStr">
        <is>
          <t>unidad</t>
        </is>
      </c>
      <c r="D1710" s="8" t="n"/>
      <c r="E1710" s="8" t="n">
        <v>27.3</v>
      </c>
      <c r="F1710" s="8" t="n"/>
      <c r="G1710" s="8" t="n">
        <v>185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>
        <f>IF(COUNT(D1710:S1710)=0,"",MIN(D1710:S1710))</f>
        <v/>
      </c>
      <c r="U1710" s="8">
        <f>IF(COUNT(D1710:S1710)=0,"",MEDIAN(D1710:S1710))</f>
        <v/>
      </c>
      <c r="V1710" s="8">
        <f>IF(COUNT(D1710:S1710)=0,"",MAX(D1710:S1710))</f>
        <v/>
      </c>
      <c r="W1710" s="9">
        <f>IF(OR(T1710="",T1710=0),"",(V1710-T1710)/T1710)</f>
        <v/>
      </c>
      <c r="X1710" s="7">
        <f>IF(COUNT(D1710:S1710)=0,"",INDEX($D$1:$S$1,MATCH(MIN(D1710:S1710),D1710:S1710,0)))</f>
        <v/>
      </c>
      <c r="Y1710" s="8" t="n">
        <v>106.15</v>
      </c>
      <c r="Z1710" s="10" t="n">
        <v>2</v>
      </c>
    </row>
    <row r="1711">
      <c r="A1711" s="7" t="inlineStr">
        <is>
          <t>MAT-32-357</t>
        </is>
      </c>
      <c r="B1711" s="4" t="inlineStr">
        <is>
          <t>Niple de HG 3/8" x 4 1/2"</t>
        </is>
      </c>
      <c r="C1711" s="7" t="inlineStr">
        <is>
          <t>unidad</t>
        </is>
      </c>
      <c r="D1711" s="8" t="n"/>
      <c r="E1711" s="8" t="n"/>
      <c r="F1711" s="8" t="n"/>
      <c r="G1711" s="8" t="n">
        <v>194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>
        <f>IF(COUNT(D1711:S1711)=0,"",MIN(D1711:S1711))</f>
        <v/>
      </c>
      <c r="U1711" s="8">
        <f>IF(COUNT(D1711:S1711)=0,"",MEDIAN(D1711:S1711))</f>
        <v/>
      </c>
      <c r="V1711" s="8">
        <f>IF(COUNT(D1711:S1711)=0,"",MAX(D1711:S1711))</f>
        <v/>
      </c>
      <c r="W1711" s="9">
        <f>IF(OR(T1711="",T1711=0),"",(V1711-T1711)/T1711)</f>
        <v/>
      </c>
      <c r="X1711" s="7">
        <f>IF(COUNT(D1711:S1711)=0,"",INDEX($D$1:$S$1,MATCH(MIN(D1711:S1711),D1711:S1711,0)))</f>
        <v/>
      </c>
      <c r="Y1711" s="8" t="n">
        <v>194</v>
      </c>
      <c r="Z1711" s="10" t="n">
        <v>1</v>
      </c>
    </row>
    <row r="1712">
      <c r="A1712" s="7" t="inlineStr">
        <is>
          <t>MAT-32-359</t>
        </is>
      </c>
      <c r="B1712" s="4" t="inlineStr">
        <is>
          <t>Niple de HG 3/8" x 5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229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>
        <f>IF(COUNT(D1712:S1712)=0,"",MIN(D1712:S1712))</f>
        <v/>
      </c>
      <c r="U1712" s="8">
        <f>IF(COUNT(D1712:S1712)=0,"",MEDIAN(D1712:S1712))</f>
        <v/>
      </c>
      <c r="V1712" s="8">
        <f>IF(COUNT(D1712:S1712)=0,"",MAX(D1712:S1712))</f>
        <v/>
      </c>
      <c r="W1712" s="9">
        <f>IF(OR(T1712="",T1712=0),"",(V1712-T1712)/T1712)</f>
        <v/>
      </c>
      <c r="X1712" s="7">
        <f>IF(COUNT(D1712:S1712)=0,"",INDEX($D$1:$S$1,MATCH(MIN(D1712:S1712),D1712:S1712,0)))</f>
        <v/>
      </c>
      <c r="Y1712" s="8" t="n">
        <v>229</v>
      </c>
      <c r="Z1712" s="10" t="n">
        <v>1</v>
      </c>
    </row>
    <row r="1713">
      <c r="A1713" s="7" t="inlineStr">
        <is>
          <t>MAT-32-360</t>
        </is>
      </c>
      <c r="B1713" s="4" t="inlineStr">
        <is>
          <t>Niple de HG 3/8" x 5"</t>
        </is>
      </c>
      <c r="C1713" s="7" t="inlineStr">
        <is>
          <t>unidad</t>
        </is>
      </c>
      <c r="D1713" s="8" t="n"/>
      <c r="E1713" s="8" t="n"/>
      <c r="F1713" s="8" t="n"/>
      <c r="G1713" s="8" t="n">
        <v>255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>
        <f>IF(COUNT(D1713:S1713)=0,"",MIN(D1713:S1713))</f>
        <v/>
      </c>
      <c r="U1713" s="8">
        <f>IF(COUNT(D1713:S1713)=0,"",MEDIAN(D1713:S1713))</f>
        <v/>
      </c>
      <c r="V1713" s="8">
        <f>IF(COUNT(D1713:S1713)=0,"",MAX(D1713:S1713))</f>
        <v/>
      </c>
      <c r="W1713" s="9">
        <f>IF(OR(T1713="",T1713=0),"",(V1713-T1713)/T1713)</f>
        <v/>
      </c>
      <c r="X1713" s="7">
        <f>IF(COUNT(D1713:S1713)=0,"",INDEX($D$1:$S$1,MATCH(MIN(D1713:S1713),D1713:S1713,0)))</f>
        <v/>
      </c>
      <c r="Y1713" s="8" t="n">
        <v>255</v>
      </c>
      <c r="Z1713" s="10" t="n">
        <v>1</v>
      </c>
    </row>
    <row r="1714">
      <c r="A1714" s="7" t="inlineStr">
        <is>
          <t>MAT-32-361</t>
        </is>
      </c>
      <c r="B1714" s="4" t="inlineStr">
        <is>
          <t>Niple de HG 3/8" x 6"</t>
        </is>
      </c>
      <c r="C1714" s="7" t="inlineStr">
        <is>
          <t>unidad</t>
        </is>
      </c>
      <c r="D1714" s="8" t="n"/>
      <c r="E1714" s="8" t="n"/>
      <c r="F1714" s="8" t="n"/>
      <c r="G1714" s="8" t="n">
        <v>327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>
        <f>IF(COUNT(D1714:S1714)=0,"",MIN(D1714:S1714))</f>
        <v/>
      </c>
      <c r="U1714" s="8">
        <f>IF(COUNT(D1714:S1714)=0,"",MEDIAN(D1714:S1714))</f>
        <v/>
      </c>
      <c r="V1714" s="8">
        <f>IF(COUNT(D1714:S1714)=0,"",MAX(D1714:S1714))</f>
        <v/>
      </c>
      <c r="W1714" s="9">
        <f>IF(OR(T1714="",T1714=0),"",(V1714-T1714)/T1714)</f>
        <v/>
      </c>
      <c r="X1714" s="7">
        <f>IF(COUNT(D1714:S1714)=0,"",INDEX($D$1:$S$1,MATCH(MIN(D1714:S1714),D1714:S1714,0)))</f>
        <v/>
      </c>
      <c r="Y1714" s="8" t="n">
        <v>327</v>
      </c>
      <c r="Z1714" s="10" t="n">
        <v>1</v>
      </c>
    </row>
    <row r="1715">
      <c r="A1715" s="7" t="inlineStr">
        <is>
          <t>MAT-32-362</t>
        </is>
      </c>
      <c r="B1715" s="4" t="inlineStr">
        <is>
          <t>Niple de HG 3" x 4"</t>
        </is>
      </c>
      <c r="C1715" s="7" t="inlineStr">
        <is>
          <t>unidad</t>
        </is>
      </c>
      <c r="D1715" s="8" t="n"/>
      <c r="E1715" s="8" t="n">
        <v>277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>
        <f>IF(COUNT(D1715:S1715)=0,"",MIN(D1715:S1715))</f>
        <v/>
      </c>
      <c r="U1715" s="8">
        <f>IF(COUNT(D1715:S1715)=0,"",MEDIAN(D1715:S1715))</f>
        <v/>
      </c>
      <c r="V1715" s="8">
        <f>IF(COUNT(D1715:S1715)=0,"",MAX(D1715:S1715))</f>
        <v/>
      </c>
      <c r="W1715" s="9">
        <f>IF(OR(T1715="",T1715=0),"",(V1715-T1715)/T1715)</f>
        <v/>
      </c>
      <c r="X1715" s="7">
        <f>IF(COUNT(D1715:S1715)=0,"",INDEX($D$1:$S$1,MATCH(MIN(D1715:S1715),D1715:S1715,0)))</f>
        <v/>
      </c>
      <c r="Y1715" s="8" t="n">
        <v>277</v>
      </c>
      <c r="Z1715" s="10" t="n">
        <v>1</v>
      </c>
    </row>
    <row r="1716">
      <c r="A1716" s="7" t="inlineStr">
        <is>
          <t>MAT-32-363</t>
        </is>
      </c>
      <c r="B1716" s="4" t="inlineStr">
        <is>
          <t>Niple de niquelado 1/2" x 1 1/2"</t>
        </is>
      </c>
      <c r="C1716" s="7" t="inlineStr">
        <is>
          <t>unidad</t>
        </is>
      </c>
      <c r="D1716" s="8" t="n"/>
      <c r="E1716" s="8" t="n">
        <v>17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>
        <f>IF(COUNT(D1716:S1716)=0,"",MIN(D1716:S1716))</f>
        <v/>
      </c>
      <c r="U1716" s="8">
        <f>IF(COUNT(D1716:S1716)=0,"",MEDIAN(D1716:S1716))</f>
        <v/>
      </c>
      <c r="V1716" s="8">
        <f>IF(COUNT(D1716:S1716)=0,"",MAX(D1716:S1716))</f>
        <v/>
      </c>
      <c r="W1716" s="9">
        <f>IF(OR(T1716="",T1716=0),"",(V1716-T1716)/T1716)</f>
        <v/>
      </c>
      <c r="X1716" s="7">
        <f>IF(COUNT(D1716:S1716)=0,"",INDEX($D$1:$S$1,MATCH(MIN(D1716:S1716),D1716:S1716,0)))</f>
        <v/>
      </c>
      <c r="Y1716" s="8" t="n">
        <v>17</v>
      </c>
      <c r="Z1716" s="10" t="n">
        <v>1</v>
      </c>
    </row>
    <row r="1717">
      <c r="A1717" s="7" t="inlineStr">
        <is>
          <t>MAT-32-364</t>
        </is>
      </c>
      <c r="B1717" s="4" t="inlineStr">
        <is>
          <t>Niple de niquelado 1/2" x 2 1/2"</t>
        </is>
      </c>
      <c r="C1717" s="7" t="inlineStr">
        <is>
          <t>unidad</t>
        </is>
      </c>
      <c r="D1717" s="8" t="n"/>
      <c r="E1717" s="8" t="n">
        <v>24</v>
      </c>
      <c r="F1717" s="8" t="n"/>
      <c r="G1717" s="8" t="n">
        <v>59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>
        <f>IF(COUNT(D1717:S1717)=0,"",MIN(D1717:S1717))</f>
        <v/>
      </c>
      <c r="U1717" s="8">
        <f>IF(COUNT(D1717:S1717)=0,"",MEDIAN(D1717:S1717))</f>
        <v/>
      </c>
      <c r="V1717" s="8">
        <f>IF(COUNT(D1717:S1717)=0,"",MAX(D1717:S1717))</f>
        <v/>
      </c>
      <c r="W1717" s="9">
        <f>IF(OR(T1717="",T1717=0),"",(V1717-T1717)/T1717)</f>
        <v/>
      </c>
      <c r="X1717" s="7">
        <f>IF(COUNT(D1717:S1717)=0,"",INDEX($D$1:$S$1,MATCH(MIN(D1717:S1717),D1717:S1717,0)))</f>
        <v/>
      </c>
      <c r="Y1717" s="8" t="n">
        <v>144.5</v>
      </c>
      <c r="Z1717" s="10" t="n">
        <v>2</v>
      </c>
    </row>
    <row r="1718">
      <c r="A1718" s="7" t="inlineStr">
        <is>
          <t>MAT-32-365</t>
        </is>
      </c>
      <c r="B1718" s="4" t="inlineStr">
        <is>
          <t>Niple de niquelado 1/2" x 2"</t>
        </is>
      </c>
      <c r="C1718" s="7" t="inlineStr">
        <is>
          <t>unidad</t>
        </is>
      </c>
      <c r="D1718" s="8" t="n"/>
      <c r="E1718" s="8" t="n">
        <v>15.75</v>
      </c>
      <c r="F1718" s="8" t="n"/>
      <c r="G1718" s="8" t="n">
        <v>52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>
        <f>IF(COUNT(D1718:S1718)=0,"",MIN(D1718:S1718))</f>
        <v/>
      </c>
      <c r="U1718" s="8">
        <f>IF(COUNT(D1718:S1718)=0,"",MEDIAN(D1718:S1718))</f>
        <v/>
      </c>
      <c r="V1718" s="8">
        <f>IF(COUNT(D1718:S1718)=0,"",MAX(D1718:S1718))</f>
        <v/>
      </c>
      <c r="W1718" s="9">
        <f>IF(OR(T1718="",T1718=0),"",(V1718-T1718)/T1718)</f>
        <v/>
      </c>
      <c r="X1718" s="7">
        <f>IF(COUNT(D1718:S1718)=0,"",INDEX($D$1:$S$1,MATCH(MIN(D1718:S1718),D1718:S1718,0)))</f>
        <v/>
      </c>
      <c r="Y1718" s="8" t="n">
        <v>101</v>
      </c>
      <c r="Z1718" s="10" t="n">
        <v>2</v>
      </c>
    </row>
    <row r="1719">
      <c r="A1719" s="7" t="inlineStr">
        <is>
          <t>MAT-32-368</t>
        </is>
      </c>
      <c r="B1719" s="4" t="inlineStr">
        <is>
          <t>Niple de niquelado 3/8" x 2 1/2"</t>
        </is>
      </c>
      <c r="C1719" s="7" t="inlineStr">
        <is>
          <t>unidad</t>
        </is>
      </c>
      <c r="D1719" s="8" t="n"/>
      <c r="E1719" s="8" t="n">
        <v>24.04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>
        <f>IF(COUNT(D1719:S1719)=0,"",MIN(D1719:S1719))</f>
        <v/>
      </c>
      <c r="U1719" s="8">
        <f>IF(COUNT(D1719:S1719)=0,"",MEDIAN(D1719:S1719))</f>
        <v/>
      </c>
      <c r="V1719" s="8">
        <f>IF(COUNT(D1719:S1719)=0,"",MAX(D1719:S1719))</f>
        <v/>
      </c>
      <c r="W1719" s="9">
        <f>IF(OR(T1719="",T1719=0),"",(V1719-T1719)/T1719)</f>
        <v/>
      </c>
      <c r="X1719" s="7">
        <f>IF(COUNT(D1719:S1719)=0,"",INDEX($D$1:$S$1,MATCH(MIN(D1719:S1719),D1719:S1719,0)))</f>
        <v/>
      </c>
      <c r="Y1719" s="8" t="n">
        <v>24.04</v>
      </c>
      <c r="Z1719" s="10" t="n">
        <v>1</v>
      </c>
    </row>
    <row r="1720">
      <c r="A1720" s="7" t="inlineStr">
        <is>
          <t>MAT-32-369</t>
        </is>
      </c>
      <c r="B1720" s="4" t="inlineStr">
        <is>
          <t>Niple de niquelado 3/8" x 2"</t>
        </is>
      </c>
      <c r="C1720" s="7" t="inlineStr">
        <is>
          <t>unidad</t>
        </is>
      </c>
      <c r="D1720" s="8" t="n"/>
      <c r="E1720" s="8" t="n"/>
      <c r="F1720" s="8" t="n"/>
      <c r="G1720" s="8" t="n">
        <v>47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>
        <f>IF(COUNT(D1720:S1720)=0,"",MIN(D1720:S1720))</f>
        <v/>
      </c>
      <c r="U1720" s="8">
        <f>IF(COUNT(D1720:S1720)=0,"",MEDIAN(D1720:S1720))</f>
        <v/>
      </c>
      <c r="V1720" s="8">
        <f>IF(COUNT(D1720:S1720)=0,"",MAX(D1720:S1720))</f>
        <v/>
      </c>
      <c r="W1720" s="9">
        <f>IF(OR(T1720="",T1720=0),"",(V1720-T1720)/T1720)</f>
        <v/>
      </c>
      <c r="X1720" s="7">
        <f>IF(COUNT(D1720:S1720)=0,"",INDEX($D$1:$S$1,MATCH(MIN(D1720:S1720),D1720:S1720,0)))</f>
        <v/>
      </c>
      <c r="Y1720" s="8" t="n">
        <v>47</v>
      </c>
      <c r="Z1720" s="10" t="n">
        <v>1</v>
      </c>
    </row>
    <row r="1721">
      <c r="A1721" s="7" t="inlineStr">
        <is>
          <t>MAT-32-370</t>
        </is>
      </c>
      <c r="B1721" s="4" t="inlineStr">
        <is>
          <t>Niple de niquelado 3/8" x 3"</t>
        </is>
      </c>
      <c r="C1721" s="7" t="inlineStr">
        <is>
          <t>unidad</t>
        </is>
      </c>
      <c r="D1721" s="8" t="n"/>
      <c r="E1721" s="8" t="n">
        <v>26.25</v>
      </c>
      <c r="F1721" s="8" t="n"/>
      <c r="G1721" s="8" t="n">
        <v>59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>
        <f>IF(COUNT(D1721:S1721)=0,"",MIN(D1721:S1721))</f>
        <v/>
      </c>
      <c r="U1721" s="8">
        <f>IF(COUNT(D1721:S1721)=0,"",MEDIAN(D1721:S1721))</f>
        <v/>
      </c>
      <c r="V1721" s="8">
        <f>IF(COUNT(D1721:S1721)=0,"",MAX(D1721:S1721))</f>
        <v/>
      </c>
      <c r="W1721" s="9">
        <f>IF(OR(T1721="",T1721=0),"",(V1721-T1721)/T1721)</f>
        <v/>
      </c>
      <c r="X1721" s="7">
        <f>IF(COUNT(D1721:S1721)=0,"",INDEX($D$1:$S$1,MATCH(MIN(D1721:S1721),D1721:S1721,0)))</f>
        <v/>
      </c>
      <c r="Y1721" s="8" t="n">
        <v>42.63</v>
      </c>
      <c r="Z1721" s="10" t="n">
        <v>2</v>
      </c>
    </row>
    <row r="1722">
      <c r="A1722" s="7" t="inlineStr">
        <is>
          <t>MAT-32-371</t>
        </is>
      </c>
      <c r="B1722" s="4" t="inlineStr">
        <is>
          <t>Reducción bushing de bronce 1/2" x 1/4"</t>
        </is>
      </c>
      <c r="C1722" s="7" t="inlineStr">
        <is>
          <t>unidad</t>
        </is>
      </c>
      <c r="D1722" s="8" t="n"/>
      <c r="E1722" s="8" t="n">
        <v>90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>
        <f>IF(COUNT(D1722:S1722)=0,"",MIN(D1722:S1722))</f>
        <v/>
      </c>
      <c r="U1722" s="8">
        <f>IF(COUNT(D1722:S1722)=0,"",MEDIAN(D1722:S1722))</f>
        <v/>
      </c>
      <c r="V1722" s="8">
        <f>IF(COUNT(D1722:S1722)=0,"",MAX(D1722:S1722))</f>
        <v/>
      </c>
      <c r="W1722" s="9">
        <f>IF(OR(T1722="",T1722=0),"",(V1722-T1722)/T1722)</f>
        <v/>
      </c>
      <c r="X1722" s="7">
        <f>IF(COUNT(D1722:S1722)=0,"",INDEX($D$1:$S$1,MATCH(MIN(D1722:S1722),D1722:S1722,0)))</f>
        <v/>
      </c>
      <c r="Y1722" s="8" t="n">
        <v>90</v>
      </c>
      <c r="Z1722" s="10" t="n">
        <v>1</v>
      </c>
    </row>
    <row r="1723">
      <c r="A1723" s="7" t="inlineStr">
        <is>
          <t>MAT-32-372</t>
        </is>
      </c>
      <c r="B1723" s="4" t="inlineStr">
        <is>
          <t>Reducción bushing de bronce 1/2" x 1/8"</t>
        </is>
      </c>
      <c r="C1723" s="7" t="inlineStr">
        <is>
          <t>unidad</t>
        </is>
      </c>
      <c r="D1723" s="8" t="n"/>
      <c r="E1723" s="8" t="n">
        <v>102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>
        <f>IF(COUNT(D1723:S1723)=0,"",MIN(D1723:S1723))</f>
        <v/>
      </c>
      <c r="U1723" s="8">
        <f>IF(COUNT(D1723:S1723)=0,"",MEDIAN(D1723:S1723))</f>
        <v/>
      </c>
      <c r="V1723" s="8">
        <f>IF(COUNT(D1723:S1723)=0,"",MAX(D1723:S1723))</f>
        <v/>
      </c>
      <c r="W1723" s="9">
        <f>IF(OR(T1723="",T1723=0),"",(V1723-T1723)/T1723)</f>
        <v/>
      </c>
      <c r="X1723" s="7">
        <f>IF(COUNT(D1723:S1723)=0,"",INDEX($D$1:$S$1,MATCH(MIN(D1723:S1723),D1723:S1723,0)))</f>
        <v/>
      </c>
      <c r="Y1723" s="8" t="n">
        <v>102</v>
      </c>
      <c r="Z1723" s="10" t="n">
        <v>1</v>
      </c>
    </row>
    <row r="1724">
      <c r="A1724" s="7" t="inlineStr">
        <is>
          <t>MAT-32-373</t>
        </is>
      </c>
      <c r="B1724" s="4" t="inlineStr">
        <is>
          <t>Reducción bushing de bronce 1/2" x 3/8"</t>
        </is>
      </c>
      <c r="C1724" s="7" t="inlineStr">
        <is>
          <t>unidad</t>
        </is>
      </c>
      <c r="D1724" s="8" t="n"/>
      <c r="E1724" s="8" t="n">
        <v>81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>
        <f>IF(COUNT(D1724:S1724)=0,"",MIN(D1724:S1724))</f>
        <v/>
      </c>
      <c r="U1724" s="8">
        <f>IF(COUNT(D1724:S1724)=0,"",MEDIAN(D1724:S1724))</f>
        <v/>
      </c>
      <c r="V1724" s="8">
        <f>IF(COUNT(D1724:S1724)=0,"",MAX(D1724:S1724))</f>
        <v/>
      </c>
      <c r="W1724" s="9">
        <f>IF(OR(T1724="",T1724=0),"",(V1724-T1724)/T1724)</f>
        <v/>
      </c>
      <c r="X1724" s="7">
        <f>IF(COUNT(D1724:S1724)=0,"",INDEX($D$1:$S$1,MATCH(MIN(D1724:S1724),D1724:S1724,0)))</f>
        <v/>
      </c>
      <c r="Y1724" s="8" t="n">
        <v>81</v>
      </c>
      <c r="Z1724" s="10" t="n">
        <v>1</v>
      </c>
    </row>
    <row r="1725">
      <c r="A1725" s="7" t="inlineStr">
        <is>
          <t>MAT-32-374</t>
        </is>
      </c>
      <c r="B1725" s="4" t="inlineStr">
        <is>
          <t>Reducción bushing de bronce 1/4" x 1/8"</t>
        </is>
      </c>
      <c r="C1725" s="7" t="inlineStr">
        <is>
          <t>unidad</t>
        </is>
      </c>
      <c r="D1725" s="8" t="n"/>
      <c r="E1725" s="8" t="n">
        <v>27.47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>
        <f>IF(COUNT(D1725:S1725)=0,"",MIN(D1725:S1725))</f>
        <v/>
      </c>
      <c r="U1725" s="8">
        <f>IF(COUNT(D1725:S1725)=0,"",MEDIAN(D1725:S1725))</f>
        <v/>
      </c>
      <c r="V1725" s="8">
        <f>IF(COUNT(D1725:S1725)=0,"",MAX(D1725:S1725))</f>
        <v/>
      </c>
      <c r="W1725" s="9">
        <f>IF(OR(T1725="",T1725=0),"",(V1725-T1725)/T1725)</f>
        <v/>
      </c>
      <c r="X1725" s="7">
        <f>IF(COUNT(D1725:S1725)=0,"",INDEX($D$1:$S$1,MATCH(MIN(D1725:S1725),D1725:S1725,0)))</f>
        <v/>
      </c>
      <c r="Y1725" s="8" t="n">
        <v>27.47</v>
      </c>
      <c r="Z1725" s="10" t="n">
        <v>1</v>
      </c>
    </row>
    <row r="1726">
      <c r="A1726" s="7" t="inlineStr">
        <is>
          <t>MAT-32-375</t>
        </is>
      </c>
      <c r="B1726" s="4" t="inlineStr">
        <is>
          <t>Reducción bushing de bronce 1/4"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132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>
        <f>IF(COUNT(D1726:S1726)=0,"",MIN(D1726:S1726))</f>
        <v/>
      </c>
      <c r="U1726" s="8">
        <f>IF(COUNT(D1726:S1726)=0,"",MEDIAN(D1726:S1726))</f>
        <v/>
      </c>
      <c r="V1726" s="8">
        <f>IF(COUNT(D1726:S1726)=0,"",MAX(D1726:S1726))</f>
        <v/>
      </c>
      <c r="W1726" s="9">
        <f>IF(OR(T1726="",T1726=0),"",(V1726-T1726)/T1726)</f>
        <v/>
      </c>
      <c r="X1726" s="7">
        <f>IF(COUNT(D1726:S1726)=0,"",INDEX($D$1:$S$1,MATCH(MIN(D1726:S1726),D1726:S1726,0)))</f>
        <v/>
      </c>
      <c r="Y1726" s="8" t="n">
        <v>132</v>
      </c>
      <c r="Z1726" s="10" t="n">
        <v>1</v>
      </c>
    </row>
    <row r="1727">
      <c r="A1727" s="7" t="inlineStr">
        <is>
          <t>MAT-32-376</t>
        </is>
      </c>
      <c r="B1727" s="4" t="inlineStr">
        <is>
          <t>Reducción bushing de bronce 1/8" x 1/4"</t>
        </is>
      </c>
      <c r="C1727" s="7" t="inlineStr">
        <is>
          <t>unidad</t>
        </is>
      </c>
      <c r="D1727" s="8" t="n"/>
      <c r="E1727" s="8" t="n"/>
      <c r="F1727" s="8" t="n"/>
      <c r="G1727" s="8" t="n">
        <v>101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>
        <f>IF(COUNT(D1727:S1727)=0,"",MIN(D1727:S1727))</f>
        <v/>
      </c>
      <c r="U1727" s="8">
        <f>IF(COUNT(D1727:S1727)=0,"",MEDIAN(D1727:S1727))</f>
        <v/>
      </c>
      <c r="V1727" s="8">
        <f>IF(COUNT(D1727:S1727)=0,"",MAX(D1727:S1727))</f>
        <v/>
      </c>
      <c r="W1727" s="9">
        <f>IF(OR(T1727="",T1727=0),"",(V1727-T1727)/T1727)</f>
        <v/>
      </c>
      <c r="X1727" s="7">
        <f>IF(COUNT(D1727:S1727)=0,"",INDEX($D$1:$S$1,MATCH(MIN(D1727:S1727),D1727:S1727,0)))</f>
        <v/>
      </c>
      <c r="Y1727" s="8" t="n">
        <v>101</v>
      </c>
      <c r="Z1727" s="10" t="n">
        <v>1</v>
      </c>
    </row>
    <row r="1728">
      <c r="A1728" s="7" t="inlineStr">
        <is>
          <t>MAT-32-377</t>
        </is>
      </c>
      <c r="B1728" s="4" t="inlineStr">
        <is>
          <t>Reducción bushing de bronce 1/8" x 3/8"</t>
        </is>
      </c>
      <c r="C1728" s="7" t="inlineStr">
        <is>
          <t>unidad</t>
        </is>
      </c>
      <c r="D1728" s="8" t="n"/>
      <c r="E1728" s="8" t="n"/>
      <c r="F1728" s="8" t="n"/>
      <c r="G1728" s="8" t="n">
        <v>77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>
        <f>IF(COUNT(D1728:S1728)=0,"",MIN(D1728:S1728))</f>
        <v/>
      </c>
      <c r="U1728" s="8">
        <f>IF(COUNT(D1728:S1728)=0,"",MEDIAN(D1728:S1728))</f>
        <v/>
      </c>
      <c r="V1728" s="8">
        <f>IF(COUNT(D1728:S1728)=0,"",MAX(D1728:S1728))</f>
        <v/>
      </c>
      <c r="W1728" s="9">
        <f>IF(OR(T1728="",T1728=0),"",(V1728-T1728)/T1728)</f>
        <v/>
      </c>
      <c r="X1728" s="7">
        <f>IF(COUNT(D1728:S1728)=0,"",INDEX($D$1:$S$1,MATCH(MIN(D1728:S1728),D1728:S1728,0)))</f>
        <v/>
      </c>
      <c r="Y1728" s="8" t="n">
        <v>77</v>
      </c>
      <c r="Z1728" s="10" t="n">
        <v>1</v>
      </c>
    </row>
    <row r="1729">
      <c r="A1729" s="7" t="inlineStr">
        <is>
          <t>MAT-32-378</t>
        </is>
      </c>
      <c r="B1729" s="4" t="inlineStr">
        <is>
          <t>Reducción bushing de bronce 1" x 3/4"</t>
        </is>
      </c>
      <c r="C1729" s="7" t="inlineStr">
        <is>
          <t>unidad</t>
        </is>
      </c>
      <c r="D1729" s="8" t="n"/>
      <c r="E1729" s="8" t="n">
        <v>202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>
        <f>IF(COUNT(D1729:S1729)=0,"",MIN(D1729:S1729))</f>
        <v/>
      </c>
      <c r="U1729" s="8">
        <f>IF(COUNT(D1729:S1729)=0,"",MEDIAN(D1729:S1729))</f>
        <v/>
      </c>
      <c r="V1729" s="8">
        <f>IF(COUNT(D1729:S1729)=0,"",MAX(D1729:S1729))</f>
        <v/>
      </c>
      <c r="W1729" s="9">
        <f>IF(OR(T1729="",T1729=0),"",(V1729-T1729)/T1729)</f>
        <v/>
      </c>
      <c r="X1729" s="7">
        <f>IF(COUNT(D1729:S1729)=0,"",INDEX($D$1:$S$1,MATCH(MIN(D1729:S1729),D1729:S1729,0)))</f>
        <v/>
      </c>
      <c r="Y1729" s="8" t="n">
        <v>202</v>
      </c>
      <c r="Z1729" s="10" t="n">
        <v>1</v>
      </c>
    </row>
    <row r="1730">
      <c r="A1730" s="7" t="inlineStr">
        <is>
          <t>MAT-32-379</t>
        </is>
      </c>
      <c r="B1730" s="4" t="inlineStr">
        <is>
          <t>Reducción bushing de bronce 3/4" x 1/2"</t>
        </is>
      </c>
      <c r="C1730" s="7" t="inlineStr">
        <is>
          <t>unidad</t>
        </is>
      </c>
      <c r="D1730" s="8" t="n"/>
      <c r="E1730" s="8" t="n">
        <v>97.88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>
        <f>IF(COUNT(D1730:S1730)=0,"",MIN(D1730:S1730))</f>
        <v/>
      </c>
      <c r="U1730" s="8">
        <f>IF(COUNT(D1730:S1730)=0,"",MEDIAN(D1730:S1730))</f>
        <v/>
      </c>
      <c r="V1730" s="8">
        <f>IF(COUNT(D1730:S1730)=0,"",MAX(D1730:S1730))</f>
        <v/>
      </c>
      <c r="W1730" s="9">
        <f>IF(OR(T1730="",T1730=0),"",(V1730-T1730)/T1730)</f>
        <v/>
      </c>
      <c r="X1730" s="7">
        <f>IF(COUNT(D1730:S1730)=0,"",INDEX($D$1:$S$1,MATCH(MIN(D1730:S1730),D1730:S1730,0)))</f>
        <v/>
      </c>
      <c r="Y1730" s="8" t="n">
        <v>97.88</v>
      </c>
      <c r="Z1730" s="10" t="n">
        <v>1</v>
      </c>
    </row>
    <row r="1731">
      <c r="A1731" s="7" t="inlineStr">
        <is>
          <t>MAT-32-380</t>
        </is>
      </c>
      <c r="B1731" s="4" t="inlineStr">
        <is>
          <t>Reducción bushing de bronce 3/4" x 3/8"</t>
        </is>
      </c>
      <c r="C1731" s="7" t="inlineStr">
        <is>
          <t>unidad</t>
        </is>
      </c>
      <c r="D1731" s="8" t="n"/>
      <c r="E1731" s="8" t="n">
        <v>137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>
        <f>IF(COUNT(D1731:S1731)=0,"",MIN(D1731:S1731))</f>
        <v/>
      </c>
      <c r="U1731" s="8">
        <f>IF(COUNT(D1731:S1731)=0,"",MEDIAN(D1731:S1731))</f>
        <v/>
      </c>
      <c r="V1731" s="8">
        <f>IF(COUNT(D1731:S1731)=0,"",MAX(D1731:S1731))</f>
        <v/>
      </c>
      <c r="W1731" s="9">
        <f>IF(OR(T1731="",T1731=0),"",(V1731-T1731)/T1731)</f>
        <v/>
      </c>
      <c r="X1731" s="7">
        <f>IF(COUNT(D1731:S1731)=0,"",INDEX($D$1:$S$1,MATCH(MIN(D1731:S1731),D1731:S1731,0)))</f>
        <v/>
      </c>
      <c r="Y1731" s="8" t="n">
        <v>137</v>
      </c>
      <c r="Z1731" s="10" t="n">
        <v>1</v>
      </c>
    </row>
    <row r="1732">
      <c r="A1732" s="7" t="inlineStr">
        <is>
          <t>MAT-32-381</t>
        </is>
      </c>
      <c r="B1732" s="4" t="inlineStr">
        <is>
          <t>Reducción bushing de bronce 3/8"</t>
        </is>
      </c>
      <c r="C1732" s="7" t="inlineStr">
        <is>
          <t>unidad</t>
        </is>
      </c>
      <c r="D1732" s="8" t="n"/>
      <c r="E1732" s="8" t="n">
        <v>78.73999999999999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>
        <f>IF(COUNT(D1732:S1732)=0,"",MIN(D1732:S1732))</f>
        <v/>
      </c>
      <c r="U1732" s="8">
        <f>IF(COUNT(D1732:S1732)=0,"",MEDIAN(D1732:S1732))</f>
        <v/>
      </c>
      <c r="V1732" s="8">
        <f>IF(COUNT(D1732:S1732)=0,"",MAX(D1732:S1732))</f>
        <v/>
      </c>
      <c r="W1732" s="9">
        <f>IF(OR(T1732="",T1732=0),"",(V1732-T1732)/T1732)</f>
        <v/>
      </c>
      <c r="X1732" s="7">
        <f>IF(COUNT(D1732:S1732)=0,"",INDEX($D$1:$S$1,MATCH(MIN(D1732:S1732),D1732:S1732,0)))</f>
        <v/>
      </c>
      <c r="Y1732" s="8" t="n">
        <v>78.73999999999999</v>
      </c>
      <c r="Z1732" s="10" t="n">
        <v>1</v>
      </c>
    </row>
    <row r="1733">
      <c r="A1733" s="7" t="inlineStr">
        <is>
          <t>MAT-32-382</t>
        </is>
      </c>
      <c r="B1733" s="4" t="inlineStr">
        <is>
          <t>Reducción bushing de bronce 3/8" x 1/8"</t>
        </is>
      </c>
      <c r="C1733" s="7" t="inlineStr">
        <is>
          <t>unidad</t>
        </is>
      </c>
      <c r="D1733" s="8" t="n"/>
      <c r="E1733" s="8" t="n">
        <v>57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>
        <f>IF(COUNT(D1733:S1733)=0,"",MIN(D1733:S1733))</f>
        <v/>
      </c>
      <c r="U1733" s="8">
        <f>IF(COUNT(D1733:S1733)=0,"",MEDIAN(D1733:S1733))</f>
        <v/>
      </c>
      <c r="V1733" s="8">
        <f>IF(COUNT(D1733:S1733)=0,"",MAX(D1733:S1733))</f>
        <v/>
      </c>
      <c r="W1733" s="9">
        <f>IF(OR(T1733="",T1733=0),"",(V1733-T1733)/T1733)</f>
        <v/>
      </c>
      <c r="X1733" s="7">
        <f>IF(COUNT(D1733:S1733)=0,"",INDEX($D$1:$S$1,MATCH(MIN(D1733:S1733),D1733:S1733,0)))</f>
        <v/>
      </c>
      <c r="Y1733" s="8" t="n">
        <v>57</v>
      </c>
      <c r="Z1733" s="10" t="n">
        <v>1</v>
      </c>
    </row>
    <row r="1734">
      <c r="A1734" s="7" t="inlineStr">
        <is>
          <t>MAT-32-383</t>
        </is>
      </c>
      <c r="B1734" s="4" t="inlineStr">
        <is>
          <t>Reducción bushing de CPVC 1" x 1/2"</t>
        </is>
      </c>
      <c r="C1734" s="7" t="inlineStr">
        <is>
          <t>unidad</t>
        </is>
      </c>
      <c r="D1734" s="8" t="n"/>
      <c r="E1734" s="8" t="n">
        <v>45.68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>
        <f>IF(COUNT(D1734:S1734)=0,"",MIN(D1734:S1734))</f>
        <v/>
      </c>
      <c r="U1734" s="8">
        <f>IF(COUNT(D1734:S1734)=0,"",MEDIAN(D1734:S1734))</f>
        <v/>
      </c>
      <c r="V1734" s="8">
        <f>IF(COUNT(D1734:S1734)=0,"",MAX(D1734:S1734))</f>
        <v/>
      </c>
      <c r="W1734" s="9">
        <f>IF(OR(T1734="",T1734=0),"",(V1734-T1734)/T1734)</f>
        <v/>
      </c>
      <c r="X1734" s="7">
        <f>IF(COUNT(D1734:S1734)=0,"",INDEX($D$1:$S$1,MATCH(MIN(D1734:S1734),D1734:S1734,0)))</f>
        <v/>
      </c>
      <c r="Y1734" s="8" t="n">
        <v>45.68</v>
      </c>
      <c r="Z1734" s="10" t="n">
        <v>1</v>
      </c>
    </row>
    <row r="1735">
      <c r="A1735" s="7" t="inlineStr">
        <is>
          <t>MAT-32-384</t>
        </is>
      </c>
      <c r="B1735" s="4" t="inlineStr">
        <is>
          <t>Reducción bushing de CPVC 1" x 3/4"</t>
        </is>
      </c>
      <c r="C1735" s="7" t="inlineStr">
        <is>
          <t>unidad</t>
        </is>
      </c>
      <c r="D1735" s="8" t="n"/>
      <c r="E1735" s="8" t="n">
        <v>13.97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>
        <f>IF(COUNT(D1735:S1735)=0,"",MIN(D1735:S1735))</f>
        <v/>
      </c>
      <c r="U1735" s="8">
        <f>IF(COUNT(D1735:S1735)=0,"",MEDIAN(D1735:S1735))</f>
        <v/>
      </c>
      <c r="V1735" s="8">
        <f>IF(COUNT(D1735:S1735)=0,"",MAX(D1735:S1735))</f>
        <v/>
      </c>
      <c r="W1735" s="9">
        <f>IF(OR(T1735="",T1735=0),"",(V1735-T1735)/T1735)</f>
        <v/>
      </c>
      <c r="X1735" s="7">
        <f>IF(COUNT(D1735:S1735)=0,"",INDEX($D$1:$S$1,MATCH(MIN(D1735:S1735),D1735:S1735,0)))</f>
        <v/>
      </c>
      <c r="Y1735" s="8" t="n">
        <v>13.97</v>
      </c>
      <c r="Z1735" s="10" t="n">
        <v>1</v>
      </c>
    </row>
    <row r="1736">
      <c r="A1736" s="7" t="inlineStr">
        <is>
          <t>MAT-32-385</t>
        </is>
      </c>
      <c r="B1736" s="4" t="inlineStr">
        <is>
          <t>Reducción bushing de CPVC 2" x 1"</t>
        </is>
      </c>
      <c r="C1736" s="7" t="inlineStr">
        <is>
          <t>unidad</t>
        </is>
      </c>
      <c r="D1736" s="8" t="n"/>
      <c r="E1736" s="8" t="n">
        <v>322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>
        <f>IF(COUNT(D1736:S1736)=0,"",MIN(D1736:S1736))</f>
        <v/>
      </c>
      <c r="U1736" s="8">
        <f>IF(COUNT(D1736:S1736)=0,"",MEDIAN(D1736:S1736))</f>
        <v/>
      </c>
      <c r="V1736" s="8">
        <f>IF(COUNT(D1736:S1736)=0,"",MAX(D1736:S1736))</f>
        <v/>
      </c>
      <c r="W1736" s="9">
        <f>IF(OR(T1736="",T1736=0),"",(V1736-T1736)/T1736)</f>
        <v/>
      </c>
      <c r="X1736" s="7">
        <f>IF(COUNT(D1736:S1736)=0,"",INDEX($D$1:$S$1,MATCH(MIN(D1736:S1736),D1736:S1736,0)))</f>
        <v/>
      </c>
      <c r="Y1736" s="8" t="n">
        <v>322</v>
      </c>
      <c r="Z1736" s="10" t="n">
        <v>1</v>
      </c>
    </row>
    <row r="1737">
      <c r="A1737" s="7" t="inlineStr">
        <is>
          <t>MAT-32-386</t>
        </is>
      </c>
      <c r="B1737" s="4" t="inlineStr">
        <is>
          <t>Reducción bushing de CPVC 3/4" x 1/2"</t>
        </is>
      </c>
      <c r="C1737" s="7" t="inlineStr">
        <is>
          <t>unidad</t>
        </is>
      </c>
      <c r="D1737" s="8" t="n"/>
      <c r="E1737" s="8" t="n">
        <v>10.62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>
        <f>IF(COUNT(D1737:S1737)=0,"",MIN(D1737:S1737))</f>
        <v/>
      </c>
      <c r="U1737" s="8">
        <f>IF(COUNT(D1737:S1737)=0,"",MEDIAN(D1737:S1737))</f>
        <v/>
      </c>
      <c r="V1737" s="8">
        <f>IF(COUNT(D1737:S1737)=0,"",MAX(D1737:S1737))</f>
        <v/>
      </c>
      <c r="W1737" s="9">
        <f>IF(OR(T1737="",T1737=0),"",(V1737-T1737)/T1737)</f>
        <v/>
      </c>
      <c r="X1737" s="7">
        <f>IF(COUNT(D1737:S1737)=0,"",INDEX($D$1:$S$1,MATCH(MIN(D1737:S1737),D1737:S1737,0)))</f>
        <v/>
      </c>
      <c r="Y1737" s="8" t="n">
        <v>10.62</v>
      </c>
      <c r="Z1737" s="10" t="n">
        <v>1</v>
      </c>
    </row>
    <row r="1738">
      <c r="A1738" s="7" t="inlineStr">
        <is>
          <t>MAT-32-387</t>
        </is>
      </c>
      <c r="B1738" s="4" t="inlineStr">
        <is>
          <t>Reducción bushing de HG 1 1/2" x 1 1/4"</t>
        </is>
      </c>
      <c r="C1738" s="7" t="inlineStr">
        <is>
          <t>unidad</t>
        </is>
      </c>
      <c r="D1738" s="8" t="n"/>
      <c r="E1738" s="8" t="n">
        <v>125</v>
      </c>
      <c r="F1738" s="8" t="n"/>
      <c r="G1738" s="8" t="n">
        <v>247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>
        <f>IF(COUNT(D1738:S1738)=0,"",MIN(D1738:S1738))</f>
        <v/>
      </c>
      <c r="U1738" s="8">
        <f>IF(COUNT(D1738:S1738)=0,"",MEDIAN(D1738:S1738))</f>
        <v/>
      </c>
      <c r="V1738" s="8">
        <f>IF(COUNT(D1738:S1738)=0,"",MAX(D1738:S1738))</f>
        <v/>
      </c>
      <c r="W1738" s="9">
        <f>IF(OR(T1738="",T1738=0),"",(V1738-T1738)/T1738)</f>
        <v/>
      </c>
      <c r="X1738" s="7">
        <f>IF(COUNT(D1738:S1738)=0,"",INDEX($D$1:$S$1,MATCH(MIN(D1738:S1738),D1738:S1738,0)))</f>
        <v/>
      </c>
      <c r="Y1738" s="8" t="n">
        <v>186</v>
      </c>
      <c r="Z1738" s="10" t="n">
        <v>2</v>
      </c>
    </row>
    <row r="1739">
      <c r="A1739" s="7" t="inlineStr">
        <is>
          <t>MAT-32-388</t>
        </is>
      </c>
      <c r="B1739" s="4" t="inlineStr">
        <is>
          <t>Reducción bushing de HG 1 1/2" x 1/2"</t>
        </is>
      </c>
      <c r="C1739" s="7" t="inlineStr">
        <is>
          <t>unidad</t>
        </is>
      </c>
      <c r="D1739" s="8" t="n"/>
      <c r="E1739" s="8" t="n">
        <v>76</v>
      </c>
      <c r="F1739" s="8" t="n"/>
      <c r="G1739" s="8" t="n">
        <v>103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>
        <f>IF(COUNT(D1739:S1739)=0,"",MIN(D1739:S1739))</f>
        <v/>
      </c>
      <c r="U1739" s="8">
        <f>IF(COUNT(D1739:S1739)=0,"",MEDIAN(D1739:S1739))</f>
        <v/>
      </c>
      <c r="V1739" s="8">
        <f>IF(COUNT(D1739:S1739)=0,"",MAX(D1739:S1739))</f>
        <v/>
      </c>
      <c r="W1739" s="9">
        <f>IF(OR(T1739="",T1739=0),"",(V1739-T1739)/T1739)</f>
        <v/>
      </c>
      <c r="X1739" s="7">
        <f>IF(COUNT(D1739:S1739)=0,"",INDEX($D$1:$S$1,MATCH(MIN(D1739:S1739),D1739:S1739,0)))</f>
        <v/>
      </c>
      <c r="Y1739" s="8" t="n">
        <v>89.5</v>
      </c>
      <c r="Z1739" s="10" t="n">
        <v>2</v>
      </c>
    </row>
    <row r="1740">
      <c r="A1740" s="7" t="inlineStr">
        <is>
          <t>MAT-32-389</t>
        </is>
      </c>
      <c r="B1740" s="4" t="inlineStr">
        <is>
          <t>Reducción bushing de HG 1 1/2" x 1"</t>
        </is>
      </c>
      <c r="C1740" s="7" t="inlineStr">
        <is>
          <t>unidad</t>
        </is>
      </c>
      <c r="D1740" s="8" t="n"/>
      <c r="E1740" s="8" t="n">
        <v>67</v>
      </c>
      <c r="F1740" s="8" t="n"/>
      <c r="G1740" s="8" t="n">
        <v>214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>
        <f>IF(COUNT(D1740:S1740)=0,"",MIN(D1740:S1740))</f>
        <v/>
      </c>
      <c r="U1740" s="8">
        <f>IF(COUNT(D1740:S1740)=0,"",MEDIAN(D1740:S1740))</f>
        <v/>
      </c>
      <c r="V1740" s="8">
        <f>IF(COUNT(D1740:S1740)=0,"",MAX(D1740:S1740))</f>
        <v/>
      </c>
      <c r="W1740" s="9">
        <f>IF(OR(T1740="",T1740=0),"",(V1740-T1740)/T1740)</f>
        <v/>
      </c>
      <c r="X1740" s="7">
        <f>IF(COUNT(D1740:S1740)=0,"",INDEX($D$1:$S$1,MATCH(MIN(D1740:S1740),D1740:S1740,0)))</f>
        <v/>
      </c>
      <c r="Y1740" s="8" t="n">
        <v>140.5</v>
      </c>
      <c r="Z1740" s="10" t="n">
        <v>2</v>
      </c>
    </row>
    <row r="1741">
      <c r="A1741" s="7" t="inlineStr">
        <is>
          <t>MAT-32-390</t>
        </is>
      </c>
      <c r="B1741" s="4" t="inlineStr">
        <is>
          <t>Reducción bushing de HG 1 1/2" x 3/4"</t>
        </is>
      </c>
      <c r="C1741" s="7" t="inlineStr">
        <is>
          <t>unidad</t>
        </is>
      </c>
      <c r="D1741" s="8" t="n"/>
      <c r="E1741" s="8" t="n">
        <v>110</v>
      </c>
      <c r="F1741" s="8" t="n"/>
      <c r="G1741" s="8" t="n">
        <v>87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>
        <f>IF(COUNT(D1741:S1741)=0,"",MIN(D1741:S1741))</f>
        <v/>
      </c>
      <c r="U1741" s="8">
        <f>IF(COUNT(D1741:S1741)=0,"",MEDIAN(D1741:S1741))</f>
        <v/>
      </c>
      <c r="V1741" s="8">
        <f>IF(COUNT(D1741:S1741)=0,"",MAX(D1741:S1741))</f>
        <v/>
      </c>
      <c r="W1741" s="9">
        <f>IF(OR(T1741="",T1741=0),"",(V1741-T1741)/T1741)</f>
        <v/>
      </c>
      <c r="X1741" s="7">
        <f>IF(COUNT(D1741:S1741)=0,"",INDEX($D$1:$S$1,MATCH(MIN(D1741:S1741),D1741:S1741,0)))</f>
        <v/>
      </c>
      <c r="Y1741" s="8" t="n">
        <v>98.5</v>
      </c>
      <c r="Z1741" s="10" t="n">
        <v>2</v>
      </c>
    </row>
    <row r="1742">
      <c r="A1742" s="7" t="inlineStr">
        <is>
          <t>MAT-32-391</t>
        </is>
      </c>
      <c r="B1742" s="4" t="inlineStr">
        <is>
          <t>Reducción bushing de HG 1 1/4" x 1/2"</t>
        </is>
      </c>
      <c r="C1742" s="7" t="inlineStr">
        <is>
          <t>unidad</t>
        </is>
      </c>
      <c r="D1742" s="8" t="n"/>
      <c r="E1742" s="8" t="n">
        <v>87</v>
      </c>
      <c r="F1742" s="8" t="n"/>
      <c r="G1742" s="8" t="n">
        <v>61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>
        <f>IF(COUNT(D1742:S1742)=0,"",MIN(D1742:S1742))</f>
        <v/>
      </c>
      <c r="U1742" s="8">
        <f>IF(COUNT(D1742:S1742)=0,"",MEDIAN(D1742:S1742))</f>
        <v/>
      </c>
      <c r="V1742" s="8">
        <f>IF(COUNT(D1742:S1742)=0,"",MAX(D1742:S1742))</f>
        <v/>
      </c>
      <c r="W1742" s="9">
        <f>IF(OR(T1742="",T1742=0),"",(V1742-T1742)/T1742)</f>
        <v/>
      </c>
      <c r="X1742" s="7">
        <f>IF(COUNT(D1742:S1742)=0,"",INDEX($D$1:$S$1,MATCH(MIN(D1742:S1742),D1742:S1742,0)))</f>
        <v/>
      </c>
      <c r="Y1742" s="8" t="n">
        <v>74</v>
      </c>
      <c r="Z1742" s="10" t="n">
        <v>2</v>
      </c>
    </row>
    <row r="1743">
      <c r="A1743" s="7" t="inlineStr">
        <is>
          <t>MAT-32-392</t>
        </is>
      </c>
      <c r="B1743" s="4" t="inlineStr">
        <is>
          <t>Reducción bushing de HG 1 1/4" x 1"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198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>
        <f>IF(COUNT(D1743:S1743)=0,"",MIN(D1743:S1743))</f>
        <v/>
      </c>
      <c r="U1743" s="8">
        <f>IF(COUNT(D1743:S1743)=0,"",MEDIAN(D1743:S1743))</f>
        <v/>
      </c>
      <c r="V1743" s="8">
        <f>IF(COUNT(D1743:S1743)=0,"",MAX(D1743:S1743))</f>
        <v/>
      </c>
      <c r="W1743" s="9">
        <f>IF(OR(T1743="",T1743=0),"",(V1743-T1743)/T1743)</f>
        <v/>
      </c>
      <c r="X1743" s="7">
        <f>IF(COUNT(D1743:S1743)=0,"",INDEX($D$1:$S$1,MATCH(MIN(D1743:S1743),D1743:S1743,0)))</f>
        <v/>
      </c>
      <c r="Y1743" s="8" t="n">
        <v>124.5</v>
      </c>
      <c r="Z1743" s="10" t="n">
        <v>2</v>
      </c>
    </row>
    <row r="1744">
      <c r="A1744" s="7" t="inlineStr">
        <is>
          <t>MAT-32-393</t>
        </is>
      </c>
      <c r="B1744" s="4" t="inlineStr">
        <is>
          <t>Reducción bushing de HG 1 1/4" x 3/4"</t>
        </is>
      </c>
      <c r="C1744" s="7" t="inlineStr">
        <is>
          <t>unidad</t>
        </is>
      </c>
      <c r="D1744" s="8" t="n"/>
      <c r="E1744" s="8" t="n">
        <v>50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>
        <f>IF(COUNT(D1744:S1744)=0,"",MIN(D1744:S1744))</f>
        <v/>
      </c>
      <c r="U1744" s="8">
        <f>IF(COUNT(D1744:S1744)=0,"",MEDIAN(D1744:S1744))</f>
        <v/>
      </c>
      <c r="V1744" s="8">
        <f>IF(COUNT(D1744:S1744)=0,"",MAX(D1744:S1744))</f>
        <v/>
      </c>
      <c r="W1744" s="9">
        <f>IF(OR(T1744="",T1744=0),"",(V1744-T1744)/T1744)</f>
        <v/>
      </c>
      <c r="X1744" s="7">
        <f>IF(COUNT(D1744:S1744)=0,"",INDEX($D$1:$S$1,MATCH(MIN(D1744:S1744),D1744:S1744,0)))</f>
        <v/>
      </c>
      <c r="Y1744" s="8" t="n">
        <v>50</v>
      </c>
      <c r="Z1744" s="10" t="n">
        <v>1</v>
      </c>
    </row>
    <row r="1745">
      <c r="A1745" s="7" t="inlineStr">
        <is>
          <t>MAT-32-394</t>
        </is>
      </c>
      <c r="B1745" s="4" t="inlineStr">
        <is>
          <t>Reducción bushing de HG 1/2" x 1/4"</t>
        </is>
      </c>
      <c r="C1745" s="7" t="inlineStr">
        <is>
          <t>unidad</t>
        </is>
      </c>
      <c r="D1745" s="8" t="n"/>
      <c r="E1745" s="8" t="n"/>
      <c r="F1745" s="8" t="n"/>
      <c r="G1745" s="8" t="n">
        <v>80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>
        <f>IF(COUNT(D1745:S1745)=0,"",MIN(D1745:S1745))</f>
        <v/>
      </c>
      <c r="U1745" s="8">
        <f>IF(COUNT(D1745:S1745)=0,"",MEDIAN(D1745:S1745))</f>
        <v/>
      </c>
      <c r="V1745" s="8">
        <f>IF(COUNT(D1745:S1745)=0,"",MAX(D1745:S1745))</f>
        <v/>
      </c>
      <c r="W1745" s="9">
        <f>IF(OR(T1745="",T1745=0),"",(V1745-T1745)/T1745)</f>
        <v/>
      </c>
      <c r="X1745" s="7">
        <f>IF(COUNT(D1745:S1745)=0,"",INDEX($D$1:$S$1,MATCH(MIN(D1745:S1745),D1745:S1745,0)))</f>
        <v/>
      </c>
      <c r="Y1745" s="8" t="n">
        <v>80</v>
      </c>
      <c r="Z1745" s="10" t="n">
        <v>1</v>
      </c>
    </row>
    <row r="1746">
      <c r="A1746" s="7" t="inlineStr">
        <is>
          <t>MAT-32-395</t>
        </is>
      </c>
      <c r="B1746" s="4" t="inlineStr">
        <is>
          <t>Reducción bushing de HG 1/2" x 3/8"</t>
        </is>
      </c>
      <c r="C1746" s="7" t="inlineStr">
        <is>
          <t>unidad</t>
        </is>
      </c>
      <c r="D1746" s="8" t="n"/>
      <c r="E1746" s="8" t="n">
        <v>25</v>
      </c>
      <c r="F1746" s="8" t="n"/>
      <c r="G1746" s="8" t="n">
        <v>65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>
        <f>IF(COUNT(D1746:S1746)=0,"",MIN(D1746:S1746))</f>
        <v/>
      </c>
      <c r="U1746" s="8">
        <f>IF(COUNT(D1746:S1746)=0,"",MEDIAN(D1746:S1746))</f>
        <v/>
      </c>
      <c r="V1746" s="8">
        <f>IF(COUNT(D1746:S1746)=0,"",MAX(D1746:S1746))</f>
        <v/>
      </c>
      <c r="W1746" s="9">
        <f>IF(OR(T1746="",T1746=0),"",(V1746-T1746)/T1746)</f>
        <v/>
      </c>
      <c r="X1746" s="7">
        <f>IF(COUNT(D1746:S1746)=0,"",INDEX($D$1:$S$1,MATCH(MIN(D1746:S1746),D1746:S1746,0)))</f>
        <v/>
      </c>
      <c r="Y1746" s="8" t="n">
        <v>45</v>
      </c>
      <c r="Z1746" s="10" t="n">
        <v>2</v>
      </c>
    </row>
    <row r="1747">
      <c r="A1747" s="7" t="inlineStr">
        <is>
          <t>MAT-32-396</t>
        </is>
      </c>
      <c r="B1747" s="4" t="inlineStr">
        <is>
          <t>Reducción bushing de HG 1" x 1/2"</t>
        </is>
      </c>
      <c r="C1747" s="7" t="inlineStr">
        <is>
          <t>unidad</t>
        </is>
      </c>
      <c r="D1747" s="8" t="n"/>
      <c r="E1747" s="8" t="n">
        <v>40</v>
      </c>
      <c r="F1747" s="8" t="n"/>
      <c r="G1747" s="8" t="n">
        <v>92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>
        <f>IF(COUNT(D1747:S1747)=0,"",MIN(D1747:S1747))</f>
        <v/>
      </c>
      <c r="U1747" s="8">
        <f>IF(COUNT(D1747:S1747)=0,"",MEDIAN(D1747:S1747))</f>
        <v/>
      </c>
      <c r="V1747" s="8">
        <f>IF(COUNT(D1747:S1747)=0,"",MAX(D1747:S1747))</f>
        <v/>
      </c>
      <c r="W1747" s="9">
        <f>IF(OR(T1747="",T1747=0),"",(V1747-T1747)/T1747)</f>
        <v/>
      </c>
      <c r="X1747" s="7">
        <f>IF(COUNT(D1747:S1747)=0,"",INDEX($D$1:$S$1,MATCH(MIN(D1747:S1747),D1747:S1747,0)))</f>
        <v/>
      </c>
      <c r="Y1747" s="8" t="n">
        <v>66</v>
      </c>
      <c r="Z1747" s="10" t="n">
        <v>2</v>
      </c>
    </row>
    <row r="1748">
      <c r="A1748" s="7" t="inlineStr">
        <is>
          <t>MAT-32-397</t>
        </is>
      </c>
      <c r="B1748" s="4" t="inlineStr">
        <is>
          <t>Reducción bushing de HG 1" x 1/4"</t>
        </is>
      </c>
      <c r="C1748" s="7" t="inlineStr">
        <is>
          <t>unidad</t>
        </is>
      </c>
      <c r="D1748" s="8" t="n"/>
      <c r="E1748" s="8" t="n">
        <v>58.94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>
        <f>IF(COUNT(D1748:S1748)=0,"",MIN(D1748:S1748))</f>
        <v/>
      </c>
      <c r="U1748" s="8">
        <f>IF(COUNT(D1748:S1748)=0,"",MEDIAN(D1748:S1748))</f>
        <v/>
      </c>
      <c r="V1748" s="8">
        <f>IF(COUNT(D1748:S1748)=0,"",MAX(D1748:S1748))</f>
        <v/>
      </c>
      <c r="W1748" s="9">
        <f>IF(OR(T1748="",T1748=0),"",(V1748-T1748)/T1748)</f>
        <v/>
      </c>
      <c r="X1748" s="7">
        <f>IF(COUNT(D1748:S1748)=0,"",INDEX($D$1:$S$1,MATCH(MIN(D1748:S1748),D1748:S1748,0)))</f>
        <v/>
      </c>
      <c r="Y1748" s="8" t="n">
        <v>58.94</v>
      </c>
      <c r="Z1748" s="10" t="n">
        <v>1</v>
      </c>
    </row>
    <row r="1749">
      <c r="A1749" s="7" t="inlineStr">
        <is>
          <t>MAT-32-398</t>
        </is>
      </c>
      <c r="B1749" s="4" t="inlineStr">
        <is>
          <t>Reducción bushing de HG 1" x 3/4"</t>
        </is>
      </c>
      <c r="C1749" s="7" t="inlineStr">
        <is>
          <t>unidad</t>
        </is>
      </c>
      <c r="D1749" s="8" t="n"/>
      <c r="E1749" s="8" t="n">
        <v>31</v>
      </c>
      <c r="F1749" s="8" t="n"/>
      <c r="G1749" s="8" t="n">
        <v>97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>
        <f>IF(COUNT(D1749:S1749)=0,"",MIN(D1749:S1749))</f>
        <v/>
      </c>
      <c r="U1749" s="8">
        <f>IF(COUNT(D1749:S1749)=0,"",MEDIAN(D1749:S1749))</f>
        <v/>
      </c>
      <c r="V1749" s="8">
        <f>IF(COUNT(D1749:S1749)=0,"",MAX(D1749:S1749))</f>
        <v/>
      </c>
      <c r="W1749" s="9">
        <f>IF(OR(T1749="",T1749=0),"",(V1749-T1749)/T1749)</f>
        <v/>
      </c>
      <c r="X1749" s="7">
        <f>IF(COUNT(D1749:S1749)=0,"",INDEX($D$1:$S$1,MATCH(MIN(D1749:S1749),D1749:S1749,0)))</f>
        <v/>
      </c>
      <c r="Y1749" s="8" t="n">
        <v>64</v>
      </c>
      <c r="Z1749" s="10" t="n">
        <v>2</v>
      </c>
    </row>
    <row r="1750">
      <c r="A1750" s="7" t="inlineStr">
        <is>
          <t>MAT-32-399</t>
        </is>
      </c>
      <c r="B1750" s="4" t="inlineStr">
        <is>
          <t>Reducción bushing de HG 2 1/2" x 2"</t>
        </is>
      </c>
      <c r="C1750" s="7" t="inlineStr">
        <is>
          <t>unidad</t>
        </is>
      </c>
      <c r="D1750" s="8" t="n"/>
      <c r="E1750" s="8" t="n">
        <v>52.64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>
        <f>IF(COUNT(D1750:S1750)=0,"",MIN(D1750:S1750))</f>
        <v/>
      </c>
      <c r="U1750" s="8">
        <f>IF(COUNT(D1750:S1750)=0,"",MEDIAN(D1750:S1750))</f>
        <v/>
      </c>
      <c r="V1750" s="8">
        <f>IF(COUNT(D1750:S1750)=0,"",MAX(D1750:S1750))</f>
        <v/>
      </c>
      <c r="W1750" s="9">
        <f>IF(OR(T1750="",T1750=0),"",(V1750-T1750)/T1750)</f>
        <v/>
      </c>
      <c r="X1750" s="7">
        <f>IF(COUNT(D1750:S1750)=0,"",INDEX($D$1:$S$1,MATCH(MIN(D1750:S1750),D1750:S1750,0)))</f>
        <v/>
      </c>
      <c r="Y1750" s="8" t="n">
        <v>52.64</v>
      </c>
      <c r="Z1750" s="10" t="n">
        <v>1</v>
      </c>
    </row>
    <row r="1751">
      <c r="A1751" s="7" t="inlineStr">
        <is>
          <t>MAT-32-400</t>
        </is>
      </c>
      <c r="B1751" s="4" t="inlineStr">
        <is>
          <t>Reducción bushing de HG 2" x 1 1/2"</t>
        </is>
      </c>
      <c r="C1751" s="7" t="inlineStr">
        <is>
          <t>unidad</t>
        </is>
      </c>
      <c r="D1751" s="8" t="n"/>
      <c r="E1751" s="8" t="n">
        <v>94</v>
      </c>
      <c r="F1751" s="8" t="n"/>
      <c r="G1751" s="8" t="n">
        <v>189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>
        <f>IF(COUNT(D1751:S1751)=0,"",MIN(D1751:S1751))</f>
        <v/>
      </c>
      <c r="U1751" s="8">
        <f>IF(COUNT(D1751:S1751)=0,"",MEDIAN(D1751:S1751))</f>
        <v/>
      </c>
      <c r="V1751" s="8">
        <f>IF(COUNT(D1751:S1751)=0,"",MAX(D1751:S1751))</f>
        <v/>
      </c>
      <c r="W1751" s="9">
        <f>IF(OR(T1751="",T1751=0),"",(V1751-T1751)/T1751)</f>
        <v/>
      </c>
      <c r="X1751" s="7">
        <f>IF(COUNT(D1751:S1751)=0,"",INDEX($D$1:$S$1,MATCH(MIN(D1751:S1751),D1751:S1751,0)))</f>
        <v/>
      </c>
      <c r="Y1751" s="8" t="n">
        <v>141.5</v>
      </c>
      <c r="Z1751" s="10" t="n">
        <v>2</v>
      </c>
    </row>
    <row r="1752">
      <c r="A1752" s="7" t="inlineStr">
        <is>
          <t>MAT-32-401</t>
        </is>
      </c>
      <c r="B1752" s="4" t="inlineStr">
        <is>
          <t>Reducción bushing de HG 2" x 1 1/4"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>
        <f>IF(COUNT(D1752:S1752)=0,"",MIN(D1752:S1752))</f>
        <v/>
      </c>
      <c r="U1752" s="8">
        <f>IF(COUNT(D1752:S1752)=0,"",MEDIAN(D1752:S1752))</f>
        <v/>
      </c>
      <c r="V1752" s="8">
        <f>IF(COUNT(D1752:S1752)=0,"",MAX(D1752:S1752))</f>
        <v/>
      </c>
      <c r="W1752" s="9">
        <f>IF(OR(T1752="",T1752=0),"",(V1752-T1752)/T1752)</f>
        <v/>
      </c>
      <c r="X1752" s="7">
        <f>IF(COUNT(D1752:S1752)=0,"",INDEX($D$1:$S$1,MATCH(MIN(D1752:S1752),D1752:S1752,0)))</f>
        <v/>
      </c>
      <c r="Y1752" s="8" t="n">
        <v>95</v>
      </c>
      <c r="Z1752" s="10" t="n">
        <v>1</v>
      </c>
    </row>
    <row r="1753">
      <c r="A1753" s="7" t="inlineStr">
        <is>
          <t>MAT-32-402</t>
        </is>
      </c>
      <c r="B1753" s="4" t="inlineStr">
        <is>
          <t>Reducción bushing de HG 2" x 1/2"</t>
        </is>
      </c>
      <c r="C1753" s="7" t="inlineStr">
        <is>
          <t>unidad</t>
        </is>
      </c>
      <c r="D1753" s="8" t="n"/>
      <c r="E1753" s="8" t="n">
        <v>140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>
        <f>IF(COUNT(D1753:S1753)=0,"",MIN(D1753:S1753))</f>
        <v/>
      </c>
      <c r="U1753" s="8">
        <f>IF(COUNT(D1753:S1753)=0,"",MEDIAN(D1753:S1753))</f>
        <v/>
      </c>
      <c r="V1753" s="8">
        <f>IF(COUNT(D1753:S1753)=0,"",MAX(D1753:S1753))</f>
        <v/>
      </c>
      <c r="W1753" s="9">
        <f>IF(OR(T1753="",T1753=0),"",(V1753-T1753)/T1753)</f>
        <v/>
      </c>
      <c r="X1753" s="7">
        <f>IF(COUNT(D1753:S1753)=0,"",INDEX($D$1:$S$1,MATCH(MIN(D1753:S1753),D1753:S1753,0)))</f>
        <v/>
      </c>
      <c r="Y1753" s="8" t="n">
        <v>140</v>
      </c>
      <c r="Z1753" s="10" t="n">
        <v>1</v>
      </c>
    </row>
    <row r="1754">
      <c r="A1754" s="7" t="inlineStr">
        <is>
          <t>MAT-32-403</t>
        </is>
      </c>
      <c r="B1754" s="4" t="inlineStr">
        <is>
          <t>Reducción bushing de HG 2" x 1"</t>
        </is>
      </c>
      <c r="C1754" s="7" t="inlineStr">
        <is>
          <t>unidad</t>
        </is>
      </c>
      <c r="D1754" s="8" t="n"/>
      <c r="E1754" s="8" t="n">
        <v>95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>
        <f>IF(COUNT(D1754:S1754)=0,"",MIN(D1754:S1754))</f>
        <v/>
      </c>
      <c r="U1754" s="8">
        <f>IF(COUNT(D1754:S1754)=0,"",MEDIAN(D1754:S1754))</f>
        <v/>
      </c>
      <c r="V1754" s="8">
        <f>IF(COUNT(D1754:S1754)=0,"",MAX(D1754:S1754))</f>
        <v/>
      </c>
      <c r="W1754" s="9">
        <f>IF(OR(T1754="",T1754=0),"",(V1754-T1754)/T1754)</f>
        <v/>
      </c>
      <c r="X1754" s="7">
        <f>IF(COUNT(D1754:S1754)=0,"",INDEX($D$1:$S$1,MATCH(MIN(D1754:S1754),D1754:S1754,0)))</f>
        <v/>
      </c>
      <c r="Y1754" s="8" t="n">
        <v>95</v>
      </c>
      <c r="Z1754" s="10" t="n">
        <v>1</v>
      </c>
    </row>
    <row r="1755">
      <c r="A1755" s="7" t="inlineStr">
        <is>
          <t>MAT-32-404</t>
        </is>
      </c>
      <c r="B1755" s="4" t="inlineStr">
        <is>
          <t>Reducción bushing de HG 3/4" x 1/2"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>
        <f>IF(COUNT(D1755:S1755)=0,"",MIN(D1755:S1755))</f>
        <v/>
      </c>
      <c r="U1755" s="8">
        <f>IF(COUNT(D1755:S1755)=0,"",MEDIAN(D1755:S1755))</f>
        <v/>
      </c>
      <c r="V1755" s="8">
        <f>IF(COUNT(D1755:S1755)=0,"",MAX(D1755:S1755))</f>
        <v/>
      </c>
      <c r="W1755" s="9">
        <f>IF(OR(T1755="",T1755=0),"",(V1755-T1755)/T1755)</f>
        <v/>
      </c>
      <c r="X1755" s="7">
        <f>IF(COUNT(D1755:S1755)=0,"",INDEX($D$1:$S$1,MATCH(MIN(D1755:S1755),D1755:S1755,0)))</f>
        <v/>
      </c>
      <c r="Y1755" s="8" t="n">
        <v>50</v>
      </c>
      <c r="Z1755" s="10" t="n">
        <v>2</v>
      </c>
    </row>
    <row r="1756">
      <c r="A1756" s="7" t="inlineStr">
        <is>
          <t>MAT-32-405</t>
        </is>
      </c>
      <c r="B1756" s="4" t="inlineStr">
        <is>
          <t>Reducción bushing de HG 3/4" x 1/4"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>
        <f>IF(COUNT(D1756:S1756)=0,"",MIN(D1756:S1756))</f>
        <v/>
      </c>
      <c r="U1756" s="8">
        <f>IF(COUNT(D1756:S1756)=0,"",MEDIAN(D1756:S1756))</f>
        <v/>
      </c>
      <c r="V1756" s="8">
        <f>IF(COUNT(D1756:S1756)=0,"",MAX(D1756:S1756))</f>
        <v/>
      </c>
      <c r="W1756" s="9">
        <f>IF(OR(T1756="",T1756=0),"",(V1756-T1756)/T1756)</f>
        <v/>
      </c>
      <c r="X1756" s="7">
        <f>IF(COUNT(D1756:S1756)=0,"",INDEX($D$1:$S$1,MATCH(MIN(D1756:S1756),D1756:S1756,0)))</f>
        <v/>
      </c>
      <c r="Y1756" s="8" t="n">
        <v>25</v>
      </c>
      <c r="Z1756" s="10" t="n">
        <v>1</v>
      </c>
    </row>
    <row r="1757">
      <c r="A1757" s="7" t="inlineStr">
        <is>
          <t>MAT-32-406</t>
        </is>
      </c>
      <c r="B1757" s="4" t="inlineStr">
        <is>
          <t>Reducción bushing de HG 3/4" x 3/8"</t>
        </is>
      </c>
      <c r="C1757" s="7" t="inlineStr">
        <is>
          <t>unidad</t>
        </is>
      </c>
      <c r="D1757" s="8" t="n"/>
      <c r="E1757" s="8" t="n">
        <v>67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>
        <f>IF(COUNT(D1757:S1757)=0,"",MIN(D1757:S1757))</f>
        <v/>
      </c>
      <c r="U1757" s="8">
        <f>IF(COUNT(D1757:S1757)=0,"",MEDIAN(D1757:S1757))</f>
        <v/>
      </c>
      <c r="V1757" s="8">
        <f>IF(COUNT(D1757:S1757)=0,"",MAX(D1757:S1757))</f>
        <v/>
      </c>
      <c r="W1757" s="9">
        <f>IF(OR(T1757="",T1757=0),"",(V1757-T1757)/T1757)</f>
        <v/>
      </c>
      <c r="X1757" s="7">
        <f>IF(COUNT(D1757:S1757)=0,"",INDEX($D$1:$S$1,MATCH(MIN(D1757:S1757),D1757:S1757,0)))</f>
        <v/>
      </c>
      <c r="Y1757" s="8" t="n">
        <v>67</v>
      </c>
      <c r="Z1757" s="10" t="n">
        <v>1</v>
      </c>
    </row>
    <row r="1758">
      <c r="A1758" s="7" t="inlineStr">
        <is>
          <t>MAT-32-407</t>
        </is>
      </c>
      <c r="B1758" s="4" t="inlineStr">
        <is>
          <t>Reducción bushing de HG 3/8" x 1/4"</t>
        </is>
      </c>
      <c r="C1758" s="7" t="inlineStr">
        <is>
          <t>unidad</t>
        </is>
      </c>
      <c r="D1758" s="8" t="n"/>
      <c r="E1758" s="8" t="n">
        <v>34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>
        <f>IF(COUNT(D1758:S1758)=0,"",MIN(D1758:S1758))</f>
        <v/>
      </c>
      <c r="U1758" s="8">
        <f>IF(COUNT(D1758:S1758)=0,"",MEDIAN(D1758:S1758))</f>
        <v/>
      </c>
      <c r="V1758" s="8">
        <f>IF(COUNT(D1758:S1758)=0,"",MAX(D1758:S1758))</f>
        <v/>
      </c>
      <c r="W1758" s="9">
        <f>IF(OR(T1758="",T1758=0),"",(V1758-T1758)/T1758)</f>
        <v/>
      </c>
      <c r="X1758" s="7">
        <f>IF(COUNT(D1758:S1758)=0,"",INDEX($D$1:$S$1,MATCH(MIN(D1758:S1758),D1758:S1758,0)))</f>
        <v/>
      </c>
      <c r="Y1758" s="8" t="n">
        <v>34</v>
      </c>
      <c r="Z1758" s="10" t="n">
        <v>1</v>
      </c>
    </row>
    <row r="1759">
      <c r="A1759" s="7" t="inlineStr">
        <is>
          <t>MAT-32-408</t>
        </is>
      </c>
      <c r="B1759" s="4" t="inlineStr">
        <is>
          <t>Reducción bushing de HG 3" x 2"</t>
        </is>
      </c>
      <c r="C1759" s="7" t="inlineStr">
        <is>
          <t>unidad</t>
        </is>
      </c>
      <c r="D1759" s="8" t="n"/>
      <c r="E1759" s="8" t="n">
        <v>261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>
        <f>IF(COUNT(D1759:S1759)=0,"",MIN(D1759:S1759))</f>
        <v/>
      </c>
      <c r="U1759" s="8">
        <f>IF(COUNT(D1759:S1759)=0,"",MEDIAN(D1759:S1759))</f>
        <v/>
      </c>
      <c r="V1759" s="8">
        <f>IF(COUNT(D1759:S1759)=0,"",MAX(D1759:S1759))</f>
        <v/>
      </c>
      <c r="W1759" s="9">
        <f>IF(OR(T1759="",T1759=0),"",(V1759-T1759)/T1759)</f>
        <v/>
      </c>
      <c r="X1759" s="7">
        <f>IF(COUNT(D1759:S1759)=0,"",INDEX($D$1:$S$1,MATCH(MIN(D1759:S1759),D1759:S1759,0)))</f>
        <v/>
      </c>
      <c r="Y1759" s="8" t="n">
        <v>261</v>
      </c>
      <c r="Z1759" s="10" t="n">
        <v>1</v>
      </c>
    </row>
    <row r="1760">
      <c r="A1760" s="7" t="inlineStr">
        <is>
          <t>MAT-32-409</t>
        </is>
      </c>
      <c r="B1760" s="4" t="inlineStr">
        <is>
          <t>Reducción bushing de HG 4" x 3"</t>
        </is>
      </c>
      <c r="C1760" s="7" t="inlineStr">
        <is>
          <t>unidad</t>
        </is>
      </c>
      <c r="D1760" s="8" t="n"/>
      <c r="E1760" s="8" t="n">
        <v>454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>
        <f>IF(COUNT(D1760:S1760)=0,"",MIN(D1760:S1760))</f>
        <v/>
      </c>
      <c r="U1760" s="8">
        <f>IF(COUNT(D1760:S1760)=0,"",MEDIAN(D1760:S1760))</f>
        <v/>
      </c>
      <c r="V1760" s="8">
        <f>IF(COUNT(D1760:S1760)=0,"",MAX(D1760:S1760))</f>
        <v/>
      </c>
      <c r="W1760" s="9">
        <f>IF(OR(T1760="",T1760=0),"",(V1760-T1760)/T1760)</f>
        <v/>
      </c>
      <c r="X1760" s="7">
        <f>IF(COUNT(D1760:S1760)=0,"",INDEX($D$1:$S$1,MATCH(MIN(D1760:S1760),D1760:S1760,0)))</f>
        <v/>
      </c>
      <c r="Y1760" s="8" t="n">
        <v>454</v>
      </c>
      <c r="Z1760" s="10" t="n">
        <v>1</v>
      </c>
    </row>
    <row r="1761">
      <c r="A1761" s="7" t="inlineStr">
        <is>
          <t>MAT-32-410</t>
        </is>
      </c>
      <c r="B1761" s="4" t="inlineStr">
        <is>
          <t>Reducción bushing de PVC drenaje 2" x 1/2"</t>
        </is>
      </c>
      <c r="C1761" s="7" t="inlineStr">
        <is>
          <t>unidad</t>
        </is>
      </c>
      <c r="D1761" s="8" t="n"/>
      <c r="E1761" s="8" t="n"/>
      <c r="F1761" s="8" t="n"/>
      <c r="G1761" s="8" t="n">
        <v>64</v>
      </c>
      <c r="H1761" s="8" t="n"/>
      <c r="I1761" s="8" t="n"/>
      <c r="J1761" s="8" t="n"/>
      <c r="K1761" s="8" t="n"/>
      <c r="L1761" s="8" t="n"/>
      <c r="M1761" s="8" t="n">
        <v>12.26</v>
      </c>
      <c r="N1761" s="8" t="n"/>
      <c r="O1761" s="8" t="n"/>
      <c r="P1761" s="8" t="n"/>
      <c r="Q1761" s="8" t="n"/>
      <c r="R1761" s="8" t="n"/>
      <c r="S1761" s="8" t="n"/>
      <c r="T1761" s="8">
        <f>IF(COUNT(D1761:S1761)=0,"",MIN(D1761:S1761))</f>
        <v/>
      </c>
      <c r="U1761" s="8">
        <f>IF(COUNT(D1761:S1761)=0,"",MEDIAN(D1761:S1761))</f>
        <v/>
      </c>
      <c r="V1761" s="8">
        <f>IF(COUNT(D1761:S1761)=0,"",MAX(D1761:S1761))</f>
        <v/>
      </c>
      <c r="W1761" s="9">
        <f>IF(OR(T1761="",T1761=0),"",(V1761-T1761)/T1761)</f>
        <v/>
      </c>
      <c r="X1761" s="7">
        <f>IF(COUNT(D1761:S1761)=0,"",INDEX($D$1:$S$1,MATCH(MIN(D1761:S1761),D1761:S1761,0)))</f>
        <v/>
      </c>
      <c r="Y1761" s="8" t="n">
        <v>39.23</v>
      </c>
      <c r="Z1761" s="10" t="n">
        <v>2</v>
      </c>
    </row>
    <row r="1762">
      <c r="A1762" s="7" t="inlineStr">
        <is>
          <t>MAT-32-411</t>
        </is>
      </c>
      <c r="B1762" s="4" t="inlineStr">
        <is>
          <t>Reducción bushing de PVC drenaje 2" x 1"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14.24</v>
      </c>
      <c r="N1762" s="8" t="n"/>
      <c r="O1762" s="8" t="n"/>
      <c r="P1762" s="8" t="n"/>
      <c r="Q1762" s="8" t="n"/>
      <c r="R1762" s="8" t="n"/>
      <c r="S1762" s="8" t="n"/>
      <c r="T1762" s="8">
        <f>IF(COUNT(D1762:S1762)=0,"",MIN(D1762:S1762))</f>
        <v/>
      </c>
      <c r="U1762" s="8">
        <f>IF(COUNT(D1762:S1762)=0,"",MEDIAN(D1762:S1762))</f>
        <v/>
      </c>
      <c r="V1762" s="8">
        <f>IF(COUNT(D1762:S1762)=0,"",MAX(D1762:S1762))</f>
        <v/>
      </c>
      <c r="W1762" s="9">
        <f>IF(OR(T1762="",T1762=0),"",(V1762-T1762)/T1762)</f>
        <v/>
      </c>
      <c r="X1762" s="7">
        <f>IF(COUNT(D1762:S1762)=0,"",INDEX($D$1:$S$1,MATCH(MIN(D1762:S1762),D1762:S1762,0)))</f>
        <v/>
      </c>
      <c r="Y1762" s="8" t="n">
        <v>16.8</v>
      </c>
      <c r="Z1762" s="10" t="n">
        <v>1</v>
      </c>
    </row>
    <row r="1763">
      <c r="A1763" s="7" t="inlineStr">
        <is>
          <t>MAT-32-412</t>
        </is>
      </c>
      <c r="B1763" s="4" t="inlineStr">
        <is>
          <t>Reducción bushing de PVC drenaje 2" x 3/4"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13.83</v>
      </c>
      <c r="N1763" s="8" t="n"/>
      <c r="O1763" s="8" t="n"/>
      <c r="P1763" s="8" t="n"/>
      <c r="Q1763" s="8" t="n"/>
      <c r="R1763" s="8" t="n"/>
      <c r="S1763" s="8" t="n"/>
      <c r="T1763" s="8">
        <f>IF(COUNT(D1763:S1763)=0,"",MIN(D1763:S1763))</f>
        <v/>
      </c>
      <c r="U1763" s="8">
        <f>IF(COUNT(D1763:S1763)=0,"",MEDIAN(D1763:S1763))</f>
        <v/>
      </c>
      <c r="V1763" s="8">
        <f>IF(COUNT(D1763:S1763)=0,"",MAX(D1763:S1763))</f>
        <v/>
      </c>
      <c r="W1763" s="9">
        <f>IF(OR(T1763="",T1763=0),"",(V1763-T1763)/T1763)</f>
        <v/>
      </c>
      <c r="X1763" s="7">
        <f>IF(COUNT(D1763:S1763)=0,"",INDEX($D$1:$S$1,MATCH(MIN(D1763:S1763),D1763:S1763,0)))</f>
        <v/>
      </c>
      <c r="Y1763" s="8" t="n">
        <v>16.32</v>
      </c>
      <c r="Z1763" s="10" t="n">
        <v>1</v>
      </c>
    </row>
    <row r="1764">
      <c r="A1764" s="7" t="inlineStr">
        <is>
          <t>MAT-32-413</t>
        </is>
      </c>
      <c r="B1764" s="4" t="inlineStr">
        <is>
          <t>Reducción bushing de PVC drenaje 3"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>
        <v>33.21</v>
      </c>
      <c r="N1764" s="8" t="n"/>
      <c r="O1764" s="8" t="n"/>
      <c r="P1764" s="8" t="n"/>
      <c r="Q1764" s="8" t="n"/>
      <c r="R1764" s="8" t="n"/>
      <c r="S1764" s="8" t="n"/>
      <c r="T1764" s="8">
        <f>IF(COUNT(D1764:S1764)=0,"",MIN(D1764:S1764))</f>
        <v/>
      </c>
      <c r="U1764" s="8">
        <f>IF(COUNT(D1764:S1764)=0,"",MEDIAN(D1764:S1764))</f>
        <v/>
      </c>
      <c r="V1764" s="8">
        <f>IF(COUNT(D1764:S1764)=0,"",MAX(D1764:S1764))</f>
        <v/>
      </c>
      <c r="W1764" s="9">
        <f>IF(OR(T1764="",T1764=0),"",(V1764-T1764)/T1764)</f>
        <v/>
      </c>
      <c r="X1764" s="7">
        <f>IF(COUNT(D1764:S1764)=0,"",INDEX($D$1:$S$1,MATCH(MIN(D1764:S1764),D1764:S1764,0)))</f>
        <v/>
      </c>
      <c r="Y1764" s="8" t="n">
        <v>39.19</v>
      </c>
      <c r="Z1764" s="10" t="n">
        <v>1</v>
      </c>
    </row>
    <row r="1765">
      <c r="A1765" s="7" t="inlineStr">
        <is>
          <t>MAT-32-414</t>
        </is>
      </c>
      <c r="B1765" s="4" t="inlineStr">
        <is>
          <t>Reducción bushing de PVC drenaje 4"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64.3</v>
      </c>
      <c r="N1765" s="8" t="n"/>
      <c r="O1765" s="8" t="n"/>
      <c r="P1765" s="8" t="n"/>
      <c r="Q1765" s="8" t="n"/>
      <c r="R1765" s="8" t="n"/>
      <c r="S1765" s="8" t="n"/>
      <c r="T1765" s="8">
        <f>IF(COUNT(D1765:S1765)=0,"",MIN(D1765:S1765))</f>
        <v/>
      </c>
      <c r="U1765" s="8">
        <f>IF(COUNT(D1765:S1765)=0,"",MEDIAN(D1765:S1765))</f>
        <v/>
      </c>
      <c r="V1765" s="8">
        <f>IF(COUNT(D1765:S1765)=0,"",MAX(D1765:S1765))</f>
        <v/>
      </c>
      <c r="W1765" s="9">
        <f>IF(OR(T1765="",T1765=0),"",(V1765-T1765)/T1765)</f>
        <v/>
      </c>
      <c r="X1765" s="7">
        <f>IF(COUNT(D1765:S1765)=0,"",INDEX($D$1:$S$1,MATCH(MIN(D1765:S1765),D1765:S1765,0)))</f>
        <v/>
      </c>
      <c r="Y1765" s="8" t="n">
        <v>75.87</v>
      </c>
      <c r="Z1765" s="10" t="n">
        <v>1</v>
      </c>
    </row>
    <row r="1766">
      <c r="A1766" s="7" t="inlineStr">
        <is>
          <t>MAT-32-415</t>
        </is>
      </c>
      <c r="B1766" s="4" t="inlineStr">
        <is>
          <t>Reducción bushing de PVC drenaje 4" x 3"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63.9</v>
      </c>
      <c r="N1766" s="8" t="n"/>
      <c r="O1766" s="8" t="n"/>
      <c r="P1766" s="8" t="n"/>
      <c r="Q1766" s="8" t="n"/>
      <c r="R1766" s="8" t="n"/>
      <c r="S1766" s="8" t="n"/>
      <c r="T1766" s="8">
        <f>IF(COUNT(D1766:S1766)=0,"",MIN(D1766:S1766))</f>
        <v/>
      </c>
      <c r="U1766" s="8">
        <f>IF(COUNT(D1766:S1766)=0,"",MEDIAN(D1766:S1766))</f>
        <v/>
      </c>
      <c r="V1766" s="8">
        <f>IF(COUNT(D1766:S1766)=0,"",MAX(D1766:S1766))</f>
        <v/>
      </c>
      <c r="W1766" s="9">
        <f>IF(OR(T1766="",T1766=0),"",(V1766-T1766)/T1766)</f>
        <v/>
      </c>
      <c r="X1766" s="7">
        <f>IF(COUNT(D1766:S1766)=0,"",INDEX($D$1:$S$1,MATCH(MIN(D1766:S1766),D1766:S1766,0)))</f>
        <v/>
      </c>
      <c r="Y1766" s="8" t="n">
        <v>75.40000000000001</v>
      </c>
      <c r="Z1766" s="10" t="n">
        <v>1</v>
      </c>
    </row>
    <row r="1767">
      <c r="A1767" s="7" t="inlineStr">
        <is>
          <t>MAT-32-416</t>
        </is>
      </c>
      <c r="B1767" s="4" t="inlineStr">
        <is>
          <t>Reducción bushing de PVC drenaje 6" x 4"</t>
        </is>
      </c>
      <c r="C1767" s="7" t="inlineStr">
        <is>
          <t>unidad</t>
        </is>
      </c>
      <c r="D1767" s="8" t="n"/>
      <c r="E1767" s="8" t="n">
        <v>132</v>
      </c>
      <c r="F1767" s="8" t="n"/>
      <c r="G1767" s="8" t="n"/>
      <c r="H1767" s="8" t="n"/>
      <c r="I1767" s="8" t="n"/>
      <c r="J1767" s="8" t="n"/>
      <c r="K1767" s="8" t="n"/>
      <c r="L1767" s="8" t="n"/>
      <c r="M1767" s="8" t="n">
        <v>237.3</v>
      </c>
      <c r="N1767" s="8" t="n"/>
      <c r="O1767" s="8" t="n"/>
      <c r="P1767" s="8" t="n"/>
      <c r="Q1767" s="8" t="n"/>
      <c r="R1767" s="8" t="n"/>
      <c r="S1767" s="8" t="n"/>
      <c r="T1767" s="8">
        <f>IF(COUNT(D1767:S1767)=0,"",MIN(D1767:S1767))</f>
        <v/>
      </c>
      <c r="U1767" s="8">
        <f>IF(COUNT(D1767:S1767)=0,"",MEDIAN(D1767:S1767))</f>
        <v/>
      </c>
      <c r="V1767" s="8">
        <f>IF(COUNT(D1767:S1767)=0,"",MAX(D1767:S1767))</f>
        <v/>
      </c>
      <c r="W1767" s="9">
        <f>IF(OR(T1767="",T1767=0),"",(V1767-T1767)/T1767)</f>
        <v/>
      </c>
      <c r="X1767" s="7">
        <f>IF(COUNT(D1767:S1767)=0,"",INDEX($D$1:$S$1,MATCH(MIN(D1767:S1767),D1767:S1767,0)))</f>
        <v/>
      </c>
      <c r="Y1767" s="8" t="n">
        <v>280.01</v>
      </c>
      <c r="Z1767" s="10" t="n">
        <v>2</v>
      </c>
    </row>
    <row r="1768">
      <c r="A1768" s="7" t="inlineStr">
        <is>
          <t>MAT-32-417</t>
        </is>
      </c>
      <c r="B1768" s="4" t="inlineStr">
        <is>
          <t>Reducción bushing de PVC drenaje 8" x 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>
        <v>2126.7</v>
      </c>
      <c r="N1768" s="8" t="n"/>
      <c r="O1768" s="8" t="n"/>
      <c r="P1768" s="8" t="n"/>
      <c r="Q1768" s="8" t="n"/>
      <c r="R1768" s="8" t="n"/>
      <c r="S1768" s="8" t="n"/>
      <c r="T1768" s="8">
        <f>IF(COUNT(D1768:S1768)=0,"",MIN(D1768:S1768))</f>
        <v/>
      </c>
      <c r="U1768" s="8">
        <f>IF(COUNT(D1768:S1768)=0,"",MEDIAN(D1768:S1768))</f>
        <v/>
      </c>
      <c r="V1768" s="8">
        <f>IF(COUNT(D1768:S1768)=0,"",MAX(D1768:S1768))</f>
        <v/>
      </c>
      <c r="W1768" s="9">
        <f>IF(OR(T1768="",T1768=0),"",(V1768-T1768)/T1768)</f>
        <v/>
      </c>
      <c r="X1768" s="7">
        <f>IF(COUNT(D1768:S1768)=0,"",INDEX($D$1:$S$1,MATCH(MIN(D1768:S1768),D1768:S1768,0)))</f>
        <v/>
      </c>
      <c r="Y1768" s="8" t="n">
        <v>2509.51</v>
      </c>
      <c r="Z1768" s="10" t="n">
        <v>1</v>
      </c>
    </row>
    <row r="1769">
      <c r="A1769" s="7" t="inlineStr">
        <is>
          <t>MAT-32-418</t>
        </is>
      </c>
      <c r="B1769" s="4" t="inlineStr">
        <is>
          <t>Reducción bushing de PVC drenaje 8" x 6"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>
        <v>1626</v>
      </c>
      <c r="N1769" s="8" t="n"/>
      <c r="O1769" s="8" t="n"/>
      <c r="P1769" s="8" t="n"/>
      <c r="Q1769" s="8" t="n"/>
      <c r="R1769" s="8" t="n"/>
      <c r="S1769" s="8" t="n"/>
      <c r="T1769" s="8">
        <f>IF(COUNT(D1769:S1769)=0,"",MIN(D1769:S1769))</f>
        <v/>
      </c>
      <c r="U1769" s="8">
        <f>IF(COUNT(D1769:S1769)=0,"",MEDIAN(D1769:S1769))</f>
        <v/>
      </c>
      <c r="V1769" s="8">
        <f>IF(COUNT(D1769:S1769)=0,"",MAX(D1769:S1769))</f>
        <v/>
      </c>
      <c r="W1769" s="9">
        <f>IF(OR(T1769="",T1769=0),"",(V1769-T1769)/T1769)</f>
        <v/>
      </c>
      <c r="X1769" s="7">
        <f>IF(COUNT(D1769:S1769)=0,"",INDEX($D$1:$S$1,MATCH(MIN(D1769:S1769),D1769:S1769,0)))</f>
        <v/>
      </c>
      <c r="Y1769" s="8" t="n">
        <v>1918.68</v>
      </c>
      <c r="Z1769" s="10" t="n">
        <v>1</v>
      </c>
    </row>
    <row r="1770">
      <c r="A1770" s="7" t="inlineStr">
        <is>
          <t>MAT-32-419</t>
        </is>
      </c>
      <c r="B1770" s="4" t="inlineStr">
        <is>
          <t>Reducción bushing de PVC 1 1/2" x 1"</t>
        </is>
      </c>
      <c r="C1770" s="7" t="inlineStr">
        <is>
          <t>unidad</t>
        </is>
      </c>
      <c r="D1770" s="8" t="n"/>
      <c r="E1770" s="8" t="n"/>
      <c r="F1770" s="8" t="n"/>
      <c r="G1770" s="8" t="n">
        <v>87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>
        <f>IF(COUNT(D1770:S1770)=0,"",MIN(D1770:S1770))</f>
        <v/>
      </c>
      <c r="U1770" s="8">
        <f>IF(COUNT(D1770:S1770)=0,"",MEDIAN(D1770:S1770))</f>
        <v/>
      </c>
      <c r="V1770" s="8">
        <f>IF(COUNT(D1770:S1770)=0,"",MAX(D1770:S1770))</f>
        <v/>
      </c>
      <c r="W1770" s="9">
        <f>IF(OR(T1770="",T1770=0),"",(V1770-T1770)/T1770)</f>
        <v/>
      </c>
      <c r="X1770" s="7">
        <f>IF(COUNT(D1770:S1770)=0,"",INDEX($D$1:$S$1,MATCH(MIN(D1770:S1770),D1770:S1770,0)))</f>
        <v/>
      </c>
      <c r="Y1770" s="8" t="n">
        <v>87</v>
      </c>
      <c r="Z1770" s="10" t="n">
        <v>1</v>
      </c>
    </row>
    <row r="1771">
      <c r="A1771" s="7" t="inlineStr">
        <is>
          <t>MAT-32-420</t>
        </is>
      </c>
      <c r="B1771" s="4" t="inlineStr">
        <is>
          <t>Reducción bushing de PVC 1 1/2" x 3/4"</t>
        </is>
      </c>
      <c r="C1771" s="7" t="inlineStr">
        <is>
          <t>unidad</t>
        </is>
      </c>
      <c r="D1771" s="8" t="n"/>
      <c r="E1771" s="8" t="n">
        <v>30</v>
      </c>
      <c r="F1771" s="8" t="n"/>
      <c r="G1771" s="8" t="n">
        <v>85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>
        <f>IF(COUNT(D1771:S1771)=0,"",MIN(D1771:S1771))</f>
        <v/>
      </c>
      <c r="U1771" s="8">
        <f>IF(COUNT(D1771:S1771)=0,"",MEDIAN(D1771:S1771))</f>
        <v/>
      </c>
      <c r="V1771" s="8">
        <f>IF(COUNT(D1771:S1771)=0,"",MAX(D1771:S1771))</f>
        <v/>
      </c>
      <c r="W1771" s="9">
        <f>IF(OR(T1771="",T1771=0),"",(V1771-T1771)/T1771)</f>
        <v/>
      </c>
      <c r="X1771" s="7">
        <f>IF(COUNT(D1771:S1771)=0,"",INDEX($D$1:$S$1,MATCH(MIN(D1771:S1771),D1771:S1771,0)))</f>
        <v/>
      </c>
      <c r="Y1771" s="8" t="n">
        <v>57.5</v>
      </c>
      <c r="Z1771" s="10" t="n">
        <v>2</v>
      </c>
    </row>
    <row r="1772">
      <c r="A1772" s="7" t="inlineStr">
        <is>
          <t>MAT-32-421</t>
        </is>
      </c>
      <c r="B1772" s="4" t="inlineStr">
        <is>
          <t>Reducción bushing de PVC 1" x 1/2"</t>
        </is>
      </c>
      <c r="C1772" s="7" t="inlineStr">
        <is>
          <t>unidad</t>
        </is>
      </c>
      <c r="D1772" s="8" t="n"/>
      <c r="E1772" s="8" t="n"/>
      <c r="F1772" s="8" t="n"/>
      <c r="G1772" s="8" t="n">
        <v>35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>
        <f>IF(COUNT(D1772:S1772)=0,"",MIN(D1772:S1772))</f>
        <v/>
      </c>
      <c r="U1772" s="8">
        <f>IF(COUNT(D1772:S1772)=0,"",MEDIAN(D1772:S1772))</f>
        <v/>
      </c>
      <c r="V1772" s="8">
        <f>IF(COUNT(D1772:S1772)=0,"",MAX(D1772:S1772))</f>
        <v/>
      </c>
      <c r="W1772" s="9">
        <f>IF(OR(T1772="",T1772=0),"",(V1772-T1772)/T1772)</f>
        <v/>
      </c>
      <c r="X1772" s="7">
        <f>IF(COUNT(D1772:S1772)=0,"",INDEX($D$1:$S$1,MATCH(MIN(D1772:S1772),D1772:S1772,0)))</f>
        <v/>
      </c>
      <c r="Y1772" s="8" t="n">
        <v>35</v>
      </c>
      <c r="Z1772" s="10" t="n">
        <v>1</v>
      </c>
    </row>
    <row r="1773">
      <c r="A1773" s="7" t="inlineStr">
        <is>
          <t>MAT-32-422</t>
        </is>
      </c>
      <c r="B1773" s="4" t="inlineStr">
        <is>
          <t>Reducción bushing de PVC 1" x 3/4"</t>
        </is>
      </c>
      <c r="C1773" s="7" t="inlineStr">
        <is>
          <t>unidad</t>
        </is>
      </c>
      <c r="D1773" s="8" t="n"/>
      <c r="E1773" s="8" t="n">
        <v>12.88</v>
      </c>
      <c r="F1773" s="8" t="n"/>
      <c r="G1773" s="8" t="n">
        <v>26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>
        <f>IF(COUNT(D1773:S1773)=0,"",MIN(D1773:S1773))</f>
        <v/>
      </c>
      <c r="U1773" s="8">
        <f>IF(COUNT(D1773:S1773)=0,"",MEDIAN(D1773:S1773))</f>
        <v/>
      </c>
      <c r="V1773" s="8">
        <f>IF(COUNT(D1773:S1773)=0,"",MAX(D1773:S1773))</f>
        <v/>
      </c>
      <c r="W1773" s="9">
        <f>IF(OR(T1773="",T1773=0),"",(V1773-T1773)/T1773)</f>
        <v/>
      </c>
      <c r="X1773" s="7">
        <f>IF(COUNT(D1773:S1773)=0,"",INDEX($D$1:$S$1,MATCH(MIN(D1773:S1773),D1773:S1773,0)))</f>
        <v/>
      </c>
      <c r="Y1773" s="8" t="n">
        <v>19.44</v>
      </c>
      <c r="Z1773" s="10" t="n">
        <v>2</v>
      </c>
    </row>
    <row r="1774">
      <c r="A1774" s="7" t="inlineStr">
        <is>
          <t>MAT-32-423</t>
        </is>
      </c>
      <c r="B1774" s="4" t="inlineStr">
        <is>
          <t>Reducción bushing de PVC 2" x 1 1/2"</t>
        </is>
      </c>
      <c r="C1774" s="7" t="inlineStr">
        <is>
          <t>unidad</t>
        </is>
      </c>
      <c r="D1774" s="8" t="n"/>
      <c r="E1774" s="8" t="n">
        <v>53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>
        <f>IF(COUNT(D1774:S1774)=0,"",MIN(D1774:S1774))</f>
        <v/>
      </c>
      <c r="U1774" s="8">
        <f>IF(COUNT(D1774:S1774)=0,"",MEDIAN(D1774:S1774))</f>
        <v/>
      </c>
      <c r="V1774" s="8">
        <f>IF(COUNT(D1774:S1774)=0,"",MAX(D1774:S1774))</f>
        <v/>
      </c>
      <c r="W1774" s="9">
        <f>IF(OR(T1774="",T1774=0),"",(V1774-T1774)/T1774)</f>
        <v/>
      </c>
      <c r="X1774" s="7">
        <f>IF(COUNT(D1774:S1774)=0,"",INDEX($D$1:$S$1,MATCH(MIN(D1774:S1774),D1774:S1774,0)))</f>
        <v/>
      </c>
      <c r="Y1774" s="8" t="n">
        <v>59</v>
      </c>
      <c r="Z1774" s="10" t="n">
        <v>2</v>
      </c>
    </row>
    <row r="1775">
      <c r="A1775" s="7" t="inlineStr">
        <is>
          <t>MAT-32-424</t>
        </is>
      </c>
      <c r="B1775" s="4" t="inlineStr">
        <is>
          <t>Reducción bushing de PVC 2" x 1"</t>
        </is>
      </c>
      <c r="C1775" s="7" t="inlineStr">
        <is>
          <t>unidad</t>
        </is>
      </c>
      <c r="D1775" s="8" t="n"/>
      <c r="E1775" s="8" t="n"/>
      <c r="F1775" s="8" t="n"/>
      <c r="G1775" s="8" t="n">
        <v>64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>
        <f>IF(COUNT(D1775:S1775)=0,"",MIN(D1775:S1775))</f>
        <v/>
      </c>
      <c r="U1775" s="8">
        <f>IF(COUNT(D1775:S1775)=0,"",MEDIAN(D1775:S1775))</f>
        <v/>
      </c>
      <c r="V1775" s="8">
        <f>IF(COUNT(D1775:S1775)=0,"",MAX(D1775:S1775))</f>
        <v/>
      </c>
      <c r="W1775" s="9">
        <f>IF(OR(T1775="",T1775=0),"",(V1775-T1775)/T1775)</f>
        <v/>
      </c>
      <c r="X1775" s="7">
        <f>IF(COUNT(D1775:S1775)=0,"",INDEX($D$1:$S$1,MATCH(MIN(D1775:S1775),D1775:S1775,0)))</f>
        <v/>
      </c>
      <c r="Y1775" s="8" t="n">
        <v>64</v>
      </c>
      <c r="Z1775" s="10" t="n">
        <v>1</v>
      </c>
    </row>
    <row r="1776">
      <c r="A1776" s="7" t="inlineStr">
        <is>
          <t>MAT-32-425</t>
        </is>
      </c>
      <c r="B1776" s="4" t="inlineStr">
        <is>
          <t>Reducción bushing de PVC 2" x 3/4"</t>
        </is>
      </c>
      <c r="C1776" s="7" t="inlineStr">
        <is>
          <t>unidad</t>
        </is>
      </c>
      <c r="D1776" s="8" t="n"/>
      <c r="E1776" s="8" t="n"/>
      <c r="F1776" s="8" t="n"/>
      <c r="G1776" s="8" t="n">
        <v>41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>
        <f>IF(COUNT(D1776:S1776)=0,"",MIN(D1776:S1776))</f>
        <v/>
      </c>
      <c r="U1776" s="8">
        <f>IF(COUNT(D1776:S1776)=0,"",MEDIAN(D1776:S1776))</f>
        <v/>
      </c>
      <c r="V1776" s="8">
        <f>IF(COUNT(D1776:S1776)=0,"",MAX(D1776:S1776))</f>
        <v/>
      </c>
      <c r="W1776" s="9">
        <f>IF(OR(T1776="",T1776=0),"",(V1776-T1776)/T1776)</f>
        <v/>
      </c>
      <c r="X1776" s="7">
        <f>IF(COUNT(D1776:S1776)=0,"",INDEX($D$1:$S$1,MATCH(MIN(D1776:S1776),D1776:S1776,0)))</f>
        <v/>
      </c>
      <c r="Y1776" s="8" t="n">
        <v>41</v>
      </c>
      <c r="Z1776" s="10" t="n">
        <v>1</v>
      </c>
    </row>
    <row r="1777">
      <c r="A1777" s="7" t="inlineStr">
        <is>
          <t>MAT-32-426</t>
        </is>
      </c>
      <c r="B1777" s="4" t="inlineStr">
        <is>
          <t>Reducción bushing de PVC 3/4" x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>
        <f>IF(COUNT(D1777:S1777)=0,"",MIN(D1777:S1777))</f>
        <v/>
      </c>
      <c r="U1777" s="8">
        <f>IF(COUNT(D1777:S1777)=0,"",MEDIAN(D1777:S1777))</f>
        <v/>
      </c>
      <c r="V1777" s="8">
        <f>IF(COUNT(D1777:S1777)=0,"",MAX(D1777:S1777))</f>
        <v/>
      </c>
      <c r="W1777" s="9">
        <f>IF(OR(T1777="",T1777=0),"",(V1777-T1777)/T1777)</f>
        <v/>
      </c>
      <c r="X1777" s="7">
        <f>IF(COUNT(D1777:S1777)=0,"",INDEX($D$1:$S$1,MATCH(MIN(D1777:S1777),D1777:S1777,0)))</f>
        <v/>
      </c>
      <c r="Y1777" s="8" t="n">
        <v>20</v>
      </c>
      <c r="Z1777" s="10" t="n">
        <v>1</v>
      </c>
    </row>
    <row r="1778">
      <c r="A1778" s="7" t="inlineStr">
        <is>
          <t>MAT-32-427</t>
        </is>
      </c>
      <c r="B1778" s="4" t="inlineStr">
        <is>
          <t>Reducción bushing de PVC 3"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210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>
        <f>IF(COUNT(D1778:S1778)=0,"",MIN(D1778:S1778))</f>
        <v/>
      </c>
      <c r="U1778" s="8">
        <f>IF(COUNT(D1778:S1778)=0,"",MEDIAN(D1778:S1778))</f>
        <v/>
      </c>
      <c r="V1778" s="8">
        <f>IF(COUNT(D1778:S1778)=0,"",MAX(D1778:S1778))</f>
        <v/>
      </c>
      <c r="W1778" s="9">
        <f>IF(OR(T1778="",T1778=0),"",(V1778-T1778)/T1778)</f>
        <v/>
      </c>
      <c r="X1778" s="7">
        <f>IF(COUNT(D1778:S1778)=0,"",INDEX($D$1:$S$1,MATCH(MIN(D1778:S1778),D1778:S1778,0)))</f>
        <v/>
      </c>
      <c r="Y1778" s="8" t="n">
        <v>210</v>
      </c>
      <c r="Z1778" s="10" t="n">
        <v>1</v>
      </c>
    </row>
    <row r="1779">
      <c r="A1779" s="7" t="inlineStr">
        <is>
          <t>MAT-32-428</t>
        </is>
      </c>
      <c r="B1779" s="4" t="inlineStr">
        <is>
          <t>Reducción bushing de PVC 4"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175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>
        <f>IF(COUNT(D1779:S1779)=0,"",MIN(D1779:S1779))</f>
        <v/>
      </c>
      <c r="U1779" s="8">
        <f>IF(COUNT(D1779:S1779)=0,"",MEDIAN(D1779:S1779))</f>
        <v/>
      </c>
      <c r="V1779" s="8">
        <f>IF(COUNT(D1779:S1779)=0,"",MAX(D1779:S1779))</f>
        <v/>
      </c>
      <c r="W1779" s="9">
        <f>IF(OR(T1779="",T1779=0),"",(V1779-T1779)/T1779)</f>
        <v/>
      </c>
      <c r="X1779" s="7">
        <f>IF(COUNT(D1779:S1779)=0,"",INDEX($D$1:$S$1,MATCH(MIN(D1779:S1779),D1779:S1779,0)))</f>
        <v/>
      </c>
      <c r="Y1779" s="8" t="n">
        <v>175</v>
      </c>
      <c r="Z1779" s="10" t="n">
        <v>1</v>
      </c>
    </row>
    <row r="1780">
      <c r="A1780" s="7" t="inlineStr">
        <is>
          <t>MAT-32-429</t>
        </is>
      </c>
      <c r="B1780" s="4" t="inlineStr">
        <is>
          <t>Reducción bushing de PVC 4" x 3"</t>
        </is>
      </c>
      <c r="C1780" s="7" t="inlineStr">
        <is>
          <t>unidad</t>
        </is>
      </c>
      <c r="D1780" s="8" t="n"/>
      <c r="E1780" s="8" t="n"/>
      <c r="F1780" s="8" t="n"/>
      <c r="G1780" s="8" t="n">
        <v>195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>
        <f>IF(COUNT(D1780:S1780)=0,"",MIN(D1780:S1780))</f>
        <v/>
      </c>
      <c r="U1780" s="8">
        <f>IF(COUNT(D1780:S1780)=0,"",MEDIAN(D1780:S1780))</f>
        <v/>
      </c>
      <c r="V1780" s="8">
        <f>IF(COUNT(D1780:S1780)=0,"",MAX(D1780:S1780))</f>
        <v/>
      </c>
      <c r="W1780" s="9">
        <f>IF(OR(T1780="",T1780=0),"",(V1780-T1780)/T1780)</f>
        <v/>
      </c>
      <c r="X1780" s="7">
        <f>IF(COUNT(D1780:S1780)=0,"",INDEX($D$1:$S$1,MATCH(MIN(D1780:S1780),D1780:S1780,0)))</f>
        <v/>
      </c>
      <c r="Y1780" s="8" t="n">
        <v>195</v>
      </c>
      <c r="Z1780" s="10" t="n">
        <v>1</v>
      </c>
    </row>
    <row r="1781">
      <c r="A1781" s="7" t="inlineStr">
        <is>
          <t>MAT-32-430</t>
        </is>
      </c>
      <c r="B1781" s="4" t="inlineStr">
        <is>
          <t>Reducción bushing de PVC 6" x 3"</t>
        </is>
      </c>
      <c r="C1781" s="7" t="inlineStr">
        <is>
          <t>unidad</t>
        </is>
      </c>
      <c r="D1781" s="8" t="n"/>
      <c r="E1781" s="8" t="n">
        <v>1430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>
        <f>IF(COUNT(D1781:S1781)=0,"",MIN(D1781:S1781))</f>
        <v/>
      </c>
      <c r="U1781" s="8">
        <f>IF(COUNT(D1781:S1781)=0,"",MEDIAN(D1781:S1781))</f>
        <v/>
      </c>
      <c r="V1781" s="8">
        <f>IF(COUNT(D1781:S1781)=0,"",MAX(D1781:S1781))</f>
        <v/>
      </c>
      <c r="W1781" s="9">
        <f>IF(OR(T1781="",T1781=0),"",(V1781-T1781)/T1781)</f>
        <v/>
      </c>
      <c r="X1781" s="7">
        <f>IF(COUNT(D1781:S1781)=0,"",INDEX($D$1:$S$1,MATCH(MIN(D1781:S1781),D1781:S1781,0)))</f>
        <v/>
      </c>
      <c r="Y1781" s="8" t="n">
        <v>1430</v>
      </c>
      <c r="Z1781" s="10" t="n">
        <v>1</v>
      </c>
    </row>
    <row r="1782">
      <c r="A1782" s="7" t="inlineStr">
        <is>
          <t>MAT-32-431</t>
        </is>
      </c>
      <c r="B1782" s="4" t="inlineStr">
        <is>
          <t>Reducción bushing de PVC 6" x 4"</t>
        </is>
      </c>
      <c r="C1782" s="7" t="inlineStr">
        <is>
          <t>unidad</t>
        </is>
      </c>
      <c r="D1782" s="8" t="n"/>
      <c r="E1782" s="8" t="n"/>
      <c r="F1782" s="8" t="n"/>
      <c r="G1782" s="8" t="n">
        <v>702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>
        <f>IF(COUNT(D1782:S1782)=0,"",MIN(D1782:S1782))</f>
        <v/>
      </c>
      <c r="U1782" s="8">
        <f>IF(COUNT(D1782:S1782)=0,"",MEDIAN(D1782:S1782))</f>
        <v/>
      </c>
      <c r="V1782" s="8">
        <f>IF(COUNT(D1782:S1782)=0,"",MAX(D1782:S1782))</f>
        <v/>
      </c>
      <c r="W1782" s="9">
        <f>IF(OR(T1782="",T1782=0),"",(V1782-T1782)/T1782)</f>
        <v/>
      </c>
      <c r="X1782" s="7">
        <f>IF(COUNT(D1782:S1782)=0,"",INDEX($D$1:$S$1,MATCH(MIN(D1782:S1782),D1782:S1782,0)))</f>
        <v/>
      </c>
      <c r="Y1782" s="8" t="n">
        <v>702</v>
      </c>
      <c r="Z1782" s="10" t="n">
        <v>1</v>
      </c>
    </row>
    <row r="1783">
      <c r="A1783" s="7" t="inlineStr">
        <is>
          <t>MAT-32-432</t>
        </is>
      </c>
      <c r="B1783" s="4" t="inlineStr">
        <is>
          <t>Reducción bushing de PVC presión 1 1/2" x 1/2"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>
        <v>22.75</v>
      </c>
      <c r="N1783" s="8" t="n"/>
      <c r="O1783" s="8" t="n"/>
      <c r="P1783" s="8" t="n"/>
      <c r="Q1783" s="8" t="n"/>
      <c r="R1783" s="8" t="n"/>
      <c r="S1783" s="8" t="n"/>
      <c r="T1783" s="8">
        <f>IF(COUNT(D1783:S1783)=0,"",MIN(D1783:S1783))</f>
        <v/>
      </c>
      <c r="U1783" s="8">
        <f>IF(COUNT(D1783:S1783)=0,"",MEDIAN(D1783:S1783))</f>
        <v/>
      </c>
      <c r="V1783" s="8">
        <f>IF(COUNT(D1783:S1783)=0,"",MAX(D1783:S1783))</f>
        <v/>
      </c>
      <c r="W1783" s="9">
        <f>IF(OR(T1783="",T1783=0),"",(V1783-T1783)/T1783)</f>
        <v/>
      </c>
      <c r="X1783" s="7">
        <f>IF(COUNT(D1783:S1783)=0,"",INDEX($D$1:$S$1,MATCH(MIN(D1783:S1783),D1783:S1783,0)))</f>
        <v/>
      </c>
      <c r="Y1783" s="8" t="n">
        <v>26.85</v>
      </c>
      <c r="Z1783" s="10" t="n">
        <v>1</v>
      </c>
    </row>
    <row r="1784">
      <c r="A1784" s="7" t="inlineStr">
        <is>
          <t>MAT-32-433</t>
        </is>
      </c>
      <c r="B1784" s="4" t="inlineStr">
        <is>
          <t>Reducción bushing de PVC presión 1 1/2"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22.38</v>
      </c>
      <c r="N1784" s="8" t="n"/>
      <c r="O1784" s="8" t="n"/>
      <c r="P1784" s="8" t="n"/>
      <c r="Q1784" s="8" t="n"/>
      <c r="R1784" s="8" t="n"/>
      <c r="S1784" s="8" t="n"/>
      <c r="T1784" s="8">
        <f>IF(COUNT(D1784:S1784)=0,"",MIN(D1784:S1784))</f>
        <v/>
      </c>
      <c r="U1784" s="8">
        <f>IF(COUNT(D1784:S1784)=0,"",MEDIAN(D1784:S1784))</f>
        <v/>
      </c>
      <c r="V1784" s="8">
        <f>IF(COUNT(D1784:S1784)=0,"",MAX(D1784:S1784))</f>
        <v/>
      </c>
      <c r="W1784" s="9">
        <f>IF(OR(T1784="",T1784=0),"",(V1784-T1784)/T1784)</f>
        <v/>
      </c>
      <c r="X1784" s="7">
        <f>IF(COUNT(D1784:S1784)=0,"",INDEX($D$1:$S$1,MATCH(MIN(D1784:S1784),D1784:S1784,0)))</f>
        <v/>
      </c>
      <c r="Y1784" s="8" t="n">
        <v>26.41</v>
      </c>
      <c r="Z1784" s="10" t="n">
        <v>1</v>
      </c>
    </row>
    <row r="1785">
      <c r="A1785" s="7" t="inlineStr">
        <is>
          <t>MAT-32-434</t>
        </is>
      </c>
      <c r="B1785" s="4" t="inlineStr">
        <is>
          <t>Reducción bushing de PVC presión 1 1/2" x 3/4"</t>
        </is>
      </c>
      <c r="C1785" s="7" t="inlineStr">
        <is>
          <t>unidad</t>
        </is>
      </c>
      <c r="D1785" s="8" t="n"/>
      <c r="E1785" s="8" t="n">
        <v>10.48</v>
      </c>
      <c r="F1785" s="8" t="n"/>
      <c r="G1785" s="8" t="n"/>
      <c r="H1785" s="8" t="n"/>
      <c r="I1785" s="8" t="n"/>
      <c r="J1785" s="8" t="n"/>
      <c r="K1785" s="8" t="n"/>
      <c r="L1785" s="8" t="n"/>
      <c r="M1785" s="8" t="n">
        <v>18.1</v>
      </c>
      <c r="N1785" s="8" t="n"/>
      <c r="O1785" s="8" t="n"/>
      <c r="P1785" s="8" t="n"/>
      <c r="Q1785" s="8" t="n"/>
      <c r="R1785" s="8" t="n"/>
      <c r="S1785" s="8" t="n"/>
      <c r="T1785" s="8">
        <f>IF(COUNT(D1785:S1785)=0,"",MIN(D1785:S1785))</f>
        <v/>
      </c>
      <c r="U1785" s="8">
        <f>IF(COUNT(D1785:S1785)=0,"",MEDIAN(D1785:S1785))</f>
        <v/>
      </c>
      <c r="V1785" s="8">
        <f>IF(COUNT(D1785:S1785)=0,"",MAX(D1785:S1785))</f>
        <v/>
      </c>
      <c r="W1785" s="9">
        <f>IF(OR(T1785="",T1785=0),"",(V1785-T1785)/T1785)</f>
        <v/>
      </c>
      <c r="X1785" s="7">
        <f>IF(COUNT(D1785:S1785)=0,"",INDEX($D$1:$S$1,MATCH(MIN(D1785:S1785),D1785:S1785,0)))</f>
        <v/>
      </c>
      <c r="Y1785" s="8" t="n">
        <v>21.36</v>
      </c>
      <c r="Z1785" s="10" t="n">
        <v>2</v>
      </c>
    </row>
    <row r="1786">
      <c r="A1786" s="7" t="inlineStr">
        <is>
          <t>MAT-32-435</t>
        </is>
      </c>
      <c r="B1786" s="4" t="inlineStr">
        <is>
          <t>Reducción bushing de PVC presión 12" x 8"</t>
        </is>
      </c>
      <c r="C1786" s="7" t="inlineStr">
        <is>
          <t>unidad</t>
        </is>
      </c>
      <c r="D1786" s="8" t="n"/>
      <c r="E1786" s="8" t="n">
        <v>15891.21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>
        <f>IF(COUNT(D1786:S1786)=0,"",MIN(D1786:S1786))</f>
        <v/>
      </c>
      <c r="U1786" s="8">
        <f>IF(COUNT(D1786:S1786)=0,"",MEDIAN(D1786:S1786))</f>
        <v/>
      </c>
      <c r="V1786" s="8">
        <f>IF(COUNT(D1786:S1786)=0,"",MAX(D1786:S1786))</f>
        <v/>
      </c>
      <c r="W1786" s="9">
        <f>IF(OR(T1786="",T1786=0),"",(V1786-T1786)/T1786)</f>
        <v/>
      </c>
      <c r="X1786" s="7">
        <f>IF(COUNT(D1786:S1786)=0,"",INDEX($D$1:$S$1,MATCH(MIN(D1786:S1786),D1786:S1786,0)))</f>
        <v/>
      </c>
      <c r="Y1786" s="8" t="n">
        <v>15891.21</v>
      </c>
      <c r="Z1786" s="10" t="n">
        <v>1</v>
      </c>
    </row>
    <row r="1787">
      <c r="A1787" s="7" t="inlineStr">
        <is>
          <t>MAT-32-436</t>
        </is>
      </c>
      <c r="B1787" s="4" t="inlineStr">
        <is>
          <t>Reducción bushing de PVC presión 1"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8.949999999999999</v>
      </c>
      <c r="N1787" s="8" t="n"/>
      <c r="O1787" s="8" t="n"/>
      <c r="P1787" s="8" t="n"/>
      <c r="Q1787" s="8" t="n"/>
      <c r="R1787" s="8" t="n"/>
      <c r="S1787" s="8" t="n"/>
      <c r="T1787" s="8">
        <f>IF(COUNT(D1787:S1787)=0,"",MIN(D1787:S1787))</f>
        <v/>
      </c>
      <c r="U1787" s="8">
        <f>IF(COUNT(D1787:S1787)=0,"",MEDIAN(D1787:S1787))</f>
        <v/>
      </c>
      <c r="V1787" s="8">
        <f>IF(COUNT(D1787:S1787)=0,"",MAX(D1787:S1787))</f>
        <v/>
      </c>
      <c r="W1787" s="9">
        <f>IF(OR(T1787="",T1787=0),"",(V1787-T1787)/T1787)</f>
        <v/>
      </c>
      <c r="X1787" s="7">
        <f>IF(COUNT(D1787:S1787)=0,"",INDEX($D$1:$S$1,MATCH(MIN(D1787:S1787),D1787:S1787,0)))</f>
        <v/>
      </c>
      <c r="Y1787" s="8" t="n">
        <v>10.56</v>
      </c>
      <c r="Z1787" s="10" t="n">
        <v>1</v>
      </c>
    </row>
    <row r="1788">
      <c r="A1788" s="7" t="inlineStr">
        <is>
          <t>MAT-32-437</t>
        </is>
      </c>
      <c r="B1788" s="4" t="inlineStr">
        <is>
          <t>Reducción bushing de PVC presión 1" x 3/4"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7.03</v>
      </c>
      <c r="N1788" s="8" t="n"/>
      <c r="O1788" s="8" t="n"/>
      <c r="P1788" s="8" t="n"/>
      <c r="Q1788" s="8" t="n"/>
      <c r="R1788" s="8" t="n"/>
      <c r="S1788" s="8" t="n"/>
      <c r="T1788" s="8">
        <f>IF(COUNT(D1788:S1788)=0,"",MIN(D1788:S1788))</f>
        <v/>
      </c>
      <c r="U1788" s="8">
        <f>IF(COUNT(D1788:S1788)=0,"",MEDIAN(D1788:S1788))</f>
        <v/>
      </c>
      <c r="V1788" s="8">
        <f>IF(COUNT(D1788:S1788)=0,"",MAX(D1788:S1788))</f>
        <v/>
      </c>
      <c r="W1788" s="9">
        <f>IF(OR(T1788="",T1788=0),"",(V1788-T1788)/T1788)</f>
        <v/>
      </c>
      <c r="X1788" s="7">
        <f>IF(COUNT(D1788:S1788)=0,"",INDEX($D$1:$S$1,MATCH(MIN(D1788:S1788),D1788:S1788,0)))</f>
        <v/>
      </c>
      <c r="Y1788" s="8" t="n">
        <v>8.300000000000001</v>
      </c>
      <c r="Z1788" s="10" t="n">
        <v>1</v>
      </c>
    </row>
    <row r="1789">
      <c r="A1789" s="7" t="inlineStr">
        <is>
          <t>MAT-32-438</t>
        </is>
      </c>
      <c r="B1789" s="4" t="inlineStr">
        <is>
          <t>Reducción bushing de PVC presión 2" x 1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19.43</v>
      </c>
      <c r="N1789" s="8" t="n"/>
      <c r="O1789" s="8" t="n"/>
      <c r="P1789" s="8" t="n"/>
      <c r="Q1789" s="8" t="n"/>
      <c r="R1789" s="8" t="n"/>
      <c r="S1789" s="8" t="n"/>
      <c r="T1789" s="8">
        <f>IF(COUNT(D1789:S1789)=0,"",MIN(D1789:S1789))</f>
        <v/>
      </c>
      <c r="U1789" s="8">
        <f>IF(COUNT(D1789:S1789)=0,"",MEDIAN(D1789:S1789))</f>
        <v/>
      </c>
      <c r="V1789" s="8">
        <f>IF(COUNT(D1789:S1789)=0,"",MAX(D1789:S1789))</f>
        <v/>
      </c>
      <c r="W1789" s="9">
        <f>IF(OR(T1789="",T1789=0),"",(V1789-T1789)/T1789)</f>
        <v/>
      </c>
      <c r="X1789" s="7">
        <f>IF(COUNT(D1789:S1789)=0,"",INDEX($D$1:$S$1,MATCH(MIN(D1789:S1789),D1789:S1789,0)))</f>
        <v/>
      </c>
      <c r="Y1789" s="8" t="n">
        <v>22.93</v>
      </c>
      <c r="Z1789" s="10" t="n">
        <v>1</v>
      </c>
    </row>
    <row r="1790">
      <c r="A1790" s="7" t="inlineStr">
        <is>
          <t>MAT-32-439</t>
        </is>
      </c>
      <c r="B1790" s="4" t="inlineStr">
        <is>
          <t>Reducción bushing de PVC presión 2"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26.14</v>
      </c>
      <c r="N1790" s="8" t="n"/>
      <c r="O1790" s="8" t="n"/>
      <c r="P1790" s="8" t="n"/>
      <c r="Q1790" s="8" t="n"/>
      <c r="R1790" s="8" t="n"/>
      <c r="S1790" s="8" t="n"/>
      <c r="T1790" s="8">
        <f>IF(COUNT(D1790:S1790)=0,"",MIN(D1790:S1790))</f>
        <v/>
      </c>
      <c r="U1790" s="8">
        <f>IF(COUNT(D1790:S1790)=0,"",MEDIAN(D1790:S1790))</f>
        <v/>
      </c>
      <c r="V1790" s="8">
        <f>IF(COUNT(D1790:S1790)=0,"",MAX(D1790:S1790))</f>
        <v/>
      </c>
      <c r="W1790" s="9">
        <f>IF(OR(T1790="",T1790=0),"",(V1790-T1790)/T1790)</f>
        <v/>
      </c>
      <c r="X1790" s="7">
        <f>IF(COUNT(D1790:S1790)=0,"",INDEX($D$1:$S$1,MATCH(MIN(D1790:S1790),D1790:S1790,0)))</f>
        <v/>
      </c>
      <c r="Y1790" s="8" t="n">
        <v>30.85</v>
      </c>
      <c r="Z1790" s="10" t="n">
        <v>1</v>
      </c>
    </row>
    <row r="1791">
      <c r="A1791" s="7" t="inlineStr">
        <is>
          <t>MAT-32-440</t>
        </is>
      </c>
      <c r="B1791" s="4" t="inlineStr">
        <is>
          <t>Reducción bushing de PVC presión 2" x 1"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>
        <v>28.15</v>
      </c>
      <c r="N1791" s="8" t="n"/>
      <c r="O1791" s="8" t="n"/>
      <c r="P1791" s="8" t="n"/>
      <c r="Q1791" s="8" t="n"/>
      <c r="R1791" s="8" t="n"/>
      <c r="S1791" s="8" t="n"/>
      <c r="T1791" s="8">
        <f>IF(COUNT(D1791:S1791)=0,"",MIN(D1791:S1791))</f>
        <v/>
      </c>
      <c r="U1791" s="8">
        <f>IF(COUNT(D1791:S1791)=0,"",MEDIAN(D1791:S1791))</f>
        <v/>
      </c>
      <c r="V1791" s="8">
        <f>IF(COUNT(D1791:S1791)=0,"",MAX(D1791:S1791))</f>
        <v/>
      </c>
      <c r="W1791" s="9">
        <f>IF(OR(T1791="",T1791=0),"",(V1791-T1791)/T1791)</f>
        <v/>
      </c>
      <c r="X1791" s="7">
        <f>IF(COUNT(D1791:S1791)=0,"",INDEX($D$1:$S$1,MATCH(MIN(D1791:S1791),D1791:S1791,0)))</f>
        <v/>
      </c>
      <c r="Y1791" s="8" t="n">
        <v>33.22</v>
      </c>
      <c r="Z1791" s="10" t="n">
        <v>1</v>
      </c>
    </row>
    <row r="1792">
      <c r="A1792" s="7" t="inlineStr">
        <is>
          <t>MAT-32-441</t>
        </is>
      </c>
      <c r="B1792" s="4" t="inlineStr">
        <is>
          <t>Reducción bushing de PVC presión 2" x 3/4"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>
        <v>34.19</v>
      </c>
      <c r="N1792" s="8" t="n"/>
      <c r="O1792" s="8" t="n"/>
      <c r="P1792" s="8" t="n"/>
      <c r="Q1792" s="8" t="n"/>
      <c r="R1792" s="8" t="n"/>
      <c r="S1792" s="8" t="n"/>
      <c r="T1792" s="8">
        <f>IF(COUNT(D1792:S1792)=0,"",MIN(D1792:S1792))</f>
        <v/>
      </c>
      <c r="U1792" s="8">
        <f>IF(COUNT(D1792:S1792)=0,"",MEDIAN(D1792:S1792))</f>
        <v/>
      </c>
      <c r="V1792" s="8">
        <f>IF(COUNT(D1792:S1792)=0,"",MAX(D1792:S1792))</f>
        <v/>
      </c>
      <c r="W1792" s="9">
        <f>IF(OR(T1792="",T1792=0),"",(V1792-T1792)/T1792)</f>
        <v/>
      </c>
      <c r="X1792" s="7">
        <f>IF(COUNT(D1792:S1792)=0,"",INDEX($D$1:$S$1,MATCH(MIN(D1792:S1792),D1792:S1792,0)))</f>
        <v/>
      </c>
      <c r="Y1792" s="8" t="n">
        <v>40.34</v>
      </c>
      <c r="Z1792" s="10" t="n">
        <v>1</v>
      </c>
    </row>
    <row r="1793">
      <c r="A1793" s="7" t="inlineStr">
        <is>
          <t>MAT-32-442</t>
        </is>
      </c>
      <c r="B1793" s="4" t="inlineStr">
        <is>
          <t>Reducción bushing de PVC presión 3/4"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>
        <v>4.2</v>
      </c>
      <c r="N1793" s="8" t="n"/>
      <c r="O1793" s="8" t="n"/>
      <c r="P1793" s="8" t="n"/>
      <c r="Q1793" s="8" t="n"/>
      <c r="R1793" s="8" t="n"/>
      <c r="S1793" s="8" t="n"/>
      <c r="T1793" s="8">
        <f>IF(COUNT(D1793:S1793)=0,"",MIN(D1793:S1793))</f>
        <v/>
      </c>
      <c r="U1793" s="8">
        <f>IF(COUNT(D1793:S1793)=0,"",MEDIAN(D1793:S1793))</f>
        <v/>
      </c>
      <c r="V1793" s="8">
        <f>IF(COUNT(D1793:S1793)=0,"",MAX(D1793:S1793))</f>
        <v/>
      </c>
      <c r="W1793" s="9">
        <f>IF(OR(T1793="",T1793=0),"",(V1793-T1793)/T1793)</f>
        <v/>
      </c>
      <c r="X1793" s="7">
        <f>IF(COUNT(D1793:S1793)=0,"",INDEX($D$1:$S$1,MATCH(MIN(D1793:S1793),D1793:S1793,0)))</f>
        <v/>
      </c>
      <c r="Y1793" s="8" t="n">
        <v>4.96</v>
      </c>
      <c r="Z1793" s="10" t="n">
        <v>1</v>
      </c>
    </row>
    <row r="1794">
      <c r="A1794" s="7" t="inlineStr">
        <is>
          <t>MAT-32-443</t>
        </is>
      </c>
      <c r="B1794" s="4" t="inlineStr">
        <is>
          <t>Reducción bushing de PVC presión 3" x 1 1/2"</t>
        </is>
      </c>
      <c r="C1794" s="7" t="inlineStr">
        <is>
          <t>unidad</t>
        </is>
      </c>
      <c r="D1794" s="8" t="n"/>
      <c r="E1794" s="8" t="n">
        <v>61.64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>
        <f>IF(COUNT(D1794:S1794)=0,"",MIN(D1794:S1794))</f>
        <v/>
      </c>
      <c r="U1794" s="8">
        <f>IF(COUNT(D1794:S1794)=0,"",MEDIAN(D1794:S1794))</f>
        <v/>
      </c>
      <c r="V1794" s="8">
        <f>IF(COUNT(D1794:S1794)=0,"",MAX(D1794:S1794))</f>
        <v/>
      </c>
      <c r="W1794" s="9">
        <f>IF(OR(T1794="",T1794=0),"",(V1794-T1794)/T1794)</f>
        <v/>
      </c>
      <c r="X1794" s="7">
        <f>IF(COUNT(D1794:S1794)=0,"",INDEX($D$1:$S$1,MATCH(MIN(D1794:S1794),D1794:S1794,0)))</f>
        <v/>
      </c>
      <c r="Y1794" s="8" t="n">
        <v>205.82</v>
      </c>
      <c r="Z1794" s="10" t="n">
        <v>1</v>
      </c>
    </row>
    <row r="1795">
      <c r="A1795" s="7" t="inlineStr">
        <is>
          <t>MAT-32-444</t>
        </is>
      </c>
      <c r="B1795" s="4" t="inlineStr">
        <is>
          <t>Reducción bushing de PVC presión 3" x 1"</t>
        </is>
      </c>
      <c r="C1795" s="7" t="inlineStr">
        <is>
          <t>unidad</t>
        </is>
      </c>
      <c r="D1795" s="8" t="n"/>
      <c r="E1795" s="8" t="n">
        <v>350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>
        <f>IF(COUNT(D1795:S1795)=0,"",MIN(D1795:S1795))</f>
        <v/>
      </c>
      <c r="U1795" s="8">
        <f>IF(COUNT(D1795:S1795)=0,"",MEDIAN(D1795:S1795))</f>
        <v/>
      </c>
      <c r="V1795" s="8">
        <f>IF(COUNT(D1795:S1795)=0,"",MAX(D1795:S1795))</f>
        <v/>
      </c>
      <c r="W1795" s="9">
        <f>IF(OR(T1795="",T1795=0),"",(V1795-T1795)/T1795)</f>
        <v/>
      </c>
      <c r="X1795" s="7">
        <f>IF(COUNT(D1795:S1795)=0,"",INDEX($D$1:$S$1,MATCH(MIN(D1795:S1795),D1795:S1795,0)))</f>
        <v/>
      </c>
      <c r="Y1795" s="8" t="n">
        <v>350</v>
      </c>
      <c r="Z1795" s="10" t="n">
        <v>1</v>
      </c>
    </row>
    <row r="1796">
      <c r="A1796" s="7" t="inlineStr">
        <is>
          <t>MAT-32-445</t>
        </is>
      </c>
      <c r="B1796" s="4" t="inlineStr">
        <is>
          <t>Reducción bushing de PVC presión 4" x 2"</t>
        </is>
      </c>
      <c r="C1796" s="7" t="inlineStr">
        <is>
          <t>unidad</t>
        </is>
      </c>
      <c r="D1796" s="8" t="n"/>
      <c r="E1796" s="8" t="n">
        <v>195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>
        <f>IF(COUNT(D1796:S1796)=0,"",MIN(D1796:S1796))</f>
        <v/>
      </c>
      <c r="U1796" s="8">
        <f>IF(COUNT(D1796:S1796)=0,"",MEDIAN(D1796:S1796))</f>
        <v/>
      </c>
      <c r="V1796" s="8">
        <f>IF(COUNT(D1796:S1796)=0,"",MAX(D1796:S1796))</f>
        <v/>
      </c>
      <c r="W1796" s="9">
        <f>IF(OR(T1796="",T1796=0),"",(V1796-T1796)/T1796)</f>
        <v/>
      </c>
      <c r="X1796" s="7">
        <f>IF(COUNT(D1796:S1796)=0,"",INDEX($D$1:$S$1,MATCH(MIN(D1796:S1796),D1796:S1796,0)))</f>
        <v/>
      </c>
      <c r="Y1796" s="8" t="n">
        <v>195</v>
      </c>
      <c r="Z1796" s="10" t="n">
        <v>1</v>
      </c>
    </row>
    <row r="1797">
      <c r="A1797" s="7" t="inlineStr">
        <is>
          <t>MAT-32-446</t>
        </is>
      </c>
      <c r="B1797" s="4" t="inlineStr">
        <is>
          <t>Reducción bushing de PVC presión 6" x 4"</t>
        </is>
      </c>
      <c r="C1797" s="7" t="inlineStr">
        <is>
          <t>unidad</t>
        </is>
      </c>
      <c r="D1797" s="8" t="n"/>
      <c r="E1797" s="8" t="n">
        <v>136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>
        <f>IF(COUNT(D1797:S1797)=0,"",MIN(D1797:S1797))</f>
        <v/>
      </c>
      <c r="U1797" s="8">
        <f>IF(COUNT(D1797:S1797)=0,"",MEDIAN(D1797:S1797))</f>
        <v/>
      </c>
      <c r="V1797" s="8">
        <f>IF(COUNT(D1797:S1797)=0,"",MAX(D1797:S1797))</f>
        <v/>
      </c>
      <c r="W1797" s="9">
        <f>IF(OR(T1797="",T1797=0),"",(V1797-T1797)/T1797)</f>
        <v/>
      </c>
      <c r="X1797" s="7">
        <f>IF(COUNT(D1797:S1797)=0,"",INDEX($D$1:$S$1,MATCH(MIN(D1797:S1797),D1797:S1797,0)))</f>
        <v/>
      </c>
      <c r="Y1797" s="8" t="n">
        <v>435.5</v>
      </c>
      <c r="Z1797" s="10" t="n">
        <v>1</v>
      </c>
    </row>
    <row r="1798">
      <c r="A1798" s="7" t="inlineStr">
        <is>
          <t>MAT-32-447</t>
        </is>
      </c>
      <c r="B1798" s="4" t="inlineStr">
        <is>
          <t>Reducción bushing de PVC presión 8" x 6"</t>
        </is>
      </c>
      <c r="C1798" s="7" t="inlineStr">
        <is>
          <t>unidad</t>
        </is>
      </c>
      <c r="D1798" s="8" t="n"/>
      <c r="E1798" s="8" t="n">
        <v>3880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>
        <f>IF(COUNT(D1798:S1798)=0,"",MIN(D1798:S1798))</f>
        <v/>
      </c>
      <c r="U1798" s="8">
        <f>IF(COUNT(D1798:S1798)=0,"",MEDIAN(D1798:S1798))</f>
        <v/>
      </c>
      <c r="V1798" s="8">
        <f>IF(COUNT(D1798:S1798)=0,"",MAX(D1798:S1798))</f>
        <v/>
      </c>
      <c r="W1798" s="9">
        <f>IF(OR(T1798="",T1798=0),"",(V1798-T1798)/T1798)</f>
        <v/>
      </c>
      <c r="X1798" s="7">
        <f>IF(COUNT(D1798:S1798)=0,"",INDEX($D$1:$S$1,MATCH(MIN(D1798:S1798),D1798:S1798,0)))</f>
        <v/>
      </c>
      <c r="Y1798" s="8" t="n">
        <v>3880</v>
      </c>
      <c r="Z1798" s="10" t="n">
        <v>1</v>
      </c>
    </row>
    <row r="1799">
      <c r="A1799" s="7" t="inlineStr">
        <is>
          <t>MAT-32-448</t>
        </is>
      </c>
      <c r="B1799" s="4" t="inlineStr">
        <is>
          <t>Reducción de cobre 1 3/8" x 5/8"</t>
        </is>
      </c>
      <c r="C1799" s="7" t="inlineStr">
        <is>
          <t>unidad</t>
        </is>
      </c>
      <c r="D1799" s="8" t="n"/>
      <c r="E1799" s="8" t="n">
        <v>121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>
        <f>IF(COUNT(D1799:S1799)=0,"",MIN(D1799:S1799))</f>
        <v/>
      </c>
      <c r="U1799" s="8">
        <f>IF(COUNT(D1799:S1799)=0,"",MEDIAN(D1799:S1799))</f>
        <v/>
      </c>
      <c r="V1799" s="8">
        <f>IF(COUNT(D1799:S1799)=0,"",MAX(D1799:S1799))</f>
        <v/>
      </c>
      <c r="W1799" s="9">
        <f>IF(OR(T1799="",T1799=0),"",(V1799-T1799)/T1799)</f>
        <v/>
      </c>
      <c r="X1799" s="7">
        <f>IF(COUNT(D1799:S1799)=0,"",INDEX($D$1:$S$1,MATCH(MIN(D1799:S1799),D1799:S1799,0)))</f>
        <v/>
      </c>
      <c r="Y1799" s="8" t="n">
        <v>121</v>
      </c>
      <c r="Z1799" s="10" t="n">
        <v>1</v>
      </c>
    </row>
    <row r="1800">
      <c r="A1800" s="7" t="inlineStr">
        <is>
          <t>MAT-32-449</t>
        </is>
      </c>
      <c r="B1800" s="4" t="inlineStr">
        <is>
          <t>Reducción de cobre 1 5/8" x 1 1/8"</t>
        </is>
      </c>
      <c r="C1800" s="7" t="inlineStr">
        <is>
          <t>unidad</t>
        </is>
      </c>
      <c r="D1800" s="8" t="n"/>
      <c r="E1800" s="8" t="n">
        <v>159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>
        <f>IF(COUNT(D1800:S1800)=0,"",MIN(D1800:S1800))</f>
        <v/>
      </c>
      <c r="U1800" s="8">
        <f>IF(COUNT(D1800:S1800)=0,"",MEDIAN(D1800:S1800))</f>
        <v/>
      </c>
      <c r="V1800" s="8">
        <f>IF(COUNT(D1800:S1800)=0,"",MAX(D1800:S1800))</f>
        <v/>
      </c>
      <c r="W1800" s="9">
        <f>IF(OR(T1800="",T1800=0),"",(V1800-T1800)/T1800)</f>
        <v/>
      </c>
      <c r="X1800" s="7">
        <f>IF(COUNT(D1800:S1800)=0,"",INDEX($D$1:$S$1,MATCH(MIN(D1800:S1800),D1800:S1800,0)))</f>
        <v/>
      </c>
      <c r="Y1800" s="8" t="n">
        <v>159</v>
      </c>
      <c r="Z1800" s="10" t="n">
        <v>1</v>
      </c>
    </row>
    <row r="1801">
      <c r="A1801" s="7" t="inlineStr">
        <is>
          <t>MAT-32-450</t>
        </is>
      </c>
      <c r="B1801" s="4" t="inlineStr">
        <is>
          <t>Reducción de cobre 7/8" x 5/8"</t>
        </is>
      </c>
      <c r="C1801" s="7" t="inlineStr">
        <is>
          <t>unidad</t>
        </is>
      </c>
      <c r="D1801" s="8" t="n"/>
      <c r="E1801" s="8" t="n">
        <v>48.07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>
        <f>IF(COUNT(D1801:S1801)=0,"",MIN(D1801:S1801))</f>
        <v/>
      </c>
      <c r="U1801" s="8">
        <f>IF(COUNT(D1801:S1801)=0,"",MEDIAN(D1801:S1801))</f>
        <v/>
      </c>
      <c r="V1801" s="8">
        <f>IF(COUNT(D1801:S1801)=0,"",MAX(D1801:S1801))</f>
        <v/>
      </c>
      <c r="W1801" s="9">
        <f>IF(OR(T1801="",T1801=0),"",(V1801-T1801)/T1801)</f>
        <v/>
      </c>
      <c r="X1801" s="7">
        <f>IF(COUNT(D1801:S1801)=0,"",INDEX($D$1:$S$1,MATCH(MIN(D1801:S1801),D1801:S1801,0)))</f>
        <v/>
      </c>
      <c r="Y1801" s="8" t="n">
        <v>48.07</v>
      </c>
      <c r="Z1801" s="10" t="n">
        <v>1</v>
      </c>
    </row>
    <row r="1802">
      <c r="A1802" s="7" t="inlineStr">
        <is>
          <t>MAT-32-451</t>
        </is>
      </c>
      <c r="B1802" s="4" t="inlineStr">
        <is>
          <t>Reducción de HG 1 1/2" x 1 1/4"</t>
        </is>
      </c>
      <c r="C1802" s="7" t="inlineStr">
        <is>
          <t>unidad</t>
        </is>
      </c>
      <c r="D1802" s="8" t="n"/>
      <c r="E1802" s="8" t="n">
        <v>120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>
        <f>IF(COUNT(D1802:S1802)=0,"",MIN(D1802:S1802))</f>
        <v/>
      </c>
      <c r="U1802" s="8">
        <f>IF(COUNT(D1802:S1802)=0,"",MEDIAN(D1802:S1802))</f>
        <v/>
      </c>
      <c r="V1802" s="8">
        <f>IF(COUNT(D1802:S1802)=0,"",MAX(D1802:S1802))</f>
        <v/>
      </c>
      <c r="W1802" s="9">
        <f>IF(OR(T1802="",T1802=0),"",(V1802-T1802)/T1802)</f>
        <v/>
      </c>
      <c r="X1802" s="7">
        <f>IF(COUNT(D1802:S1802)=0,"",INDEX($D$1:$S$1,MATCH(MIN(D1802:S1802),D1802:S1802,0)))</f>
        <v/>
      </c>
      <c r="Y1802" s="8" t="n">
        <v>120</v>
      </c>
      <c r="Z1802" s="10" t="n">
        <v>1</v>
      </c>
    </row>
    <row r="1803">
      <c r="A1803" s="7" t="inlineStr">
        <is>
          <t>MAT-32-452</t>
        </is>
      </c>
      <c r="B1803" s="4" t="inlineStr">
        <is>
          <t>Reducción de HG 1 1/2" x 1/2"</t>
        </is>
      </c>
      <c r="C1803" s="7" t="inlineStr">
        <is>
          <t>unidad</t>
        </is>
      </c>
      <c r="D1803" s="8" t="n"/>
      <c r="E1803" s="8" t="n">
        <v>83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>
        <f>IF(COUNT(D1803:S1803)=0,"",MIN(D1803:S1803))</f>
        <v/>
      </c>
      <c r="U1803" s="8">
        <f>IF(COUNT(D1803:S1803)=0,"",MEDIAN(D1803:S1803))</f>
        <v/>
      </c>
      <c r="V1803" s="8">
        <f>IF(COUNT(D1803:S1803)=0,"",MAX(D1803:S1803))</f>
        <v/>
      </c>
      <c r="W1803" s="9">
        <f>IF(OR(T1803="",T1803=0),"",(V1803-T1803)/T1803)</f>
        <v/>
      </c>
      <c r="X1803" s="7">
        <f>IF(COUNT(D1803:S1803)=0,"",INDEX($D$1:$S$1,MATCH(MIN(D1803:S1803),D1803:S1803,0)))</f>
        <v/>
      </c>
      <c r="Y1803" s="8" t="n">
        <v>83</v>
      </c>
      <c r="Z1803" s="10" t="n">
        <v>1</v>
      </c>
    </row>
    <row r="1804">
      <c r="A1804" s="7" t="inlineStr">
        <is>
          <t>MAT-32-453</t>
        </is>
      </c>
      <c r="B1804" s="4" t="inlineStr">
        <is>
          <t>Reducción de HG 1 1/2" x 1"</t>
        </is>
      </c>
      <c r="C1804" s="7" t="inlineStr">
        <is>
          <t>unidad</t>
        </is>
      </c>
      <c r="D1804" s="8" t="n"/>
      <c r="E1804" s="8" t="n">
        <v>113</v>
      </c>
      <c r="F1804" s="8" t="n"/>
      <c r="G1804" s="8" t="n">
        <v>237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>
        <f>IF(COUNT(D1804:S1804)=0,"",MIN(D1804:S1804))</f>
        <v/>
      </c>
      <c r="U1804" s="8">
        <f>IF(COUNT(D1804:S1804)=0,"",MEDIAN(D1804:S1804))</f>
        <v/>
      </c>
      <c r="V1804" s="8">
        <f>IF(COUNT(D1804:S1804)=0,"",MAX(D1804:S1804))</f>
        <v/>
      </c>
      <c r="W1804" s="9">
        <f>IF(OR(T1804="",T1804=0),"",(V1804-T1804)/T1804)</f>
        <v/>
      </c>
      <c r="X1804" s="7">
        <f>IF(COUNT(D1804:S1804)=0,"",INDEX($D$1:$S$1,MATCH(MIN(D1804:S1804),D1804:S1804,0)))</f>
        <v/>
      </c>
      <c r="Y1804" s="8" t="n">
        <v>175</v>
      </c>
      <c r="Z1804" s="10" t="n">
        <v>2</v>
      </c>
    </row>
    <row r="1805">
      <c r="A1805" s="7" t="inlineStr">
        <is>
          <t>MAT-32-454</t>
        </is>
      </c>
      <c r="B1805" s="4" t="inlineStr">
        <is>
          <t>Reducción de HG 1 1/4" x 1"</t>
        </is>
      </c>
      <c r="C1805" s="7" t="inlineStr">
        <is>
          <t>unidad</t>
        </is>
      </c>
      <c r="D1805" s="8" t="n"/>
      <c r="E1805" s="8" t="n">
        <v>62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>
        <f>IF(COUNT(D1805:S1805)=0,"",MIN(D1805:S1805))</f>
        <v/>
      </c>
      <c r="U1805" s="8">
        <f>IF(COUNT(D1805:S1805)=0,"",MEDIAN(D1805:S1805))</f>
        <v/>
      </c>
      <c r="V1805" s="8">
        <f>IF(COUNT(D1805:S1805)=0,"",MAX(D1805:S1805))</f>
        <v/>
      </c>
      <c r="W1805" s="9">
        <f>IF(OR(T1805="",T1805=0),"",(V1805-T1805)/T1805)</f>
        <v/>
      </c>
      <c r="X1805" s="7">
        <f>IF(COUNT(D1805:S1805)=0,"",INDEX($D$1:$S$1,MATCH(MIN(D1805:S1805),D1805:S1805,0)))</f>
        <v/>
      </c>
      <c r="Y1805" s="8" t="n">
        <v>62</v>
      </c>
      <c r="Z1805" s="10" t="n">
        <v>1</v>
      </c>
    </row>
    <row r="1806">
      <c r="A1806" s="7" t="inlineStr">
        <is>
          <t>MAT-32-455</t>
        </is>
      </c>
      <c r="B1806" s="4" t="inlineStr">
        <is>
          <t>Reducción de HG 1/2" x 1/4"</t>
        </is>
      </c>
      <c r="C1806" s="7" t="inlineStr">
        <is>
          <t>unidad</t>
        </is>
      </c>
      <c r="D1806" s="8" t="n"/>
      <c r="E1806" s="8" t="n">
        <v>36.34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>
        <f>IF(COUNT(D1806:S1806)=0,"",MIN(D1806:S1806))</f>
        <v/>
      </c>
      <c r="U1806" s="8">
        <f>IF(COUNT(D1806:S1806)=0,"",MEDIAN(D1806:S1806))</f>
        <v/>
      </c>
      <c r="V1806" s="8">
        <f>IF(COUNT(D1806:S1806)=0,"",MAX(D1806:S1806))</f>
        <v/>
      </c>
      <c r="W1806" s="9">
        <f>IF(OR(T1806="",T1806=0),"",(V1806-T1806)/T1806)</f>
        <v/>
      </c>
      <c r="X1806" s="7">
        <f>IF(COUNT(D1806:S1806)=0,"",INDEX($D$1:$S$1,MATCH(MIN(D1806:S1806),D1806:S1806,0)))</f>
        <v/>
      </c>
      <c r="Y1806" s="8" t="n">
        <v>36.34</v>
      </c>
      <c r="Z1806" s="10" t="n">
        <v>1</v>
      </c>
    </row>
    <row r="1807">
      <c r="A1807" s="7" t="inlineStr">
        <is>
          <t>MAT-32-456</t>
        </is>
      </c>
      <c r="B1807" s="4" t="inlineStr">
        <is>
          <t>Reducción de HG 1/2" x 3/8"</t>
        </is>
      </c>
      <c r="C1807" s="7" t="inlineStr">
        <is>
          <t>unidad</t>
        </is>
      </c>
      <c r="D1807" s="8" t="n"/>
      <c r="E1807" s="8" t="n">
        <v>36.25</v>
      </c>
      <c r="F1807" s="8" t="n"/>
      <c r="G1807" s="8" t="n">
        <v>70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>
        <f>IF(COUNT(D1807:S1807)=0,"",MIN(D1807:S1807))</f>
        <v/>
      </c>
      <c r="U1807" s="8">
        <f>IF(COUNT(D1807:S1807)=0,"",MEDIAN(D1807:S1807))</f>
        <v/>
      </c>
      <c r="V1807" s="8">
        <f>IF(COUNT(D1807:S1807)=0,"",MAX(D1807:S1807))</f>
        <v/>
      </c>
      <c r="W1807" s="9">
        <f>IF(OR(T1807="",T1807=0),"",(V1807-T1807)/T1807)</f>
        <v/>
      </c>
      <c r="X1807" s="7">
        <f>IF(COUNT(D1807:S1807)=0,"",INDEX($D$1:$S$1,MATCH(MIN(D1807:S1807),D1807:S1807,0)))</f>
        <v/>
      </c>
      <c r="Y1807" s="8" t="n">
        <v>53.13</v>
      </c>
      <c r="Z1807" s="10" t="n">
        <v>2</v>
      </c>
    </row>
    <row r="1808">
      <c r="A1808" s="7" t="inlineStr">
        <is>
          <t>MAT-32-457</t>
        </is>
      </c>
      <c r="B1808" s="4" t="inlineStr">
        <is>
          <t>Reducción de HG 1" x 1/2"</t>
        </is>
      </c>
      <c r="C1808" s="7" t="inlineStr">
        <is>
          <t>unidad</t>
        </is>
      </c>
      <c r="D1808" s="8" t="n"/>
      <c r="E1808" s="8" t="n">
        <v>47</v>
      </c>
      <c r="F1808" s="8" t="n"/>
      <c r="G1808" s="8" t="n">
        <v>95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>
        <f>IF(COUNT(D1808:S1808)=0,"",MIN(D1808:S1808))</f>
        <v/>
      </c>
      <c r="U1808" s="8">
        <f>IF(COUNT(D1808:S1808)=0,"",MEDIAN(D1808:S1808))</f>
        <v/>
      </c>
      <c r="V1808" s="8">
        <f>IF(COUNT(D1808:S1808)=0,"",MAX(D1808:S1808))</f>
        <v/>
      </c>
      <c r="W1808" s="9">
        <f>IF(OR(T1808="",T1808=0),"",(V1808-T1808)/T1808)</f>
        <v/>
      </c>
      <c r="X1808" s="7">
        <f>IF(COUNT(D1808:S1808)=0,"",INDEX($D$1:$S$1,MATCH(MIN(D1808:S1808),D1808:S1808,0)))</f>
        <v/>
      </c>
      <c r="Y1808" s="8" t="n">
        <v>71</v>
      </c>
      <c r="Z1808" s="10" t="n">
        <v>2</v>
      </c>
    </row>
    <row r="1809">
      <c r="A1809" s="7" t="inlineStr">
        <is>
          <t>MAT-32-458</t>
        </is>
      </c>
      <c r="B1809" s="4" t="inlineStr">
        <is>
          <t>Reducción de HG 1" x 3/4"</t>
        </is>
      </c>
      <c r="C1809" s="7" t="inlineStr">
        <is>
          <t>unidad</t>
        </is>
      </c>
      <c r="D1809" s="8" t="n"/>
      <c r="E1809" s="8" t="n">
        <v>47.96</v>
      </c>
      <c r="F1809" s="8" t="n"/>
      <c r="G1809" s="8" t="n">
        <v>101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>
        <f>IF(COUNT(D1809:S1809)=0,"",MIN(D1809:S1809))</f>
        <v/>
      </c>
      <c r="U1809" s="8">
        <f>IF(COUNT(D1809:S1809)=0,"",MEDIAN(D1809:S1809))</f>
        <v/>
      </c>
      <c r="V1809" s="8">
        <f>IF(COUNT(D1809:S1809)=0,"",MAX(D1809:S1809))</f>
        <v/>
      </c>
      <c r="W1809" s="9">
        <f>IF(OR(T1809="",T1809=0),"",(V1809-T1809)/T1809)</f>
        <v/>
      </c>
      <c r="X1809" s="7">
        <f>IF(COUNT(D1809:S1809)=0,"",INDEX($D$1:$S$1,MATCH(MIN(D1809:S1809),D1809:S1809,0)))</f>
        <v/>
      </c>
      <c r="Y1809" s="8" t="n">
        <v>74.48</v>
      </c>
      <c r="Z1809" s="10" t="n">
        <v>2</v>
      </c>
    </row>
    <row r="1810">
      <c r="A1810" s="7" t="inlineStr">
        <is>
          <t>MAT-32-459</t>
        </is>
      </c>
      <c r="B1810" s="4" t="inlineStr">
        <is>
          <t>Reducción de HG 2" x 1 1/2"</t>
        </is>
      </c>
      <c r="C1810" s="7" t="inlineStr">
        <is>
          <t>unidad</t>
        </is>
      </c>
      <c r="D1810" s="8" t="n"/>
      <c r="E1810" s="8" t="n">
        <v>135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>
        <f>IF(COUNT(D1810:S1810)=0,"",MIN(D1810:S1810))</f>
        <v/>
      </c>
      <c r="U1810" s="8">
        <f>IF(COUNT(D1810:S1810)=0,"",MEDIAN(D1810:S1810))</f>
        <v/>
      </c>
      <c r="V1810" s="8">
        <f>IF(COUNT(D1810:S1810)=0,"",MAX(D1810:S1810))</f>
        <v/>
      </c>
      <c r="W1810" s="9">
        <f>IF(OR(T1810="",T1810=0),"",(V1810-T1810)/T1810)</f>
        <v/>
      </c>
      <c r="X1810" s="7">
        <f>IF(COUNT(D1810:S1810)=0,"",INDEX($D$1:$S$1,MATCH(MIN(D1810:S1810),D1810:S1810,0)))</f>
        <v/>
      </c>
      <c r="Y1810" s="8" t="n">
        <v>135</v>
      </c>
      <c r="Z1810" s="10" t="n">
        <v>1</v>
      </c>
    </row>
    <row r="1811">
      <c r="A1811" s="7" t="inlineStr">
        <is>
          <t>MAT-32-460</t>
        </is>
      </c>
      <c r="B1811" s="4" t="inlineStr">
        <is>
          <t>Reducción de HG 2" x 1"</t>
        </is>
      </c>
      <c r="C1811" s="7" t="inlineStr">
        <is>
          <t>unidad</t>
        </is>
      </c>
      <c r="D1811" s="8" t="n"/>
      <c r="E1811" s="8" t="n">
        <v>117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>
        <f>IF(COUNT(D1811:S1811)=0,"",MIN(D1811:S1811))</f>
        <v/>
      </c>
      <c r="U1811" s="8">
        <f>IF(COUNT(D1811:S1811)=0,"",MEDIAN(D1811:S1811))</f>
        <v/>
      </c>
      <c r="V1811" s="8">
        <f>IF(COUNT(D1811:S1811)=0,"",MAX(D1811:S1811))</f>
        <v/>
      </c>
      <c r="W1811" s="9">
        <f>IF(OR(T1811="",T1811=0),"",(V1811-T1811)/T1811)</f>
        <v/>
      </c>
      <c r="X1811" s="7">
        <f>IF(COUNT(D1811:S1811)=0,"",INDEX($D$1:$S$1,MATCH(MIN(D1811:S1811),D1811:S1811,0)))</f>
        <v/>
      </c>
      <c r="Y1811" s="8" t="n">
        <v>117</v>
      </c>
      <c r="Z1811" s="10" t="n">
        <v>1</v>
      </c>
    </row>
    <row r="1812">
      <c r="A1812" s="7" t="inlineStr">
        <is>
          <t>MAT-32-461</t>
        </is>
      </c>
      <c r="B1812" s="4" t="inlineStr">
        <is>
          <t>Reducción de HG 3/4" x 1/2"</t>
        </is>
      </c>
      <c r="C1812" s="7" t="inlineStr">
        <is>
          <t>unidad</t>
        </is>
      </c>
      <c r="D1812" s="8" t="n"/>
      <c r="E1812" s="8" t="n">
        <v>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>
        <f>IF(COUNT(D1812:S1812)=0,"",MIN(D1812:S1812))</f>
        <v/>
      </c>
      <c r="U1812" s="8">
        <f>IF(COUNT(D1812:S1812)=0,"",MEDIAN(D1812:S1812))</f>
        <v/>
      </c>
      <c r="V1812" s="8">
        <f>IF(COUNT(D1812:S1812)=0,"",MAX(D1812:S1812))</f>
        <v/>
      </c>
      <c r="W1812" s="9">
        <f>IF(OR(T1812="",T1812=0),"",(V1812-T1812)/T1812)</f>
        <v/>
      </c>
      <c r="X1812" s="7">
        <f>IF(COUNT(D1812:S1812)=0,"",INDEX($D$1:$S$1,MATCH(MIN(D1812:S1812),D1812:S1812,0)))</f>
        <v/>
      </c>
      <c r="Y1812" s="8" t="n">
        <v>34</v>
      </c>
      <c r="Z1812" s="10" t="n">
        <v>1</v>
      </c>
    </row>
    <row r="1813">
      <c r="A1813" s="7" t="inlineStr">
        <is>
          <t>MAT-32-462</t>
        </is>
      </c>
      <c r="B1813" s="4" t="inlineStr">
        <is>
          <t>Reducción de HG 3/4" x 3/8"</t>
        </is>
      </c>
      <c r="C1813" s="7" t="inlineStr">
        <is>
          <t>unidad</t>
        </is>
      </c>
      <c r="D1813" s="8" t="n"/>
      <c r="E1813" s="8" t="n">
        <v>26.32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>
        <f>IF(COUNT(D1813:S1813)=0,"",MIN(D1813:S1813))</f>
        <v/>
      </c>
      <c r="U1813" s="8">
        <f>IF(COUNT(D1813:S1813)=0,"",MEDIAN(D1813:S1813))</f>
        <v/>
      </c>
      <c r="V1813" s="8">
        <f>IF(COUNT(D1813:S1813)=0,"",MAX(D1813:S1813))</f>
        <v/>
      </c>
      <c r="W1813" s="9">
        <f>IF(OR(T1813="",T1813=0),"",(V1813-T1813)/T1813)</f>
        <v/>
      </c>
      <c r="X1813" s="7">
        <f>IF(COUNT(D1813:S1813)=0,"",INDEX($D$1:$S$1,MATCH(MIN(D1813:S1813),D1813:S1813,0)))</f>
        <v/>
      </c>
      <c r="Y1813" s="8" t="n">
        <v>26.32</v>
      </c>
      <c r="Z1813" s="10" t="n">
        <v>1</v>
      </c>
    </row>
    <row r="1814">
      <c r="A1814" s="7" t="inlineStr">
        <is>
          <t>MAT-32-463</t>
        </is>
      </c>
      <c r="B1814" s="4" t="inlineStr">
        <is>
          <t>Reducción de HG 3" x 2"</t>
        </is>
      </c>
      <c r="C1814" s="7" t="inlineStr">
        <is>
          <t>unidad</t>
        </is>
      </c>
      <c r="D1814" s="8" t="n"/>
      <c r="E1814" s="8" t="n">
        <v>440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>
        <f>IF(COUNT(D1814:S1814)=0,"",MIN(D1814:S1814))</f>
        <v/>
      </c>
      <c r="U1814" s="8">
        <f>IF(COUNT(D1814:S1814)=0,"",MEDIAN(D1814:S1814))</f>
        <v/>
      </c>
      <c r="V1814" s="8">
        <f>IF(COUNT(D1814:S1814)=0,"",MAX(D1814:S1814))</f>
        <v/>
      </c>
      <c r="W1814" s="9">
        <f>IF(OR(T1814="",T1814=0),"",(V1814-T1814)/T1814)</f>
        <v/>
      </c>
      <c r="X1814" s="7">
        <f>IF(COUNT(D1814:S1814)=0,"",INDEX($D$1:$S$1,MATCH(MIN(D1814:S1814),D1814:S1814,0)))</f>
        <v/>
      </c>
      <c r="Y1814" s="8" t="n">
        <v>440</v>
      </c>
      <c r="Z1814" s="10" t="n">
        <v>1</v>
      </c>
    </row>
    <row r="1815">
      <c r="A1815" s="7" t="inlineStr">
        <is>
          <t>MAT-32-464</t>
        </is>
      </c>
      <c r="B1815" s="4" t="inlineStr">
        <is>
          <t>Reducción de plástico 1 1/2" x 1"</t>
        </is>
      </c>
      <c r="C1815" s="7" t="inlineStr">
        <is>
          <t>unidad</t>
        </is>
      </c>
      <c r="D1815" s="8" t="n"/>
      <c r="E1815" s="8" t="n">
        <v>7.36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>
        <f>IF(COUNT(D1815:S1815)=0,"",MIN(D1815:S1815))</f>
        <v/>
      </c>
      <c r="U1815" s="8">
        <f>IF(COUNT(D1815:S1815)=0,"",MEDIAN(D1815:S1815))</f>
        <v/>
      </c>
      <c r="V1815" s="8">
        <f>IF(COUNT(D1815:S1815)=0,"",MAX(D1815:S1815))</f>
        <v/>
      </c>
      <c r="W1815" s="9">
        <f>IF(OR(T1815="",T1815=0),"",(V1815-T1815)/T1815)</f>
        <v/>
      </c>
      <c r="X1815" s="7">
        <f>IF(COUNT(D1815:S1815)=0,"",INDEX($D$1:$S$1,MATCH(MIN(D1815:S1815),D1815:S1815,0)))</f>
        <v/>
      </c>
      <c r="Y1815" s="8" t="n">
        <v>7.36</v>
      </c>
      <c r="Z1815" s="10" t="n">
        <v>1</v>
      </c>
    </row>
    <row r="1816">
      <c r="A1816" s="7" t="inlineStr">
        <is>
          <t>MAT-32-465</t>
        </is>
      </c>
      <c r="B1816" s="4" t="inlineStr">
        <is>
          <t>Reducción de plástico 1 1/2" x 7/8"</t>
        </is>
      </c>
      <c r="C1816" s="7" t="inlineStr">
        <is>
          <t>unidad</t>
        </is>
      </c>
      <c r="D1816" s="8" t="n"/>
      <c r="E1816" s="8" t="n">
        <v>3.5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>
        <f>IF(COUNT(D1816:S1816)=0,"",MIN(D1816:S1816))</f>
        <v/>
      </c>
      <c r="U1816" s="8">
        <f>IF(COUNT(D1816:S1816)=0,"",MEDIAN(D1816:S1816))</f>
        <v/>
      </c>
      <c r="V1816" s="8">
        <f>IF(COUNT(D1816:S1816)=0,"",MAX(D1816:S1816))</f>
        <v/>
      </c>
      <c r="W1816" s="9">
        <f>IF(OR(T1816="",T1816=0),"",(V1816-T1816)/T1816)</f>
        <v/>
      </c>
      <c r="X1816" s="7">
        <f>IF(COUNT(D1816:S1816)=0,"",INDEX($D$1:$S$1,MATCH(MIN(D1816:S1816),D1816:S1816,0)))</f>
        <v/>
      </c>
      <c r="Y1816" s="8" t="n">
        <v>3.5</v>
      </c>
      <c r="Z1816" s="10" t="n">
        <v>1</v>
      </c>
    </row>
    <row r="1817">
      <c r="A1817" s="7" t="inlineStr">
        <is>
          <t>MAT-32-466</t>
        </is>
      </c>
      <c r="B1817" s="4" t="inlineStr">
        <is>
          <t>Reducción de plástico 1 1/4" x 1/2"</t>
        </is>
      </c>
      <c r="C1817" s="7" t="inlineStr">
        <is>
          <t>unidad</t>
        </is>
      </c>
      <c r="D1817" s="8" t="n"/>
      <c r="E1817" s="8" t="n">
        <v>10.35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>
        <f>IF(COUNT(D1817:S1817)=0,"",MIN(D1817:S1817))</f>
        <v/>
      </c>
      <c r="U1817" s="8">
        <f>IF(COUNT(D1817:S1817)=0,"",MEDIAN(D1817:S1817))</f>
        <v/>
      </c>
      <c r="V1817" s="8">
        <f>IF(COUNT(D1817:S1817)=0,"",MAX(D1817:S1817))</f>
        <v/>
      </c>
      <c r="W1817" s="9">
        <f>IF(OR(T1817="",T1817=0),"",(V1817-T1817)/T1817)</f>
        <v/>
      </c>
      <c r="X1817" s="7">
        <f>IF(COUNT(D1817:S1817)=0,"",INDEX($D$1:$S$1,MATCH(MIN(D1817:S1817),D1817:S1817,0)))</f>
        <v/>
      </c>
      <c r="Y1817" s="8" t="n">
        <v>10.35</v>
      </c>
      <c r="Z1817" s="10" t="n">
        <v>1</v>
      </c>
    </row>
    <row r="1818">
      <c r="A1818" s="7" t="inlineStr">
        <is>
          <t>MAT-32-467</t>
        </is>
      </c>
      <c r="B1818" s="4" t="inlineStr">
        <is>
          <t>Reducción de plástico 1 1/4" x 3/4"</t>
        </is>
      </c>
      <c r="C1818" s="7" t="inlineStr">
        <is>
          <t>unidad</t>
        </is>
      </c>
      <c r="D1818" s="8" t="n"/>
      <c r="E1818" s="8" t="n">
        <v>2.33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>
        <f>IF(COUNT(D1818:S1818)=0,"",MIN(D1818:S1818))</f>
        <v/>
      </c>
      <c r="U1818" s="8">
        <f>IF(COUNT(D1818:S1818)=0,"",MEDIAN(D1818:S1818))</f>
        <v/>
      </c>
      <c r="V1818" s="8">
        <f>IF(COUNT(D1818:S1818)=0,"",MAX(D1818:S1818))</f>
        <v/>
      </c>
      <c r="W1818" s="9">
        <f>IF(OR(T1818="",T1818=0),"",(V1818-T1818)/T1818)</f>
        <v/>
      </c>
      <c r="X1818" s="7">
        <f>IF(COUNT(D1818:S1818)=0,"",INDEX($D$1:$S$1,MATCH(MIN(D1818:S1818),D1818:S1818,0)))</f>
        <v/>
      </c>
      <c r="Y1818" s="8" t="n">
        <v>2.33</v>
      </c>
      <c r="Z1818" s="10" t="n">
        <v>1</v>
      </c>
    </row>
    <row r="1819">
      <c r="A1819" s="7" t="inlineStr">
        <is>
          <t>MAT-32-468</t>
        </is>
      </c>
      <c r="B1819" s="4" t="inlineStr">
        <is>
          <t>Reducción de plástico 1 1/4" x 5/8"</t>
        </is>
      </c>
      <c r="C1819" s="7" t="inlineStr">
        <is>
          <t>unidad</t>
        </is>
      </c>
      <c r="D1819" s="8" t="n"/>
      <c r="E1819" s="8" t="n">
        <v>2.44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>
        <f>IF(COUNT(D1819:S1819)=0,"",MIN(D1819:S1819))</f>
        <v/>
      </c>
      <c r="U1819" s="8">
        <f>IF(COUNT(D1819:S1819)=0,"",MEDIAN(D1819:S1819))</f>
        <v/>
      </c>
      <c r="V1819" s="8">
        <f>IF(COUNT(D1819:S1819)=0,"",MAX(D1819:S1819))</f>
        <v/>
      </c>
      <c r="W1819" s="9">
        <f>IF(OR(T1819="",T1819=0),"",(V1819-T1819)/T1819)</f>
        <v/>
      </c>
      <c r="X1819" s="7">
        <f>IF(COUNT(D1819:S1819)=0,"",INDEX($D$1:$S$1,MATCH(MIN(D1819:S1819),D1819:S1819,0)))</f>
        <v/>
      </c>
      <c r="Y1819" s="8" t="n">
        <v>2.44</v>
      </c>
      <c r="Z1819" s="10" t="n">
        <v>1</v>
      </c>
    </row>
    <row r="1820">
      <c r="A1820" s="7" t="inlineStr">
        <is>
          <t>MAT-32-469</t>
        </is>
      </c>
      <c r="B1820" s="4" t="inlineStr">
        <is>
          <t>Reducción de plástico 1 1/4" x 7/8"</t>
        </is>
      </c>
      <c r="C1820" s="7" t="inlineStr">
        <is>
          <t>unidad</t>
        </is>
      </c>
      <c r="D1820" s="8" t="n"/>
      <c r="E1820" s="8" t="n">
        <v>8.800000000000001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>
        <f>IF(COUNT(D1820:S1820)=0,"",MIN(D1820:S1820))</f>
        <v/>
      </c>
      <c r="U1820" s="8">
        <f>IF(COUNT(D1820:S1820)=0,"",MEDIAN(D1820:S1820))</f>
        <v/>
      </c>
      <c r="V1820" s="8">
        <f>IF(COUNT(D1820:S1820)=0,"",MAX(D1820:S1820))</f>
        <v/>
      </c>
      <c r="W1820" s="9">
        <f>IF(OR(T1820="",T1820=0),"",(V1820-T1820)/T1820)</f>
        <v/>
      </c>
      <c r="X1820" s="7">
        <f>IF(COUNT(D1820:S1820)=0,"",INDEX($D$1:$S$1,MATCH(MIN(D1820:S1820),D1820:S1820,0)))</f>
        <v/>
      </c>
      <c r="Y1820" s="8" t="n">
        <v>8.800000000000001</v>
      </c>
      <c r="Z1820" s="10" t="n">
        <v>1</v>
      </c>
    </row>
    <row r="1821">
      <c r="A1821" s="7" t="inlineStr">
        <is>
          <t>MAT-32-470</t>
        </is>
      </c>
      <c r="B1821" s="4" t="inlineStr">
        <is>
          <t>Reducción de PPR 20 mm</t>
        </is>
      </c>
      <c r="C1821" s="7" t="inlineStr">
        <is>
          <t>unidad</t>
        </is>
      </c>
      <c r="D1821" s="8" t="n"/>
      <c r="E1821" s="8" t="n">
        <v>5.59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>
        <f>IF(COUNT(D1821:S1821)=0,"",MIN(D1821:S1821))</f>
        <v/>
      </c>
      <c r="U1821" s="8">
        <f>IF(COUNT(D1821:S1821)=0,"",MEDIAN(D1821:S1821))</f>
        <v/>
      </c>
      <c r="V1821" s="8">
        <f>IF(COUNT(D1821:S1821)=0,"",MAX(D1821:S1821))</f>
        <v/>
      </c>
      <c r="W1821" s="9">
        <f>IF(OR(T1821="",T1821=0),"",(V1821-T1821)/T1821)</f>
        <v/>
      </c>
      <c r="X1821" s="7">
        <f>IF(COUNT(D1821:S1821)=0,"",INDEX($D$1:$S$1,MATCH(MIN(D1821:S1821),D1821:S1821,0)))</f>
        <v/>
      </c>
      <c r="Y1821" s="8" t="n">
        <v>6.84</v>
      </c>
      <c r="Z1821" s="10" t="n">
        <v>1</v>
      </c>
    </row>
    <row r="1822">
      <c r="A1822" s="7" t="inlineStr">
        <is>
          <t>MAT-32-471</t>
        </is>
      </c>
      <c r="B1822" s="4" t="inlineStr">
        <is>
          <t>Reducción de PPR 25 mm</t>
        </is>
      </c>
      <c r="C1822" s="7" t="inlineStr">
        <is>
          <t>unidad</t>
        </is>
      </c>
      <c r="D1822" s="8" t="n"/>
      <c r="E1822" s="8" t="n">
        <v>7.98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>
        <f>IF(COUNT(D1822:S1822)=0,"",MIN(D1822:S1822))</f>
        <v/>
      </c>
      <c r="U1822" s="8">
        <f>IF(COUNT(D1822:S1822)=0,"",MEDIAN(D1822:S1822))</f>
        <v/>
      </c>
      <c r="V1822" s="8">
        <f>IF(COUNT(D1822:S1822)=0,"",MAX(D1822:S1822))</f>
        <v/>
      </c>
      <c r="W1822" s="9">
        <f>IF(OR(T1822="",T1822=0),"",(V1822-T1822)/T1822)</f>
        <v/>
      </c>
      <c r="X1822" s="7">
        <f>IF(COUNT(D1822:S1822)=0,"",INDEX($D$1:$S$1,MATCH(MIN(D1822:S1822),D1822:S1822,0)))</f>
        <v/>
      </c>
      <c r="Y1822" s="8" t="n">
        <v>13.91</v>
      </c>
      <c r="Z1822" s="10" t="n">
        <v>1</v>
      </c>
    </row>
    <row r="1823">
      <c r="A1823" s="7" t="inlineStr">
        <is>
          <t>MAT-32-472</t>
        </is>
      </c>
      <c r="B1823" s="4" t="inlineStr">
        <is>
          <t>Reducción de PPR 25 mm x 20 mm</t>
        </is>
      </c>
      <c r="C1823" s="7" t="inlineStr">
        <is>
          <t>unidad</t>
        </is>
      </c>
      <c r="D1823" s="8" t="n"/>
      <c r="E1823" s="8" t="n"/>
      <c r="F1823" s="8" t="n"/>
      <c r="G1823" s="8" t="n">
        <v>53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>
        <f>IF(COUNT(D1823:S1823)=0,"",MIN(D1823:S1823))</f>
        <v/>
      </c>
      <c r="U1823" s="8">
        <f>IF(COUNT(D1823:S1823)=0,"",MEDIAN(D1823:S1823))</f>
        <v/>
      </c>
      <c r="V1823" s="8">
        <f>IF(COUNT(D1823:S1823)=0,"",MAX(D1823:S1823))</f>
        <v/>
      </c>
      <c r="W1823" s="9">
        <f>IF(OR(T1823="",T1823=0),"",(V1823-T1823)/T1823)</f>
        <v/>
      </c>
      <c r="X1823" s="7">
        <f>IF(COUNT(D1823:S1823)=0,"",INDEX($D$1:$S$1,MATCH(MIN(D1823:S1823),D1823:S1823,0)))</f>
        <v/>
      </c>
      <c r="Y1823" s="8" t="n">
        <v>53</v>
      </c>
      <c r="Z1823" s="10" t="n">
        <v>1</v>
      </c>
    </row>
    <row r="1824">
      <c r="A1824" s="7" t="inlineStr">
        <is>
          <t>MAT-32-473</t>
        </is>
      </c>
      <c r="B1824" s="4" t="inlineStr">
        <is>
          <t>Reducción de PPR 32 mm</t>
        </is>
      </c>
      <c r="C1824" s="7" t="inlineStr">
        <is>
          <t>unidad</t>
        </is>
      </c>
      <c r="D1824" s="8" t="n"/>
      <c r="E1824" s="8" t="n">
        <v>22.53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>
        <f>IF(COUNT(D1824:S1824)=0,"",MIN(D1824:S1824))</f>
        <v/>
      </c>
      <c r="U1824" s="8">
        <f>IF(COUNT(D1824:S1824)=0,"",MEDIAN(D1824:S1824))</f>
        <v/>
      </c>
      <c r="V1824" s="8">
        <f>IF(COUNT(D1824:S1824)=0,"",MAX(D1824:S1824))</f>
        <v/>
      </c>
      <c r="W1824" s="9">
        <f>IF(OR(T1824="",T1824=0),"",(V1824-T1824)/T1824)</f>
        <v/>
      </c>
      <c r="X1824" s="7">
        <f>IF(COUNT(D1824:S1824)=0,"",INDEX($D$1:$S$1,MATCH(MIN(D1824:S1824),D1824:S1824,0)))</f>
        <v/>
      </c>
      <c r="Y1824" s="8" t="n">
        <v>22.53</v>
      </c>
      <c r="Z1824" s="10" t="n">
        <v>1</v>
      </c>
    </row>
    <row r="1825">
      <c r="A1825" s="7" t="inlineStr">
        <is>
          <t>MAT-32-474</t>
        </is>
      </c>
      <c r="B1825" s="4" t="inlineStr">
        <is>
          <t>Reducción de PVC drenaje 1 1/2" x 1"</t>
        </is>
      </c>
      <c r="C1825" s="7" t="inlineStr">
        <is>
          <t>unidad</t>
        </is>
      </c>
      <c r="D1825" s="8" t="n"/>
      <c r="E1825" s="8" t="n">
        <v>15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>
        <f>IF(COUNT(D1825:S1825)=0,"",MIN(D1825:S1825))</f>
        <v/>
      </c>
      <c r="U1825" s="8">
        <f>IF(COUNT(D1825:S1825)=0,"",MEDIAN(D1825:S1825))</f>
        <v/>
      </c>
      <c r="V1825" s="8">
        <f>IF(COUNT(D1825:S1825)=0,"",MAX(D1825:S1825))</f>
        <v/>
      </c>
      <c r="W1825" s="9">
        <f>IF(OR(T1825="",T1825=0),"",(V1825-T1825)/T1825)</f>
        <v/>
      </c>
      <c r="X1825" s="7">
        <f>IF(COUNT(D1825:S1825)=0,"",INDEX($D$1:$S$1,MATCH(MIN(D1825:S1825),D1825:S1825,0)))</f>
        <v/>
      </c>
      <c r="Y1825" s="8" t="n">
        <v>15</v>
      </c>
      <c r="Z1825" s="10" t="n">
        <v>1</v>
      </c>
    </row>
    <row r="1826">
      <c r="A1826" s="7" t="inlineStr">
        <is>
          <t>MAT-32-475</t>
        </is>
      </c>
      <c r="B1826" s="4" t="inlineStr">
        <is>
          <t>Reducción de PVC drenaje 2" x 1/2"</t>
        </is>
      </c>
      <c r="C1826" s="7" t="inlineStr">
        <is>
          <t>unidad</t>
        </is>
      </c>
      <c r="D1826" s="8" t="n"/>
      <c r="E1826" s="8" t="n">
        <v>14.69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>
        <f>IF(COUNT(D1826:S1826)=0,"",MIN(D1826:S1826))</f>
        <v/>
      </c>
      <c r="U1826" s="8">
        <f>IF(COUNT(D1826:S1826)=0,"",MEDIAN(D1826:S1826))</f>
        <v/>
      </c>
      <c r="V1826" s="8">
        <f>IF(COUNT(D1826:S1826)=0,"",MAX(D1826:S1826))</f>
        <v/>
      </c>
      <c r="W1826" s="9">
        <f>IF(OR(T1826="",T1826=0),"",(V1826-T1826)/T1826)</f>
        <v/>
      </c>
      <c r="X1826" s="7">
        <f>IF(COUNT(D1826:S1826)=0,"",INDEX($D$1:$S$1,MATCH(MIN(D1826:S1826),D1826:S1826,0)))</f>
        <v/>
      </c>
      <c r="Y1826" s="8" t="n">
        <v>14.69</v>
      </c>
      <c r="Z1826" s="10" t="n">
        <v>1</v>
      </c>
    </row>
    <row r="1827">
      <c r="A1827" s="7" t="inlineStr">
        <is>
          <t>MAT-32-476</t>
        </is>
      </c>
      <c r="B1827" s="4" t="inlineStr">
        <is>
          <t>Reducción de PVC drenaje 2" x 1"</t>
        </is>
      </c>
      <c r="C1827" s="7" t="inlineStr">
        <is>
          <t>unidad</t>
        </is>
      </c>
      <c r="D1827" s="8" t="n"/>
      <c r="E1827" s="8" t="n">
        <v>14.96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>
        <f>IF(COUNT(D1827:S1827)=0,"",MIN(D1827:S1827))</f>
        <v/>
      </c>
      <c r="U1827" s="8">
        <f>IF(COUNT(D1827:S1827)=0,"",MEDIAN(D1827:S1827))</f>
        <v/>
      </c>
      <c r="V1827" s="8">
        <f>IF(COUNT(D1827:S1827)=0,"",MAX(D1827:S1827))</f>
        <v/>
      </c>
      <c r="W1827" s="9">
        <f>IF(OR(T1827="",T1827=0),"",(V1827-T1827)/T1827)</f>
        <v/>
      </c>
      <c r="X1827" s="7">
        <f>IF(COUNT(D1827:S1827)=0,"",INDEX($D$1:$S$1,MATCH(MIN(D1827:S1827),D1827:S1827,0)))</f>
        <v/>
      </c>
      <c r="Y1827" s="8" t="n">
        <v>14.96</v>
      </c>
      <c r="Z1827" s="10" t="n">
        <v>1</v>
      </c>
    </row>
    <row r="1828">
      <c r="A1828" s="7" t="inlineStr">
        <is>
          <t>MAT-32-477</t>
        </is>
      </c>
      <c r="B1828" s="4" t="inlineStr">
        <is>
          <t>Reducción de PVC drenaje 2" x 3/4"</t>
        </is>
      </c>
      <c r="C1828" s="7" t="inlineStr">
        <is>
          <t>unidad</t>
        </is>
      </c>
      <c r="D1828" s="8" t="n"/>
      <c r="E1828" s="8" t="n">
        <v>14.52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>
        <f>IF(COUNT(D1828:S1828)=0,"",MIN(D1828:S1828))</f>
        <v/>
      </c>
      <c r="U1828" s="8">
        <f>IF(COUNT(D1828:S1828)=0,"",MEDIAN(D1828:S1828))</f>
        <v/>
      </c>
      <c r="V1828" s="8">
        <f>IF(COUNT(D1828:S1828)=0,"",MAX(D1828:S1828))</f>
        <v/>
      </c>
      <c r="W1828" s="9">
        <f>IF(OR(T1828="",T1828=0),"",(V1828-T1828)/T1828)</f>
        <v/>
      </c>
      <c r="X1828" s="7">
        <f>IF(COUNT(D1828:S1828)=0,"",INDEX($D$1:$S$1,MATCH(MIN(D1828:S1828),D1828:S1828,0)))</f>
        <v/>
      </c>
      <c r="Y1828" s="8" t="n">
        <v>14.52</v>
      </c>
      <c r="Z1828" s="10" t="n">
        <v>1</v>
      </c>
    </row>
    <row r="1829">
      <c r="A1829" s="7" t="inlineStr">
        <is>
          <t>MAT-32-478</t>
        </is>
      </c>
      <c r="B1829" s="4" t="inlineStr">
        <is>
          <t>Reducción de PVC drenaje 3" x 2"</t>
        </is>
      </c>
      <c r="C1829" s="7" t="inlineStr">
        <is>
          <t>unidad</t>
        </is>
      </c>
      <c r="D1829" s="8" t="n"/>
      <c r="E1829" s="8" t="n">
        <v>28.6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>
        <f>IF(COUNT(D1829:S1829)=0,"",MIN(D1829:S1829))</f>
        <v/>
      </c>
      <c r="U1829" s="8">
        <f>IF(COUNT(D1829:S1829)=0,"",MEDIAN(D1829:S1829))</f>
        <v/>
      </c>
      <c r="V1829" s="8">
        <f>IF(COUNT(D1829:S1829)=0,"",MAX(D1829:S1829))</f>
        <v/>
      </c>
      <c r="W1829" s="9">
        <f>IF(OR(T1829="",T1829=0),"",(V1829-T1829)/T1829)</f>
        <v/>
      </c>
      <c r="X1829" s="7">
        <f>IF(COUNT(D1829:S1829)=0,"",INDEX($D$1:$S$1,MATCH(MIN(D1829:S1829),D1829:S1829,0)))</f>
        <v/>
      </c>
      <c r="Y1829" s="8" t="n">
        <v>31.93</v>
      </c>
      <c r="Z1829" s="10" t="n">
        <v>1</v>
      </c>
    </row>
    <row r="1830">
      <c r="A1830" s="7" t="inlineStr">
        <is>
          <t>MAT-32-479</t>
        </is>
      </c>
      <c r="B1830" s="4" t="inlineStr">
        <is>
          <t>Reducción de PVC drenaje 4" x 2"</t>
        </is>
      </c>
      <c r="C1830" s="7" t="inlineStr">
        <is>
          <t>unidad</t>
        </is>
      </c>
      <c r="D1830" s="8" t="n"/>
      <c r="E1830" s="8" t="n">
        <v>57.06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>
        <f>IF(COUNT(D1830:S1830)=0,"",MIN(D1830:S1830))</f>
        <v/>
      </c>
      <c r="U1830" s="8">
        <f>IF(COUNT(D1830:S1830)=0,"",MEDIAN(D1830:S1830))</f>
        <v/>
      </c>
      <c r="V1830" s="8">
        <f>IF(COUNT(D1830:S1830)=0,"",MAX(D1830:S1830))</f>
        <v/>
      </c>
      <c r="W1830" s="9">
        <f>IF(OR(T1830="",T1830=0),"",(V1830-T1830)/T1830)</f>
        <v/>
      </c>
      <c r="X1830" s="7">
        <f>IF(COUNT(D1830:S1830)=0,"",INDEX($D$1:$S$1,MATCH(MIN(D1830:S1830),D1830:S1830,0)))</f>
        <v/>
      </c>
      <c r="Y1830" s="8" t="n">
        <v>66.90000000000001</v>
      </c>
      <c r="Z1830" s="10" t="n">
        <v>1</v>
      </c>
    </row>
    <row r="1831">
      <c r="A1831" s="7" t="inlineStr">
        <is>
          <t>MAT-32-480</t>
        </is>
      </c>
      <c r="B1831" s="4" t="inlineStr">
        <is>
          <t>Reducción de PVC drenaje 4" x 3"</t>
        </is>
      </c>
      <c r="C1831" s="7" t="inlineStr">
        <is>
          <t>unidad</t>
        </is>
      </c>
      <c r="D1831" s="8" t="n"/>
      <c r="E1831" s="8" t="n">
        <v>52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>
        <f>IF(COUNT(D1831:S1831)=0,"",MIN(D1831:S1831))</f>
        <v/>
      </c>
      <c r="U1831" s="8">
        <f>IF(COUNT(D1831:S1831)=0,"",MEDIAN(D1831:S1831))</f>
        <v/>
      </c>
      <c r="V1831" s="8">
        <f>IF(COUNT(D1831:S1831)=0,"",MAX(D1831:S1831))</f>
        <v/>
      </c>
      <c r="W1831" s="9">
        <f>IF(OR(T1831="",T1831=0),"",(V1831-T1831)/T1831)</f>
        <v/>
      </c>
      <c r="X1831" s="7">
        <f>IF(COUNT(D1831:S1831)=0,"",INDEX($D$1:$S$1,MATCH(MIN(D1831:S1831),D1831:S1831,0)))</f>
        <v/>
      </c>
      <c r="Y1831" s="8" t="n">
        <v>59.26</v>
      </c>
      <c r="Z1831" s="10" t="n">
        <v>1</v>
      </c>
    </row>
    <row r="1832">
      <c r="A1832" s="7" t="inlineStr">
        <is>
          <t>MAT-32-481</t>
        </is>
      </c>
      <c r="B1832" s="4" t="inlineStr">
        <is>
          <t>Reducción de PVC 1 1/2" x 1/2"</t>
        </is>
      </c>
      <c r="C1832" s="7" t="inlineStr">
        <is>
          <t>unidad</t>
        </is>
      </c>
      <c r="D1832" s="8" t="n"/>
      <c r="E1832" s="8" t="n"/>
      <c r="F1832" s="8" t="n"/>
      <c r="G1832" s="8" t="n">
        <v>63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>
        <f>IF(COUNT(D1832:S1832)=0,"",MIN(D1832:S1832))</f>
        <v/>
      </c>
      <c r="U1832" s="8">
        <f>IF(COUNT(D1832:S1832)=0,"",MEDIAN(D1832:S1832))</f>
        <v/>
      </c>
      <c r="V1832" s="8">
        <f>IF(COUNT(D1832:S1832)=0,"",MAX(D1832:S1832))</f>
        <v/>
      </c>
      <c r="W1832" s="9">
        <f>IF(OR(T1832="",T1832=0),"",(V1832-T1832)/T1832)</f>
        <v/>
      </c>
      <c r="X1832" s="7">
        <f>IF(COUNT(D1832:S1832)=0,"",INDEX($D$1:$S$1,MATCH(MIN(D1832:S1832),D1832:S1832,0)))</f>
        <v/>
      </c>
      <c r="Y1832" s="8" t="n">
        <v>63</v>
      </c>
      <c r="Z1832" s="10" t="n">
        <v>1</v>
      </c>
    </row>
    <row r="1833">
      <c r="A1833" s="7" t="inlineStr">
        <is>
          <t>MAT-32-482</t>
        </is>
      </c>
      <c r="B1833" s="4" t="inlineStr">
        <is>
          <t>Reducción de PVC 1 1/2" x 1"</t>
        </is>
      </c>
      <c r="C1833" s="7" t="inlineStr">
        <is>
          <t>unidad</t>
        </is>
      </c>
      <c r="D1833" s="8" t="n"/>
      <c r="E1833" s="8" t="n"/>
      <c r="F1833" s="8" t="n"/>
      <c r="G1833" s="8" t="n">
        <v>111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>
        <f>IF(COUNT(D1833:S1833)=0,"",MIN(D1833:S1833))</f>
        <v/>
      </c>
      <c r="U1833" s="8">
        <f>IF(COUNT(D1833:S1833)=0,"",MEDIAN(D1833:S1833))</f>
        <v/>
      </c>
      <c r="V1833" s="8">
        <f>IF(COUNT(D1833:S1833)=0,"",MAX(D1833:S1833))</f>
        <v/>
      </c>
      <c r="W1833" s="9">
        <f>IF(OR(T1833="",T1833=0),"",(V1833-T1833)/T1833)</f>
        <v/>
      </c>
      <c r="X1833" s="7">
        <f>IF(COUNT(D1833:S1833)=0,"",INDEX($D$1:$S$1,MATCH(MIN(D1833:S1833),D1833:S1833,0)))</f>
        <v/>
      </c>
      <c r="Y1833" s="8" t="n">
        <v>111</v>
      </c>
      <c r="Z1833" s="10" t="n">
        <v>1</v>
      </c>
    </row>
    <row r="1834">
      <c r="A1834" s="7" t="inlineStr">
        <is>
          <t>MAT-32-483</t>
        </is>
      </c>
      <c r="B1834" s="4" t="inlineStr">
        <is>
          <t>Reducción de PVC 1 1/2" x 3/4"</t>
        </is>
      </c>
      <c r="C1834" s="7" t="inlineStr">
        <is>
          <t>unidad</t>
        </is>
      </c>
      <c r="D1834" s="8" t="n"/>
      <c r="E1834" s="8" t="n"/>
      <c r="F1834" s="8" t="n"/>
      <c r="G1834" s="8" t="n">
        <v>85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>
        <f>IF(COUNT(D1834:S1834)=0,"",MIN(D1834:S1834))</f>
        <v/>
      </c>
      <c r="U1834" s="8">
        <f>IF(COUNT(D1834:S1834)=0,"",MEDIAN(D1834:S1834))</f>
        <v/>
      </c>
      <c r="V1834" s="8">
        <f>IF(COUNT(D1834:S1834)=0,"",MAX(D1834:S1834))</f>
        <v/>
      </c>
      <c r="W1834" s="9">
        <f>IF(OR(T1834="",T1834=0),"",(V1834-T1834)/T1834)</f>
        <v/>
      </c>
      <c r="X1834" s="7">
        <f>IF(COUNT(D1834:S1834)=0,"",INDEX($D$1:$S$1,MATCH(MIN(D1834:S1834),D1834:S1834,0)))</f>
        <v/>
      </c>
      <c r="Y1834" s="8" t="n">
        <v>85</v>
      </c>
      <c r="Z1834" s="10" t="n">
        <v>1</v>
      </c>
    </row>
    <row r="1835">
      <c r="A1835" s="7" t="inlineStr">
        <is>
          <t>MAT-32-484</t>
        </is>
      </c>
      <c r="B1835" s="4" t="inlineStr">
        <is>
          <t>Reducción de PVC 12" x 8"</t>
        </is>
      </c>
      <c r="C1835" s="7" t="inlineStr">
        <is>
          <t>unidad</t>
        </is>
      </c>
      <c r="D1835" s="8" t="n"/>
      <c r="E1835" s="8" t="n">
        <v>13614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>
        <f>IF(COUNT(D1835:S1835)=0,"",MIN(D1835:S1835))</f>
        <v/>
      </c>
      <c r="U1835" s="8">
        <f>IF(COUNT(D1835:S1835)=0,"",MEDIAN(D1835:S1835))</f>
        <v/>
      </c>
      <c r="V1835" s="8">
        <f>IF(COUNT(D1835:S1835)=0,"",MAX(D1835:S1835))</f>
        <v/>
      </c>
      <c r="W1835" s="9">
        <f>IF(OR(T1835="",T1835=0),"",(V1835-T1835)/T1835)</f>
        <v/>
      </c>
      <c r="X1835" s="7">
        <f>IF(COUNT(D1835:S1835)=0,"",INDEX($D$1:$S$1,MATCH(MIN(D1835:S1835),D1835:S1835,0)))</f>
        <v/>
      </c>
      <c r="Y1835" s="8" t="n">
        <v>13614</v>
      </c>
      <c r="Z1835" s="10" t="n">
        <v>1</v>
      </c>
    </row>
    <row r="1836">
      <c r="A1836" s="7" t="inlineStr">
        <is>
          <t>MAT-32-485</t>
        </is>
      </c>
      <c r="B1836" s="4" t="inlineStr">
        <is>
          <t>Reducción de PVC 16" x 12"</t>
        </is>
      </c>
      <c r="C1836" s="7" t="inlineStr">
        <is>
          <t>unidad</t>
        </is>
      </c>
      <c r="D1836" s="8" t="n"/>
      <c r="E1836" s="8" t="n">
        <v>9256.889999999999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>
        <f>IF(COUNT(D1836:S1836)=0,"",MIN(D1836:S1836))</f>
        <v/>
      </c>
      <c r="U1836" s="8">
        <f>IF(COUNT(D1836:S1836)=0,"",MEDIAN(D1836:S1836))</f>
        <v/>
      </c>
      <c r="V1836" s="8">
        <f>IF(COUNT(D1836:S1836)=0,"",MAX(D1836:S1836))</f>
        <v/>
      </c>
      <c r="W1836" s="9">
        <f>IF(OR(T1836="",T1836=0),"",(V1836-T1836)/T1836)</f>
        <v/>
      </c>
      <c r="X1836" s="7">
        <f>IF(COUNT(D1836:S1836)=0,"",INDEX($D$1:$S$1,MATCH(MIN(D1836:S1836),D1836:S1836,0)))</f>
        <v/>
      </c>
      <c r="Y1836" s="8" t="n">
        <v>9256.889999999999</v>
      </c>
      <c r="Z1836" s="10" t="n">
        <v>1</v>
      </c>
    </row>
    <row r="1837">
      <c r="A1837" s="7" t="inlineStr">
        <is>
          <t>MAT-32-486</t>
        </is>
      </c>
      <c r="B1837" s="4" t="inlineStr">
        <is>
          <t>Reducción de PVC 2" x 1 1/2"</t>
        </is>
      </c>
      <c r="C1837" s="7" t="inlineStr">
        <is>
          <t>unidad</t>
        </is>
      </c>
      <c r="D1837" s="8" t="n"/>
      <c r="E1837" s="8" t="n"/>
      <c r="F1837" s="8" t="n"/>
      <c r="G1837" s="8" t="n">
        <v>234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>
        <f>IF(COUNT(D1837:S1837)=0,"",MIN(D1837:S1837))</f>
        <v/>
      </c>
      <c r="U1837" s="8">
        <f>IF(COUNT(D1837:S1837)=0,"",MEDIAN(D1837:S1837))</f>
        <v/>
      </c>
      <c r="V1837" s="8">
        <f>IF(COUNT(D1837:S1837)=0,"",MAX(D1837:S1837))</f>
        <v/>
      </c>
      <c r="W1837" s="9">
        <f>IF(OR(T1837="",T1837=0),"",(V1837-T1837)/T1837)</f>
        <v/>
      </c>
      <c r="X1837" s="7">
        <f>IF(COUNT(D1837:S1837)=0,"",INDEX($D$1:$S$1,MATCH(MIN(D1837:S1837),D1837:S1837,0)))</f>
        <v/>
      </c>
      <c r="Y1837" s="8" t="n">
        <v>234</v>
      </c>
      <c r="Z1837" s="10" t="n">
        <v>1</v>
      </c>
    </row>
    <row r="1838">
      <c r="A1838" s="7" t="inlineStr">
        <is>
          <t>MAT-32-487</t>
        </is>
      </c>
      <c r="B1838" s="4" t="inlineStr">
        <is>
          <t>Reducción de PVC 3/4" x 1/2"</t>
        </is>
      </c>
      <c r="C1838" s="7" t="inlineStr">
        <is>
          <t>unidad</t>
        </is>
      </c>
      <c r="D1838" s="8" t="n"/>
      <c r="E1838" s="8" t="n">
        <v>5.77</v>
      </c>
      <c r="F1838" s="8" t="n"/>
      <c r="G1838" s="8" t="n">
        <v>46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>
        <f>IF(COUNT(D1838:S1838)=0,"",MIN(D1838:S1838))</f>
        <v/>
      </c>
      <c r="U1838" s="8">
        <f>IF(COUNT(D1838:S1838)=0,"",MEDIAN(D1838:S1838))</f>
        <v/>
      </c>
      <c r="V1838" s="8">
        <f>IF(COUNT(D1838:S1838)=0,"",MAX(D1838:S1838))</f>
        <v/>
      </c>
      <c r="W1838" s="9">
        <f>IF(OR(T1838="",T1838=0),"",(V1838-T1838)/T1838)</f>
        <v/>
      </c>
      <c r="X1838" s="7">
        <f>IF(COUNT(D1838:S1838)=0,"",INDEX($D$1:$S$1,MATCH(MIN(D1838:S1838),D1838:S1838,0)))</f>
        <v/>
      </c>
      <c r="Y1838" s="8" t="n">
        <v>21.47</v>
      </c>
      <c r="Z1838" s="10" t="n">
        <v>2</v>
      </c>
    </row>
    <row r="1839">
      <c r="A1839" s="7" t="inlineStr">
        <is>
          <t>MAT-32-488</t>
        </is>
      </c>
      <c r="B1839" s="4" t="inlineStr">
        <is>
          <t>Reducción de PVC 4" x 2"</t>
        </is>
      </c>
      <c r="C1839" s="7" t="inlineStr">
        <is>
          <t>unidad</t>
        </is>
      </c>
      <c r="D1839" s="8" t="n"/>
      <c r="E1839" s="8" t="n">
        <v>348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>
        <f>IF(COUNT(D1839:S1839)=0,"",MIN(D1839:S1839))</f>
        <v/>
      </c>
      <c r="U1839" s="8">
        <f>IF(COUNT(D1839:S1839)=0,"",MEDIAN(D1839:S1839))</f>
        <v/>
      </c>
      <c r="V1839" s="8">
        <f>IF(COUNT(D1839:S1839)=0,"",MAX(D1839:S1839))</f>
        <v/>
      </c>
      <c r="W1839" s="9">
        <f>IF(OR(T1839="",T1839=0),"",(V1839-T1839)/T1839)</f>
        <v/>
      </c>
      <c r="X1839" s="7">
        <f>IF(COUNT(D1839:S1839)=0,"",INDEX($D$1:$S$1,MATCH(MIN(D1839:S1839),D1839:S1839,0)))</f>
        <v/>
      </c>
      <c r="Y1839" s="8" t="n">
        <v>348</v>
      </c>
      <c r="Z1839" s="10" t="n">
        <v>1</v>
      </c>
    </row>
    <row r="1840">
      <c r="A1840" s="7" t="inlineStr">
        <is>
          <t>MAT-32-489</t>
        </is>
      </c>
      <c r="B1840" s="4" t="inlineStr">
        <is>
          <t>Reducción de PVC 4" x 3"</t>
        </is>
      </c>
      <c r="C1840" s="7" t="inlineStr">
        <is>
          <t>unidad</t>
        </is>
      </c>
      <c r="D1840" s="8" t="n"/>
      <c r="E1840" s="8" t="n">
        <v>122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>
        <f>IF(COUNT(D1840:S1840)=0,"",MIN(D1840:S1840))</f>
        <v/>
      </c>
      <c r="U1840" s="8">
        <f>IF(COUNT(D1840:S1840)=0,"",MEDIAN(D1840:S1840))</f>
        <v/>
      </c>
      <c r="V1840" s="8">
        <f>IF(COUNT(D1840:S1840)=0,"",MAX(D1840:S1840))</f>
        <v/>
      </c>
      <c r="W1840" s="9">
        <f>IF(OR(T1840="",T1840=0),"",(V1840-T1840)/T1840)</f>
        <v/>
      </c>
      <c r="X1840" s="7">
        <f>IF(COUNT(D1840:S1840)=0,"",INDEX($D$1:$S$1,MATCH(MIN(D1840:S1840),D1840:S1840,0)))</f>
        <v/>
      </c>
      <c r="Y1840" s="8" t="n">
        <v>376</v>
      </c>
      <c r="Z1840" s="10" t="n">
        <v>1</v>
      </c>
    </row>
    <row r="1841">
      <c r="A1841" s="7" t="inlineStr">
        <is>
          <t>MAT-32-490</t>
        </is>
      </c>
      <c r="B1841" s="4" t="inlineStr">
        <is>
          <t>Reducción de PVC presión 1 1/2"</t>
        </is>
      </c>
      <c r="C1841" s="7" t="inlineStr">
        <is>
          <t>unidad</t>
        </is>
      </c>
      <c r="D1841" s="8" t="n"/>
      <c r="E1841" s="8" t="n">
        <v>25.53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>
        <f>IF(COUNT(D1841:S1841)=0,"",MIN(D1841:S1841))</f>
        <v/>
      </c>
      <c r="U1841" s="8">
        <f>IF(COUNT(D1841:S1841)=0,"",MEDIAN(D1841:S1841))</f>
        <v/>
      </c>
      <c r="V1841" s="8">
        <f>IF(COUNT(D1841:S1841)=0,"",MAX(D1841:S1841))</f>
        <v/>
      </c>
      <c r="W1841" s="9">
        <f>IF(OR(T1841="",T1841=0),"",(V1841-T1841)/T1841)</f>
        <v/>
      </c>
      <c r="X1841" s="7">
        <f>IF(COUNT(D1841:S1841)=0,"",INDEX($D$1:$S$1,MATCH(MIN(D1841:S1841),D1841:S1841,0)))</f>
        <v/>
      </c>
      <c r="Y1841" s="8" t="n">
        <v>25.53</v>
      </c>
      <c r="Z1841" s="10" t="n">
        <v>1</v>
      </c>
    </row>
    <row r="1842">
      <c r="A1842" s="7" t="inlineStr">
        <is>
          <t>MAT-32-491</t>
        </is>
      </c>
      <c r="B1842" s="4" t="inlineStr">
        <is>
          <t>Reducción de PVC presión 1 1/2" x 1/2"</t>
        </is>
      </c>
      <c r="C1842" s="7" t="inlineStr">
        <is>
          <t>unidad</t>
        </is>
      </c>
      <c r="D1842" s="8" t="n"/>
      <c r="E1842" s="8" t="n">
        <v>26.39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>
        <f>IF(COUNT(D1842:S1842)=0,"",MIN(D1842:S1842))</f>
        <v/>
      </c>
      <c r="U1842" s="8">
        <f>IF(COUNT(D1842:S1842)=0,"",MEDIAN(D1842:S1842))</f>
        <v/>
      </c>
      <c r="V1842" s="8">
        <f>IF(COUNT(D1842:S1842)=0,"",MAX(D1842:S1842))</f>
        <v/>
      </c>
      <c r="W1842" s="9">
        <f>IF(OR(T1842="",T1842=0),"",(V1842-T1842)/T1842)</f>
        <v/>
      </c>
      <c r="X1842" s="7">
        <f>IF(COUNT(D1842:S1842)=0,"",INDEX($D$1:$S$1,MATCH(MIN(D1842:S1842),D1842:S1842,0)))</f>
        <v/>
      </c>
      <c r="Y1842" s="8" t="n">
        <v>26.39</v>
      </c>
      <c r="Z1842" s="10" t="n">
        <v>1</v>
      </c>
    </row>
    <row r="1843">
      <c r="A1843" s="7" t="inlineStr">
        <is>
          <t>MAT-32-492</t>
        </is>
      </c>
      <c r="B1843" s="4" t="inlineStr">
        <is>
          <t>Reducción de PVC presión 1" x 1/2"</t>
        </is>
      </c>
      <c r="C1843" s="7" t="inlineStr">
        <is>
          <t>unidad</t>
        </is>
      </c>
      <c r="D1843" s="8" t="n"/>
      <c r="E1843" s="8" t="n">
        <v>7.7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>
        <f>IF(COUNT(D1843:S1843)=0,"",MIN(D1843:S1843))</f>
        <v/>
      </c>
      <c r="U1843" s="8">
        <f>IF(COUNT(D1843:S1843)=0,"",MEDIAN(D1843:S1843))</f>
        <v/>
      </c>
      <c r="V1843" s="8">
        <f>IF(COUNT(D1843:S1843)=0,"",MAX(D1843:S1843))</f>
        <v/>
      </c>
      <c r="W1843" s="9">
        <f>IF(OR(T1843="",T1843=0),"",(V1843-T1843)/T1843)</f>
        <v/>
      </c>
      <c r="X1843" s="7">
        <f>IF(COUNT(D1843:S1843)=0,"",INDEX($D$1:$S$1,MATCH(MIN(D1843:S1843),D1843:S1843,0)))</f>
        <v/>
      </c>
      <c r="Y1843" s="8" t="n">
        <v>9.130000000000001</v>
      </c>
      <c r="Z1843" s="10" t="n">
        <v>1</v>
      </c>
    </row>
    <row r="1844">
      <c r="A1844" s="7" t="inlineStr">
        <is>
          <t>MAT-32-493</t>
        </is>
      </c>
      <c r="B1844" s="4" t="inlineStr">
        <is>
          <t>Reducción de PVC presión 1" x 3/4"</t>
        </is>
      </c>
      <c r="C1844" s="7" t="inlineStr">
        <is>
          <t>unidad</t>
        </is>
      </c>
      <c r="D1844" s="8" t="n"/>
      <c r="E1844" s="8" t="n">
        <v>6.11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>
        <f>IF(COUNT(D1844:S1844)=0,"",MIN(D1844:S1844))</f>
        <v/>
      </c>
      <c r="U1844" s="8">
        <f>IF(COUNT(D1844:S1844)=0,"",MEDIAN(D1844:S1844))</f>
        <v/>
      </c>
      <c r="V1844" s="8">
        <f>IF(COUNT(D1844:S1844)=0,"",MAX(D1844:S1844))</f>
        <v/>
      </c>
      <c r="W1844" s="9">
        <f>IF(OR(T1844="",T1844=0),"",(V1844-T1844)/T1844)</f>
        <v/>
      </c>
      <c r="X1844" s="7">
        <f>IF(COUNT(D1844:S1844)=0,"",INDEX($D$1:$S$1,MATCH(MIN(D1844:S1844),D1844:S1844,0)))</f>
        <v/>
      </c>
      <c r="Y1844" s="8" t="n">
        <v>7.19</v>
      </c>
      <c r="Z1844" s="10" t="n">
        <v>1</v>
      </c>
    </row>
    <row r="1845">
      <c r="A1845" s="7" t="inlineStr">
        <is>
          <t>MAT-32-494</t>
        </is>
      </c>
      <c r="B1845" s="4" t="inlineStr">
        <is>
          <t>Reducción de PVC presión 2" x 1 1/2"</t>
        </is>
      </c>
      <c r="C1845" s="7" t="inlineStr">
        <is>
          <t>unidad</t>
        </is>
      </c>
      <c r="D1845" s="8" t="n"/>
      <c r="E1845" s="8" t="n">
        <v>22.64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>
        <f>IF(COUNT(D1845:S1845)=0,"",MIN(D1845:S1845))</f>
        <v/>
      </c>
      <c r="U1845" s="8">
        <f>IF(COUNT(D1845:S1845)=0,"",MEDIAN(D1845:S1845))</f>
        <v/>
      </c>
      <c r="V1845" s="8">
        <f>IF(COUNT(D1845:S1845)=0,"",MAX(D1845:S1845))</f>
        <v/>
      </c>
      <c r="W1845" s="9">
        <f>IF(OR(T1845="",T1845=0),"",(V1845-T1845)/T1845)</f>
        <v/>
      </c>
      <c r="X1845" s="7">
        <f>IF(COUNT(D1845:S1845)=0,"",INDEX($D$1:$S$1,MATCH(MIN(D1845:S1845),D1845:S1845,0)))</f>
        <v/>
      </c>
      <c r="Y1845" s="8" t="n">
        <v>22.64</v>
      </c>
      <c r="Z1845" s="10" t="n">
        <v>1</v>
      </c>
    </row>
    <row r="1846">
      <c r="A1846" s="7" t="inlineStr">
        <is>
          <t>MAT-32-495</t>
        </is>
      </c>
      <c r="B1846" s="4" t="inlineStr">
        <is>
          <t>Reducción de PVC presión 2" x 1/2"</t>
        </is>
      </c>
      <c r="C1846" s="7" t="inlineStr">
        <is>
          <t>unidad</t>
        </is>
      </c>
      <c r="D1846" s="8" t="n"/>
      <c r="E1846" s="8" t="n">
        <v>20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>
        <f>IF(COUNT(D1846:S1846)=0,"",MIN(D1846:S1846))</f>
        <v/>
      </c>
      <c r="U1846" s="8">
        <f>IF(COUNT(D1846:S1846)=0,"",MEDIAN(D1846:S1846))</f>
        <v/>
      </c>
      <c r="V1846" s="8">
        <f>IF(COUNT(D1846:S1846)=0,"",MAX(D1846:S1846))</f>
        <v/>
      </c>
      <c r="W1846" s="9">
        <f>IF(OR(T1846="",T1846=0),"",(V1846-T1846)/T1846)</f>
        <v/>
      </c>
      <c r="X1846" s="7">
        <f>IF(COUNT(D1846:S1846)=0,"",INDEX($D$1:$S$1,MATCH(MIN(D1846:S1846),D1846:S1846,0)))</f>
        <v/>
      </c>
      <c r="Y1846" s="8" t="n">
        <v>36.92</v>
      </c>
      <c r="Z1846" s="10" t="n">
        <v>1</v>
      </c>
    </row>
    <row r="1847">
      <c r="A1847" s="7" t="inlineStr">
        <is>
          <t>MAT-32-496</t>
        </is>
      </c>
      <c r="B1847" s="4" t="inlineStr">
        <is>
          <t>Reducción de PVC presión 2" x 1"</t>
        </is>
      </c>
      <c r="C1847" s="7" t="inlineStr">
        <is>
          <t>unidad</t>
        </is>
      </c>
      <c r="D1847" s="8" t="n"/>
      <c r="E1847" s="8" t="n">
        <v>53.85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>
        <f>IF(COUNT(D1847:S1847)=0,"",MIN(D1847:S1847))</f>
        <v/>
      </c>
      <c r="U1847" s="8">
        <f>IF(COUNT(D1847:S1847)=0,"",MEDIAN(D1847:S1847))</f>
        <v/>
      </c>
      <c r="V1847" s="8">
        <f>IF(COUNT(D1847:S1847)=0,"",MAX(D1847:S1847))</f>
        <v/>
      </c>
      <c r="W1847" s="9">
        <f>IF(OR(T1847="",T1847=0),"",(V1847-T1847)/T1847)</f>
        <v/>
      </c>
      <c r="X1847" s="7">
        <f>IF(COUNT(D1847:S1847)=0,"",INDEX($D$1:$S$1,MATCH(MIN(D1847:S1847),D1847:S1847,0)))</f>
        <v/>
      </c>
      <c r="Y1847" s="8" t="n">
        <v>53.85</v>
      </c>
      <c r="Z1847" s="10" t="n">
        <v>1</v>
      </c>
    </row>
    <row r="1848">
      <c r="A1848" s="7" t="inlineStr">
        <is>
          <t>MAT-32-497</t>
        </is>
      </c>
      <c r="B1848" s="4" t="inlineStr">
        <is>
          <t>Reducción de PVC presión 2" x 3/4"</t>
        </is>
      </c>
      <c r="C1848" s="7" t="inlineStr">
        <is>
          <t>unidad</t>
        </is>
      </c>
      <c r="D1848" s="8" t="n"/>
      <c r="E1848" s="8" t="n">
        <v>53.61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>
        <f>IF(COUNT(D1848:S1848)=0,"",MIN(D1848:S1848))</f>
        <v/>
      </c>
      <c r="U1848" s="8">
        <f>IF(COUNT(D1848:S1848)=0,"",MEDIAN(D1848:S1848))</f>
        <v/>
      </c>
      <c r="V1848" s="8">
        <f>IF(COUNT(D1848:S1848)=0,"",MAX(D1848:S1848))</f>
        <v/>
      </c>
      <c r="W1848" s="9">
        <f>IF(OR(T1848="",T1848=0),"",(V1848-T1848)/T1848)</f>
        <v/>
      </c>
      <c r="X1848" s="7">
        <f>IF(COUNT(D1848:S1848)=0,"",INDEX($D$1:$S$1,MATCH(MIN(D1848:S1848),D1848:S1848,0)))</f>
        <v/>
      </c>
      <c r="Y1848" s="8" t="n">
        <v>53.61</v>
      </c>
      <c r="Z1848" s="10" t="n">
        <v>1</v>
      </c>
    </row>
    <row r="1849">
      <c r="A1849" s="7" t="inlineStr">
        <is>
          <t>MAT-32-498</t>
        </is>
      </c>
      <c r="B1849" s="4" t="inlineStr">
        <is>
          <t>Reducción de PVC presión 3/4" x 1/2"</t>
        </is>
      </c>
      <c r="C1849" s="7" t="inlineStr">
        <is>
          <t>unidad</t>
        </is>
      </c>
      <c r="D1849" s="8" t="n"/>
      <c r="E1849" s="8" t="n">
        <v>2.28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>
        <f>IF(COUNT(D1849:S1849)=0,"",MIN(D1849:S1849))</f>
        <v/>
      </c>
      <c r="U1849" s="8">
        <f>IF(COUNT(D1849:S1849)=0,"",MEDIAN(D1849:S1849))</f>
        <v/>
      </c>
      <c r="V1849" s="8">
        <f>IF(COUNT(D1849:S1849)=0,"",MAX(D1849:S1849))</f>
        <v/>
      </c>
      <c r="W1849" s="9">
        <f>IF(OR(T1849="",T1849=0),"",(V1849-T1849)/T1849)</f>
        <v/>
      </c>
      <c r="X1849" s="7">
        <f>IF(COUNT(D1849:S1849)=0,"",INDEX($D$1:$S$1,MATCH(MIN(D1849:S1849),D1849:S1849,0)))</f>
        <v/>
      </c>
      <c r="Y1849" s="8" t="n">
        <v>3.09</v>
      </c>
      <c r="Z1849" s="10" t="n">
        <v>1</v>
      </c>
    </row>
    <row r="1850">
      <c r="A1850" s="7" t="inlineStr">
        <is>
          <t>MAT-32-499</t>
        </is>
      </c>
      <c r="B1850" s="4" t="inlineStr">
        <is>
          <t>Reducción de PVC presión 3" x 2"</t>
        </is>
      </c>
      <c r="C1850" s="7" t="inlineStr">
        <is>
          <t>unidad</t>
        </is>
      </c>
      <c r="D1850" s="8" t="n"/>
      <c r="E1850" s="8" t="n">
        <v>104.52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>
        <f>IF(COUNT(D1850:S1850)=0,"",MIN(D1850:S1850))</f>
        <v/>
      </c>
      <c r="U1850" s="8">
        <f>IF(COUNT(D1850:S1850)=0,"",MEDIAN(D1850:S1850))</f>
        <v/>
      </c>
      <c r="V1850" s="8">
        <f>IF(COUNT(D1850:S1850)=0,"",MAX(D1850:S1850))</f>
        <v/>
      </c>
      <c r="W1850" s="9">
        <f>IF(OR(T1850="",T1850=0),"",(V1850-T1850)/T1850)</f>
        <v/>
      </c>
      <c r="X1850" s="7">
        <f>IF(COUNT(D1850:S1850)=0,"",INDEX($D$1:$S$1,MATCH(MIN(D1850:S1850),D1850:S1850,0)))</f>
        <v/>
      </c>
      <c r="Y1850" s="8" t="n">
        <v>104.52</v>
      </c>
      <c r="Z1850" s="10" t="n">
        <v>1</v>
      </c>
    </row>
    <row r="1851">
      <c r="A1851" s="7" t="inlineStr">
        <is>
          <t>MAT-32-500</t>
        </is>
      </c>
      <c r="B1851" s="4" t="inlineStr">
        <is>
          <t>Reducción de PVC presión 4" x 3"</t>
        </is>
      </c>
      <c r="C1851" s="7" t="inlineStr">
        <is>
          <t>unidad</t>
        </is>
      </c>
      <c r="D1851" s="8" t="n"/>
      <c r="E1851" s="8" t="n">
        <v>72.37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>
        <f>IF(COUNT(D1851:S1851)=0,"",MIN(D1851:S1851))</f>
        <v/>
      </c>
      <c r="U1851" s="8">
        <f>IF(COUNT(D1851:S1851)=0,"",MEDIAN(D1851:S1851))</f>
        <v/>
      </c>
      <c r="V1851" s="8">
        <f>IF(COUNT(D1851:S1851)=0,"",MAX(D1851:S1851))</f>
        <v/>
      </c>
      <c r="W1851" s="9">
        <f>IF(OR(T1851="",T1851=0),"",(V1851-T1851)/T1851)</f>
        <v/>
      </c>
      <c r="X1851" s="7">
        <f>IF(COUNT(D1851:S1851)=0,"",INDEX($D$1:$S$1,MATCH(MIN(D1851:S1851),D1851:S1851,0)))</f>
        <v/>
      </c>
      <c r="Y1851" s="8" t="n">
        <v>158.69</v>
      </c>
      <c r="Z1851" s="10" t="n">
        <v>1</v>
      </c>
    </row>
    <row r="1852">
      <c r="A1852" s="7" t="inlineStr">
        <is>
          <t>MAT-32-501</t>
        </is>
      </c>
      <c r="B1852" s="4" t="inlineStr">
        <is>
          <t>Tapón hembra de bronce 1/4"</t>
        </is>
      </c>
      <c r="C1852" s="7" t="inlineStr">
        <is>
          <t>unidad</t>
        </is>
      </c>
      <c r="D1852" s="8" t="n"/>
      <c r="E1852" s="8" t="n"/>
      <c r="F1852" s="8" t="n"/>
      <c r="G1852" s="8" t="n">
        <v>101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>
        <f>IF(COUNT(D1852:S1852)=0,"",MIN(D1852:S1852))</f>
        <v/>
      </c>
      <c r="U1852" s="8">
        <f>IF(COUNT(D1852:S1852)=0,"",MEDIAN(D1852:S1852))</f>
        <v/>
      </c>
      <c r="V1852" s="8">
        <f>IF(COUNT(D1852:S1852)=0,"",MAX(D1852:S1852))</f>
        <v/>
      </c>
      <c r="W1852" s="9">
        <f>IF(OR(T1852="",T1852=0),"",(V1852-T1852)/T1852)</f>
        <v/>
      </c>
      <c r="X1852" s="7">
        <f>IF(COUNT(D1852:S1852)=0,"",INDEX($D$1:$S$1,MATCH(MIN(D1852:S1852),D1852:S1852,0)))</f>
        <v/>
      </c>
      <c r="Y1852" s="8" t="n">
        <v>101</v>
      </c>
      <c r="Z1852" s="10" t="n">
        <v>1</v>
      </c>
    </row>
    <row r="1853">
      <c r="A1853" s="7" t="inlineStr">
        <is>
          <t>MAT-32-502</t>
        </is>
      </c>
      <c r="B1853" s="4" t="inlineStr">
        <is>
          <t>Tapón hembra de bronce 3/4"</t>
        </is>
      </c>
      <c r="C1853" s="7" t="inlineStr">
        <is>
          <t>unidad</t>
        </is>
      </c>
      <c r="D1853" s="8" t="n"/>
      <c r="E1853" s="8" t="n">
        <v>100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>
        <f>IF(COUNT(D1853:S1853)=0,"",MIN(D1853:S1853))</f>
        <v/>
      </c>
      <c r="U1853" s="8">
        <f>IF(COUNT(D1853:S1853)=0,"",MEDIAN(D1853:S1853))</f>
        <v/>
      </c>
      <c r="V1853" s="8">
        <f>IF(COUNT(D1853:S1853)=0,"",MAX(D1853:S1853))</f>
        <v/>
      </c>
      <c r="W1853" s="9">
        <f>IF(OR(T1853="",T1853=0),"",(V1853-T1853)/T1853)</f>
        <v/>
      </c>
      <c r="X1853" s="7">
        <f>IF(COUNT(D1853:S1853)=0,"",INDEX($D$1:$S$1,MATCH(MIN(D1853:S1853),D1853:S1853,0)))</f>
        <v/>
      </c>
      <c r="Y1853" s="8" t="n">
        <v>100</v>
      </c>
      <c r="Z1853" s="10" t="n">
        <v>1</v>
      </c>
    </row>
    <row r="1854">
      <c r="A1854" s="7" t="inlineStr">
        <is>
          <t>MAT-32-503</t>
        </is>
      </c>
      <c r="B1854" s="4" t="inlineStr">
        <is>
          <t>Tapón hembra de bronce 3/8"</t>
        </is>
      </c>
      <c r="C1854" s="7" t="inlineStr">
        <is>
          <t>unidad</t>
        </is>
      </c>
      <c r="D1854" s="8" t="n"/>
      <c r="E1854" s="8" t="n"/>
      <c r="F1854" s="8" t="n"/>
      <c r="G1854" s="8" t="n">
        <v>170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>
        <f>IF(COUNT(D1854:S1854)=0,"",MIN(D1854:S1854))</f>
        <v/>
      </c>
      <c r="U1854" s="8">
        <f>IF(COUNT(D1854:S1854)=0,"",MEDIAN(D1854:S1854))</f>
        <v/>
      </c>
      <c r="V1854" s="8">
        <f>IF(COUNT(D1854:S1854)=0,"",MAX(D1854:S1854))</f>
        <v/>
      </c>
      <c r="W1854" s="9">
        <f>IF(OR(T1854="",T1854=0),"",(V1854-T1854)/T1854)</f>
        <v/>
      </c>
      <c r="X1854" s="7">
        <f>IF(COUNT(D1854:S1854)=0,"",INDEX($D$1:$S$1,MATCH(MIN(D1854:S1854),D1854:S1854,0)))</f>
        <v/>
      </c>
      <c r="Y1854" s="8" t="n">
        <v>170</v>
      </c>
      <c r="Z1854" s="10" t="n">
        <v>1</v>
      </c>
    </row>
    <row r="1855">
      <c r="A1855" s="7" t="inlineStr">
        <is>
          <t>MAT-32-504</t>
        </is>
      </c>
      <c r="B1855" s="4" t="inlineStr">
        <is>
          <t>Tapón hembra de CPVC 1/2"</t>
        </is>
      </c>
      <c r="C1855" s="7" t="inlineStr">
        <is>
          <t>unidad</t>
        </is>
      </c>
      <c r="D1855" s="8" t="n"/>
      <c r="E1855" s="8" t="n">
        <v>5.78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>
        <f>IF(COUNT(D1855:S1855)=0,"",MIN(D1855:S1855))</f>
        <v/>
      </c>
      <c r="U1855" s="8">
        <f>IF(COUNT(D1855:S1855)=0,"",MEDIAN(D1855:S1855))</f>
        <v/>
      </c>
      <c r="V1855" s="8">
        <f>IF(COUNT(D1855:S1855)=0,"",MAX(D1855:S1855))</f>
        <v/>
      </c>
      <c r="W1855" s="9">
        <f>IF(OR(T1855="",T1855=0),"",(V1855-T1855)/T1855)</f>
        <v/>
      </c>
      <c r="X1855" s="7">
        <f>IF(COUNT(D1855:S1855)=0,"",INDEX($D$1:$S$1,MATCH(MIN(D1855:S1855),D1855:S1855,0)))</f>
        <v/>
      </c>
      <c r="Y1855" s="8" t="n">
        <v>5.78</v>
      </c>
      <c r="Z1855" s="10" t="n">
        <v>1</v>
      </c>
    </row>
    <row r="1856">
      <c r="A1856" s="7" t="inlineStr">
        <is>
          <t>MAT-32-505</t>
        </is>
      </c>
      <c r="B1856" s="4" t="inlineStr">
        <is>
          <t>Tapón hembra de CPVC 1"</t>
        </is>
      </c>
      <c r="C1856" s="7" t="inlineStr">
        <is>
          <t>unidad</t>
        </is>
      </c>
      <c r="D1856" s="8" t="n"/>
      <c r="E1856" s="8" t="n">
        <v>21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>
        <f>IF(COUNT(D1856:S1856)=0,"",MIN(D1856:S1856))</f>
        <v/>
      </c>
      <c r="U1856" s="8">
        <f>IF(COUNT(D1856:S1856)=0,"",MEDIAN(D1856:S1856))</f>
        <v/>
      </c>
      <c r="V1856" s="8">
        <f>IF(COUNT(D1856:S1856)=0,"",MAX(D1856:S1856))</f>
        <v/>
      </c>
      <c r="W1856" s="9">
        <f>IF(OR(T1856="",T1856=0),"",(V1856-T1856)/T1856)</f>
        <v/>
      </c>
      <c r="X1856" s="7">
        <f>IF(COUNT(D1856:S1856)=0,"",INDEX($D$1:$S$1,MATCH(MIN(D1856:S1856),D1856:S1856,0)))</f>
        <v/>
      </c>
      <c r="Y1856" s="8" t="n">
        <v>21</v>
      </c>
      <c r="Z1856" s="10" t="n">
        <v>1</v>
      </c>
    </row>
    <row r="1857">
      <c r="A1857" s="7" t="inlineStr">
        <is>
          <t>MAT-32-506</t>
        </is>
      </c>
      <c r="B1857" s="4" t="inlineStr">
        <is>
          <t>Tapón hembra de CPVC 3/4"</t>
        </is>
      </c>
      <c r="C1857" s="7" t="inlineStr">
        <is>
          <t>unidad</t>
        </is>
      </c>
      <c r="D1857" s="8" t="n"/>
      <c r="E1857" s="8" t="n">
        <v>8.720000000000001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>
        <f>IF(COUNT(D1857:S1857)=0,"",MIN(D1857:S1857))</f>
        <v/>
      </c>
      <c r="U1857" s="8">
        <f>IF(COUNT(D1857:S1857)=0,"",MEDIAN(D1857:S1857))</f>
        <v/>
      </c>
      <c r="V1857" s="8">
        <f>IF(COUNT(D1857:S1857)=0,"",MAX(D1857:S1857))</f>
        <v/>
      </c>
      <c r="W1857" s="9">
        <f>IF(OR(T1857="",T1857=0),"",(V1857-T1857)/T1857)</f>
        <v/>
      </c>
      <c r="X1857" s="7">
        <f>IF(COUNT(D1857:S1857)=0,"",INDEX($D$1:$S$1,MATCH(MIN(D1857:S1857),D1857:S1857,0)))</f>
        <v/>
      </c>
      <c r="Y1857" s="8" t="n">
        <v>8.720000000000001</v>
      </c>
      <c r="Z1857" s="10" t="n">
        <v>1</v>
      </c>
    </row>
    <row r="1858">
      <c r="A1858" s="7" t="inlineStr">
        <is>
          <t>MAT-32-507</t>
        </is>
      </c>
      <c r="B1858" s="4" t="inlineStr">
        <is>
          <t>Tapón hembra de HG 1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270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>
        <f>IF(COUNT(D1858:S1858)=0,"",MIN(D1858:S1858))</f>
        <v/>
      </c>
      <c r="U1858" s="8">
        <f>IF(COUNT(D1858:S1858)=0,"",MEDIAN(D1858:S1858))</f>
        <v/>
      </c>
      <c r="V1858" s="8">
        <f>IF(COUNT(D1858:S1858)=0,"",MAX(D1858:S1858))</f>
        <v/>
      </c>
      <c r="W1858" s="9">
        <f>IF(OR(T1858="",T1858=0),"",(V1858-T1858)/T1858)</f>
        <v/>
      </c>
      <c r="X1858" s="7">
        <f>IF(COUNT(D1858:S1858)=0,"",INDEX($D$1:$S$1,MATCH(MIN(D1858:S1858),D1858:S1858,0)))</f>
        <v/>
      </c>
      <c r="Y1858" s="8" t="n">
        <v>270</v>
      </c>
      <c r="Z1858" s="10" t="n">
        <v>1</v>
      </c>
    </row>
    <row r="1859">
      <c r="A1859" s="7" t="inlineStr">
        <is>
          <t>MAT-32-508</t>
        </is>
      </c>
      <c r="B1859" s="4" t="inlineStr">
        <is>
          <t>Tapón hembra de HG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>
        <f>IF(COUNT(D1859:S1859)=0,"",MIN(D1859:S1859))</f>
        <v/>
      </c>
      <c r="U1859" s="8">
        <f>IF(COUNT(D1859:S1859)=0,"",MEDIAN(D1859:S1859))</f>
        <v/>
      </c>
      <c r="V1859" s="8">
        <f>IF(COUNT(D1859:S1859)=0,"",MAX(D1859:S1859))</f>
        <v/>
      </c>
      <c r="W1859" s="9">
        <f>IF(OR(T1859="",T1859=0),"",(V1859-T1859)/T1859)</f>
        <v/>
      </c>
      <c r="X1859" s="7">
        <f>IF(COUNT(D1859:S1859)=0,"",INDEX($D$1:$S$1,MATCH(MIN(D1859:S1859),D1859:S1859,0)))</f>
        <v/>
      </c>
      <c r="Y1859" s="8" t="n">
        <v>20</v>
      </c>
      <c r="Z1859" s="10" t="n">
        <v>1</v>
      </c>
    </row>
    <row r="1860">
      <c r="A1860" s="7" t="inlineStr">
        <is>
          <t>MAT-32-509</t>
        </is>
      </c>
      <c r="B1860" s="4" t="inlineStr">
        <is>
          <t>Tapón hembra de HG 1/4"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>
        <f>IF(COUNT(D1860:S1860)=0,"",MIN(D1860:S1860))</f>
        <v/>
      </c>
      <c r="U1860" s="8">
        <f>IF(COUNT(D1860:S1860)=0,"",MEDIAN(D1860:S1860))</f>
        <v/>
      </c>
      <c r="V1860" s="8">
        <f>IF(COUNT(D1860:S1860)=0,"",MAX(D1860:S1860))</f>
        <v/>
      </c>
      <c r="W1860" s="9">
        <f>IF(OR(T1860="",T1860=0),"",(V1860-T1860)/T1860)</f>
        <v/>
      </c>
      <c r="X1860" s="7">
        <f>IF(COUNT(D1860:S1860)=0,"",INDEX($D$1:$S$1,MATCH(MIN(D1860:S1860),D1860:S1860,0)))</f>
        <v/>
      </c>
      <c r="Y1860" s="8" t="n">
        <v>35</v>
      </c>
      <c r="Z1860" s="10" t="n">
        <v>1</v>
      </c>
    </row>
    <row r="1861">
      <c r="A1861" s="7" t="inlineStr">
        <is>
          <t>MAT-32-510</t>
        </is>
      </c>
      <c r="B1861" s="4" t="inlineStr">
        <is>
          <t>Tapón hembra de HG 1"</t>
        </is>
      </c>
      <c r="C1861" s="7" t="inlineStr">
        <is>
          <t>unidad</t>
        </is>
      </c>
      <c r="D1861" s="8" t="n"/>
      <c r="E1861" s="8" t="n"/>
      <c r="F1861" s="8" t="n"/>
      <c r="G1861" s="8" t="n">
        <v>44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>
        <f>IF(COUNT(D1861:S1861)=0,"",MIN(D1861:S1861))</f>
        <v/>
      </c>
      <c r="U1861" s="8">
        <f>IF(COUNT(D1861:S1861)=0,"",MEDIAN(D1861:S1861))</f>
        <v/>
      </c>
      <c r="V1861" s="8">
        <f>IF(COUNT(D1861:S1861)=0,"",MAX(D1861:S1861))</f>
        <v/>
      </c>
      <c r="W1861" s="9">
        <f>IF(OR(T1861="",T1861=0),"",(V1861-T1861)/T1861)</f>
        <v/>
      </c>
      <c r="X1861" s="7">
        <f>IF(COUNT(D1861:S1861)=0,"",INDEX($D$1:$S$1,MATCH(MIN(D1861:S1861),D1861:S1861,0)))</f>
        <v/>
      </c>
      <c r="Y1861" s="8" t="n">
        <v>44</v>
      </c>
      <c r="Z1861" s="10" t="n">
        <v>1</v>
      </c>
    </row>
    <row r="1862">
      <c r="A1862" s="7" t="inlineStr">
        <is>
          <t>MAT-32-511</t>
        </is>
      </c>
      <c r="B1862" s="4" t="inlineStr">
        <is>
          <t>Tapón hembra de HG 2"</t>
        </is>
      </c>
      <c r="C1862" s="7" t="inlineStr">
        <is>
          <t>unidad</t>
        </is>
      </c>
      <c r="D1862" s="8" t="n"/>
      <c r="E1862" s="8" t="n"/>
      <c r="F1862" s="8" t="n"/>
      <c r="G1862" s="8" t="n">
        <v>189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>
        <f>IF(COUNT(D1862:S1862)=0,"",MIN(D1862:S1862))</f>
        <v/>
      </c>
      <c r="U1862" s="8">
        <f>IF(COUNT(D1862:S1862)=0,"",MEDIAN(D1862:S1862))</f>
        <v/>
      </c>
      <c r="V1862" s="8">
        <f>IF(COUNT(D1862:S1862)=0,"",MAX(D1862:S1862))</f>
        <v/>
      </c>
      <c r="W1862" s="9">
        <f>IF(OR(T1862="",T1862=0),"",(V1862-T1862)/T1862)</f>
        <v/>
      </c>
      <c r="X1862" s="7">
        <f>IF(COUNT(D1862:S1862)=0,"",INDEX($D$1:$S$1,MATCH(MIN(D1862:S1862),D1862:S1862,0)))</f>
        <v/>
      </c>
      <c r="Y1862" s="8" t="n">
        <v>189</v>
      </c>
      <c r="Z1862" s="10" t="n">
        <v>1</v>
      </c>
    </row>
    <row r="1863">
      <c r="A1863" s="7" t="inlineStr">
        <is>
          <t>MAT-32-513</t>
        </is>
      </c>
      <c r="B1863" s="4" t="inlineStr">
        <is>
          <t>Tapón hembra de PPR 25 mm</t>
        </is>
      </c>
      <c r="C1863" s="7" t="inlineStr">
        <is>
          <t>unidad</t>
        </is>
      </c>
      <c r="D1863" s="8" t="n"/>
      <c r="E1863" s="8" t="n">
        <v>4.16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>
        <f>IF(COUNT(D1863:S1863)=0,"",MIN(D1863:S1863))</f>
        <v/>
      </c>
      <c r="U1863" s="8">
        <f>IF(COUNT(D1863:S1863)=0,"",MEDIAN(D1863:S1863))</f>
        <v/>
      </c>
      <c r="V1863" s="8">
        <f>IF(COUNT(D1863:S1863)=0,"",MAX(D1863:S1863))</f>
        <v/>
      </c>
      <c r="W1863" s="9">
        <f>IF(OR(T1863="",T1863=0),"",(V1863-T1863)/T1863)</f>
        <v/>
      </c>
      <c r="X1863" s="7">
        <f>IF(COUNT(D1863:S1863)=0,"",INDEX($D$1:$S$1,MATCH(MIN(D1863:S1863),D1863:S1863,0)))</f>
        <v/>
      </c>
      <c r="Y1863" s="8" t="n">
        <v>4.16</v>
      </c>
      <c r="Z1863" s="10" t="n">
        <v>1</v>
      </c>
    </row>
    <row r="1864">
      <c r="A1864" s="7" t="inlineStr">
        <is>
          <t>MAT-32-514</t>
        </is>
      </c>
      <c r="B1864" s="4" t="inlineStr">
        <is>
          <t>Tapón hembra de PPR 32 mm</t>
        </is>
      </c>
      <c r="C1864" s="7" t="inlineStr">
        <is>
          <t>unidad</t>
        </is>
      </c>
      <c r="D1864" s="8" t="n"/>
      <c r="E1864" s="8" t="n">
        <v>7.47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>
        <f>IF(COUNT(D1864:S1864)=0,"",MIN(D1864:S1864))</f>
        <v/>
      </c>
      <c r="U1864" s="8">
        <f>IF(COUNT(D1864:S1864)=0,"",MEDIAN(D1864:S1864))</f>
        <v/>
      </c>
      <c r="V1864" s="8">
        <f>IF(COUNT(D1864:S1864)=0,"",MAX(D1864:S1864))</f>
        <v/>
      </c>
      <c r="W1864" s="9">
        <f>IF(OR(T1864="",T1864=0),"",(V1864-T1864)/T1864)</f>
        <v/>
      </c>
      <c r="X1864" s="7">
        <f>IF(COUNT(D1864:S1864)=0,"",INDEX($D$1:$S$1,MATCH(MIN(D1864:S1864),D1864:S1864,0)))</f>
        <v/>
      </c>
      <c r="Y1864" s="8" t="n">
        <v>7.47</v>
      </c>
      <c r="Z1864" s="10" t="n">
        <v>1</v>
      </c>
    </row>
    <row r="1865">
      <c r="A1865" s="7" t="inlineStr">
        <is>
          <t>MAT-32-515</t>
        </is>
      </c>
      <c r="B1865" s="4" t="inlineStr">
        <is>
          <t>Tapón hembra de PVC drenaje 2"</t>
        </is>
      </c>
      <c r="C1865" s="7" t="inlineStr">
        <is>
          <t>unidad</t>
        </is>
      </c>
      <c r="D1865" s="8" t="n"/>
      <c r="E1865" s="8" t="n">
        <v>45.68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>
        <f>IF(COUNT(D1865:S1865)=0,"",MIN(D1865:S1865))</f>
        <v/>
      </c>
      <c r="U1865" s="8">
        <f>IF(COUNT(D1865:S1865)=0,"",MEDIAN(D1865:S1865))</f>
        <v/>
      </c>
      <c r="V1865" s="8">
        <f>IF(COUNT(D1865:S1865)=0,"",MAX(D1865:S1865))</f>
        <v/>
      </c>
      <c r="W1865" s="9">
        <f>IF(OR(T1865="",T1865=0),"",(V1865-T1865)/T1865)</f>
        <v/>
      </c>
      <c r="X1865" s="7">
        <f>IF(COUNT(D1865:S1865)=0,"",INDEX($D$1:$S$1,MATCH(MIN(D1865:S1865),D1865:S1865,0)))</f>
        <v/>
      </c>
      <c r="Y1865" s="8" t="n">
        <v>45.68</v>
      </c>
      <c r="Z1865" s="10" t="n">
        <v>1</v>
      </c>
    </row>
    <row r="1866">
      <c r="A1866" s="7" t="inlineStr">
        <is>
          <t>MAT-32-516</t>
        </is>
      </c>
      <c r="B1866" s="4" t="inlineStr">
        <is>
          <t>Tapón hembra de PVC drenaje 3"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>
        <f>IF(COUNT(D1866:S1866)=0,"",MIN(D1866:S1866))</f>
        <v/>
      </c>
      <c r="U1866" s="8">
        <f>IF(COUNT(D1866:S1866)=0,"",MEDIAN(D1866:S1866))</f>
        <v/>
      </c>
      <c r="V1866" s="8">
        <f>IF(COUNT(D1866:S1866)=0,"",MAX(D1866:S1866))</f>
        <v/>
      </c>
      <c r="W1866" s="9">
        <f>IF(OR(T1866="",T1866=0),"",(V1866-T1866)/T1866)</f>
        <v/>
      </c>
      <c r="X1866" s="7">
        <f>IF(COUNT(D1866:S1866)=0,"",INDEX($D$1:$S$1,MATCH(MIN(D1866:S1866),D1866:S1866,0)))</f>
        <v/>
      </c>
      <c r="Y1866" s="8" t="n">
        <v>71</v>
      </c>
      <c r="Z1866" s="10" t="n">
        <v>1</v>
      </c>
    </row>
    <row r="1867">
      <c r="A1867" s="7" t="inlineStr">
        <is>
          <t>MAT-32-517</t>
        </is>
      </c>
      <c r="B1867" s="4" t="inlineStr">
        <is>
          <t>Tapón hembra de PVC drenaje 4"</t>
        </is>
      </c>
      <c r="C1867" s="7" t="inlineStr">
        <is>
          <t>unidad</t>
        </is>
      </c>
      <c r="D1867" s="8" t="n"/>
      <c r="E1867" s="8" t="n">
        <v>112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>
        <f>IF(COUNT(D1867:S1867)=0,"",MIN(D1867:S1867))</f>
        <v/>
      </c>
      <c r="U1867" s="8">
        <f>IF(COUNT(D1867:S1867)=0,"",MEDIAN(D1867:S1867))</f>
        <v/>
      </c>
      <c r="V1867" s="8">
        <f>IF(COUNT(D1867:S1867)=0,"",MAX(D1867:S1867))</f>
        <v/>
      </c>
      <c r="W1867" s="9">
        <f>IF(OR(T1867="",T1867=0),"",(V1867-T1867)/T1867)</f>
        <v/>
      </c>
      <c r="X1867" s="7">
        <f>IF(COUNT(D1867:S1867)=0,"",INDEX($D$1:$S$1,MATCH(MIN(D1867:S1867),D1867:S1867,0)))</f>
        <v/>
      </c>
      <c r="Y1867" s="8" t="n">
        <v>112</v>
      </c>
      <c r="Z1867" s="10" t="n">
        <v>1</v>
      </c>
    </row>
    <row r="1868">
      <c r="A1868" s="7" t="inlineStr">
        <is>
          <t>MAT-32-518</t>
        </is>
      </c>
      <c r="B1868" s="4" t="inlineStr">
        <is>
          <t>Tapón hembra de PVC 1/2"</t>
        </is>
      </c>
      <c r="C1868" s="7" t="inlineStr">
        <is>
          <t>unidad</t>
        </is>
      </c>
      <c r="D1868" s="8" t="n"/>
      <c r="E1868" s="8" t="n">
        <v>4.22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>
        <f>IF(COUNT(D1868:S1868)=0,"",MIN(D1868:S1868))</f>
        <v/>
      </c>
      <c r="U1868" s="8">
        <f>IF(COUNT(D1868:S1868)=0,"",MEDIAN(D1868:S1868))</f>
        <v/>
      </c>
      <c r="V1868" s="8">
        <f>IF(COUNT(D1868:S1868)=0,"",MAX(D1868:S1868))</f>
        <v/>
      </c>
      <c r="W1868" s="9">
        <f>IF(OR(T1868="",T1868=0),"",(V1868-T1868)/T1868)</f>
        <v/>
      </c>
      <c r="X1868" s="7">
        <f>IF(COUNT(D1868:S1868)=0,"",INDEX($D$1:$S$1,MATCH(MIN(D1868:S1868),D1868:S1868,0)))</f>
        <v/>
      </c>
      <c r="Y1868" s="8" t="n">
        <v>4.22</v>
      </c>
      <c r="Z1868" s="10" t="n">
        <v>1</v>
      </c>
    </row>
    <row r="1869">
      <c r="A1869" s="7" t="inlineStr">
        <is>
          <t>MAT-32-519</t>
        </is>
      </c>
      <c r="B1869" s="4" t="inlineStr">
        <is>
          <t>Tapón hembra de PVC 12"</t>
        </is>
      </c>
      <c r="C1869" s="7" t="inlineStr">
        <is>
          <t>unidad</t>
        </is>
      </c>
      <c r="D1869" s="8" t="n"/>
      <c r="E1869" s="8" t="n">
        <v>8495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>
        <f>IF(COUNT(D1869:S1869)=0,"",MIN(D1869:S1869))</f>
        <v/>
      </c>
      <c r="U1869" s="8">
        <f>IF(COUNT(D1869:S1869)=0,"",MEDIAN(D1869:S1869))</f>
        <v/>
      </c>
      <c r="V1869" s="8">
        <f>IF(COUNT(D1869:S1869)=0,"",MAX(D1869:S1869))</f>
        <v/>
      </c>
      <c r="W1869" s="9">
        <f>IF(OR(T1869="",T1869=0),"",(V1869-T1869)/T1869)</f>
        <v/>
      </c>
      <c r="X1869" s="7">
        <f>IF(COUNT(D1869:S1869)=0,"",INDEX($D$1:$S$1,MATCH(MIN(D1869:S1869),D1869:S1869,0)))</f>
        <v/>
      </c>
      <c r="Y1869" s="8" t="n">
        <v>8495</v>
      </c>
      <c r="Z1869" s="10" t="n">
        <v>1</v>
      </c>
    </row>
    <row r="1870">
      <c r="A1870" s="7" t="inlineStr">
        <is>
          <t>MAT-32-520</t>
        </is>
      </c>
      <c r="B1870" s="4" t="inlineStr">
        <is>
          <t>Tapón hembra de PVC 8"</t>
        </is>
      </c>
      <c r="C1870" s="7" t="inlineStr">
        <is>
          <t>unidad</t>
        </is>
      </c>
      <c r="D1870" s="8" t="n"/>
      <c r="E1870" s="8" t="n">
        <v>840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>
        <f>IF(COUNT(D1870:S1870)=0,"",MIN(D1870:S1870))</f>
        <v/>
      </c>
      <c r="U1870" s="8">
        <f>IF(COUNT(D1870:S1870)=0,"",MEDIAN(D1870:S1870))</f>
        <v/>
      </c>
      <c r="V1870" s="8">
        <f>IF(COUNT(D1870:S1870)=0,"",MAX(D1870:S1870))</f>
        <v/>
      </c>
      <c r="W1870" s="9">
        <f>IF(OR(T1870="",T1870=0),"",(V1870-T1870)/T1870)</f>
        <v/>
      </c>
      <c r="X1870" s="7">
        <f>IF(COUNT(D1870:S1870)=0,"",INDEX($D$1:$S$1,MATCH(MIN(D1870:S1870),D1870:S1870,0)))</f>
        <v/>
      </c>
      <c r="Y1870" s="8" t="n">
        <v>840</v>
      </c>
      <c r="Z1870" s="10" t="n">
        <v>1</v>
      </c>
    </row>
    <row r="1871">
      <c r="A1871" s="7" t="inlineStr">
        <is>
          <t>MAT-32-521</t>
        </is>
      </c>
      <c r="B1871" s="4" t="inlineStr">
        <is>
          <t>Tapón hembra de PVC presión 1 1/2"</t>
        </is>
      </c>
      <c r="C1871" s="7" t="inlineStr">
        <is>
          <t>unidad</t>
        </is>
      </c>
      <c r="D1871" s="8" t="n"/>
      <c r="E1871" s="8" t="n">
        <v>11.93</v>
      </c>
      <c r="F1871" s="8" t="n"/>
      <c r="G1871" s="8" t="n">
        <v>50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>
        <f>IF(COUNT(D1871:S1871)=0,"",MIN(D1871:S1871))</f>
        <v/>
      </c>
      <c r="U1871" s="8">
        <f>IF(COUNT(D1871:S1871)=0,"",MEDIAN(D1871:S1871))</f>
        <v/>
      </c>
      <c r="V1871" s="8">
        <f>IF(COUNT(D1871:S1871)=0,"",MAX(D1871:S1871))</f>
        <v/>
      </c>
      <c r="W1871" s="9">
        <f>IF(OR(T1871="",T1871=0),"",(V1871-T1871)/T1871)</f>
        <v/>
      </c>
      <c r="X1871" s="7">
        <f>IF(COUNT(D1871:S1871)=0,"",INDEX($D$1:$S$1,MATCH(MIN(D1871:S1871),D1871:S1871,0)))</f>
        <v/>
      </c>
      <c r="Y1871" s="8" t="n">
        <v>16.56</v>
      </c>
      <c r="Z1871" s="10" t="n">
        <v>2</v>
      </c>
    </row>
    <row r="1872">
      <c r="A1872" s="7" t="inlineStr">
        <is>
          <t>MAT-32-522</t>
        </is>
      </c>
      <c r="B1872" s="4" t="inlineStr">
        <is>
          <t>Tapón hembra de PVC presión 1/2"</t>
        </is>
      </c>
      <c r="C1872" s="7" t="inlineStr">
        <is>
          <t>unidad</t>
        </is>
      </c>
      <c r="D1872" s="8" t="n"/>
      <c r="E1872" s="8" t="n">
        <v>2.21</v>
      </c>
      <c r="F1872" s="8" t="n"/>
      <c r="G1872" s="8" t="n">
        <v>18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>
        <f>IF(COUNT(D1872:S1872)=0,"",MIN(D1872:S1872))</f>
        <v/>
      </c>
      <c r="U1872" s="8">
        <f>IF(COUNT(D1872:S1872)=0,"",MEDIAN(D1872:S1872))</f>
        <v/>
      </c>
      <c r="V1872" s="8">
        <f>IF(COUNT(D1872:S1872)=0,"",MAX(D1872:S1872))</f>
        <v/>
      </c>
      <c r="W1872" s="9">
        <f>IF(OR(T1872="",T1872=0),"",(V1872-T1872)/T1872)</f>
        <v/>
      </c>
      <c r="X1872" s="7">
        <f>IF(COUNT(D1872:S1872)=0,"",INDEX($D$1:$S$1,MATCH(MIN(D1872:S1872),D1872:S1872,0)))</f>
        <v/>
      </c>
      <c r="Y1872" s="8" t="n">
        <v>10.85</v>
      </c>
      <c r="Z1872" s="10" t="n">
        <v>2</v>
      </c>
    </row>
    <row r="1873">
      <c r="A1873" s="7" t="inlineStr">
        <is>
          <t>MAT-32-523</t>
        </is>
      </c>
      <c r="B1873" s="4" t="inlineStr">
        <is>
          <t>Tapón hembra de PVC presión 1"</t>
        </is>
      </c>
      <c r="C1873" s="7" t="inlineStr">
        <is>
          <t>unidad</t>
        </is>
      </c>
      <c r="D1873" s="8" t="n"/>
      <c r="E1873" s="8" t="n">
        <v>5.41</v>
      </c>
      <c r="F1873" s="8" t="n"/>
      <c r="G1873" s="8" t="n">
        <v>35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>
        <f>IF(COUNT(D1873:S1873)=0,"",MIN(D1873:S1873))</f>
        <v/>
      </c>
      <c r="U1873" s="8">
        <f>IF(COUNT(D1873:S1873)=0,"",MEDIAN(D1873:S1873))</f>
        <v/>
      </c>
      <c r="V1873" s="8">
        <f>IF(COUNT(D1873:S1873)=0,"",MAX(D1873:S1873))</f>
        <v/>
      </c>
      <c r="W1873" s="9">
        <f>IF(OR(T1873="",T1873=0),"",(V1873-T1873)/T1873)</f>
        <v/>
      </c>
      <c r="X1873" s="7">
        <f>IF(COUNT(D1873:S1873)=0,"",INDEX($D$1:$S$1,MATCH(MIN(D1873:S1873),D1873:S1873,0)))</f>
        <v/>
      </c>
      <c r="Y1873" s="8" t="n">
        <v>21.98</v>
      </c>
      <c r="Z1873" s="10" t="n">
        <v>2</v>
      </c>
    </row>
    <row r="1874">
      <c r="A1874" s="7" t="inlineStr">
        <is>
          <t>MAT-32-524</t>
        </is>
      </c>
      <c r="B1874" s="4" t="inlineStr">
        <is>
          <t>Tapón hembra de PVC presión 2"</t>
        </is>
      </c>
      <c r="C1874" s="7" t="inlineStr">
        <is>
          <t>unidad</t>
        </is>
      </c>
      <c r="D1874" s="8" t="n"/>
      <c r="E1874" s="8" t="n">
        <v>17.57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>
        <f>IF(COUNT(D1874:S1874)=0,"",MIN(D1874:S1874))</f>
        <v/>
      </c>
      <c r="U1874" s="8">
        <f>IF(COUNT(D1874:S1874)=0,"",MEDIAN(D1874:S1874))</f>
        <v/>
      </c>
      <c r="V1874" s="8">
        <f>IF(COUNT(D1874:S1874)=0,"",MAX(D1874:S1874))</f>
        <v/>
      </c>
      <c r="W1874" s="9">
        <f>IF(OR(T1874="",T1874=0),"",(V1874-T1874)/T1874)</f>
        <v/>
      </c>
      <c r="X1874" s="7">
        <f>IF(COUNT(D1874:S1874)=0,"",INDEX($D$1:$S$1,MATCH(MIN(D1874:S1874),D1874:S1874,0)))</f>
        <v/>
      </c>
      <c r="Y1874" s="8" t="n">
        <v>22.44</v>
      </c>
      <c r="Z1874" s="10" t="n">
        <v>1</v>
      </c>
    </row>
    <row r="1875">
      <c r="A1875" s="7" t="inlineStr">
        <is>
          <t>MAT-32-525</t>
        </is>
      </c>
      <c r="B1875" s="4" t="inlineStr">
        <is>
          <t>Tapón hembra de PVC presión 3/4"</t>
        </is>
      </c>
      <c r="C1875" s="7" t="inlineStr">
        <is>
          <t>unidad</t>
        </is>
      </c>
      <c r="D1875" s="8" t="n"/>
      <c r="E1875" s="8" t="n">
        <v>3.6</v>
      </c>
      <c r="F1875" s="8" t="n"/>
      <c r="G1875" s="8" t="n">
        <v>20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>
        <f>IF(COUNT(D1875:S1875)=0,"",MIN(D1875:S1875))</f>
        <v/>
      </c>
      <c r="U1875" s="8">
        <f>IF(COUNT(D1875:S1875)=0,"",MEDIAN(D1875:S1875))</f>
        <v/>
      </c>
      <c r="V1875" s="8">
        <f>IF(COUNT(D1875:S1875)=0,"",MAX(D1875:S1875))</f>
        <v/>
      </c>
      <c r="W1875" s="9">
        <f>IF(OR(T1875="",T1875=0),"",(V1875-T1875)/T1875)</f>
        <v/>
      </c>
      <c r="X1875" s="7">
        <f>IF(COUNT(D1875:S1875)=0,"",INDEX($D$1:$S$1,MATCH(MIN(D1875:S1875),D1875:S1875,0)))</f>
        <v/>
      </c>
      <c r="Y1875" s="8" t="n">
        <v>5.17</v>
      </c>
      <c r="Z1875" s="10" t="n">
        <v>2</v>
      </c>
    </row>
    <row r="1876">
      <c r="A1876" s="7" t="inlineStr">
        <is>
          <t>MAT-32-526</t>
        </is>
      </c>
      <c r="B1876" s="4" t="inlineStr">
        <is>
          <t>Tapón hembra de PVC presión 3"</t>
        </is>
      </c>
      <c r="C1876" s="7" t="inlineStr">
        <is>
          <t>unidad</t>
        </is>
      </c>
      <c r="D1876" s="8" t="n"/>
      <c r="E1876" s="8" t="n">
        <v>50</v>
      </c>
      <c r="F1876" s="8" t="n"/>
      <c r="G1876" s="8" t="n">
        <v>205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>
        <f>IF(COUNT(D1876:S1876)=0,"",MIN(D1876:S1876))</f>
        <v/>
      </c>
      <c r="U1876" s="8">
        <f>IF(COUNT(D1876:S1876)=0,"",MEDIAN(D1876:S1876))</f>
        <v/>
      </c>
      <c r="V1876" s="8">
        <f>IF(COUNT(D1876:S1876)=0,"",MAX(D1876:S1876))</f>
        <v/>
      </c>
      <c r="W1876" s="9">
        <f>IF(OR(T1876="",T1876=0),"",(V1876-T1876)/T1876)</f>
        <v/>
      </c>
      <c r="X1876" s="7">
        <f>IF(COUNT(D1876:S1876)=0,"",INDEX($D$1:$S$1,MATCH(MIN(D1876:S1876),D1876:S1876,0)))</f>
        <v/>
      </c>
      <c r="Y1876" s="8" t="n">
        <v>74.88</v>
      </c>
      <c r="Z1876" s="10" t="n">
        <v>2</v>
      </c>
    </row>
    <row r="1877">
      <c r="A1877" s="7" t="inlineStr">
        <is>
          <t>MAT-32-527</t>
        </is>
      </c>
      <c r="B1877" s="4" t="inlineStr">
        <is>
          <t>Tapón hembra de PVC presión 4"</t>
        </is>
      </c>
      <c r="C1877" s="7" t="inlineStr">
        <is>
          <t>unidad</t>
        </is>
      </c>
      <c r="D1877" s="8" t="n"/>
      <c r="E1877" s="8" t="n">
        <v>81.05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>
        <f>IF(COUNT(D1877:S1877)=0,"",MIN(D1877:S1877))</f>
        <v/>
      </c>
      <c r="U1877" s="8">
        <f>IF(COUNT(D1877:S1877)=0,"",MEDIAN(D1877:S1877))</f>
        <v/>
      </c>
      <c r="V1877" s="8">
        <f>IF(COUNT(D1877:S1877)=0,"",MAX(D1877:S1877))</f>
        <v/>
      </c>
      <c r="W1877" s="9">
        <f>IF(OR(T1877="",T1877=0),"",(V1877-T1877)/T1877)</f>
        <v/>
      </c>
      <c r="X1877" s="7">
        <f>IF(COUNT(D1877:S1877)=0,"",INDEX($D$1:$S$1,MATCH(MIN(D1877:S1877),D1877:S1877,0)))</f>
        <v/>
      </c>
      <c r="Y1877" s="8" t="n">
        <v>102.64</v>
      </c>
      <c r="Z1877" s="10" t="n">
        <v>1</v>
      </c>
    </row>
    <row r="1878">
      <c r="A1878" s="7" t="inlineStr">
        <is>
          <t>MAT-32-528</t>
        </is>
      </c>
      <c r="B1878" s="4" t="inlineStr">
        <is>
          <t>Tapón hembra de PVC presión 6"</t>
        </is>
      </c>
      <c r="C1878" s="7" t="inlineStr">
        <is>
          <t>unidad</t>
        </is>
      </c>
      <c r="D1878" s="8" t="n"/>
      <c r="E1878" s="8" t="n">
        <v>309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>
        <f>IF(COUNT(D1878:S1878)=0,"",MIN(D1878:S1878))</f>
        <v/>
      </c>
      <c r="U1878" s="8">
        <f>IF(COUNT(D1878:S1878)=0,"",MEDIAN(D1878:S1878))</f>
        <v/>
      </c>
      <c r="V1878" s="8">
        <f>IF(COUNT(D1878:S1878)=0,"",MAX(D1878:S1878))</f>
        <v/>
      </c>
      <c r="W1878" s="9">
        <f>IF(OR(T1878="",T1878=0),"",(V1878-T1878)/T1878)</f>
        <v/>
      </c>
      <c r="X1878" s="7">
        <f>IF(COUNT(D1878:S1878)=0,"",INDEX($D$1:$S$1,MATCH(MIN(D1878:S1878),D1878:S1878,0)))</f>
        <v/>
      </c>
      <c r="Y1878" s="8" t="n">
        <v>379.5</v>
      </c>
      <c r="Z1878" s="10" t="n">
        <v>1</v>
      </c>
    </row>
    <row r="1879">
      <c r="A1879" s="7" t="inlineStr">
        <is>
          <t>MAT-32-529</t>
        </is>
      </c>
      <c r="B1879" s="4" t="inlineStr">
        <is>
          <t>Tapón macho de bronce 1/2"</t>
        </is>
      </c>
      <c r="C1879" s="7" t="inlineStr">
        <is>
          <t>unidad</t>
        </is>
      </c>
      <c r="D1879" s="8" t="n"/>
      <c r="E1879" s="8" t="n">
        <v>80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>
        <f>IF(COUNT(D1879:S1879)=0,"",MIN(D1879:S1879))</f>
        <v/>
      </c>
      <c r="U1879" s="8">
        <f>IF(COUNT(D1879:S1879)=0,"",MEDIAN(D1879:S1879))</f>
        <v/>
      </c>
      <c r="V1879" s="8">
        <f>IF(COUNT(D1879:S1879)=0,"",MAX(D1879:S1879))</f>
        <v/>
      </c>
      <c r="W1879" s="9">
        <f>IF(OR(T1879="",T1879=0),"",(V1879-T1879)/T1879)</f>
        <v/>
      </c>
      <c r="X1879" s="7">
        <f>IF(COUNT(D1879:S1879)=0,"",INDEX($D$1:$S$1,MATCH(MIN(D1879:S1879),D1879:S1879,0)))</f>
        <v/>
      </c>
      <c r="Y1879" s="8" t="n">
        <v>80</v>
      </c>
      <c r="Z1879" s="10" t="n">
        <v>1</v>
      </c>
    </row>
    <row r="1880">
      <c r="A1880" s="7" t="inlineStr">
        <is>
          <t>MAT-32-530</t>
        </is>
      </c>
      <c r="B1880" s="4" t="inlineStr">
        <is>
          <t>Tapón macho de bronce 1/4"</t>
        </is>
      </c>
      <c r="C1880" s="7" t="inlineStr">
        <is>
          <t>unidad</t>
        </is>
      </c>
      <c r="D1880" s="8" t="n"/>
      <c r="E1880" s="8" t="n">
        <v>21.58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>
        <f>IF(COUNT(D1880:S1880)=0,"",MIN(D1880:S1880))</f>
        <v/>
      </c>
      <c r="U1880" s="8">
        <f>IF(COUNT(D1880:S1880)=0,"",MEDIAN(D1880:S1880))</f>
        <v/>
      </c>
      <c r="V1880" s="8">
        <f>IF(COUNT(D1880:S1880)=0,"",MAX(D1880:S1880))</f>
        <v/>
      </c>
      <c r="W1880" s="9">
        <f>IF(OR(T1880="",T1880=0),"",(V1880-T1880)/T1880)</f>
        <v/>
      </c>
      <c r="X1880" s="7">
        <f>IF(COUNT(D1880:S1880)=0,"",INDEX($D$1:$S$1,MATCH(MIN(D1880:S1880),D1880:S1880,0)))</f>
        <v/>
      </c>
      <c r="Y1880" s="8" t="n">
        <v>29.29</v>
      </c>
      <c r="Z1880" s="10" t="n">
        <v>1</v>
      </c>
    </row>
    <row r="1881">
      <c r="A1881" s="7" t="inlineStr">
        <is>
          <t>MAT-32-531</t>
        </is>
      </c>
      <c r="B1881" s="4" t="inlineStr">
        <is>
          <t>Tapón macho de bronce 1/8"</t>
        </is>
      </c>
      <c r="C1881" s="7" t="inlineStr">
        <is>
          <t>unidad</t>
        </is>
      </c>
      <c r="D1881" s="8" t="n"/>
      <c r="E1881" s="8" t="n">
        <v>40.2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>
        <f>IF(COUNT(D1881:S1881)=0,"",MIN(D1881:S1881))</f>
        <v/>
      </c>
      <c r="U1881" s="8">
        <f>IF(COUNT(D1881:S1881)=0,"",MEDIAN(D1881:S1881))</f>
        <v/>
      </c>
      <c r="V1881" s="8">
        <f>IF(COUNT(D1881:S1881)=0,"",MAX(D1881:S1881))</f>
        <v/>
      </c>
      <c r="W1881" s="9">
        <f>IF(OR(T1881="",T1881=0),"",(V1881-T1881)/T1881)</f>
        <v/>
      </c>
      <c r="X1881" s="7">
        <f>IF(COUNT(D1881:S1881)=0,"",INDEX($D$1:$S$1,MATCH(MIN(D1881:S1881),D1881:S1881,0)))</f>
        <v/>
      </c>
      <c r="Y1881" s="8" t="n">
        <v>40.2</v>
      </c>
      <c r="Z1881" s="10" t="n">
        <v>1</v>
      </c>
    </row>
    <row r="1882">
      <c r="A1882" s="7" t="inlineStr">
        <is>
          <t>MAT-32-532</t>
        </is>
      </c>
      <c r="B1882" s="4" t="inlineStr">
        <is>
          <t>Tapón macho de bronce 3/4"</t>
        </is>
      </c>
      <c r="C1882" s="7" t="inlineStr">
        <is>
          <t>unidad</t>
        </is>
      </c>
      <c r="D1882" s="8" t="n"/>
      <c r="E1882" s="8" t="n">
        <v>140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>
        <f>IF(COUNT(D1882:S1882)=0,"",MIN(D1882:S1882))</f>
        <v/>
      </c>
      <c r="U1882" s="8">
        <f>IF(COUNT(D1882:S1882)=0,"",MEDIAN(D1882:S1882))</f>
        <v/>
      </c>
      <c r="V1882" s="8">
        <f>IF(COUNT(D1882:S1882)=0,"",MAX(D1882:S1882))</f>
        <v/>
      </c>
      <c r="W1882" s="9">
        <f>IF(OR(T1882="",T1882=0),"",(V1882-T1882)/T1882)</f>
        <v/>
      </c>
      <c r="X1882" s="7">
        <f>IF(COUNT(D1882:S1882)=0,"",INDEX($D$1:$S$1,MATCH(MIN(D1882:S1882),D1882:S1882,0)))</f>
        <v/>
      </c>
      <c r="Y1882" s="8" t="n">
        <v>140</v>
      </c>
      <c r="Z1882" s="10" t="n">
        <v>1</v>
      </c>
    </row>
    <row r="1883">
      <c r="A1883" s="7" t="inlineStr">
        <is>
          <t>MAT-32-533</t>
        </is>
      </c>
      <c r="B1883" s="4" t="inlineStr">
        <is>
          <t>Tapón macho de HG 1 1/2"</t>
        </is>
      </c>
      <c r="C1883" s="7" t="inlineStr">
        <is>
          <t>unidad</t>
        </is>
      </c>
      <c r="D1883" s="8" t="n"/>
      <c r="E1883" s="8" t="n">
        <v>58</v>
      </c>
      <c r="F1883" s="8" t="n"/>
      <c r="G1883" s="8" t="n">
        <v>100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>
        <f>IF(COUNT(D1883:S1883)=0,"",MIN(D1883:S1883))</f>
        <v/>
      </c>
      <c r="U1883" s="8">
        <f>IF(COUNT(D1883:S1883)=0,"",MEDIAN(D1883:S1883))</f>
        <v/>
      </c>
      <c r="V1883" s="8">
        <f>IF(COUNT(D1883:S1883)=0,"",MAX(D1883:S1883))</f>
        <v/>
      </c>
      <c r="W1883" s="9">
        <f>IF(OR(T1883="",T1883=0),"",(V1883-T1883)/T1883)</f>
        <v/>
      </c>
      <c r="X1883" s="7">
        <f>IF(COUNT(D1883:S1883)=0,"",INDEX($D$1:$S$1,MATCH(MIN(D1883:S1883),D1883:S1883,0)))</f>
        <v/>
      </c>
      <c r="Y1883" s="8" t="n">
        <v>79</v>
      </c>
      <c r="Z1883" s="10" t="n">
        <v>2</v>
      </c>
    </row>
    <row r="1884">
      <c r="A1884" s="7" t="inlineStr">
        <is>
          <t>MAT-32-534</t>
        </is>
      </c>
      <c r="B1884" s="4" t="inlineStr">
        <is>
          <t>Tapón macho de HG 1 1/4"</t>
        </is>
      </c>
      <c r="C1884" s="7" t="inlineStr">
        <is>
          <t>unidad</t>
        </is>
      </c>
      <c r="D1884" s="8" t="n"/>
      <c r="E1884" s="8" t="n">
        <v>41.54</v>
      </c>
      <c r="F1884" s="8" t="n"/>
      <c r="G1884" s="8" t="n">
        <v>141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>
        <f>IF(COUNT(D1884:S1884)=0,"",MIN(D1884:S1884))</f>
        <v/>
      </c>
      <c r="U1884" s="8">
        <f>IF(COUNT(D1884:S1884)=0,"",MEDIAN(D1884:S1884))</f>
        <v/>
      </c>
      <c r="V1884" s="8">
        <f>IF(COUNT(D1884:S1884)=0,"",MAX(D1884:S1884))</f>
        <v/>
      </c>
      <c r="W1884" s="9">
        <f>IF(OR(T1884="",T1884=0),"",(V1884-T1884)/T1884)</f>
        <v/>
      </c>
      <c r="X1884" s="7">
        <f>IF(COUNT(D1884:S1884)=0,"",INDEX($D$1:$S$1,MATCH(MIN(D1884:S1884),D1884:S1884,0)))</f>
        <v/>
      </c>
      <c r="Y1884" s="8" t="n">
        <v>91.27</v>
      </c>
      <c r="Z1884" s="10" t="n">
        <v>2</v>
      </c>
    </row>
    <row r="1885">
      <c r="A1885" s="7" t="inlineStr">
        <is>
          <t>MAT-32-535</t>
        </is>
      </c>
      <c r="B1885" s="4" t="inlineStr">
        <is>
          <t>Tapón macho de HG 1/2"</t>
        </is>
      </c>
      <c r="C1885" s="7" t="inlineStr">
        <is>
          <t>unidad</t>
        </is>
      </c>
      <c r="D1885" s="8" t="n"/>
      <c r="E1885" s="8" t="n">
        <v>22</v>
      </c>
      <c r="F1885" s="8" t="n"/>
      <c r="G1885" s="8" t="n">
        <v>15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>
        <f>IF(COUNT(D1885:S1885)=0,"",MIN(D1885:S1885))</f>
        <v/>
      </c>
      <c r="U1885" s="8">
        <f>IF(COUNT(D1885:S1885)=0,"",MEDIAN(D1885:S1885))</f>
        <v/>
      </c>
      <c r="V1885" s="8">
        <f>IF(COUNT(D1885:S1885)=0,"",MAX(D1885:S1885))</f>
        <v/>
      </c>
      <c r="W1885" s="9">
        <f>IF(OR(T1885="",T1885=0),"",(V1885-T1885)/T1885)</f>
        <v/>
      </c>
      <c r="X1885" s="7">
        <f>IF(COUNT(D1885:S1885)=0,"",INDEX($D$1:$S$1,MATCH(MIN(D1885:S1885),D1885:S1885,0)))</f>
        <v/>
      </c>
      <c r="Y1885" s="8" t="n">
        <v>18.5</v>
      </c>
      <c r="Z1885" s="10" t="n">
        <v>2</v>
      </c>
    </row>
    <row r="1886">
      <c r="A1886" s="7" t="inlineStr">
        <is>
          <t>MAT-32-536</t>
        </is>
      </c>
      <c r="B1886" s="4" t="inlineStr">
        <is>
          <t>Tapón macho de HG 1/4"</t>
        </is>
      </c>
      <c r="C1886" s="7" t="inlineStr">
        <is>
          <t>unidad</t>
        </is>
      </c>
      <c r="D1886" s="8" t="n"/>
      <c r="E1886" s="8" t="n">
        <v>19.18</v>
      </c>
      <c r="F1886" s="8" t="n"/>
      <c r="G1886" s="8" t="n">
        <v>23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>
        <f>IF(COUNT(D1886:S1886)=0,"",MIN(D1886:S1886))</f>
        <v/>
      </c>
      <c r="U1886" s="8">
        <f>IF(COUNT(D1886:S1886)=0,"",MEDIAN(D1886:S1886))</f>
        <v/>
      </c>
      <c r="V1886" s="8">
        <f>IF(COUNT(D1886:S1886)=0,"",MAX(D1886:S1886))</f>
        <v/>
      </c>
      <c r="W1886" s="9">
        <f>IF(OR(T1886="",T1886=0),"",(V1886-T1886)/T1886)</f>
        <v/>
      </c>
      <c r="X1886" s="7">
        <f>IF(COUNT(D1886:S1886)=0,"",INDEX($D$1:$S$1,MATCH(MIN(D1886:S1886),D1886:S1886,0)))</f>
        <v/>
      </c>
      <c r="Y1886" s="8" t="n">
        <v>21.09</v>
      </c>
      <c r="Z1886" s="10" t="n">
        <v>2</v>
      </c>
    </row>
    <row r="1887">
      <c r="A1887" s="7" t="inlineStr">
        <is>
          <t>MAT-32-537</t>
        </is>
      </c>
      <c r="B1887" s="4" t="inlineStr">
        <is>
          <t>Tapón macho de HG 1"</t>
        </is>
      </c>
      <c r="C1887" s="7" t="inlineStr">
        <is>
          <t>unidad</t>
        </is>
      </c>
      <c r="D1887" s="8" t="n"/>
      <c r="E1887" s="8" t="n">
        <v>35.11</v>
      </c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>
        <f>IF(COUNT(D1887:S1887)=0,"",MIN(D1887:S1887))</f>
        <v/>
      </c>
      <c r="U1887" s="8">
        <f>IF(COUNT(D1887:S1887)=0,"",MEDIAN(D1887:S1887))</f>
        <v/>
      </c>
      <c r="V1887" s="8">
        <f>IF(COUNT(D1887:S1887)=0,"",MAX(D1887:S1887))</f>
        <v/>
      </c>
      <c r="W1887" s="9">
        <f>IF(OR(T1887="",T1887=0),"",(V1887-T1887)/T1887)</f>
        <v/>
      </c>
      <c r="X1887" s="7">
        <f>IF(COUNT(D1887:S1887)=0,"",INDEX($D$1:$S$1,MATCH(MIN(D1887:S1887),D1887:S1887,0)))</f>
        <v/>
      </c>
      <c r="Y1887" s="8" t="n">
        <v>68.06</v>
      </c>
      <c r="Z1887" s="10" t="n">
        <v>2</v>
      </c>
    </row>
    <row r="1888">
      <c r="A1888" s="7" t="inlineStr">
        <is>
          <t>MAT-32-538</t>
        </is>
      </c>
      <c r="B1888" s="4" t="inlineStr">
        <is>
          <t>Tapón macho de HG 2"</t>
        </is>
      </c>
      <c r="C1888" s="7" t="inlineStr">
        <is>
          <t>unidad</t>
        </is>
      </c>
      <c r="D1888" s="8" t="n"/>
      <c r="E1888" s="8" t="n">
        <v>105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>
        <f>IF(COUNT(D1888:S1888)=0,"",MIN(D1888:S1888))</f>
        <v/>
      </c>
      <c r="U1888" s="8">
        <f>IF(COUNT(D1888:S1888)=0,"",MEDIAN(D1888:S1888))</f>
        <v/>
      </c>
      <c r="V1888" s="8">
        <f>IF(COUNT(D1888:S1888)=0,"",MAX(D1888:S1888))</f>
        <v/>
      </c>
      <c r="W1888" s="9">
        <f>IF(OR(T1888="",T1888=0),"",(V1888-T1888)/T1888)</f>
        <v/>
      </c>
      <c r="X1888" s="7">
        <f>IF(COUNT(D1888:S1888)=0,"",INDEX($D$1:$S$1,MATCH(MIN(D1888:S1888),D1888:S1888,0)))</f>
        <v/>
      </c>
      <c r="Y1888" s="8" t="n">
        <v>105</v>
      </c>
      <c r="Z1888" s="10" t="n">
        <v>1</v>
      </c>
    </row>
    <row r="1889">
      <c r="A1889" s="7" t="inlineStr">
        <is>
          <t>MAT-32-539</t>
        </is>
      </c>
      <c r="B1889" s="4" t="inlineStr">
        <is>
          <t>Tapón macho de HG 3/4"</t>
        </is>
      </c>
      <c r="C1889" s="7" t="inlineStr">
        <is>
          <t>unidad</t>
        </is>
      </c>
      <c r="D1889" s="8" t="n"/>
      <c r="E1889" s="8" t="n">
        <v>25.87</v>
      </c>
      <c r="F1889" s="8" t="n"/>
      <c r="G1889" s="8" t="n">
        <v>33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>
        <f>IF(COUNT(D1889:S1889)=0,"",MIN(D1889:S1889))</f>
        <v/>
      </c>
      <c r="U1889" s="8">
        <f>IF(COUNT(D1889:S1889)=0,"",MEDIAN(D1889:S1889))</f>
        <v/>
      </c>
      <c r="V1889" s="8">
        <f>IF(COUNT(D1889:S1889)=0,"",MAX(D1889:S1889))</f>
        <v/>
      </c>
      <c r="W1889" s="9">
        <f>IF(OR(T1889="",T1889=0),"",(V1889-T1889)/T1889)</f>
        <v/>
      </c>
      <c r="X1889" s="7">
        <f>IF(COUNT(D1889:S1889)=0,"",INDEX($D$1:$S$1,MATCH(MIN(D1889:S1889),D1889:S1889,0)))</f>
        <v/>
      </c>
      <c r="Y1889" s="8" t="n">
        <v>29.44</v>
      </c>
      <c r="Z1889" s="10" t="n">
        <v>2</v>
      </c>
    </row>
    <row r="1890">
      <c r="A1890" s="7" t="inlineStr">
        <is>
          <t>MAT-32-540</t>
        </is>
      </c>
      <c r="B1890" s="4" t="inlineStr">
        <is>
          <t>Tapón macho de HG 3/8"</t>
        </is>
      </c>
      <c r="C1890" s="7" t="inlineStr">
        <is>
          <t>unidad</t>
        </is>
      </c>
      <c r="D1890" s="8" t="n"/>
      <c r="E1890" s="8" t="n">
        <v>21.1</v>
      </c>
      <c r="F1890" s="8" t="n"/>
      <c r="G1890" s="8" t="n">
        <v>22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>
        <f>IF(COUNT(D1890:S1890)=0,"",MIN(D1890:S1890))</f>
        <v/>
      </c>
      <c r="U1890" s="8">
        <f>IF(COUNT(D1890:S1890)=0,"",MEDIAN(D1890:S1890))</f>
        <v/>
      </c>
      <c r="V1890" s="8">
        <f>IF(COUNT(D1890:S1890)=0,"",MAX(D1890:S1890))</f>
        <v/>
      </c>
      <c r="W1890" s="9">
        <f>IF(OR(T1890="",T1890=0),"",(V1890-T1890)/T1890)</f>
        <v/>
      </c>
      <c r="X1890" s="7">
        <f>IF(COUNT(D1890:S1890)=0,"",INDEX($D$1:$S$1,MATCH(MIN(D1890:S1890),D1890:S1890,0)))</f>
        <v/>
      </c>
      <c r="Y1890" s="8" t="n">
        <v>21.55</v>
      </c>
      <c r="Z1890" s="10" t="n">
        <v>2</v>
      </c>
    </row>
    <row r="1891">
      <c r="A1891" s="7" t="inlineStr">
        <is>
          <t>MAT-32-541</t>
        </is>
      </c>
      <c r="B1891" s="4" t="inlineStr">
        <is>
          <t>Tapón macho de HG 3"</t>
        </is>
      </c>
      <c r="C1891" s="7" t="inlineStr">
        <is>
          <t>unidad</t>
        </is>
      </c>
      <c r="D1891" s="8" t="n"/>
      <c r="E1891" s="8" t="n">
        <v>220</v>
      </c>
      <c r="F1891" s="8" t="n"/>
      <c r="G1891" s="8" t="n">
        <v>206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>
        <f>IF(COUNT(D1891:S1891)=0,"",MIN(D1891:S1891))</f>
        <v/>
      </c>
      <c r="U1891" s="8">
        <f>IF(COUNT(D1891:S1891)=0,"",MEDIAN(D1891:S1891))</f>
        <v/>
      </c>
      <c r="V1891" s="8">
        <f>IF(COUNT(D1891:S1891)=0,"",MAX(D1891:S1891))</f>
        <v/>
      </c>
      <c r="W1891" s="9">
        <f>IF(OR(T1891="",T1891=0),"",(V1891-T1891)/T1891)</f>
        <v/>
      </c>
      <c r="X1891" s="7">
        <f>IF(COUNT(D1891:S1891)=0,"",INDEX($D$1:$S$1,MATCH(MIN(D1891:S1891),D1891:S1891,0)))</f>
        <v/>
      </c>
      <c r="Y1891" s="8" t="n">
        <v>213</v>
      </c>
      <c r="Z1891" s="10" t="n">
        <v>2</v>
      </c>
    </row>
    <row r="1892">
      <c r="A1892" s="7" t="inlineStr">
        <is>
          <t>MAT-32-542</t>
        </is>
      </c>
      <c r="B1892" s="4" t="inlineStr">
        <is>
          <t>Tapón macho de PPR 20 mm</t>
        </is>
      </c>
      <c r="C1892" s="7" t="inlineStr">
        <is>
          <t>unidad</t>
        </is>
      </c>
      <c r="D1892" s="8" t="n"/>
      <c r="E1892" s="8" t="n">
        <v>4.66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>
        <f>IF(COUNT(D1892:S1892)=0,"",MIN(D1892:S1892))</f>
        <v/>
      </c>
      <c r="U1892" s="8">
        <f>IF(COUNT(D1892:S1892)=0,"",MEDIAN(D1892:S1892))</f>
        <v/>
      </c>
      <c r="V1892" s="8">
        <f>IF(COUNT(D1892:S1892)=0,"",MAX(D1892:S1892))</f>
        <v/>
      </c>
      <c r="W1892" s="9">
        <f>IF(OR(T1892="",T1892=0),"",(V1892-T1892)/T1892)</f>
        <v/>
      </c>
      <c r="X1892" s="7">
        <f>IF(COUNT(D1892:S1892)=0,"",INDEX($D$1:$S$1,MATCH(MIN(D1892:S1892),D1892:S1892,0)))</f>
        <v/>
      </c>
      <c r="Y1892" s="8" t="n">
        <v>4.66</v>
      </c>
      <c r="Z1892" s="10" t="n">
        <v>1</v>
      </c>
    </row>
    <row r="1893">
      <c r="A1893" s="7" t="inlineStr">
        <is>
          <t>MAT-32-543</t>
        </is>
      </c>
      <c r="B1893" s="4" t="inlineStr">
        <is>
          <t>Tapón macho de PPR 25 mm</t>
        </is>
      </c>
      <c r="C1893" s="7" t="inlineStr">
        <is>
          <t>unidad</t>
        </is>
      </c>
      <c r="D1893" s="8" t="n"/>
      <c r="E1893" s="8" t="n">
        <v>8.23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>
        <f>IF(COUNT(D1893:S1893)=0,"",MIN(D1893:S1893))</f>
        <v/>
      </c>
      <c r="U1893" s="8">
        <f>IF(COUNT(D1893:S1893)=0,"",MEDIAN(D1893:S1893))</f>
        <v/>
      </c>
      <c r="V1893" s="8">
        <f>IF(COUNT(D1893:S1893)=0,"",MAX(D1893:S1893))</f>
        <v/>
      </c>
      <c r="W1893" s="9">
        <f>IF(OR(T1893="",T1893=0),"",(V1893-T1893)/T1893)</f>
        <v/>
      </c>
      <c r="X1893" s="7">
        <f>IF(COUNT(D1893:S1893)=0,"",INDEX($D$1:$S$1,MATCH(MIN(D1893:S1893),D1893:S1893,0)))</f>
        <v/>
      </c>
      <c r="Y1893" s="8" t="n">
        <v>8.23</v>
      </c>
      <c r="Z1893" s="10" t="n">
        <v>1</v>
      </c>
    </row>
    <row r="1894">
      <c r="A1894" s="7" t="inlineStr">
        <is>
          <t>MAT-32-544</t>
        </is>
      </c>
      <c r="B1894" s="4" t="inlineStr">
        <is>
          <t>Tapón macho de PPR 32 mm</t>
        </is>
      </c>
      <c r="C1894" s="7" t="inlineStr">
        <is>
          <t>unidad</t>
        </is>
      </c>
      <c r="D1894" s="8" t="n"/>
      <c r="E1894" s="8" t="n">
        <v>10.98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>
        <f>IF(COUNT(D1894:S1894)=0,"",MIN(D1894:S1894))</f>
        <v/>
      </c>
      <c r="U1894" s="8">
        <f>IF(COUNT(D1894:S1894)=0,"",MEDIAN(D1894:S1894))</f>
        <v/>
      </c>
      <c r="V1894" s="8">
        <f>IF(COUNT(D1894:S1894)=0,"",MAX(D1894:S1894))</f>
        <v/>
      </c>
      <c r="W1894" s="9">
        <f>IF(OR(T1894="",T1894=0),"",(V1894-T1894)/T1894)</f>
        <v/>
      </c>
      <c r="X1894" s="7">
        <f>IF(COUNT(D1894:S1894)=0,"",INDEX($D$1:$S$1,MATCH(MIN(D1894:S1894),D1894:S1894,0)))</f>
        <v/>
      </c>
      <c r="Y1894" s="8" t="n">
        <v>10.98</v>
      </c>
      <c r="Z1894" s="10" t="n">
        <v>1</v>
      </c>
    </row>
    <row r="1895">
      <c r="A1895" s="7" t="inlineStr">
        <is>
          <t>MAT-32-545</t>
        </is>
      </c>
      <c r="B1895" s="4" t="inlineStr">
        <is>
          <t>Tapón macho de PVC 1 1/2"</t>
        </is>
      </c>
      <c r="C1895" s="7" t="inlineStr">
        <is>
          <t>unidad</t>
        </is>
      </c>
      <c r="D1895" s="8" t="n"/>
      <c r="E1895" s="8" t="n">
        <v>30.65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>
        <f>IF(COUNT(D1895:S1895)=0,"",MIN(D1895:S1895))</f>
        <v/>
      </c>
      <c r="U1895" s="8">
        <f>IF(COUNT(D1895:S1895)=0,"",MEDIAN(D1895:S1895))</f>
        <v/>
      </c>
      <c r="V1895" s="8">
        <f>IF(COUNT(D1895:S1895)=0,"",MAX(D1895:S1895))</f>
        <v/>
      </c>
      <c r="W1895" s="9">
        <f>IF(OR(T1895="",T1895=0),"",(V1895-T1895)/T1895)</f>
        <v/>
      </c>
      <c r="X1895" s="7">
        <f>IF(COUNT(D1895:S1895)=0,"",INDEX($D$1:$S$1,MATCH(MIN(D1895:S1895),D1895:S1895,0)))</f>
        <v/>
      </c>
      <c r="Y1895" s="8" t="n">
        <v>30.65</v>
      </c>
      <c r="Z1895" s="10" t="n">
        <v>1</v>
      </c>
    </row>
    <row r="1896">
      <c r="A1896" s="7" t="inlineStr">
        <is>
          <t>MAT-32-546</t>
        </is>
      </c>
      <c r="B1896" s="4" t="inlineStr">
        <is>
          <t>Tapón macho de PVC 1"</t>
        </is>
      </c>
      <c r="C1896" s="7" t="inlineStr">
        <is>
          <t>unidad</t>
        </is>
      </c>
      <c r="D1896" s="8" t="n"/>
      <c r="E1896" s="8" t="n">
        <v>5.61</v>
      </c>
      <c r="F1896" s="8" t="n"/>
      <c r="G1896" s="8" t="n">
        <v>62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>
        <f>IF(COUNT(D1896:S1896)=0,"",MIN(D1896:S1896))</f>
        <v/>
      </c>
      <c r="U1896" s="8">
        <f>IF(COUNT(D1896:S1896)=0,"",MEDIAN(D1896:S1896))</f>
        <v/>
      </c>
      <c r="V1896" s="8">
        <f>IF(COUNT(D1896:S1896)=0,"",MAX(D1896:S1896))</f>
        <v/>
      </c>
      <c r="W1896" s="9">
        <f>IF(OR(T1896="",T1896=0),"",(V1896-T1896)/T1896)</f>
        <v/>
      </c>
      <c r="X1896" s="7">
        <f>IF(COUNT(D1896:S1896)=0,"",INDEX($D$1:$S$1,MATCH(MIN(D1896:S1896),D1896:S1896,0)))</f>
        <v/>
      </c>
      <c r="Y1896" s="8" t="n">
        <v>35.11</v>
      </c>
      <c r="Z1896" s="10" t="n">
        <v>2</v>
      </c>
    </row>
    <row r="1897">
      <c r="A1897" s="7" t="inlineStr">
        <is>
          <t>MAT-32-547</t>
        </is>
      </c>
      <c r="B1897" s="4" t="inlineStr">
        <is>
          <t>Tapón macho de PVC 2"</t>
        </is>
      </c>
      <c r="C1897" s="7" t="inlineStr">
        <is>
          <t>unidad</t>
        </is>
      </c>
      <c r="D1897" s="8" t="n"/>
      <c r="E1897" s="8" t="n">
        <v>31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>
        <f>IF(COUNT(D1897:S1897)=0,"",MIN(D1897:S1897))</f>
        <v/>
      </c>
      <c r="U1897" s="8">
        <f>IF(COUNT(D1897:S1897)=0,"",MEDIAN(D1897:S1897))</f>
        <v/>
      </c>
      <c r="V1897" s="8">
        <f>IF(COUNT(D1897:S1897)=0,"",MAX(D1897:S1897))</f>
        <v/>
      </c>
      <c r="W1897" s="9">
        <f>IF(OR(T1897="",T1897=0),"",(V1897-T1897)/T1897)</f>
        <v/>
      </c>
      <c r="X1897" s="7">
        <f>IF(COUNT(D1897:S1897)=0,"",INDEX($D$1:$S$1,MATCH(MIN(D1897:S1897),D1897:S1897,0)))</f>
        <v/>
      </c>
      <c r="Y1897" s="8" t="n">
        <v>31</v>
      </c>
      <c r="Z1897" s="10" t="n">
        <v>1</v>
      </c>
    </row>
    <row r="1898">
      <c r="A1898" s="7" t="inlineStr">
        <is>
          <t>MAT-32-548</t>
        </is>
      </c>
      <c r="B1898" s="4" t="inlineStr">
        <is>
          <t>Tapón macho de PVC 3/4"</t>
        </is>
      </c>
      <c r="C1898" s="7" t="inlineStr">
        <is>
          <t>unidad</t>
        </is>
      </c>
      <c r="D1898" s="8" t="n"/>
      <c r="E1898" s="8" t="n">
        <v>3.57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>
        <f>IF(COUNT(D1898:S1898)=0,"",MIN(D1898:S1898))</f>
        <v/>
      </c>
      <c r="U1898" s="8">
        <f>IF(COUNT(D1898:S1898)=0,"",MEDIAN(D1898:S1898))</f>
        <v/>
      </c>
      <c r="V1898" s="8">
        <f>IF(COUNT(D1898:S1898)=0,"",MAX(D1898:S1898))</f>
        <v/>
      </c>
      <c r="W1898" s="9">
        <f>IF(OR(T1898="",T1898=0),"",(V1898-T1898)/T1898)</f>
        <v/>
      </c>
      <c r="X1898" s="7">
        <f>IF(COUNT(D1898:S1898)=0,"",INDEX($D$1:$S$1,MATCH(MIN(D1898:S1898),D1898:S1898,0)))</f>
        <v/>
      </c>
      <c r="Y1898" s="8" t="n">
        <v>7.04</v>
      </c>
      <c r="Z1898" s="10" t="n">
        <v>1</v>
      </c>
    </row>
    <row r="1899">
      <c r="A1899" s="7" t="inlineStr">
        <is>
          <t>MAT-32-549</t>
        </is>
      </c>
      <c r="B1899" s="4" t="inlineStr">
        <is>
          <t>Tapón de HG 1 1/2"</t>
        </is>
      </c>
      <c r="C1899" s="7" t="inlineStr">
        <is>
          <t>unidad</t>
        </is>
      </c>
      <c r="D1899" s="8" t="n"/>
      <c r="E1899" s="8" t="n">
        <v>71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>
        <f>IF(COUNT(D1899:S1899)=0,"",MIN(D1899:S1899))</f>
        <v/>
      </c>
      <c r="U1899" s="8">
        <f>IF(COUNT(D1899:S1899)=0,"",MEDIAN(D1899:S1899))</f>
        <v/>
      </c>
      <c r="V1899" s="8">
        <f>IF(COUNT(D1899:S1899)=0,"",MAX(D1899:S1899))</f>
        <v/>
      </c>
      <c r="W1899" s="9">
        <f>IF(OR(T1899="",T1899=0),"",(V1899-T1899)/T1899)</f>
        <v/>
      </c>
      <c r="X1899" s="7">
        <f>IF(COUNT(D1899:S1899)=0,"",INDEX($D$1:$S$1,MATCH(MIN(D1899:S1899),D1899:S1899,0)))</f>
        <v/>
      </c>
      <c r="Y1899" s="8" t="n">
        <v>71</v>
      </c>
      <c r="Z1899" s="10" t="n">
        <v>1</v>
      </c>
    </row>
    <row r="1900">
      <c r="A1900" s="7" t="inlineStr">
        <is>
          <t>MAT-32-550</t>
        </is>
      </c>
      <c r="B1900" s="4" t="inlineStr">
        <is>
          <t>Tapón de HG 1/2"</t>
        </is>
      </c>
      <c r="C1900" s="7" t="inlineStr">
        <is>
          <t>unidad</t>
        </is>
      </c>
      <c r="D1900" s="8" t="n"/>
      <c r="E1900" s="8" t="n">
        <v>47.69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>
        <f>IF(COUNT(D1900:S1900)=0,"",MIN(D1900:S1900))</f>
        <v/>
      </c>
      <c r="U1900" s="8">
        <f>IF(COUNT(D1900:S1900)=0,"",MEDIAN(D1900:S1900))</f>
        <v/>
      </c>
      <c r="V1900" s="8">
        <f>IF(COUNT(D1900:S1900)=0,"",MAX(D1900:S1900))</f>
        <v/>
      </c>
      <c r="W1900" s="9">
        <f>IF(OR(T1900="",T1900=0),"",(V1900-T1900)/T1900)</f>
        <v/>
      </c>
      <c r="X1900" s="7">
        <f>IF(COUNT(D1900:S1900)=0,"",INDEX($D$1:$S$1,MATCH(MIN(D1900:S1900),D1900:S1900,0)))</f>
        <v/>
      </c>
      <c r="Y1900" s="8" t="n">
        <v>47.69</v>
      </c>
      <c r="Z1900" s="10" t="n">
        <v>1</v>
      </c>
    </row>
    <row r="1901">
      <c r="A1901" s="7" t="inlineStr">
        <is>
          <t>MAT-32-551</t>
        </is>
      </c>
      <c r="B1901" s="4" t="inlineStr">
        <is>
          <t>Tapón de HG 1"</t>
        </is>
      </c>
      <c r="C1901" s="7" t="inlineStr">
        <is>
          <t>unidad</t>
        </is>
      </c>
      <c r="D1901" s="8" t="n"/>
      <c r="E1901" s="8" t="n">
        <v>35.13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>
        <f>IF(COUNT(D1901:S1901)=0,"",MIN(D1901:S1901))</f>
        <v/>
      </c>
      <c r="U1901" s="8">
        <f>IF(COUNT(D1901:S1901)=0,"",MEDIAN(D1901:S1901))</f>
        <v/>
      </c>
      <c r="V1901" s="8">
        <f>IF(COUNT(D1901:S1901)=0,"",MAX(D1901:S1901))</f>
        <v/>
      </c>
      <c r="W1901" s="9">
        <f>IF(OR(T1901="",T1901=0),"",(V1901-T1901)/T1901)</f>
        <v/>
      </c>
      <c r="X1901" s="7">
        <f>IF(COUNT(D1901:S1901)=0,"",INDEX($D$1:$S$1,MATCH(MIN(D1901:S1901),D1901:S1901,0)))</f>
        <v/>
      </c>
      <c r="Y1901" s="8" t="n">
        <v>35.13</v>
      </c>
      <c r="Z1901" s="10" t="n">
        <v>1</v>
      </c>
    </row>
    <row r="1902">
      <c r="A1902" s="7" t="inlineStr">
        <is>
          <t>MAT-32-552</t>
        </is>
      </c>
      <c r="B1902" s="4" t="inlineStr">
        <is>
          <t>Tapón de HG 2"</t>
        </is>
      </c>
      <c r="C1902" s="7" t="inlineStr">
        <is>
          <t>unidad</t>
        </is>
      </c>
      <c r="D1902" s="8" t="n"/>
      <c r="E1902" s="8" t="n">
        <v>88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>
        <f>IF(COUNT(D1902:S1902)=0,"",MIN(D1902:S1902))</f>
        <v/>
      </c>
      <c r="U1902" s="8">
        <f>IF(COUNT(D1902:S1902)=0,"",MEDIAN(D1902:S1902))</f>
        <v/>
      </c>
      <c r="V1902" s="8">
        <f>IF(COUNT(D1902:S1902)=0,"",MAX(D1902:S1902))</f>
        <v/>
      </c>
      <c r="W1902" s="9">
        <f>IF(OR(T1902="",T1902=0),"",(V1902-T1902)/T1902)</f>
        <v/>
      </c>
      <c r="X1902" s="7">
        <f>IF(COUNT(D1902:S1902)=0,"",INDEX($D$1:$S$1,MATCH(MIN(D1902:S1902),D1902:S1902,0)))</f>
        <v/>
      </c>
      <c r="Y1902" s="8" t="n">
        <v>88</v>
      </c>
      <c r="Z1902" s="10" t="n">
        <v>1</v>
      </c>
    </row>
    <row r="1903">
      <c r="A1903" s="7" t="inlineStr">
        <is>
          <t>MAT-32-553</t>
        </is>
      </c>
      <c r="B1903" s="4" t="inlineStr">
        <is>
          <t>Tapón de HG 3/4"</t>
        </is>
      </c>
      <c r="C1903" s="7" t="inlineStr">
        <is>
          <t>unidad</t>
        </is>
      </c>
      <c r="D1903" s="8" t="n"/>
      <c r="E1903" s="8" t="n">
        <v>25.2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>
        <f>IF(COUNT(D1903:S1903)=0,"",MIN(D1903:S1903))</f>
        <v/>
      </c>
      <c r="U1903" s="8">
        <f>IF(COUNT(D1903:S1903)=0,"",MEDIAN(D1903:S1903))</f>
        <v/>
      </c>
      <c r="V1903" s="8">
        <f>IF(COUNT(D1903:S1903)=0,"",MAX(D1903:S1903))</f>
        <v/>
      </c>
      <c r="W1903" s="9">
        <f>IF(OR(T1903="",T1903=0),"",(V1903-T1903)/T1903)</f>
        <v/>
      </c>
      <c r="X1903" s="7">
        <f>IF(COUNT(D1903:S1903)=0,"",INDEX($D$1:$S$1,MATCH(MIN(D1903:S1903),D1903:S1903,0)))</f>
        <v/>
      </c>
      <c r="Y1903" s="8" t="n">
        <v>25.2</v>
      </c>
      <c r="Z1903" s="10" t="n">
        <v>1</v>
      </c>
    </row>
    <row r="1904">
      <c r="A1904" s="7" t="inlineStr">
        <is>
          <t>MAT-32-554</t>
        </is>
      </c>
      <c r="B1904" s="4" t="inlineStr">
        <is>
          <t>Tapón de HG 3/8"</t>
        </is>
      </c>
      <c r="C1904" s="7" t="inlineStr">
        <is>
          <t>unidad</t>
        </is>
      </c>
      <c r="D1904" s="8" t="n"/>
      <c r="E1904" s="8" t="n">
        <v>28.78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>
        <f>IF(COUNT(D1904:S1904)=0,"",MIN(D1904:S1904))</f>
        <v/>
      </c>
      <c r="U1904" s="8">
        <f>IF(COUNT(D1904:S1904)=0,"",MEDIAN(D1904:S1904))</f>
        <v/>
      </c>
      <c r="V1904" s="8">
        <f>IF(COUNT(D1904:S1904)=0,"",MAX(D1904:S1904))</f>
        <v/>
      </c>
      <c r="W1904" s="9">
        <f>IF(OR(T1904="",T1904=0),"",(V1904-T1904)/T1904)</f>
        <v/>
      </c>
      <c r="X1904" s="7">
        <f>IF(COUNT(D1904:S1904)=0,"",INDEX($D$1:$S$1,MATCH(MIN(D1904:S1904),D1904:S1904,0)))</f>
        <v/>
      </c>
      <c r="Y1904" s="8" t="n">
        <v>28.78</v>
      </c>
      <c r="Z1904" s="10" t="n">
        <v>1</v>
      </c>
    </row>
    <row r="1905">
      <c r="A1905" s="7" t="inlineStr">
        <is>
          <t>MAT-32-555</t>
        </is>
      </c>
      <c r="B1905" s="4" t="inlineStr">
        <is>
          <t>Tapón de HG 3"</t>
        </is>
      </c>
      <c r="C1905" s="7" t="inlineStr">
        <is>
          <t>unidad</t>
        </is>
      </c>
      <c r="D1905" s="8" t="n"/>
      <c r="E1905" s="8" t="n">
        <v>281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>
        <f>IF(COUNT(D1905:S1905)=0,"",MIN(D1905:S1905))</f>
        <v/>
      </c>
      <c r="U1905" s="8">
        <f>IF(COUNT(D1905:S1905)=0,"",MEDIAN(D1905:S1905))</f>
        <v/>
      </c>
      <c r="V1905" s="8">
        <f>IF(COUNT(D1905:S1905)=0,"",MAX(D1905:S1905))</f>
        <v/>
      </c>
      <c r="W1905" s="9">
        <f>IF(OR(T1905="",T1905=0),"",(V1905-T1905)/T1905)</f>
        <v/>
      </c>
      <c r="X1905" s="7">
        <f>IF(COUNT(D1905:S1905)=0,"",INDEX($D$1:$S$1,MATCH(MIN(D1905:S1905),D1905:S1905,0)))</f>
        <v/>
      </c>
      <c r="Y1905" s="8" t="n">
        <v>281</v>
      </c>
      <c r="Z1905" s="10" t="n">
        <v>1</v>
      </c>
    </row>
    <row r="1906">
      <c r="A1906" s="7" t="inlineStr">
        <is>
          <t>MAT-32-556</t>
        </is>
      </c>
      <c r="B1906" s="4" t="inlineStr">
        <is>
          <t>Tapón de HG 4"</t>
        </is>
      </c>
      <c r="C1906" s="7" t="inlineStr">
        <is>
          <t>unidad</t>
        </is>
      </c>
      <c r="D1906" s="8" t="n"/>
      <c r="E1906" s="8" t="n">
        <v>454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>
        <f>IF(COUNT(D1906:S1906)=0,"",MIN(D1906:S1906))</f>
        <v/>
      </c>
      <c r="U1906" s="8">
        <f>IF(COUNT(D1906:S1906)=0,"",MEDIAN(D1906:S1906))</f>
        <v/>
      </c>
      <c r="V1906" s="8">
        <f>IF(COUNT(D1906:S1906)=0,"",MAX(D1906:S1906))</f>
        <v/>
      </c>
      <c r="W1906" s="9">
        <f>IF(OR(T1906="",T1906=0),"",(V1906-T1906)/T1906)</f>
        <v/>
      </c>
      <c r="X1906" s="7">
        <f>IF(COUNT(D1906:S1906)=0,"",INDEX($D$1:$S$1,MATCH(MIN(D1906:S1906),D1906:S1906,0)))</f>
        <v/>
      </c>
      <c r="Y1906" s="8" t="n">
        <v>454</v>
      </c>
      <c r="Z1906" s="10" t="n">
        <v>1</v>
      </c>
    </row>
    <row r="1907">
      <c r="A1907" s="7" t="inlineStr">
        <is>
          <t>MAT-32-557</t>
        </is>
      </c>
      <c r="B1907" s="4" t="inlineStr">
        <is>
          <t>Tapón de plástico 1 1/2"</t>
        </is>
      </c>
      <c r="C1907" s="7" t="inlineStr">
        <is>
          <t>unidad</t>
        </is>
      </c>
      <c r="D1907" s="8" t="n"/>
      <c r="E1907" s="8" t="n">
        <v>8.5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>
        <f>IF(COUNT(D1907:S1907)=0,"",MIN(D1907:S1907))</f>
        <v/>
      </c>
      <c r="U1907" s="8">
        <f>IF(COUNT(D1907:S1907)=0,"",MEDIAN(D1907:S1907))</f>
        <v/>
      </c>
      <c r="V1907" s="8">
        <f>IF(COUNT(D1907:S1907)=0,"",MAX(D1907:S1907))</f>
        <v/>
      </c>
      <c r="W1907" s="9">
        <f>IF(OR(T1907="",T1907=0),"",(V1907-T1907)/T1907)</f>
        <v/>
      </c>
      <c r="X1907" s="7">
        <f>IF(COUNT(D1907:S1907)=0,"",INDEX($D$1:$S$1,MATCH(MIN(D1907:S1907),D1907:S1907,0)))</f>
        <v/>
      </c>
      <c r="Y1907" s="8" t="n">
        <v>9.25</v>
      </c>
      <c r="Z1907" s="10" t="n">
        <v>1</v>
      </c>
    </row>
    <row r="1908">
      <c r="A1908" s="7" t="inlineStr">
        <is>
          <t>MAT-32-558</t>
        </is>
      </c>
      <c r="B1908" s="4" t="inlineStr">
        <is>
          <t>Tapón de plástico 16"</t>
        </is>
      </c>
      <c r="C1908" s="7" t="inlineStr">
        <is>
          <t>unidad</t>
        </is>
      </c>
      <c r="D1908" s="8" t="n"/>
      <c r="E1908" s="8" t="n">
        <v>211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>
        <f>IF(COUNT(D1908:S1908)=0,"",MIN(D1908:S1908))</f>
        <v/>
      </c>
      <c r="U1908" s="8">
        <f>IF(COUNT(D1908:S1908)=0,"",MEDIAN(D1908:S1908))</f>
        <v/>
      </c>
      <c r="V1908" s="8">
        <f>IF(COUNT(D1908:S1908)=0,"",MAX(D1908:S1908))</f>
        <v/>
      </c>
      <c r="W1908" s="9">
        <f>IF(OR(T1908="",T1908=0),"",(V1908-T1908)/T1908)</f>
        <v/>
      </c>
      <c r="X1908" s="7">
        <f>IF(COUNT(D1908:S1908)=0,"",INDEX($D$1:$S$1,MATCH(MIN(D1908:S1908),D1908:S1908,0)))</f>
        <v/>
      </c>
      <c r="Y1908" s="8" t="n">
        <v>211</v>
      </c>
      <c r="Z1908" s="10" t="n">
        <v>1</v>
      </c>
    </row>
    <row r="1909">
      <c r="A1909" s="7" t="inlineStr">
        <is>
          <t>MAT-32-559</t>
        </is>
      </c>
      <c r="B1909" s="4" t="inlineStr">
        <is>
          <t>Tapón de plástico 1"</t>
        </is>
      </c>
      <c r="C1909" s="7" t="inlineStr">
        <is>
          <t>unidad</t>
        </is>
      </c>
      <c r="D1909" s="8" t="n"/>
      <c r="E1909" s="8" t="n">
        <v>3.9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>
        <f>IF(COUNT(D1909:S1909)=0,"",MIN(D1909:S1909))</f>
        <v/>
      </c>
      <c r="U1909" s="8">
        <f>IF(COUNT(D1909:S1909)=0,"",MEDIAN(D1909:S1909))</f>
        <v/>
      </c>
      <c r="V1909" s="8">
        <f>IF(COUNT(D1909:S1909)=0,"",MAX(D1909:S1909))</f>
        <v/>
      </c>
      <c r="W1909" s="9">
        <f>IF(OR(T1909="",T1909=0),"",(V1909-T1909)/T1909)</f>
        <v/>
      </c>
      <c r="X1909" s="7">
        <f>IF(COUNT(D1909:S1909)=0,"",INDEX($D$1:$S$1,MATCH(MIN(D1909:S1909),D1909:S1909,0)))</f>
        <v/>
      </c>
      <c r="Y1909" s="8" t="n">
        <v>5.27</v>
      </c>
      <c r="Z1909" s="10" t="n">
        <v>1</v>
      </c>
    </row>
    <row r="1910">
      <c r="A1910" s="7" t="inlineStr">
        <is>
          <t>MAT-32-560</t>
        </is>
      </c>
      <c r="B1910" s="4" t="inlineStr">
        <is>
          <t>Tapón de plástico 2"</t>
        </is>
      </c>
      <c r="C1910" s="7" t="inlineStr">
        <is>
          <t>unidad</t>
        </is>
      </c>
      <c r="D1910" s="8" t="n"/>
      <c r="E1910" s="8" t="n">
        <v>5.25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>
        <f>IF(COUNT(D1910:S1910)=0,"",MIN(D1910:S1910))</f>
        <v/>
      </c>
      <c r="U1910" s="8">
        <f>IF(COUNT(D1910:S1910)=0,"",MEDIAN(D1910:S1910))</f>
        <v/>
      </c>
      <c r="V1910" s="8">
        <f>IF(COUNT(D1910:S1910)=0,"",MAX(D1910:S1910))</f>
        <v/>
      </c>
      <c r="W1910" s="9">
        <f>IF(OR(T1910="",T1910=0),"",(V1910-T1910)/T1910)</f>
        <v/>
      </c>
      <c r="X1910" s="7">
        <f>IF(COUNT(D1910:S1910)=0,"",INDEX($D$1:$S$1,MATCH(MIN(D1910:S1910),D1910:S1910,0)))</f>
        <v/>
      </c>
      <c r="Y1910" s="8" t="n">
        <v>5.25</v>
      </c>
      <c r="Z1910" s="10" t="n">
        <v>1</v>
      </c>
    </row>
    <row r="1911">
      <c r="A1911" s="7" t="inlineStr">
        <is>
          <t>MAT-32-561</t>
        </is>
      </c>
      <c r="B1911" s="4" t="inlineStr">
        <is>
          <t>Tapón de plástico 3/4"</t>
        </is>
      </c>
      <c r="C1911" s="7" t="inlineStr">
        <is>
          <t>unidad</t>
        </is>
      </c>
      <c r="D1911" s="8" t="n"/>
      <c r="E1911" s="8" t="n">
        <v>4.48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>
        <f>IF(COUNT(D1911:S1911)=0,"",MIN(D1911:S1911))</f>
        <v/>
      </c>
      <c r="U1911" s="8">
        <f>IF(COUNT(D1911:S1911)=0,"",MEDIAN(D1911:S1911))</f>
        <v/>
      </c>
      <c r="V1911" s="8">
        <f>IF(COUNT(D1911:S1911)=0,"",MAX(D1911:S1911))</f>
        <v/>
      </c>
      <c r="W1911" s="9">
        <f>IF(OR(T1911="",T1911=0),"",(V1911-T1911)/T1911)</f>
        <v/>
      </c>
      <c r="X1911" s="7">
        <f>IF(COUNT(D1911:S1911)=0,"",INDEX($D$1:$S$1,MATCH(MIN(D1911:S1911),D1911:S1911,0)))</f>
        <v/>
      </c>
      <c r="Y1911" s="8" t="n">
        <v>4.48</v>
      </c>
      <c r="Z1911" s="10" t="n">
        <v>1</v>
      </c>
    </row>
    <row r="1912">
      <c r="A1912" s="7" t="inlineStr">
        <is>
          <t>MAT-32-562</t>
        </is>
      </c>
      <c r="B1912" s="4" t="inlineStr">
        <is>
          <t>Tapón de PVC 1 1/2"</t>
        </is>
      </c>
      <c r="C1912" s="7" t="inlineStr">
        <is>
          <t>unidad</t>
        </is>
      </c>
      <c r="D1912" s="8" t="n"/>
      <c r="E1912" s="8" t="n"/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>
        <f>IF(COUNT(D1912:S1912)=0,"",MIN(D1912:S1912))</f>
        <v/>
      </c>
      <c r="U1912" s="8">
        <f>IF(COUNT(D1912:S1912)=0,"",MEDIAN(D1912:S1912))</f>
        <v/>
      </c>
      <c r="V1912" s="8">
        <f>IF(COUNT(D1912:S1912)=0,"",MAX(D1912:S1912))</f>
        <v/>
      </c>
      <c r="W1912" s="9">
        <f>IF(OR(T1912="",T1912=0),"",(V1912-T1912)/T1912)</f>
        <v/>
      </c>
      <c r="X1912" s="7">
        <f>IF(COUNT(D1912:S1912)=0,"",INDEX($D$1:$S$1,MATCH(MIN(D1912:S1912),D1912:S1912,0)))</f>
        <v/>
      </c>
      <c r="Y1912" s="8" t="n">
        <v>101</v>
      </c>
      <c r="Z1912" s="10" t="n">
        <v>1</v>
      </c>
    </row>
    <row r="1913">
      <c r="A1913" s="7" t="inlineStr">
        <is>
          <t>MAT-32-563</t>
        </is>
      </c>
      <c r="B1913" s="4" t="inlineStr">
        <is>
          <t>Tapón de PVC 2"</t>
        </is>
      </c>
      <c r="C1913" s="7" t="inlineStr">
        <is>
          <t>unidad</t>
        </is>
      </c>
      <c r="D1913" s="8" t="n"/>
      <c r="E1913" s="8" t="n"/>
      <c r="F1913" s="8" t="n"/>
      <c r="G1913" s="8" t="n">
        <v>135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>
        <f>IF(COUNT(D1913:S1913)=0,"",MIN(D1913:S1913))</f>
        <v/>
      </c>
      <c r="U1913" s="8">
        <f>IF(COUNT(D1913:S1913)=0,"",MEDIAN(D1913:S1913))</f>
        <v/>
      </c>
      <c r="V1913" s="8">
        <f>IF(COUNT(D1913:S1913)=0,"",MAX(D1913:S1913))</f>
        <v/>
      </c>
      <c r="W1913" s="9">
        <f>IF(OR(T1913="",T1913=0),"",(V1913-T1913)/T1913)</f>
        <v/>
      </c>
      <c r="X1913" s="7">
        <f>IF(COUNT(D1913:S1913)=0,"",INDEX($D$1:$S$1,MATCH(MIN(D1913:S1913),D1913:S1913,0)))</f>
        <v/>
      </c>
      <c r="Y1913" s="8" t="n">
        <v>135</v>
      </c>
      <c r="Z1913" s="10" t="n">
        <v>1</v>
      </c>
    </row>
    <row r="1914">
      <c r="A1914" s="7" t="inlineStr">
        <is>
          <t>MAT-32-564</t>
        </is>
      </c>
      <c r="B1914" s="4" t="inlineStr">
        <is>
          <t>Tapón de PVC 3"</t>
        </is>
      </c>
      <c r="C1914" s="7" t="inlineStr">
        <is>
          <t>unidad</t>
        </is>
      </c>
      <c r="D1914" s="8" t="n"/>
      <c r="E1914" s="8" t="n"/>
      <c r="F1914" s="8" t="n"/>
      <c r="G1914" s="8" t="n">
        <v>263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>
        <f>IF(COUNT(D1914:S1914)=0,"",MIN(D1914:S1914))</f>
        <v/>
      </c>
      <c r="U1914" s="8">
        <f>IF(COUNT(D1914:S1914)=0,"",MEDIAN(D1914:S1914))</f>
        <v/>
      </c>
      <c r="V1914" s="8">
        <f>IF(COUNT(D1914:S1914)=0,"",MAX(D1914:S1914))</f>
        <v/>
      </c>
      <c r="W1914" s="9">
        <f>IF(OR(T1914="",T1914=0),"",(V1914-T1914)/T1914)</f>
        <v/>
      </c>
      <c r="X1914" s="7">
        <f>IF(COUNT(D1914:S1914)=0,"",INDEX($D$1:$S$1,MATCH(MIN(D1914:S1914),D1914:S1914,0)))</f>
        <v/>
      </c>
      <c r="Y1914" s="8" t="n">
        <v>263</v>
      </c>
      <c r="Z1914" s="10" t="n">
        <v>1</v>
      </c>
    </row>
    <row r="1915">
      <c r="A1915" s="7" t="inlineStr">
        <is>
          <t>MAT-32-565</t>
        </is>
      </c>
      <c r="B1915" s="4" t="inlineStr">
        <is>
          <t>Tapón de PVC 4"</t>
        </is>
      </c>
      <c r="C1915" s="7" t="inlineStr">
        <is>
          <t>unidad</t>
        </is>
      </c>
      <c r="D1915" s="8" t="n"/>
      <c r="E1915" s="8" t="n"/>
      <c r="F1915" s="8" t="n"/>
      <c r="G1915" s="8" t="n">
        <v>372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>
        <f>IF(COUNT(D1915:S1915)=0,"",MIN(D1915:S1915))</f>
        <v/>
      </c>
      <c r="U1915" s="8">
        <f>IF(COUNT(D1915:S1915)=0,"",MEDIAN(D1915:S1915))</f>
        <v/>
      </c>
      <c r="V1915" s="8">
        <f>IF(COUNT(D1915:S1915)=0,"",MAX(D1915:S1915))</f>
        <v/>
      </c>
      <c r="W1915" s="9">
        <f>IF(OR(T1915="",T1915=0),"",(V1915-T1915)/T1915)</f>
        <v/>
      </c>
      <c r="X1915" s="7">
        <f>IF(COUNT(D1915:S1915)=0,"",INDEX($D$1:$S$1,MATCH(MIN(D1915:S1915),D1915:S1915,0)))</f>
        <v/>
      </c>
      <c r="Y1915" s="8" t="n">
        <v>372</v>
      </c>
      <c r="Z1915" s="10" t="n">
        <v>1</v>
      </c>
    </row>
    <row r="1916">
      <c r="A1916" s="7" t="inlineStr">
        <is>
          <t>MAT-32-566</t>
        </is>
      </c>
      <c r="B1916" s="4" t="inlineStr">
        <is>
          <t>Tapón de PVC 6"</t>
        </is>
      </c>
      <c r="C1916" s="7" t="inlineStr">
        <is>
          <t>unidad</t>
        </is>
      </c>
      <c r="D1916" s="8" t="n"/>
      <c r="E1916" s="8" t="n">
        <v>279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>
        <f>IF(COUNT(D1916:S1916)=0,"",MIN(D1916:S1916))</f>
        <v/>
      </c>
      <c r="U1916" s="8">
        <f>IF(COUNT(D1916:S1916)=0,"",MEDIAN(D1916:S1916))</f>
        <v/>
      </c>
      <c r="V1916" s="8">
        <f>IF(COUNT(D1916:S1916)=0,"",MAX(D1916:S1916))</f>
        <v/>
      </c>
      <c r="W1916" s="9">
        <f>IF(OR(T1916="",T1916=0),"",(V1916-T1916)/T1916)</f>
        <v/>
      </c>
      <c r="X1916" s="7">
        <f>IF(COUNT(D1916:S1916)=0,"",INDEX($D$1:$S$1,MATCH(MIN(D1916:S1916),D1916:S1916,0)))</f>
        <v/>
      </c>
      <c r="Y1916" s="8" t="n">
        <v>374.5</v>
      </c>
      <c r="Z1916" s="10" t="n">
        <v>1</v>
      </c>
    </row>
    <row r="1917">
      <c r="A1917" s="7" t="inlineStr">
        <is>
          <t>MAT-32-567</t>
        </is>
      </c>
      <c r="B1917" s="4" t="inlineStr">
        <is>
          <t>Tapón de PVC presión 1 1/2"</t>
        </is>
      </c>
      <c r="C1917" s="7" t="inlineStr">
        <is>
          <t>unidad</t>
        </is>
      </c>
      <c r="D1917" s="8" t="n"/>
      <c r="E1917" s="8" t="n">
        <v>24.74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>
        <f>IF(COUNT(D1917:S1917)=0,"",MIN(D1917:S1917))</f>
        <v/>
      </c>
      <c r="U1917" s="8">
        <f>IF(COUNT(D1917:S1917)=0,"",MEDIAN(D1917:S1917))</f>
        <v/>
      </c>
      <c r="V1917" s="8">
        <f>IF(COUNT(D1917:S1917)=0,"",MAX(D1917:S1917))</f>
        <v/>
      </c>
      <c r="W1917" s="9">
        <f>IF(OR(T1917="",T1917=0),"",(V1917-T1917)/T1917)</f>
        <v/>
      </c>
      <c r="X1917" s="7">
        <f>IF(COUNT(D1917:S1917)=0,"",INDEX($D$1:$S$1,MATCH(MIN(D1917:S1917),D1917:S1917,0)))</f>
        <v/>
      </c>
      <c r="Y1917" s="8" t="n">
        <v>24.74</v>
      </c>
      <c r="Z1917" s="10" t="n">
        <v>1</v>
      </c>
    </row>
    <row r="1918">
      <c r="A1918" s="7" t="inlineStr">
        <is>
          <t>MAT-32-568</t>
        </is>
      </c>
      <c r="B1918" s="4" t="inlineStr">
        <is>
          <t>Tapón de PVC presión 2"</t>
        </is>
      </c>
      <c r="C1918" s="7" t="inlineStr">
        <is>
          <t>unidad</t>
        </is>
      </c>
      <c r="D1918" s="8" t="n"/>
      <c r="E1918" s="8" t="n">
        <v>28.27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>
        <f>IF(COUNT(D1918:S1918)=0,"",MIN(D1918:S1918))</f>
        <v/>
      </c>
      <c r="U1918" s="8">
        <f>IF(COUNT(D1918:S1918)=0,"",MEDIAN(D1918:S1918))</f>
        <v/>
      </c>
      <c r="V1918" s="8">
        <f>IF(COUNT(D1918:S1918)=0,"",MAX(D1918:S1918))</f>
        <v/>
      </c>
      <c r="W1918" s="9">
        <f>IF(OR(T1918="",T1918=0),"",(V1918-T1918)/T1918)</f>
        <v/>
      </c>
      <c r="X1918" s="7">
        <f>IF(COUNT(D1918:S1918)=0,"",INDEX($D$1:$S$1,MATCH(MIN(D1918:S1918),D1918:S1918,0)))</f>
        <v/>
      </c>
      <c r="Y1918" s="8" t="n">
        <v>34.88</v>
      </c>
      <c r="Z1918" s="10" t="n">
        <v>1</v>
      </c>
    </row>
    <row r="1919">
      <c r="A1919" s="7" t="inlineStr">
        <is>
          <t>MAT-32-569</t>
        </is>
      </c>
      <c r="B1919" s="4" t="inlineStr">
        <is>
          <t>Tapón de PVC presión 3"</t>
        </is>
      </c>
      <c r="C1919" s="7" t="inlineStr">
        <is>
          <t>unidad</t>
        </is>
      </c>
      <c r="D1919" s="8" t="n"/>
      <c r="E1919" s="8" t="n">
        <v>100.24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>
        <f>IF(COUNT(D1919:S1919)=0,"",MIN(D1919:S1919))</f>
        <v/>
      </c>
      <c r="U1919" s="8">
        <f>IF(COUNT(D1919:S1919)=0,"",MEDIAN(D1919:S1919))</f>
        <v/>
      </c>
      <c r="V1919" s="8">
        <f>IF(COUNT(D1919:S1919)=0,"",MAX(D1919:S1919))</f>
        <v/>
      </c>
      <c r="W1919" s="9">
        <f>IF(OR(T1919="",T1919=0),"",(V1919-T1919)/T1919)</f>
        <v/>
      </c>
      <c r="X1919" s="7">
        <f>IF(COUNT(D1919:S1919)=0,"",INDEX($D$1:$S$1,MATCH(MIN(D1919:S1919),D1919:S1919,0)))</f>
        <v/>
      </c>
      <c r="Y1919" s="8" t="n">
        <v>100.24</v>
      </c>
      <c r="Z1919" s="10" t="n">
        <v>1</v>
      </c>
    </row>
    <row r="1920">
      <c r="A1920" s="7" t="inlineStr">
        <is>
          <t>MAT-32-570</t>
        </is>
      </c>
      <c r="B1920" s="4" t="inlineStr">
        <is>
          <t>Tapón de PVC presión 4"</t>
        </is>
      </c>
      <c r="C1920" s="7" t="inlineStr">
        <is>
          <t>unidad</t>
        </is>
      </c>
      <c r="D1920" s="8" t="n"/>
      <c r="E1920" s="8" t="n">
        <v>159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>
        <f>IF(COUNT(D1920:S1920)=0,"",MIN(D1920:S1920))</f>
        <v/>
      </c>
      <c r="U1920" s="8">
        <f>IF(COUNT(D1920:S1920)=0,"",MEDIAN(D1920:S1920))</f>
        <v/>
      </c>
      <c r="V1920" s="8">
        <f>IF(COUNT(D1920:S1920)=0,"",MAX(D1920:S1920))</f>
        <v/>
      </c>
      <c r="W1920" s="9">
        <f>IF(OR(T1920="",T1920=0),"",(V1920-T1920)/T1920)</f>
        <v/>
      </c>
      <c r="X1920" s="7">
        <f>IF(COUNT(D1920:S1920)=0,"",INDEX($D$1:$S$1,MATCH(MIN(D1920:S1920),D1920:S1920,0)))</f>
        <v/>
      </c>
      <c r="Y1920" s="8" t="n">
        <v>159</v>
      </c>
      <c r="Z1920" s="10" t="n">
        <v>1</v>
      </c>
    </row>
    <row r="1921">
      <c r="A1921" s="7" t="inlineStr">
        <is>
          <t>MAT-32-571</t>
        </is>
      </c>
      <c r="B1921" s="4" t="inlineStr">
        <is>
          <t>Tee de bronce 1/2"</t>
        </is>
      </c>
      <c r="C1921" s="7" t="inlineStr">
        <is>
          <t>unidad</t>
        </is>
      </c>
      <c r="D1921" s="8" t="n"/>
      <c r="E1921" s="8" t="n">
        <v>150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>
        <f>IF(COUNT(D1921:S1921)=0,"",MIN(D1921:S1921))</f>
        <v/>
      </c>
      <c r="U1921" s="8">
        <f>IF(COUNT(D1921:S1921)=0,"",MEDIAN(D1921:S1921))</f>
        <v/>
      </c>
      <c r="V1921" s="8">
        <f>IF(COUNT(D1921:S1921)=0,"",MAX(D1921:S1921))</f>
        <v/>
      </c>
      <c r="W1921" s="9">
        <f>IF(OR(T1921="",T1921=0),"",(V1921-T1921)/T1921)</f>
        <v/>
      </c>
      <c r="X1921" s="7">
        <f>IF(COUNT(D1921:S1921)=0,"",INDEX($D$1:$S$1,MATCH(MIN(D1921:S1921),D1921:S1921,0)))</f>
        <v/>
      </c>
      <c r="Y1921" s="8" t="n">
        <v>150</v>
      </c>
      <c r="Z1921" s="10" t="n">
        <v>1</v>
      </c>
    </row>
    <row r="1922">
      <c r="A1922" s="7" t="inlineStr">
        <is>
          <t>MAT-32-572</t>
        </is>
      </c>
      <c r="B1922" s="4" t="inlineStr">
        <is>
          <t>Tee de bronce 1/4"</t>
        </is>
      </c>
      <c r="C1922" s="7" t="inlineStr">
        <is>
          <t>unidad</t>
        </is>
      </c>
      <c r="D1922" s="8" t="n"/>
      <c r="E1922" s="8" t="n">
        <v>52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>
        <f>IF(COUNT(D1922:S1922)=0,"",MIN(D1922:S1922))</f>
        <v/>
      </c>
      <c r="U1922" s="8">
        <f>IF(COUNT(D1922:S1922)=0,"",MEDIAN(D1922:S1922))</f>
        <v/>
      </c>
      <c r="V1922" s="8">
        <f>IF(COUNT(D1922:S1922)=0,"",MAX(D1922:S1922))</f>
        <v/>
      </c>
      <c r="W1922" s="9">
        <f>IF(OR(T1922="",T1922=0),"",(V1922-T1922)/T1922)</f>
        <v/>
      </c>
      <c r="X1922" s="7">
        <f>IF(COUNT(D1922:S1922)=0,"",INDEX($D$1:$S$1,MATCH(MIN(D1922:S1922),D1922:S1922,0)))</f>
        <v/>
      </c>
      <c r="Y1922" s="8" t="n">
        <v>85.5</v>
      </c>
      <c r="Z1922" s="10" t="n">
        <v>1</v>
      </c>
    </row>
    <row r="1923">
      <c r="A1923" s="7" t="inlineStr">
        <is>
          <t>MAT-32-573</t>
        </is>
      </c>
      <c r="B1923" s="4" t="inlineStr">
        <is>
          <t>Tee de bronce 12"</t>
        </is>
      </c>
      <c r="C1923" s="7" t="inlineStr">
        <is>
          <t>unidad</t>
        </is>
      </c>
      <c r="D1923" s="8" t="n"/>
      <c r="E1923" s="8" t="n">
        <v>686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>
        <f>IF(COUNT(D1923:S1923)=0,"",MIN(D1923:S1923))</f>
        <v/>
      </c>
      <c r="U1923" s="8">
        <f>IF(COUNT(D1923:S1923)=0,"",MEDIAN(D1923:S1923))</f>
        <v/>
      </c>
      <c r="V1923" s="8">
        <f>IF(COUNT(D1923:S1923)=0,"",MAX(D1923:S1923))</f>
        <v/>
      </c>
      <c r="W1923" s="9">
        <f>IF(OR(T1923="",T1923=0),"",(V1923-T1923)/T1923)</f>
        <v/>
      </c>
      <c r="X1923" s="7">
        <f>IF(COUNT(D1923:S1923)=0,"",INDEX($D$1:$S$1,MATCH(MIN(D1923:S1923),D1923:S1923,0)))</f>
        <v/>
      </c>
      <c r="Y1923" s="8" t="n">
        <v>686</v>
      </c>
      <c r="Z1923" s="10" t="n">
        <v>1</v>
      </c>
    </row>
    <row r="1924">
      <c r="A1924" s="7" t="inlineStr">
        <is>
          <t>MAT-32-574</t>
        </is>
      </c>
      <c r="B1924" s="4" t="inlineStr">
        <is>
          <t>Tee de bronce 15"</t>
        </is>
      </c>
      <c r="C1924" s="7" t="inlineStr">
        <is>
          <t>unidad</t>
        </is>
      </c>
      <c r="D1924" s="8" t="n"/>
      <c r="E1924" s="8" t="n">
        <v>473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>
        <f>IF(COUNT(D1924:S1924)=0,"",MIN(D1924:S1924))</f>
        <v/>
      </c>
      <c r="U1924" s="8">
        <f>IF(COUNT(D1924:S1924)=0,"",MEDIAN(D1924:S1924))</f>
        <v/>
      </c>
      <c r="V1924" s="8">
        <f>IF(COUNT(D1924:S1924)=0,"",MAX(D1924:S1924))</f>
        <v/>
      </c>
      <c r="W1924" s="9">
        <f>IF(OR(T1924="",T1924=0),"",(V1924-T1924)/T1924)</f>
        <v/>
      </c>
      <c r="X1924" s="7">
        <f>IF(COUNT(D1924:S1924)=0,"",INDEX($D$1:$S$1,MATCH(MIN(D1924:S1924),D1924:S1924,0)))</f>
        <v/>
      </c>
      <c r="Y1924" s="8" t="n">
        <v>605</v>
      </c>
      <c r="Z1924" s="10" t="n">
        <v>1</v>
      </c>
    </row>
    <row r="1925">
      <c r="A1925" s="7" t="inlineStr">
        <is>
          <t>MAT-32-575</t>
        </is>
      </c>
      <c r="B1925" s="4" t="inlineStr">
        <is>
          <t>Tee de bronce 18"</t>
        </is>
      </c>
      <c r="C1925" s="7" t="inlineStr">
        <is>
          <t>unidad</t>
        </is>
      </c>
      <c r="D1925" s="8" t="n"/>
      <c r="E1925" s="8" t="n">
        <v>207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>
        <f>IF(COUNT(D1925:S1925)=0,"",MIN(D1925:S1925))</f>
        <v/>
      </c>
      <c r="U1925" s="8">
        <f>IF(COUNT(D1925:S1925)=0,"",MEDIAN(D1925:S1925))</f>
        <v/>
      </c>
      <c r="V1925" s="8">
        <f>IF(COUNT(D1925:S1925)=0,"",MAX(D1925:S1925))</f>
        <v/>
      </c>
      <c r="W1925" s="9">
        <f>IF(OR(T1925="",T1925=0),"",(V1925-T1925)/T1925)</f>
        <v/>
      </c>
      <c r="X1925" s="7">
        <f>IF(COUNT(D1925:S1925)=0,"",INDEX($D$1:$S$1,MATCH(MIN(D1925:S1925),D1925:S1925,0)))</f>
        <v/>
      </c>
      <c r="Y1925" s="8" t="n">
        <v>702</v>
      </c>
      <c r="Z1925" s="10" t="n">
        <v>1</v>
      </c>
    </row>
    <row r="1926">
      <c r="A1926" s="7" t="inlineStr">
        <is>
          <t>MAT-32-576</t>
        </is>
      </c>
      <c r="B1926" s="4" t="inlineStr">
        <is>
          <t>Tee de bronce 25"</t>
        </is>
      </c>
      <c r="C1926" s="7" t="inlineStr">
        <is>
          <t>unidad</t>
        </is>
      </c>
      <c r="D1926" s="8" t="n"/>
      <c r="E1926" s="8" t="n">
        <v>1255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>
        <f>IF(COUNT(D1926:S1926)=0,"",MIN(D1926:S1926))</f>
        <v/>
      </c>
      <c r="U1926" s="8">
        <f>IF(COUNT(D1926:S1926)=0,"",MEDIAN(D1926:S1926))</f>
        <v/>
      </c>
      <c r="V1926" s="8">
        <f>IF(COUNT(D1926:S1926)=0,"",MAX(D1926:S1926))</f>
        <v/>
      </c>
      <c r="W1926" s="9">
        <f>IF(OR(T1926="",T1926=0),"",(V1926-T1926)/T1926)</f>
        <v/>
      </c>
      <c r="X1926" s="7">
        <f>IF(COUNT(D1926:S1926)=0,"",INDEX($D$1:$S$1,MATCH(MIN(D1926:S1926),D1926:S1926,0)))</f>
        <v/>
      </c>
      <c r="Y1926" s="8" t="n">
        <v>1255</v>
      </c>
      <c r="Z1926" s="10" t="n">
        <v>1</v>
      </c>
    </row>
    <row r="1927">
      <c r="A1927" s="7" t="inlineStr">
        <is>
          <t>MAT-32-577</t>
        </is>
      </c>
      <c r="B1927" s="4" t="inlineStr">
        <is>
          <t>Tee de bronce 3/8"</t>
        </is>
      </c>
      <c r="C1927" s="7" t="inlineStr">
        <is>
          <t>unidad</t>
        </is>
      </c>
      <c r="D1927" s="8" t="n"/>
      <c r="E1927" s="8" t="n">
        <v>78</v>
      </c>
      <c r="F1927" s="8" t="n"/>
      <c r="G1927" s="8" t="n">
        <v>186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>
        <f>IF(COUNT(D1927:S1927)=0,"",MIN(D1927:S1927))</f>
        <v/>
      </c>
      <c r="U1927" s="8">
        <f>IF(COUNT(D1927:S1927)=0,"",MEDIAN(D1927:S1927))</f>
        <v/>
      </c>
      <c r="V1927" s="8">
        <f>IF(COUNT(D1927:S1927)=0,"",MAX(D1927:S1927))</f>
        <v/>
      </c>
      <c r="W1927" s="9">
        <f>IF(OR(T1927="",T1927=0),"",(V1927-T1927)/T1927)</f>
        <v/>
      </c>
      <c r="X1927" s="7">
        <f>IF(COUNT(D1927:S1927)=0,"",INDEX($D$1:$S$1,MATCH(MIN(D1927:S1927),D1927:S1927,0)))</f>
        <v/>
      </c>
      <c r="Y1927" s="8" t="n">
        <v>179</v>
      </c>
      <c r="Z1927" s="10" t="n">
        <v>2</v>
      </c>
    </row>
    <row r="1928">
      <c r="A1928" s="7" t="inlineStr">
        <is>
          <t>MAT-32-578</t>
        </is>
      </c>
      <c r="B1928" s="4" t="inlineStr">
        <is>
          <t>Tee de bronce 32"</t>
        </is>
      </c>
      <c r="C1928" s="7" t="inlineStr">
        <is>
          <t>unidad</t>
        </is>
      </c>
      <c r="D1928" s="8" t="n"/>
      <c r="E1928" s="8" t="n">
        <v>2108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>
        <f>IF(COUNT(D1928:S1928)=0,"",MIN(D1928:S1928))</f>
        <v/>
      </c>
      <c r="U1928" s="8">
        <f>IF(COUNT(D1928:S1928)=0,"",MEDIAN(D1928:S1928))</f>
        <v/>
      </c>
      <c r="V1928" s="8">
        <f>IF(COUNT(D1928:S1928)=0,"",MAX(D1928:S1928))</f>
        <v/>
      </c>
      <c r="W1928" s="9">
        <f>IF(OR(T1928="",T1928=0),"",(V1928-T1928)/T1928)</f>
        <v/>
      </c>
      <c r="X1928" s="7">
        <f>IF(COUNT(D1928:S1928)=0,"",INDEX($D$1:$S$1,MATCH(MIN(D1928:S1928),D1928:S1928,0)))</f>
        <v/>
      </c>
      <c r="Y1928" s="8" t="n">
        <v>2108</v>
      </c>
      <c r="Z1928" s="10" t="n">
        <v>1</v>
      </c>
    </row>
    <row r="1929">
      <c r="A1929" s="7" t="inlineStr">
        <is>
          <t>MAT-32-579</t>
        </is>
      </c>
      <c r="B1929" s="4" t="inlineStr">
        <is>
          <t>Tee de cobre 1 1/8"</t>
        </is>
      </c>
      <c r="C1929" s="7" t="inlineStr">
        <is>
          <t>unidad</t>
        </is>
      </c>
      <c r="D1929" s="8" t="n"/>
      <c r="E1929" s="8" t="n">
        <v>143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>
        <f>IF(COUNT(D1929:S1929)=0,"",MIN(D1929:S1929))</f>
        <v/>
      </c>
      <c r="U1929" s="8">
        <f>IF(COUNT(D1929:S1929)=0,"",MEDIAN(D1929:S1929))</f>
        <v/>
      </c>
      <c r="V1929" s="8">
        <f>IF(COUNT(D1929:S1929)=0,"",MAX(D1929:S1929))</f>
        <v/>
      </c>
      <c r="W1929" s="9">
        <f>IF(OR(T1929="",T1929=0),"",(V1929-T1929)/T1929)</f>
        <v/>
      </c>
      <c r="X1929" s="7">
        <f>IF(COUNT(D1929:S1929)=0,"",INDEX($D$1:$S$1,MATCH(MIN(D1929:S1929),D1929:S1929,0)))</f>
        <v/>
      </c>
      <c r="Y1929" s="8" t="n">
        <v>143</v>
      </c>
      <c r="Z1929" s="10" t="n">
        <v>1</v>
      </c>
    </row>
    <row r="1930">
      <c r="A1930" s="7" t="inlineStr">
        <is>
          <t>MAT-32-580</t>
        </is>
      </c>
      <c r="B1930" s="4" t="inlineStr">
        <is>
          <t>Tee de cobre 1/2"</t>
        </is>
      </c>
      <c r="C1930" s="7" t="inlineStr">
        <is>
          <t>unidad</t>
        </is>
      </c>
      <c r="D1930" s="8" t="n"/>
      <c r="E1930" s="8" t="n">
        <v>66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>
        <f>IF(COUNT(D1930:S1930)=0,"",MIN(D1930:S1930))</f>
        <v/>
      </c>
      <c r="U1930" s="8">
        <f>IF(COUNT(D1930:S1930)=0,"",MEDIAN(D1930:S1930))</f>
        <v/>
      </c>
      <c r="V1930" s="8">
        <f>IF(COUNT(D1930:S1930)=0,"",MAX(D1930:S1930))</f>
        <v/>
      </c>
      <c r="W1930" s="9">
        <f>IF(OR(T1930="",T1930=0),"",(V1930-T1930)/T1930)</f>
        <v/>
      </c>
      <c r="X1930" s="7">
        <f>IF(COUNT(D1930:S1930)=0,"",INDEX($D$1:$S$1,MATCH(MIN(D1930:S1930),D1930:S1930,0)))</f>
        <v/>
      </c>
      <c r="Y1930" s="8" t="n">
        <v>66</v>
      </c>
      <c r="Z1930" s="10" t="n">
        <v>1</v>
      </c>
    </row>
    <row r="1931">
      <c r="A1931" s="7" t="inlineStr">
        <is>
          <t>MAT-32-581</t>
        </is>
      </c>
      <c r="B1931" s="4" t="inlineStr">
        <is>
          <t>Tee de cobre 1 3/8"</t>
        </is>
      </c>
      <c r="C1931" s="7" t="inlineStr">
        <is>
          <t>unidad</t>
        </is>
      </c>
      <c r="D1931" s="8" t="n"/>
      <c r="E1931" s="8" t="n">
        <v>293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>
        <f>IF(COUNT(D1931:S1931)=0,"",MIN(D1931:S1931))</f>
        <v/>
      </c>
      <c r="U1931" s="8">
        <f>IF(COUNT(D1931:S1931)=0,"",MEDIAN(D1931:S1931))</f>
        <v/>
      </c>
      <c r="V1931" s="8">
        <f>IF(COUNT(D1931:S1931)=0,"",MAX(D1931:S1931))</f>
        <v/>
      </c>
      <c r="W1931" s="9">
        <f>IF(OR(T1931="",T1931=0),"",(V1931-T1931)/T1931)</f>
        <v/>
      </c>
      <c r="X1931" s="7">
        <f>IF(COUNT(D1931:S1931)=0,"",INDEX($D$1:$S$1,MATCH(MIN(D1931:S1931),D1931:S1931,0)))</f>
        <v/>
      </c>
      <c r="Y1931" s="8" t="n">
        <v>293</v>
      </c>
      <c r="Z1931" s="10" t="n">
        <v>1</v>
      </c>
    </row>
    <row r="1932">
      <c r="A1932" s="7" t="inlineStr">
        <is>
          <t>MAT-32-582</t>
        </is>
      </c>
      <c r="B1932" s="4" t="inlineStr">
        <is>
          <t>Tee de cobre 3/4"</t>
        </is>
      </c>
      <c r="C1932" s="7" t="inlineStr">
        <is>
          <t>unidad</t>
        </is>
      </c>
      <c r="D1932" s="8" t="n"/>
      <c r="E1932" s="8" t="n">
        <v>237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>
        <f>IF(COUNT(D1932:S1932)=0,"",MIN(D1932:S1932))</f>
        <v/>
      </c>
      <c r="U1932" s="8">
        <f>IF(COUNT(D1932:S1932)=0,"",MEDIAN(D1932:S1932))</f>
        <v/>
      </c>
      <c r="V1932" s="8">
        <f>IF(COUNT(D1932:S1932)=0,"",MAX(D1932:S1932))</f>
        <v/>
      </c>
      <c r="W1932" s="9">
        <f>IF(OR(T1932="",T1932=0),"",(V1932-T1932)/T1932)</f>
        <v/>
      </c>
      <c r="X1932" s="7">
        <f>IF(COUNT(D1932:S1932)=0,"",INDEX($D$1:$S$1,MATCH(MIN(D1932:S1932),D1932:S1932,0)))</f>
        <v/>
      </c>
      <c r="Y1932" s="8" t="n">
        <v>237</v>
      </c>
      <c r="Z1932" s="10" t="n">
        <v>1</v>
      </c>
    </row>
    <row r="1933">
      <c r="A1933" s="7" t="inlineStr">
        <is>
          <t>MAT-32-583</t>
        </is>
      </c>
      <c r="B1933" s="4" t="inlineStr">
        <is>
          <t>Tee de cobre 3/8"</t>
        </is>
      </c>
      <c r="C1933" s="7" t="inlineStr">
        <is>
          <t>unidad</t>
        </is>
      </c>
      <c r="D1933" s="8" t="n"/>
      <c r="E1933" s="8" t="n"/>
      <c r="F1933" s="8" t="n"/>
      <c r="G1933" s="8" t="n">
        <v>256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>
        <f>IF(COUNT(D1933:S1933)=0,"",MIN(D1933:S1933))</f>
        <v/>
      </c>
      <c r="U1933" s="8">
        <f>IF(COUNT(D1933:S1933)=0,"",MEDIAN(D1933:S1933))</f>
        <v/>
      </c>
      <c r="V1933" s="8">
        <f>IF(COUNT(D1933:S1933)=0,"",MAX(D1933:S1933))</f>
        <v/>
      </c>
      <c r="W1933" s="9">
        <f>IF(OR(T1933="",T1933=0),"",(V1933-T1933)/T1933)</f>
        <v/>
      </c>
      <c r="X1933" s="7">
        <f>IF(COUNT(D1933:S1933)=0,"",INDEX($D$1:$S$1,MATCH(MIN(D1933:S1933),D1933:S1933,0)))</f>
        <v/>
      </c>
      <c r="Y1933" s="8" t="n">
        <v>256</v>
      </c>
      <c r="Z1933" s="10" t="n">
        <v>1</v>
      </c>
    </row>
    <row r="1934">
      <c r="A1934" s="7" t="inlineStr">
        <is>
          <t>MAT-32-584</t>
        </is>
      </c>
      <c r="B1934" s="4" t="inlineStr">
        <is>
          <t>Tee de cobre 7/8"</t>
        </is>
      </c>
      <c r="C1934" s="7" t="inlineStr">
        <is>
          <t>unidad</t>
        </is>
      </c>
      <c r="D1934" s="8" t="n"/>
      <c r="E1934" s="8" t="n">
        <v>257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>
        <f>IF(COUNT(D1934:S1934)=0,"",MIN(D1934:S1934))</f>
        <v/>
      </c>
      <c r="U1934" s="8">
        <f>IF(COUNT(D1934:S1934)=0,"",MEDIAN(D1934:S1934))</f>
        <v/>
      </c>
      <c r="V1934" s="8">
        <f>IF(COUNT(D1934:S1934)=0,"",MAX(D1934:S1934))</f>
        <v/>
      </c>
      <c r="W1934" s="9">
        <f>IF(OR(T1934="",T1934=0),"",(V1934-T1934)/T1934)</f>
        <v/>
      </c>
      <c r="X1934" s="7">
        <f>IF(COUNT(D1934:S1934)=0,"",INDEX($D$1:$S$1,MATCH(MIN(D1934:S1934),D1934:S1934,0)))</f>
        <v/>
      </c>
      <c r="Y1934" s="8" t="n">
        <v>257</v>
      </c>
      <c r="Z1934" s="10" t="n">
        <v>1</v>
      </c>
    </row>
    <row r="1935">
      <c r="A1935" s="7" t="inlineStr">
        <is>
          <t>MAT-32-585</t>
        </is>
      </c>
      <c r="B1935" s="4" t="inlineStr">
        <is>
          <t>Tee de CPVC 1/2"</t>
        </is>
      </c>
      <c r="C1935" s="7" t="inlineStr">
        <is>
          <t>unidad</t>
        </is>
      </c>
      <c r="D1935" s="8" t="n"/>
      <c r="E1935" s="8" t="n">
        <v>10.34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>
        <f>IF(COUNT(D1935:S1935)=0,"",MIN(D1935:S1935))</f>
        <v/>
      </c>
      <c r="U1935" s="8">
        <f>IF(COUNT(D1935:S1935)=0,"",MEDIAN(D1935:S1935))</f>
        <v/>
      </c>
      <c r="V1935" s="8">
        <f>IF(COUNT(D1935:S1935)=0,"",MAX(D1935:S1935))</f>
        <v/>
      </c>
      <c r="W1935" s="9">
        <f>IF(OR(T1935="",T1935=0),"",(V1935-T1935)/T1935)</f>
        <v/>
      </c>
      <c r="X1935" s="7">
        <f>IF(COUNT(D1935:S1935)=0,"",INDEX($D$1:$S$1,MATCH(MIN(D1935:S1935),D1935:S1935,0)))</f>
        <v/>
      </c>
      <c r="Y1935" s="8" t="n">
        <v>10.34</v>
      </c>
      <c r="Z1935" s="10" t="n">
        <v>1</v>
      </c>
    </row>
    <row r="1936">
      <c r="A1936" s="7" t="inlineStr">
        <is>
          <t>MAT-32-586</t>
        </is>
      </c>
      <c r="B1936" s="4" t="inlineStr">
        <is>
          <t>Tee de CPVC 1"</t>
        </is>
      </c>
      <c r="C1936" s="7" t="inlineStr">
        <is>
          <t>unidad</t>
        </is>
      </c>
      <c r="D1936" s="8" t="n"/>
      <c r="E1936" s="8" t="n">
        <v>40.95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>
        <f>IF(COUNT(D1936:S1936)=0,"",MIN(D1936:S1936))</f>
        <v/>
      </c>
      <c r="U1936" s="8">
        <f>IF(COUNT(D1936:S1936)=0,"",MEDIAN(D1936:S1936))</f>
        <v/>
      </c>
      <c r="V1936" s="8">
        <f>IF(COUNT(D1936:S1936)=0,"",MAX(D1936:S1936))</f>
        <v/>
      </c>
      <c r="W1936" s="9">
        <f>IF(OR(T1936="",T1936=0),"",(V1936-T1936)/T1936)</f>
        <v/>
      </c>
      <c r="X1936" s="7">
        <f>IF(COUNT(D1936:S1936)=0,"",INDEX($D$1:$S$1,MATCH(MIN(D1936:S1936),D1936:S1936,0)))</f>
        <v/>
      </c>
      <c r="Y1936" s="8" t="n">
        <v>40.95</v>
      </c>
      <c r="Z1936" s="10" t="n">
        <v>1</v>
      </c>
    </row>
    <row r="1937">
      <c r="A1937" s="7" t="inlineStr">
        <is>
          <t>MAT-32-587</t>
        </is>
      </c>
      <c r="B1937" s="4" t="inlineStr">
        <is>
          <t>Tee de CPVC 3/4"</t>
        </is>
      </c>
      <c r="C1937" s="7" t="inlineStr">
        <is>
          <t>unidad</t>
        </is>
      </c>
      <c r="D1937" s="8" t="n"/>
      <c r="E1937" s="8" t="n">
        <v>27.04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>
        <f>IF(COUNT(D1937:S1937)=0,"",MIN(D1937:S1937))</f>
        <v/>
      </c>
      <c r="U1937" s="8">
        <f>IF(COUNT(D1937:S1937)=0,"",MEDIAN(D1937:S1937))</f>
        <v/>
      </c>
      <c r="V1937" s="8">
        <f>IF(COUNT(D1937:S1937)=0,"",MAX(D1937:S1937))</f>
        <v/>
      </c>
      <c r="W1937" s="9">
        <f>IF(OR(T1937="",T1937=0),"",(V1937-T1937)/T1937)</f>
        <v/>
      </c>
      <c r="X1937" s="7">
        <f>IF(COUNT(D1937:S1937)=0,"",INDEX($D$1:$S$1,MATCH(MIN(D1937:S1937),D1937:S1937,0)))</f>
        <v/>
      </c>
      <c r="Y1937" s="8" t="n">
        <v>27.04</v>
      </c>
      <c r="Z1937" s="10" t="n">
        <v>1</v>
      </c>
    </row>
    <row r="1938">
      <c r="A1938" s="7" t="inlineStr">
        <is>
          <t>MAT-32-588</t>
        </is>
      </c>
      <c r="B1938" s="4" t="inlineStr">
        <is>
          <t>Tee de HG 1 1/2"</t>
        </is>
      </c>
      <c r="C1938" s="7" t="inlineStr">
        <is>
          <t>unidad</t>
        </is>
      </c>
      <c r="D1938" s="8" t="n"/>
      <c r="E1938" s="8" t="n">
        <v>143</v>
      </c>
      <c r="F1938" s="8" t="n"/>
      <c r="G1938" s="8" t="n">
        <v>277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>
        <f>IF(COUNT(D1938:S1938)=0,"",MIN(D1938:S1938))</f>
        <v/>
      </c>
      <c r="U1938" s="8">
        <f>IF(COUNT(D1938:S1938)=0,"",MEDIAN(D1938:S1938))</f>
        <v/>
      </c>
      <c r="V1938" s="8">
        <f>IF(COUNT(D1938:S1938)=0,"",MAX(D1938:S1938))</f>
        <v/>
      </c>
      <c r="W1938" s="9">
        <f>IF(OR(T1938="",T1938=0),"",(V1938-T1938)/T1938)</f>
        <v/>
      </c>
      <c r="X1938" s="7">
        <f>IF(COUNT(D1938:S1938)=0,"",INDEX($D$1:$S$1,MATCH(MIN(D1938:S1938),D1938:S1938,0)))</f>
        <v/>
      </c>
      <c r="Y1938" s="8" t="n">
        <v>210</v>
      </c>
      <c r="Z1938" s="10" t="n">
        <v>2</v>
      </c>
    </row>
    <row r="1939">
      <c r="A1939" s="7" t="inlineStr">
        <is>
          <t>MAT-32-589</t>
        </is>
      </c>
      <c r="B1939" s="4" t="inlineStr">
        <is>
          <t>Tee de HG 1 1/4"</t>
        </is>
      </c>
      <c r="C1939" s="7" t="inlineStr">
        <is>
          <t>unidad</t>
        </is>
      </c>
      <c r="D1939" s="8" t="n"/>
      <c r="E1939" s="8" t="n">
        <v>119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>
        <f>IF(COUNT(D1939:S1939)=0,"",MIN(D1939:S1939))</f>
        <v/>
      </c>
      <c r="U1939" s="8">
        <f>IF(COUNT(D1939:S1939)=0,"",MEDIAN(D1939:S1939))</f>
        <v/>
      </c>
      <c r="V1939" s="8">
        <f>IF(COUNT(D1939:S1939)=0,"",MAX(D1939:S1939))</f>
        <v/>
      </c>
      <c r="W1939" s="9">
        <f>IF(OR(T1939="",T1939=0),"",(V1939-T1939)/T1939)</f>
        <v/>
      </c>
      <c r="X1939" s="7">
        <f>IF(COUNT(D1939:S1939)=0,"",INDEX($D$1:$S$1,MATCH(MIN(D1939:S1939),D1939:S1939,0)))</f>
        <v/>
      </c>
      <c r="Y1939" s="8" t="n">
        <v>119</v>
      </c>
      <c r="Z1939" s="10" t="n">
        <v>1</v>
      </c>
    </row>
    <row r="1940">
      <c r="A1940" s="7" t="inlineStr">
        <is>
          <t>MAT-32-590</t>
        </is>
      </c>
      <c r="B1940" s="4" t="inlineStr">
        <is>
          <t>Tee de HG 1/2"</t>
        </is>
      </c>
      <c r="C1940" s="7" t="inlineStr">
        <is>
          <t>unidad</t>
        </is>
      </c>
      <c r="D1940" s="8" t="n"/>
      <c r="E1940" s="8" t="n">
        <v>34</v>
      </c>
      <c r="F1940" s="8" t="n"/>
      <c r="G1940" s="8" t="n">
        <v>40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>
        <f>IF(COUNT(D1940:S1940)=0,"",MIN(D1940:S1940))</f>
        <v/>
      </c>
      <c r="U1940" s="8">
        <f>IF(COUNT(D1940:S1940)=0,"",MEDIAN(D1940:S1940))</f>
        <v/>
      </c>
      <c r="V1940" s="8">
        <f>IF(COUNT(D1940:S1940)=0,"",MAX(D1940:S1940))</f>
        <v/>
      </c>
      <c r="W1940" s="9">
        <f>IF(OR(T1940="",T1940=0),"",(V1940-T1940)/T1940)</f>
        <v/>
      </c>
      <c r="X1940" s="7">
        <f>IF(COUNT(D1940:S1940)=0,"",INDEX($D$1:$S$1,MATCH(MIN(D1940:S1940),D1940:S1940,0)))</f>
        <v/>
      </c>
      <c r="Y1940" s="8" t="n">
        <v>37</v>
      </c>
      <c r="Z1940" s="10" t="n">
        <v>2</v>
      </c>
    </row>
    <row r="1941">
      <c r="A1941" s="7" t="inlineStr">
        <is>
          <t>MAT-32-591</t>
        </is>
      </c>
      <c r="B1941" s="4" t="inlineStr">
        <is>
          <t>Tee de HG 1/4"</t>
        </is>
      </c>
      <c r="C1941" s="7" t="inlineStr">
        <is>
          <t>unidad</t>
        </is>
      </c>
      <c r="D1941" s="8" t="n"/>
      <c r="E1941" s="8" t="n">
        <v>37</v>
      </c>
      <c r="F1941" s="8" t="n"/>
      <c r="G1941" s="8" t="n">
        <v>130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>
        <f>IF(COUNT(D1941:S1941)=0,"",MIN(D1941:S1941))</f>
        <v/>
      </c>
      <c r="U1941" s="8">
        <f>IF(COUNT(D1941:S1941)=0,"",MEDIAN(D1941:S1941))</f>
        <v/>
      </c>
      <c r="V1941" s="8">
        <f>IF(COUNT(D1941:S1941)=0,"",MAX(D1941:S1941))</f>
        <v/>
      </c>
      <c r="W1941" s="9">
        <f>IF(OR(T1941="",T1941=0),"",(V1941-T1941)/T1941)</f>
        <v/>
      </c>
      <c r="X1941" s="7">
        <f>IF(COUNT(D1941:S1941)=0,"",INDEX($D$1:$S$1,MATCH(MIN(D1941:S1941),D1941:S1941,0)))</f>
        <v/>
      </c>
      <c r="Y1941" s="8" t="n">
        <v>83.5</v>
      </c>
      <c r="Z1941" s="10" t="n">
        <v>2</v>
      </c>
    </row>
    <row r="1942">
      <c r="A1942" s="7" t="inlineStr">
        <is>
          <t>MAT-32-592</t>
        </is>
      </c>
      <c r="B1942" s="4" t="inlineStr">
        <is>
          <t>Tee de HG 1"</t>
        </is>
      </c>
      <c r="C1942" s="7" t="inlineStr">
        <is>
          <t>unidad</t>
        </is>
      </c>
      <c r="D1942" s="8" t="n"/>
      <c r="E1942" s="8" t="n">
        <v>77</v>
      </c>
      <c r="F1942" s="8" t="n"/>
      <c r="G1942" s="8" t="n">
        <v>160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>
        <f>IF(COUNT(D1942:S1942)=0,"",MIN(D1942:S1942))</f>
        <v/>
      </c>
      <c r="U1942" s="8">
        <f>IF(COUNT(D1942:S1942)=0,"",MEDIAN(D1942:S1942))</f>
        <v/>
      </c>
      <c r="V1942" s="8">
        <f>IF(COUNT(D1942:S1942)=0,"",MAX(D1942:S1942))</f>
        <v/>
      </c>
      <c r="W1942" s="9">
        <f>IF(OR(T1942="",T1942=0),"",(V1942-T1942)/T1942)</f>
        <v/>
      </c>
      <c r="X1942" s="7">
        <f>IF(COUNT(D1942:S1942)=0,"",INDEX($D$1:$S$1,MATCH(MIN(D1942:S1942),D1942:S1942,0)))</f>
        <v/>
      </c>
      <c r="Y1942" s="8" t="n">
        <v>118.5</v>
      </c>
      <c r="Z1942" s="10" t="n">
        <v>2</v>
      </c>
    </row>
    <row r="1943">
      <c r="A1943" s="7" t="inlineStr">
        <is>
          <t>MAT-32-593</t>
        </is>
      </c>
      <c r="B1943" s="4" t="inlineStr">
        <is>
          <t>Tee de HG 2 1/2"</t>
        </is>
      </c>
      <c r="C1943" s="7" t="inlineStr">
        <is>
          <t>unidad</t>
        </is>
      </c>
      <c r="D1943" s="8" t="n"/>
      <c r="E1943" s="8" t="n">
        <v>526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>
        <f>IF(COUNT(D1943:S1943)=0,"",MIN(D1943:S1943))</f>
        <v/>
      </c>
      <c r="U1943" s="8">
        <f>IF(COUNT(D1943:S1943)=0,"",MEDIAN(D1943:S1943))</f>
        <v/>
      </c>
      <c r="V1943" s="8">
        <f>IF(COUNT(D1943:S1943)=0,"",MAX(D1943:S1943))</f>
        <v/>
      </c>
      <c r="W1943" s="9">
        <f>IF(OR(T1943="",T1943=0),"",(V1943-T1943)/T1943)</f>
        <v/>
      </c>
      <c r="X1943" s="7">
        <f>IF(COUNT(D1943:S1943)=0,"",INDEX($D$1:$S$1,MATCH(MIN(D1943:S1943),D1943:S1943,0)))</f>
        <v/>
      </c>
      <c r="Y1943" s="8" t="n">
        <v>526</v>
      </c>
      <c r="Z1943" s="10" t="n">
        <v>1</v>
      </c>
    </row>
    <row r="1944">
      <c r="A1944" s="7" t="inlineStr">
        <is>
          <t>MAT-32-594</t>
        </is>
      </c>
      <c r="B1944" s="4" t="inlineStr">
        <is>
          <t>Tee de HG 2"</t>
        </is>
      </c>
      <c r="C1944" s="7" t="inlineStr">
        <is>
          <t>unidad</t>
        </is>
      </c>
      <c r="D1944" s="8" t="n"/>
      <c r="E1944" s="8" t="n">
        <v>212</v>
      </c>
      <c r="F1944" s="8" t="n"/>
      <c r="G1944" s="8" t="n">
        <v>383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>
        <f>IF(COUNT(D1944:S1944)=0,"",MIN(D1944:S1944))</f>
        <v/>
      </c>
      <c r="U1944" s="8">
        <f>IF(COUNT(D1944:S1944)=0,"",MEDIAN(D1944:S1944))</f>
        <v/>
      </c>
      <c r="V1944" s="8">
        <f>IF(COUNT(D1944:S1944)=0,"",MAX(D1944:S1944))</f>
        <v/>
      </c>
      <c r="W1944" s="9">
        <f>IF(OR(T1944="",T1944=0),"",(V1944-T1944)/T1944)</f>
        <v/>
      </c>
      <c r="X1944" s="7">
        <f>IF(COUNT(D1944:S1944)=0,"",INDEX($D$1:$S$1,MATCH(MIN(D1944:S1944),D1944:S1944,0)))</f>
        <v/>
      </c>
      <c r="Y1944" s="8" t="n">
        <v>297.5</v>
      </c>
      <c r="Z1944" s="10" t="n">
        <v>2</v>
      </c>
    </row>
    <row r="1945">
      <c r="A1945" s="7" t="inlineStr">
        <is>
          <t>MAT-32-595</t>
        </is>
      </c>
      <c r="B1945" s="4" t="inlineStr">
        <is>
          <t>Tee de HG 3/4"</t>
        </is>
      </c>
      <c r="C1945" s="7" t="inlineStr">
        <is>
          <t>unidad</t>
        </is>
      </c>
      <c r="D1945" s="8" t="n"/>
      <c r="E1945" s="8" t="n">
        <v>49</v>
      </c>
      <c r="F1945" s="8" t="n"/>
      <c r="G1945" s="8" t="n">
        <v>95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>
        <f>IF(COUNT(D1945:S1945)=0,"",MIN(D1945:S1945))</f>
        <v/>
      </c>
      <c r="U1945" s="8">
        <f>IF(COUNT(D1945:S1945)=0,"",MEDIAN(D1945:S1945))</f>
        <v/>
      </c>
      <c r="V1945" s="8">
        <f>IF(COUNT(D1945:S1945)=0,"",MAX(D1945:S1945))</f>
        <v/>
      </c>
      <c r="W1945" s="9">
        <f>IF(OR(T1945="",T1945=0),"",(V1945-T1945)/T1945)</f>
        <v/>
      </c>
      <c r="X1945" s="7">
        <f>IF(COUNT(D1945:S1945)=0,"",INDEX($D$1:$S$1,MATCH(MIN(D1945:S1945),D1945:S1945,0)))</f>
        <v/>
      </c>
      <c r="Y1945" s="8" t="n">
        <v>72</v>
      </c>
      <c r="Z1945" s="10" t="n">
        <v>2</v>
      </c>
    </row>
    <row r="1946">
      <c r="A1946" s="7" t="inlineStr">
        <is>
          <t>MAT-32-596</t>
        </is>
      </c>
      <c r="B1946" s="4" t="inlineStr">
        <is>
          <t>Tee de HG 3/8"</t>
        </is>
      </c>
      <c r="C1946" s="7" t="inlineStr">
        <is>
          <t>unidad</t>
        </is>
      </c>
      <c r="D1946" s="8" t="n"/>
      <c r="E1946" s="8" t="n">
        <v>42.23</v>
      </c>
      <c r="F1946" s="8" t="n"/>
      <c r="G1946" s="8" t="n">
        <v>58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>
        <f>IF(COUNT(D1946:S1946)=0,"",MIN(D1946:S1946))</f>
        <v/>
      </c>
      <c r="U1946" s="8">
        <f>IF(COUNT(D1946:S1946)=0,"",MEDIAN(D1946:S1946))</f>
        <v/>
      </c>
      <c r="V1946" s="8">
        <f>IF(COUNT(D1946:S1946)=0,"",MAX(D1946:S1946))</f>
        <v/>
      </c>
      <c r="W1946" s="9">
        <f>IF(OR(T1946="",T1946=0),"",(V1946-T1946)/T1946)</f>
        <v/>
      </c>
      <c r="X1946" s="7">
        <f>IF(COUNT(D1946:S1946)=0,"",INDEX($D$1:$S$1,MATCH(MIN(D1946:S1946),D1946:S1946,0)))</f>
        <v/>
      </c>
      <c r="Y1946" s="8" t="n">
        <v>50.11</v>
      </c>
      <c r="Z1946" s="10" t="n">
        <v>2</v>
      </c>
    </row>
    <row r="1947">
      <c r="A1947" s="7" t="inlineStr">
        <is>
          <t>MAT-32-597</t>
        </is>
      </c>
      <c r="B1947" s="4" t="inlineStr">
        <is>
          <t>Tee de HG 3"</t>
        </is>
      </c>
      <c r="C1947" s="7" t="inlineStr">
        <is>
          <t>unidad</t>
        </is>
      </c>
      <c r="D1947" s="8" t="n"/>
      <c r="E1947" s="8" t="n">
        <v>603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>
        <f>IF(COUNT(D1947:S1947)=0,"",MIN(D1947:S1947))</f>
        <v/>
      </c>
      <c r="U1947" s="8">
        <f>IF(COUNT(D1947:S1947)=0,"",MEDIAN(D1947:S1947))</f>
        <v/>
      </c>
      <c r="V1947" s="8">
        <f>IF(COUNT(D1947:S1947)=0,"",MAX(D1947:S1947))</f>
        <v/>
      </c>
      <c r="W1947" s="9">
        <f>IF(OR(T1947="",T1947=0),"",(V1947-T1947)/T1947)</f>
        <v/>
      </c>
      <c r="X1947" s="7">
        <f>IF(COUNT(D1947:S1947)=0,"",INDEX($D$1:$S$1,MATCH(MIN(D1947:S1947),D1947:S1947,0)))</f>
        <v/>
      </c>
      <c r="Y1947" s="8" t="n">
        <v>603</v>
      </c>
      <c r="Z1947" s="10" t="n">
        <v>1</v>
      </c>
    </row>
    <row r="1948">
      <c r="A1948" s="7" t="inlineStr">
        <is>
          <t>MAT-32-598</t>
        </is>
      </c>
      <c r="B1948" s="4" t="inlineStr">
        <is>
          <t>Tee de HG 4"</t>
        </is>
      </c>
      <c r="C1948" s="7" t="inlineStr">
        <is>
          <t>unidad</t>
        </is>
      </c>
      <c r="D1948" s="8" t="n"/>
      <c r="E1948" s="8" t="n">
        <v>1187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>
        <f>IF(COUNT(D1948:S1948)=0,"",MIN(D1948:S1948))</f>
        <v/>
      </c>
      <c r="U1948" s="8">
        <f>IF(COUNT(D1948:S1948)=0,"",MEDIAN(D1948:S1948))</f>
        <v/>
      </c>
      <c r="V1948" s="8">
        <f>IF(COUNT(D1948:S1948)=0,"",MAX(D1948:S1948))</f>
        <v/>
      </c>
      <c r="W1948" s="9">
        <f>IF(OR(T1948="",T1948=0),"",(V1948-T1948)/T1948)</f>
        <v/>
      </c>
      <c r="X1948" s="7">
        <f>IF(COUNT(D1948:S1948)=0,"",INDEX($D$1:$S$1,MATCH(MIN(D1948:S1948),D1948:S1948,0)))</f>
        <v/>
      </c>
      <c r="Y1948" s="8" t="n">
        <v>1187</v>
      </c>
      <c r="Z1948" s="10" t="n">
        <v>1</v>
      </c>
    </row>
    <row r="1949">
      <c r="A1949" s="7" t="inlineStr">
        <is>
          <t>MAT-32-599</t>
        </is>
      </c>
      <c r="B1949" s="4" t="inlineStr">
        <is>
          <t>Tee de niquelado 1/2"</t>
        </is>
      </c>
      <c r="C1949" s="7" t="inlineStr">
        <is>
          <t>unidad</t>
        </is>
      </c>
      <c r="D1949" s="8" t="n"/>
      <c r="E1949" s="8" t="n"/>
      <c r="F1949" s="8" t="n"/>
      <c r="G1949" s="8" t="n">
        <v>444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>
        <f>IF(COUNT(D1949:S1949)=0,"",MIN(D1949:S1949))</f>
        <v/>
      </c>
      <c r="U1949" s="8">
        <f>IF(COUNT(D1949:S1949)=0,"",MEDIAN(D1949:S1949))</f>
        <v/>
      </c>
      <c r="V1949" s="8">
        <f>IF(COUNT(D1949:S1949)=0,"",MAX(D1949:S1949))</f>
        <v/>
      </c>
      <c r="W1949" s="9">
        <f>IF(OR(T1949="",T1949=0),"",(V1949-T1949)/T1949)</f>
        <v/>
      </c>
      <c r="X1949" s="7">
        <f>IF(COUNT(D1949:S1949)=0,"",INDEX($D$1:$S$1,MATCH(MIN(D1949:S1949),D1949:S1949,0)))</f>
        <v/>
      </c>
      <c r="Y1949" s="8" t="n">
        <v>444</v>
      </c>
      <c r="Z1949" s="10" t="n">
        <v>1</v>
      </c>
    </row>
    <row r="1950">
      <c r="A1950" s="7" t="inlineStr">
        <is>
          <t>MAT-32-600</t>
        </is>
      </c>
      <c r="B1950" s="4" t="inlineStr">
        <is>
          <t>Tee de plástico 63"</t>
        </is>
      </c>
      <c r="C1950" s="7" t="inlineStr">
        <is>
          <t>unidad</t>
        </is>
      </c>
      <c r="D1950" s="8" t="n"/>
      <c r="E1950" s="8" t="n">
        <v>1020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>
        <f>IF(COUNT(D1950:S1950)=0,"",MIN(D1950:S1950))</f>
        <v/>
      </c>
      <c r="U1950" s="8">
        <f>IF(COUNT(D1950:S1950)=0,"",MEDIAN(D1950:S1950))</f>
        <v/>
      </c>
      <c r="V1950" s="8">
        <f>IF(COUNT(D1950:S1950)=0,"",MAX(D1950:S1950))</f>
        <v/>
      </c>
      <c r="W1950" s="9">
        <f>IF(OR(T1950="",T1950=0),"",(V1950-T1950)/T1950)</f>
        <v/>
      </c>
      <c r="X1950" s="7">
        <f>IF(COUNT(D1950:S1950)=0,"",INDEX($D$1:$S$1,MATCH(MIN(D1950:S1950),D1950:S1950,0)))</f>
        <v/>
      </c>
      <c r="Y1950" s="8" t="n">
        <v>1020</v>
      </c>
      <c r="Z1950" s="10" t="n">
        <v>1</v>
      </c>
    </row>
    <row r="1951">
      <c r="A1951" s="7" t="inlineStr">
        <is>
          <t>MAT-32-601</t>
        </is>
      </c>
      <c r="B1951" s="4" t="inlineStr">
        <is>
          <t>Tee de PPR 20 mm</t>
        </is>
      </c>
      <c r="C1951" s="7" t="inlineStr">
        <is>
          <t>unidad</t>
        </is>
      </c>
      <c r="D1951" s="8" t="n"/>
      <c r="E1951" s="8" t="n">
        <v>7.98</v>
      </c>
      <c r="F1951" s="8" t="n"/>
      <c r="G1951" s="8" t="n">
        <v>55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>
        <f>IF(COUNT(D1951:S1951)=0,"",MIN(D1951:S1951))</f>
        <v/>
      </c>
      <c r="U1951" s="8">
        <f>IF(COUNT(D1951:S1951)=0,"",MEDIAN(D1951:S1951))</f>
        <v/>
      </c>
      <c r="V1951" s="8">
        <f>IF(COUNT(D1951:S1951)=0,"",MAX(D1951:S1951))</f>
        <v/>
      </c>
      <c r="W1951" s="9">
        <f>IF(OR(T1951="",T1951=0),"",(V1951-T1951)/T1951)</f>
        <v/>
      </c>
      <c r="X1951" s="7">
        <f>IF(COUNT(D1951:S1951)=0,"",INDEX($D$1:$S$1,MATCH(MIN(D1951:S1951),D1951:S1951,0)))</f>
        <v/>
      </c>
      <c r="Y1951" s="8" t="n">
        <v>28.95</v>
      </c>
      <c r="Z1951" s="10" t="n">
        <v>2</v>
      </c>
    </row>
    <row r="1952">
      <c r="A1952" s="7" t="inlineStr">
        <is>
          <t>MAT-32-602</t>
        </is>
      </c>
      <c r="B1952" s="4" t="inlineStr">
        <is>
          <t>Tee de PPR 25 mm</t>
        </is>
      </c>
      <c r="C1952" s="7" t="inlineStr">
        <is>
          <t>unidad</t>
        </is>
      </c>
      <c r="D1952" s="8" t="n"/>
      <c r="E1952" s="8" t="n">
        <v>12.12</v>
      </c>
      <c r="F1952" s="8" t="n"/>
      <c r="G1952" s="8" t="n">
        <v>50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>
        <f>IF(COUNT(D1952:S1952)=0,"",MIN(D1952:S1952))</f>
        <v/>
      </c>
      <c r="U1952" s="8">
        <f>IF(COUNT(D1952:S1952)=0,"",MEDIAN(D1952:S1952))</f>
        <v/>
      </c>
      <c r="V1952" s="8">
        <f>IF(COUNT(D1952:S1952)=0,"",MAX(D1952:S1952))</f>
        <v/>
      </c>
      <c r="W1952" s="9">
        <f>IF(OR(T1952="",T1952=0),"",(V1952-T1952)/T1952)</f>
        <v/>
      </c>
      <c r="X1952" s="7">
        <f>IF(COUNT(D1952:S1952)=0,"",INDEX($D$1:$S$1,MATCH(MIN(D1952:S1952),D1952:S1952,0)))</f>
        <v/>
      </c>
      <c r="Y1952" s="8" t="n">
        <v>29.36</v>
      </c>
      <c r="Z1952" s="10" t="n">
        <v>2</v>
      </c>
    </row>
    <row r="1953">
      <c r="A1953" s="7" t="inlineStr">
        <is>
          <t>MAT-32-603</t>
        </is>
      </c>
      <c r="B1953" s="4" t="inlineStr">
        <is>
          <t>Tee de PPR 32 mm</t>
        </is>
      </c>
      <c r="C1953" s="7" t="inlineStr">
        <is>
          <t>unidad</t>
        </is>
      </c>
      <c r="D1953" s="8" t="n"/>
      <c r="E1953" s="8" t="n">
        <v>19.4</v>
      </c>
      <c r="F1953" s="8" t="n"/>
      <c r="G1953" s="8" t="n">
        <v>75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>
        <f>IF(COUNT(D1953:S1953)=0,"",MIN(D1953:S1953))</f>
        <v/>
      </c>
      <c r="U1953" s="8">
        <f>IF(COUNT(D1953:S1953)=0,"",MEDIAN(D1953:S1953))</f>
        <v/>
      </c>
      <c r="V1953" s="8">
        <f>IF(COUNT(D1953:S1953)=0,"",MAX(D1953:S1953))</f>
        <v/>
      </c>
      <c r="W1953" s="9">
        <f>IF(OR(T1953="",T1953=0),"",(V1953-T1953)/T1953)</f>
        <v/>
      </c>
      <c r="X1953" s="7">
        <f>IF(COUNT(D1953:S1953)=0,"",INDEX($D$1:$S$1,MATCH(MIN(D1953:S1953),D1953:S1953,0)))</f>
        <v/>
      </c>
      <c r="Y1953" s="8" t="n">
        <v>51.19</v>
      </c>
      <c r="Z1953" s="10" t="n">
        <v>2</v>
      </c>
    </row>
    <row r="1954">
      <c r="A1954" s="7" t="inlineStr">
        <is>
          <t>MAT-32-604</t>
        </is>
      </c>
      <c r="B1954" s="4" t="inlineStr">
        <is>
          <t>Tee de PPR 50 mm</t>
        </is>
      </c>
      <c r="C1954" s="7" t="inlineStr">
        <is>
          <t>unidad</t>
        </is>
      </c>
      <c r="D1954" s="8" t="n"/>
      <c r="E1954" s="8" t="n">
        <v>63.12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>
        <f>IF(COUNT(D1954:S1954)=0,"",MIN(D1954:S1954))</f>
        <v/>
      </c>
      <c r="U1954" s="8">
        <f>IF(COUNT(D1954:S1954)=0,"",MEDIAN(D1954:S1954))</f>
        <v/>
      </c>
      <c r="V1954" s="8">
        <f>IF(COUNT(D1954:S1954)=0,"",MAX(D1954:S1954))</f>
        <v/>
      </c>
      <c r="W1954" s="9">
        <f>IF(OR(T1954="",T1954=0),"",(V1954-T1954)/T1954)</f>
        <v/>
      </c>
      <c r="X1954" s="7">
        <f>IF(COUNT(D1954:S1954)=0,"",INDEX($D$1:$S$1,MATCH(MIN(D1954:S1954),D1954:S1954,0)))</f>
        <v/>
      </c>
      <c r="Y1954" s="8" t="n">
        <v>63.12</v>
      </c>
      <c r="Z1954" s="10" t="n">
        <v>1</v>
      </c>
    </row>
    <row r="1955">
      <c r="A1955" s="7" t="inlineStr">
        <is>
          <t>MAT-32-605</t>
        </is>
      </c>
      <c r="B1955" s="4" t="inlineStr">
        <is>
          <t>Tee de PVC drenaje 1 1/2"</t>
        </is>
      </c>
      <c r="C1955" s="7" t="inlineStr">
        <is>
          <t>unidad</t>
        </is>
      </c>
      <c r="D1955" s="8" t="n"/>
      <c r="E1955" s="8" t="n">
        <v>22.5</v>
      </c>
      <c r="F1955" s="8" t="n"/>
      <c r="G1955" s="8" t="n">
        <v>86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>
        <f>IF(COUNT(D1955:S1955)=0,"",MIN(D1955:S1955))</f>
        <v/>
      </c>
      <c r="U1955" s="8">
        <f>IF(COUNT(D1955:S1955)=0,"",MEDIAN(D1955:S1955))</f>
        <v/>
      </c>
      <c r="V1955" s="8">
        <f>IF(COUNT(D1955:S1955)=0,"",MAX(D1955:S1955))</f>
        <v/>
      </c>
      <c r="W1955" s="9">
        <f>IF(OR(T1955="",T1955=0),"",(V1955-T1955)/T1955)</f>
        <v/>
      </c>
      <c r="X1955" s="7">
        <f>IF(COUNT(D1955:S1955)=0,"",INDEX($D$1:$S$1,MATCH(MIN(D1955:S1955),D1955:S1955,0)))</f>
        <v/>
      </c>
      <c r="Y1955" s="8" t="n">
        <v>31.55</v>
      </c>
      <c r="Z1955" s="10" t="n">
        <v>2</v>
      </c>
    </row>
    <row r="1956">
      <c r="A1956" s="7" t="inlineStr">
        <is>
          <t>MAT-32-606</t>
        </is>
      </c>
      <c r="B1956" s="4" t="inlineStr">
        <is>
          <t>Tee de PVC drenaje 2"</t>
        </is>
      </c>
      <c r="C1956" s="7" t="inlineStr">
        <is>
          <t>unidad</t>
        </is>
      </c>
      <c r="D1956" s="8" t="n"/>
      <c r="E1956" s="8" t="n">
        <v>33.78</v>
      </c>
      <c r="F1956" s="8" t="n"/>
      <c r="G1956" s="8" t="n">
        <v>135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>
        <f>IF(COUNT(D1956:S1956)=0,"",MIN(D1956:S1956))</f>
        <v/>
      </c>
      <c r="U1956" s="8">
        <f>IF(COUNT(D1956:S1956)=0,"",MEDIAN(D1956:S1956))</f>
        <v/>
      </c>
      <c r="V1956" s="8">
        <f>IF(COUNT(D1956:S1956)=0,"",MAX(D1956:S1956))</f>
        <v/>
      </c>
      <c r="W1956" s="9">
        <f>IF(OR(T1956="",T1956=0),"",(V1956-T1956)/T1956)</f>
        <v/>
      </c>
      <c r="X1956" s="7">
        <f>IF(COUNT(D1956:S1956)=0,"",INDEX($D$1:$S$1,MATCH(MIN(D1956:S1956),D1956:S1956,0)))</f>
        <v/>
      </c>
      <c r="Y1956" s="8" t="n">
        <v>47.64</v>
      </c>
      <c r="Z1956" s="10" t="n">
        <v>2</v>
      </c>
    </row>
    <row r="1957">
      <c r="A1957" s="7" t="inlineStr">
        <is>
          <t>MAT-32-607</t>
        </is>
      </c>
      <c r="B1957" s="4" t="inlineStr">
        <is>
          <t>Tee de PVC drenaje 3"</t>
        </is>
      </c>
      <c r="C1957" s="7" t="inlineStr">
        <is>
          <t>unidad</t>
        </is>
      </c>
      <c r="D1957" s="8" t="n"/>
      <c r="E1957" s="8" t="n">
        <v>108</v>
      </c>
      <c r="F1957" s="8" t="n"/>
      <c r="G1957" s="8" t="n">
        <v>194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>
        <f>IF(COUNT(D1957:S1957)=0,"",MIN(D1957:S1957))</f>
        <v/>
      </c>
      <c r="U1957" s="8">
        <f>IF(COUNT(D1957:S1957)=0,"",MEDIAN(D1957:S1957))</f>
        <v/>
      </c>
      <c r="V1957" s="8">
        <f>IF(COUNT(D1957:S1957)=0,"",MAX(D1957:S1957))</f>
        <v/>
      </c>
      <c r="W1957" s="9">
        <f>IF(OR(T1957="",T1957=0),"",(V1957-T1957)/T1957)</f>
        <v/>
      </c>
      <c r="X1957" s="7">
        <f>IF(COUNT(D1957:S1957)=0,"",INDEX($D$1:$S$1,MATCH(MIN(D1957:S1957),D1957:S1957,0)))</f>
        <v/>
      </c>
      <c r="Y1957" s="8" t="n">
        <v>153.5</v>
      </c>
      <c r="Z1957" s="10" t="n">
        <v>2</v>
      </c>
    </row>
    <row r="1958">
      <c r="A1958" s="7" t="inlineStr">
        <is>
          <t>MAT-32-608</t>
        </is>
      </c>
      <c r="B1958" s="4" t="inlineStr">
        <is>
          <t>Tee de PVC drenaje 3" x 2"</t>
        </is>
      </c>
      <c r="C1958" s="7" t="inlineStr">
        <is>
          <t>unidad</t>
        </is>
      </c>
      <c r="D1958" s="8" t="n"/>
      <c r="E1958" s="8" t="n">
        <v>84.17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>
        <f>IF(COUNT(D1958:S1958)=0,"",MIN(D1958:S1958))</f>
        <v/>
      </c>
      <c r="U1958" s="8">
        <f>IF(COUNT(D1958:S1958)=0,"",MEDIAN(D1958:S1958))</f>
        <v/>
      </c>
      <c r="V1958" s="8">
        <f>IF(COUNT(D1958:S1958)=0,"",MAX(D1958:S1958))</f>
        <v/>
      </c>
      <c r="W1958" s="9">
        <f>IF(OR(T1958="",T1958=0),"",(V1958-T1958)/T1958)</f>
        <v/>
      </c>
      <c r="X1958" s="7">
        <f>IF(COUNT(D1958:S1958)=0,"",INDEX($D$1:$S$1,MATCH(MIN(D1958:S1958),D1958:S1958,0)))</f>
        <v/>
      </c>
      <c r="Y1958" s="8" t="n">
        <v>84.17</v>
      </c>
      <c r="Z1958" s="10" t="n">
        <v>1</v>
      </c>
    </row>
    <row r="1959">
      <c r="A1959" s="7" t="inlineStr">
        <is>
          <t>MAT-32-609</t>
        </is>
      </c>
      <c r="B1959" s="4" t="inlineStr">
        <is>
          <t>Tee de PVC drenaje 4"</t>
        </is>
      </c>
      <c r="C1959" s="7" t="inlineStr">
        <is>
          <t>unidad</t>
        </is>
      </c>
      <c r="D1959" s="8" t="n"/>
      <c r="E1959" s="8" t="n">
        <v>139</v>
      </c>
      <c r="F1959" s="8" t="n"/>
      <c r="G1959" s="8" t="n">
        <v>260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>
        <f>IF(COUNT(D1959:S1959)=0,"",MIN(D1959:S1959))</f>
        <v/>
      </c>
      <c r="U1959" s="8">
        <f>IF(COUNT(D1959:S1959)=0,"",MEDIAN(D1959:S1959))</f>
        <v/>
      </c>
      <c r="V1959" s="8">
        <f>IF(COUNT(D1959:S1959)=0,"",MAX(D1959:S1959))</f>
        <v/>
      </c>
      <c r="W1959" s="9">
        <f>IF(OR(T1959="",T1959=0),"",(V1959-T1959)/T1959)</f>
        <v/>
      </c>
      <c r="X1959" s="7">
        <f>IF(COUNT(D1959:S1959)=0,"",INDEX($D$1:$S$1,MATCH(MIN(D1959:S1959),D1959:S1959,0)))</f>
        <v/>
      </c>
      <c r="Y1959" s="8" t="n">
        <v>227.32</v>
      </c>
      <c r="Z1959" s="10" t="n">
        <v>2</v>
      </c>
    </row>
    <row r="1960">
      <c r="A1960" s="7" t="inlineStr">
        <is>
          <t>MAT-32-610</t>
        </is>
      </c>
      <c r="B1960" s="4" t="inlineStr">
        <is>
          <t>Tee de PVC drenaje 4" x 2"</t>
        </is>
      </c>
      <c r="C1960" s="7" t="inlineStr">
        <is>
          <t>unidad</t>
        </is>
      </c>
      <c r="D1960" s="8" t="n"/>
      <c r="E1960" s="8" t="n">
        <v>88.56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>
        <f>IF(COUNT(D1960:S1960)=0,"",MIN(D1960:S1960))</f>
        <v/>
      </c>
      <c r="U1960" s="8">
        <f>IF(COUNT(D1960:S1960)=0,"",MEDIAN(D1960:S1960))</f>
        <v/>
      </c>
      <c r="V1960" s="8">
        <f>IF(COUNT(D1960:S1960)=0,"",MAX(D1960:S1960))</f>
        <v/>
      </c>
      <c r="W1960" s="9">
        <f>IF(OR(T1960="",T1960=0),"",(V1960-T1960)/T1960)</f>
        <v/>
      </c>
      <c r="X1960" s="7">
        <f>IF(COUNT(D1960:S1960)=0,"",INDEX($D$1:$S$1,MATCH(MIN(D1960:S1960),D1960:S1960,0)))</f>
        <v/>
      </c>
      <c r="Y1960" s="8" t="n">
        <v>100.25</v>
      </c>
      <c r="Z1960" s="10" t="n">
        <v>1</v>
      </c>
    </row>
    <row r="1961">
      <c r="A1961" s="7" t="inlineStr">
        <is>
          <t>MAT-32-611</t>
        </is>
      </c>
      <c r="B1961" s="4" t="inlineStr">
        <is>
          <t>Tee de PVC drenaje 4" x 3"</t>
        </is>
      </c>
      <c r="C1961" s="7" t="inlineStr">
        <is>
          <t>unidad</t>
        </is>
      </c>
      <c r="D1961" s="8" t="n"/>
      <c r="E1961" s="8" t="n">
        <v>153.77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>
        <f>IF(COUNT(D1961:S1961)=0,"",MIN(D1961:S1961))</f>
        <v/>
      </c>
      <c r="U1961" s="8">
        <f>IF(COUNT(D1961:S1961)=0,"",MEDIAN(D1961:S1961))</f>
        <v/>
      </c>
      <c r="V1961" s="8">
        <f>IF(COUNT(D1961:S1961)=0,"",MAX(D1961:S1961))</f>
        <v/>
      </c>
      <c r="W1961" s="9">
        <f>IF(OR(T1961="",T1961=0),"",(V1961-T1961)/T1961)</f>
        <v/>
      </c>
      <c r="X1961" s="7">
        <f>IF(COUNT(D1961:S1961)=0,"",INDEX($D$1:$S$1,MATCH(MIN(D1961:S1961),D1961:S1961,0)))</f>
        <v/>
      </c>
      <c r="Y1961" s="8" t="n">
        <v>153.77</v>
      </c>
      <c r="Z1961" s="10" t="n">
        <v>1</v>
      </c>
    </row>
    <row r="1962">
      <c r="A1962" s="7" t="inlineStr">
        <is>
          <t>MAT-32-612</t>
        </is>
      </c>
      <c r="B1962" s="4" t="inlineStr">
        <is>
          <t>Tee de PVC drenaje 6"</t>
        </is>
      </c>
      <c r="C1962" s="7" t="inlineStr">
        <is>
          <t>unidad</t>
        </is>
      </c>
      <c r="D1962" s="8" t="n"/>
      <c r="E1962" s="8" t="n">
        <v>291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>
        <f>IF(COUNT(D1962:S1962)=0,"",MIN(D1962:S1962))</f>
        <v/>
      </c>
      <c r="U1962" s="8">
        <f>IF(COUNT(D1962:S1962)=0,"",MEDIAN(D1962:S1962))</f>
        <v/>
      </c>
      <c r="V1962" s="8">
        <f>IF(COUNT(D1962:S1962)=0,"",MAX(D1962:S1962))</f>
        <v/>
      </c>
      <c r="W1962" s="9">
        <f>IF(OR(T1962="",T1962=0),"",(V1962-T1962)/T1962)</f>
        <v/>
      </c>
      <c r="X1962" s="7">
        <f>IF(COUNT(D1962:S1962)=0,"",INDEX($D$1:$S$1,MATCH(MIN(D1962:S1962),D1962:S1962,0)))</f>
        <v/>
      </c>
      <c r="Y1962" s="8" t="n">
        <v>458</v>
      </c>
      <c r="Z1962" s="10" t="n">
        <v>1</v>
      </c>
    </row>
    <row r="1963">
      <c r="A1963" s="7" t="inlineStr">
        <is>
          <t>MAT-32-613</t>
        </is>
      </c>
      <c r="B1963" s="4" t="inlineStr">
        <is>
          <t>Tee de PVC 1 1/2"</t>
        </is>
      </c>
      <c r="C1963" s="7" t="inlineStr">
        <is>
          <t>unidad</t>
        </is>
      </c>
      <c r="D1963" s="8" t="n"/>
      <c r="E1963" s="8" t="n">
        <v>92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>
        <f>IF(COUNT(D1963:S1963)=0,"",MIN(D1963:S1963))</f>
        <v/>
      </c>
      <c r="U1963" s="8">
        <f>IF(COUNT(D1963:S1963)=0,"",MEDIAN(D1963:S1963))</f>
        <v/>
      </c>
      <c r="V1963" s="8">
        <f>IF(COUNT(D1963:S1963)=0,"",MAX(D1963:S1963))</f>
        <v/>
      </c>
      <c r="W1963" s="9">
        <f>IF(OR(T1963="",T1963=0),"",(V1963-T1963)/T1963)</f>
        <v/>
      </c>
      <c r="X1963" s="7">
        <f>IF(COUNT(D1963:S1963)=0,"",INDEX($D$1:$S$1,MATCH(MIN(D1963:S1963),D1963:S1963,0)))</f>
        <v/>
      </c>
      <c r="Y1963" s="8" t="n">
        <v>100</v>
      </c>
      <c r="Z1963" s="10" t="n">
        <v>1</v>
      </c>
    </row>
    <row r="1964">
      <c r="A1964" s="7" t="inlineStr">
        <is>
          <t>MAT-32-614</t>
        </is>
      </c>
      <c r="B1964" s="4" t="inlineStr">
        <is>
          <t>Tee de PVC 1"</t>
        </is>
      </c>
      <c r="C1964" s="7" t="inlineStr">
        <is>
          <t>unidad</t>
        </is>
      </c>
      <c r="D1964" s="8" t="n"/>
      <c r="E1964" s="8" t="n">
        <v>48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>
        <f>IF(COUNT(D1964:S1964)=0,"",MIN(D1964:S1964))</f>
        <v/>
      </c>
      <c r="U1964" s="8">
        <f>IF(COUNT(D1964:S1964)=0,"",MEDIAN(D1964:S1964))</f>
        <v/>
      </c>
      <c r="V1964" s="8">
        <f>IF(COUNT(D1964:S1964)=0,"",MAX(D1964:S1964))</f>
        <v/>
      </c>
      <c r="W1964" s="9">
        <f>IF(OR(T1964="",T1964=0),"",(V1964-T1964)/T1964)</f>
        <v/>
      </c>
      <c r="X1964" s="7">
        <f>IF(COUNT(D1964:S1964)=0,"",INDEX($D$1:$S$1,MATCH(MIN(D1964:S1964),D1964:S1964,0)))</f>
        <v/>
      </c>
      <c r="Y1964" s="8" t="n">
        <v>48</v>
      </c>
      <c r="Z1964" s="10" t="n">
        <v>1</v>
      </c>
    </row>
    <row r="1965">
      <c r="A1965" s="7" t="inlineStr">
        <is>
          <t>MAT-32-615</t>
        </is>
      </c>
      <c r="B1965" s="4" t="inlineStr">
        <is>
          <t>Tee de PVC 1" x 3/4"</t>
        </is>
      </c>
      <c r="C1965" s="7" t="inlineStr">
        <is>
          <t>unidad</t>
        </is>
      </c>
      <c r="D1965" s="8" t="n"/>
      <c r="E1965" s="8" t="n">
        <v>37.36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>
        <f>IF(COUNT(D1965:S1965)=0,"",MIN(D1965:S1965))</f>
        <v/>
      </c>
      <c r="U1965" s="8">
        <f>IF(COUNT(D1965:S1965)=0,"",MEDIAN(D1965:S1965))</f>
        <v/>
      </c>
      <c r="V1965" s="8">
        <f>IF(COUNT(D1965:S1965)=0,"",MAX(D1965:S1965))</f>
        <v/>
      </c>
      <c r="W1965" s="9">
        <f>IF(OR(T1965="",T1965=0),"",(V1965-T1965)/T1965)</f>
        <v/>
      </c>
      <c r="X1965" s="7">
        <f>IF(COUNT(D1965:S1965)=0,"",INDEX($D$1:$S$1,MATCH(MIN(D1965:S1965),D1965:S1965,0)))</f>
        <v/>
      </c>
      <c r="Y1965" s="8" t="n">
        <v>37.36</v>
      </c>
      <c r="Z1965" s="10" t="n">
        <v>1</v>
      </c>
    </row>
    <row r="1966">
      <c r="A1966" s="7" t="inlineStr">
        <is>
          <t>MAT-32-616</t>
        </is>
      </c>
      <c r="B1966" s="4" t="inlineStr">
        <is>
          <t>Tee de PVC 2"</t>
        </is>
      </c>
      <c r="C1966" s="7" t="inlineStr">
        <is>
          <t>unidad</t>
        </is>
      </c>
      <c r="D1966" s="8" t="n"/>
      <c r="E1966" s="8" t="n">
        <v>165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>
        <f>IF(COUNT(D1966:S1966)=0,"",MIN(D1966:S1966))</f>
        <v/>
      </c>
      <c r="U1966" s="8">
        <f>IF(COUNT(D1966:S1966)=0,"",MEDIAN(D1966:S1966))</f>
        <v/>
      </c>
      <c r="V1966" s="8">
        <f>IF(COUNT(D1966:S1966)=0,"",MAX(D1966:S1966))</f>
        <v/>
      </c>
      <c r="W1966" s="9">
        <f>IF(OR(T1966="",T1966=0),"",(V1966-T1966)/T1966)</f>
        <v/>
      </c>
      <c r="X1966" s="7">
        <f>IF(COUNT(D1966:S1966)=0,"",INDEX($D$1:$S$1,MATCH(MIN(D1966:S1966),D1966:S1966,0)))</f>
        <v/>
      </c>
      <c r="Y1966" s="8" t="n">
        <v>165</v>
      </c>
      <c r="Z1966" s="10" t="n">
        <v>1</v>
      </c>
    </row>
    <row r="1967">
      <c r="A1967" s="7" t="inlineStr">
        <is>
          <t>MAT-32-617</t>
        </is>
      </c>
      <c r="B1967" s="4" t="inlineStr">
        <is>
          <t>Tee de PVC 3/4"</t>
        </is>
      </c>
      <c r="C1967" s="7" t="inlineStr">
        <is>
          <t>unidad</t>
        </is>
      </c>
      <c r="D1967" s="8" t="n"/>
      <c r="E1967" s="8" t="n">
        <v>33.35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>
        <f>IF(COUNT(D1967:S1967)=0,"",MIN(D1967:S1967))</f>
        <v/>
      </c>
      <c r="U1967" s="8">
        <f>IF(COUNT(D1967:S1967)=0,"",MEDIAN(D1967:S1967))</f>
        <v/>
      </c>
      <c r="V1967" s="8">
        <f>IF(COUNT(D1967:S1967)=0,"",MAX(D1967:S1967))</f>
        <v/>
      </c>
      <c r="W1967" s="9">
        <f>IF(OR(T1967="",T1967=0),"",(V1967-T1967)/T1967)</f>
        <v/>
      </c>
      <c r="X1967" s="7">
        <f>IF(COUNT(D1967:S1967)=0,"",INDEX($D$1:$S$1,MATCH(MIN(D1967:S1967),D1967:S1967,0)))</f>
        <v/>
      </c>
      <c r="Y1967" s="8" t="n">
        <v>46.68</v>
      </c>
      <c r="Z1967" s="10" t="n">
        <v>1</v>
      </c>
    </row>
    <row r="1968">
      <c r="A1968" s="7" t="inlineStr">
        <is>
          <t>MAT-32-618</t>
        </is>
      </c>
      <c r="B1968" s="4" t="inlineStr">
        <is>
          <t>Tee de PVC 3"</t>
        </is>
      </c>
      <c r="C1968" s="7" t="inlineStr">
        <is>
          <t>unidad</t>
        </is>
      </c>
      <c r="D1968" s="8" t="n"/>
      <c r="E1968" s="8" t="n">
        <v>502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>
        <f>IF(COUNT(D1968:S1968)=0,"",MIN(D1968:S1968))</f>
        <v/>
      </c>
      <c r="U1968" s="8">
        <f>IF(COUNT(D1968:S1968)=0,"",MEDIAN(D1968:S1968))</f>
        <v/>
      </c>
      <c r="V1968" s="8">
        <f>IF(COUNT(D1968:S1968)=0,"",MAX(D1968:S1968))</f>
        <v/>
      </c>
      <c r="W1968" s="9">
        <f>IF(OR(T1968="",T1968=0),"",(V1968-T1968)/T1968)</f>
        <v/>
      </c>
      <c r="X1968" s="7">
        <f>IF(COUNT(D1968:S1968)=0,"",INDEX($D$1:$S$1,MATCH(MIN(D1968:S1968),D1968:S1968,0)))</f>
        <v/>
      </c>
      <c r="Y1968" s="8" t="n">
        <v>502</v>
      </c>
      <c r="Z1968" s="10" t="n">
        <v>1</v>
      </c>
    </row>
    <row r="1969">
      <c r="A1969" s="7" t="inlineStr">
        <is>
          <t>MAT-32-619</t>
        </is>
      </c>
      <c r="B1969" s="4" t="inlineStr">
        <is>
          <t>Tee de PVC presión 1 1/2"</t>
        </is>
      </c>
      <c r="C1969" s="7" t="inlineStr">
        <is>
          <t>unidad</t>
        </is>
      </c>
      <c r="D1969" s="8" t="n"/>
      <c r="E1969" s="8" t="n">
        <v>45.97</v>
      </c>
      <c r="F1969" s="8" t="n"/>
      <c r="G1969" s="8" t="n">
        <v>135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>
        <f>IF(COUNT(D1969:S1969)=0,"",MIN(D1969:S1969))</f>
        <v/>
      </c>
      <c r="U1969" s="8">
        <f>IF(COUNT(D1969:S1969)=0,"",MEDIAN(D1969:S1969))</f>
        <v/>
      </c>
      <c r="V1969" s="8">
        <f>IF(COUNT(D1969:S1969)=0,"",MAX(D1969:S1969))</f>
        <v/>
      </c>
      <c r="W1969" s="9">
        <f>IF(OR(T1969="",T1969=0),"",(V1969-T1969)/T1969)</f>
        <v/>
      </c>
      <c r="X1969" s="7">
        <f>IF(COUNT(D1969:S1969)=0,"",INDEX($D$1:$S$1,MATCH(MIN(D1969:S1969),D1969:S1969,0)))</f>
        <v/>
      </c>
      <c r="Y1969" s="8" t="n">
        <v>54.48</v>
      </c>
      <c r="Z1969" s="10" t="n">
        <v>2</v>
      </c>
    </row>
    <row r="1970">
      <c r="A1970" s="7" t="inlineStr">
        <is>
          <t>MAT-32-620</t>
        </is>
      </c>
      <c r="B1970" s="4" t="inlineStr">
        <is>
          <t>Tee de PVC presión 1/2"</t>
        </is>
      </c>
      <c r="C1970" s="7" t="inlineStr">
        <is>
          <t>unidad</t>
        </is>
      </c>
      <c r="D1970" s="8" t="n"/>
      <c r="E1970" s="8" t="n">
        <v>8.140000000000001</v>
      </c>
      <c r="F1970" s="8" t="n"/>
      <c r="G1970" s="8" t="n">
        <v>28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>
        <f>IF(COUNT(D1970:S1970)=0,"",MIN(D1970:S1970))</f>
        <v/>
      </c>
      <c r="U1970" s="8">
        <f>IF(COUNT(D1970:S1970)=0,"",MEDIAN(D1970:S1970))</f>
        <v/>
      </c>
      <c r="V1970" s="8">
        <f>IF(COUNT(D1970:S1970)=0,"",MAX(D1970:S1970))</f>
        <v/>
      </c>
      <c r="W1970" s="9">
        <f>IF(OR(T1970="",T1970=0),"",(V1970-T1970)/T1970)</f>
        <v/>
      </c>
      <c r="X1970" s="7">
        <f>IF(COUNT(D1970:S1970)=0,"",INDEX($D$1:$S$1,MATCH(MIN(D1970:S1970),D1970:S1970,0)))</f>
        <v/>
      </c>
      <c r="Y1970" s="8" t="n">
        <v>13.68</v>
      </c>
      <c r="Z1970" s="10" t="n">
        <v>2</v>
      </c>
    </row>
    <row r="1971">
      <c r="A1971" s="7" t="inlineStr">
        <is>
          <t>MAT-32-621</t>
        </is>
      </c>
      <c r="B1971" s="4" t="inlineStr">
        <is>
          <t>Tee de PVC presión 1"</t>
        </is>
      </c>
      <c r="C1971" s="7" t="inlineStr">
        <is>
          <t>unidad</t>
        </is>
      </c>
      <c r="D1971" s="8" t="n"/>
      <c r="E1971" s="8" t="n">
        <v>16</v>
      </c>
      <c r="F1971" s="8" t="n"/>
      <c r="G1971" s="8" t="n">
        <v>55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>
        <f>IF(COUNT(D1971:S1971)=0,"",MIN(D1971:S1971))</f>
        <v/>
      </c>
      <c r="U1971" s="8">
        <f>IF(COUNT(D1971:S1971)=0,"",MEDIAN(D1971:S1971))</f>
        <v/>
      </c>
      <c r="V1971" s="8">
        <f>IF(COUNT(D1971:S1971)=0,"",MAX(D1971:S1971))</f>
        <v/>
      </c>
      <c r="W1971" s="9">
        <f>IF(OR(T1971="",T1971=0),"",(V1971-T1971)/T1971)</f>
        <v/>
      </c>
      <c r="X1971" s="7">
        <f>IF(COUNT(D1971:S1971)=0,"",INDEX($D$1:$S$1,MATCH(MIN(D1971:S1971),D1971:S1971,0)))</f>
        <v/>
      </c>
      <c r="Y1971" s="8" t="n">
        <v>27.06</v>
      </c>
      <c r="Z1971" s="10" t="n">
        <v>2</v>
      </c>
    </row>
    <row r="1972">
      <c r="A1972" s="7" t="inlineStr">
        <is>
          <t>MAT-32-622</t>
        </is>
      </c>
      <c r="B1972" s="4" t="inlineStr">
        <is>
          <t>Tee de PVC presión 2"</t>
        </is>
      </c>
      <c r="C1972" s="7" t="inlineStr">
        <is>
          <t>unidad</t>
        </is>
      </c>
      <c r="D1972" s="8" t="n"/>
      <c r="E1972" s="8" t="n">
        <v>45.98</v>
      </c>
      <c r="F1972" s="8" t="n"/>
      <c r="G1972" s="8" t="n">
        <v>195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>
        <f>IF(COUNT(D1972:S1972)=0,"",MIN(D1972:S1972))</f>
        <v/>
      </c>
      <c r="U1972" s="8">
        <f>IF(COUNT(D1972:S1972)=0,"",MEDIAN(D1972:S1972))</f>
        <v/>
      </c>
      <c r="V1972" s="8">
        <f>IF(COUNT(D1972:S1972)=0,"",MAX(D1972:S1972))</f>
        <v/>
      </c>
      <c r="W1972" s="9">
        <f>IF(OR(T1972="",T1972=0),"",(V1972-T1972)/T1972)</f>
        <v/>
      </c>
      <c r="X1972" s="7">
        <f>IF(COUNT(D1972:S1972)=0,"",INDEX($D$1:$S$1,MATCH(MIN(D1972:S1972),D1972:S1972,0)))</f>
        <v/>
      </c>
      <c r="Y1972" s="8" t="n">
        <v>82.48999999999999</v>
      </c>
      <c r="Z1972" s="10" t="n">
        <v>2</v>
      </c>
    </row>
    <row r="1973">
      <c r="A1973" s="7" t="inlineStr">
        <is>
          <t>MAT-32-623</t>
        </is>
      </c>
      <c r="B1973" s="4" t="inlineStr">
        <is>
          <t>Tee de PVC presión 3/4"</t>
        </is>
      </c>
      <c r="C1973" s="7" t="inlineStr">
        <is>
          <t>unidad</t>
        </is>
      </c>
      <c r="D1973" s="8" t="n"/>
      <c r="E1973" s="8" t="n">
        <v>8.83</v>
      </c>
      <c r="F1973" s="8" t="n"/>
      <c r="G1973" s="8" t="n">
        <v>35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>
        <f>IF(COUNT(D1973:S1973)=0,"",MIN(D1973:S1973))</f>
        <v/>
      </c>
      <c r="U1973" s="8">
        <f>IF(COUNT(D1973:S1973)=0,"",MEDIAN(D1973:S1973))</f>
        <v/>
      </c>
      <c r="V1973" s="8">
        <f>IF(COUNT(D1973:S1973)=0,"",MAX(D1973:S1973))</f>
        <v/>
      </c>
      <c r="W1973" s="9">
        <f>IF(OR(T1973="",T1973=0),"",(V1973-T1973)/T1973)</f>
        <v/>
      </c>
      <c r="X1973" s="7">
        <f>IF(COUNT(D1973:S1973)=0,"",INDEX($D$1:$S$1,MATCH(MIN(D1973:S1973),D1973:S1973,0)))</f>
        <v/>
      </c>
      <c r="Y1973" s="8" t="n">
        <v>17.7</v>
      </c>
      <c r="Z1973" s="10" t="n">
        <v>2</v>
      </c>
    </row>
    <row r="1974">
      <c r="A1974" s="7" t="inlineStr">
        <is>
          <t>MAT-32-624</t>
        </is>
      </c>
      <c r="B1974" s="4" t="inlineStr">
        <is>
          <t>Tee de PVC presión 3"</t>
        </is>
      </c>
      <c r="C1974" s="7" t="inlineStr">
        <is>
          <t>unidad</t>
        </is>
      </c>
      <c r="D1974" s="8" t="n"/>
      <c r="E1974" s="8" t="n">
        <v>169</v>
      </c>
      <c r="F1974" s="8" t="n"/>
      <c r="G1974" s="8" t="n">
        <v>453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>
        <f>IF(COUNT(D1974:S1974)=0,"",MIN(D1974:S1974))</f>
        <v/>
      </c>
      <c r="U1974" s="8">
        <f>IF(COUNT(D1974:S1974)=0,"",MEDIAN(D1974:S1974))</f>
        <v/>
      </c>
      <c r="V1974" s="8">
        <f>IF(COUNT(D1974:S1974)=0,"",MAX(D1974:S1974))</f>
        <v/>
      </c>
      <c r="W1974" s="9">
        <f>IF(OR(T1974="",T1974=0),"",(V1974-T1974)/T1974)</f>
        <v/>
      </c>
      <c r="X1974" s="7">
        <f>IF(COUNT(D1974:S1974)=0,"",INDEX($D$1:$S$1,MATCH(MIN(D1974:S1974),D1974:S1974,0)))</f>
        <v/>
      </c>
      <c r="Y1974" s="8" t="n">
        <v>235.03</v>
      </c>
      <c r="Z1974" s="10" t="n">
        <v>2</v>
      </c>
    </row>
    <row r="1975">
      <c r="A1975" s="7" t="inlineStr">
        <is>
          <t>MAT-32-625</t>
        </is>
      </c>
      <c r="B1975" s="4" t="inlineStr">
        <is>
          <t>Tee de PVC presión 4"</t>
        </is>
      </c>
      <c r="C1975" s="7" t="inlineStr">
        <is>
          <t>unidad</t>
        </is>
      </c>
      <c r="D1975" s="8" t="n"/>
      <c r="E1975" s="8" t="n">
        <v>278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>
        <f>IF(COUNT(D1975:S1975)=0,"",MIN(D1975:S1975))</f>
        <v/>
      </c>
      <c r="U1975" s="8">
        <f>IF(COUNT(D1975:S1975)=0,"",MEDIAN(D1975:S1975))</f>
        <v/>
      </c>
      <c r="V1975" s="8">
        <f>IF(COUNT(D1975:S1975)=0,"",MAX(D1975:S1975))</f>
        <v/>
      </c>
      <c r="W1975" s="9">
        <f>IF(OR(T1975="",T1975=0),"",(V1975-T1975)/T1975)</f>
        <v/>
      </c>
      <c r="X1975" s="7">
        <f>IF(COUNT(D1975:S1975)=0,"",INDEX($D$1:$S$1,MATCH(MIN(D1975:S1975),D1975:S1975,0)))</f>
        <v/>
      </c>
      <c r="Y1975" s="8" t="n">
        <v>336.44</v>
      </c>
      <c r="Z1975" s="10" t="n">
        <v>1</v>
      </c>
    </row>
    <row r="1976">
      <c r="A1976" s="7" t="inlineStr">
        <is>
          <t>MAT-32-626</t>
        </is>
      </c>
      <c r="B1976" s="4" t="inlineStr">
        <is>
          <t>Tee de PVC presión 4" x 3"</t>
        </is>
      </c>
      <c r="C1976" s="7" t="inlineStr">
        <is>
          <t>unidad</t>
        </is>
      </c>
      <c r="D1976" s="8" t="n"/>
      <c r="E1976" s="8" t="n">
        <v>687.34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>
        <f>IF(COUNT(D1976:S1976)=0,"",MIN(D1976:S1976))</f>
        <v/>
      </c>
      <c r="U1976" s="8">
        <f>IF(COUNT(D1976:S1976)=0,"",MEDIAN(D1976:S1976))</f>
        <v/>
      </c>
      <c r="V1976" s="8">
        <f>IF(COUNT(D1976:S1976)=0,"",MAX(D1976:S1976))</f>
        <v/>
      </c>
      <c r="W1976" s="9">
        <f>IF(OR(T1976="",T1976=0),"",(V1976-T1976)/T1976)</f>
        <v/>
      </c>
      <c r="X1976" s="7">
        <f>IF(COUNT(D1976:S1976)=0,"",INDEX($D$1:$S$1,MATCH(MIN(D1976:S1976),D1976:S1976,0)))</f>
        <v/>
      </c>
      <c r="Y1976" s="8" t="n">
        <v>687.34</v>
      </c>
      <c r="Z1976" s="10" t="n">
        <v>1</v>
      </c>
    </row>
    <row r="1977">
      <c r="A1977" s="7" t="inlineStr">
        <is>
          <t>MAT-32-627</t>
        </is>
      </c>
      <c r="B1977" s="4" t="inlineStr">
        <is>
          <t>Tee de PVC presión 6"</t>
        </is>
      </c>
      <c r="C1977" s="7" t="inlineStr">
        <is>
          <t>unidad</t>
        </is>
      </c>
      <c r="D1977" s="8" t="n"/>
      <c r="E1977" s="8" t="n">
        <v>915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>
        <f>IF(COUNT(D1977:S1977)=0,"",MIN(D1977:S1977))</f>
        <v/>
      </c>
      <c r="U1977" s="8">
        <f>IF(COUNT(D1977:S1977)=0,"",MEDIAN(D1977:S1977))</f>
        <v/>
      </c>
      <c r="V1977" s="8">
        <f>IF(COUNT(D1977:S1977)=0,"",MAX(D1977:S1977))</f>
        <v/>
      </c>
      <c r="W1977" s="9">
        <f>IF(OR(T1977="",T1977=0),"",(V1977-T1977)/T1977)</f>
        <v/>
      </c>
      <c r="X1977" s="7">
        <f>IF(COUNT(D1977:S1977)=0,"",INDEX($D$1:$S$1,MATCH(MIN(D1977:S1977),D1977:S1977,0)))</f>
        <v/>
      </c>
      <c r="Y1977" s="8" t="n">
        <v>1002.5</v>
      </c>
      <c r="Z1977" s="10" t="n">
        <v>1</v>
      </c>
    </row>
    <row r="1978">
      <c r="A1978" s="7" t="inlineStr">
        <is>
          <t>MAT-32-628</t>
        </is>
      </c>
      <c r="B1978" s="4" t="inlineStr">
        <is>
          <t>Tee de PVC presión 8"</t>
        </is>
      </c>
      <c r="C1978" s="7" t="inlineStr">
        <is>
          <t>unidad</t>
        </is>
      </c>
      <c r="D1978" s="8" t="n"/>
      <c r="E1978" s="8" t="n">
        <v>8379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>
        <f>IF(COUNT(D1978:S1978)=0,"",MIN(D1978:S1978))</f>
        <v/>
      </c>
      <c r="U1978" s="8">
        <f>IF(COUNT(D1978:S1978)=0,"",MEDIAN(D1978:S1978))</f>
        <v/>
      </c>
      <c r="V1978" s="8">
        <f>IF(COUNT(D1978:S1978)=0,"",MAX(D1978:S1978))</f>
        <v/>
      </c>
      <c r="W1978" s="9">
        <f>IF(OR(T1978="",T1978=0),"",(V1978-T1978)/T1978)</f>
        <v/>
      </c>
      <c r="X1978" s="7">
        <f>IF(COUNT(D1978:S1978)=0,"",INDEX($D$1:$S$1,MATCH(MIN(D1978:S1978),D1978:S1978,0)))</f>
        <v/>
      </c>
      <c r="Y1978" s="8" t="n">
        <v>8379</v>
      </c>
      <c r="Z1978" s="10" t="n">
        <v>1</v>
      </c>
    </row>
    <row r="1979">
      <c r="A1979" s="7" t="inlineStr">
        <is>
          <t>MAT-32-629</t>
        </is>
      </c>
      <c r="B1979" s="4" t="inlineStr">
        <is>
          <t>Tee reducida de PPR 25 mm</t>
        </is>
      </c>
      <c r="C1979" s="7" t="inlineStr">
        <is>
          <t>unidad</t>
        </is>
      </c>
      <c r="D1979" s="8" t="n"/>
      <c r="E1979" s="8" t="n"/>
      <c r="F1979" s="8" t="n"/>
      <c r="G1979" s="8" t="n">
        <v>45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>
        <f>IF(COUNT(D1979:S1979)=0,"",MIN(D1979:S1979))</f>
        <v/>
      </c>
      <c r="U1979" s="8">
        <f>IF(COUNT(D1979:S1979)=0,"",MEDIAN(D1979:S1979))</f>
        <v/>
      </c>
      <c r="V1979" s="8">
        <f>IF(COUNT(D1979:S1979)=0,"",MAX(D1979:S1979))</f>
        <v/>
      </c>
      <c r="W1979" s="9">
        <f>IF(OR(T1979="",T1979=0),"",(V1979-T1979)/T1979)</f>
        <v/>
      </c>
      <c r="X1979" s="7">
        <f>IF(COUNT(D1979:S1979)=0,"",INDEX($D$1:$S$1,MATCH(MIN(D1979:S1979),D1979:S1979,0)))</f>
        <v/>
      </c>
      <c r="Y1979" s="8" t="n">
        <v>45</v>
      </c>
      <c r="Z1979" s="10" t="n">
        <v>1</v>
      </c>
    </row>
    <row r="1980">
      <c r="A1980" s="7" t="inlineStr">
        <is>
          <t>MAT-32-630</t>
        </is>
      </c>
      <c r="B1980" s="4" t="inlineStr">
        <is>
          <t>Tee reducida de PVC 1" x 3/4"</t>
        </is>
      </c>
      <c r="C1980" s="7" t="inlineStr">
        <is>
          <t>unidad</t>
        </is>
      </c>
      <c r="D1980" s="8" t="n"/>
      <c r="E1980" s="8" t="n"/>
      <c r="F1980" s="8" t="n"/>
      <c r="G1980" s="8" t="n">
        <v>144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>
        <f>IF(COUNT(D1980:S1980)=0,"",MIN(D1980:S1980))</f>
        <v/>
      </c>
      <c r="U1980" s="8">
        <f>IF(COUNT(D1980:S1980)=0,"",MEDIAN(D1980:S1980))</f>
        <v/>
      </c>
      <c r="V1980" s="8">
        <f>IF(COUNT(D1980:S1980)=0,"",MAX(D1980:S1980))</f>
        <v/>
      </c>
      <c r="W1980" s="9">
        <f>IF(OR(T1980="",T1980=0),"",(V1980-T1980)/T1980)</f>
        <v/>
      </c>
      <c r="X1980" s="7">
        <f>IF(COUNT(D1980:S1980)=0,"",INDEX($D$1:$S$1,MATCH(MIN(D1980:S1980),D1980:S1980,0)))</f>
        <v/>
      </c>
      <c r="Y1980" s="8" t="n">
        <v>144</v>
      </c>
      <c r="Z1980" s="10" t="n">
        <v>1</v>
      </c>
    </row>
    <row r="1981">
      <c r="A1981" s="7" t="inlineStr">
        <is>
          <t>MAT-32-631</t>
        </is>
      </c>
      <c r="B1981" s="4" t="inlineStr">
        <is>
          <t>Terminal de bronce 1/2"</t>
        </is>
      </c>
      <c r="C1981" s="7" t="inlineStr">
        <is>
          <t>unidad</t>
        </is>
      </c>
      <c r="D1981" s="8" t="n"/>
      <c r="E1981" s="8" t="n"/>
      <c r="F1981" s="8" t="n"/>
      <c r="G1981" s="8" t="n">
        <v>235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>
        <f>IF(COUNT(D1981:S1981)=0,"",MIN(D1981:S1981))</f>
        <v/>
      </c>
      <c r="U1981" s="8">
        <f>IF(COUNT(D1981:S1981)=0,"",MEDIAN(D1981:S1981))</f>
        <v/>
      </c>
      <c r="V1981" s="8">
        <f>IF(COUNT(D1981:S1981)=0,"",MAX(D1981:S1981))</f>
        <v/>
      </c>
      <c r="W1981" s="9">
        <f>IF(OR(T1981="",T1981=0),"",(V1981-T1981)/T1981)</f>
        <v/>
      </c>
      <c r="X1981" s="7">
        <f>IF(COUNT(D1981:S1981)=0,"",INDEX($D$1:$S$1,MATCH(MIN(D1981:S1981),D1981:S1981,0)))</f>
        <v/>
      </c>
      <c r="Y1981" s="8" t="n">
        <v>235</v>
      </c>
      <c r="Z1981" s="10" t="n">
        <v>1</v>
      </c>
    </row>
    <row r="1982">
      <c r="A1982" s="7" t="inlineStr">
        <is>
          <t>MAT-32-632</t>
        </is>
      </c>
      <c r="B1982" s="4" t="inlineStr">
        <is>
          <t>Terminal de bronce 3/4"</t>
        </is>
      </c>
      <c r="C1982" s="7" t="inlineStr">
        <is>
          <t>unidad</t>
        </is>
      </c>
      <c r="D1982" s="8" t="n"/>
      <c r="E1982" s="8" t="n"/>
      <c r="F1982" s="8" t="n"/>
      <c r="G1982" s="8" t="n">
        <v>275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>
        <f>IF(COUNT(D1982:S1982)=0,"",MIN(D1982:S1982))</f>
        <v/>
      </c>
      <c r="U1982" s="8">
        <f>IF(COUNT(D1982:S1982)=0,"",MEDIAN(D1982:S1982))</f>
        <v/>
      </c>
      <c r="V1982" s="8">
        <f>IF(COUNT(D1982:S1982)=0,"",MAX(D1982:S1982))</f>
        <v/>
      </c>
      <c r="W1982" s="9">
        <f>IF(OR(T1982="",T1982=0),"",(V1982-T1982)/T1982)</f>
        <v/>
      </c>
      <c r="X1982" s="7">
        <f>IF(COUNT(D1982:S1982)=0,"",INDEX($D$1:$S$1,MATCH(MIN(D1982:S1982),D1982:S1982,0)))</f>
        <v/>
      </c>
      <c r="Y1982" s="8" t="n">
        <v>275</v>
      </c>
      <c r="Z1982" s="10" t="n">
        <v>1</v>
      </c>
    </row>
    <row r="1983">
      <c r="A1983" s="7" t="inlineStr">
        <is>
          <t>MAT-32-633</t>
        </is>
      </c>
      <c r="B1983" s="4" t="inlineStr">
        <is>
          <t>Terminal de bronce 5/8"</t>
        </is>
      </c>
      <c r="C1983" s="7" t="inlineStr">
        <is>
          <t>unidad</t>
        </is>
      </c>
      <c r="D1983" s="8" t="n"/>
      <c r="E1983" s="8" t="n"/>
      <c r="F1983" s="8" t="n"/>
      <c r="G1983" s="8" t="n">
        <v>335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>
        <f>IF(COUNT(D1983:S1983)=0,"",MIN(D1983:S1983))</f>
        <v/>
      </c>
      <c r="U1983" s="8">
        <f>IF(COUNT(D1983:S1983)=0,"",MEDIAN(D1983:S1983))</f>
        <v/>
      </c>
      <c r="V1983" s="8">
        <f>IF(COUNT(D1983:S1983)=0,"",MAX(D1983:S1983))</f>
        <v/>
      </c>
      <c r="W1983" s="9">
        <f>IF(OR(T1983="",T1983=0),"",(V1983-T1983)/T1983)</f>
        <v/>
      </c>
      <c r="X1983" s="7">
        <f>IF(COUNT(D1983:S1983)=0,"",INDEX($D$1:$S$1,MATCH(MIN(D1983:S1983),D1983:S1983,0)))</f>
        <v/>
      </c>
      <c r="Y1983" s="8" t="n">
        <v>335</v>
      </c>
      <c r="Z1983" s="10" t="n">
        <v>1</v>
      </c>
    </row>
    <row r="1984">
      <c r="A1984" s="7" t="inlineStr">
        <is>
          <t>MAT-32-634</t>
        </is>
      </c>
      <c r="B1984" s="4" t="inlineStr">
        <is>
          <t>Terminal de cobre 1"</t>
        </is>
      </c>
      <c r="C1984" s="7" t="inlineStr">
        <is>
          <t>unidad</t>
        </is>
      </c>
      <c r="D1984" s="8" t="n"/>
      <c r="E1984" s="8" t="n"/>
      <c r="F1984" s="8" t="n"/>
      <c r="G1984" s="8" t="n">
        <v>319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>
        <f>IF(COUNT(D1984:S1984)=0,"",MIN(D1984:S1984))</f>
        <v/>
      </c>
      <c r="U1984" s="8">
        <f>IF(COUNT(D1984:S1984)=0,"",MEDIAN(D1984:S1984))</f>
        <v/>
      </c>
      <c r="V1984" s="8">
        <f>IF(COUNT(D1984:S1984)=0,"",MAX(D1984:S1984))</f>
        <v/>
      </c>
      <c r="W1984" s="9">
        <f>IF(OR(T1984="",T1984=0),"",(V1984-T1984)/T1984)</f>
        <v/>
      </c>
      <c r="X1984" s="7">
        <f>IF(COUNT(D1984:S1984)=0,"",INDEX($D$1:$S$1,MATCH(MIN(D1984:S1984),D1984:S1984,0)))</f>
        <v/>
      </c>
      <c r="Y1984" s="8" t="n">
        <v>319</v>
      </c>
      <c r="Z1984" s="10" t="n">
        <v>1</v>
      </c>
    </row>
    <row r="1985">
      <c r="A1985" s="7" t="inlineStr">
        <is>
          <t>MAT-32-635</t>
        </is>
      </c>
      <c r="B1985" s="4" t="inlineStr">
        <is>
          <t>Terminal de manguera 1/2"</t>
        </is>
      </c>
      <c r="C1985" s="7" t="inlineStr">
        <is>
          <t>unidad</t>
        </is>
      </c>
      <c r="D1985" s="8" t="n"/>
      <c r="E1985" s="8" t="n"/>
      <c r="F1985" s="8" t="n"/>
      <c r="G1985" s="8" t="n">
        <v>131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>
        <f>IF(COUNT(D1985:S1985)=0,"",MIN(D1985:S1985))</f>
        <v/>
      </c>
      <c r="U1985" s="8">
        <f>IF(COUNT(D1985:S1985)=0,"",MEDIAN(D1985:S1985))</f>
        <v/>
      </c>
      <c r="V1985" s="8">
        <f>IF(COUNT(D1985:S1985)=0,"",MAX(D1985:S1985))</f>
        <v/>
      </c>
      <c r="W1985" s="9">
        <f>IF(OR(T1985="",T1985=0),"",(V1985-T1985)/T1985)</f>
        <v/>
      </c>
      <c r="X1985" s="7">
        <f>IF(COUNT(D1985:S1985)=0,"",INDEX($D$1:$S$1,MATCH(MIN(D1985:S1985),D1985:S1985,0)))</f>
        <v/>
      </c>
      <c r="Y1985" s="8" t="n">
        <v>165.5</v>
      </c>
      <c r="Z1985" s="10" t="n">
        <v>1</v>
      </c>
    </row>
    <row r="1986">
      <c r="A1986" s="7" t="inlineStr">
        <is>
          <t>MAT-32-636</t>
        </is>
      </c>
      <c r="B1986" s="4" t="inlineStr">
        <is>
          <t>Terminal de manguera 3/4"</t>
        </is>
      </c>
      <c r="C1986" s="7" t="inlineStr">
        <is>
          <t>unidad</t>
        </is>
      </c>
      <c r="D1986" s="8" t="n"/>
      <c r="E1986" s="8" t="n"/>
      <c r="F1986" s="8" t="n"/>
      <c r="G1986" s="8" t="n">
        <v>247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>
        <f>IF(COUNT(D1986:S1986)=0,"",MIN(D1986:S1986))</f>
        <v/>
      </c>
      <c r="U1986" s="8">
        <f>IF(COUNT(D1986:S1986)=0,"",MEDIAN(D1986:S1986))</f>
        <v/>
      </c>
      <c r="V1986" s="8">
        <f>IF(COUNT(D1986:S1986)=0,"",MAX(D1986:S1986))</f>
        <v/>
      </c>
      <c r="W1986" s="9">
        <f>IF(OR(T1986="",T1986=0),"",(V1986-T1986)/T1986)</f>
        <v/>
      </c>
      <c r="X1986" s="7">
        <f>IF(COUNT(D1986:S1986)=0,"",INDEX($D$1:$S$1,MATCH(MIN(D1986:S1986),D1986:S1986,0)))</f>
        <v/>
      </c>
      <c r="Y1986" s="8" t="n">
        <v>247</v>
      </c>
      <c r="Z1986" s="10" t="n">
        <v>1</v>
      </c>
    </row>
    <row r="1987">
      <c r="A1987" s="7" t="inlineStr">
        <is>
          <t>MAT-32-637</t>
        </is>
      </c>
      <c r="B1987" s="4" t="inlineStr">
        <is>
          <t>Terminal de manguera 5/8"</t>
        </is>
      </c>
      <c r="C1987" s="7" t="inlineStr">
        <is>
          <t>unidad</t>
        </is>
      </c>
      <c r="D1987" s="8" t="n"/>
      <c r="E1987" s="8" t="n"/>
      <c r="F1987" s="8" t="n"/>
      <c r="G1987" s="8" t="n">
        <v>233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>
        <f>IF(COUNT(D1987:S1987)=0,"",MIN(D1987:S1987))</f>
        <v/>
      </c>
      <c r="U1987" s="8">
        <f>IF(COUNT(D1987:S1987)=0,"",MEDIAN(D1987:S1987))</f>
        <v/>
      </c>
      <c r="V1987" s="8">
        <f>IF(COUNT(D1987:S1987)=0,"",MAX(D1987:S1987))</f>
        <v/>
      </c>
      <c r="W1987" s="9">
        <f>IF(OR(T1987="",T1987=0),"",(V1987-T1987)/T1987)</f>
        <v/>
      </c>
      <c r="X1987" s="7">
        <f>IF(COUNT(D1987:S1987)=0,"",INDEX($D$1:$S$1,MATCH(MIN(D1987:S1987),D1987:S1987,0)))</f>
        <v/>
      </c>
      <c r="Y1987" s="8" t="n">
        <v>233</v>
      </c>
      <c r="Z1987" s="10" t="n">
        <v>1</v>
      </c>
    </row>
    <row r="1988">
      <c r="A1988" s="7" t="inlineStr">
        <is>
          <t>MAT-32-638</t>
        </is>
      </c>
      <c r="B1988" s="4" t="inlineStr">
        <is>
          <t>Terminal de manguera 5"</t>
        </is>
      </c>
      <c r="C1988" s="7" t="inlineStr">
        <is>
          <t>unidad</t>
        </is>
      </c>
      <c r="D1988" s="8" t="n"/>
      <c r="E1988" s="8" t="n"/>
      <c r="F1988" s="8" t="n"/>
      <c r="G1988" s="8" t="n">
        <v>295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>
        <f>IF(COUNT(D1988:S1988)=0,"",MIN(D1988:S1988))</f>
        <v/>
      </c>
      <c r="U1988" s="8">
        <f>IF(COUNT(D1988:S1988)=0,"",MEDIAN(D1988:S1988))</f>
        <v/>
      </c>
      <c r="V1988" s="8">
        <f>IF(COUNT(D1988:S1988)=0,"",MAX(D1988:S1988))</f>
        <v/>
      </c>
      <c r="W1988" s="9">
        <f>IF(OR(T1988="",T1988=0),"",(V1988-T1988)/T1988)</f>
        <v/>
      </c>
      <c r="X1988" s="7">
        <f>IF(COUNT(D1988:S1988)=0,"",INDEX($D$1:$S$1,MATCH(MIN(D1988:S1988),D1988:S1988,0)))</f>
        <v/>
      </c>
      <c r="Y1988" s="8" t="n">
        <v>295</v>
      </c>
      <c r="Z1988" s="10" t="n">
        <v>1</v>
      </c>
    </row>
    <row r="1989">
      <c r="A1989" s="7" t="inlineStr">
        <is>
          <t>MAT-32-639</t>
        </is>
      </c>
      <c r="B1989" s="4" t="inlineStr">
        <is>
          <t>Unión de bronce 0.19"</t>
        </is>
      </c>
      <c r="C1989" s="7" t="inlineStr">
        <is>
          <t>unidad</t>
        </is>
      </c>
      <c r="D1989" s="8" t="n"/>
      <c r="E1989" s="8" t="n">
        <v>35.78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>
        <f>IF(COUNT(D1989:S1989)=0,"",MIN(D1989:S1989))</f>
        <v/>
      </c>
      <c r="U1989" s="8">
        <f>IF(COUNT(D1989:S1989)=0,"",MEDIAN(D1989:S1989))</f>
        <v/>
      </c>
      <c r="V1989" s="8">
        <f>IF(COUNT(D1989:S1989)=0,"",MAX(D1989:S1989))</f>
        <v/>
      </c>
      <c r="W1989" s="9">
        <f>IF(OR(T1989="",T1989=0),"",(V1989-T1989)/T1989)</f>
        <v/>
      </c>
      <c r="X1989" s="7">
        <f>IF(COUNT(D1989:S1989)=0,"",INDEX($D$1:$S$1,MATCH(MIN(D1989:S1989),D1989:S1989,0)))</f>
        <v/>
      </c>
      <c r="Y1989" s="8" t="n">
        <v>35.78</v>
      </c>
      <c r="Z1989" s="10" t="n">
        <v>1</v>
      </c>
    </row>
    <row r="1990">
      <c r="A1990" s="7" t="inlineStr">
        <is>
          <t>MAT-32-640</t>
        </is>
      </c>
      <c r="B1990" s="4" t="inlineStr">
        <is>
          <t>Unión de bronce 1/2"</t>
        </is>
      </c>
      <c r="C1990" s="7" t="inlineStr">
        <is>
          <t>unidad</t>
        </is>
      </c>
      <c r="D1990" s="8" t="n"/>
      <c r="E1990" s="8" t="n">
        <v>66.19</v>
      </c>
      <c r="F1990" s="8" t="n"/>
      <c r="G1990" s="8" t="n">
        <v>165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>
        <f>IF(COUNT(D1990:S1990)=0,"",MIN(D1990:S1990))</f>
        <v/>
      </c>
      <c r="U1990" s="8">
        <f>IF(COUNT(D1990:S1990)=0,"",MEDIAN(D1990:S1990))</f>
        <v/>
      </c>
      <c r="V1990" s="8">
        <f>IF(COUNT(D1990:S1990)=0,"",MAX(D1990:S1990))</f>
        <v/>
      </c>
      <c r="W1990" s="9">
        <f>IF(OR(T1990="",T1990=0),"",(V1990-T1990)/T1990)</f>
        <v/>
      </c>
      <c r="X1990" s="7">
        <f>IF(COUNT(D1990:S1990)=0,"",INDEX($D$1:$S$1,MATCH(MIN(D1990:S1990),D1990:S1990,0)))</f>
        <v/>
      </c>
      <c r="Y1990" s="8" t="n">
        <v>115.6</v>
      </c>
      <c r="Z1990" s="10" t="n">
        <v>2</v>
      </c>
    </row>
    <row r="1991">
      <c r="A1991" s="7" t="inlineStr">
        <is>
          <t>MAT-32-641</t>
        </is>
      </c>
      <c r="B1991" s="4" t="inlineStr">
        <is>
          <t>Unión de bronce 1/4"</t>
        </is>
      </c>
      <c r="C1991" s="7" t="inlineStr">
        <is>
          <t>unidad</t>
        </is>
      </c>
      <c r="D1991" s="8" t="n"/>
      <c r="E1991" s="8" t="n">
        <v>28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>
        <f>IF(COUNT(D1991:S1991)=0,"",MIN(D1991:S1991))</f>
        <v/>
      </c>
      <c r="U1991" s="8">
        <f>IF(COUNT(D1991:S1991)=0,"",MEDIAN(D1991:S1991))</f>
        <v/>
      </c>
      <c r="V1991" s="8">
        <f>IF(COUNT(D1991:S1991)=0,"",MAX(D1991:S1991))</f>
        <v/>
      </c>
      <c r="W1991" s="9">
        <f>IF(OR(T1991="",T1991=0),"",(V1991-T1991)/T1991)</f>
        <v/>
      </c>
      <c r="X1991" s="7">
        <f>IF(COUNT(D1991:S1991)=0,"",INDEX($D$1:$S$1,MATCH(MIN(D1991:S1991),D1991:S1991,0)))</f>
        <v/>
      </c>
      <c r="Y1991" s="8" t="n">
        <v>69</v>
      </c>
      <c r="Z1991" s="10" t="n">
        <v>1</v>
      </c>
    </row>
    <row r="1992">
      <c r="A1992" s="7" t="inlineStr">
        <is>
          <t>MAT-32-642</t>
        </is>
      </c>
      <c r="B1992" s="4" t="inlineStr">
        <is>
          <t>Unión de bronce 1/8"</t>
        </is>
      </c>
      <c r="C1992" s="7" t="inlineStr">
        <is>
          <t>unidad</t>
        </is>
      </c>
      <c r="D1992" s="8" t="n"/>
      <c r="E1992" s="8" t="n">
        <v>16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>
        <f>IF(COUNT(D1992:S1992)=0,"",MIN(D1992:S1992))</f>
        <v/>
      </c>
      <c r="U1992" s="8">
        <f>IF(COUNT(D1992:S1992)=0,"",MEDIAN(D1992:S1992))</f>
        <v/>
      </c>
      <c r="V1992" s="8">
        <f>IF(COUNT(D1992:S1992)=0,"",MAX(D1992:S1992))</f>
        <v/>
      </c>
      <c r="W1992" s="9">
        <f>IF(OR(T1992="",T1992=0),"",(V1992-T1992)/T1992)</f>
        <v/>
      </c>
      <c r="X1992" s="7">
        <f>IF(COUNT(D1992:S1992)=0,"",INDEX($D$1:$S$1,MATCH(MIN(D1992:S1992),D1992:S1992,0)))</f>
        <v/>
      </c>
      <c r="Y1992" s="8" t="n">
        <v>16</v>
      </c>
      <c r="Z1992" s="10" t="n">
        <v>1</v>
      </c>
    </row>
    <row r="1993">
      <c r="A1993" s="7" t="inlineStr">
        <is>
          <t>MAT-32-643</t>
        </is>
      </c>
      <c r="B1993" s="4" t="inlineStr">
        <is>
          <t>Unión de bronce 12"</t>
        </is>
      </c>
      <c r="C1993" s="7" t="inlineStr">
        <is>
          <t>unidad</t>
        </is>
      </c>
      <c r="D1993" s="8" t="n"/>
      <c r="E1993" s="8" t="n">
        <v>346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>
        <f>IF(COUNT(D1993:S1993)=0,"",MIN(D1993:S1993))</f>
        <v/>
      </c>
      <c r="U1993" s="8">
        <f>IF(COUNT(D1993:S1993)=0,"",MEDIAN(D1993:S1993))</f>
        <v/>
      </c>
      <c r="V1993" s="8">
        <f>IF(COUNT(D1993:S1993)=0,"",MAX(D1993:S1993))</f>
        <v/>
      </c>
      <c r="W1993" s="9">
        <f>IF(OR(T1993="",T1993=0),"",(V1993-T1993)/T1993)</f>
        <v/>
      </c>
      <c r="X1993" s="7">
        <f>IF(COUNT(D1993:S1993)=0,"",INDEX($D$1:$S$1,MATCH(MIN(D1993:S1993),D1993:S1993,0)))</f>
        <v/>
      </c>
      <c r="Y1993" s="8" t="n">
        <v>346</v>
      </c>
      <c r="Z1993" s="10" t="n">
        <v>1</v>
      </c>
    </row>
    <row r="1994">
      <c r="A1994" s="7" t="inlineStr">
        <is>
          <t>MAT-32-644</t>
        </is>
      </c>
      <c r="B1994" s="4" t="inlineStr">
        <is>
          <t>Unión de bronce 15"</t>
        </is>
      </c>
      <c r="C1994" s="7" t="inlineStr">
        <is>
          <t>unidad</t>
        </is>
      </c>
      <c r="D1994" s="8" t="n"/>
      <c r="E1994" s="8" t="n">
        <v>375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>
        <f>IF(COUNT(D1994:S1994)=0,"",MIN(D1994:S1994))</f>
        <v/>
      </c>
      <c r="U1994" s="8">
        <f>IF(COUNT(D1994:S1994)=0,"",MEDIAN(D1994:S1994))</f>
        <v/>
      </c>
      <c r="V1994" s="8">
        <f>IF(COUNT(D1994:S1994)=0,"",MAX(D1994:S1994))</f>
        <v/>
      </c>
      <c r="W1994" s="9">
        <f>IF(OR(T1994="",T1994=0),"",(V1994-T1994)/T1994)</f>
        <v/>
      </c>
      <c r="X1994" s="7">
        <f>IF(COUNT(D1994:S1994)=0,"",INDEX($D$1:$S$1,MATCH(MIN(D1994:S1994),D1994:S1994,0)))</f>
        <v/>
      </c>
      <c r="Y1994" s="8" t="n">
        <v>375</v>
      </c>
      <c r="Z1994" s="10" t="n">
        <v>1</v>
      </c>
    </row>
    <row r="1995">
      <c r="A1995" s="7" t="inlineStr">
        <is>
          <t>MAT-32-645</t>
        </is>
      </c>
      <c r="B1995" s="4" t="inlineStr">
        <is>
          <t>Unión de bronce 18"</t>
        </is>
      </c>
      <c r="C1995" s="7" t="inlineStr">
        <is>
          <t>unidad</t>
        </is>
      </c>
      <c r="D1995" s="8" t="n"/>
      <c r="E1995" s="8" t="n">
        <v>413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>
        <f>IF(COUNT(D1995:S1995)=0,"",MIN(D1995:S1995))</f>
        <v/>
      </c>
      <c r="U1995" s="8">
        <f>IF(COUNT(D1995:S1995)=0,"",MEDIAN(D1995:S1995))</f>
        <v/>
      </c>
      <c r="V1995" s="8">
        <f>IF(COUNT(D1995:S1995)=0,"",MAX(D1995:S1995))</f>
        <v/>
      </c>
      <c r="W1995" s="9">
        <f>IF(OR(T1995="",T1995=0),"",(V1995-T1995)/T1995)</f>
        <v/>
      </c>
      <c r="X1995" s="7">
        <f>IF(COUNT(D1995:S1995)=0,"",INDEX($D$1:$S$1,MATCH(MIN(D1995:S1995),D1995:S1995,0)))</f>
        <v/>
      </c>
      <c r="Y1995" s="8" t="n">
        <v>413</v>
      </c>
      <c r="Z1995" s="10" t="n">
        <v>1</v>
      </c>
    </row>
    <row r="1996">
      <c r="A1996" s="7" t="inlineStr">
        <is>
          <t>MAT-32-646</t>
        </is>
      </c>
      <c r="B1996" s="4" t="inlineStr">
        <is>
          <t>Unión de bronce 25"</t>
        </is>
      </c>
      <c r="C1996" s="7" t="inlineStr">
        <is>
          <t>unidad</t>
        </is>
      </c>
      <c r="D1996" s="8" t="n"/>
      <c r="E1996" s="8" t="n">
        <v>796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>
        <f>IF(COUNT(D1996:S1996)=0,"",MIN(D1996:S1996))</f>
        <v/>
      </c>
      <c r="U1996" s="8">
        <f>IF(COUNT(D1996:S1996)=0,"",MEDIAN(D1996:S1996))</f>
        <v/>
      </c>
      <c r="V1996" s="8">
        <f>IF(COUNT(D1996:S1996)=0,"",MAX(D1996:S1996))</f>
        <v/>
      </c>
      <c r="W1996" s="9">
        <f>IF(OR(T1996="",T1996=0),"",(V1996-T1996)/T1996)</f>
        <v/>
      </c>
      <c r="X1996" s="7">
        <f>IF(COUNT(D1996:S1996)=0,"",INDEX($D$1:$S$1,MATCH(MIN(D1996:S1996),D1996:S1996,0)))</f>
        <v/>
      </c>
      <c r="Y1996" s="8" t="n">
        <v>796</v>
      </c>
      <c r="Z1996" s="10" t="n">
        <v>1</v>
      </c>
    </row>
    <row r="1997">
      <c r="A1997" s="7" t="inlineStr">
        <is>
          <t>MAT-32-647</t>
        </is>
      </c>
      <c r="B1997" s="4" t="inlineStr">
        <is>
          <t>Unión de bronce 3/8"</t>
        </is>
      </c>
      <c r="C1997" s="7" t="inlineStr">
        <is>
          <t>unidad</t>
        </is>
      </c>
      <c r="D1997" s="8" t="n"/>
      <c r="E1997" s="8" t="n">
        <v>44</v>
      </c>
      <c r="F1997" s="8" t="n"/>
      <c r="G1997" s="8" t="n">
        <v>147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>
        <f>IF(COUNT(D1997:S1997)=0,"",MIN(D1997:S1997))</f>
        <v/>
      </c>
      <c r="U1997" s="8">
        <f>IF(COUNT(D1997:S1997)=0,"",MEDIAN(D1997:S1997))</f>
        <v/>
      </c>
      <c r="V1997" s="8">
        <f>IF(COUNT(D1997:S1997)=0,"",MAX(D1997:S1997))</f>
        <v/>
      </c>
      <c r="W1997" s="9">
        <f>IF(OR(T1997="",T1997=0),"",(V1997-T1997)/T1997)</f>
        <v/>
      </c>
      <c r="X1997" s="7">
        <f>IF(COUNT(D1997:S1997)=0,"",INDEX($D$1:$S$1,MATCH(MIN(D1997:S1997),D1997:S1997,0)))</f>
        <v/>
      </c>
      <c r="Y1997" s="8" t="n">
        <v>118</v>
      </c>
      <c r="Z1997" s="10" t="n">
        <v>2</v>
      </c>
    </row>
    <row r="1998">
      <c r="A1998" s="7" t="inlineStr">
        <is>
          <t>MAT-32-648</t>
        </is>
      </c>
      <c r="B1998" s="4" t="inlineStr">
        <is>
          <t>Unión de bronce 32 mm</t>
        </is>
      </c>
      <c r="C1998" s="7" t="inlineStr">
        <is>
          <t>unidad</t>
        </is>
      </c>
      <c r="D1998" s="8" t="n"/>
      <c r="E1998" s="8" t="n">
        <v>906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>
        <f>IF(COUNT(D1998:S1998)=0,"",MIN(D1998:S1998))</f>
        <v/>
      </c>
      <c r="U1998" s="8">
        <f>IF(COUNT(D1998:S1998)=0,"",MEDIAN(D1998:S1998))</f>
        <v/>
      </c>
      <c r="V1998" s="8">
        <f>IF(COUNT(D1998:S1998)=0,"",MAX(D1998:S1998))</f>
        <v/>
      </c>
      <c r="W1998" s="9">
        <f>IF(OR(T1998="",T1998=0),"",(V1998-T1998)/T1998)</f>
        <v/>
      </c>
      <c r="X1998" s="7">
        <f>IF(COUNT(D1998:S1998)=0,"",INDEX($D$1:$S$1,MATCH(MIN(D1998:S1998),D1998:S1998,0)))</f>
        <v/>
      </c>
      <c r="Y1998" s="8" t="n">
        <v>906</v>
      </c>
      <c r="Z1998" s="10" t="n">
        <v>1</v>
      </c>
    </row>
    <row r="1999">
      <c r="A1999" s="7" t="inlineStr">
        <is>
          <t>MAT-32-649</t>
        </is>
      </c>
      <c r="B1999" s="4" t="inlineStr">
        <is>
          <t>Unión de plástico 1/2"</t>
        </is>
      </c>
      <c r="C1999" s="7" t="inlineStr">
        <is>
          <t>unidad</t>
        </is>
      </c>
      <c r="D1999" s="8" t="n"/>
      <c r="E1999" s="8" t="n">
        <v>111</v>
      </c>
      <c r="F1999" s="8" t="n"/>
      <c r="G1999" s="8" t="n">
        <v>180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>
        <f>IF(COUNT(D1999:S1999)=0,"",MIN(D1999:S1999))</f>
        <v/>
      </c>
      <c r="U1999" s="8">
        <f>IF(COUNT(D1999:S1999)=0,"",MEDIAN(D1999:S1999))</f>
        <v/>
      </c>
      <c r="V1999" s="8">
        <f>IF(COUNT(D1999:S1999)=0,"",MAX(D1999:S1999))</f>
        <v/>
      </c>
      <c r="W1999" s="9">
        <f>IF(OR(T1999="",T1999=0),"",(V1999-T1999)/T1999)</f>
        <v/>
      </c>
      <c r="X1999" s="7">
        <f>IF(COUNT(D1999:S1999)=0,"",INDEX($D$1:$S$1,MATCH(MIN(D1999:S1999),D1999:S1999,0)))</f>
        <v/>
      </c>
      <c r="Y1999" s="8" t="n">
        <v>145.5</v>
      </c>
      <c r="Z1999" s="10" t="n">
        <v>2</v>
      </c>
    </row>
    <row r="2000">
      <c r="A2000" s="7" t="inlineStr">
        <is>
          <t>MAT-32-650</t>
        </is>
      </c>
      <c r="B2000" s="4" t="inlineStr">
        <is>
          <t>Unión de plástico 5/8"</t>
        </is>
      </c>
      <c r="C2000" s="7" t="inlineStr">
        <is>
          <t>unidad</t>
        </is>
      </c>
      <c r="D2000" s="8" t="n"/>
      <c r="E2000" s="8" t="n">
        <v>131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>
        <f>IF(COUNT(D2000:S2000)=0,"",MIN(D2000:S2000))</f>
        <v/>
      </c>
      <c r="U2000" s="8">
        <f>IF(COUNT(D2000:S2000)=0,"",MEDIAN(D2000:S2000))</f>
        <v/>
      </c>
      <c r="V2000" s="8">
        <f>IF(COUNT(D2000:S2000)=0,"",MAX(D2000:S2000))</f>
        <v/>
      </c>
      <c r="W2000" s="9">
        <f>IF(OR(T2000="",T2000=0),"",(V2000-T2000)/T2000)</f>
        <v/>
      </c>
      <c r="X2000" s="7">
        <f>IF(COUNT(D2000:S2000)=0,"",INDEX($D$1:$S$1,MATCH(MIN(D2000:S2000),D2000:S2000,0)))</f>
        <v/>
      </c>
      <c r="Y2000" s="8" t="n">
        <v>131</v>
      </c>
      <c r="Z2000" s="10" t="n">
        <v>1</v>
      </c>
    </row>
    <row r="2001">
      <c r="A2001" s="7" t="inlineStr">
        <is>
          <t>MAT-32-651</t>
        </is>
      </c>
      <c r="B2001" s="4" t="inlineStr">
        <is>
          <t>Unión universal de CPVC 1/2"</t>
        </is>
      </c>
      <c r="C2001" s="7" t="inlineStr">
        <is>
          <t>unidad</t>
        </is>
      </c>
      <c r="D2001" s="8" t="n"/>
      <c r="E2001" s="8" t="n">
        <v>31.5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>
        <f>IF(COUNT(D2001:S2001)=0,"",MIN(D2001:S2001))</f>
        <v/>
      </c>
      <c r="U2001" s="8">
        <f>IF(COUNT(D2001:S2001)=0,"",MEDIAN(D2001:S2001))</f>
        <v/>
      </c>
      <c r="V2001" s="8">
        <f>IF(COUNT(D2001:S2001)=0,"",MAX(D2001:S2001))</f>
        <v/>
      </c>
      <c r="W2001" s="9">
        <f>IF(OR(T2001="",T2001=0),"",(V2001-T2001)/T2001)</f>
        <v/>
      </c>
      <c r="X2001" s="7">
        <f>IF(COUNT(D2001:S2001)=0,"",INDEX($D$1:$S$1,MATCH(MIN(D2001:S2001),D2001:S2001,0)))</f>
        <v/>
      </c>
      <c r="Y2001" s="8" t="n">
        <v>31.5</v>
      </c>
      <c r="Z2001" s="10" t="n">
        <v>1</v>
      </c>
    </row>
    <row r="2002">
      <c r="A2002" s="7" t="inlineStr">
        <is>
          <t>MAT-32-652</t>
        </is>
      </c>
      <c r="B2002" s="4" t="inlineStr">
        <is>
          <t>Unión universal de CPVC 1"</t>
        </is>
      </c>
      <c r="C2002" s="7" t="inlineStr">
        <is>
          <t>unidad</t>
        </is>
      </c>
      <c r="D2002" s="8" t="n"/>
      <c r="E2002" s="8" t="n">
        <v>150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>
        <f>IF(COUNT(D2002:S2002)=0,"",MIN(D2002:S2002))</f>
        <v/>
      </c>
      <c r="U2002" s="8">
        <f>IF(COUNT(D2002:S2002)=0,"",MEDIAN(D2002:S2002))</f>
        <v/>
      </c>
      <c r="V2002" s="8">
        <f>IF(COUNT(D2002:S2002)=0,"",MAX(D2002:S2002))</f>
        <v/>
      </c>
      <c r="W2002" s="9">
        <f>IF(OR(T2002="",T2002=0),"",(V2002-T2002)/T2002)</f>
        <v/>
      </c>
      <c r="X2002" s="7">
        <f>IF(COUNT(D2002:S2002)=0,"",INDEX($D$1:$S$1,MATCH(MIN(D2002:S2002),D2002:S2002,0)))</f>
        <v/>
      </c>
      <c r="Y2002" s="8" t="n">
        <v>150</v>
      </c>
      <c r="Z2002" s="10" t="n">
        <v>1</v>
      </c>
    </row>
    <row r="2003">
      <c r="A2003" s="7" t="inlineStr">
        <is>
          <t>MAT-32-653</t>
        </is>
      </c>
      <c r="B2003" s="4" t="inlineStr">
        <is>
          <t>Unión universal de CPVC 3/4"</t>
        </is>
      </c>
      <c r="C2003" s="7" t="inlineStr">
        <is>
          <t>unidad</t>
        </is>
      </c>
      <c r="D2003" s="8" t="n"/>
      <c r="E2003" s="8" t="n">
        <v>100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>
        <f>IF(COUNT(D2003:S2003)=0,"",MIN(D2003:S2003))</f>
        <v/>
      </c>
      <c r="U2003" s="8">
        <f>IF(COUNT(D2003:S2003)=0,"",MEDIAN(D2003:S2003))</f>
        <v/>
      </c>
      <c r="V2003" s="8">
        <f>IF(COUNT(D2003:S2003)=0,"",MAX(D2003:S2003))</f>
        <v/>
      </c>
      <c r="W2003" s="9">
        <f>IF(OR(T2003="",T2003=0),"",(V2003-T2003)/T2003)</f>
        <v/>
      </c>
      <c r="X2003" s="7">
        <f>IF(COUNT(D2003:S2003)=0,"",INDEX($D$1:$S$1,MATCH(MIN(D2003:S2003),D2003:S2003,0)))</f>
        <v/>
      </c>
      <c r="Y2003" s="8" t="n">
        <v>100</v>
      </c>
      <c r="Z2003" s="10" t="n">
        <v>1</v>
      </c>
    </row>
    <row r="2004">
      <c r="A2004" s="7" t="inlineStr">
        <is>
          <t>MAT-32-654</t>
        </is>
      </c>
      <c r="B2004" s="4" t="inlineStr">
        <is>
          <t>Unión universal de HG 1 1/2"</t>
        </is>
      </c>
      <c r="C2004" s="7" t="inlineStr">
        <is>
          <t>unidad</t>
        </is>
      </c>
      <c r="D2004" s="8" t="n"/>
      <c r="E2004" s="8" t="n">
        <v>350</v>
      </c>
      <c r="F2004" s="8" t="n"/>
      <c r="G2004" s="8" t="n">
        <v>525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>
        <f>IF(COUNT(D2004:S2004)=0,"",MIN(D2004:S2004))</f>
        <v/>
      </c>
      <c r="U2004" s="8">
        <f>IF(COUNT(D2004:S2004)=0,"",MEDIAN(D2004:S2004))</f>
        <v/>
      </c>
      <c r="V2004" s="8">
        <f>IF(COUNT(D2004:S2004)=0,"",MAX(D2004:S2004))</f>
        <v/>
      </c>
      <c r="W2004" s="9">
        <f>IF(OR(T2004="",T2004=0),"",(V2004-T2004)/T2004)</f>
        <v/>
      </c>
      <c r="X2004" s="7">
        <f>IF(COUNT(D2004:S2004)=0,"",INDEX($D$1:$S$1,MATCH(MIN(D2004:S2004),D2004:S2004,0)))</f>
        <v/>
      </c>
      <c r="Y2004" s="8" t="n">
        <v>437.5</v>
      </c>
      <c r="Z2004" s="10" t="n">
        <v>2</v>
      </c>
    </row>
    <row r="2005">
      <c r="A2005" s="7" t="inlineStr">
        <is>
          <t>MAT-32-655</t>
        </is>
      </c>
      <c r="B2005" s="4" t="inlineStr">
        <is>
          <t>Unión universal de HG 1 1/4"</t>
        </is>
      </c>
      <c r="C2005" s="7" t="inlineStr">
        <is>
          <t>unidad</t>
        </is>
      </c>
      <c r="D2005" s="8" t="n"/>
      <c r="E2005" s="8" t="n">
        <v>249</v>
      </c>
      <c r="F2005" s="8" t="n"/>
      <c r="G2005" s="8" t="n">
        <v>422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>
        <f>IF(COUNT(D2005:S2005)=0,"",MIN(D2005:S2005))</f>
        <v/>
      </c>
      <c r="U2005" s="8">
        <f>IF(COUNT(D2005:S2005)=0,"",MEDIAN(D2005:S2005))</f>
        <v/>
      </c>
      <c r="V2005" s="8">
        <f>IF(COUNT(D2005:S2005)=0,"",MAX(D2005:S2005))</f>
        <v/>
      </c>
      <c r="W2005" s="9">
        <f>IF(OR(T2005="",T2005=0),"",(V2005-T2005)/T2005)</f>
        <v/>
      </c>
      <c r="X2005" s="7">
        <f>IF(COUNT(D2005:S2005)=0,"",INDEX($D$1:$S$1,MATCH(MIN(D2005:S2005),D2005:S2005,0)))</f>
        <v/>
      </c>
      <c r="Y2005" s="8" t="n">
        <v>335.5</v>
      </c>
      <c r="Z2005" s="10" t="n">
        <v>2</v>
      </c>
    </row>
    <row r="2006">
      <c r="A2006" s="7" t="inlineStr">
        <is>
          <t>MAT-32-656</t>
        </is>
      </c>
      <c r="B2006" s="4" t="inlineStr">
        <is>
          <t>Unión universal de HG 1/2"</t>
        </is>
      </c>
      <c r="C2006" s="7" t="inlineStr">
        <is>
          <t>unidad</t>
        </is>
      </c>
      <c r="D2006" s="8" t="n"/>
      <c r="E2006" s="8" t="n">
        <v>115</v>
      </c>
      <c r="F2006" s="8" t="n"/>
      <c r="G2006" s="8" t="n">
        <v>170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>
        <f>IF(COUNT(D2006:S2006)=0,"",MIN(D2006:S2006))</f>
        <v/>
      </c>
      <c r="U2006" s="8">
        <f>IF(COUNT(D2006:S2006)=0,"",MEDIAN(D2006:S2006))</f>
        <v/>
      </c>
      <c r="V2006" s="8">
        <f>IF(COUNT(D2006:S2006)=0,"",MAX(D2006:S2006))</f>
        <v/>
      </c>
      <c r="W2006" s="9">
        <f>IF(OR(T2006="",T2006=0),"",(V2006-T2006)/T2006)</f>
        <v/>
      </c>
      <c r="X2006" s="7">
        <f>IF(COUNT(D2006:S2006)=0,"",INDEX($D$1:$S$1,MATCH(MIN(D2006:S2006),D2006:S2006,0)))</f>
        <v/>
      </c>
      <c r="Y2006" s="8" t="n">
        <v>142.5</v>
      </c>
      <c r="Z2006" s="10" t="n">
        <v>2</v>
      </c>
    </row>
    <row r="2007">
      <c r="A2007" s="7" t="inlineStr">
        <is>
          <t>MAT-32-657</t>
        </is>
      </c>
      <c r="B2007" s="4" t="inlineStr">
        <is>
          <t>Unión universal de HG 1/4"</t>
        </is>
      </c>
      <c r="C2007" s="7" t="inlineStr">
        <is>
          <t>unidad</t>
        </is>
      </c>
      <c r="D2007" s="8" t="n"/>
      <c r="E2007" s="8" t="n"/>
      <c r="F2007" s="8" t="n"/>
      <c r="G2007" s="8" t="n">
        <v>44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>
        <f>IF(COUNT(D2007:S2007)=0,"",MIN(D2007:S2007))</f>
        <v/>
      </c>
      <c r="U2007" s="8">
        <f>IF(COUNT(D2007:S2007)=0,"",MEDIAN(D2007:S2007))</f>
        <v/>
      </c>
      <c r="V2007" s="8">
        <f>IF(COUNT(D2007:S2007)=0,"",MAX(D2007:S2007))</f>
        <v/>
      </c>
      <c r="W2007" s="9">
        <f>IF(OR(T2007="",T2007=0),"",(V2007-T2007)/T2007)</f>
        <v/>
      </c>
      <c r="X2007" s="7">
        <f>IF(COUNT(D2007:S2007)=0,"",INDEX($D$1:$S$1,MATCH(MIN(D2007:S2007),D2007:S2007,0)))</f>
        <v/>
      </c>
      <c r="Y2007" s="8" t="n">
        <v>44</v>
      </c>
      <c r="Z2007" s="10" t="n">
        <v>1</v>
      </c>
    </row>
    <row r="2008">
      <c r="A2008" s="7" t="inlineStr">
        <is>
          <t>MAT-32-658</t>
        </is>
      </c>
      <c r="B2008" s="4" t="inlineStr">
        <is>
          <t>Unión universal de HG 1"</t>
        </is>
      </c>
      <c r="C2008" s="7" t="inlineStr">
        <is>
          <t>unidad</t>
        </is>
      </c>
      <c r="D2008" s="8" t="n"/>
      <c r="E2008" s="8" t="n">
        <v>174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>
        <f>IF(COUNT(D2008:S2008)=0,"",MIN(D2008:S2008))</f>
        <v/>
      </c>
      <c r="U2008" s="8">
        <f>IF(COUNT(D2008:S2008)=0,"",MEDIAN(D2008:S2008))</f>
        <v/>
      </c>
      <c r="V2008" s="8">
        <f>IF(COUNT(D2008:S2008)=0,"",MAX(D2008:S2008))</f>
        <v/>
      </c>
      <c r="W2008" s="9">
        <f>IF(OR(T2008="",T2008=0),"",(V2008-T2008)/T2008)</f>
        <v/>
      </c>
      <c r="X2008" s="7">
        <f>IF(COUNT(D2008:S2008)=0,"",INDEX($D$1:$S$1,MATCH(MIN(D2008:S2008),D2008:S2008,0)))</f>
        <v/>
      </c>
      <c r="Y2008" s="8" t="n">
        <v>174</v>
      </c>
      <c r="Z2008" s="10" t="n">
        <v>1</v>
      </c>
    </row>
    <row r="2009">
      <c r="A2009" s="7" t="inlineStr">
        <is>
          <t>MAT-32-659</t>
        </is>
      </c>
      <c r="B2009" s="4" t="inlineStr">
        <is>
          <t>Unión universal de HG 2"</t>
        </is>
      </c>
      <c r="C2009" s="7" t="inlineStr">
        <is>
          <t>unidad</t>
        </is>
      </c>
      <c r="D2009" s="8" t="n"/>
      <c r="E2009" s="8" t="n">
        <v>450</v>
      </c>
      <c r="F2009" s="8" t="n"/>
      <c r="G2009" s="8" t="n">
        <v>827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>
        <f>IF(COUNT(D2009:S2009)=0,"",MIN(D2009:S2009))</f>
        <v/>
      </c>
      <c r="U2009" s="8">
        <f>IF(COUNT(D2009:S2009)=0,"",MEDIAN(D2009:S2009))</f>
        <v/>
      </c>
      <c r="V2009" s="8">
        <f>IF(COUNT(D2009:S2009)=0,"",MAX(D2009:S2009))</f>
        <v/>
      </c>
      <c r="W2009" s="9">
        <f>IF(OR(T2009="",T2009=0),"",(V2009-T2009)/T2009)</f>
        <v/>
      </c>
      <c r="X2009" s="7">
        <f>IF(COUNT(D2009:S2009)=0,"",INDEX($D$1:$S$1,MATCH(MIN(D2009:S2009),D2009:S2009,0)))</f>
        <v/>
      </c>
      <c r="Y2009" s="8" t="n">
        <v>638.5</v>
      </c>
      <c r="Z2009" s="10" t="n">
        <v>2</v>
      </c>
    </row>
    <row r="2010">
      <c r="A2010" s="7" t="inlineStr">
        <is>
          <t>MAT-32-660</t>
        </is>
      </c>
      <c r="B2010" s="4" t="inlineStr">
        <is>
          <t>Unión universal de HG 3/4"</t>
        </is>
      </c>
      <c r="C2010" s="7" t="inlineStr">
        <is>
          <t>unidad</t>
        </is>
      </c>
      <c r="D2010" s="8" t="n"/>
      <c r="E2010" s="8" t="n">
        <v>180</v>
      </c>
      <c r="F2010" s="8" t="n"/>
      <c r="G2010" s="8" t="n">
        <v>162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>
        <f>IF(COUNT(D2010:S2010)=0,"",MIN(D2010:S2010))</f>
        <v/>
      </c>
      <c r="U2010" s="8">
        <f>IF(COUNT(D2010:S2010)=0,"",MEDIAN(D2010:S2010))</f>
        <v/>
      </c>
      <c r="V2010" s="8">
        <f>IF(COUNT(D2010:S2010)=0,"",MAX(D2010:S2010))</f>
        <v/>
      </c>
      <c r="W2010" s="9">
        <f>IF(OR(T2010="",T2010=0),"",(V2010-T2010)/T2010)</f>
        <v/>
      </c>
      <c r="X2010" s="7">
        <f>IF(COUNT(D2010:S2010)=0,"",INDEX($D$1:$S$1,MATCH(MIN(D2010:S2010),D2010:S2010,0)))</f>
        <v/>
      </c>
      <c r="Y2010" s="8" t="n">
        <v>171</v>
      </c>
      <c r="Z2010" s="10" t="n">
        <v>2</v>
      </c>
    </row>
    <row r="2011">
      <c r="A2011" s="7" t="inlineStr">
        <is>
          <t>MAT-32-661</t>
        </is>
      </c>
      <c r="B2011" s="4" t="inlineStr">
        <is>
          <t>Unión universal de HG 3/8"</t>
        </is>
      </c>
      <c r="C2011" s="7" t="inlineStr">
        <is>
          <t>unidad</t>
        </is>
      </c>
      <c r="D2011" s="8" t="n"/>
      <c r="E2011" s="8" t="n"/>
      <c r="F2011" s="8" t="n"/>
      <c r="G2011" s="8" t="n">
        <v>12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>
        <f>IF(COUNT(D2011:S2011)=0,"",MIN(D2011:S2011))</f>
        <v/>
      </c>
      <c r="U2011" s="8">
        <f>IF(COUNT(D2011:S2011)=0,"",MEDIAN(D2011:S2011))</f>
        <v/>
      </c>
      <c r="V2011" s="8">
        <f>IF(COUNT(D2011:S2011)=0,"",MAX(D2011:S2011))</f>
        <v/>
      </c>
      <c r="W2011" s="9">
        <f>IF(OR(T2011="",T2011=0),"",(V2011-T2011)/T2011)</f>
        <v/>
      </c>
      <c r="X2011" s="7">
        <f>IF(COUNT(D2011:S2011)=0,"",INDEX($D$1:$S$1,MATCH(MIN(D2011:S2011),D2011:S2011,0)))</f>
        <v/>
      </c>
      <c r="Y2011" s="8" t="n">
        <v>12</v>
      </c>
      <c r="Z2011" s="10" t="n">
        <v>1</v>
      </c>
    </row>
    <row r="2012">
      <c r="A2012" s="7" t="inlineStr">
        <is>
          <t>MAT-32-662</t>
        </is>
      </c>
      <c r="B2012" s="4" t="inlineStr">
        <is>
          <t>Unión universal de HG 3"</t>
        </is>
      </c>
      <c r="C2012" s="7" t="inlineStr">
        <is>
          <t>unidad</t>
        </is>
      </c>
      <c r="D2012" s="8" t="n"/>
      <c r="E2012" s="8" t="n">
        <v>1376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>
        <f>IF(COUNT(D2012:S2012)=0,"",MIN(D2012:S2012))</f>
        <v/>
      </c>
      <c r="U2012" s="8">
        <f>IF(COUNT(D2012:S2012)=0,"",MEDIAN(D2012:S2012))</f>
        <v/>
      </c>
      <c r="V2012" s="8">
        <f>IF(COUNT(D2012:S2012)=0,"",MAX(D2012:S2012))</f>
        <v/>
      </c>
      <c r="W2012" s="9">
        <f>IF(OR(T2012="",T2012=0),"",(V2012-T2012)/T2012)</f>
        <v/>
      </c>
      <c r="X2012" s="7">
        <f>IF(COUNT(D2012:S2012)=0,"",INDEX($D$1:$S$1,MATCH(MIN(D2012:S2012),D2012:S2012,0)))</f>
        <v/>
      </c>
      <c r="Y2012" s="8" t="n">
        <v>1376</v>
      </c>
      <c r="Z2012" s="10" t="n">
        <v>1</v>
      </c>
    </row>
    <row r="2013">
      <c r="A2013" s="7" t="inlineStr">
        <is>
          <t>MAT-32-663</t>
        </is>
      </c>
      <c r="B2013" s="4" t="inlineStr">
        <is>
          <t>Unión universal de HG 4"</t>
        </is>
      </c>
      <c r="C2013" s="7" t="inlineStr">
        <is>
          <t>unidad</t>
        </is>
      </c>
      <c r="D2013" s="8" t="n"/>
      <c r="E2013" s="8" t="n">
        <v>1835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>
        <f>IF(COUNT(D2013:S2013)=0,"",MIN(D2013:S2013))</f>
        <v/>
      </c>
      <c r="U2013" s="8">
        <f>IF(COUNT(D2013:S2013)=0,"",MEDIAN(D2013:S2013))</f>
        <v/>
      </c>
      <c r="V2013" s="8">
        <f>IF(COUNT(D2013:S2013)=0,"",MAX(D2013:S2013))</f>
        <v/>
      </c>
      <c r="W2013" s="9">
        <f>IF(OR(T2013="",T2013=0),"",(V2013-T2013)/T2013)</f>
        <v/>
      </c>
      <c r="X2013" s="7">
        <f>IF(COUNT(D2013:S2013)=0,"",INDEX($D$1:$S$1,MATCH(MIN(D2013:S2013),D2013:S2013,0)))</f>
        <v/>
      </c>
      <c r="Y2013" s="8" t="n">
        <v>1835</v>
      </c>
      <c r="Z2013" s="10" t="n">
        <v>1</v>
      </c>
    </row>
    <row r="2014">
      <c r="A2014" s="7" t="inlineStr">
        <is>
          <t>MAT-32-664</t>
        </is>
      </c>
      <c r="B2014" s="4" t="inlineStr">
        <is>
          <t>Unión universal de PPR 20 mm</t>
        </is>
      </c>
      <c r="C2014" s="7" t="inlineStr">
        <is>
          <t>unidad</t>
        </is>
      </c>
      <c r="D2014" s="8" t="n"/>
      <c r="E2014" s="8" t="n">
        <v>25.14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>
        <f>IF(COUNT(D2014:S2014)=0,"",MIN(D2014:S2014))</f>
        <v/>
      </c>
      <c r="U2014" s="8">
        <f>IF(COUNT(D2014:S2014)=0,"",MEDIAN(D2014:S2014))</f>
        <v/>
      </c>
      <c r="V2014" s="8">
        <f>IF(COUNT(D2014:S2014)=0,"",MAX(D2014:S2014))</f>
        <v/>
      </c>
      <c r="W2014" s="9">
        <f>IF(OR(T2014="",T2014=0),"",(V2014-T2014)/T2014)</f>
        <v/>
      </c>
      <c r="X2014" s="7">
        <f>IF(COUNT(D2014:S2014)=0,"",INDEX($D$1:$S$1,MATCH(MIN(D2014:S2014),D2014:S2014,0)))</f>
        <v/>
      </c>
      <c r="Y2014" s="8" t="n">
        <v>25.14</v>
      </c>
      <c r="Z2014" s="10" t="n">
        <v>1</v>
      </c>
    </row>
    <row r="2015">
      <c r="A2015" s="7" t="inlineStr">
        <is>
          <t>MAT-32-665</t>
        </is>
      </c>
      <c r="B2015" s="4" t="inlineStr">
        <is>
          <t>Unión universal de PPR 25 mm</t>
        </is>
      </c>
      <c r="C2015" s="7" t="inlineStr">
        <is>
          <t>unidad</t>
        </is>
      </c>
      <c r="D2015" s="8" t="n"/>
      <c r="E2015" s="8" t="n">
        <v>33.14</v>
      </c>
      <c r="F2015" s="8" t="n"/>
      <c r="G2015" s="8" t="n">
        <v>166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>
        <f>IF(COUNT(D2015:S2015)=0,"",MIN(D2015:S2015))</f>
        <v/>
      </c>
      <c r="U2015" s="8">
        <f>IF(COUNT(D2015:S2015)=0,"",MEDIAN(D2015:S2015))</f>
        <v/>
      </c>
      <c r="V2015" s="8">
        <f>IF(COUNT(D2015:S2015)=0,"",MAX(D2015:S2015))</f>
        <v/>
      </c>
      <c r="W2015" s="9">
        <f>IF(OR(T2015="",T2015=0),"",(V2015-T2015)/T2015)</f>
        <v/>
      </c>
      <c r="X2015" s="7">
        <f>IF(COUNT(D2015:S2015)=0,"",INDEX($D$1:$S$1,MATCH(MIN(D2015:S2015),D2015:S2015,0)))</f>
        <v/>
      </c>
      <c r="Y2015" s="8" t="n">
        <v>99.56999999999999</v>
      </c>
      <c r="Z2015" s="10" t="n">
        <v>2</v>
      </c>
    </row>
    <row r="2016">
      <c r="A2016" s="7" t="inlineStr">
        <is>
          <t>MAT-32-666</t>
        </is>
      </c>
      <c r="B2016" s="4" t="inlineStr">
        <is>
          <t>Unión universal de PPR 32 mm</t>
        </is>
      </c>
      <c r="C2016" s="7" t="inlineStr">
        <is>
          <t>unidad</t>
        </is>
      </c>
      <c r="D2016" s="8" t="n"/>
      <c r="E2016" s="8" t="n">
        <v>50.46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>
        <f>IF(COUNT(D2016:S2016)=0,"",MIN(D2016:S2016))</f>
        <v/>
      </c>
      <c r="U2016" s="8">
        <f>IF(COUNT(D2016:S2016)=0,"",MEDIAN(D2016:S2016))</f>
        <v/>
      </c>
      <c r="V2016" s="8">
        <f>IF(COUNT(D2016:S2016)=0,"",MAX(D2016:S2016))</f>
        <v/>
      </c>
      <c r="W2016" s="9">
        <f>IF(OR(T2016="",T2016=0),"",(V2016-T2016)/T2016)</f>
        <v/>
      </c>
      <c r="X2016" s="7">
        <f>IF(COUNT(D2016:S2016)=0,"",INDEX($D$1:$S$1,MATCH(MIN(D2016:S2016),D2016:S2016,0)))</f>
        <v/>
      </c>
      <c r="Y2016" s="8" t="n">
        <v>50.46</v>
      </c>
      <c r="Z2016" s="10" t="n">
        <v>1</v>
      </c>
    </row>
    <row r="2017">
      <c r="A2017" s="7" t="inlineStr">
        <is>
          <t>MAT-32-667</t>
        </is>
      </c>
      <c r="B2017" s="4" t="inlineStr">
        <is>
          <t>Unión universal de PPR 50 mm</t>
        </is>
      </c>
      <c r="C2017" s="7" t="inlineStr">
        <is>
          <t>unidad</t>
        </is>
      </c>
      <c r="D2017" s="8" t="n"/>
      <c r="E2017" s="8" t="n">
        <v>120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>
        <f>IF(COUNT(D2017:S2017)=0,"",MIN(D2017:S2017))</f>
        <v/>
      </c>
      <c r="U2017" s="8">
        <f>IF(COUNT(D2017:S2017)=0,"",MEDIAN(D2017:S2017))</f>
        <v/>
      </c>
      <c r="V2017" s="8">
        <f>IF(COUNT(D2017:S2017)=0,"",MAX(D2017:S2017))</f>
        <v/>
      </c>
      <c r="W2017" s="9">
        <f>IF(OR(T2017="",T2017=0),"",(V2017-T2017)/T2017)</f>
        <v/>
      </c>
      <c r="X2017" s="7">
        <f>IF(COUNT(D2017:S2017)=0,"",INDEX($D$1:$S$1,MATCH(MIN(D2017:S2017),D2017:S2017,0)))</f>
        <v/>
      </c>
      <c r="Y2017" s="8" t="n">
        <v>120</v>
      </c>
      <c r="Z2017" s="10" t="n">
        <v>1</v>
      </c>
    </row>
    <row r="2018">
      <c r="A2018" s="7" t="inlineStr">
        <is>
          <t>MAT-32-668</t>
        </is>
      </c>
      <c r="B2018" s="4" t="inlineStr">
        <is>
          <t>Unión universal de PVC 1 1/2"</t>
        </is>
      </c>
      <c r="C2018" s="7" t="inlineStr">
        <is>
          <t>unidad</t>
        </is>
      </c>
      <c r="D2018" s="8" t="n"/>
      <c r="E2018" s="8" t="n">
        <v>74.06</v>
      </c>
      <c r="F2018" s="8" t="n"/>
      <c r="G2018" s="8" t="n"/>
      <c r="H2018" s="8" t="n"/>
      <c r="I2018" s="8" t="n"/>
      <c r="J2018" s="8" t="n"/>
      <c r="K2018" s="8" t="n"/>
      <c r="L2018" s="8" t="n"/>
      <c r="M2018" s="8" t="n">
        <v>103</v>
      </c>
      <c r="N2018" s="8" t="n"/>
      <c r="O2018" s="8" t="n"/>
      <c r="P2018" s="8" t="n"/>
      <c r="Q2018" s="8" t="n"/>
      <c r="R2018" s="8" t="n"/>
      <c r="S2018" s="8" t="n"/>
      <c r="T2018" s="8">
        <f>IF(COUNT(D2018:S2018)=0,"",MIN(D2018:S2018))</f>
        <v/>
      </c>
      <c r="U2018" s="8">
        <f>IF(COUNT(D2018:S2018)=0,"",MEDIAN(D2018:S2018))</f>
        <v/>
      </c>
      <c r="V2018" s="8">
        <f>IF(COUNT(D2018:S2018)=0,"",MAX(D2018:S2018))</f>
        <v/>
      </c>
      <c r="W2018" s="9">
        <f>IF(OR(T2018="",T2018=0),"",(V2018-T2018)/T2018)</f>
        <v/>
      </c>
      <c r="X2018" s="7">
        <f>IF(COUNT(D2018:S2018)=0,"",INDEX($D$1:$S$1,MATCH(MIN(D2018:S2018),D2018:S2018,0)))</f>
        <v/>
      </c>
      <c r="Y2018" s="8" t="n">
        <v>104.52</v>
      </c>
      <c r="Z2018" s="10" t="n">
        <v>2</v>
      </c>
    </row>
    <row r="2019">
      <c r="A2019" s="7" t="inlineStr">
        <is>
          <t>MAT-32-669</t>
        </is>
      </c>
      <c r="B2019" s="4" t="inlineStr">
        <is>
          <t>Unión universal de PVC 1/2"</t>
        </is>
      </c>
      <c r="C2019" s="7" t="inlineStr">
        <is>
          <t>unidad</t>
        </is>
      </c>
      <c r="D2019" s="8" t="n"/>
      <c r="E2019" s="8" t="n">
        <v>17.7</v>
      </c>
      <c r="F2019" s="8" t="n"/>
      <c r="G2019" s="8" t="n">
        <v>75</v>
      </c>
      <c r="H2019" s="8" t="n"/>
      <c r="I2019" s="8" t="n"/>
      <c r="J2019" s="8" t="n"/>
      <c r="K2019" s="8" t="n"/>
      <c r="L2019" s="8" t="n"/>
      <c r="M2019" s="8" t="n">
        <v>22.87</v>
      </c>
      <c r="N2019" s="8" t="n"/>
      <c r="O2019" s="8" t="n"/>
      <c r="P2019" s="8" t="n"/>
      <c r="Q2019" s="8" t="n"/>
      <c r="R2019" s="8" t="n"/>
      <c r="S2019" s="8" t="n"/>
      <c r="T2019" s="8">
        <f>IF(COUNT(D2019:S2019)=0,"",MIN(D2019:S2019))</f>
        <v/>
      </c>
      <c r="U2019" s="8">
        <f>IF(COUNT(D2019:S2019)=0,"",MEDIAN(D2019:S2019))</f>
        <v/>
      </c>
      <c r="V2019" s="8">
        <f>IF(COUNT(D2019:S2019)=0,"",MAX(D2019:S2019))</f>
        <v/>
      </c>
      <c r="W2019" s="9">
        <f>IF(OR(T2019="",T2019=0),"",(V2019-T2019)/T2019)</f>
        <v/>
      </c>
      <c r="X2019" s="7">
        <f>IF(COUNT(D2019:S2019)=0,"",INDEX($D$1:$S$1,MATCH(MIN(D2019:S2019),D2019:S2019,0)))</f>
        <v/>
      </c>
      <c r="Y2019" s="8" t="n">
        <v>30.27</v>
      </c>
      <c r="Z2019" s="10" t="n">
        <v>3</v>
      </c>
    </row>
    <row r="2020">
      <c r="A2020" s="7" t="inlineStr">
        <is>
          <t>MAT-32-670</t>
        </is>
      </c>
      <c r="B2020" s="4" t="inlineStr">
        <is>
          <t>Unión universal de PVC 1"</t>
        </is>
      </c>
      <c r="C2020" s="7" t="inlineStr">
        <is>
          <t>unidad</t>
        </is>
      </c>
      <c r="D2020" s="8" t="n"/>
      <c r="E2020" s="8" t="n">
        <v>37</v>
      </c>
      <c r="F2020" s="8" t="n"/>
      <c r="G2020" s="8" t="n">
        <v>135</v>
      </c>
      <c r="H2020" s="8" t="n"/>
      <c r="I2020" s="8" t="n"/>
      <c r="J2020" s="8" t="n"/>
      <c r="K2020" s="8" t="n"/>
      <c r="L2020" s="8" t="n"/>
      <c r="M2020" s="8" t="n">
        <v>41.92</v>
      </c>
      <c r="N2020" s="8" t="n"/>
      <c r="O2020" s="8" t="n"/>
      <c r="P2020" s="8" t="n"/>
      <c r="Q2020" s="8" t="n"/>
      <c r="R2020" s="8" t="n"/>
      <c r="S2020" s="8" t="n"/>
      <c r="T2020" s="8">
        <f>IF(COUNT(D2020:S2020)=0,"",MIN(D2020:S2020))</f>
        <v/>
      </c>
      <c r="U2020" s="8">
        <f>IF(COUNT(D2020:S2020)=0,"",MEDIAN(D2020:S2020))</f>
        <v/>
      </c>
      <c r="V2020" s="8">
        <f>IF(COUNT(D2020:S2020)=0,"",MAX(D2020:S2020))</f>
        <v/>
      </c>
      <c r="W2020" s="9">
        <f>IF(OR(T2020="",T2020=0),"",(V2020-T2020)/T2020)</f>
        <v/>
      </c>
      <c r="X2020" s="7">
        <f>IF(COUNT(D2020:S2020)=0,"",INDEX($D$1:$S$1,MATCH(MIN(D2020:S2020),D2020:S2020,0)))</f>
        <v/>
      </c>
      <c r="Y2020" s="8" t="n">
        <v>49.47</v>
      </c>
      <c r="Z2020" s="10" t="n">
        <v>3</v>
      </c>
    </row>
    <row r="2021">
      <c r="A2021" s="7" t="inlineStr">
        <is>
          <t>MAT-32-671</t>
        </is>
      </c>
      <c r="B2021" s="4" t="inlineStr">
        <is>
          <t>Unión universal de PVC 2"</t>
        </is>
      </c>
      <c r="C2021" s="7" t="inlineStr">
        <is>
          <t>unidad</t>
        </is>
      </c>
      <c r="D2021" s="8" t="n"/>
      <c r="E2021" s="8" t="n">
        <v>125.07</v>
      </c>
      <c r="F2021" s="8" t="n"/>
      <c r="G2021" s="8" t="n">
        <v>232</v>
      </c>
      <c r="H2021" s="8" t="n"/>
      <c r="I2021" s="8" t="n"/>
      <c r="J2021" s="8" t="n"/>
      <c r="K2021" s="8" t="n"/>
      <c r="L2021" s="8" t="n"/>
      <c r="M2021" s="8" t="n">
        <v>137</v>
      </c>
      <c r="N2021" s="8" t="n"/>
      <c r="O2021" s="8" t="n"/>
      <c r="P2021" s="8" t="n"/>
      <c r="Q2021" s="8" t="n"/>
      <c r="R2021" s="8" t="n"/>
      <c r="S2021" s="8" t="n"/>
      <c r="T2021" s="8">
        <f>IF(COUNT(D2021:S2021)=0,"",MIN(D2021:S2021))</f>
        <v/>
      </c>
      <c r="U2021" s="8">
        <f>IF(COUNT(D2021:S2021)=0,"",MEDIAN(D2021:S2021))</f>
        <v/>
      </c>
      <c r="V2021" s="8">
        <f>IF(COUNT(D2021:S2021)=0,"",MAX(D2021:S2021))</f>
        <v/>
      </c>
      <c r="W2021" s="9">
        <f>IF(OR(T2021="",T2021=0),"",(V2021-T2021)/T2021)</f>
        <v/>
      </c>
      <c r="X2021" s="7">
        <f>IF(COUNT(D2021:S2021)=0,"",INDEX($D$1:$S$1,MATCH(MIN(D2021:S2021),D2021:S2021,0)))</f>
        <v/>
      </c>
      <c r="Y2021" s="8" t="n">
        <v>161.66</v>
      </c>
      <c r="Z2021" s="10" t="n">
        <v>3</v>
      </c>
    </row>
    <row r="2022">
      <c r="A2022" s="7" t="inlineStr">
        <is>
          <t>MAT-32-672</t>
        </is>
      </c>
      <c r="B2022" s="4" t="inlineStr">
        <is>
          <t>Unión universal de PVC 3/4"</t>
        </is>
      </c>
      <c r="C2022" s="7" t="inlineStr">
        <is>
          <t>unidad</t>
        </is>
      </c>
      <c r="D2022" s="8" t="n"/>
      <c r="E2022" s="8" t="n">
        <v>23.2</v>
      </c>
      <c r="F2022" s="8" t="n"/>
      <c r="G2022" s="8" t="n">
        <v>95</v>
      </c>
      <c r="H2022" s="8" t="n"/>
      <c r="I2022" s="8" t="n"/>
      <c r="J2022" s="8" t="n"/>
      <c r="K2022" s="8" t="n"/>
      <c r="L2022" s="8" t="n"/>
      <c r="M2022" s="8" t="n">
        <v>28.17</v>
      </c>
      <c r="N2022" s="8" t="n"/>
      <c r="O2022" s="8" t="n"/>
      <c r="P2022" s="8" t="n"/>
      <c r="Q2022" s="8" t="n"/>
      <c r="R2022" s="8" t="n"/>
      <c r="S2022" s="8" t="n"/>
      <c r="T2022" s="8">
        <f>IF(COUNT(D2022:S2022)=0,"",MIN(D2022:S2022))</f>
        <v/>
      </c>
      <c r="U2022" s="8">
        <f>IF(COUNT(D2022:S2022)=0,"",MEDIAN(D2022:S2022))</f>
        <v/>
      </c>
      <c r="V2022" s="8">
        <f>IF(COUNT(D2022:S2022)=0,"",MAX(D2022:S2022))</f>
        <v/>
      </c>
      <c r="W2022" s="9">
        <f>IF(OR(T2022="",T2022=0),"",(V2022-T2022)/T2022)</f>
        <v/>
      </c>
      <c r="X2022" s="7">
        <f>IF(COUNT(D2022:S2022)=0,"",INDEX($D$1:$S$1,MATCH(MIN(D2022:S2022),D2022:S2022,0)))</f>
        <v/>
      </c>
      <c r="Y2022" s="8" t="n">
        <v>33.24</v>
      </c>
      <c r="Z2022" s="10" t="n">
        <v>3</v>
      </c>
    </row>
    <row r="2023">
      <c r="A2023" s="7" t="inlineStr">
        <is>
          <t>MAT-32-673</t>
        </is>
      </c>
      <c r="B2023" s="4" t="inlineStr">
        <is>
          <t>Unión universal de PVC 3"</t>
        </is>
      </c>
      <c r="C2023" s="7" t="inlineStr">
        <is>
          <t>unidad</t>
        </is>
      </c>
      <c r="D2023" s="8" t="n"/>
      <c r="E2023" s="8" t="n">
        <v>645</v>
      </c>
      <c r="F2023" s="8" t="n"/>
      <c r="G2023" s="8" t="n"/>
      <c r="H2023" s="8" t="n"/>
      <c r="I2023" s="8" t="n"/>
      <c r="J2023" s="8" t="n"/>
      <c r="K2023" s="8" t="n"/>
      <c r="L2023" s="8" t="n"/>
      <c r="M2023" s="8" t="n">
        <v>450</v>
      </c>
      <c r="N2023" s="8" t="n"/>
      <c r="O2023" s="8" t="n"/>
      <c r="P2023" s="8" t="n"/>
      <c r="Q2023" s="8" t="n"/>
      <c r="R2023" s="8" t="n"/>
      <c r="S2023" s="8" t="n"/>
      <c r="T2023" s="8">
        <f>IF(COUNT(D2023:S2023)=0,"",MIN(D2023:S2023))</f>
        <v/>
      </c>
      <c r="U2023" s="8">
        <f>IF(COUNT(D2023:S2023)=0,"",MEDIAN(D2023:S2023))</f>
        <v/>
      </c>
      <c r="V2023" s="8">
        <f>IF(COUNT(D2023:S2023)=0,"",MAX(D2023:S2023))</f>
        <v/>
      </c>
      <c r="W2023" s="9">
        <f>IF(OR(T2023="",T2023=0),"",(V2023-T2023)/T2023)</f>
        <v/>
      </c>
      <c r="X2023" s="7">
        <f>IF(COUNT(D2023:S2023)=0,"",INDEX($D$1:$S$1,MATCH(MIN(D2023:S2023),D2023:S2023,0)))</f>
        <v/>
      </c>
      <c r="Y2023" s="8" t="n">
        <v>588</v>
      </c>
      <c r="Z2023" s="10" t="n">
        <v>2</v>
      </c>
    </row>
    <row r="2024">
      <c r="A2024" s="7" t="inlineStr">
        <is>
          <t>MAT-32-674</t>
        </is>
      </c>
      <c r="B2024" s="4" t="inlineStr">
        <is>
          <t>Unión universal de PVC 4"</t>
        </is>
      </c>
      <c r="C2024" s="7" t="inlineStr">
        <is>
          <t>unidad</t>
        </is>
      </c>
      <c r="D2024" s="8" t="n"/>
      <c r="E2024" s="8" t="n">
        <v>895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>
        <f>IF(COUNT(D2024:S2024)=0,"",MIN(D2024:S2024))</f>
        <v/>
      </c>
      <c r="U2024" s="8">
        <f>IF(COUNT(D2024:S2024)=0,"",MEDIAN(D2024:S2024))</f>
        <v/>
      </c>
      <c r="V2024" s="8">
        <f>IF(COUNT(D2024:S2024)=0,"",MAX(D2024:S2024))</f>
        <v/>
      </c>
      <c r="W2024" s="9">
        <f>IF(OR(T2024="",T2024=0),"",(V2024-T2024)/T2024)</f>
        <v/>
      </c>
      <c r="X2024" s="7">
        <f>IF(COUNT(D2024:S2024)=0,"",INDEX($D$1:$S$1,MATCH(MIN(D2024:S2024),D2024:S2024,0)))</f>
        <v/>
      </c>
      <c r="Y2024" s="8" t="n">
        <v>1256</v>
      </c>
      <c r="Z2024" s="10" t="n">
        <v>1</v>
      </c>
    </row>
    <row r="2025">
      <c r="A2025" s="7" t="inlineStr">
        <is>
          <t>MAT-32-675</t>
        </is>
      </c>
      <c r="B2025" s="4" t="inlineStr">
        <is>
          <t>Unión universal de PVC SCH-80 1"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8" t="n">
        <v>83.29000000000001</v>
      </c>
      <c r="N2025" s="8" t="n"/>
      <c r="O2025" s="8" t="n"/>
      <c r="P2025" s="8" t="n"/>
      <c r="Q2025" s="8" t="n"/>
      <c r="R2025" s="8" t="n"/>
      <c r="S2025" s="8" t="n"/>
      <c r="T2025" s="8">
        <f>IF(COUNT(D2025:S2025)=0,"",MIN(D2025:S2025))</f>
        <v/>
      </c>
      <c r="U2025" s="8">
        <f>IF(COUNT(D2025:S2025)=0,"",MEDIAN(D2025:S2025))</f>
        <v/>
      </c>
      <c r="V2025" s="8">
        <f>IF(COUNT(D2025:S2025)=0,"",MAX(D2025:S2025))</f>
        <v/>
      </c>
      <c r="W2025" s="9">
        <f>IF(OR(T2025="",T2025=0),"",(V2025-T2025)/T2025)</f>
        <v/>
      </c>
      <c r="X2025" s="7">
        <f>IF(COUNT(D2025:S2025)=0,"",INDEX($D$1:$S$1,MATCH(MIN(D2025:S2025),D2025:S2025,0)))</f>
        <v/>
      </c>
      <c r="Y2025" s="8" t="n">
        <v>98.28</v>
      </c>
      <c r="Z2025" s="10" t="n">
        <v>1</v>
      </c>
    </row>
    <row r="2026">
      <c r="A2026" s="7" t="inlineStr">
        <is>
          <t>MAT-32-676</t>
        </is>
      </c>
      <c r="B2026" s="4" t="inlineStr">
        <is>
          <t>Yee de PVC drenaje 1 1/2"</t>
        </is>
      </c>
      <c r="C2026" s="7" t="inlineStr">
        <is>
          <t>unidad</t>
        </is>
      </c>
      <c r="D2026" s="8" t="n"/>
      <c r="E2026" s="8" t="n">
        <v>39.9</v>
      </c>
      <c r="F2026" s="8" t="n"/>
      <c r="G2026" s="8" t="n">
        <v>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>
        <f>IF(COUNT(D2026:S2026)=0,"",MIN(D2026:S2026))</f>
        <v/>
      </c>
      <c r="U2026" s="8">
        <f>IF(COUNT(D2026:S2026)=0,"",MEDIAN(D2026:S2026))</f>
        <v/>
      </c>
      <c r="V2026" s="8">
        <f>IF(COUNT(D2026:S2026)=0,"",MAX(D2026:S2026))</f>
        <v/>
      </c>
      <c r="W2026" s="9">
        <f>IF(OR(T2026="",T2026=0),"",(V2026-T2026)/T2026)</f>
        <v/>
      </c>
      <c r="X2026" s="7">
        <f>IF(COUNT(D2026:S2026)=0,"",INDEX($D$1:$S$1,MATCH(MIN(D2026:S2026),D2026:S2026,0)))</f>
        <v/>
      </c>
      <c r="Y2026" s="8" t="n">
        <v>43.45</v>
      </c>
      <c r="Z2026" s="10" t="n">
        <v>2</v>
      </c>
    </row>
    <row r="2027">
      <c r="A2027" s="7" t="inlineStr">
        <is>
          <t>MAT-32-677</t>
        </is>
      </c>
      <c r="B2027" s="4" t="inlineStr">
        <is>
          <t>Yee de PVC drenaje 2"</t>
        </is>
      </c>
      <c r="C2027" s="7" t="inlineStr">
        <is>
          <t>unidad</t>
        </is>
      </c>
      <c r="D2027" s="8" t="n"/>
      <c r="E2027" s="8" t="n">
        <v>39.22</v>
      </c>
      <c r="F2027" s="8" t="n"/>
      <c r="G2027" s="8" t="n">
        <v>145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>
        <f>IF(COUNT(D2027:S2027)=0,"",MIN(D2027:S2027))</f>
        <v/>
      </c>
      <c r="U2027" s="8">
        <f>IF(COUNT(D2027:S2027)=0,"",MEDIAN(D2027:S2027))</f>
        <v/>
      </c>
      <c r="V2027" s="8">
        <f>IF(COUNT(D2027:S2027)=0,"",MAX(D2027:S2027))</f>
        <v/>
      </c>
      <c r="W2027" s="9">
        <f>IF(OR(T2027="",T2027=0),"",(V2027-T2027)/T2027)</f>
        <v/>
      </c>
      <c r="X2027" s="7">
        <f>IF(COUNT(D2027:S2027)=0,"",INDEX($D$1:$S$1,MATCH(MIN(D2027:S2027),D2027:S2027,0)))</f>
        <v/>
      </c>
      <c r="Y2027" s="8" t="n">
        <v>46.1</v>
      </c>
      <c r="Z2027" s="10" t="n">
        <v>2</v>
      </c>
    </row>
    <row r="2028">
      <c r="A2028" s="7" t="inlineStr">
        <is>
          <t>MAT-32-678</t>
        </is>
      </c>
      <c r="B2028" s="4" t="inlineStr">
        <is>
          <t>Yee de PVC drenaje 3"</t>
        </is>
      </c>
      <c r="C2028" s="7" t="inlineStr">
        <is>
          <t>unidad</t>
        </is>
      </c>
      <c r="D2028" s="8" t="n"/>
      <c r="E2028" s="8" t="n">
        <v>76.79000000000001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>
        <f>IF(COUNT(D2028:S2028)=0,"",MIN(D2028:S2028))</f>
        <v/>
      </c>
      <c r="U2028" s="8">
        <f>IF(COUNT(D2028:S2028)=0,"",MEDIAN(D2028:S2028))</f>
        <v/>
      </c>
      <c r="V2028" s="8">
        <f>IF(COUNT(D2028:S2028)=0,"",MAX(D2028:S2028))</f>
        <v/>
      </c>
      <c r="W2028" s="9">
        <f>IF(OR(T2028="",T2028=0),"",(V2028-T2028)/T2028)</f>
        <v/>
      </c>
      <c r="X2028" s="7">
        <f>IF(COUNT(D2028:S2028)=0,"",INDEX($D$1:$S$1,MATCH(MIN(D2028:S2028),D2028:S2028,0)))</f>
        <v/>
      </c>
      <c r="Y2028" s="8" t="n">
        <v>113.54</v>
      </c>
      <c r="Z2028" s="10" t="n">
        <v>1</v>
      </c>
    </row>
    <row r="2029">
      <c r="A2029" s="7" t="inlineStr">
        <is>
          <t>MAT-32-679</t>
        </is>
      </c>
      <c r="B2029" s="4" t="inlineStr">
        <is>
          <t>Yee de PVC drenaje 3" x 2"</t>
        </is>
      </c>
      <c r="C2029" s="7" t="inlineStr">
        <is>
          <t>unidad</t>
        </is>
      </c>
      <c r="D2029" s="8" t="n"/>
      <c r="E2029" s="8" t="n">
        <v>89.56999999999999</v>
      </c>
      <c r="F2029" s="8" t="n"/>
      <c r="G2029" s="8" t="n">
        <v>205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>
        <f>IF(COUNT(D2029:S2029)=0,"",MIN(D2029:S2029))</f>
        <v/>
      </c>
      <c r="U2029" s="8">
        <f>IF(COUNT(D2029:S2029)=0,"",MEDIAN(D2029:S2029))</f>
        <v/>
      </c>
      <c r="V2029" s="8">
        <f>IF(COUNT(D2029:S2029)=0,"",MAX(D2029:S2029))</f>
        <v/>
      </c>
      <c r="W2029" s="9">
        <f>IF(OR(T2029="",T2029=0),"",(V2029-T2029)/T2029)</f>
        <v/>
      </c>
      <c r="X2029" s="7">
        <f>IF(COUNT(D2029:S2029)=0,"",INDEX($D$1:$S$1,MATCH(MIN(D2029:S2029),D2029:S2029,0)))</f>
        <v/>
      </c>
      <c r="Y2029" s="8" t="n">
        <v>147.29</v>
      </c>
      <c r="Z2029" s="10" t="n">
        <v>2</v>
      </c>
    </row>
    <row r="2030">
      <c r="A2030" s="7" t="inlineStr">
        <is>
          <t>MAT-32-680</t>
        </is>
      </c>
      <c r="B2030" s="4" t="inlineStr">
        <is>
          <t>Yee de PVC drenaje 4"</t>
        </is>
      </c>
      <c r="C2030" s="7" t="inlineStr">
        <is>
          <t>unidad</t>
        </is>
      </c>
      <c r="D2030" s="8" t="n"/>
      <c r="E2030" s="8" t="n">
        <v>160</v>
      </c>
      <c r="F2030" s="8" t="n"/>
      <c r="G2030" s="8" t="n">
        <v>425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>
        <f>IF(COUNT(D2030:S2030)=0,"",MIN(D2030:S2030))</f>
        <v/>
      </c>
      <c r="U2030" s="8">
        <f>IF(COUNT(D2030:S2030)=0,"",MEDIAN(D2030:S2030))</f>
        <v/>
      </c>
      <c r="V2030" s="8">
        <f>IF(COUNT(D2030:S2030)=0,"",MAX(D2030:S2030))</f>
        <v/>
      </c>
      <c r="W2030" s="9">
        <f>IF(OR(T2030="",T2030=0),"",(V2030-T2030)/T2030)</f>
        <v/>
      </c>
      <c r="X2030" s="7">
        <f>IF(COUNT(D2030:S2030)=0,"",INDEX($D$1:$S$1,MATCH(MIN(D2030:S2030),D2030:S2030,0)))</f>
        <v/>
      </c>
      <c r="Y2030" s="8" t="n">
        <v>224.26</v>
      </c>
      <c r="Z2030" s="10" t="n">
        <v>2</v>
      </c>
    </row>
    <row r="2031">
      <c r="A2031" s="7" t="inlineStr">
        <is>
          <t>MAT-32-681</t>
        </is>
      </c>
      <c r="B2031" s="4" t="inlineStr">
        <is>
          <t>Yee de PVC drenaje 4" x 2"</t>
        </is>
      </c>
      <c r="C2031" s="7" t="inlineStr">
        <is>
          <t>unidad</t>
        </is>
      </c>
      <c r="D2031" s="8" t="n"/>
      <c r="E2031" s="8" t="n">
        <v>97</v>
      </c>
      <c r="F2031" s="8" t="n"/>
      <c r="G2031" s="8" t="n">
        <v>265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>
        <f>IF(COUNT(D2031:S2031)=0,"",MIN(D2031:S2031))</f>
        <v/>
      </c>
      <c r="U2031" s="8">
        <f>IF(COUNT(D2031:S2031)=0,"",MEDIAN(D2031:S2031))</f>
        <v/>
      </c>
      <c r="V2031" s="8">
        <f>IF(COUNT(D2031:S2031)=0,"",MAX(D2031:S2031))</f>
        <v/>
      </c>
      <c r="W2031" s="9">
        <f>IF(OR(T2031="",T2031=0),"",(V2031-T2031)/T2031)</f>
        <v/>
      </c>
      <c r="X2031" s="7">
        <f>IF(COUNT(D2031:S2031)=0,"",INDEX($D$1:$S$1,MATCH(MIN(D2031:S2031),D2031:S2031,0)))</f>
        <v/>
      </c>
      <c r="Y2031" s="8" t="n">
        <v>120.22</v>
      </c>
      <c r="Z2031" s="10" t="n">
        <v>2</v>
      </c>
    </row>
    <row r="2032">
      <c r="A2032" s="7" t="inlineStr">
        <is>
          <t>MAT-32-682</t>
        </is>
      </c>
      <c r="B2032" s="4" t="inlineStr">
        <is>
          <t>Yee de PVC drenaje 4" x 3"</t>
        </is>
      </c>
      <c r="C2032" s="7" t="inlineStr">
        <is>
          <t>unidad</t>
        </is>
      </c>
      <c r="D2032" s="8" t="n"/>
      <c r="E2032" s="8" t="n">
        <v>191.92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>
        <f>IF(COUNT(D2032:S2032)=0,"",MIN(D2032:S2032))</f>
        <v/>
      </c>
      <c r="U2032" s="8">
        <f>IF(COUNT(D2032:S2032)=0,"",MEDIAN(D2032:S2032))</f>
        <v/>
      </c>
      <c r="V2032" s="8">
        <f>IF(COUNT(D2032:S2032)=0,"",MAX(D2032:S2032))</f>
        <v/>
      </c>
      <c r="W2032" s="9">
        <f>IF(OR(T2032="",T2032=0),"",(V2032-T2032)/T2032)</f>
        <v/>
      </c>
      <c r="X2032" s="7">
        <f>IF(COUNT(D2032:S2032)=0,"",INDEX($D$1:$S$1,MATCH(MIN(D2032:S2032),D2032:S2032,0)))</f>
        <v/>
      </c>
      <c r="Y2032" s="8" t="n">
        <v>191.92</v>
      </c>
      <c r="Z2032" s="10" t="n">
        <v>1</v>
      </c>
    </row>
    <row r="2033">
      <c r="A2033" s="7" t="inlineStr">
        <is>
          <t>MAT-32-683</t>
        </is>
      </c>
      <c r="B2033" s="4" t="inlineStr">
        <is>
          <t>Yee de PVC drenaje 6"</t>
        </is>
      </c>
      <c r="C2033" s="7" t="inlineStr">
        <is>
          <t>unidad</t>
        </is>
      </c>
      <c r="D2033" s="8" t="n"/>
      <c r="E2033" s="8" t="n">
        <v>875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>
        <f>IF(COUNT(D2033:S2033)=0,"",MIN(D2033:S2033))</f>
        <v/>
      </c>
      <c r="U2033" s="8">
        <f>IF(COUNT(D2033:S2033)=0,"",MEDIAN(D2033:S2033))</f>
        <v/>
      </c>
      <c r="V2033" s="8">
        <f>IF(COUNT(D2033:S2033)=0,"",MAX(D2033:S2033))</f>
        <v/>
      </c>
      <c r="W2033" s="9">
        <f>IF(OR(T2033="",T2033=0),"",(V2033-T2033)/T2033)</f>
        <v/>
      </c>
      <c r="X2033" s="7">
        <f>IF(COUNT(D2033:S2033)=0,"",INDEX($D$1:$S$1,MATCH(MIN(D2033:S2033),D2033:S2033,0)))</f>
        <v/>
      </c>
      <c r="Y2033" s="8" t="n">
        <v>923.5</v>
      </c>
      <c r="Z2033" s="10" t="n">
        <v>1</v>
      </c>
    </row>
    <row r="2034">
      <c r="A2034" s="7" t="inlineStr">
        <is>
          <t>MAT-32-684</t>
        </is>
      </c>
      <c r="B2034" s="4" t="inlineStr">
        <is>
          <t>Yee de PVC drenaje 6" x 4"</t>
        </is>
      </c>
      <c r="C2034" s="7" t="inlineStr">
        <is>
          <t>unidad</t>
        </is>
      </c>
      <c r="D2034" s="8" t="n"/>
      <c r="E2034" s="8" t="n">
        <v>855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>
        <f>IF(COUNT(D2034:S2034)=0,"",MIN(D2034:S2034))</f>
        <v/>
      </c>
      <c r="U2034" s="8">
        <f>IF(COUNT(D2034:S2034)=0,"",MEDIAN(D2034:S2034))</f>
        <v/>
      </c>
      <c r="V2034" s="8">
        <f>IF(COUNT(D2034:S2034)=0,"",MAX(D2034:S2034))</f>
        <v/>
      </c>
      <c r="W2034" s="9">
        <f>IF(OR(T2034="",T2034=0),"",(V2034-T2034)/T2034)</f>
        <v/>
      </c>
      <c r="X2034" s="7">
        <f>IF(COUNT(D2034:S2034)=0,"",INDEX($D$1:$S$1,MATCH(MIN(D2034:S2034),D2034:S2034,0)))</f>
        <v/>
      </c>
      <c r="Y2034" s="8" t="n">
        <v>855</v>
      </c>
      <c r="Z2034" s="10" t="n">
        <v>1</v>
      </c>
    </row>
    <row r="2035">
      <c r="A2035" s="7" t="inlineStr">
        <is>
          <t>MAT-32-685</t>
        </is>
      </c>
      <c r="B2035" s="4" t="inlineStr">
        <is>
          <t>Yee de PVC drenaje 8" x 4"</t>
        </is>
      </c>
      <c r="C2035" s="7" t="inlineStr">
        <is>
          <t>unidad</t>
        </is>
      </c>
      <c r="D2035" s="8" t="n"/>
      <c r="E2035" s="8" t="n">
        <v>5151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>
        <f>IF(COUNT(D2035:S2035)=0,"",MIN(D2035:S2035))</f>
        <v/>
      </c>
      <c r="U2035" s="8">
        <f>IF(COUNT(D2035:S2035)=0,"",MEDIAN(D2035:S2035))</f>
        <v/>
      </c>
      <c r="V2035" s="8">
        <f>IF(COUNT(D2035:S2035)=0,"",MAX(D2035:S2035))</f>
        <v/>
      </c>
      <c r="W2035" s="9">
        <f>IF(OR(T2035="",T2035=0),"",(V2035-T2035)/T2035)</f>
        <v/>
      </c>
      <c r="X2035" s="7">
        <f>IF(COUNT(D2035:S2035)=0,"",INDEX($D$1:$S$1,MATCH(MIN(D2035:S2035),D2035:S2035,0)))</f>
        <v/>
      </c>
      <c r="Y2035" s="8" t="n">
        <v>5151</v>
      </c>
      <c r="Z2035" s="10" t="n">
        <v>1</v>
      </c>
    </row>
    <row r="2036">
      <c r="A2036" s="7" t="inlineStr">
        <is>
          <t>MAT-32-686</t>
        </is>
      </c>
      <c r="B2036" s="4" t="inlineStr">
        <is>
          <t>Yee de PVC presión 3" x 2"</t>
        </is>
      </c>
      <c r="C2036" s="7" t="inlineStr">
        <is>
          <t>unidad</t>
        </is>
      </c>
      <c r="D2036" s="8" t="n"/>
      <c r="E2036" s="8" t="n">
        <v>546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>
        <f>IF(COUNT(D2036:S2036)=0,"",MIN(D2036:S2036))</f>
        <v/>
      </c>
      <c r="U2036" s="8">
        <f>IF(COUNT(D2036:S2036)=0,"",MEDIAN(D2036:S2036))</f>
        <v/>
      </c>
      <c r="V2036" s="8">
        <f>IF(COUNT(D2036:S2036)=0,"",MAX(D2036:S2036))</f>
        <v/>
      </c>
      <c r="W2036" s="9">
        <f>IF(OR(T2036="",T2036=0),"",(V2036-T2036)/T2036)</f>
        <v/>
      </c>
      <c r="X2036" s="7">
        <f>IF(COUNT(D2036:S2036)=0,"",INDEX($D$1:$S$1,MATCH(MIN(D2036:S2036),D2036:S2036,0)))</f>
        <v/>
      </c>
      <c r="Y2036" s="8" t="n">
        <v>546</v>
      </c>
      <c r="Z2036" s="10" t="n">
        <v>1</v>
      </c>
    </row>
    <row r="2037">
      <c r="A2037" s="7" t="inlineStr">
        <is>
          <t>MAT-32-687</t>
        </is>
      </c>
      <c r="B2037" s="4" t="inlineStr">
        <is>
          <t>Yee de PVC presión 4" x 2"</t>
        </is>
      </c>
      <c r="C2037" s="7" t="inlineStr">
        <is>
          <t>unidad</t>
        </is>
      </c>
      <c r="D2037" s="8" t="n"/>
      <c r="E2037" s="8" t="n">
        <v>429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>
        <f>IF(COUNT(D2037:S2037)=0,"",MIN(D2037:S2037))</f>
        <v/>
      </c>
      <c r="U2037" s="8">
        <f>IF(COUNT(D2037:S2037)=0,"",MEDIAN(D2037:S2037))</f>
        <v/>
      </c>
      <c r="V2037" s="8">
        <f>IF(COUNT(D2037:S2037)=0,"",MAX(D2037:S2037))</f>
        <v/>
      </c>
      <c r="W2037" s="9">
        <f>IF(OR(T2037="",T2037=0),"",(V2037-T2037)/T2037)</f>
        <v/>
      </c>
      <c r="X2037" s="7">
        <f>IF(COUNT(D2037:S2037)=0,"",INDEX($D$1:$S$1,MATCH(MIN(D2037:S2037),D2037:S2037,0)))</f>
        <v/>
      </c>
      <c r="Y2037" s="8" t="n">
        <v>429</v>
      </c>
      <c r="Z2037" s="10" t="n">
        <v>1</v>
      </c>
    </row>
    <row r="2038">
      <c r="A2038" s="7" t="inlineStr">
        <is>
          <t>MAT-32-688</t>
        </is>
      </c>
      <c r="B2038" s="4" t="inlineStr">
        <is>
          <t>Llave de paso angular de latón 1/2"</t>
        </is>
      </c>
      <c r="C2038" s="7" t="inlineStr">
        <is>
          <t>unidad</t>
        </is>
      </c>
      <c r="D2038" s="8" t="n"/>
      <c r="E2038" s="8" t="n"/>
      <c r="F2038" s="8" t="n"/>
      <c r="G2038" s="8" t="n"/>
      <c r="H2038" s="8" t="n"/>
      <c r="I2038" s="8" t="n">
        <v>355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>
        <f>IF(COUNT(D2038:S2038)=0,"",MIN(D2038:S2038))</f>
        <v/>
      </c>
      <c r="U2038" s="8">
        <f>IF(COUNT(D2038:S2038)=0,"",MEDIAN(D2038:S2038))</f>
        <v/>
      </c>
      <c r="V2038" s="8">
        <f>IF(COUNT(D2038:S2038)=0,"",MAX(D2038:S2038))</f>
        <v/>
      </c>
      <c r="W2038" s="9">
        <f>IF(OR(T2038="",T2038=0),"",(V2038-T2038)/T2038)</f>
        <v/>
      </c>
      <c r="X2038" s="7">
        <f>IF(COUNT(D2038:S2038)=0,"",INDEX($D$1:$S$1,MATCH(MIN(D2038:S2038),D2038:S2038,0)))</f>
        <v/>
      </c>
      <c r="Y2038" s="8" t="n">
        <v>375</v>
      </c>
      <c r="Z2038" s="10" t="n">
        <v>1</v>
      </c>
    </row>
    <row r="2039">
      <c r="A2039" s="7" t="inlineStr">
        <is>
          <t>MAT-32-689</t>
        </is>
      </c>
      <c r="B2039" s="4" t="inlineStr">
        <is>
          <t>Llave de paso angular de metal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271</v>
      </c>
      <c r="H2039" s="8" t="n"/>
      <c r="I2039" s="8" t="n">
        <v>140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>
        <f>IF(COUNT(D2039:S2039)=0,"",MIN(D2039:S2039))</f>
        <v/>
      </c>
      <c r="U2039" s="8">
        <f>IF(COUNT(D2039:S2039)=0,"",MEDIAN(D2039:S2039))</f>
        <v/>
      </c>
      <c r="V2039" s="8">
        <f>IF(COUNT(D2039:S2039)=0,"",MAX(D2039:S2039))</f>
        <v/>
      </c>
      <c r="W2039" s="9">
        <f>IF(OR(T2039="",T2039=0),"",(V2039-T2039)/T2039)</f>
        <v/>
      </c>
      <c r="X2039" s="7">
        <f>IF(COUNT(D2039:S2039)=0,"",INDEX($D$1:$S$1,MATCH(MIN(D2039:S2039),D2039:S2039,0)))</f>
        <v/>
      </c>
      <c r="Y2039" s="8" t="n">
        <v>271</v>
      </c>
      <c r="Z2039" s="10" t="n">
        <v>2</v>
      </c>
    </row>
    <row r="2040">
      <c r="A2040" s="7" t="inlineStr">
        <is>
          <t>MAT-32-690</t>
        </is>
      </c>
      <c r="B2040" s="4" t="inlineStr">
        <is>
          <t>Llave de paso angular de metal 3/8"</t>
        </is>
      </c>
      <c r="C2040" s="7" t="inlineStr">
        <is>
          <t>unidad</t>
        </is>
      </c>
      <c r="D2040" s="8" t="n"/>
      <c r="E2040" s="8" t="n"/>
      <c r="F2040" s="8" t="n"/>
      <c r="G2040" s="8" t="n">
        <v>257</v>
      </c>
      <c r="H2040" s="8" t="n"/>
      <c r="I2040" s="8" t="n">
        <v>285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>
        <f>IF(COUNT(D2040:S2040)=0,"",MIN(D2040:S2040))</f>
        <v/>
      </c>
      <c r="U2040" s="8">
        <f>IF(COUNT(D2040:S2040)=0,"",MEDIAN(D2040:S2040))</f>
        <v/>
      </c>
      <c r="V2040" s="8">
        <f>IF(COUNT(D2040:S2040)=0,"",MAX(D2040:S2040))</f>
        <v/>
      </c>
      <c r="W2040" s="9">
        <f>IF(OR(T2040="",T2040=0),"",(V2040-T2040)/T2040)</f>
        <v/>
      </c>
      <c r="X2040" s="7">
        <f>IF(COUNT(D2040:S2040)=0,"",INDEX($D$1:$S$1,MATCH(MIN(D2040:S2040),D2040:S2040,0)))</f>
        <v/>
      </c>
      <c r="Y2040" s="8" t="n">
        <v>285</v>
      </c>
      <c r="Z2040" s="10" t="n">
        <v>2</v>
      </c>
    </row>
    <row r="2041">
      <c r="A2041" s="7" t="inlineStr">
        <is>
          <t>MAT-32-691</t>
        </is>
      </c>
      <c r="B2041" s="4" t="inlineStr">
        <is>
          <t>Llave de paso bola de PPR 1/2"</t>
        </is>
      </c>
      <c r="C2041" s="7" t="inlineStr">
        <is>
          <t>unidad</t>
        </is>
      </c>
      <c r="D2041" s="8" t="n"/>
      <c r="E2041" s="8" t="n">
        <v>205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>
        <f>IF(COUNT(D2041:S2041)=0,"",MIN(D2041:S2041))</f>
        <v/>
      </c>
      <c r="U2041" s="8">
        <f>IF(COUNT(D2041:S2041)=0,"",MEDIAN(D2041:S2041))</f>
        <v/>
      </c>
      <c r="V2041" s="8">
        <f>IF(COUNT(D2041:S2041)=0,"",MAX(D2041:S2041))</f>
        <v/>
      </c>
      <c r="W2041" s="9">
        <f>IF(OR(T2041="",T2041=0),"",(V2041-T2041)/T2041)</f>
        <v/>
      </c>
      <c r="X2041" s="7">
        <f>IF(COUNT(D2041:S2041)=0,"",INDEX($D$1:$S$1,MATCH(MIN(D2041:S2041),D2041:S2041,0)))</f>
        <v/>
      </c>
      <c r="Y2041" s="8" t="n">
        <v>205</v>
      </c>
      <c r="Z2041" s="10" t="n">
        <v>1</v>
      </c>
    </row>
    <row r="2042">
      <c r="A2042" s="7" t="inlineStr">
        <is>
          <t>MAT-32-692</t>
        </is>
      </c>
      <c r="B2042" s="4" t="inlineStr">
        <is>
          <t>Llave de paso bola de PPR 1"</t>
        </is>
      </c>
      <c r="C2042" s="7" t="inlineStr">
        <is>
          <t>unidad</t>
        </is>
      </c>
      <c r="D2042" s="8" t="n"/>
      <c r="E2042" s="8" t="n">
        <v>270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>
        <f>IF(COUNT(D2042:S2042)=0,"",MIN(D2042:S2042))</f>
        <v/>
      </c>
      <c r="U2042" s="8">
        <f>IF(COUNT(D2042:S2042)=0,"",MEDIAN(D2042:S2042))</f>
        <v/>
      </c>
      <c r="V2042" s="8">
        <f>IF(COUNT(D2042:S2042)=0,"",MAX(D2042:S2042))</f>
        <v/>
      </c>
      <c r="W2042" s="9">
        <f>IF(OR(T2042="",T2042=0),"",(V2042-T2042)/T2042)</f>
        <v/>
      </c>
      <c r="X2042" s="7">
        <f>IF(COUNT(D2042:S2042)=0,"",INDEX($D$1:$S$1,MATCH(MIN(D2042:S2042),D2042:S2042,0)))</f>
        <v/>
      </c>
      <c r="Y2042" s="8" t="n">
        <v>270</v>
      </c>
      <c r="Z2042" s="10" t="n">
        <v>1</v>
      </c>
    </row>
    <row r="2043">
      <c r="A2043" s="7" t="inlineStr">
        <is>
          <t>MAT-32-693</t>
        </is>
      </c>
      <c r="B2043" s="4" t="inlineStr">
        <is>
          <t>Llave de paso bola de PPR 3/4"</t>
        </is>
      </c>
      <c r="C2043" s="7" t="inlineStr">
        <is>
          <t>unidad</t>
        </is>
      </c>
      <c r="D2043" s="8" t="n"/>
      <c r="E2043" s="8" t="n">
        <v>255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>
        <f>IF(COUNT(D2043:S2043)=0,"",MIN(D2043:S2043))</f>
        <v/>
      </c>
      <c r="U2043" s="8">
        <f>IF(COUNT(D2043:S2043)=0,"",MEDIAN(D2043:S2043))</f>
        <v/>
      </c>
      <c r="V2043" s="8">
        <f>IF(COUNT(D2043:S2043)=0,"",MAX(D2043:S2043))</f>
        <v/>
      </c>
      <c r="W2043" s="9">
        <f>IF(OR(T2043="",T2043=0),"",(V2043-T2043)/T2043)</f>
        <v/>
      </c>
      <c r="X2043" s="7">
        <f>IF(COUNT(D2043:S2043)=0,"",INDEX($D$1:$S$1,MATCH(MIN(D2043:S2043),D2043:S2043,0)))</f>
        <v/>
      </c>
      <c r="Y2043" s="8" t="n">
        <v>255</v>
      </c>
      <c r="Z2043" s="10" t="n">
        <v>1</v>
      </c>
    </row>
    <row r="2044">
      <c r="A2044" s="7" t="inlineStr">
        <is>
          <t>MAT-32-694</t>
        </is>
      </c>
      <c r="B2044" s="4" t="inlineStr">
        <is>
          <t>Llave de paso bola de PVC 1"</t>
        </is>
      </c>
      <c r="C2044" s="7" t="inlineStr">
        <is>
          <t>unidad</t>
        </is>
      </c>
      <c r="D2044" s="8" t="n"/>
      <c r="E2044" s="8" t="n">
        <v>388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>
        <f>IF(COUNT(D2044:S2044)=0,"",MIN(D2044:S2044))</f>
        <v/>
      </c>
      <c r="U2044" s="8">
        <f>IF(COUNT(D2044:S2044)=0,"",MEDIAN(D2044:S2044))</f>
        <v/>
      </c>
      <c r="V2044" s="8">
        <f>IF(COUNT(D2044:S2044)=0,"",MAX(D2044:S2044))</f>
        <v/>
      </c>
      <c r="W2044" s="9">
        <f>IF(OR(T2044="",T2044=0),"",(V2044-T2044)/T2044)</f>
        <v/>
      </c>
      <c r="X2044" s="7">
        <f>IF(COUNT(D2044:S2044)=0,"",INDEX($D$1:$S$1,MATCH(MIN(D2044:S2044),D2044:S2044,0)))</f>
        <v/>
      </c>
      <c r="Y2044" s="8" t="n">
        <v>388</v>
      </c>
      <c r="Z2044" s="10" t="n">
        <v>1</v>
      </c>
    </row>
    <row r="2045">
      <c r="A2045" s="7" t="inlineStr">
        <is>
          <t>MAT-32-695</t>
        </is>
      </c>
      <c r="B2045" s="4" t="inlineStr">
        <is>
          <t>Llave de paso bola de PVC 3/4"</t>
        </is>
      </c>
      <c r="C2045" s="7" t="inlineStr">
        <is>
          <t>unidad</t>
        </is>
      </c>
      <c r="D2045" s="8" t="n"/>
      <c r="E2045" s="8" t="n">
        <v>311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>
        <f>IF(COUNT(D2045:S2045)=0,"",MIN(D2045:S2045))</f>
        <v/>
      </c>
      <c r="U2045" s="8">
        <f>IF(COUNT(D2045:S2045)=0,"",MEDIAN(D2045:S2045))</f>
        <v/>
      </c>
      <c r="V2045" s="8">
        <f>IF(COUNT(D2045:S2045)=0,"",MAX(D2045:S2045))</f>
        <v/>
      </c>
      <c r="W2045" s="9">
        <f>IF(OR(T2045="",T2045=0),"",(V2045-T2045)/T2045)</f>
        <v/>
      </c>
      <c r="X2045" s="7">
        <f>IF(COUNT(D2045:S2045)=0,"",INDEX($D$1:$S$1,MATCH(MIN(D2045:S2045),D2045:S2045,0)))</f>
        <v/>
      </c>
      <c r="Y2045" s="8" t="n">
        <v>311</v>
      </c>
      <c r="Z2045" s="10" t="n">
        <v>1</v>
      </c>
    </row>
    <row r="2046">
      <c r="A2046" s="7" t="inlineStr">
        <is>
          <t>MAT-32-696</t>
        </is>
      </c>
      <c r="B2046" s="4" t="inlineStr">
        <is>
          <t>Llave de paso compuerta de latón 1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1299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>
        <f>IF(COUNT(D2046:S2046)=0,"",MIN(D2046:S2046))</f>
        <v/>
      </c>
      <c r="U2046" s="8">
        <f>IF(COUNT(D2046:S2046)=0,"",MEDIAN(D2046:S2046))</f>
        <v/>
      </c>
      <c r="V2046" s="8">
        <f>IF(COUNT(D2046:S2046)=0,"",MAX(D2046:S2046))</f>
        <v/>
      </c>
      <c r="W2046" s="9">
        <f>IF(OR(T2046="",T2046=0),"",(V2046-T2046)/T2046)</f>
        <v/>
      </c>
      <c r="X2046" s="7">
        <f>IF(COUNT(D2046:S2046)=0,"",INDEX($D$1:$S$1,MATCH(MIN(D2046:S2046),D2046:S2046,0)))</f>
        <v/>
      </c>
      <c r="Y2046" s="8" t="n">
        <v>1299</v>
      </c>
      <c r="Z2046" s="10" t="n">
        <v>1</v>
      </c>
    </row>
    <row r="2047">
      <c r="A2047" s="7" t="inlineStr">
        <is>
          <t>MAT-32-697</t>
        </is>
      </c>
      <c r="B2047" s="4" t="inlineStr">
        <is>
          <t>Llave de paso compuerta de latón 1 1/4"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1075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>
        <f>IF(COUNT(D2047:S2047)=0,"",MIN(D2047:S2047))</f>
        <v/>
      </c>
      <c r="U2047" s="8">
        <f>IF(COUNT(D2047:S2047)=0,"",MEDIAN(D2047:S2047))</f>
        <v/>
      </c>
      <c r="V2047" s="8">
        <f>IF(COUNT(D2047:S2047)=0,"",MAX(D2047:S2047))</f>
        <v/>
      </c>
      <c r="W2047" s="9">
        <f>IF(OR(T2047="",T2047=0),"",(V2047-T2047)/T2047)</f>
        <v/>
      </c>
      <c r="X2047" s="7">
        <f>IF(COUNT(D2047:S2047)=0,"",INDEX($D$1:$S$1,MATCH(MIN(D2047:S2047),D2047:S2047,0)))</f>
        <v/>
      </c>
      <c r="Y2047" s="8" t="n">
        <v>1075</v>
      </c>
      <c r="Z2047" s="10" t="n">
        <v>1</v>
      </c>
    </row>
    <row r="2048">
      <c r="A2048" s="7" t="inlineStr">
        <is>
          <t>MAT-32-698</t>
        </is>
      </c>
      <c r="B2048" s="4" t="inlineStr">
        <is>
          <t>Llave de paso compuerta de latón 1/2"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355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>
        <f>IF(COUNT(D2048:S2048)=0,"",MIN(D2048:S2048))</f>
        <v/>
      </c>
      <c r="U2048" s="8">
        <f>IF(COUNT(D2048:S2048)=0,"",MEDIAN(D2048:S2048))</f>
        <v/>
      </c>
      <c r="V2048" s="8">
        <f>IF(COUNT(D2048:S2048)=0,"",MAX(D2048:S2048))</f>
        <v/>
      </c>
      <c r="W2048" s="9">
        <f>IF(OR(T2048="",T2048=0),"",(V2048-T2048)/T2048)</f>
        <v/>
      </c>
      <c r="X2048" s="7">
        <f>IF(COUNT(D2048:S2048)=0,"",INDEX($D$1:$S$1,MATCH(MIN(D2048:S2048),D2048:S2048,0)))</f>
        <v/>
      </c>
      <c r="Y2048" s="8" t="n">
        <v>355</v>
      </c>
      <c r="Z2048" s="10" t="n">
        <v>1</v>
      </c>
    </row>
    <row r="2049">
      <c r="A2049" s="7" t="inlineStr">
        <is>
          <t>MAT-32-699</t>
        </is>
      </c>
      <c r="B2049" s="4" t="inlineStr">
        <is>
          <t>Llave de paso compuerta de latón 1"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655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>
        <f>IF(COUNT(D2049:S2049)=0,"",MIN(D2049:S2049))</f>
        <v/>
      </c>
      <c r="U2049" s="8">
        <f>IF(COUNT(D2049:S2049)=0,"",MEDIAN(D2049:S2049))</f>
        <v/>
      </c>
      <c r="V2049" s="8">
        <f>IF(COUNT(D2049:S2049)=0,"",MAX(D2049:S2049))</f>
        <v/>
      </c>
      <c r="W2049" s="9">
        <f>IF(OR(T2049="",T2049=0),"",(V2049-T2049)/T2049)</f>
        <v/>
      </c>
      <c r="X2049" s="7">
        <f>IF(COUNT(D2049:S2049)=0,"",INDEX($D$1:$S$1,MATCH(MIN(D2049:S2049),D2049:S2049,0)))</f>
        <v/>
      </c>
      <c r="Y2049" s="8" t="n">
        <v>655</v>
      </c>
      <c r="Z2049" s="10" t="n">
        <v>1</v>
      </c>
    </row>
    <row r="2050">
      <c r="A2050" s="7" t="inlineStr">
        <is>
          <t>MAT-32-700</t>
        </is>
      </c>
      <c r="B2050" s="4" t="inlineStr">
        <is>
          <t>Llave de paso compuerta de latón 2"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1855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>
        <f>IF(COUNT(D2050:S2050)=0,"",MIN(D2050:S2050))</f>
        <v/>
      </c>
      <c r="U2050" s="8">
        <f>IF(COUNT(D2050:S2050)=0,"",MEDIAN(D2050:S2050))</f>
        <v/>
      </c>
      <c r="V2050" s="8">
        <f>IF(COUNT(D2050:S2050)=0,"",MAX(D2050:S2050))</f>
        <v/>
      </c>
      <c r="W2050" s="9">
        <f>IF(OR(T2050="",T2050=0),"",(V2050-T2050)/T2050)</f>
        <v/>
      </c>
      <c r="X2050" s="7">
        <f>IF(COUNT(D2050:S2050)=0,"",INDEX($D$1:$S$1,MATCH(MIN(D2050:S2050),D2050:S2050,0)))</f>
        <v/>
      </c>
      <c r="Y2050" s="8" t="n">
        <v>1855</v>
      </c>
      <c r="Z2050" s="10" t="n">
        <v>1</v>
      </c>
    </row>
    <row r="2051">
      <c r="A2051" s="7" t="inlineStr">
        <is>
          <t>MAT-32-701</t>
        </is>
      </c>
      <c r="B2051" s="4" t="inlineStr">
        <is>
          <t>Llave de paso compuerta de latón 3/4"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449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>
        <f>IF(COUNT(D2051:S2051)=0,"",MIN(D2051:S2051))</f>
        <v/>
      </c>
      <c r="U2051" s="8">
        <f>IF(COUNT(D2051:S2051)=0,"",MEDIAN(D2051:S2051))</f>
        <v/>
      </c>
      <c r="V2051" s="8">
        <f>IF(COUNT(D2051:S2051)=0,"",MAX(D2051:S2051))</f>
        <v/>
      </c>
      <c r="W2051" s="9">
        <f>IF(OR(T2051="",T2051=0),"",(V2051-T2051)/T2051)</f>
        <v/>
      </c>
      <c r="X2051" s="7">
        <f>IF(COUNT(D2051:S2051)=0,"",INDEX($D$1:$S$1,MATCH(MIN(D2051:S2051),D2051:S2051,0)))</f>
        <v/>
      </c>
      <c r="Y2051" s="8" t="n">
        <v>449</v>
      </c>
      <c r="Z2051" s="10" t="n">
        <v>1</v>
      </c>
    </row>
    <row r="2052">
      <c r="A2052" s="7" t="inlineStr">
        <is>
          <t>MAT-32-702</t>
        </is>
      </c>
      <c r="B2052" s="4" t="inlineStr">
        <is>
          <t>Llave de paso de bola de CPVC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435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>
        <f>IF(COUNT(D2052:S2052)=0,"",MIN(D2052:S2052))</f>
        <v/>
      </c>
      <c r="U2052" s="8">
        <f>IF(COUNT(D2052:S2052)=0,"",MEDIAN(D2052:S2052))</f>
        <v/>
      </c>
      <c r="V2052" s="8">
        <f>IF(COUNT(D2052:S2052)=0,"",MAX(D2052:S2052))</f>
        <v/>
      </c>
      <c r="W2052" s="9">
        <f>IF(OR(T2052="",T2052=0),"",(V2052-T2052)/T2052)</f>
        <v/>
      </c>
      <c r="X2052" s="7">
        <f>IF(COUNT(D2052:S2052)=0,"",INDEX($D$1:$S$1,MATCH(MIN(D2052:S2052),D2052:S2052,0)))</f>
        <v/>
      </c>
      <c r="Y2052" s="8" t="n">
        <v>435</v>
      </c>
      <c r="Z2052" s="10" t="n">
        <v>1</v>
      </c>
    </row>
    <row r="2053">
      <c r="A2053" s="7" t="inlineStr">
        <is>
          <t>MAT-32-703</t>
        </is>
      </c>
      <c r="B2053" s="4" t="inlineStr">
        <is>
          <t>Llave de paso de bola de metal 1 1/2"</t>
        </is>
      </c>
      <c r="C2053" s="7" t="inlineStr">
        <is>
          <t>unidad</t>
        </is>
      </c>
      <c r="D2053" s="8" t="n"/>
      <c r="E2053" s="8" t="n"/>
      <c r="F2053" s="8" t="n"/>
      <c r="G2053" s="8" t="n">
        <v>1961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>
        <f>IF(COUNT(D2053:S2053)=0,"",MIN(D2053:S2053))</f>
        <v/>
      </c>
      <c r="U2053" s="8">
        <f>IF(COUNT(D2053:S2053)=0,"",MEDIAN(D2053:S2053))</f>
        <v/>
      </c>
      <c r="V2053" s="8">
        <f>IF(COUNT(D2053:S2053)=0,"",MAX(D2053:S2053))</f>
        <v/>
      </c>
      <c r="W2053" s="9">
        <f>IF(OR(T2053="",T2053=0),"",(V2053-T2053)/T2053)</f>
        <v/>
      </c>
      <c r="X2053" s="7">
        <f>IF(COUNT(D2053:S2053)=0,"",INDEX($D$1:$S$1,MATCH(MIN(D2053:S2053),D2053:S2053,0)))</f>
        <v/>
      </c>
      <c r="Y2053" s="8" t="n">
        <v>1961</v>
      </c>
      <c r="Z2053" s="10" t="n">
        <v>1</v>
      </c>
    </row>
    <row r="2054">
      <c r="A2054" s="7" t="inlineStr">
        <is>
          <t>MAT-32-704</t>
        </is>
      </c>
      <c r="B2054" s="4" t="inlineStr">
        <is>
          <t>Llave de paso de bola de metal 1/2"</t>
        </is>
      </c>
      <c r="C2054" s="7" t="inlineStr">
        <is>
          <t>unidad</t>
        </is>
      </c>
      <c r="D2054" s="8" t="n"/>
      <c r="E2054" s="8" t="n"/>
      <c r="F2054" s="8" t="n"/>
      <c r="G2054" s="8" t="n">
        <v>259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>
        <f>IF(COUNT(D2054:S2054)=0,"",MIN(D2054:S2054))</f>
        <v/>
      </c>
      <c r="U2054" s="8">
        <f>IF(COUNT(D2054:S2054)=0,"",MEDIAN(D2054:S2054))</f>
        <v/>
      </c>
      <c r="V2054" s="8">
        <f>IF(COUNT(D2054:S2054)=0,"",MAX(D2054:S2054))</f>
        <v/>
      </c>
      <c r="W2054" s="9">
        <f>IF(OR(T2054="",T2054=0),"",(V2054-T2054)/T2054)</f>
        <v/>
      </c>
      <c r="X2054" s="7">
        <f>IF(COUNT(D2054:S2054)=0,"",INDEX($D$1:$S$1,MATCH(MIN(D2054:S2054),D2054:S2054,0)))</f>
        <v/>
      </c>
      <c r="Y2054" s="8" t="n">
        <v>545</v>
      </c>
      <c r="Z2054" s="10" t="n">
        <v>1</v>
      </c>
    </row>
    <row r="2055">
      <c r="A2055" s="7" t="inlineStr">
        <is>
          <t>MAT-32-705</t>
        </is>
      </c>
      <c r="B2055" s="4" t="inlineStr">
        <is>
          <t>Llave de paso de bola de metal 1/4"</t>
        </is>
      </c>
      <c r="C2055" s="7" t="inlineStr">
        <is>
          <t>unidad</t>
        </is>
      </c>
      <c r="D2055" s="8" t="n"/>
      <c r="E2055" s="8" t="n"/>
      <c r="F2055" s="8" t="n"/>
      <c r="G2055" s="8" t="n">
        <v>343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>
        <f>IF(COUNT(D2055:S2055)=0,"",MIN(D2055:S2055))</f>
        <v/>
      </c>
      <c r="U2055" s="8">
        <f>IF(COUNT(D2055:S2055)=0,"",MEDIAN(D2055:S2055))</f>
        <v/>
      </c>
      <c r="V2055" s="8">
        <f>IF(COUNT(D2055:S2055)=0,"",MAX(D2055:S2055))</f>
        <v/>
      </c>
      <c r="W2055" s="9">
        <f>IF(OR(T2055="",T2055=0),"",(V2055-T2055)/T2055)</f>
        <v/>
      </c>
      <c r="X2055" s="7">
        <f>IF(COUNT(D2055:S2055)=0,"",INDEX($D$1:$S$1,MATCH(MIN(D2055:S2055),D2055:S2055,0)))</f>
        <v/>
      </c>
      <c r="Y2055" s="8" t="n">
        <v>343</v>
      </c>
      <c r="Z2055" s="10" t="n">
        <v>1</v>
      </c>
    </row>
    <row r="2056">
      <c r="A2056" s="7" t="inlineStr">
        <is>
          <t>MAT-32-706</t>
        </is>
      </c>
      <c r="B2056" s="4" t="inlineStr">
        <is>
          <t>Llave de paso de bola de metal 1"</t>
        </is>
      </c>
      <c r="C2056" s="7" t="inlineStr">
        <is>
          <t>unidad</t>
        </is>
      </c>
      <c r="D2056" s="8" t="n"/>
      <c r="E2056" s="8" t="n"/>
      <c r="F2056" s="8" t="n"/>
      <c r="G2056" s="8" t="n">
        <v>831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>
        <f>IF(COUNT(D2056:S2056)=0,"",MIN(D2056:S2056))</f>
        <v/>
      </c>
      <c r="U2056" s="8">
        <f>IF(COUNT(D2056:S2056)=0,"",MEDIAN(D2056:S2056))</f>
        <v/>
      </c>
      <c r="V2056" s="8">
        <f>IF(COUNT(D2056:S2056)=0,"",MAX(D2056:S2056))</f>
        <v/>
      </c>
      <c r="W2056" s="9">
        <f>IF(OR(T2056="",T2056=0),"",(V2056-T2056)/T2056)</f>
        <v/>
      </c>
      <c r="X2056" s="7">
        <f>IF(COUNT(D2056:S2056)=0,"",INDEX($D$1:$S$1,MATCH(MIN(D2056:S2056),D2056:S2056,0)))</f>
        <v/>
      </c>
      <c r="Y2056" s="8" t="n">
        <v>831</v>
      </c>
      <c r="Z2056" s="10" t="n">
        <v>1</v>
      </c>
    </row>
    <row r="2057">
      <c r="A2057" s="7" t="inlineStr">
        <is>
          <t>MAT-32-707</t>
        </is>
      </c>
      <c r="B2057" s="4" t="inlineStr">
        <is>
          <t>Llave de paso de bola de metal 2"</t>
        </is>
      </c>
      <c r="C2057" s="7" t="inlineStr">
        <is>
          <t>unidad</t>
        </is>
      </c>
      <c r="D2057" s="8" t="n"/>
      <c r="E2057" s="8" t="n"/>
      <c r="F2057" s="8" t="n"/>
      <c r="G2057" s="8" t="n">
        <v>3227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>
        <f>IF(COUNT(D2057:S2057)=0,"",MIN(D2057:S2057))</f>
        <v/>
      </c>
      <c r="U2057" s="8">
        <f>IF(COUNT(D2057:S2057)=0,"",MEDIAN(D2057:S2057))</f>
        <v/>
      </c>
      <c r="V2057" s="8">
        <f>IF(COUNT(D2057:S2057)=0,"",MAX(D2057:S2057))</f>
        <v/>
      </c>
      <c r="W2057" s="9">
        <f>IF(OR(T2057="",T2057=0),"",(V2057-T2057)/T2057)</f>
        <v/>
      </c>
      <c r="X2057" s="7">
        <f>IF(COUNT(D2057:S2057)=0,"",INDEX($D$1:$S$1,MATCH(MIN(D2057:S2057),D2057:S2057,0)))</f>
        <v/>
      </c>
      <c r="Y2057" s="8" t="n">
        <v>3227</v>
      </c>
      <c r="Z2057" s="10" t="n">
        <v>1</v>
      </c>
    </row>
    <row r="2058">
      <c r="A2058" s="7" t="inlineStr">
        <is>
          <t>MAT-32-708</t>
        </is>
      </c>
      <c r="B2058" s="4" t="inlineStr">
        <is>
          <t>Llave de paso de bola de metal 3/4"</t>
        </is>
      </c>
      <c r="C2058" s="7" t="inlineStr">
        <is>
          <t>unidad</t>
        </is>
      </c>
      <c r="D2058" s="8" t="n"/>
      <c r="E2058" s="8" t="n"/>
      <c r="F2058" s="8" t="n"/>
      <c r="G2058" s="8" t="n">
        <v>555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>
        <f>IF(COUNT(D2058:S2058)=0,"",MIN(D2058:S2058))</f>
        <v/>
      </c>
      <c r="U2058" s="8">
        <f>IF(COUNT(D2058:S2058)=0,"",MEDIAN(D2058:S2058))</f>
        <v/>
      </c>
      <c r="V2058" s="8">
        <f>IF(COUNT(D2058:S2058)=0,"",MAX(D2058:S2058))</f>
        <v/>
      </c>
      <c r="W2058" s="9">
        <f>IF(OR(T2058="",T2058=0),"",(V2058-T2058)/T2058)</f>
        <v/>
      </c>
      <c r="X2058" s="7">
        <f>IF(COUNT(D2058:S2058)=0,"",INDEX($D$1:$S$1,MATCH(MIN(D2058:S2058),D2058:S2058,0)))</f>
        <v/>
      </c>
      <c r="Y2058" s="8" t="n">
        <v>592.5</v>
      </c>
      <c r="Z2058" s="10" t="n">
        <v>1</v>
      </c>
    </row>
    <row r="2059">
      <c r="A2059" s="7" t="inlineStr">
        <is>
          <t>MAT-32-709</t>
        </is>
      </c>
      <c r="B2059" s="4" t="inlineStr">
        <is>
          <t>Llave de paso de bola de metal 3/8"</t>
        </is>
      </c>
      <c r="C2059" s="7" t="inlineStr">
        <is>
          <t>unidad</t>
        </is>
      </c>
      <c r="D2059" s="8" t="n"/>
      <c r="E2059" s="8" t="n"/>
      <c r="F2059" s="8" t="n"/>
      <c r="G2059" s="8" t="n">
        <v>327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>
        <f>IF(COUNT(D2059:S2059)=0,"",MIN(D2059:S2059))</f>
        <v/>
      </c>
      <c r="U2059" s="8">
        <f>IF(COUNT(D2059:S2059)=0,"",MEDIAN(D2059:S2059))</f>
        <v/>
      </c>
      <c r="V2059" s="8">
        <f>IF(COUNT(D2059:S2059)=0,"",MAX(D2059:S2059))</f>
        <v/>
      </c>
      <c r="W2059" s="9">
        <f>IF(OR(T2059="",T2059=0),"",(V2059-T2059)/T2059)</f>
        <v/>
      </c>
      <c r="X2059" s="7">
        <f>IF(COUNT(D2059:S2059)=0,"",INDEX($D$1:$S$1,MATCH(MIN(D2059:S2059),D2059:S2059,0)))</f>
        <v/>
      </c>
      <c r="Y2059" s="8" t="n">
        <v>336</v>
      </c>
      <c r="Z2059" s="10" t="n">
        <v>1</v>
      </c>
    </row>
    <row r="2060">
      <c r="A2060" s="7" t="inlineStr">
        <is>
          <t>MAT-32-710</t>
        </is>
      </c>
      <c r="B2060" s="4" t="inlineStr">
        <is>
          <t>Llave de paso de bola de PVC 1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465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>
        <f>IF(COUNT(D2060:S2060)=0,"",MIN(D2060:S2060))</f>
        <v/>
      </c>
      <c r="U2060" s="8">
        <f>IF(COUNT(D2060:S2060)=0,"",MEDIAN(D2060:S2060))</f>
        <v/>
      </c>
      <c r="V2060" s="8">
        <f>IF(COUNT(D2060:S2060)=0,"",MAX(D2060:S2060))</f>
        <v/>
      </c>
      <c r="W2060" s="9">
        <f>IF(OR(T2060="",T2060=0),"",(V2060-T2060)/T2060)</f>
        <v/>
      </c>
      <c r="X2060" s="7">
        <f>IF(COUNT(D2060:S2060)=0,"",INDEX($D$1:$S$1,MATCH(MIN(D2060:S2060),D2060:S2060,0)))</f>
        <v/>
      </c>
      <c r="Y2060" s="8" t="n">
        <v>465</v>
      </c>
      <c r="Z2060" s="10" t="n">
        <v>1</v>
      </c>
    </row>
    <row r="2061">
      <c r="A2061" s="7" t="inlineStr">
        <is>
          <t>MAT-32-711</t>
        </is>
      </c>
      <c r="B2061" s="4" t="inlineStr">
        <is>
          <t>Llave de paso de bola de PVC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41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>
        <f>IF(COUNT(D2061:S2061)=0,"",MIN(D2061:S2061))</f>
        <v/>
      </c>
      <c r="U2061" s="8">
        <f>IF(COUNT(D2061:S2061)=0,"",MEDIAN(D2061:S2061))</f>
        <v/>
      </c>
      <c r="V2061" s="8">
        <f>IF(COUNT(D2061:S2061)=0,"",MAX(D2061:S2061))</f>
        <v/>
      </c>
      <c r="W2061" s="9">
        <f>IF(OR(T2061="",T2061=0),"",(V2061-T2061)/T2061)</f>
        <v/>
      </c>
      <c r="X2061" s="7">
        <f>IF(COUNT(D2061:S2061)=0,"",INDEX($D$1:$S$1,MATCH(MIN(D2061:S2061),D2061:S2061,0)))</f>
        <v/>
      </c>
      <c r="Y2061" s="8" t="n">
        <v>83</v>
      </c>
      <c r="Z2061" s="10" t="n">
        <v>1</v>
      </c>
    </row>
    <row r="2062">
      <c r="A2062" s="7" t="inlineStr">
        <is>
          <t>MAT-32-712</t>
        </is>
      </c>
      <c r="B2062" s="4" t="inlineStr">
        <is>
          <t>Llave de paso de bola de PVC 1"</t>
        </is>
      </c>
      <c r="C2062" s="7" t="inlineStr">
        <is>
          <t>unidad</t>
        </is>
      </c>
      <c r="D2062" s="8" t="n"/>
      <c r="E2062" s="8" t="n"/>
      <c r="F2062" s="8" t="n"/>
      <c r="G2062" s="8" t="n">
        <v>170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>
        <f>IF(COUNT(D2062:S2062)=0,"",MIN(D2062:S2062))</f>
        <v/>
      </c>
      <c r="U2062" s="8">
        <f>IF(COUNT(D2062:S2062)=0,"",MEDIAN(D2062:S2062))</f>
        <v/>
      </c>
      <c r="V2062" s="8">
        <f>IF(COUNT(D2062:S2062)=0,"",MAX(D2062:S2062))</f>
        <v/>
      </c>
      <c r="W2062" s="9">
        <f>IF(OR(T2062="",T2062=0),"",(V2062-T2062)/T2062)</f>
        <v/>
      </c>
      <c r="X2062" s="7">
        <f>IF(COUNT(D2062:S2062)=0,"",INDEX($D$1:$S$1,MATCH(MIN(D2062:S2062),D2062:S2062,0)))</f>
        <v/>
      </c>
      <c r="Y2062" s="8" t="n">
        <v>170</v>
      </c>
      <c r="Z2062" s="10" t="n">
        <v>1</v>
      </c>
    </row>
    <row r="2063">
      <c r="A2063" s="7" t="inlineStr">
        <is>
          <t>MAT-32-713</t>
        </is>
      </c>
      <c r="B2063" s="4" t="inlineStr">
        <is>
          <t>Llave de paso de bola de PVC 2"</t>
        </is>
      </c>
      <c r="C2063" s="7" t="inlineStr">
        <is>
          <t>unidad</t>
        </is>
      </c>
      <c r="D2063" s="8" t="n"/>
      <c r="E2063" s="8" t="n"/>
      <c r="F2063" s="8" t="n"/>
      <c r="G2063" s="8" t="n">
        <v>616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>
        <f>IF(COUNT(D2063:S2063)=0,"",MIN(D2063:S2063))</f>
        <v/>
      </c>
      <c r="U2063" s="8">
        <f>IF(COUNT(D2063:S2063)=0,"",MEDIAN(D2063:S2063))</f>
        <v/>
      </c>
      <c r="V2063" s="8">
        <f>IF(COUNT(D2063:S2063)=0,"",MAX(D2063:S2063))</f>
        <v/>
      </c>
      <c r="W2063" s="9">
        <f>IF(OR(T2063="",T2063=0),"",(V2063-T2063)/T2063)</f>
        <v/>
      </c>
      <c r="X2063" s="7">
        <f>IF(COUNT(D2063:S2063)=0,"",INDEX($D$1:$S$1,MATCH(MIN(D2063:S2063),D2063:S2063,0)))</f>
        <v/>
      </c>
      <c r="Y2063" s="8" t="n">
        <v>616</v>
      </c>
      <c r="Z2063" s="10" t="n">
        <v>1</v>
      </c>
    </row>
    <row r="2064">
      <c r="A2064" s="7" t="inlineStr">
        <is>
          <t>MAT-32-714</t>
        </is>
      </c>
      <c r="B2064" s="4" t="inlineStr">
        <is>
          <t>Llave de paso de bola de PVC 3/4"</t>
        </is>
      </c>
      <c r="C2064" s="7" t="inlineStr">
        <is>
          <t>unidad</t>
        </is>
      </c>
      <c r="D2064" s="8" t="n"/>
      <c r="E2064" s="8" t="n"/>
      <c r="F2064" s="8" t="n"/>
      <c r="G2064" s="8" t="n">
        <v>107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>
        <f>IF(COUNT(D2064:S2064)=0,"",MIN(D2064:S2064))</f>
        <v/>
      </c>
      <c r="U2064" s="8">
        <f>IF(COUNT(D2064:S2064)=0,"",MEDIAN(D2064:S2064))</f>
        <v/>
      </c>
      <c r="V2064" s="8">
        <f>IF(COUNT(D2064:S2064)=0,"",MAX(D2064:S2064))</f>
        <v/>
      </c>
      <c r="W2064" s="9">
        <f>IF(OR(T2064="",T2064=0),"",(V2064-T2064)/T2064)</f>
        <v/>
      </c>
      <c r="X2064" s="7">
        <f>IF(COUNT(D2064:S2064)=0,"",INDEX($D$1:$S$1,MATCH(MIN(D2064:S2064),D2064:S2064,0)))</f>
        <v/>
      </c>
      <c r="Y2064" s="8" t="n">
        <v>116</v>
      </c>
      <c r="Z2064" s="10" t="n">
        <v>1</v>
      </c>
    </row>
    <row r="2065">
      <c r="A2065" s="7" t="inlineStr">
        <is>
          <t>MAT-32-715</t>
        </is>
      </c>
      <c r="B2065" s="4" t="inlineStr">
        <is>
          <t>Llave de paso de compuerta de metal 1 1/2"</t>
        </is>
      </c>
      <c r="C2065" s="7" t="inlineStr">
        <is>
          <t>unidad</t>
        </is>
      </c>
      <c r="D2065" s="8" t="n"/>
      <c r="E2065" s="8" t="n"/>
      <c r="F2065" s="8" t="n"/>
      <c r="G2065" s="8" t="n">
        <v>2262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>
        <f>IF(COUNT(D2065:S2065)=0,"",MIN(D2065:S2065))</f>
        <v/>
      </c>
      <c r="U2065" s="8">
        <f>IF(COUNT(D2065:S2065)=0,"",MEDIAN(D2065:S2065))</f>
        <v/>
      </c>
      <c r="V2065" s="8">
        <f>IF(COUNT(D2065:S2065)=0,"",MAX(D2065:S2065))</f>
        <v/>
      </c>
      <c r="W2065" s="9">
        <f>IF(OR(T2065="",T2065=0),"",(V2065-T2065)/T2065)</f>
        <v/>
      </c>
      <c r="X2065" s="7">
        <f>IF(COUNT(D2065:S2065)=0,"",INDEX($D$1:$S$1,MATCH(MIN(D2065:S2065),D2065:S2065,0)))</f>
        <v/>
      </c>
      <c r="Y2065" s="8" t="n">
        <v>2262</v>
      </c>
      <c r="Z2065" s="10" t="n">
        <v>1</v>
      </c>
    </row>
    <row r="2066">
      <c r="A2066" s="7" t="inlineStr">
        <is>
          <t>MAT-32-716</t>
        </is>
      </c>
      <c r="B2066" s="4" t="inlineStr">
        <is>
          <t>Llave de paso de compuerta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858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>
        <f>IF(COUNT(D2066:S2066)=0,"",MIN(D2066:S2066))</f>
        <v/>
      </c>
      <c r="U2066" s="8">
        <f>IF(COUNT(D2066:S2066)=0,"",MEDIAN(D2066:S2066))</f>
        <v/>
      </c>
      <c r="V2066" s="8">
        <f>IF(COUNT(D2066:S2066)=0,"",MAX(D2066:S2066))</f>
        <v/>
      </c>
      <c r="W2066" s="9">
        <f>IF(OR(T2066="",T2066=0),"",(V2066-T2066)/T2066)</f>
        <v/>
      </c>
      <c r="X2066" s="7">
        <f>IF(COUNT(D2066:S2066)=0,"",INDEX($D$1:$S$1,MATCH(MIN(D2066:S2066),D2066:S2066,0)))</f>
        <v/>
      </c>
      <c r="Y2066" s="8" t="n">
        <v>858</v>
      </c>
      <c r="Z2066" s="10" t="n">
        <v>1</v>
      </c>
    </row>
    <row r="2067">
      <c r="A2067" s="7" t="inlineStr">
        <is>
          <t>MAT-32-717</t>
        </is>
      </c>
      <c r="B2067" s="4" t="inlineStr">
        <is>
          <t>Llave de paso de compuerta de metal 1"</t>
        </is>
      </c>
      <c r="C2067" s="7" t="inlineStr">
        <is>
          <t>unidad</t>
        </is>
      </c>
      <c r="D2067" s="8" t="n"/>
      <c r="E2067" s="8" t="n"/>
      <c r="F2067" s="8" t="n"/>
      <c r="G2067" s="8" t="n">
        <v>1595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>
        <f>IF(COUNT(D2067:S2067)=0,"",MIN(D2067:S2067))</f>
        <v/>
      </c>
      <c r="U2067" s="8">
        <f>IF(COUNT(D2067:S2067)=0,"",MEDIAN(D2067:S2067))</f>
        <v/>
      </c>
      <c r="V2067" s="8">
        <f>IF(COUNT(D2067:S2067)=0,"",MAX(D2067:S2067))</f>
        <v/>
      </c>
      <c r="W2067" s="9">
        <f>IF(OR(T2067="",T2067=0),"",(V2067-T2067)/T2067)</f>
        <v/>
      </c>
      <c r="X2067" s="7">
        <f>IF(COUNT(D2067:S2067)=0,"",INDEX($D$1:$S$1,MATCH(MIN(D2067:S2067),D2067:S2067,0)))</f>
        <v/>
      </c>
      <c r="Y2067" s="8" t="n">
        <v>1595</v>
      </c>
      <c r="Z2067" s="10" t="n">
        <v>1</v>
      </c>
    </row>
    <row r="2068">
      <c r="A2068" s="7" t="inlineStr">
        <is>
          <t>MAT-32-718</t>
        </is>
      </c>
      <c r="B2068" s="4" t="inlineStr">
        <is>
          <t>Llave de paso de compuerta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1248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>
        <f>IF(COUNT(D2068:S2068)=0,"",MIN(D2068:S2068))</f>
        <v/>
      </c>
      <c r="U2068" s="8">
        <f>IF(COUNT(D2068:S2068)=0,"",MEDIAN(D2068:S2068))</f>
        <v/>
      </c>
      <c r="V2068" s="8">
        <f>IF(COUNT(D2068:S2068)=0,"",MAX(D2068:S2068))</f>
        <v/>
      </c>
      <c r="W2068" s="9">
        <f>IF(OR(T2068="",T2068=0),"",(V2068-T2068)/T2068)</f>
        <v/>
      </c>
      <c r="X2068" s="7">
        <f>IF(COUNT(D2068:S2068)=0,"",INDEX($D$1:$S$1,MATCH(MIN(D2068:S2068),D2068:S2068,0)))</f>
        <v/>
      </c>
      <c r="Y2068" s="8" t="n">
        <v>1248</v>
      </c>
      <c r="Z2068" s="10" t="n">
        <v>1</v>
      </c>
    </row>
    <row r="2069">
      <c r="A2069" s="7" t="inlineStr">
        <is>
          <t>MAT-32-719</t>
        </is>
      </c>
      <c r="B2069" s="4" t="inlineStr">
        <is>
          <t>Llave de paso de rosca macho de metal 1/2"</t>
        </is>
      </c>
      <c r="C2069" s="7" t="inlineStr">
        <is>
          <t>unidad</t>
        </is>
      </c>
      <c r="D2069" s="8" t="n"/>
      <c r="E2069" s="8" t="n"/>
      <c r="F2069" s="8" t="n"/>
      <c r="G2069" s="8" t="n">
        <v>338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>
        <f>IF(COUNT(D2069:S2069)=0,"",MIN(D2069:S2069))</f>
        <v/>
      </c>
      <c r="U2069" s="8">
        <f>IF(COUNT(D2069:S2069)=0,"",MEDIAN(D2069:S2069))</f>
        <v/>
      </c>
      <c r="V2069" s="8">
        <f>IF(COUNT(D2069:S2069)=0,"",MAX(D2069:S2069))</f>
        <v/>
      </c>
      <c r="W2069" s="9">
        <f>IF(OR(T2069="",T2069=0),"",(V2069-T2069)/T2069)</f>
        <v/>
      </c>
      <c r="X2069" s="7">
        <f>IF(COUNT(D2069:S2069)=0,"",INDEX($D$1:$S$1,MATCH(MIN(D2069:S2069),D2069:S2069,0)))</f>
        <v/>
      </c>
      <c r="Y2069" s="8" t="n">
        <v>875</v>
      </c>
      <c r="Z2069" s="10" t="n">
        <v>1</v>
      </c>
    </row>
    <row r="2070">
      <c r="A2070" s="7" t="inlineStr">
        <is>
          <t>MAT-32-720</t>
        </is>
      </c>
      <c r="B2070" s="4" t="inlineStr">
        <is>
          <t>Llave de paso de rosca macho de metal 3/4"</t>
        </is>
      </c>
      <c r="C2070" s="7" t="inlineStr">
        <is>
          <t>unidad</t>
        </is>
      </c>
      <c r="D2070" s="8" t="n"/>
      <c r="E2070" s="8" t="n"/>
      <c r="F2070" s="8" t="n"/>
      <c r="G2070" s="8" t="n">
        <v>487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>
        <f>IF(COUNT(D2070:S2070)=0,"",MIN(D2070:S2070))</f>
        <v/>
      </c>
      <c r="U2070" s="8">
        <f>IF(COUNT(D2070:S2070)=0,"",MEDIAN(D2070:S2070))</f>
        <v/>
      </c>
      <c r="V2070" s="8">
        <f>IF(COUNT(D2070:S2070)=0,"",MAX(D2070:S2070))</f>
        <v/>
      </c>
      <c r="W2070" s="9">
        <f>IF(OR(T2070="",T2070=0),"",(V2070-T2070)/T2070)</f>
        <v/>
      </c>
      <c r="X2070" s="7">
        <f>IF(COUNT(D2070:S2070)=0,"",INDEX($D$1:$S$1,MATCH(MIN(D2070:S2070),D2070:S2070,0)))</f>
        <v/>
      </c>
      <c r="Y2070" s="8" t="n">
        <v>816</v>
      </c>
      <c r="Z2070" s="10" t="n">
        <v>1</v>
      </c>
    </row>
    <row r="2071">
      <c r="A2071" s="7" t="inlineStr">
        <is>
          <t>MAT-32-721</t>
        </is>
      </c>
      <c r="B2071" s="4" t="inlineStr">
        <is>
          <t>Válvula de retención (cheque) 1 1/2"</t>
        </is>
      </c>
      <c r="C2071" s="7" t="inlineStr">
        <is>
          <t>unidad</t>
        </is>
      </c>
      <c r="D2071" s="8" t="n"/>
      <c r="E2071" s="8" t="n">
        <v>995</v>
      </c>
      <c r="F2071" s="8" t="n"/>
      <c r="G2071" s="8" t="n">
        <v>1757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>
        <f>IF(COUNT(D2071:S2071)=0,"",MIN(D2071:S2071))</f>
        <v/>
      </c>
      <c r="U2071" s="8">
        <f>IF(COUNT(D2071:S2071)=0,"",MEDIAN(D2071:S2071))</f>
        <v/>
      </c>
      <c r="V2071" s="8">
        <f>IF(COUNT(D2071:S2071)=0,"",MAX(D2071:S2071))</f>
        <v/>
      </c>
      <c r="W2071" s="9">
        <f>IF(OR(T2071="",T2071=0),"",(V2071-T2071)/T2071)</f>
        <v/>
      </c>
      <c r="X2071" s="7">
        <f>IF(COUNT(D2071:S2071)=0,"",INDEX($D$1:$S$1,MATCH(MIN(D2071:S2071),D2071:S2071,0)))</f>
        <v/>
      </c>
      <c r="Y2071" s="8" t="n">
        <v>1858</v>
      </c>
      <c r="Z2071" s="10" t="n">
        <v>2</v>
      </c>
    </row>
    <row r="2072">
      <c r="A2072" s="7" t="inlineStr">
        <is>
          <t>MAT-32-722</t>
        </is>
      </c>
      <c r="B2072" s="4" t="inlineStr">
        <is>
          <t>Válvula de retención (cheque) 1 1/4"</t>
        </is>
      </c>
      <c r="C2072" s="7" t="inlineStr">
        <is>
          <t>unidad</t>
        </is>
      </c>
      <c r="D2072" s="8" t="n"/>
      <c r="E2072" s="8" t="n">
        <v>1394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>
        <f>IF(COUNT(D2072:S2072)=0,"",MIN(D2072:S2072))</f>
        <v/>
      </c>
      <c r="U2072" s="8">
        <f>IF(COUNT(D2072:S2072)=0,"",MEDIAN(D2072:S2072))</f>
        <v/>
      </c>
      <c r="V2072" s="8">
        <f>IF(COUNT(D2072:S2072)=0,"",MAX(D2072:S2072))</f>
        <v/>
      </c>
      <c r="W2072" s="9">
        <f>IF(OR(T2072="",T2072=0),"",(V2072-T2072)/T2072)</f>
        <v/>
      </c>
      <c r="X2072" s="7">
        <f>IF(COUNT(D2072:S2072)=0,"",INDEX($D$1:$S$1,MATCH(MIN(D2072:S2072),D2072:S2072,0)))</f>
        <v/>
      </c>
      <c r="Y2072" s="8" t="n">
        <v>1444.5</v>
      </c>
      <c r="Z2072" s="10" t="n">
        <v>1</v>
      </c>
    </row>
    <row r="2073">
      <c r="A2073" s="7" t="inlineStr">
        <is>
          <t>MAT-32-723</t>
        </is>
      </c>
      <c r="B2073" s="4" t="inlineStr">
        <is>
          <t>Válvula de retención (cheque) 1/2"</t>
        </is>
      </c>
      <c r="C2073" s="7" t="inlineStr">
        <is>
          <t>unidad</t>
        </is>
      </c>
      <c r="D2073" s="8" t="n"/>
      <c r="E2073" s="8" t="n">
        <v>502</v>
      </c>
      <c r="F2073" s="8" t="n"/>
      <c r="G2073" s="8" t="n">
        <v>535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>
        <f>IF(COUNT(D2073:S2073)=0,"",MIN(D2073:S2073))</f>
        <v/>
      </c>
      <c r="U2073" s="8">
        <f>IF(COUNT(D2073:S2073)=0,"",MEDIAN(D2073:S2073))</f>
        <v/>
      </c>
      <c r="V2073" s="8">
        <f>IF(COUNT(D2073:S2073)=0,"",MAX(D2073:S2073))</f>
        <v/>
      </c>
      <c r="W2073" s="9">
        <f>IF(OR(T2073="",T2073=0),"",(V2073-T2073)/T2073)</f>
        <v/>
      </c>
      <c r="X2073" s="7">
        <f>IF(COUNT(D2073:S2073)=0,"",INDEX($D$1:$S$1,MATCH(MIN(D2073:S2073),D2073:S2073,0)))</f>
        <v/>
      </c>
      <c r="Y2073" s="8" t="n">
        <v>535</v>
      </c>
      <c r="Z2073" s="10" t="n">
        <v>2</v>
      </c>
    </row>
    <row r="2074">
      <c r="A2074" s="7" t="inlineStr">
        <is>
          <t>MAT-32-724</t>
        </is>
      </c>
      <c r="B2074" s="4" t="inlineStr">
        <is>
          <t>Válvula de retención (cheque) 1"</t>
        </is>
      </c>
      <c r="C2074" s="7" t="inlineStr">
        <is>
          <t>unidad</t>
        </is>
      </c>
      <c r="D2074" s="8" t="n"/>
      <c r="E2074" s="8" t="n">
        <v>399</v>
      </c>
      <c r="F2074" s="8" t="n"/>
      <c r="G2074" s="8" t="n">
        <v>1048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>
        <f>IF(COUNT(D2074:S2074)=0,"",MIN(D2074:S2074))</f>
        <v/>
      </c>
      <c r="U2074" s="8">
        <f>IF(COUNT(D2074:S2074)=0,"",MEDIAN(D2074:S2074))</f>
        <v/>
      </c>
      <c r="V2074" s="8">
        <f>IF(COUNT(D2074:S2074)=0,"",MAX(D2074:S2074))</f>
        <v/>
      </c>
      <c r="W2074" s="9">
        <f>IF(OR(T2074="",T2074=0),"",(V2074-T2074)/T2074)</f>
        <v/>
      </c>
      <c r="X2074" s="7">
        <f>IF(COUNT(D2074:S2074)=0,"",INDEX($D$1:$S$1,MATCH(MIN(D2074:S2074),D2074:S2074,0)))</f>
        <v/>
      </c>
      <c r="Y2074" s="8" t="n">
        <v>955</v>
      </c>
      <c r="Z2074" s="10" t="n">
        <v>2</v>
      </c>
    </row>
    <row r="2075">
      <c r="A2075" s="7" t="inlineStr">
        <is>
          <t>MAT-32-725</t>
        </is>
      </c>
      <c r="B2075" s="4" t="inlineStr">
        <is>
          <t>Válvula de retención (cheque) 2"</t>
        </is>
      </c>
      <c r="C2075" s="7" t="inlineStr">
        <is>
          <t>unidad</t>
        </is>
      </c>
      <c r="D2075" s="8" t="n"/>
      <c r="E2075" s="8" t="n">
        <v>435</v>
      </c>
      <c r="F2075" s="8" t="n"/>
      <c r="G2075" s="8" t="n">
        <v>2946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>
        <f>IF(COUNT(D2075:S2075)=0,"",MIN(D2075:S2075))</f>
        <v/>
      </c>
      <c r="U2075" s="8">
        <f>IF(COUNT(D2075:S2075)=0,"",MEDIAN(D2075:S2075))</f>
        <v/>
      </c>
      <c r="V2075" s="8">
        <f>IF(COUNT(D2075:S2075)=0,"",MAX(D2075:S2075))</f>
        <v/>
      </c>
      <c r="W2075" s="9">
        <f>IF(OR(T2075="",T2075=0),"",(V2075-T2075)/T2075)</f>
        <v/>
      </c>
      <c r="X2075" s="7">
        <f>IF(COUNT(D2075:S2075)=0,"",INDEX($D$1:$S$1,MATCH(MIN(D2075:S2075),D2075:S2075,0)))</f>
        <v/>
      </c>
      <c r="Y2075" s="8" t="n">
        <v>2864</v>
      </c>
      <c r="Z2075" s="10" t="n">
        <v>2</v>
      </c>
    </row>
    <row r="2076">
      <c r="A2076" s="7" t="inlineStr">
        <is>
          <t>MAT-32-726</t>
        </is>
      </c>
      <c r="B2076" s="4" t="inlineStr">
        <is>
          <t>Válvula de retención (cheque) 3/4"</t>
        </is>
      </c>
      <c r="C2076" s="7" t="inlineStr">
        <is>
          <t>unidad</t>
        </is>
      </c>
      <c r="D2076" s="8" t="n"/>
      <c r="E2076" s="8" t="n">
        <v>586</v>
      </c>
      <c r="F2076" s="8" t="n"/>
      <c r="G2076" s="8" t="n">
        <v>695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>
        <f>IF(COUNT(D2076:S2076)=0,"",MIN(D2076:S2076))</f>
        <v/>
      </c>
      <c r="U2076" s="8">
        <f>IF(COUNT(D2076:S2076)=0,"",MEDIAN(D2076:S2076))</f>
        <v/>
      </c>
      <c r="V2076" s="8">
        <f>IF(COUNT(D2076:S2076)=0,"",MAX(D2076:S2076))</f>
        <v/>
      </c>
      <c r="W2076" s="9">
        <f>IF(OR(T2076="",T2076=0),"",(V2076-T2076)/T2076)</f>
        <v/>
      </c>
      <c r="X2076" s="7">
        <f>IF(COUNT(D2076:S2076)=0,"",INDEX($D$1:$S$1,MATCH(MIN(D2076:S2076),D2076:S2076,0)))</f>
        <v/>
      </c>
      <c r="Y2076" s="8" t="n">
        <v>695</v>
      </c>
      <c r="Z2076" s="10" t="n">
        <v>2</v>
      </c>
    </row>
    <row r="2077">
      <c r="A2077" s="7" t="inlineStr">
        <is>
          <t>MAT-32-727</t>
        </is>
      </c>
      <c r="B2077" s="4" t="inlineStr">
        <is>
          <t>Válvula de retención (cheque) 3"</t>
        </is>
      </c>
      <c r="C2077" s="7" t="inlineStr">
        <is>
          <t>unidad</t>
        </is>
      </c>
      <c r="D2077" s="8" t="n"/>
      <c r="E2077" s="8" t="n">
        <v>6059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>
        <f>IF(COUNT(D2077:S2077)=0,"",MIN(D2077:S2077))</f>
        <v/>
      </c>
      <c r="U2077" s="8">
        <f>IF(COUNT(D2077:S2077)=0,"",MEDIAN(D2077:S2077))</f>
        <v/>
      </c>
      <c r="V2077" s="8">
        <f>IF(COUNT(D2077:S2077)=0,"",MAX(D2077:S2077))</f>
        <v/>
      </c>
      <c r="W2077" s="9">
        <f>IF(OR(T2077="",T2077=0),"",(V2077-T2077)/T2077)</f>
        <v/>
      </c>
      <c r="X2077" s="7">
        <f>IF(COUNT(D2077:S2077)=0,"",INDEX($D$1:$S$1,MATCH(MIN(D2077:S2077),D2077:S2077,0)))</f>
        <v/>
      </c>
      <c r="Y2077" s="8" t="n">
        <v>7885</v>
      </c>
      <c r="Z2077" s="10" t="n">
        <v>1</v>
      </c>
    </row>
    <row r="2078">
      <c r="A2078" s="7" t="inlineStr">
        <is>
          <t>MAT-32-728</t>
        </is>
      </c>
      <c r="B2078" s="4" t="inlineStr">
        <is>
          <t>Válvula de retención (cheque) 4"</t>
        </is>
      </c>
      <c r="C2078" s="7" t="inlineStr">
        <is>
          <t>unidad</t>
        </is>
      </c>
      <c r="D2078" s="8" t="n"/>
      <c r="E2078" s="8" t="n">
        <v>12582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>
        <f>IF(COUNT(D2078:S2078)=0,"",MIN(D2078:S2078))</f>
        <v/>
      </c>
      <c r="U2078" s="8">
        <f>IF(COUNT(D2078:S2078)=0,"",MEDIAN(D2078:S2078))</f>
        <v/>
      </c>
      <c r="V2078" s="8">
        <f>IF(COUNT(D2078:S2078)=0,"",MAX(D2078:S2078))</f>
        <v/>
      </c>
      <c r="W2078" s="9">
        <f>IF(OR(T2078="",T2078=0),"",(V2078-T2078)/T2078)</f>
        <v/>
      </c>
      <c r="X2078" s="7">
        <f>IF(COUNT(D2078:S2078)=0,"",INDEX($D$1:$S$1,MATCH(MIN(D2078:S2078),D2078:S2078,0)))</f>
        <v/>
      </c>
      <c r="Y2078" s="8" t="n">
        <v>14372</v>
      </c>
      <c r="Z2078" s="10" t="n">
        <v>1</v>
      </c>
    </row>
    <row r="2079">
      <c r="A2079" s="7" t="inlineStr">
        <is>
          <t>MAT-32-729</t>
        </is>
      </c>
      <c r="B2079" s="4" t="inlineStr">
        <is>
          <t>Válvula de cisterna con flotante 1/2"</t>
        </is>
      </c>
      <c r="C2079" s="7" t="inlineStr">
        <is>
          <t>unidad</t>
        </is>
      </c>
      <c r="D2079" s="8" t="n"/>
      <c r="E2079" s="8" t="n"/>
      <c r="F2079" s="8" t="n"/>
      <c r="G2079" s="8" t="n">
        <v>616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>
        <f>IF(COUNT(D2079:S2079)=0,"",MIN(D2079:S2079))</f>
        <v/>
      </c>
      <c r="U2079" s="8">
        <f>IF(COUNT(D2079:S2079)=0,"",MEDIAN(D2079:S2079))</f>
        <v/>
      </c>
      <c r="V2079" s="8">
        <f>IF(COUNT(D2079:S2079)=0,"",MAX(D2079:S2079))</f>
        <v/>
      </c>
      <c r="W2079" s="9">
        <f>IF(OR(T2079="",T2079=0),"",(V2079-T2079)/T2079)</f>
        <v/>
      </c>
      <c r="X2079" s="7">
        <f>IF(COUNT(D2079:S2079)=0,"",INDEX($D$1:$S$1,MATCH(MIN(D2079:S2079),D2079:S2079,0)))</f>
        <v/>
      </c>
      <c r="Y2079" s="8" t="n">
        <v>734.5</v>
      </c>
      <c r="Z2079" s="10" t="n">
        <v>1</v>
      </c>
    </row>
    <row r="2080">
      <c r="A2080" s="7" t="inlineStr">
        <is>
          <t>MAT-32-730</t>
        </is>
      </c>
      <c r="B2080" s="4" t="inlineStr">
        <is>
          <t>Válvula de cisterna con flotante 3/4"</t>
        </is>
      </c>
      <c r="C2080" s="7" t="inlineStr">
        <is>
          <t>unidad</t>
        </is>
      </c>
      <c r="D2080" s="8" t="n"/>
      <c r="E2080" s="8" t="n"/>
      <c r="F2080" s="8" t="n"/>
      <c r="G2080" s="8" t="n">
        <v>615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>
        <f>IF(COUNT(D2080:S2080)=0,"",MIN(D2080:S2080))</f>
        <v/>
      </c>
      <c r="U2080" s="8">
        <f>IF(COUNT(D2080:S2080)=0,"",MEDIAN(D2080:S2080))</f>
        <v/>
      </c>
      <c r="V2080" s="8">
        <f>IF(COUNT(D2080:S2080)=0,"",MAX(D2080:S2080))</f>
        <v/>
      </c>
      <c r="W2080" s="9">
        <f>IF(OR(T2080="",T2080=0),"",(V2080-T2080)/T2080)</f>
        <v/>
      </c>
      <c r="X2080" s="7">
        <f>IF(COUNT(D2080:S2080)=0,"",INDEX($D$1:$S$1,MATCH(MIN(D2080:S2080),D2080:S2080,0)))</f>
        <v/>
      </c>
      <c r="Y2080" s="8" t="n">
        <v>943</v>
      </c>
      <c r="Z2080" s="10" t="n">
        <v>1</v>
      </c>
    </row>
    <row r="2081">
      <c r="A2081" s="7" t="inlineStr">
        <is>
          <t>MAT-32-731</t>
        </is>
      </c>
      <c r="B2081" s="4" t="inlineStr">
        <is>
          <t>Rejilla de piso 10 x 10 cm</t>
        </is>
      </c>
      <c r="C2081" s="7" t="inlineStr">
        <is>
          <t>unidad</t>
        </is>
      </c>
      <c r="D2081" s="8" t="n"/>
      <c r="E2081" s="8" t="n"/>
      <c r="F2081" s="8" t="n"/>
      <c r="G2081" s="8" t="n">
        <v>306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>
        <f>IF(COUNT(D2081:S2081)=0,"",MIN(D2081:S2081))</f>
        <v/>
      </c>
      <c r="U2081" s="8">
        <f>IF(COUNT(D2081:S2081)=0,"",MEDIAN(D2081:S2081))</f>
        <v/>
      </c>
      <c r="V2081" s="8">
        <f>IF(COUNT(D2081:S2081)=0,"",MAX(D2081:S2081))</f>
        <v/>
      </c>
      <c r="W2081" s="9">
        <f>IF(OR(T2081="",T2081=0),"",(V2081-T2081)/T2081)</f>
        <v/>
      </c>
      <c r="X2081" s="7">
        <f>IF(COUNT(D2081:S2081)=0,"",INDEX($D$1:$S$1,MATCH(MIN(D2081:S2081),D2081:S2081,0)))</f>
        <v/>
      </c>
      <c r="Y2081" s="8" t="n">
        <v>310</v>
      </c>
      <c r="Z2081" s="10" t="n">
        <v>1</v>
      </c>
    </row>
    <row r="2082">
      <c r="A2082" s="7" t="inlineStr">
        <is>
          <t>MAT-32-732</t>
        </is>
      </c>
      <c r="B2082" s="4" t="inlineStr">
        <is>
          <t>Rejilla de piso 100 x 100 cm</t>
        </is>
      </c>
      <c r="C2082" s="7" t="inlineStr">
        <is>
          <t>unidad</t>
        </is>
      </c>
      <c r="D2082" s="8" t="n"/>
      <c r="E2082" s="8" t="n"/>
      <c r="F2082" s="8" t="n"/>
      <c r="G2082" s="8" t="n">
        <v>1173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>
        <f>IF(COUNT(D2082:S2082)=0,"",MIN(D2082:S2082))</f>
        <v/>
      </c>
      <c r="U2082" s="8">
        <f>IF(COUNT(D2082:S2082)=0,"",MEDIAN(D2082:S2082))</f>
        <v/>
      </c>
      <c r="V2082" s="8">
        <f>IF(COUNT(D2082:S2082)=0,"",MAX(D2082:S2082))</f>
        <v/>
      </c>
      <c r="W2082" s="9">
        <f>IF(OR(T2082="",T2082=0),"",(V2082-T2082)/T2082)</f>
        <v/>
      </c>
      <c r="X2082" s="7">
        <f>IF(COUNT(D2082:S2082)=0,"",INDEX($D$1:$S$1,MATCH(MIN(D2082:S2082),D2082:S2082,0)))</f>
        <v/>
      </c>
      <c r="Y2082" s="8" t="n">
        <v>1173</v>
      </c>
      <c r="Z2082" s="10" t="n">
        <v>1</v>
      </c>
    </row>
    <row r="2083">
      <c r="A2083" s="7" t="inlineStr">
        <is>
          <t>MAT-32-733</t>
        </is>
      </c>
      <c r="B2083" s="4" t="inlineStr">
        <is>
          <t>Rejilla de piso 10"</t>
        </is>
      </c>
      <c r="C2083" s="7" t="inlineStr">
        <is>
          <t>unidad</t>
        </is>
      </c>
      <c r="D2083" s="8" t="n"/>
      <c r="E2083" s="8" t="n"/>
      <c r="F2083" s="8" t="n"/>
      <c r="G2083" s="8" t="n">
        <v>968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>
        <f>IF(COUNT(D2083:S2083)=0,"",MIN(D2083:S2083))</f>
        <v/>
      </c>
      <c r="U2083" s="8">
        <f>IF(COUNT(D2083:S2083)=0,"",MEDIAN(D2083:S2083))</f>
        <v/>
      </c>
      <c r="V2083" s="8">
        <f>IF(COUNT(D2083:S2083)=0,"",MAX(D2083:S2083))</f>
        <v/>
      </c>
      <c r="W2083" s="9">
        <f>IF(OR(T2083="",T2083=0),"",(V2083-T2083)/T2083)</f>
        <v/>
      </c>
      <c r="X2083" s="7">
        <f>IF(COUNT(D2083:S2083)=0,"",INDEX($D$1:$S$1,MATCH(MIN(D2083:S2083),D2083:S2083,0)))</f>
        <v/>
      </c>
      <c r="Y2083" s="8" t="n">
        <v>1196</v>
      </c>
      <c r="Z2083" s="10" t="n">
        <v>1</v>
      </c>
    </row>
    <row r="2084">
      <c r="A2084" s="7" t="inlineStr">
        <is>
          <t>MAT-32-734</t>
        </is>
      </c>
      <c r="B2084" s="4" t="inlineStr">
        <is>
          <t>Rejilla de piso 15 x 15 cm</t>
        </is>
      </c>
      <c r="C2084" s="7" t="inlineStr">
        <is>
          <t>unidad</t>
        </is>
      </c>
      <c r="D2084" s="8" t="n"/>
      <c r="E2084" s="8" t="n"/>
      <c r="F2084" s="8" t="n"/>
      <c r="G2084" s="8" t="n">
        <v>413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>
        <f>IF(COUNT(D2084:S2084)=0,"",MIN(D2084:S2084))</f>
        <v/>
      </c>
      <c r="U2084" s="8">
        <f>IF(COUNT(D2084:S2084)=0,"",MEDIAN(D2084:S2084))</f>
        <v/>
      </c>
      <c r="V2084" s="8">
        <f>IF(COUNT(D2084:S2084)=0,"",MAX(D2084:S2084))</f>
        <v/>
      </c>
      <c r="W2084" s="9">
        <f>IF(OR(T2084="",T2084=0),"",(V2084-T2084)/T2084)</f>
        <v/>
      </c>
      <c r="X2084" s="7">
        <f>IF(COUNT(D2084:S2084)=0,"",INDEX($D$1:$S$1,MATCH(MIN(D2084:S2084),D2084:S2084,0)))</f>
        <v/>
      </c>
      <c r="Y2084" s="8" t="n">
        <v>1233.5</v>
      </c>
      <c r="Z2084" s="10" t="n">
        <v>1</v>
      </c>
    </row>
    <row r="2085">
      <c r="A2085" s="7" t="inlineStr">
        <is>
          <t>MAT-32-735</t>
        </is>
      </c>
      <c r="B2085" s="4" t="inlineStr">
        <is>
          <t>Rejilla de piso 20 x 20 cm</t>
        </is>
      </c>
      <c r="C2085" s="7" t="inlineStr">
        <is>
          <t>unidad</t>
        </is>
      </c>
      <c r="D2085" s="8" t="n"/>
      <c r="E2085" s="8" t="n"/>
      <c r="F2085" s="8" t="n"/>
      <c r="G2085" s="8" t="n">
        <v>572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>
        <f>IF(COUNT(D2085:S2085)=0,"",MIN(D2085:S2085))</f>
        <v/>
      </c>
      <c r="U2085" s="8">
        <f>IF(COUNT(D2085:S2085)=0,"",MEDIAN(D2085:S2085))</f>
        <v/>
      </c>
      <c r="V2085" s="8">
        <f>IF(COUNT(D2085:S2085)=0,"",MAX(D2085:S2085))</f>
        <v/>
      </c>
      <c r="W2085" s="9">
        <f>IF(OR(T2085="",T2085=0),"",(V2085-T2085)/T2085)</f>
        <v/>
      </c>
      <c r="X2085" s="7">
        <f>IF(COUNT(D2085:S2085)=0,"",INDEX($D$1:$S$1,MATCH(MIN(D2085:S2085),D2085:S2085,0)))</f>
        <v/>
      </c>
      <c r="Y2085" s="8" t="n">
        <v>572</v>
      </c>
      <c r="Z2085" s="10" t="n">
        <v>1</v>
      </c>
    </row>
    <row r="2086">
      <c r="A2086" s="7" t="inlineStr">
        <is>
          <t>MAT-32-736</t>
        </is>
      </c>
      <c r="B2086" s="4" t="inlineStr">
        <is>
          <t>Rejilla de piso 2"</t>
        </is>
      </c>
      <c r="C2086" s="7" t="inlineStr">
        <is>
          <t>unidad</t>
        </is>
      </c>
      <c r="D2086" s="8" t="n"/>
      <c r="E2086" s="8" t="n"/>
      <c r="F2086" s="8" t="n"/>
      <c r="G2086" s="8" t="n">
        <v>199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>
        <f>IF(COUNT(D2086:S2086)=0,"",MIN(D2086:S2086))</f>
        <v/>
      </c>
      <c r="U2086" s="8">
        <f>IF(COUNT(D2086:S2086)=0,"",MEDIAN(D2086:S2086))</f>
        <v/>
      </c>
      <c r="V2086" s="8">
        <f>IF(COUNT(D2086:S2086)=0,"",MAX(D2086:S2086))</f>
        <v/>
      </c>
      <c r="W2086" s="9">
        <f>IF(OR(T2086="",T2086=0),"",(V2086-T2086)/T2086)</f>
        <v/>
      </c>
      <c r="X2086" s="7">
        <f>IF(COUNT(D2086:S2086)=0,"",INDEX($D$1:$S$1,MATCH(MIN(D2086:S2086),D2086:S2086,0)))</f>
        <v/>
      </c>
      <c r="Y2086" s="8" t="n">
        <v>648</v>
      </c>
      <c r="Z2086" s="10" t="n">
        <v>1</v>
      </c>
    </row>
    <row r="2087">
      <c r="A2087" s="7" t="inlineStr">
        <is>
          <t>MAT-32-737</t>
        </is>
      </c>
      <c r="B2087" s="4" t="inlineStr">
        <is>
          <t>Rejilla de piso 3 1/2"</t>
        </is>
      </c>
      <c r="C2087" s="7" t="inlineStr">
        <is>
          <t>unidad</t>
        </is>
      </c>
      <c r="D2087" s="8" t="n"/>
      <c r="E2087" s="8" t="n"/>
      <c r="F2087" s="8" t="n"/>
      <c r="G2087" s="8" t="n">
        <v>368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>
        <f>IF(COUNT(D2087:S2087)=0,"",MIN(D2087:S2087))</f>
        <v/>
      </c>
      <c r="U2087" s="8">
        <f>IF(COUNT(D2087:S2087)=0,"",MEDIAN(D2087:S2087))</f>
        <v/>
      </c>
      <c r="V2087" s="8">
        <f>IF(COUNT(D2087:S2087)=0,"",MAX(D2087:S2087))</f>
        <v/>
      </c>
      <c r="W2087" s="9">
        <f>IF(OR(T2087="",T2087=0),"",(V2087-T2087)/T2087)</f>
        <v/>
      </c>
      <c r="X2087" s="7">
        <f>IF(COUNT(D2087:S2087)=0,"",INDEX($D$1:$S$1,MATCH(MIN(D2087:S2087),D2087:S2087,0)))</f>
        <v/>
      </c>
      <c r="Y2087" s="8" t="n">
        <v>384.5</v>
      </c>
      <c r="Z2087" s="10" t="n">
        <v>1</v>
      </c>
    </row>
    <row r="2088">
      <c r="A2088" s="7" t="inlineStr">
        <is>
          <t>MAT-32-738</t>
        </is>
      </c>
      <c r="B2088" s="4" t="inlineStr">
        <is>
          <t>Rejilla de piso 3"</t>
        </is>
      </c>
      <c r="C2088" s="7" t="inlineStr">
        <is>
          <t>unidad</t>
        </is>
      </c>
      <c r="D2088" s="8" t="n"/>
      <c r="E2088" s="8" t="n"/>
      <c r="F2088" s="8" t="n"/>
      <c r="G2088" s="8" t="n">
        <v>356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>
        <f>IF(COUNT(D2088:S2088)=0,"",MIN(D2088:S2088))</f>
        <v/>
      </c>
      <c r="U2088" s="8">
        <f>IF(COUNT(D2088:S2088)=0,"",MEDIAN(D2088:S2088))</f>
        <v/>
      </c>
      <c r="V2088" s="8">
        <f>IF(COUNT(D2088:S2088)=0,"",MAX(D2088:S2088))</f>
        <v/>
      </c>
      <c r="W2088" s="9">
        <f>IF(OR(T2088="",T2088=0),"",(V2088-T2088)/T2088)</f>
        <v/>
      </c>
      <c r="X2088" s="7">
        <f>IF(COUNT(D2088:S2088)=0,"",INDEX($D$1:$S$1,MATCH(MIN(D2088:S2088),D2088:S2088,0)))</f>
        <v/>
      </c>
      <c r="Y2088" s="8" t="n">
        <v>460.5</v>
      </c>
      <c r="Z2088" s="10" t="n">
        <v>1</v>
      </c>
    </row>
    <row r="2089">
      <c r="A2089" s="7" t="inlineStr">
        <is>
          <t>MAT-32-739</t>
        </is>
      </c>
      <c r="B2089" s="4" t="inlineStr">
        <is>
          <t>Rejilla de piso 4"</t>
        </is>
      </c>
      <c r="C2089" s="7" t="inlineStr">
        <is>
          <t>unidad</t>
        </is>
      </c>
      <c r="D2089" s="8" t="n"/>
      <c r="E2089" s="8" t="n"/>
      <c r="F2089" s="8" t="n"/>
      <c r="G2089" s="8" t="n">
        <v>453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>
        <f>IF(COUNT(D2089:S2089)=0,"",MIN(D2089:S2089))</f>
        <v/>
      </c>
      <c r="U2089" s="8">
        <f>IF(COUNT(D2089:S2089)=0,"",MEDIAN(D2089:S2089))</f>
        <v/>
      </c>
      <c r="V2089" s="8">
        <f>IF(COUNT(D2089:S2089)=0,"",MAX(D2089:S2089))</f>
        <v/>
      </c>
      <c r="W2089" s="9">
        <f>IF(OR(T2089="",T2089=0),"",(V2089-T2089)/T2089)</f>
        <v/>
      </c>
      <c r="X2089" s="7">
        <f>IF(COUNT(D2089:S2089)=0,"",INDEX($D$1:$S$1,MATCH(MIN(D2089:S2089),D2089:S2089,0)))</f>
        <v/>
      </c>
      <c r="Y2089" s="8" t="n">
        <v>481.5</v>
      </c>
      <c r="Z2089" s="10" t="n">
        <v>1</v>
      </c>
    </row>
    <row r="2090">
      <c r="A2090" s="7" t="inlineStr">
        <is>
          <t>MAT-32-740</t>
        </is>
      </c>
      <c r="B2090" s="4" t="inlineStr">
        <is>
          <t>Rejilla de piso 6 x 6"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3129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>
        <f>IF(COUNT(D2090:S2090)=0,"",MIN(D2090:S2090))</f>
        <v/>
      </c>
      <c r="U2090" s="8">
        <f>IF(COUNT(D2090:S2090)=0,"",MEDIAN(D2090:S2090))</f>
        <v/>
      </c>
      <c r="V2090" s="8">
        <f>IF(COUNT(D2090:S2090)=0,"",MAX(D2090:S2090))</f>
        <v/>
      </c>
      <c r="W2090" s="9">
        <f>IF(OR(T2090="",T2090=0),"",(V2090-T2090)/T2090)</f>
        <v/>
      </c>
      <c r="X2090" s="7">
        <f>IF(COUNT(D2090:S2090)=0,"",INDEX($D$1:$S$1,MATCH(MIN(D2090:S2090),D2090:S2090,0)))</f>
        <v/>
      </c>
      <c r="Y2090" s="8" t="n">
        <v>3129</v>
      </c>
      <c r="Z2090" s="10" t="n">
        <v>1</v>
      </c>
    </row>
    <row r="2091">
      <c r="A2091" s="7" t="inlineStr">
        <is>
          <t>MAT-32-741</t>
        </is>
      </c>
      <c r="B2091" s="4" t="inlineStr">
        <is>
          <t>Rejilla de piso 6"</t>
        </is>
      </c>
      <c r="C2091" s="7" t="inlineStr">
        <is>
          <t>unidad</t>
        </is>
      </c>
      <c r="D2091" s="8" t="n"/>
      <c r="E2091" s="8" t="n"/>
      <c r="F2091" s="8" t="n"/>
      <c r="G2091" s="8" t="n">
        <v>2403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>
        <f>IF(COUNT(D2091:S2091)=0,"",MIN(D2091:S2091))</f>
        <v/>
      </c>
      <c r="U2091" s="8">
        <f>IF(COUNT(D2091:S2091)=0,"",MEDIAN(D2091:S2091))</f>
        <v/>
      </c>
      <c r="V2091" s="8">
        <f>IF(COUNT(D2091:S2091)=0,"",MAX(D2091:S2091))</f>
        <v/>
      </c>
      <c r="W2091" s="9">
        <f>IF(OR(T2091="",T2091=0),"",(V2091-T2091)/T2091)</f>
        <v/>
      </c>
      <c r="X2091" s="7">
        <f>IF(COUNT(D2091:S2091)=0,"",INDEX($D$1:$S$1,MATCH(MIN(D2091:S2091),D2091:S2091,0)))</f>
        <v/>
      </c>
      <c r="Y2091" s="8" t="n">
        <v>2403</v>
      </c>
      <c r="Z2091" s="10" t="n">
        <v>1</v>
      </c>
    </row>
    <row r="2092">
      <c r="A2092" s="7" t="inlineStr">
        <is>
          <t>MAT-32-742</t>
        </is>
      </c>
      <c r="B2092" s="4" t="inlineStr">
        <is>
          <t>Rejilla de piso 80 x 80 cm</t>
        </is>
      </c>
      <c r="C2092" s="7" t="inlineStr">
        <is>
          <t>unidad</t>
        </is>
      </c>
      <c r="D2092" s="8" t="n"/>
      <c r="E2092" s="8" t="n"/>
      <c r="F2092" s="8" t="n"/>
      <c r="G2092" s="8" t="n">
        <v>865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>
        <f>IF(COUNT(D2092:S2092)=0,"",MIN(D2092:S2092))</f>
        <v/>
      </c>
      <c r="U2092" s="8">
        <f>IF(COUNT(D2092:S2092)=0,"",MEDIAN(D2092:S2092))</f>
        <v/>
      </c>
      <c r="V2092" s="8">
        <f>IF(COUNT(D2092:S2092)=0,"",MAX(D2092:S2092))</f>
        <v/>
      </c>
      <c r="W2092" s="9">
        <f>IF(OR(T2092="",T2092=0),"",(V2092-T2092)/T2092)</f>
        <v/>
      </c>
      <c r="X2092" s="7">
        <f>IF(COUNT(D2092:S2092)=0,"",INDEX($D$1:$S$1,MATCH(MIN(D2092:S2092),D2092:S2092,0)))</f>
        <v/>
      </c>
      <c r="Y2092" s="8" t="n">
        <v>865</v>
      </c>
      <c r="Z2092" s="10" t="n">
        <v>1</v>
      </c>
    </row>
    <row r="2093">
      <c r="A2093" s="7" t="inlineStr">
        <is>
          <t>MAT-32-743</t>
        </is>
      </c>
      <c r="B2093" s="4" t="inlineStr">
        <is>
          <t>Sifón de metal cromado para desagüe 1 1/4"</t>
        </is>
      </c>
      <c r="C2093" s="7" t="inlineStr">
        <is>
          <t>unidad</t>
        </is>
      </c>
      <c r="D2093" s="8" t="n"/>
      <c r="E2093" s="8" t="n"/>
      <c r="F2093" s="8" t="n"/>
      <c r="G2093" s="8" t="n">
        <v>1425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>
        <f>IF(COUNT(D2093:S2093)=0,"",MIN(D2093:S2093))</f>
        <v/>
      </c>
      <c r="U2093" s="8">
        <f>IF(COUNT(D2093:S2093)=0,"",MEDIAN(D2093:S2093))</f>
        <v/>
      </c>
      <c r="V2093" s="8">
        <f>IF(COUNT(D2093:S2093)=0,"",MAX(D2093:S2093))</f>
        <v/>
      </c>
      <c r="W2093" s="9">
        <f>IF(OR(T2093="",T2093=0),"",(V2093-T2093)/T2093)</f>
        <v/>
      </c>
      <c r="X2093" s="7">
        <f>IF(COUNT(D2093:S2093)=0,"",INDEX($D$1:$S$1,MATCH(MIN(D2093:S2093),D2093:S2093,0)))</f>
        <v/>
      </c>
      <c r="Y2093" s="8" t="n">
        <v>1425</v>
      </c>
      <c r="Z2093" s="10" t="n">
        <v>1</v>
      </c>
    </row>
    <row r="2094">
      <c r="A2094" s="7" t="inlineStr">
        <is>
          <t>MAT-32-744</t>
        </is>
      </c>
      <c r="B2094" s="4" t="inlineStr">
        <is>
          <t>Sifón de PVC para desagüe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>
        <f>IF(COUNT(D2094:S2094)=0,"",MIN(D2094:S2094))</f>
        <v/>
      </c>
      <c r="U2094" s="8">
        <f>IF(COUNT(D2094:S2094)=0,"",MEDIAN(D2094:S2094))</f>
        <v/>
      </c>
      <c r="V2094" s="8">
        <f>IF(COUNT(D2094:S2094)=0,"",MAX(D2094:S2094))</f>
        <v/>
      </c>
      <c r="W2094" s="9">
        <f>IF(OR(T2094="",T2094=0),"",(V2094-T2094)/T2094)</f>
        <v/>
      </c>
      <c r="X2094" s="7">
        <f>IF(COUNT(D2094:S2094)=0,"",INDEX($D$1:$S$1,MATCH(MIN(D2094:S2094),D2094:S2094,0)))</f>
        <v/>
      </c>
      <c r="Y2094" s="8" t="n">
        <v>501.5</v>
      </c>
      <c r="Z2094" s="10" t="n">
        <v>1</v>
      </c>
    </row>
    <row r="2095">
      <c r="A2095" s="7" t="inlineStr">
        <is>
          <t>MAT-32-745</t>
        </is>
      </c>
      <c r="B2095" s="4" t="inlineStr">
        <is>
          <t>Sifón de PVC para desagüe 2"</t>
        </is>
      </c>
      <c r="C2095" s="7" t="inlineStr">
        <is>
          <t>unidad</t>
        </is>
      </c>
      <c r="D2095" s="8" t="n"/>
      <c r="E2095" s="8" t="n"/>
      <c r="F2095" s="8" t="n"/>
      <c r="G2095" s="8" t="n">
        <v>225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>
        <f>IF(COUNT(D2095:S2095)=0,"",MIN(D2095:S2095))</f>
        <v/>
      </c>
      <c r="U2095" s="8">
        <f>IF(COUNT(D2095:S2095)=0,"",MEDIAN(D2095:S2095))</f>
        <v/>
      </c>
      <c r="V2095" s="8">
        <f>IF(COUNT(D2095:S2095)=0,"",MAX(D2095:S2095))</f>
        <v/>
      </c>
      <c r="W2095" s="9">
        <f>IF(OR(T2095="",T2095=0),"",(V2095-T2095)/T2095)</f>
        <v/>
      </c>
      <c r="X2095" s="7">
        <f>IF(COUNT(D2095:S2095)=0,"",INDEX($D$1:$S$1,MATCH(MIN(D2095:S2095),D2095:S2095,0)))</f>
        <v/>
      </c>
      <c r="Y2095" s="8" t="n">
        <v>225</v>
      </c>
      <c r="Z2095" s="10" t="n">
        <v>1</v>
      </c>
    </row>
    <row r="2096">
      <c r="A2096" s="7" t="inlineStr">
        <is>
          <t>MAT-32-746</t>
        </is>
      </c>
      <c r="B2096" s="4" t="inlineStr">
        <is>
          <t>Sifón de PVC para fregadero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475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>
        <f>IF(COUNT(D2096:S2096)=0,"",MIN(D2096:S2096))</f>
        <v/>
      </c>
      <c r="U2096" s="8">
        <f>IF(COUNT(D2096:S2096)=0,"",MEDIAN(D2096:S2096))</f>
        <v/>
      </c>
      <c r="V2096" s="8">
        <f>IF(COUNT(D2096:S2096)=0,"",MAX(D2096:S2096))</f>
        <v/>
      </c>
      <c r="W2096" s="9">
        <f>IF(OR(T2096="",T2096=0),"",(V2096-T2096)/T2096)</f>
        <v/>
      </c>
      <c r="X2096" s="7">
        <f>IF(COUNT(D2096:S2096)=0,"",INDEX($D$1:$S$1,MATCH(MIN(D2096:S2096),D2096:S2096,0)))</f>
        <v/>
      </c>
      <c r="Y2096" s="8" t="n">
        <v>475</v>
      </c>
      <c r="Z2096" s="10" t="n">
        <v>1</v>
      </c>
    </row>
    <row r="2097">
      <c r="A2097" s="7" t="inlineStr">
        <is>
          <t>MAT-32-747</t>
        </is>
      </c>
      <c r="B2097" s="4" t="inlineStr">
        <is>
          <t>Sifón de PVC para fregadero 1 1/4"</t>
        </is>
      </c>
      <c r="C2097" s="7" t="inlineStr">
        <is>
          <t>unidad</t>
        </is>
      </c>
      <c r="D2097" s="8" t="n"/>
      <c r="E2097" s="8" t="n"/>
      <c r="F2097" s="8" t="n"/>
      <c r="G2097" s="8" t="n">
        <v>585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>
        <f>IF(COUNT(D2097:S2097)=0,"",MIN(D2097:S2097))</f>
        <v/>
      </c>
      <c r="U2097" s="8">
        <f>IF(COUNT(D2097:S2097)=0,"",MEDIAN(D2097:S2097))</f>
        <v/>
      </c>
      <c r="V2097" s="8">
        <f>IF(COUNT(D2097:S2097)=0,"",MAX(D2097:S2097))</f>
        <v/>
      </c>
      <c r="W2097" s="9">
        <f>IF(OR(T2097="",T2097=0),"",(V2097-T2097)/T2097)</f>
        <v/>
      </c>
      <c r="X2097" s="7">
        <f>IF(COUNT(D2097:S2097)=0,"",INDEX($D$1:$S$1,MATCH(MIN(D2097:S2097),D2097:S2097,0)))</f>
        <v/>
      </c>
      <c r="Y2097" s="8" t="n">
        <v>585</v>
      </c>
      <c r="Z2097" s="10" t="n">
        <v>1</v>
      </c>
    </row>
    <row r="2098">
      <c r="A2098" s="7" t="inlineStr">
        <is>
          <t>MAT-32-748</t>
        </is>
      </c>
      <c r="B2098" s="4" t="inlineStr">
        <is>
          <t>Sifón de metal para lavamanos 1 1/2"</t>
        </is>
      </c>
      <c r="C2098" s="7" t="inlineStr">
        <is>
          <t>unidad</t>
        </is>
      </c>
      <c r="D2098" s="8" t="n"/>
      <c r="E2098" s="8" t="n">
        <v>1252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>
        <f>IF(COUNT(D2098:S2098)=0,"",MIN(D2098:S2098))</f>
        <v/>
      </c>
      <c r="U2098" s="8">
        <f>IF(COUNT(D2098:S2098)=0,"",MEDIAN(D2098:S2098))</f>
        <v/>
      </c>
      <c r="V2098" s="8">
        <f>IF(COUNT(D2098:S2098)=0,"",MAX(D2098:S2098))</f>
        <v/>
      </c>
      <c r="W2098" s="9">
        <f>IF(OR(T2098="",T2098=0),"",(V2098-T2098)/T2098)</f>
        <v/>
      </c>
      <c r="X2098" s="7">
        <f>IF(COUNT(D2098:S2098)=0,"",INDEX($D$1:$S$1,MATCH(MIN(D2098:S2098),D2098:S2098,0)))</f>
        <v/>
      </c>
      <c r="Y2098" s="8" t="n">
        <v>1252</v>
      </c>
      <c r="Z2098" s="10" t="n">
        <v>1</v>
      </c>
    </row>
    <row r="2099">
      <c r="A2099" s="7" t="inlineStr">
        <is>
          <t>MAT-32-749</t>
        </is>
      </c>
      <c r="B2099" s="4" t="inlineStr">
        <is>
          <t>Sifón de metal para lavamanos 1 1/4"</t>
        </is>
      </c>
      <c r="C2099" s="7" t="inlineStr">
        <is>
          <t>unidad</t>
        </is>
      </c>
      <c r="D2099" s="8" t="n"/>
      <c r="E2099" s="8" t="n">
        <v>1274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>
        <f>IF(COUNT(D2099:S2099)=0,"",MIN(D2099:S2099))</f>
        <v/>
      </c>
      <c r="U2099" s="8">
        <f>IF(COUNT(D2099:S2099)=0,"",MEDIAN(D2099:S2099))</f>
        <v/>
      </c>
      <c r="V2099" s="8">
        <f>IF(COUNT(D2099:S2099)=0,"",MAX(D2099:S2099))</f>
        <v/>
      </c>
      <c r="W2099" s="9">
        <f>IF(OR(T2099="",T2099=0),"",(V2099-T2099)/T2099)</f>
        <v/>
      </c>
      <c r="X2099" s="7">
        <f>IF(COUNT(D2099:S2099)=0,"",INDEX($D$1:$S$1,MATCH(MIN(D2099:S2099),D2099:S2099,0)))</f>
        <v/>
      </c>
      <c r="Y2099" s="8" t="n">
        <v>1274</v>
      </c>
      <c r="Z2099" s="10" t="n">
        <v>1</v>
      </c>
    </row>
    <row r="2100">
      <c r="A2100" s="7" t="inlineStr">
        <is>
          <t>MAT-32-750</t>
        </is>
      </c>
      <c r="B2100" s="4" t="inlineStr">
        <is>
          <t>Sifón de metal para lavamanos 1/4"</t>
        </is>
      </c>
      <c r="C2100" s="7" t="inlineStr">
        <is>
          <t>unidad</t>
        </is>
      </c>
      <c r="D2100" s="8" t="n"/>
      <c r="E2100" s="8" t="n"/>
      <c r="F2100" s="8" t="n"/>
      <c r="G2100" s="8" t="n"/>
      <c r="H2100" s="8" t="n"/>
      <c r="I2100" s="8" t="n">
        <v>925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>
        <f>IF(COUNT(D2100:S2100)=0,"",MIN(D2100:S2100))</f>
        <v/>
      </c>
      <c r="U2100" s="8">
        <f>IF(COUNT(D2100:S2100)=0,"",MEDIAN(D2100:S2100))</f>
        <v/>
      </c>
      <c r="V2100" s="8">
        <f>IF(COUNT(D2100:S2100)=0,"",MAX(D2100:S2100))</f>
        <v/>
      </c>
      <c r="W2100" s="9">
        <f>IF(OR(T2100="",T2100=0),"",(V2100-T2100)/T2100)</f>
        <v/>
      </c>
      <c r="X2100" s="7">
        <f>IF(COUNT(D2100:S2100)=0,"",INDEX($D$1:$S$1,MATCH(MIN(D2100:S2100),D2100:S2100,0)))</f>
        <v/>
      </c>
      <c r="Y2100" s="8" t="n">
        <v>925</v>
      </c>
      <c r="Z2100" s="10" t="n">
        <v>1</v>
      </c>
    </row>
    <row r="2101">
      <c r="A2101" s="7" t="inlineStr">
        <is>
          <t>MAT-32-751</t>
        </is>
      </c>
      <c r="B2101" s="4" t="inlineStr">
        <is>
          <t>Sifón de PVC para lavamanos 1 1/2"</t>
        </is>
      </c>
      <c r="C2101" s="7" t="inlineStr">
        <is>
          <t>unidad</t>
        </is>
      </c>
      <c r="D2101" s="8" t="n"/>
      <c r="E2101" s="8" t="n">
        <v>70.38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>
        <f>IF(COUNT(D2101:S2101)=0,"",MIN(D2101:S2101))</f>
        <v/>
      </c>
      <c r="U2101" s="8">
        <f>IF(COUNT(D2101:S2101)=0,"",MEDIAN(D2101:S2101))</f>
        <v/>
      </c>
      <c r="V2101" s="8">
        <f>IF(COUNT(D2101:S2101)=0,"",MAX(D2101:S2101))</f>
        <v/>
      </c>
      <c r="W2101" s="9">
        <f>IF(OR(T2101="",T2101=0),"",(V2101-T2101)/T2101)</f>
        <v/>
      </c>
      <c r="X2101" s="7">
        <f>IF(COUNT(D2101:S2101)=0,"",INDEX($D$1:$S$1,MATCH(MIN(D2101:S2101),D2101:S2101,0)))</f>
        <v/>
      </c>
      <c r="Y2101" s="8" t="n">
        <v>150</v>
      </c>
      <c r="Z2101" s="10" t="n">
        <v>1</v>
      </c>
    </row>
    <row r="2102">
      <c r="A2102" s="7" t="inlineStr">
        <is>
          <t>MAT-32-752</t>
        </is>
      </c>
      <c r="B2102" s="4" t="inlineStr">
        <is>
          <t>Sifón de PVC para lavamanos 1 1/4"</t>
        </is>
      </c>
      <c r="C2102" s="7" t="inlineStr">
        <is>
          <t>unidad</t>
        </is>
      </c>
      <c r="D2102" s="8" t="n"/>
      <c r="E2102" s="8" t="n">
        <v>93.86</v>
      </c>
      <c r="F2102" s="8" t="n"/>
      <c r="G2102" s="8" t="n"/>
      <c r="H2102" s="8" t="n"/>
      <c r="I2102" s="8" t="n">
        <v>345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>
        <f>IF(COUNT(D2102:S2102)=0,"",MIN(D2102:S2102))</f>
        <v/>
      </c>
      <c r="U2102" s="8">
        <f>IF(COUNT(D2102:S2102)=0,"",MEDIAN(D2102:S2102))</f>
        <v/>
      </c>
      <c r="V2102" s="8">
        <f>IF(COUNT(D2102:S2102)=0,"",MAX(D2102:S2102))</f>
        <v/>
      </c>
      <c r="W2102" s="9">
        <f>IF(OR(T2102="",T2102=0),"",(V2102-T2102)/T2102)</f>
        <v/>
      </c>
      <c r="X2102" s="7">
        <f>IF(COUNT(D2102:S2102)=0,"",INDEX($D$1:$S$1,MATCH(MIN(D2102:S2102),D2102:S2102,0)))</f>
        <v/>
      </c>
      <c r="Y2102" s="8" t="n">
        <v>312.5</v>
      </c>
      <c r="Z2102" s="10" t="n">
        <v>2</v>
      </c>
    </row>
    <row r="2103">
      <c r="A2103" s="7" t="inlineStr">
        <is>
          <t>MAT-32-753</t>
        </is>
      </c>
      <c r="B2103" s="4" t="inlineStr">
        <is>
          <t>Sifón de PVC para lavamanos 2"</t>
        </is>
      </c>
      <c r="C2103" s="7" t="inlineStr">
        <is>
          <t>unidad</t>
        </is>
      </c>
      <c r="D2103" s="8" t="n"/>
      <c r="E2103" s="8" t="n">
        <v>81.5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>
        <f>IF(COUNT(D2103:S2103)=0,"",MIN(D2103:S2103))</f>
        <v/>
      </c>
      <c r="U2103" s="8">
        <f>IF(COUNT(D2103:S2103)=0,"",MEDIAN(D2103:S2103))</f>
        <v/>
      </c>
      <c r="V2103" s="8">
        <f>IF(COUNT(D2103:S2103)=0,"",MAX(D2103:S2103))</f>
        <v/>
      </c>
      <c r="W2103" s="9">
        <f>IF(OR(T2103="",T2103=0),"",(V2103-T2103)/T2103)</f>
        <v/>
      </c>
      <c r="X2103" s="7">
        <f>IF(COUNT(D2103:S2103)=0,"",INDEX($D$1:$S$1,MATCH(MIN(D2103:S2103),D2103:S2103,0)))</f>
        <v/>
      </c>
      <c r="Y2103" s="8" t="n">
        <v>96.84999999999999</v>
      </c>
      <c r="Z2103" s="10" t="n">
        <v>1</v>
      </c>
    </row>
    <row r="2104">
      <c r="A2104" s="7" t="inlineStr">
        <is>
          <t>MAT-32-754</t>
        </is>
      </c>
      <c r="B2104" s="4" t="inlineStr">
        <is>
          <t>Boquilla de desagüe de metal para fregadero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470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>
        <f>IF(COUNT(D2104:S2104)=0,"",MIN(D2104:S2104))</f>
        <v/>
      </c>
      <c r="U2104" s="8">
        <f>IF(COUNT(D2104:S2104)=0,"",MEDIAN(D2104:S2104))</f>
        <v/>
      </c>
      <c r="V2104" s="8">
        <f>IF(COUNT(D2104:S2104)=0,"",MAX(D2104:S2104))</f>
        <v/>
      </c>
      <c r="W2104" s="9">
        <f>IF(OR(T2104="",T2104=0),"",(V2104-T2104)/T2104)</f>
        <v/>
      </c>
      <c r="X2104" s="7">
        <f>IF(COUNT(D2104:S2104)=0,"",INDEX($D$1:$S$1,MATCH(MIN(D2104:S2104),D2104:S2104,0)))</f>
        <v/>
      </c>
      <c r="Y2104" s="8" t="n">
        <v>470</v>
      </c>
      <c r="Z2104" s="10" t="n">
        <v>1</v>
      </c>
    </row>
    <row r="2105">
      <c r="A2105" s="7" t="inlineStr">
        <is>
          <t>MAT-32-755</t>
        </is>
      </c>
      <c r="B2105" s="4" t="inlineStr">
        <is>
          <t>Boquilla de desagüe de plástico para fregadero</t>
        </is>
      </c>
      <c r="C2105" s="7" t="inlineStr">
        <is>
          <t>unidad</t>
        </is>
      </c>
      <c r="D2105" s="8" t="n"/>
      <c r="E2105" s="8" t="n"/>
      <c r="F2105" s="8" t="n">
        <v>713.65</v>
      </c>
      <c r="G2105" s="8" t="n">
        <v>285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>
        <f>IF(COUNT(D2105:S2105)=0,"",MIN(D2105:S2105))</f>
        <v/>
      </c>
      <c r="U2105" s="8">
        <f>IF(COUNT(D2105:S2105)=0,"",MEDIAN(D2105:S2105))</f>
        <v/>
      </c>
      <c r="V2105" s="8">
        <f>IF(COUNT(D2105:S2105)=0,"",MAX(D2105:S2105))</f>
        <v/>
      </c>
      <c r="W2105" s="9">
        <f>IF(OR(T2105="",T2105=0),"",(V2105-T2105)/T2105)</f>
        <v/>
      </c>
      <c r="X2105" s="7">
        <f>IF(COUNT(D2105:S2105)=0,"",INDEX($D$1:$S$1,MATCH(MIN(D2105:S2105),D2105:S2105,0)))</f>
        <v/>
      </c>
      <c r="Y2105" s="8" t="n">
        <v>563.55</v>
      </c>
      <c r="Z2105" s="10" t="n">
        <v>2</v>
      </c>
    </row>
    <row r="2106">
      <c r="A2106" s="7" t="inlineStr">
        <is>
          <t>MAT-32-756</t>
        </is>
      </c>
      <c r="B2106" s="4" t="inlineStr">
        <is>
          <t>Boquilla de desagüe de metal para lavadero</t>
        </is>
      </c>
      <c r="C2106" s="7" t="inlineStr">
        <is>
          <t>unidad</t>
        </is>
      </c>
      <c r="D2106" s="8" t="n"/>
      <c r="E2106" s="8" t="n"/>
      <c r="F2106" s="8" t="n"/>
      <c r="G2106" s="8" t="n">
        <v>429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>
        <f>IF(COUNT(D2106:S2106)=0,"",MIN(D2106:S2106))</f>
        <v/>
      </c>
      <c r="U2106" s="8">
        <f>IF(COUNT(D2106:S2106)=0,"",MEDIAN(D2106:S2106))</f>
        <v/>
      </c>
      <c r="V2106" s="8">
        <f>IF(COUNT(D2106:S2106)=0,"",MAX(D2106:S2106))</f>
        <v/>
      </c>
      <c r="W2106" s="9">
        <f>IF(OR(T2106="",T2106=0),"",(V2106-T2106)/T2106)</f>
        <v/>
      </c>
      <c r="X2106" s="7">
        <f>IF(COUNT(D2106:S2106)=0,"",INDEX($D$1:$S$1,MATCH(MIN(D2106:S2106),D2106:S2106,0)))</f>
        <v/>
      </c>
      <c r="Y2106" s="8" t="n">
        <v>429</v>
      </c>
      <c r="Z2106" s="10" t="n">
        <v>1</v>
      </c>
    </row>
    <row r="2107">
      <c r="A2107" s="7" t="inlineStr">
        <is>
          <t>MAT-32-757</t>
        </is>
      </c>
      <c r="B2107" s="4" t="inlineStr">
        <is>
          <t>Boquilla de desagüe de metal para lavamanos</t>
        </is>
      </c>
      <c r="C2107" s="7" t="inlineStr">
        <is>
          <t>unidad</t>
        </is>
      </c>
      <c r="D2107" s="8" t="n"/>
      <c r="E2107" s="8" t="n"/>
      <c r="F2107" s="8" t="n"/>
      <c r="G2107" s="8" t="n">
        <v>255</v>
      </c>
      <c r="H2107" s="8" t="n">
        <v>1500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>
        <f>IF(COUNT(D2107:S2107)=0,"",MIN(D2107:S2107))</f>
        <v/>
      </c>
      <c r="U2107" s="8">
        <f>IF(COUNT(D2107:S2107)=0,"",MEDIAN(D2107:S2107))</f>
        <v/>
      </c>
      <c r="V2107" s="8">
        <f>IF(COUNT(D2107:S2107)=0,"",MAX(D2107:S2107))</f>
        <v/>
      </c>
      <c r="W2107" s="9">
        <f>IF(OR(T2107="",T2107=0),"",(V2107-T2107)/T2107)</f>
        <v/>
      </c>
      <c r="X2107" s="7">
        <f>IF(COUNT(D2107:S2107)=0,"",INDEX($D$1:$S$1,MATCH(MIN(D2107:S2107),D2107:S2107,0)))</f>
        <v/>
      </c>
      <c r="Y2107" s="8" t="n">
        <v>1145</v>
      </c>
      <c r="Z2107" s="10" t="n">
        <v>2</v>
      </c>
    </row>
    <row r="2108">
      <c r="A2108" s="7" t="inlineStr">
        <is>
          <t>MAT-32-758</t>
        </is>
      </c>
      <c r="B2108" s="4" t="inlineStr">
        <is>
          <t>Boquilla de desagüe de plástico para lavamanos</t>
        </is>
      </c>
      <c r="C2108" s="7" t="inlineStr">
        <is>
          <t>unidad</t>
        </is>
      </c>
      <c r="D2108" s="8" t="n"/>
      <c r="E2108" s="8" t="n"/>
      <c r="F2108" s="8" t="n">
        <v>367.2</v>
      </c>
      <c r="G2108" s="8" t="n"/>
      <c r="H2108" s="8" t="n">
        <v>265.5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>
        <f>IF(COUNT(D2108:S2108)=0,"",MIN(D2108:S2108))</f>
        <v/>
      </c>
      <c r="U2108" s="8">
        <f>IF(COUNT(D2108:S2108)=0,"",MEDIAN(D2108:S2108))</f>
        <v/>
      </c>
      <c r="V2108" s="8">
        <f>IF(COUNT(D2108:S2108)=0,"",MAX(D2108:S2108))</f>
        <v/>
      </c>
      <c r="W2108" s="9">
        <f>IF(OR(T2108="",T2108=0),"",(V2108-T2108)/T2108)</f>
        <v/>
      </c>
      <c r="X2108" s="7">
        <f>IF(COUNT(D2108:S2108)=0,"",INDEX($D$1:$S$1,MATCH(MIN(D2108:S2108),D2108:S2108,0)))</f>
        <v/>
      </c>
      <c r="Y2108" s="8" t="n">
        <v>955.51</v>
      </c>
      <c r="Z2108" s="10" t="n">
        <v>2</v>
      </c>
    </row>
    <row r="2109">
      <c r="A2109" s="7" t="inlineStr">
        <is>
          <t>MAT-32-759</t>
        </is>
      </c>
      <c r="B2109" s="4" t="inlineStr">
        <is>
          <t>Manguera para bomba 24"</t>
        </is>
      </c>
      <c r="C2109" s="7" t="inlineStr">
        <is>
          <t>unidad</t>
        </is>
      </c>
      <c r="D2109" s="8" t="n"/>
      <c r="E2109" s="8" t="n"/>
      <c r="F2109" s="8" t="n"/>
      <c r="G2109" s="8" t="n">
        <v>970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>
        <f>IF(COUNT(D2109:S2109)=0,"",MIN(D2109:S2109))</f>
        <v/>
      </c>
      <c r="U2109" s="8">
        <f>IF(COUNT(D2109:S2109)=0,"",MEDIAN(D2109:S2109))</f>
        <v/>
      </c>
      <c r="V2109" s="8">
        <f>IF(COUNT(D2109:S2109)=0,"",MAX(D2109:S2109))</f>
        <v/>
      </c>
      <c r="W2109" s="9">
        <f>IF(OR(T2109="",T2109=0),"",(V2109-T2109)/T2109)</f>
        <v/>
      </c>
      <c r="X2109" s="7">
        <f>IF(COUNT(D2109:S2109)=0,"",INDEX($D$1:$S$1,MATCH(MIN(D2109:S2109),D2109:S2109,0)))</f>
        <v/>
      </c>
      <c r="Y2109" s="8" t="n">
        <v>970</v>
      </c>
      <c r="Z2109" s="10" t="n">
        <v>1</v>
      </c>
    </row>
    <row r="2110">
      <c r="A2110" s="7" t="inlineStr">
        <is>
          <t>MAT-32-760</t>
        </is>
      </c>
      <c r="B2110" s="4" t="inlineStr">
        <is>
          <t>Manguera para bomba 36"</t>
        </is>
      </c>
      <c r="C2110" s="7" t="inlineStr">
        <is>
          <t>unidad</t>
        </is>
      </c>
      <c r="D2110" s="8" t="n"/>
      <c r="E2110" s="8" t="n"/>
      <c r="F2110" s="8" t="n"/>
      <c r="G2110" s="8" t="n">
        <v>475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>
        <f>IF(COUNT(D2110:S2110)=0,"",MIN(D2110:S2110))</f>
        <v/>
      </c>
      <c r="U2110" s="8">
        <f>IF(COUNT(D2110:S2110)=0,"",MEDIAN(D2110:S2110))</f>
        <v/>
      </c>
      <c r="V2110" s="8">
        <f>IF(COUNT(D2110:S2110)=0,"",MAX(D2110:S2110))</f>
        <v/>
      </c>
      <c r="W2110" s="9">
        <f>IF(OR(T2110="",T2110=0),"",(V2110-T2110)/T2110)</f>
        <v/>
      </c>
      <c r="X2110" s="7">
        <f>IF(COUNT(D2110:S2110)=0,"",INDEX($D$1:$S$1,MATCH(MIN(D2110:S2110),D2110:S2110,0)))</f>
        <v/>
      </c>
      <c r="Y2110" s="8" t="n">
        <v>475</v>
      </c>
      <c r="Z2110" s="10" t="n">
        <v>1</v>
      </c>
    </row>
    <row r="2111">
      <c r="A2111" s="7" t="inlineStr">
        <is>
          <t>MAT-32-761</t>
        </is>
      </c>
      <c r="B2111" s="4" t="inlineStr">
        <is>
          <t>Manguera para calentador 24"</t>
        </is>
      </c>
      <c r="C2111" s="7" t="inlineStr">
        <is>
          <t>unidad</t>
        </is>
      </c>
      <c r="D2111" s="8" t="n"/>
      <c r="E2111" s="8" t="n"/>
      <c r="F2111" s="8" t="n"/>
      <c r="G2111" s="8" t="n">
        <v>895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>
        <f>IF(COUNT(D2111:S2111)=0,"",MIN(D2111:S2111))</f>
        <v/>
      </c>
      <c r="U2111" s="8">
        <f>IF(COUNT(D2111:S2111)=0,"",MEDIAN(D2111:S2111))</f>
        <v/>
      </c>
      <c r="V2111" s="8">
        <f>IF(COUNT(D2111:S2111)=0,"",MAX(D2111:S2111))</f>
        <v/>
      </c>
      <c r="W2111" s="9">
        <f>IF(OR(T2111="",T2111=0),"",(V2111-T2111)/T2111)</f>
        <v/>
      </c>
      <c r="X2111" s="7">
        <f>IF(COUNT(D2111:S2111)=0,"",INDEX($D$1:$S$1,MATCH(MIN(D2111:S2111),D2111:S2111,0)))</f>
        <v/>
      </c>
      <c r="Y2111" s="8" t="n">
        <v>895</v>
      </c>
      <c r="Z2111" s="10" t="n">
        <v>1</v>
      </c>
    </row>
    <row r="2112">
      <c r="A2112" s="7" t="inlineStr">
        <is>
          <t>MAT-32-762</t>
        </is>
      </c>
      <c r="B2112" s="4" t="inlineStr">
        <is>
          <t>Manguera para calentador 3/4" x 1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620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>
        <f>IF(COUNT(D2112:S2112)=0,"",MIN(D2112:S2112))</f>
        <v/>
      </c>
      <c r="U2112" s="8">
        <f>IF(COUNT(D2112:S2112)=0,"",MEDIAN(D2112:S2112))</f>
        <v/>
      </c>
      <c r="V2112" s="8">
        <f>IF(COUNT(D2112:S2112)=0,"",MAX(D2112:S2112))</f>
        <v/>
      </c>
      <c r="W2112" s="9">
        <f>IF(OR(T2112="",T2112=0),"",(V2112-T2112)/T2112)</f>
        <v/>
      </c>
      <c r="X2112" s="7">
        <f>IF(COUNT(D2112:S2112)=0,"",INDEX($D$1:$S$1,MATCH(MIN(D2112:S2112),D2112:S2112,0)))</f>
        <v/>
      </c>
      <c r="Y2112" s="8" t="n">
        <v>620</v>
      </c>
      <c r="Z2112" s="10" t="n">
        <v>1</v>
      </c>
    </row>
    <row r="2113">
      <c r="A2113" s="7" t="inlineStr">
        <is>
          <t>MAT-32-763</t>
        </is>
      </c>
      <c r="B2113" s="4" t="inlineStr">
        <is>
          <t>Manguera para calentador 3/4" x 2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685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>
        <f>IF(COUNT(D2113:S2113)=0,"",MIN(D2113:S2113))</f>
        <v/>
      </c>
      <c r="U2113" s="8">
        <f>IF(COUNT(D2113:S2113)=0,"",MEDIAN(D2113:S2113))</f>
        <v/>
      </c>
      <c r="V2113" s="8">
        <f>IF(COUNT(D2113:S2113)=0,"",MAX(D2113:S2113))</f>
        <v/>
      </c>
      <c r="W2113" s="9">
        <f>IF(OR(T2113="",T2113=0),"",(V2113-T2113)/T2113)</f>
        <v/>
      </c>
      <c r="X2113" s="7">
        <f>IF(COUNT(D2113:S2113)=0,"",INDEX($D$1:$S$1,MATCH(MIN(D2113:S2113),D2113:S2113,0)))</f>
        <v/>
      </c>
      <c r="Y2113" s="8" t="n">
        <v>878</v>
      </c>
      <c r="Z2113" s="10" t="n">
        <v>1</v>
      </c>
    </row>
    <row r="2114">
      <c r="A2114" s="7" t="inlineStr">
        <is>
          <t>MAT-32-764</t>
        </is>
      </c>
      <c r="B2114" s="4" t="inlineStr">
        <is>
          <t>Manguera para calentador 60"</t>
        </is>
      </c>
      <c r="C2114" s="7" t="inlineStr">
        <is>
          <t>unidad</t>
        </is>
      </c>
      <c r="D2114" s="8" t="n"/>
      <c r="E2114" s="8" t="n"/>
      <c r="F2114" s="8" t="n"/>
      <c r="G2114" s="8" t="n">
        <v>1094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>
        <f>IF(COUNT(D2114:S2114)=0,"",MIN(D2114:S2114))</f>
        <v/>
      </c>
      <c r="U2114" s="8">
        <f>IF(COUNT(D2114:S2114)=0,"",MEDIAN(D2114:S2114))</f>
        <v/>
      </c>
      <c r="V2114" s="8">
        <f>IF(COUNT(D2114:S2114)=0,"",MAX(D2114:S2114))</f>
        <v/>
      </c>
      <c r="W2114" s="9">
        <f>IF(OR(T2114="",T2114=0),"",(V2114-T2114)/T2114)</f>
        <v/>
      </c>
      <c r="X2114" s="7">
        <f>IF(COUNT(D2114:S2114)=0,"",INDEX($D$1:$S$1,MATCH(MIN(D2114:S2114),D2114:S2114,0)))</f>
        <v/>
      </c>
      <c r="Y2114" s="8" t="n">
        <v>1094</v>
      </c>
      <c r="Z2114" s="10" t="n">
        <v>1</v>
      </c>
    </row>
    <row r="2115">
      <c r="A2115" s="7" t="inlineStr">
        <is>
          <t>MAT-32-765</t>
        </is>
      </c>
      <c r="B2115" s="4" t="inlineStr">
        <is>
          <t>Manguera para gas 12"</t>
        </is>
      </c>
      <c r="C2115" s="7" t="inlineStr">
        <is>
          <t>unidad</t>
        </is>
      </c>
      <c r="D2115" s="8" t="n"/>
      <c r="E2115" s="8" t="n"/>
      <c r="F2115" s="8" t="n"/>
      <c r="G2115" s="8" t="n">
        <v>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>
        <f>IF(COUNT(D2115:S2115)=0,"",MIN(D2115:S2115))</f>
        <v/>
      </c>
      <c r="U2115" s="8">
        <f>IF(COUNT(D2115:S2115)=0,"",MEDIAN(D2115:S2115))</f>
        <v/>
      </c>
      <c r="V2115" s="8">
        <f>IF(COUNT(D2115:S2115)=0,"",MAX(D2115:S2115))</f>
        <v/>
      </c>
      <c r="W2115" s="9">
        <f>IF(OR(T2115="",T2115=0),"",(V2115-T2115)/T2115)</f>
        <v/>
      </c>
      <c r="X2115" s="7">
        <f>IF(COUNT(D2115:S2115)=0,"",INDEX($D$1:$S$1,MATCH(MIN(D2115:S2115),D2115:S2115,0)))</f>
        <v/>
      </c>
      <c r="Y2115" s="8" t="n">
        <v>50</v>
      </c>
      <c r="Z2115" s="10" t="n">
        <v>1</v>
      </c>
    </row>
    <row r="2116">
      <c r="A2116" s="7" t="inlineStr">
        <is>
          <t>MAT-32-766</t>
        </is>
      </c>
      <c r="B2116" s="4" t="inlineStr">
        <is>
          <t>Manguera para gas 18"</t>
        </is>
      </c>
      <c r="C2116" s="7" t="inlineStr">
        <is>
          <t>unidad</t>
        </is>
      </c>
      <c r="D2116" s="8" t="n"/>
      <c r="E2116" s="8" t="n"/>
      <c r="F2116" s="8" t="n"/>
      <c r="G2116" s="8" t="n">
        <v>65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>
        <f>IF(COUNT(D2116:S2116)=0,"",MIN(D2116:S2116))</f>
        <v/>
      </c>
      <c r="U2116" s="8">
        <f>IF(COUNT(D2116:S2116)=0,"",MEDIAN(D2116:S2116))</f>
        <v/>
      </c>
      <c r="V2116" s="8">
        <f>IF(COUNT(D2116:S2116)=0,"",MAX(D2116:S2116))</f>
        <v/>
      </c>
      <c r="W2116" s="9">
        <f>IF(OR(T2116="",T2116=0),"",(V2116-T2116)/T2116)</f>
        <v/>
      </c>
      <c r="X2116" s="7">
        <f>IF(COUNT(D2116:S2116)=0,"",INDEX($D$1:$S$1,MATCH(MIN(D2116:S2116),D2116:S2116,0)))</f>
        <v/>
      </c>
      <c r="Y2116" s="8" t="n">
        <v>65</v>
      </c>
      <c r="Z2116" s="10" t="n">
        <v>1</v>
      </c>
    </row>
    <row r="2117">
      <c r="A2117" s="7" t="inlineStr">
        <is>
          <t>MAT-32-767</t>
        </is>
      </c>
      <c r="B2117" s="4" t="inlineStr">
        <is>
          <t>Manguera para inodoro 16"</t>
        </is>
      </c>
      <c r="C2117" s="7" t="inlineStr">
        <is>
          <t>unidad</t>
        </is>
      </c>
      <c r="D2117" s="8" t="n"/>
      <c r="E2117" s="8" t="n"/>
      <c r="F2117" s="8" t="n"/>
      <c r="G2117" s="8" t="n">
        <v>250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>
        <f>IF(COUNT(D2117:S2117)=0,"",MIN(D2117:S2117))</f>
        <v/>
      </c>
      <c r="U2117" s="8">
        <f>IF(COUNT(D2117:S2117)=0,"",MEDIAN(D2117:S2117))</f>
        <v/>
      </c>
      <c r="V2117" s="8">
        <f>IF(COUNT(D2117:S2117)=0,"",MAX(D2117:S2117))</f>
        <v/>
      </c>
      <c r="W2117" s="9">
        <f>IF(OR(T2117="",T2117=0),"",(V2117-T2117)/T2117)</f>
        <v/>
      </c>
      <c r="X2117" s="7">
        <f>IF(COUNT(D2117:S2117)=0,"",INDEX($D$1:$S$1,MATCH(MIN(D2117:S2117),D2117:S2117,0)))</f>
        <v/>
      </c>
      <c r="Y2117" s="8" t="n">
        <v>250</v>
      </c>
      <c r="Z2117" s="10" t="n">
        <v>1</v>
      </c>
    </row>
    <row r="2118">
      <c r="A2118" s="7" t="inlineStr">
        <is>
          <t>MAT-32-768</t>
        </is>
      </c>
      <c r="B2118" s="4" t="inlineStr">
        <is>
          <t>Manguera para jardín 1/2"</t>
        </is>
      </c>
      <c r="C2118" s="7" t="inlineStr">
        <is>
          <t>unidad</t>
        </is>
      </c>
      <c r="D2118" s="8" t="n"/>
      <c r="E2118" s="8" t="n"/>
      <c r="F2118" s="8" t="n"/>
      <c r="G2118" s="8" t="n">
        <v>535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>
        <f>IF(COUNT(D2118:S2118)=0,"",MIN(D2118:S2118))</f>
        <v/>
      </c>
      <c r="U2118" s="8">
        <f>IF(COUNT(D2118:S2118)=0,"",MEDIAN(D2118:S2118))</f>
        <v/>
      </c>
      <c r="V2118" s="8">
        <f>IF(COUNT(D2118:S2118)=0,"",MAX(D2118:S2118))</f>
        <v/>
      </c>
      <c r="W2118" s="9">
        <f>IF(OR(T2118="",T2118=0),"",(V2118-T2118)/T2118)</f>
        <v/>
      </c>
      <c r="X2118" s="7">
        <f>IF(COUNT(D2118:S2118)=0,"",INDEX($D$1:$S$1,MATCH(MIN(D2118:S2118),D2118:S2118,0)))</f>
        <v/>
      </c>
      <c r="Y2118" s="8" t="n">
        <v>1288</v>
      </c>
      <c r="Z2118" s="10" t="n">
        <v>1</v>
      </c>
    </row>
    <row r="2119">
      <c r="A2119" s="7" t="inlineStr">
        <is>
          <t>MAT-32-769</t>
        </is>
      </c>
      <c r="B2119" s="4" t="inlineStr">
        <is>
          <t>Manguera para jardín 1/2" x 100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>
        <f>IF(COUNT(D2119:S2119)=0,"",MIN(D2119:S2119))</f>
        <v/>
      </c>
      <c r="U2119" s="8">
        <f>IF(COUNT(D2119:S2119)=0,"",MEDIAN(D2119:S2119))</f>
        <v/>
      </c>
      <c r="V2119" s="8">
        <f>IF(COUNT(D2119:S2119)=0,"",MAX(D2119:S2119))</f>
        <v/>
      </c>
      <c r="W2119" s="9">
        <f>IF(OR(T2119="",T2119=0),"",(V2119-T2119)/T2119)</f>
        <v/>
      </c>
      <c r="X2119" s="7">
        <f>IF(COUNT(D2119:S2119)=0,"",INDEX($D$1:$S$1,MATCH(MIN(D2119:S2119),D2119:S2119,0)))</f>
        <v/>
      </c>
      <c r="Y2119" s="8" t="n">
        <v>1475</v>
      </c>
      <c r="Z2119" s="10" t="n">
        <v>1</v>
      </c>
    </row>
    <row r="2120">
      <c r="A2120" s="7" t="inlineStr">
        <is>
          <t>MAT-32-770</t>
        </is>
      </c>
      <c r="B2120" s="4" t="inlineStr">
        <is>
          <t>Manguera para jardín 1/2" x 25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544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>
        <f>IF(COUNT(D2120:S2120)=0,"",MIN(D2120:S2120))</f>
        <v/>
      </c>
      <c r="U2120" s="8">
        <f>IF(COUNT(D2120:S2120)=0,"",MEDIAN(D2120:S2120))</f>
        <v/>
      </c>
      <c r="V2120" s="8">
        <f>IF(COUNT(D2120:S2120)=0,"",MAX(D2120:S2120))</f>
        <v/>
      </c>
      <c r="W2120" s="9">
        <f>IF(OR(T2120="",T2120=0),"",(V2120-T2120)/T2120)</f>
        <v/>
      </c>
      <c r="X2120" s="7">
        <f>IF(COUNT(D2120:S2120)=0,"",INDEX($D$1:$S$1,MATCH(MIN(D2120:S2120),D2120:S2120,0)))</f>
        <v/>
      </c>
      <c r="Y2120" s="8" t="n">
        <v>544</v>
      </c>
      <c r="Z2120" s="10" t="n">
        <v>1</v>
      </c>
    </row>
    <row r="2121">
      <c r="A2121" s="7" t="inlineStr">
        <is>
          <t>MAT-32-771</t>
        </is>
      </c>
      <c r="B2121" s="4" t="inlineStr">
        <is>
          <t>Manguera para jardín 1/2" x 50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1042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>
        <f>IF(COUNT(D2121:S2121)=0,"",MIN(D2121:S2121))</f>
        <v/>
      </c>
      <c r="U2121" s="8">
        <f>IF(COUNT(D2121:S2121)=0,"",MEDIAN(D2121:S2121))</f>
        <v/>
      </c>
      <c r="V2121" s="8">
        <f>IF(COUNT(D2121:S2121)=0,"",MAX(D2121:S2121))</f>
        <v/>
      </c>
      <c r="W2121" s="9">
        <f>IF(OR(T2121="",T2121=0),"",(V2121-T2121)/T2121)</f>
        <v/>
      </c>
      <c r="X2121" s="7">
        <f>IF(COUNT(D2121:S2121)=0,"",INDEX($D$1:$S$1,MATCH(MIN(D2121:S2121),D2121:S2121,0)))</f>
        <v/>
      </c>
      <c r="Y2121" s="8" t="n">
        <v>1042</v>
      </c>
      <c r="Z2121" s="10" t="n">
        <v>1</v>
      </c>
    </row>
    <row r="2122">
      <c r="A2122" s="7" t="inlineStr">
        <is>
          <t>MAT-32-772</t>
        </is>
      </c>
      <c r="B2122" s="4" t="inlineStr">
        <is>
          <t>Manguera para jardín 5/8"</t>
        </is>
      </c>
      <c r="C2122" s="7" t="inlineStr">
        <is>
          <t>unidad</t>
        </is>
      </c>
      <c r="D2122" s="8" t="n"/>
      <c r="E2122" s="8" t="n"/>
      <c r="F2122" s="8" t="n"/>
      <c r="G2122" s="8" t="n">
        <v>2054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>
        <f>IF(COUNT(D2122:S2122)=0,"",MIN(D2122:S2122))</f>
        <v/>
      </c>
      <c r="U2122" s="8">
        <f>IF(COUNT(D2122:S2122)=0,"",MEDIAN(D2122:S2122))</f>
        <v/>
      </c>
      <c r="V2122" s="8">
        <f>IF(COUNT(D2122:S2122)=0,"",MAX(D2122:S2122))</f>
        <v/>
      </c>
      <c r="W2122" s="9">
        <f>IF(OR(T2122="",T2122=0),"",(V2122-T2122)/T2122)</f>
        <v/>
      </c>
      <c r="X2122" s="7">
        <f>IF(COUNT(D2122:S2122)=0,"",INDEX($D$1:$S$1,MATCH(MIN(D2122:S2122),D2122:S2122,0)))</f>
        <v/>
      </c>
      <c r="Y2122" s="8" t="n">
        <v>2397</v>
      </c>
      <c r="Z2122" s="10" t="n">
        <v>1</v>
      </c>
    </row>
    <row r="2123">
      <c r="A2123" s="7" t="inlineStr">
        <is>
          <t>MAT-32-773</t>
        </is>
      </c>
      <c r="B2123" s="4" t="inlineStr">
        <is>
          <t>Manguera para jardín 5/8" x 75 pies</t>
        </is>
      </c>
      <c r="C2123" s="7" t="inlineStr">
        <is>
          <t>unidad</t>
        </is>
      </c>
      <c r="D2123" s="8" t="n"/>
      <c r="E2123" s="8" t="n"/>
      <c r="F2123" s="8" t="n"/>
      <c r="G2123" s="8" t="n">
        <v>1365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>
        <f>IF(COUNT(D2123:S2123)=0,"",MIN(D2123:S2123))</f>
        <v/>
      </c>
      <c r="U2123" s="8">
        <f>IF(COUNT(D2123:S2123)=0,"",MEDIAN(D2123:S2123))</f>
        <v/>
      </c>
      <c r="V2123" s="8">
        <f>IF(COUNT(D2123:S2123)=0,"",MAX(D2123:S2123))</f>
        <v/>
      </c>
      <c r="W2123" s="9">
        <f>IF(OR(T2123="",T2123=0),"",(V2123-T2123)/T2123)</f>
        <v/>
      </c>
      <c r="X2123" s="7">
        <f>IF(COUNT(D2123:S2123)=0,"",INDEX($D$1:$S$1,MATCH(MIN(D2123:S2123),D2123:S2123,0)))</f>
        <v/>
      </c>
      <c r="Y2123" s="8" t="n">
        <v>1365</v>
      </c>
      <c r="Z2123" s="10" t="n">
        <v>1</v>
      </c>
    </row>
    <row r="2124">
      <c r="A2124" s="7" t="inlineStr">
        <is>
          <t>MAT-32-774</t>
        </is>
      </c>
      <c r="B2124" s="4" t="inlineStr">
        <is>
          <t>Manguera para lavadora 48"</t>
        </is>
      </c>
      <c r="C2124" s="7" t="inlineStr">
        <is>
          <t>unidad</t>
        </is>
      </c>
      <c r="D2124" s="8" t="n"/>
      <c r="E2124" s="8" t="n"/>
      <c r="F2124" s="8" t="n"/>
      <c r="G2124" s="8" t="n">
        <v>556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>
        <f>IF(COUNT(D2124:S2124)=0,"",MIN(D2124:S2124))</f>
        <v/>
      </c>
      <c r="U2124" s="8">
        <f>IF(COUNT(D2124:S2124)=0,"",MEDIAN(D2124:S2124))</f>
        <v/>
      </c>
      <c r="V2124" s="8">
        <f>IF(COUNT(D2124:S2124)=0,"",MAX(D2124:S2124))</f>
        <v/>
      </c>
      <c r="W2124" s="9">
        <f>IF(OR(T2124="",T2124=0),"",(V2124-T2124)/T2124)</f>
        <v/>
      </c>
      <c r="X2124" s="7">
        <f>IF(COUNT(D2124:S2124)=0,"",INDEX($D$1:$S$1,MATCH(MIN(D2124:S2124),D2124:S2124,0)))</f>
        <v/>
      </c>
      <c r="Y2124" s="8" t="n">
        <v>556</v>
      </c>
      <c r="Z2124" s="10" t="n">
        <v>1</v>
      </c>
    </row>
    <row r="2125">
      <c r="A2125" s="7" t="inlineStr">
        <is>
          <t>MAT-32-775</t>
        </is>
      </c>
      <c r="B2125" s="4" t="inlineStr">
        <is>
          <t>Manguera para lavadora 60"</t>
        </is>
      </c>
      <c r="C2125" s="7" t="inlineStr">
        <is>
          <t>unidad</t>
        </is>
      </c>
      <c r="D2125" s="8" t="n"/>
      <c r="E2125" s="8" t="n"/>
      <c r="F2125" s="8" t="n"/>
      <c r="G2125" s="8" t="n">
        <v>410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>
        <f>IF(COUNT(D2125:S2125)=0,"",MIN(D2125:S2125))</f>
        <v/>
      </c>
      <c r="U2125" s="8">
        <f>IF(COUNT(D2125:S2125)=0,"",MEDIAN(D2125:S2125))</f>
        <v/>
      </c>
      <c r="V2125" s="8">
        <f>IF(COUNT(D2125:S2125)=0,"",MAX(D2125:S2125))</f>
        <v/>
      </c>
      <c r="W2125" s="9">
        <f>IF(OR(T2125="",T2125=0),"",(V2125-T2125)/T2125)</f>
        <v/>
      </c>
      <c r="X2125" s="7">
        <f>IF(COUNT(D2125:S2125)=0,"",INDEX($D$1:$S$1,MATCH(MIN(D2125:S2125),D2125:S2125,0)))</f>
        <v/>
      </c>
      <c r="Y2125" s="8" t="n">
        <v>410</v>
      </c>
      <c r="Z2125" s="10" t="n">
        <v>1</v>
      </c>
    </row>
    <row r="2126">
      <c r="A2126" s="7" t="inlineStr">
        <is>
          <t>MAT-32-776</t>
        </is>
      </c>
      <c r="B2126" s="4" t="inlineStr">
        <is>
          <t>Manguera para lavadora 72"</t>
        </is>
      </c>
      <c r="C2126" s="7" t="inlineStr">
        <is>
          <t>unidad</t>
        </is>
      </c>
      <c r="D2126" s="8" t="n"/>
      <c r="E2126" s="8" t="n"/>
      <c r="F2126" s="8" t="n"/>
      <c r="G2126" s="8" t="n">
        <v>375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>
        <f>IF(COUNT(D2126:S2126)=0,"",MIN(D2126:S2126))</f>
        <v/>
      </c>
      <c r="U2126" s="8">
        <f>IF(COUNT(D2126:S2126)=0,"",MEDIAN(D2126:S2126))</f>
        <v/>
      </c>
      <c r="V2126" s="8">
        <f>IF(COUNT(D2126:S2126)=0,"",MAX(D2126:S2126))</f>
        <v/>
      </c>
      <c r="W2126" s="9">
        <f>IF(OR(T2126="",T2126=0),"",(V2126-T2126)/T2126)</f>
        <v/>
      </c>
      <c r="X2126" s="7">
        <f>IF(COUNT(D2126:S2126)=0,"",INDEX($D$1:$S$1,MATCH(MIN(D2126:S2126),D2126:S2126,0)))</f>
        <v/>
      </c>
      <c r="Y2126" s="8" t="n">
        <v>375</v>
      </c>
      <c r="Z2126" s="10" t="n">
        <v>1</v>
      </c>
    </row>
    <row r="2127">
      <c r="A2127" s="7" t="inlineStr">
        <is>
          <t>MAT-32-777</t>
        </is>
      </c>
      <c r="B2127" s="4" t="inlineStr">
        <is>
          <t>Manguera para lavamanos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295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>
        <f>IF(COUNT(D2127:S2127)=0,"",MIN(D2127:S2127))</f>
        <v/>
      </c>
      <c r="U2127" s="8">
        <f>IF(COUNT(D2127:S2127)=0,"",MEDIAN(D2127:S2127))</f>
        <v/>
      </c>
      <c r="V2127" s="8">
        <f>IF(COUNT(D2127:S2127)=0,"",MAX(D2127:S2127))</f>
        <v/>
      </c>
      <c r="W2127" s="9">
        <f>IF(OR(T2127="",T2127=0),"",(V2127-T2127)/T2127)</f>
        <v/>
      </c>
      <c r="X2127" s="7">
        <f>IF(COUNT(D2127:S2127)=0,"",INDEX($D$1:$S$1,MATCH(MIN(D2127:S2127),D2127:S2127,0)))</f>
        <v/>
      </c>
      <c r="Y2127" s="8" t="n">
        <v>384</v>
      </c>
      <c r="Z2127" s="10" t="n">
        <v>1</v>
      </c>
    </row>
    <row r="2128">
      <c r="A2128" s="7" t="inlineStr">
        <is>
          <t>MAT-32-778</t>
        </is>
      </c>
      <c r="B2128" s="4" t="inlineStr">
        <is>
          <t>Manguera para lavamanos 16"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>
        <f>IF(COUNT(D2128:S2128)=0,"",MIN(D2128:S2128))</f>
        <v/>
      </c>
      <c r="U2128" s="8">
        <f>IF(COUNT(D2128:S2128)=0,"",MEDIAN(D2128:S2128))</f>
        <v/>
      </c>
      <c r="V2128" s="8">
        <f>IF(COUNT(D2128:S2128)=0,"",MAX(D2128:S2128))</f>
        <v/>
      </c>
      <c r="W2128" s="9">
        <f>IF(OR(T2128="",T2128=0),"",(V2128-T2128)/T2128)</f>
        <v/>
      </c>
      <c r="X2128" s="7">
        <f>IF(COUNT(D2128:S2128)=0,"",INDEX($D$1:$S$1,MATCH(MIN(D2128:S2128),D2128:S2128,0)))</f>
        <v/>
      </c>
      <c r="Y2128" s="8" t="n">
        <v>265</v>
      </c>
      <c r="Z2128" s="10" t="n">
        <v>1</v>
      </c>
    </row>
    <row r="2129">
      <c r="A2129" s="7" t="inlineStr">
        <is>
          <t>MAT-32-779</t>
        </is>
      </c>
      <c r="B2129" s="4" t="inlineStr">
        <is>
          <t>Manguera para lavamanos 20"</t>
        </is>
      </c>
      <c r="C2129" s="7" t="inlineStr">
        <is>
          <t>unidad</t>
        </is>
      </c>
      <c r="D2129" s="8" t="n"/>
      <c r="E2129" s="8" t="n"/>
      <c r="F2129" s="8" t="n"/>
      <c r="G2129" s="8" t="n">
        <v>325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>
        <f>IF(COUNT(D2129:S2129)=0,"",MIN(D2129:S2129))</f>
        <v/>
      </c>
      <c r="U2129" s="8">
        <f>IF(COUNT(D2129:S2129)=0,"",MEDIAN(D2129:S2129))</f>
        <v/>
      </c>
      <c r="V2129" s="8">
        <f>IF(COUNT(D2129:S2129)=0,"",MAX(D2129:S2129))</f>
        <v/>
      </c>
      <c r="W2129" s="9">
        <f>IF(OR(T2129="",T2129=0),"",(V2129-T2129)/T2129)</f>
        <v/>
      </c>
      <c r="X2129" s="7">
        <f>IF(COUNT(D2129:S2129)=0,"",INDEX($D$1:$S$1,MATCH(MIN(D2129:S2129),D2129:S2129,0)))</f>
        <v/>
      </c>
      <c r="Y2129" s="8" t="n">
        <v>325</v>
      </c>
      <c r="Z2129" s="10" t="n">
        <v>1</v>
      </c>
    </row>
    <row r="2130">
      <c r="A2130" s="7" t="inlineStr">
        <is>
          <t>MAT-32-780</t>
        </is>
      </c>
      <c r="B2130" s="4" t="inlineStr">
        <is>
          <t>Manguera para lavamanos 22"</t>
        </is>
      </c>
      <c r="C2130" s="7" t="inlineStr">
        <is>
          <t>unidad</t>
        </is>
      </c>
      <c r="D2130" s="8" t="n"/>
      <c r="E2130" s="8" t="n"/>
      <c r="F2130" s="8" t="n"/>
      <c r="G2130" s="8" t="n">
        <v>365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>
        <f>IF(COUNT(D2130:S2130)=0,"",MIN(D2130:S2130))</f>
        <v/>
      </c>
      <c r="U2130" s="8">
        <f>IF(COUNT(D2130:S2130)=0,"",MEDIAN(D2130:S2130))</f>
        <v/>
      </c>
      <c r="V2130" s="8">
        <f>IF(COUNT(D2130:S2130)=0,"",MAX(D2130:S2130))</f>
        <v/>
      </c>
      <c r="W2130" s="9">
        <f>IF(OR(T2130="",T2130=0),"",(V2130-T2130)/T2130)</f>
        <v/>
      </c>
      <c r="X2130" s="7">
        <f>IF(COUNT(D2130:S2130)=0,"",INDEX($D$1:$S$1,MATCH(MIN(D2130:S2130),D2130:S2130,0)))</f>
        <v/>
      </c>
      <c r="Y2130" s="8" t="n">
        <v>425</v>
      </c>
      <c r="Z2130" s="10" t="n">
        <v>1</v>
      </c>
    </row>
    <row r="2131">
      <c r="A2131" s="7" t="inlineStr">
        <is>
          <t>MAT-32-781</t>
        </is>
      </c>
      <c r="B2131" s="4" t="inlineStr">
        <is>
          <t>Manguera para lavamanos 24"</t>
        </is>
      </c>
      <c r="C2131" s="7" t="inlineStr">
        <is>
          <t>unidad</t>
        </is>
      </c>
      <c r="D2131" s="8" t="n"/>
      <c r="E2131" s="8" t="n"/>
      <c r="F2131" s="8" t="n"/>
      <c r="G2131" s="8" t="n">
        <v>265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>
        <f>IF(COUNT(D2131:S2131)=0,"",MIN(D2131:S2131))</f>
        <v/>
      </c>
      <c r="U2131" s="8">
        <f>IF(COUNT(D2131:S2131)=0,"",MEDIAN(D2131:S2131))</f>
        <v/>
      </c>
      <c r="V2131" s="8">
        <f>IF(COUNT(D2131:S2131)=0,"",MAX(D2131:S2131))</f>
        <v/>
      </c>
      <c r="W2131" s="9">
        <f>IF(OR(T2131="",T2131=0),"",(V2131-T2131)/T2131)</f>
        <v/>
      </c>
      <c r="X2131" s="7">
        <f>IF(COUNT(D2131:S2131)=0,"",INDEX($D$1:$S$1,MATCH(MIN(D2131:S2131),D2131:S2131,0)))</f>
        <v/>
      </c>
      <c r="Y2131" s="8" t="n">
        <v>279</v>
      </c>
      <c r="Z2131" s="10" t="n">
        <v>1</v>
      </c>
    </row>
    <row r="2132">
      <c r="A2132" s="7" t="inlineStr">
        <is>
          <t>MAT-32-782</t>
        </is>
      </c>
      <c r="B2132" s="4" t="inlineStr">
        <is>
          <t>Manguera para lavamanos 3/8"</t>
        </is>
      </c>
      <c r="C2132" s="7" t="inlineStr">
        <is>
          <t>unidad</t>
        </is>
      </c>
      <c r="D2132" s="8" t="n"/>
      <c r="E2132" s="8" t="n"/>
      <c r="F2132" s="8" t="n"/>
      <c r="G2132" s="8" t="n">
        <v>505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>
        <f>IF(COUNT(D2132:S2132)=0,"",MIN(D2132:S2132))</f>
        <v/>
      </c>
      <c r="U2132" s="8">
        <f>IF(COUNT(D2132:S2132)=0,"",MEDIAN(D2132:S2132))</f>
        <v/>
      </c>
      <c r="V2132" s="8">
        <f>IF(COUNT(D2132:S2132)=0,"",MAX(D2132:S2132))</f>
        <v/>
      </c>
      <c r="W2132" s="9">
        <f>IF(OR(T2132="",T2132=0),"",(V2132-T2132)/T2132)</f>
        <v/>
      </c>
      <c r="X2132" s="7">
        <f>IF(COUNT(D2132:S2132)=0,"",INDEX($D$1:$S$1,MATCH(MIN(D2132:S2132),D2132:S2132,0)))</f>
        <v/>
      </c>
      <c r="Y2132" s="8" t="n">
        <v>505</v>
      </c>
      <c r="Z2132" s="10" t="n">
        <v>1</v>
      </c>
    </row>
    <row r="2133">
      <c r="A2133" s="7" t="inlineStr">
        <is>
          <t>MAT-32-783</t>
        </is>
      </c>
      <c r="B2133" s="4" t="inlineStr">
        <is>
          <t>Manguera para lavamanos 3/8" x 32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198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>
        <f>IF(COUNT(D2133:S2133)=0,"",MIN(D2133:S2133))</f>
        <v/>
      </c>
      <c r="U2133" s="8">
        <f>IF(COUNT(D2133:S2133)=0,"",MEDIAN(D2133:S2133))</f>
        <v/>
      </c>
      <c r="V2133" s="8">
        <f>IF(COUNT(D2133:S2133)=0,"",MAX(D2133:S2133))</f>
        <v/>
      </c>
      <c r="W2133" s="9">
        <f>IF(OR(T2133="",T2133=0),"",(V2133-T2133)/T2133)</f>
        <v/>
      </c>
      <c r="X2133" s="7">
        <f>IF(COUNT(D2133:S2133)=0,"",INDEX($D$1:$S$1,MATCH(MIN(D2133:S2133),D2133:S2133,0)))</f>
        <v/>
      </c>
      <c r="Y2133" s="8" t="n">
        <v>198</v>
      </c>
      <c r="Z2133" s="10" t="n">
        <v>1</v>
      </c>
    </row>
    <row r="2134">
      <c r="A2134" s="7" t="inlineStr">
        <is>
          <t>MAT-32-784</t>
        </is>
      </c>
      <c r="B2134" s="4" t="inlineStr">
        <is>
          <t>Manguera para lavamanos 30"</t>
        </is>
      </c>
      <c r="C2134" s="7" t="inlineStr">
        <is>
          <t>unidad</t>
        </is>
      </c>
      <c r="D2134" s="8" t="n"/>
      <c r="E2134" s="8" t="n"/>
      <c r="F2134" s="8" t="n"/>
      <c r="G2134" s="8" t="n">
        <v>330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>
        <f>IF(COUNT(D2134:S2134)=0,"",MIN(D2134:S2134))</f>
        <v/>
      </c>
      <c r="U2134" s="8">
        <f>IF(COUNT(D2134:S2134)=0,"",MEDIAN(D2134:S2134))</f>
        <v/>
      </c>
      <c r="V2134" s="8">
        <f>IF(COUNT(D2134:S2134)=0,"",MAX(D2134:S2134))</f>
        <v/>
      </c>
      <c r="W2134" s="9">
        <f>IF(OR(T2134="",T2134=0),"",(V2134-T2134)/T2134)</f>
        <v/>
      </c>
      <c r="X2134" s="7">
        <f>IF(COUNT(D2134:S2134)=0,"",INDEX($D$1:$S$1,MATCH(MIN(D2134:S2134),D2134:S2134,0)))</f>
        <v/>
      </c>
      <c r="Y2134" s="8" t="n">
        <v>330</v>
      </c>
      <c r="Z2134" s="10" t="n">
        <v>1</v>
      </c>
    </row>
    <row r="2135">
      <c r="A2135" s="7" t="inlineStr">
        <is>
          <t>MAT-32-785</t>
        </is>
      </c>
      <c r="B2135" s="4" t="inlineStr">
        <is>
          <t>Manguera para lavamanos 36"</t>
        </is>
      </c>
      <c r="C2135" s="7" t="inlineStr">
        <is>
          <t>unidad</t>
        </is>
      </c>
      <c r="D2135" s="8" t="n"/>
      <c r="E2135" s="8" t="n"/>
      <c r="F2135" s="8" t="n"/>
      <c r="G2135" s="8" t="n">
        <v>319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>
        <f>IF(COUNT(D2135:S2135)=0,"",MIN(D2135:S2135))</f>
        <v/>
      </c>
      <c r="U2135" s="8">
        <f>IF(COUNT(D2135:S2135)=0,"",MEDIAN(D2135:S2135))</f>
        <v/>
      </c>
      <c r="V2135" s="8">
        <f>IF(COUNT(D2135:S2135)=0,"",MAX(D2135:S2135))</f>
        <v/>
      </c>
      <c r="W2135" s="9">
        <f>IF(OR(T2135="",T2135=0),"",(V2135-T2135)/T2135)</f>
        <v/>
      </c>
      <c r="X2135" s="7">
        <f>IF(COUNT(D2135:S2135)=0,"",INDEX($D$1:$S$1,MATCH(MIN(D2135:S2135),D2135:S2135,0)))</f>
        <v/>
      </c>
      <c r="Y2135" s="8" t="n">
        <v>319</v>
      </c>
      <c r="Z2135" s="10" t="n">
        <v>1</v>
      </c>
    </row>
    <row r="2136">
      <c r="A2136" s="7" t="inlineStr">
        <is>
          <t>MAT-32-786</t>
        </is>
      </c>
      <c r="B2136" s="4" t="inlineStr">
        <is>
          <t>Manguera para mezcladora 3/8" x 20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195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>
        <f>IF(COUNT(D2136:S2136)=0,"",MIN(D2136:S2136))</f>
        <v/>
      </c>
      <c r="U2136" s="8">
        <f>IF(COUNT(D2136:S2136)=0,"",MEDIAN(D2136:S2136))</f>
        <v/>
      </c>
      <c r="V2136" s="8">
        <f>IF(COUNT(D2136:S2136)=0,"",MAX(D2136:S2136))</f>
        <v/>
      </c>
      <c r="W2136" s="9">
        <f>IF(OR(T2136="",T2136=0),"",(V2136-T2136)/T2136)</f>
        <v/>
      </c>
      <c r="X2136" s="7">
        <f>IF(COUNT(D2136:S2136)=0,"",INDEX($D$1:$S$1,MATCH(MIN(D2136:S2136),D2136:S2136,0)))</f>
        <v/>
      </c>
      <c r="Y2136" s="8" t="n">
        <v>195</v>
      </c>
      <c r="Z2136" s="10" t="n">
        <v>1</v>
      </c>
    </row>
    <row r="2137">
      <c r="A2137" s="7" t="inlineStr">
        <is>
          <t>MAT-32-787</t>
        </is>
      </c>
      <c r="B2137" s="4" t="inlineStr">
        <is>
          <t>Manguera para mezcladora 32"</t>
        </is>
      </c>
      <c r="C2137" s="7" t="inlineStr">
        <is>
          <t>unidad</t>
        </is>
      </c>
      <c r="D2137" s="8" t="n"/>
      <c r="E2137" s="8" t="n"/>
      <c r="F2137" s="8" t="n"/>
      <c r="G2137" s="8" t="n">
        <v>297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>
        <f>IF(COUNT(D2137:S2137)=0,"",MIN(D2137:S2137))</f>
        <v/>
      </c>
      <c r="U2137" s="8">
        <f>IF(COUNT(D2137:S2137)=0,"",MEDIAN(D2137:S2137))</f>
        <v/>
      </c>
      <c r="V2137" s="8">
        <f>IF(COUNT(D2137:S2137)=0,"",MAX(D2137:S2137))</f>
        <v/>
      </c>
      <c r="W2137" s="9">
        <f>IF(OR(T2137="",T2137=0),"",(V2137-T2137)/T2137)</f>
        <v/>
      </c>
      <c r="X2137" s="7">
        <f>IF(COUNT(D2137:S2137)=0,"",INDEX($D$1:$S$1,MATCH(MIN(D2137:S2137),D2137:S2137,0)))</f>
        <v/>
      </c>
      <c r="Y2137" s="8" t="n">
        <v>297</v>
      </c>
      <c r="Z2137" s="10" t="n">
        <v>1</v>
      </c>
    </row>
    <row r="2138">
      <c r="A2138" s="7" t="inlineStr">
        <is>
          <t>MAT-32-788</t>
        </is>
      </c>
      <c r="B2138" s="4" t="inlineStr">
        <is>
          <t>Manguera para uso general, transparente 0.31"</t>
        </is>
      </c>
      <c r="C2138" s="7" t="inlineStr">
        <is>
          <t>unidad</t>
        </is>
      </c>
      <c r="D2138" s="8" t="n"/>
      <c r="E2138" s="8" t="n"/>
      <c r="F2138" s="8" t="n"/>
      <c r="G2138" s="8" t="n">
        <v>25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>
        <f>IF(COUNT(D2138:S2138)=0,"",MIN(D2138:S2138))</f>
        <v/>
      </c>
      <c r="U2138" s="8">
        <f>IF(COUNT(D2138:S2138)=0,"",MEDIAN(D2138:S2138))</f>
        <v/>
      </c>
      <c r="V2138" s="8">
        <f>IF(COUNT(D2138:S2138)=0,"",MAX(D2138:S2138))</f>
        <v/>
      </c>
      <c r="W2138" s="9">
        <f>IF(OR(T2138="",T2138=0),"",(V2138-T2138)/T2138)</f>
        <v/>
      </c>
      <c r="X2138" s="7">
        <f>IF(COUNT(D2138:S2138)=0,"",INDEX($D$1:$S$1,MATCH(MIN(D2138:S2138),D2138:S2138,0)))</f>
        <v/>
      </c>
      <c r="Y2138" s="8" t="n">
        <v>25</v>
      </c>
      <c r="Z2138" s="10" t="n">
        <v>1</v>
      </c>
    </row>
    <row r="2139">
      <c r="A2139" s="7" t="inlineStr">
        <is>
          <t>MAT-32-789</t>
        </is>
      </c>
      <c r="B2139" s="4" t="inlineStr">
        <is>
          <t>Manguera para uso general, transparente 1/2"</t>
        </is>
      </c>
      <c r="C2139" s="7" t="inlineStr">
        <is>
          <t>unidad</t>
        </is>
      </c>
      <c r="D2139" s="8" t="n"/>
      <c r="E2139" s="8" t="n"/>
      <c r="F2139" s="8" t="n"/>
      <c r="G2139" s="8" t="n">
        <v>40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>
        <f>IF(COUNT(D2139:S2139)=0,"",MIN(D2139:S2139))</f>
        <v/>
      </c>
      <c r="U2139" s="8">
        <f>IF(COUNT(D2139:S2139)=0,"",MEDIAN(D2139:S2139))</f>
        <v/>
      </c>
      <c r="V2139" s="8">
        <f>IF(COUNT(D2139:S2139)=0,"",MAX(D2139:S2139))</f>
        <v/>
      </c>
      <c r="W2139" s="9">
        <f>IF(OR(T2139="",T2139=0),"",(V2139-T2139)/T2139)</f>
        <v/>
      </c>
      <c r="X2139" s="7">
        <f>IF(COUNT(D2139:S2139)=0,"",INDEX($D$1:$S$1,MATCH(MIN(D2139:S2139),D2139:S2139,0)))</f>
        <v/>
      </c>
      <c r="Y2139" s="8" t="n">
        <v>43.5</v>
      </c>
      <c r="Z2139" s="10" t="n">
        <v>1</v>
      </c>
    </row>
    <row r="2140">
      <c r="A2140" s="7" t="inlineStr">
        <is>
          <t>MAT-32-790</t>
        </is>
      </c>
      <c r="B2140" s="4" t="inlineStr">
        <is>
          <t>Manguera para uso general, transparente 1/4"</t>
        </is>
      </c>
      <c r="C2140" s="7" t="inlineStr">
        <is>
          <t>unidad</t>
        </is>
      </c>
      <c r="D2140" s="8" t="n"/>
      <c r="E2140" s="8" t="n"/>
      <c r="F2140" s="8" t="n"/>
      <c r="G2140" s="8" t="n">
        <v>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>
        <f>IF(COUNT(D2140:S2140)=0,"",MIN(D2140:S2140))</f>
        <v/>
      </c>
      <c r="U2140" s="8">
        <f>IF(COUNT(D2140:S2140)=0,"",MEDIAN(D2140:S2140))</f>
        <v/>
      </c>
      <c r="V2140" s="8">
        <f>IF(COUNT(D2140:S2140)=0,"",MAX(D2140:S2140))</f>
        <v/>
      </c>
      <c r="W2140" s="9">
        <f>IF(OR(T2140="",T2140=0),"",(V2140-T2140)/T2140)</f>
        <v/>
      </c>
      <c r="X2140" s="7">
        <f>IF(COUNT(D2140:S2140)=0,"",INDEX($D$1:$S$1,MATCH(MIN(D2140:S2140),D2140:S2140,0)))</f>
        <v/>
      </c>
      <c r="Y2140" s="8" t="n">
        <v>35</v>
      </c>
      <c r="Z2140" s="10" t="n">
        <v>1</v>
      </c>
    </row>
    <row r="2141">
      <c r="A2141" s="7" t="inlineStr">
        <is>
          <t>MAT-32-791</t>
        </is>
      </c>
      <c r="B2141" s="4" t="inlineStr">
        <is>
          <t>Manguera para uso general, transparente 1"</t>
        </is>
      </c>
      <c r="C2141" s="7" t="inlineStr">
        <is>
          <t>unidad</t>
        </is>
      </c>
      <c r="D2141" s="8" t="n"/>
      <c r="E2141" s="8" t="n"/>
      <c r="F2141" s="8" t="n"/>
      <c r="G2141" s="8" t="n">
        <v>100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>
        <f>IF(COUNT(D2141:S2141)=0,"",MIN(D2141:S2141))</f>
        <v/>
      </c>
      <c r="U2141" s="8">
        <f>IF(COUNT(D2141:S2141)=0,"",MEDIAN(D2141:S2141))</f>
        <v/>
      </c>
      <c r="V2141" s="8">
        <f>IF(COUNT(D2141:S2141)=0,"",MAX(D2141:S2141))</f>
        <v/>
      </c>
      <c r="W2141" s="9">
        <f>IF(OR(T2141="",T2141=0),"",(V2141-T2141)/T2141)</f>
        <v/>
      </c>
      <c r="X2141" s="7">
        <f>IF(COUNT(D2141:S2141)=0,"",INDEX($D$1:$S$1,MATCH(MIN(D2141:S2141),D2141:S2141,0)))</f>
        <v/>
      </c>
      <c r="Y2141" s="8" t="n">
        <v>100</v>
      </c>
      <c r="Z2141" s="10" t="n">
        <v>1</v>
      </c>
    </row>
    <row r="2142">
      <c r="A2142" s="7" t="inlineStr">
        <is>
          <t>MAT-32-792</t>
        </is>
      </c>
      <c r="B2142" s="4" t="inlineStr">
        <is>
          <t>Manguera para uso general, transparente 3/4"</t>
        </is>
      </c>
      <c r="C2142" s="7" t="inlineStr">
        <is>
          <t>unidad</t>
        </is>
      </c>
      <c r="D2142" s="8" t="n"/>
      <c r="E2142" s="8" t="n"/>
      <c r="F2142" s="8" t="n"/>
      <c r="G2142" s="8" t="n">
        <v>36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>
        <f>IF(COUNT(D2142:S2142)=0,"",MIN(D2142:S2142))</f>
        <v/>
      </c>
      <c r="U2142" s="8">
        <f>IF(COUNT(D2142:S2142)=0,"",MEDIAN(D2142:S2142))</f>
        <v/>
      </c>
      <c r="V2142" s="8">
        <f>IF(COUNT(D2142:S2142)=0,"",MAX(D2142:S2142))</f>
        <v/>
      </c>
      <c r="W2142" s="9">
        <f>IF(OR(T2142="",T2142=0),"",(V2142-T2142)/T2142)</f>
        <v/>
      </c>
      <c r="X2142" s="7">
        <f>IF(COUNT(D2142:S2142)=0,"",INDEX($D$1:$S$1,MATCH(MIN(D2142:S2142),D2142:S2142,0)))</f>
        <v/>
      </c>
      <c r="Y2142" s="8" t="n">
        <v>36</v>
      </c>
      <c r="Z2142" s="10" t="n">
        <v>1</v>
      </c>
    </row>
    <row r="2143">
      <c r="A2143" s="7" t="inlineStr">
        <is>
          <t>MAT-32-793</t>
        </is>
      </c>
      <c r="B2143" s="4" t="inlineStr">
        <is>
          <t>Manguera para uso general, transparente 3/8"</t>
        </is>
      </c>
      <c r="C2143" s="7" t="inlineStr">
        <is>
          <t>unidad</t>
        </is>
      </c>
      <c r="D2143" s="8" t="n"/>
      <c r="E2143" s="8" t="n"/>
      <c r="F2143" s="8" t="n"/>
      <c r="G2143" s="8" t="n">
        <v>32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>
        <f>IF(COUNT(D2143:S2143)=0,"",MIN(D2143:S2143))</f>
        <v/>
      </c>
      <c r="U2143" s="8">
        <f>IF(COUNT(D2143:S2143)=0,"",MEDIAN(D2143:S2143))</f>
        <v/>
      </c>
      <c r="V2143" s="8">
        <f>IF(COUNT(D2143:S2143)=0,"",MAX(D2143:S2143))</f>
        <v/>
      </c>
      <c r="W2143" s="9">
        <f>IF(OR(T2143="",T2143=0),"",(V2143-T2143)/T2143)</f>
        <v/>
      </c>
      <c r="X2143" s="7">
        <f>IF(COUNT(D2143:S2143)=0,"",INDEX($D$1:$S$1,MATCH(MIN(D2143:S2143),D2143:S2143,0)))</f>
        <v/>
      </c>
      <c r="Y2143" s="8" t="n">
        <v>32</v>
      </c>
      <c r="Z2143" s="10" t="n">
        <v>1</v>
      </c>
    </row>
    <row r="2144">
      <c r="A2144" s="7" t="inlineStr">
        <is>
          <t>MAT-32-794</t>
        </is>
      </c>
      <c r="B2144" s="4" t="inlineStr">
        <is>
          <t>Cinta de teflón 1"</t>
        </is>
      </c>
      <c r="C2144" s="7" t="inlineStr">
        <is>
          <t>rollo</t>
        </is>
      </c>
      <c r="D2144" s="8" t="n"/>
      <c r="E2144" s="8" t="n"/>
      <c r="F2144" s="8" t="n"/>
      <c r="G2144" s="8" t="n">
        <v>75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>
        <f>IF(COUNT(D2144:S2144)=0,"",MIN(D2144:S2144))</f>
        <v/>
      </c>
      <c r="U2144" s="8">
        <f>IF(COUNT(D2144:S2144)=0,"",MEDIAN(D2144:S2144))</f>
        <v/>
      </c>
      <c r="V2144" s="8">
        <f>IF(COUNT(D2144:S2144)=0,"",MAX(D2144:S2144))</f>
        <v/>
      </c>
      <c r="W2144" s="9">
        <f>IF(OR(T2144="",T2144=0),"",(V2144-T2144)/T2144)</f>
        <v/>
      </c>
      <c r="X2144" s="7">
        <f>IF(COUNT(D2144:S2144)=0,"",INDEX($D$1:$S$1,MATCH(MIN(D2144:S2144),D2144:S2144,0)))</f>
        <v/>
      </c>
      <c r="Y2144" s="8" t="n">
        <v>75</v>
      </c>
      <c r="Z2144" s="10" t="n">
        <v>1</v>
      </c>
    </row>
    <row r="2145">
      <c r="A2145" s="7" t="inlineStr">
        <is>
          <t>MAT-32-795</t>
        </is>
      </c>
      <c r="B2145" s="4" t="inlineStr">
        <is>
          <t>Cinta de teflón 3/4"</t>
        </is>
      </c>
      <c r="C2145" s="7" t="inlineStr">
        <is>
          <t>rollo</t>
        </is>
      </c>
      <c r="D2145" s="8" t="n"/>
      <c r="E2145" s="8" t="n"/>
      <c r="F2145" s="8" t="n"/>
      <c r="G2145" s="8" t="n">
        <v>60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>
        <f>IF(COUNT(D2145:S2145)=0,"",MIN(D2145:S2145))</f>
        <v/>
      </c>
      <c r="U2145" s="8">
        <f>IF(COUNT(D2145:S2145)=0,"",MEDIAN(D2145:S2145))</f>
        <v/>
      </c>
      <c r="V2145" s="8">
        <f>IF(COUNT(D2145:S2145)=0,"",MAX(D2145:S2145))</f>
        <v/>
      </c>
      <c r="W2145" s="9">
        <f>IF(OR(T2145="",T2145=0),"",(V2145-T2145)/T2145)</f>
        <v/>
      </c>
      <c r="X2145" s="7">
        <f>IF(COUNT(D2145:S2145)=0,"",INDEX($D$1:$S$1,MATCH(MIN(D2145:S2145),D2145:S2145,0)))</f>
        <v/>
      </c>
      <c r="Y2145" s="8" t="n">
        <v>117.5</v>
      </c>
      <c r="Z2145" s="10" t="n">
        <v>1</v>
      </c>
    </row>
    <row r="2146">
      <c r="A2146" s="7" t="inlineStr">
        <is>
          <t>MAT-32-796</t>
        </is>
      </c>
      <c r="B2146" s="4" t="inlineStr">
        <is>
          <t>Cinta de plomero 0.19" x 15 pies</t>
        </is>
      </c>
      <c r="C2146" s="7" t="inlineStr">
        <is>
          <t>rollo</t>
        </is>
      </c>
      <c r="D2146" s="8" t="n"/>
      <c r="E2146" s="8" t="n"/>
      <c r="F2146" s="8" t="n"/>
      <c r="G2146" s="8" t="n">
        <v>304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>
        <f>IF(COUNT(D2146:S2146)=0,"",MIN(D2146:S2146))</f>
        <v/>
      </c>
      <c r="U2146" s="8">
        <f>IF(COUNT(D2146:S2146)=0,"",MEDIAN(D2146:S2146))</f>
        <v/>
      </c>
      <c r="V2146" s="8">
        <f>IF(COUNT(D2146:S2146)=0,"",MAX(D2146:S2146))</f>
        <v/>
      </c>
      <c r="W2146" s="9">
        <f>IF(OR(T2146="",T2146=0),"",(V2146-T2146)/T2146)</f>
        <v/>
      </c>
      <c r="X2146" s="7">
        <f>IF(COUNT(D2146:S2146)=0,"",INDEX($D$1:$S$1,MATCH(MIN(D2146:S2146),D2146:S2146,0)))</f>
        <v/>
      </c>
      <c r="Y2146" s="8" t="n">
        <v>304</v>
      </c>
      <c r="Z2146" s="10" t="n">
        <v>1</v>
      </c>
    </row>
    <row r="2147">
      <c r="A2147" s="7" t="inlineStr">
        <is>
          <t>MAT-32-797</t>
        </is>
      </c>
      <c r="B2147" s="4" t="inlineStr">
        <is>
          <t>Cinta de plomero 1/2" x 50 pies</t>
        </is>
      </c>
      <c r="C2147" s="7" t="inlineStr">
        <is>
          <t>rollo</t>
        </is>
      </c>
      <c r="D2147" s="8" t="n"/>
      <c r="E2147" s="8" t="n"/>
      <c r="F2147" s="8" t="n"/>
      <c r="G2147" s="8" t="n">
        <v>2525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>
        <f>IF(COUNT(D2147:S2147)=0,"",MIN(D2147:S2147))</f>
        <v/>
      </c>
      <c r="U2147" s="8">
        <f>IF(COUNT(D2147:S2147)=0,"",MEDIAN(D2147:S2147))</f>
        <v/>
      </c>
      <c r="V2147" s="8">
        <f>IF(COUNT(D2147:S2147)=0,"",MAX(D2147:S2147))</f>
        <v/>
      </c>
      <c r="W2147" s="9">
        <f>IF(OR(T2147="",T2147=0),"",(V2147-T2147)/T2147)</f>
        <v/>
      </c>
      <c r="X2147" s="7">
        <f>IF(COUNT(D2147:S2147)=0,"",INDEX($D$1:$S$1,MATCH(MIN(D2147:S2147),D2147:S2147,0)))</f>
        <v/>
      </c>
      <c r="Y2147" s="8" t="n">
        <v>2525</v>
      </c>
      <c r="Z2147" s="10" t="n">
        <v>1</v>
      </c>
    </row>
    <row r="2148">
      <c r="A2148" s="7" t="inlineStr">
        <is>
          <t>MAT-32-798</t>
        </is>
      </c>
      <c r="B2148" s="4" t="inlineStr">
        <is>
          <t>Cinta de plomero 1/8" x 25 pies</t>
        </is>
      </c>
      <c r="C2148" s="7" t="inlineStr">
        <is>
          <t>rollo</t>
        </is>
      </c>
      <c r="D2148" s="8" t="n"/>
      <c r="E2148" s="8" t="n"/>
      <c r="F2148" s="8" t="n"/>
      <c r="G2148" s="8" t="n">
        <v>412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>
        <f>IF(COUNT(D2148:S2148)=0,"",MIN(D2148:S2148))</f>
        <v/>
      </c>
      <c r="U2148" s="8">
        <f>IF(COUNT(D2148:S2148)=0,"",MEDIAN(D2148:S2148))</f>
        <v/>
      </c>
      <c r="V2148" s="8">
        <f>IF(COUNT(D2148:S2148)=0,"",MAX(D2148:S2148))</f>
        <v/>
      </c>
      <c r="W2148" s="9">
        <f>IF(OR(T2148="",T2148=0),"",(V2148-T2148)/T2148)</f>
        <v/>
      </c>
      <c r="X2148" s="7">
        <f>IF(COUNT(D2148:S2148)=0,"",INDEX($D$1:$S$1,MATCH(MIN(D2148:S2148),D2148:S2148,0)))</f>
        <v/>
      </c>
      <c r="Y2148" s="8" t="n">
        <v>412</v>
      </c>
      <c r="Z2148" s="10" t="n">
        <v>1</v>
      </c>
    </row>
    <row r="2149">
      <c r="A2149" s="7" t="inlineStr">
        <is>
          <t>MAT-32-799</t>
        </is>
      </c>
      <c r="B2149" s="4" t="inlineStr">
        <is>
          <t>Cemento solvente para PVC, 16 oz</t>
        </is>
      </c>
      <c r="C2149" s="7" t="inlineStr">
        <is>
          <t>envase</t>
        </is>
      </c>
      <c r="D2149" s="8" t="n"/>
      <c r="E2149" s="8" t="n"/>
      <c r="F2149" s="8" t="n"/>
      <c r="G2149" s="8" t="n">
        <v>979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>
        <f>IF(COUNT(D2149:S2149)=0,"",MIN(D2149:S2149))</f>
        <v/>
      </c>
      <c r="U2149" s="8">
        <f>IF(COUNT(D2149:S2149)=0,"",MEDIAN(D2149:S2149))</f>
        <v/>
      </c>
      <c r="V2149" s="8">
        <f>IF(COUNT(D2149:S2149)=0,"",MAX(D2149:S2149))</f>
        <v/>
      </c>
      <c r="W2149" s="9">
        <f>IF(OR(T2149="",T2149=0),"",(V2149-T2149)/T2149)</f>
        <v/>
      </c>
      <c r="X2149" s="7">
        <f>IF(COUNT(D2149:S2149)=0,"",INDEX($D$1:$S$1,MATCH(MIN(D2149:S2149),D2149:S2149,0)))</f>
        <v/>
      </c>
      <c r="Y2149" s="8" t="n">
        <v>979</v>
      </c>
      <c r="Z2149" s="10" t="n">
        <v>1</v>
      </c>
    </row>
    <row r="2150">
      <c r="A2150" s="7" t="inlineStr">
        <is>
          <t>MAT-32-800</t>
        </is>
      </c>
      <c r="B2150" s="4" t="inlineStr">
        <is>
          <t>Cemento solvente para PVC, 32 oz</t>
        </is>
      </c>
      <c r="C2150" s="7" t="inlineStr">
        <is>
          <t>envase</t>
        </is>
      </c>
      <c r="D2150" s="8" t="n"/>
      <c r="E2150" s="8" t="n"/>
      <c r="F2150" s="8" t="n"/>
      <c r="G2150" s="8" t="n">
        <v>1765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>
        <f>IF(COUNT(D2150:S2150)=0,"",MIN(D2150:S2150))</f>
        <v/>
      </c>
      <c r="U2150" s="8">
        <f>IF(COUNT(D2150:S2150)=0,"",MEDIAN(D2150:S2150))</f>
        <v/>
      </c>
      <c r="V2150" s="8">
        <f>IF(COUNT(D2150:S2150)=0,"",MAX(D2150:S2150))</f>
        <v/>
      </c>
      <c r="W2150" s="9">
        <f>IF(OR(T2150="",T2150=0),"",(V2150-T2150)/T2150)</f>
        <v/>
      </c>
      <c r="X2150" s="7">
        <f>IF(COUNT(D2150:S2150)=0,"",INDEX($D$1:$S$1,MATCH(MIN(D2150:S2150),D2150:S2150,0)))</f>
        <v/>
      </c>
      <c r="Y2150" s="8" t="n">
        <v>1765</v>
      </c>
      <c r="Z2150" s="10" t="n">
        <v>1</v>
      </c>
    </row>
    <row r="2151">
      <c r="A2151" s="7" t="inlineStr">
        <is>
          <t>MAT-32-801</t>
        </is>
      </c>
      <c r="B2151" s="4" t="inlineStr">
        <is>
          <t>Cemento solvente para PVC, 4 oz</t>
        </is>
      </c>
      <c r="C2151" s="7" t="inlineStr">
        <is>
          <t>envase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>
        <f>IF(COUNT(D2151:S2151)=0,"",MIN(D2151:S2151))</f>
        <v/>
      </c>
      <c r="U2151" s="8">
        <f>IF(COUNT(D2151:S2151)=0,"",MEDIAN(D2151:S2151))</f>
        <v/>
      </c>
      <c r="V2151" s="8">
        <f>IF(COUNT(D2151:S2151)=0,"",MAX(D2151:S2151))</f>
        <v/>
      </c>
      <c r="W2151" s="9">
        <f>IF(OR(T2151="",T2151=0),"",(V2151-T2151)/T2151)</f>
        <v/>
      </c>
      <c r="X2151" s="7">
        <f>IF(COUNT(D2151:S2151)=0,"",INDEX($D$1:$S$1,MATCH(MIN(D2151:S2151),D2151:S2151,0)))</f>
        <v/>
      </c>
      <c r="Y2151" s="8" t="n">
        <v>391.5</v>
      </c>
      <c r="Z2151" s="10" t="n">
        <v>1</v>
      </c>
    </row>
    <row r="2152">
      <c r="A2152" s="7" t="inlineStr">
        <is>
          <t>MAT-32-802</t>
        </is>
      </c>
      <c r="B2152" s="4" t="inlineStr">
        <is>
          <t>Cemento solvente para PVC, 50 ml</t>
        </is>
      </c>
      <c r="C2152" s="7" t="inlineStr">
        <is>
          <t>envase</t>
        </is>
      </c>
      <c r="D2152" s="8" t="n"/>
      <c r="E2152" s="8" t="n"/>
      <c r="F2152" s="8" t="n"/>
      <c r="G2152" s="8" t="n">
        <v>205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>
        <f>IF(COUNT(D2152:S2152)=0,"",MIN(D2152:S2152))</f>
        <v/>
      </c>
      <c r="U2152" s="8">
        <f>IF(COUNT(D2152:S2152)=0,"",MEDIAN(D2152:S2152))</f>
        <v/>
      </c>
      <c r="V2152" s="8">
        <f>IF(COUNT(D2152:S2152)=0,"",MAX(D2152:S2152))</f>
        <v/>
      </c>
      <c r="W2152" s="9">
        <f>IF(OR(T2152="",T2152=0),"",(V2152-T2152)/T2152)</f>
        <v/>
      </c>
      <c r="X2152" s="7">
        <f>IF(COUNT(D2152:S2152)=0,"",INDEX($D$1:$S$1,MATCH(MIN(D2152:S2152),D2152:S2152,0)))</f>
        <v/>
      </c>
      <c r="Y2152" s="8" t="n">
        <v>205</v>
      </c>
      <c r="Z2152" s="10" t="n">
        <v>1</v>
      </c>
    </row>
    <row r="2153">
      <c r="A2153" s="7" t="inlineStr">
        <is>
          <t>MAT-32-803</t>
        </is>
      </c>
      <c r="B2153" s="4" t="inlineStr">
        <is>
          <t>Cemento solvente para PVC, 8 oz</t>
        </is>
      </c>
      <c r="C2153" s="7" t="inlineStr">
        <is>
          <t>envase</t>
        </is>
      </c>
      <c r="D2153" s="8" t="n"/>
      <c r="E2153" s="8" t="n"/>
      <c r="F2153" s="8" t="n"/>
      <c r="G2153" s="8" t="n">
        <v>473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>
        <f>IF(COUNT(D2153:S2153)=0,"",MIN(D2153:S2153))</f>
        <v/>
      </c>
      <c r="U2153" s="8">
        <f>IF(COUNT(D2153:S2153)=0,"",MEDIAN(D2153:S2153))</f>
        <v/>
      </c>
      <c r="V2153" s="8">
        <f>IF(COUNT(D2153:S2153)=0,"",MAX(D2153:S2153))</f>
        <v/>
      </c>
      <c r="W2153" s="9">
        <f>IF(OR(T2153="",T2153=0),"",(V2153-T2153)/T2153)</f>
        <v/>
      </c>
      <c r="X2153" s="7">
        <f>IF(COUNT(D2153:S2153)=0,"",INDEX($D$1:$S$1,MATCH(MIN(D2153:S2153),D2153:S2153,0)))</f>
        <v/>
      </c>
      <c r="Y2153" s="8" t="n">
        <v>520</v>
      </c>
      <c r="Z2153" s="10" t="n">
        <v>1</v>
      </c>
    </row>
    <row r="2154">
      <c r="A2154" s="7" t="inlineStr">
        <is>
          <t>MAT-33-001</t>
        </is>
      </c>
      <c r="B2154" s="4" t="inlineStr">
        <is>
          <t>Lámpara decorativa de mesa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/>
      <c r="P2154" s="8" t="n">
        <v>23876.2</v>
      </c>
      <c r="Q2154" s="8" t="n"/>
      <c r="R2154" s="8" t="n"/>
      <c r="S2154" s="8" t="n"/>
      <c r="T2154" s="8">
        <f>IF(COUNT(D2154:S2154)=0,"",MIN(D2154:S2154))</f>
        <v/>
      </c>
      <c r="U2154" s="8">
        <f>IF(COUNT(D2154:S2154)=0,"",MEDIAN(D2154:S2154))</f>
        <v/>
      </c>
      <c r="V2154" s="8">
        <f>IF(COUNT(D2154:S2154)=0,"",MAX(D2154:S2154))</f>
        <v/>
      </c>
      <c r="W2154" s="9">
        <f>IF(OR(T2154="",T2154=0),"",(V2154-T2154)/T2154)</f>
        <v/>
      </c>
      <c r="X2154" s="7">
        <f>IF(COUNT(D2154:S2154)=0,"",INDEX($D$1:$S$1,MATCH(MIN(D2154:S2154),D2154:S2154,0)))</f>
        <v/>
      </c>
      <c r="Y2154" s="8" t="n">
        <v>4000</v>
      </c>
      <c r="Z2154" s="10" t="n">
        <v>2</v>
      </c>
    </row>
    <row r="2155">
      <c r="A2155" s="7" t="inlineStr">
        <is>
          <t>MAT-33-002</t>
        </is>
      </c>
      <c r="B2155" s="4" t="inlineStr">
        <is>
          <t>Lámpara decorativa de pared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500</v>
      </c>
      <c r="K2155" s="8" t="n"/>
      <c r="L2155" s="8" t="n"/>
      <c r="M2155" s="8" t="n"/>
      <c r="N2155" s="8" t="n"/>
      <c r="O2155" s="8" t="n"/>
      <c r="P2155" s="8" t="n">
        <v>6686.38</v>
      </c>
      <c r="Q2155" s="8" t="n"/>
      <c r="R2155" s="8" t="n"/>
      <c r="S2155" s="8" t="n"/>
      <c r="T2155" s="8">
        <f>IF(COUNT(D2155:S2155)=0,"",MIN(D2155:S2155))</f>
        <v/>
      </c>
      <c r="U2155" s="8">
        <f>IF(COUNT(D2155:S2155)=0,"",MEDIAN(D2155:S2155))</f>
        <v/>
      </c>
      <c r="V2155" s="8">
        <f>IF(COUNT(D2155:S2155)=0,"",MAX(D2155:S2155))</f>
        <v/>
      </c>
      <c r="W2155" s="9">
        <f>IF(OR(T2155="",T2155=0),"",(V2155-T2155)/T2155)</f>
        <v/>
      </c>
      <c r="X2155" s="7">
        <f>IF(COUNT(D2155:S2155)=0,"",INDEX($D$1:$S$1,MATCH(MIN(D2155:S2155),D2155:S2155,0)))</f>
        <v/>
      </c>
      <c r="Y2155" s="8" t="n">
        <v>2850</v>
      </c>
      <c r="Z2155" s="10" t="n">
        <v>2</v>
      </c>
    </row>
    <row r="2156">
      <c r="A2156" s="7" t="inlineStr">
        <is>
          <t>MAT-33-003</t>
        </is>
      </c>
      <c r="B2156" s="4" t="inlineStr">
        <is>
          <t>Lámpara decorativa de pie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4000</v>
      </c>
      <c r="K2156" s="8" t="n"/>
      <c r="L2156" s="8" t="n"/>
      <c r="M2156" s="8" t="n"/>
      <c r="N2156" s="8" t="n"/>
      <c r="O2156" s="8" t="n"/>
      <c r="P2156" s="8" t="n">
        <v>30467.44</v>
      </c>
      <c r="Q2156" s="8" t="n"/>
      <c r="R2156" s="8" t="n"/>
      <c r="S2156" s="8" t="n"/>
      <c r="T2156" s="8">
        <f>IF(COUNT(D2156:S2156)=0,"",MIN(D2156:S2156))</f>
        <v/>
      </c>
      <c r="U2156" s="8">
        <f>IF(COUNT(D2156:S2156)=0,"",MEDIAN(D2156:S2156))</f>
        <v/>
      </c>
      <c r="V2156" s="8">
        <f>IF(COUNT(D2156:S2156)=0,"",MAX(D2156:S2156))</f>
        <v/>
      </c>
      <c r="W2156" s="9">
        <f>IF(OR(T2156="",T2156=0),"",(V2156-T2156)/T2156)</f>
        <v/>
      </c>
      <c r="X2156" s="7">
        <f>IF(COUNT(D2156:S2156)=0,"",INDEX($D$1:$S$1,MATCH(MIN(D2156:S2156),D2156:S2156,0)))</f>
        <v/>
      </c>
      <c r="Y2156" s="8" t="n">
        <v>8250</v>
      </c>
      <c r="Z2156" s="10" t="n">
        <v>2</v>
      </c>
    </row>
    <row r="2157">
      <c r="A2157" s="7" t="inlineStr">
        <is>
          <t>MAT-33-004</t>
        </is>
      </c>
      <c r="B2157" s="4" t="inlineStr">
        <is>
          <t>Lámpara decorativa de techo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1200</v>
      </c>
      <c r="K2157" s="8" t="n"/>
      <c r="L2157" s="8" t="n"/>
      <c r="M2157" s="8" t="n"/>
      <c r="N2157" s="8" t="n"/>
      <c r="O2157" s="8" t="n"/>
      <c r="P2157" s="8" t="n">
        <v>7689.1</v>
      </c>
      <c r="Q2157" s="8" t="n"/>
      <c r="R2157" s="8" t="n"/>
      <c r="S2157" s="8" t="n"/>
      <c r="T2157" s="8">
        <f>IF(COUNT(D2157:S2157)=0,"",MIN(D2157:S2157))</f>
        <v/>
      </c>
      <c r="U2157" s="8">
        <f>IF(COUNT(D2157:S2157)=0,"",MEDIAN(D2157:S2157))</f>
        <v/>
      </c>
      <c r="V2157" s="8">
        <f>IF(COUNT(D2157:S2157)=0,"",MAX(D2157:S2157))</f>
        <v/>
      </c>
      <c r="W2157" s="9">
        <f>IF(OR(T2157="",T2157=0),"",(V2157-T2157)/T2157)</f>
        <v/>
      </c>
      <c r="X2157" s="7">
        <f>IF(COUNT(D2157:S2157)=0,"",INDEX($D$1:$S$1,MATCH(MIN(D2157:S2157),D2157:S2157,0)))</f>
        <v/>
      </c>
      <c r="Y2157" s="8" t="n">
        <v>6025</v>
      </c>
      <c r="Z2157" s="10" t="n">
        <v>2</v>
      </c>
    </row>
    <row r="2158">
      <c r="A2158" s="7" t="inlineStr">
        <is>
          <t>MAT-34-001</t>
        </is>
      </c>
      <c r="B2158" s="4" t="inlineStr">
        <is>
          <t>Panel de pared de PVC acústico, 21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>
        <v>1609.2</v>
      </c>
      <c r="P2158" s="8" t="n"/>
      <c r="Q2158" s="8" t="n"/>
      <c r="R2158" s="8" t="n"/>
      <c r="S2158" s="8" t="n"/>
      <c r="T2158" s="8">
        <f>IF(COUNT(D2158:S2158)=0,"",MIN(D2158:S2158))</f>
        <v/>
      </c>
      <c r="U2158" s="8">
        <f>IF(COUNT(D2158:S2158)=0,"",MEDIAN(D2158:S2158))</f>
        <v/>
      </c>
      <c r="V2158" s="8">
        <f>IF(COUNT(D2158:S2158)=0,"",MAX(D2158:S2158))</f>
        <v/>
      </c>
      <c r="W2158" s="9">
        <f>IF(OR(T2158="",T2158=0),"",(V2158-T2158)/T2158)</f>
        <v/>
      </c>
      <c r="X2158" s="7">
        <f>IF(COUNT(D2158:S2158)=0,"",INDEX($D$1:$S$1,MATCH(MIN(D2158:S2158),D2158:S2158,0)))</f>
        <v/>
      </c>
      <c r="Y2158" s="8" t="n">
        <v>1609.2</v>
      </c>
      <c r="Z2158" s="10" t="n">
        <v>1</v>
      </c>
    </row>
    <row r="2159">
      <c r="A2159" s="7" t="inlineStr">
        <is>
          <t>MAT-34-002</t>
        </is>
      </c>
      <c r="B2159" s="4" t="inlineStr">
        <is>
          <t>Panel de pared de PVC, 10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>
        <v>1354.68</v>
      </c>
      <c r="P2159" s="8" t="n"/>
      <c r="Q2159" s="8" t="n"/>
      <c r="R2159" s="8" t="n"/>
      <c r="S2159" s="8" t="n"/>
      <c r="T2159" s="8">
        <f>IF(COUNT(D2159:S2159)=0,"",MIN(D2159:S2159))</f>
        <v/>
      </c>
      <c r="U2159" s="8">
        <f>IF(COUNT(D2159:S2159)=0,"",MEDIAN(D2159:S2159))</f>
        <v/>
      </c>
      <c r="V2159" s="8">
        <f>IF(COUNT(D2159:S2159)=0,"",MAX(D2159:S2159))</f>
        <v/>
      </c>
      <c r="W2159" s="9">
        <f>IF(OR(T2159="",T2159=0),"",(V2159-T2159)/T2159)</f>
        <v/>
      </c>
      <c r="X2159" s="7">
        <f>IF(COUNT(D2159:S2159)=0,"",INDEX($D$1:$S$1,MATCH(MIN(D2159:S2159),D2159:S2159,0)))</f>
        <v/>
      </c>
      <c r="Y2159" s="8" t="n">
        <v>1354.68</v>
      </c>
      <c r="Z2159" s="10" t="n">
        <v>1</v>
      </c>
    </row>
    <row r="2160">
      <c r="A2160" s="7" t="inlineStr">
        <is>
          <t>MAT-34-003</t>
        </is>
      </c>
      <c r="B2160" s="4" t="inlineStr">
        <is>
          <t>Panel de pared de PVC, 12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>
        <v>998.1900000000001</v>
      </c>
      <c r="P2160" s="8" t="n"/>
      <c r="Q2160" s="8" t="n"/>
      <c r="R2160" s="8" t="n"/>
      <c r="S2160" s="8" t="n"/>
      <c r="T2160" s="8">
        <f>IF(COUNT(D2160:S2160)=0,"",MIN(D2160:S2160))</f>
        <v/>
      </c>
      <c r="U2160" s="8">
        <f>IF(COUNT(D2160:S2160)=0,"",MEDIAN(D2160:S2160))</f>
        <v/>
      </c>
      <c r="V2160" s="8">
        <f>IF(COUNT(D2160:S2160)=0,"",MAX(D2160:S2160))</f>
        <v/>
      </c>
      <c r="W2160" s="9">
        <f>IF(OR(T2160="",T2160=0),"",(V2160-T2160)/T2160)</f>
        <v/>
      </c>
      <c r="X2160" s="7">
        <f>IF(COUNT(D2160:S2160)=0,"",INDEX($D$1:$S$1,MATCH(MIN(D2160:S2160),D2160:S2160,0)))</f>
        <v/>
      </c>
      <c r="Y2160" s="8" t="n">
        <v>998.1900000000001</v>
      </c>
      <c r="Z2160" s="10" t="n">
        <v>1</v>
      </c>
    </row>
    <row r="2161">
      <c r="A2161" s="7" t="inlineStr">
        <is>
          <t>MAT-34-004</t>
        </is>
      </c>
      <c r="B2161" s="4" t="inlineStr">
        <is>
          <t>Panel de pared de PVC, 13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>
        <v>1252.27</v>
      </c>
      <c r="P2161" s="8" t="n"/>
      <c r="Q2161" s="8" t="n"/>
      <c r="R2161" s="8" t="n"/>
      <c r="S2161" s="8" t="n"/>
      <c r="T2161" s="8">
        <f>IF(COUNT(D2161:S2161)=0,"",MIN(D2161:S2161))</f>
        <v/>
      </c>
      <c r="U2161" s="8">
        <f>IF(COUNT(D2161:S2161)=0,"",MEDIAN(D2161:S2161))</f>
        <v/>
      </c>
      <c r="V2161" s="8">
        <f>IF(COUNT(D2161:S2161)=0,"",MAX(D2161:S2161))</f>
        <v/>
      </c>
      <c r="W2161" s="9">
        <f>IF(OR(T2161="",T2161=0),"",(V2161-T2161)/T2161)</f>
        <v/>
      </c>
      <c r="X2161" s="7">
        <f>IF(COUNT(D2161:S2161)=0,"",INDEX($D$1:$S$1,MATCH(MIN(D2161:S2161),D2161:S2161,0)))</f>
        <v/>
      </c>
      <c r="Y2161" s="8" t="n">
        <v>1252.27</v>
      </c>
      <c r="Z2161" s="10" t="n">
        <v>1</v>
      </c>
    </row>
    <row r="2162">
      <c r="A2162" s="7" t="inlineStr">
        <is>
          <t>MAT-34-005</t>
        </is>
      </c>
      <c r="B2162" s="4" t="inlineStr">
        <is>
          <t>Panel de pared de PVC, 14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>
        <v>1133</v>
      </c>
      <c r="P2162" s="8" t="n"/>
      <c r="Q2162" s="8" t="n"/>
      <c r="R2162" s="8" t="n"/>
      <c r="S2162" s="8" t="n"/>
      <c r="T2162" s="8">
        <f>IF(COUNT(D2162:S2162)=0,"",MIN(D2162:S2162))</f>
        <v/>
      </c>
      <c r="U2162" s="8">
        <f>IF(COUNT(D2162:S2162)=0,"",MEDIAN(D2162:S2162))</f>
        <v/>
      </c>
      <c r="V2162" s="8">
        <f>IF(COUNT(D2162:S2162)=0,"",MAX(D2162:S2162))</f>
        <v/>
      </c>
      <c r="W2162" s="9">
        <f>IF(OR(T2162="",T2162=0),"",(V2162-T2162)/T2162)</f>
        <v/>
      </c>
      <c r="X2162" s="7">
        <f>IF(COUNT(D2162:S2162)=0,"",INDEX($D$1:$S$1,MATCH(MIN(D2162:S2162),D2162:S2162,0)))</f>
        <v/>
      </c>
      <c r="Y2162" s="8" t="n">
        <v>1133</v>
      </c>
      <c r="Z2162" s="10" t="n">
        <v>1</v>
      </c>
    </row>
    <row r="2163">
      <c r="A2163" s="7" t="inlineStr">
        <is>
          <t>MAT-34-006</t>
        </is>
      </c>
      <c r="B2163" s="4" t="inlineStr">
        <is>
          <t>Panel de pared de PVC, 15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>
        <v>1252.27</v>
      </c>
      <c r="P2163" s="8" t="n"/>
      <c r="Q2163" s="8" t="n"/>
      <c r="R2163" s="8" t="n"/>
      <c r="S2163" s="8" t="n"/>
      <c r="T2163" s="8">
        <f>IF(COUNT(D2163:S2163)=0,"",MIN(D2163:S2163))</f>
        <v/>
      </c>
      <c r="U2163" s="8">
        <f>IF(COUNT(D2163:S2163)=0,"",MEDIAN(D2163:S2163))</f>
        <v/>
      </c>
      <c r="V2163" s="8">
        <f>IF(COUNT(D2163:S2163)=0,"",MAX(D2163:S2163))</f>
        <v/>
      </c>
      <c r="W2163" s="9">
        <f>IF(OR(T2163="",T2163=0),"",(V2163-T2163)/T2163)</f>
        <v/>
      </c>
      <c r="X2163" s="7">
        <f>IF(COUNT(D2163:S2163)=0,"",INDEX($D$1:$S$1,MATCH(MIN(D2163:S2163),D2163:S2163,0)))</f>
        <v/>
      </c>
      <c r="Y2163" s="8" t="n">
        <v>1586.21</v>
      </c>
      <c r="Z2163" s="10" t="n">
        <v>1</v>
      </c>
    </row>
    <row r="2164">
      <c r="A2164" s="7" t="inlineStr">
        <is>
          <t>MAT-34-007</t>
        </is>
      </c>
      <c r="B2164" s="4" t="inlineStr">
        <is>
          <t>Panel de pared de PVC, 20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>
        <v>1487.07</v>
      </c>
      <c r="P2164" s="8" t="n"/>
      <c r="Q2164" s="8" t="n"/>
      <c r="R2164" s="8" t="n"/>
      <c r="S2164" s="8" t="n"/>
      <c r="T2164" s="8">
        <f>IF(COUNT(D2164:S2164)=0,"",MIN(D2164:S2164))</f>
        <v/>
      </c>
      <c r="U2164" s="8">
        <f>IF(COUNT(D2164:S2164)=0,"",MEDIAN(D2164:S2164))</f>
        <v/>
      </c>
      <c r="V2164" s="8">
        <f>IF(COUNT(D2164:S2164)=0,"",MAX(D2164:S2164))</f>
        <v/>
      </c>
      <c r="W2164" s="9">
        <f>IF(OR(T2164="",T2164=0),"",(V2164-T2164)/T2164)</f>
        <v/>
      </c>
      <c r="X2164" s="7">
        <f>IF(COUNT(D2164:S2164)=0,"",INDEX($D$1:$S$1,MATCH(MIN(D2164:S2164),D2164:S2164,0)))</f>
        <v/>
      </c>
      <c r="Y2164" s="8" t="n">
        <v>1487.07</v>
      </c>
      <c r="Z2164" s="10" t="n">
        <v>1</v>
      </c>
    </row>
    <row r="2165">
      <c r="A2165" s="7" t="inlineStr">
        <is>
          <t>MAT-34-008</t>
        </is>
      </c>
      <c r="B2165" s="4" t="inlineStr">
        <is>
          <t>Panel de pared de PVC, 24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>
        <v>1487.07</v>
      </c>
      <c r="P2165" s="8" t="n"/>
      <c r="Q2165" s="8" t="n"/>
      <c r="R2165" s="8" t="n"/>
      <c r="S2165" s="8" t="n"/>
      <c r="T2165" s="8">
        <f>IF(COUNT(D2165:S2165)=0,"",MIN(D2165:S2165))</f>
        <v/>
      </c>
      <c r="U2165" s="8">
        <f>IF(COUNT(D2165:S2165)=0,"",MEDIAN(D2165:S2165))</f>
        <v/>
      </c>
      <c r="V2165" s="8">
        <f>IF(COUNT(D2165:S2165)=0,"",MAX(D2165:S2165))</f>
        <v/>
      </c>
      <c r="W2165" s="9">
        <f>IF(OR(T2165="",T2165=0),"",(V2165-T2165)/T2165)</f>
        <v/>
      </c>
      <c r="X2165" s="7">
        <f>IF(COUNT(D2165:S2165)=0,"",INDEX($D$1:$S$1,MATCH(MIN(D2165:S2165),D2165:S2165,0)))</f>
        <v/>
      </c>
      <c r="Y2165" s="8" t="n">
        <v>1487.07</v>
      </c>
      <c r="Z2165" s="10" t="n">
        <v>1</v>
      </c>
    </row>
    <row r="2166">
      <c r="A2166" s="7" t="inlineStr">
        <is>
          <t>MAT-34-009</t>
        </is>
      </c>
      <c r="B2166" s="4" t="inlineStr">
        <is>
          <t>Panel de pared de WPC, 13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>
        <v>3266.79</v>
      </c>
      <c r="P2166" s="8" t="n"/>
      <c r="Q2166" s="8" t="n"/>
      <c r="R2166" s="8" t="n"/>
      <c r="S2166" s="8" t="n"/>
      <c r="T2166" s="8">
        <f>IF(COUNT(D2166:S2166)=0,"",MIN(D2166:S2166))</f>
        <v/>
      </c>
      <c r="U2166" s="8">
        <f>IF(COUNT(D2166:S2166)=0,"",MEDIAN(D2166:S2166))</f>
        <v/>
      </c>
      <c r="V2166" s="8">
        <f>IF(COUNT(D2166:S2166)=0,"",MAX(D2166:S2166))</f>
        <v/>
      </c>
      <c r="W2166" s="9">
        <f>IF(OR(T2166="",T2166=0),"",(V2166-T2166)/T2166)</f>
        <v/>
      </c>
      <c r="X2166" s="7">
        <f>IF(COUNT(D2166:S2166)=0,"",INDEX($D$1:$S$1,MATCH(MIN(D2166:S2166),D2166:S2166,0)))</f>
        <v/>
      </c>
      <c r="Y2166" s="8" t="n">
        <v>3266.79</v>
      </c>
      <c r="Z2166" s="10" t="n">
        <v>1</v>
      </c>
    </row>
    <row r="2167">
      <c r="A2167" s="7" t="inlineStr">
        <is>
          <t>MAT-34-010</t>
        </is>
      </c>
      <c r="B2167" s="4" t="inlineStr">
        <is>
          <t>Panel de pared de WPC, 26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>
        <v>2955.67</v>
      </c>
      <c r="P2167" s="8" t="n"/>
      <c r="Q2167" s="8" t="n"/>
      <c r="R2167" s="8" t="n"/>
      <c r="S2167" s="8" t="n"/>
      <c r="T2167" s="8">
        <f>IF(COUNT(D2167:S2167)=0,"",MIN(D2167:S2167))</f>
        <v/>
      </c>
      <c r="U2167" s="8">
        <f>IF(COUNT(D2167:S2167)=0,"",MEDIAN(D2167:S2167))</f>
        <v/>
      </c>
      <c r="V2167" s="8">
        <f>IF(COUNT(D2167:S2167)=0,"",MAX(D2167:S2167))</f>
        <v/>
      </c>
      <c r="W2167" s="9">
        <f>IF(OR(T2167="",T2167=0),"",(V2167-T2167)/T2167)</f>
        <v/>
      </c>
      <c r="X2167" s="7">
        <f>IF(COUNT(D2167:S2167)=0,"",INDEX($D$1:$S$1,MATCH(MIN(D2167:S2167),D2167:S2167,0)))</f>
        <v/>
      </c>
      <c r="Y2167" s="8" t="n">
        <v>2955.67</v>
      </c>
      <c r="Z2167" s="10" t="n">
        <v>1</v>
      </c>
    </row>
    <row r="2168">
      <c r="A2168" s="7" t="inlineStr">
        <is>
          <t>MAT-34-011</t>
        </is>
      </c>
      <c r="B2168" s="4" t="inlineStr">
        <is>
          <t>Plancha decorativa de bambú, 8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>
        <v>791.41</v>
      </c>
      <c r="P2168" s="8" t="n"/>
      <c r="Q2168" s="8" t="n"/>
      <c r="R2168" s="8" t="n"/>
      <c r="S2168" s="8" t="n"/>
      <c r="T2168" s="8">
        <f>IF(COUNT(D2168:S2168)=0,"",MIN(D2168:S2168))</f>
        <v/>
      </c>
      <c r="U2168" s="8">
        <f>IF(COUNT(D2168:S2168)=0,"",MEDIAN(D2168:S2168))</f>
        <v/>
      </c>
      <c r="V2168" s="8">
        <f>IF(COUNT(D2168:S2168)=0,"",MAX(D2168:S2168))</f>
        <v/>
      </c>
      <c r="W2168" s="9">
        <f>IF(OR(T2168="",T2168=0),"",(V2168-T2168)/T2168)</f>
        <v/>
      </c>
      <c r="X2168" s="7">
        <f>IF(COUNT(D2168:S2168)=0,"",INDEX($D$1:$S$1,MATCH(MIN(D2168:S2168),D2168:S2168,0)))</f>
        <v/>
      </c>
      <c r="Y2168" s="8" t="n">
        <v>791.41</v>
      </c>
      <c r="Z2168" s="10" t="n">
        <v>1</v>
      </c>
    </row>
    <row r="2169">
      <c r="A2169" s="7" t="inlineStr">
        <is>
          <t>MAT-34-012</t>
        </is>
      </c>
      <c r="B2169" s="4" t="inlineStr">
        <is>
          <t>Plancha decorativa de mármol, 3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>
        <v>650.08</v>
      </c>
      <c r="P2169" s="8" t="n"/>
      <c r="Q2169" s="8" t="n"/>
      <c r="R2169" s="8" t="n"/>
      <c r="S2169" s="8" t="n"/>
      <c r="T2169" s="8">
        <f>IF(COUNT(D2169:S2169)=0,"",MIN(D2169:S2169))</f>
        <v/>
      </c>
      <c r="U2169" s="8">
        <f>IF(COUNT(D2169:S2169)=0,"",MEDIAN(D2169:S2169))</f>
        <v/>
      </c>
      <c r="V2169" s="8">
        <f>IF(COUNT(D2169:S2169)=0,"",MAX(D2169:S2169))</f>
        <v/>
      </c>
      <c r="W2169" s="9">
        <f>IF(OR(T2169="",T2169=0),"",(V2169-T2169)/T2169)</f>
        <v/>
      </c>
      <c r="X2169" s="7">
        <f>IF(COUNT(D2169:S2169)=0,"",INDEX($D$1:$S$1,MATCH(MIN(D2169:S2169),D2169:S2169,0)))</f>
        <v/>
      </c>
      <c r="Y2169" s="8" t="n">
        <v>650.08</v>
      </c>
      <c r="Z2169" s="10" t="n">
        <v>1</v>
      </c>
    </row>
    <row r="2170">
      <c r="A2170" s="7" t="inlineStr">
        <is>
          <t>MAT-34-013</t>
        </is>
      </c>
      <c r="B2170" s="4" t="inlineStr">
        <is>
          <t>Plancha decorativa de ónix, 6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>
        <v>1463.7</v>
      </c>
      <c r="P2170" s="8" t="n"/>
      <c r="Q2170" s="8" t="n"/>
      <c r="R2170" s="8" t="n"/>
      <c r="S2170" s="8" t="n"/>
      <c r="T2170" s="8">
        <f>IF(COUNT(D2170:S2170)=0,"",MIN(D2170:S2170))</f>
        <v/>
      </c>
      <c r="U2170" s="8">
        <f>IF(COUNT(D2170:S2170)=0,"",MEDIAN(D2170:S2170))</f>
        <v/>
      </c>
      <c r="V2170" s="8">
        <f>IF(COUNT(D2170:S2170)=0,"",MAX(D2170:S2170))</f>
        <v/>
      </c>
      <c r="W2170" s="9">
        <f>IF(OR(T2170="",T2170=0),"",(V2170-T2170)/T2170)</f>
        <v/>
      </c>
      <c r="X2170" s="7">
        <f>IF(COUNT(D2170:S2170)=0,"",INDEX($D$1:$S$1,MATCH(MIN(D2170:S2170),D2170:S2170,0)))</f>
        <v/>
      </c>
      <c r="Y2170" s="8" t="n">
        <v>3512.88</v>
      </c>
      <c r="Z2170" s="10" t="n">
        <v>1</v>
      </c>
    </row>
    <row r="2171">
      <c r="A2171" s="7" t="inlineStr">
        <is>
          <t>MAT-34-014</t>
        </is>
      </c>
      <c r="B2171" s="4" t="inlineStr">
        <is>
          <t>Plancha decorativa de poliuretano, 8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>
        <v>791.41</v>
      </c>
      <c r="P2171" s="8" t="n"/>
      <c r="Q2171" s="8" t="n"/>
      <c r="R2171" s="8" t="n"/>
      <c r="S2171" s="8" t="n"/>
      <c r="T2171" s="8">
        <f>IF(COUNT(D2171:S2171)=0,"",MIN(D2171:S2171))</f>
        <v/>
      </c>
      <c r="U2171" s="8">
        <f>IF(COUNT(D2171:S2171)=0,"",MEDIAN(D2171:S2171))</f>
        <v/>
      </c>
      <c r="V2171" s="8">
        <f>IF(COUNT(D2171:S2171)=0,"",MAX(D2171:S2171))</f>
        <v/>
      </c>
      <c r="W2171" s="9">
        <f>IF(OR(T2171="",T2171=0),"",(V2171-T2171)/T2171)</f>
        <v/>
      </c>
      <c r="X2171" s="7">
        <f>IF(COUNT(D2171:S2171)=0,"",INDEX($D$1:$S$1,MATCH(MIN(D2171:S2171),D2171:S2171,0)))</f>
        <v/>
      </c>
      <c r="Y2171" s="8" t="n">
        <v>791.41</v>
      </c>
      <c r="Z2171" s="10" t="n">
        <v>1</v>
      </c>
    </row>
    <row r="2172">
      <c r="A2172" s="7" t="inlineStr">
        <is>
          <t>MAT-34-015</t>
        </is>
      </c>
      <c r="B2172" s="4" t="inlineStr">
        <is>
          <t>Plancha decorativa de PVC, 9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>
        <v>1379.31</v>
      </c>
      <c r="P2172" s="8" t="n"/>
      <c r="Q2172" s="8" t="n"/>
      <c r="R2172" s="8" t="n"/>
      <c r="S2172" s="8" t="n"/>
      <c r="T2172" s="8">
        <f>IF(COUNT(D2172:S2172)=0,"",MIN(D2172:S2172))</f>
        <v/>
      </c>
      <c r="U2172" s="8">
        <f>IF(COUNT(D2172:S2172)=0,"",MEDIAN(D2172:S2172))</f>
        <v/>
      </c>
      <c r="V2172" s="8">
        <f>IF(COUNT(D2172:S2172)=0,"",MAX(D2172:S2172))</f>
        <v/>
      </c>
      <c r="W2172" s="9">
        <f>IF(OR(T2172="",T2172=0),"",(V2172-T2172)/T2172)</f>
        <v/>
      </c>
      <c r="X2172" s="7">
        <f>IF(COUNT(D2172:S2172)=0,"",INDEX($D$1:$S$1,MATCH(MIN(D2172:S2172),D2172:S2172,0)))</f>
        <v/>
      </c>
      <c r="Y2172" s="8" t="n">
        <v>1379.31</v>
      </c>
      <c r="Z2172" s="10" t="n">
        <v>1</v>
      </c>
    </row>
    <row r="2173">
      <c r="A2173" s="7" t="inlineStr">
        <is>
          <t>MAT-34-016</t>
        </is>
      </c>
      <c r="B2173" s="4" t="inlineStr">
        <is>
          <t>Papel tapiz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>
        <v>310</v>
      </c>
      <c r="P2173" s="8" t="n"/>
      <c r="Q2173" s="8" t="n">
        <v>324.49</v>
      </c>
      <c r="R2173" s="8" t="n"/>
      <c r="S2173" s="8" t="n">
        <v>1393.29</v>
      </c>
      <c r="T2173" s="8">
        <f>IF(COUNT(D2173:S2173)=0,"",MIN(D2173:S2173))</f>
        <v/>
      </c>
      <c r="U2173" s="8">
        <f>IF(COUNT(D2173:S2173)=0,"",MEDIAN(D2173:S2173))</f>
        <v/>
      </c>
      <c r="V2173" s="8">
        <f>IF(COUNT(D2173:S2173)=0,"",MAX(D2173:S2173))</f>
        <v/>
      </c>
      <c r="W2173" s="9">
        <f>IF(OR(T2173="",T2173=0),"",(V2173-T2173)/T2173)</f>
        <v/>
      </c>
      <c r="X2173" s="7">
        <f>IF(COUNT(D2173:S2173)=0,"",INDEX($D$1:$S$1,MATCH(MIN(D2173:S2173),D2173:S2173,0)))</f>
        <v/>
      </c>
      <c r="Y2173" s="8" t="n">
        <v>1051.59</v>
      </c>
      <c r="Z2173" s="10" t="n">
        <v>3</v>
      </c>
    </row>
    <row r="2174">
      <c r="A2174" s="7" t="inlineStr">
        <is>
          <t>MAT-34-017</t>
        </is>
      </c>
      <c r="B2174" s="4" t="inlineStr">
        <is>
          <t>Revestimiento flexible de piedra, de interior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>
        <v>937.5</v>
      </c>
      <c r="P2174" s="8" t="n"/>
      <c r="Q2174" s="8" t="n"/>
      <c r="R2174" s="8" t="n"/>
      <c r="S2174" s="8" t="n"/>
      <c r="T2174" s="8">
        <f>IF(COUNT(D2174:S2174)=0,"",MIN(D2174:S2174))</f>
        <v/>
      </c>
      <c r="U2174" s="8">
        <f>IF(COUNT(D2174:S2174)=0,"",MEDIAN(D2174:S2174))</f>
        <v/>
      </c>
      <c r="V2174" s="8">
        <f>IF(COUNT(D2174:S2174)=0,"",MAX(D2174:S2174))</f>
        <v/>
      </c>
      <c r="W2174" s="9">
        <f>IF(OR(T2174="",T2174=0),"",(V2174-T2174)/T2174)</f>
        <v/>
      </c>
      <c r="X2174" s="7">
        <f>IF(COUNT(D2174:S2174)=0,"",INDEX($D$1:$S$1,MATCH(MIN(D2174:S2174),D2174:S2174,0)))</f>
        <v/>
      </c>
      <c r="Y2174" s="8" t="n">
        <v>2013.89</v>
      </c>
      <c r="Z2174" s="10" t="n">
        <v>1</v>
      </c>
    </row>
    <row r="2175">
      <c r="A2175" s="7" t="inlineStr">
        <is>
          <t>MAT-34-018</t>
        </is>
      </c>
      <c r="B2175" s="4" t="inlineStr">
        <is>
          <t>Mosaico decorativo de madera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>
        <v>4714.29</v>
      </c>
      <c r="P2175" s="8" t="n"/>
      <c r="Q2175" s="8" t="n"/>
      <c r="R2175" s="8" t="n"/>
      <c r="S2175" s="8" t="n"/>
      <c r="T2175" s="8">
        <f>IF(COUNT(D2175:S2175)=0,"",MIN(D2175:S2175))</f>
        <v/>
      </c>
      <c r="U2175" s="8">
        <f>IF(COUNT(D2175:S2175)=0,"",MEDIAN(D2175:S2175))</f>
        <v/>
      </c>
      <c r="V2175" s="8">
        <f>IF(COUNT(D2175:S2175)=0,"",MAX(D2175:S2175))</f>
        <v/>
      </c>
      <c r="W2175" s="9">
        <f>IF(OR(T2175="",T2175=0),"",(V2175-T2175)/T2175)</f>
        <v/>
      </c>
      <c r="X2175" s="7">
        <f>IF(COUNT(D2175:S2175)=0,"",INDEX($D$1:$S$1,MATCH(MIN(D2175:S2175),D2175:S2175,0)))</f>
        <v/>
      </c>
      <c r="Y2175" s="8" t="n">
        <v>9444.440000000001</v>
      </c>
      <c r="Z2175" s="10" t="n">
        <v>1</v>
      </c>
    </row>
    <row r="2176">
      <c r="A2176" s="7" t="inlineStr">
        <is>
          <t>MAT-34-019</t>
        </is>
      </c>
      <c r="B2176" s="4" t="inlineStr">
        <is>
          <t>Mosaico decorativo de mármol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>
        <v>4166.67</v>
      </c>
      <c r="P2176" s="8" t="n"/>
      <c r="Q2176" s="8" t="n"/>
      <c r="R2176" s="8" t="n"/>
      <c r="S2176" s="8" t="n"/>
      <c r="T2176" s="8">
        <f>IF(COUNT(D2176:S2176)=0,"",MIN(D2176:S2176))</f>
        <v/>
      </c>
      <c r="U2176" s="8">
        <f>IF(COUNT(D2176:S2176)=0,"",MEDIAN(D2176:S2176))</f>
        <v/>
      </c>
      <c r="V2176" s="8">
        <f>IF(COUNT(D2176:S2176)=0,"",MAX(D2176:S2176))</f>
        <v/>
      </c>
      <c r="W2176" s="9">
        <f>IF(OR(T2176="",T2176=0),"",(V2176-T2176)/T2176)</f>
        <v/>
      </c>
      <c r="X2176" s="7">
        <f>IF(COUNT(D2176:S2176)=0,"",INDEX($D$1:$S$1,MATCH(MIN(D2176:S2176),D2176:S2176,0)))</f>
        <v/>
      </c>
      <c r="Y2176" s="8" t="n">
        <v>10337.55</v>
      </c>
      <c r="Z2176" s="10" t="n">
        <v>1</v>
      </c>
    </row>
    <row r="2177">
      <c r="A2177" s="7" t="inlineStr">
        <is>
          <t>MAT-34-020</t>
        </is>
      </c>
      <c r="B2177" s="4" t="inlineStr">
        <is>
          <t>Mosaico decorativo de piedra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>
        <v>6111.11</v>
      </c>
      <c r="P2177" s="8" t="n"/>
      <c r="Q2177" s="8" t="n"/>
      <c r="R2177" s="8" t="n"/>
      <c r="S2177" s="8" t="n"/>
      <c r="T2177" s="8">
        <f>IF(COUNT(D2177:S2177)=0,"",MIN(D2177:S2177))</f>
        <v/>
      </c>
      <c r="U2177" s="8">
        <f>IF(COUNT(D2177:S2177)=0,"",MEDIAN(D2177:S2177))</f>
        <v/>
      </c>
      <c r="V2177" s="8">
        <f>IF(COUNT(D2177:S2177)=0,"",MAX(D2177:S2177))</f>
        <v/>
      </c>
      <c r="W2177" s="9">
        <f>IF(OR(T2177="",T2177=0),"",(V2177-T2177)/T2177)</f>
        <v/>
      </c>
      <c r="X2177" s="7">
        <f>IF(COUNT(D2177:S2177)=0,"",INDEX($D$1:$S$1,MATCH(MIN(D2177:S2177),D2177:S2177,0)))</f>
        <v/>
      </c>
      <c r="Y2177" s="8" t="n">
        <v>8489.209999999999</v>
      </c>
      <c r="Z2177" s="10" t="n">
        <v>1</v>
      </c>
    </row>
    <row r="2178">
      <c r="A2178" s="7" t="inlineStr">
        <is>
          <t>MAT-34-021</t>
        </is>
      </c>
      <c r="B2178" s="4" t="inlineStr">
        <is>
          <t>Pieza 3D de pared de cuero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>
        <v>3277.78</v>
      </c>
      <c r="P2178" s="8" t="n"/>
      <c r="Q2178" s="8" t="n"/>
      <c r="R2178" s="8" t="n"/>
      <c r="S2178" s="8" t="n"/>
      <c r="T2178" s="8">
        <f>IF(COUNT(D2178:S2178)=0,"",MIN(D2178:S2178))</f>
        <v/>
      </c>
      <c r="U2178" s="8">
        <f>IF(COUNT(D2178:S2178)=0,"",MEDIAN(D2178:S2178))</f>
        <v/>
      </c>
      <c r="V2178" s="8">
        <f>IF(COUNT(D2178:S2178)=0,"",MAX(D2178:S2178))</f>
        <v/>
      </c>
      <c r="W2178" s="9">
        <f>IF(OR(T2178="",T2178=0),"",(V2178-T2178)/T2178)</f>
        <v/>
      </c>
      <c r="X2178" s="7">
        <f>IF(COUNT(D2178:S2178)=0,"",INDEX($D$1:$S$1,MATCH(MIN(D2178:S2178),D2178:S2178,0)))</f>
        <v/>
      </c>
      <c r="Y2178" s="8" t="n">
        <v>4669.54</v>
      </c>
      <c r="Z2178" s="10" t="n">
        <v>1</v>
      </c>
    </row>
    <row r="2179">
      <c r="A2179" s="7" t="inlineStr">
        <is>
          <t>MAT-34-022</t>
        </is>
      </c>
      <c r="B2179" s="4" t="inlineStr">
        <is>
          <t>Malla decorativa de ratán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>
        <v>1247.69</v>
      </c>
      <c r="P2179" s="8" t="n"/>
      <c r="Q2179" s="8" t="n"/>
      <c r="R2179" s="8" t="n"/>
      <c r="S2179" s="8" t="n"/>
      <c r="T2179" s="8">
        <f>IF(COUNT(D2179:S2179)=0,"",MIN(D2179:S2179))</f>
        <v/>
      </c>
      <c r="U2179" s="8">
        <f>IF(COUNT(D2179:S2179)=0,"",MEDIAN(D2179:S2179))</f>
        <v/>
      </c>
      <c r="V2179" s="8">
        <f>IF(COUNT(D2179:S2179)=0,"",MAX(D2179:S2179))</f>
        <v/>
      </c>
      <c r="W2179" s="9">
        <f>IF(OR(T2179="",T2179=0),"",(V2179-T2179)/T2179)</f>
        <v/>
      </c>
      <c r="X2179" s="7">
        <f>IF(COUNT(D2179:S2179)=0,"",INDEX($D$1:$S$1,MATCH(MIN(D2179:S2179),D2179:S2179,0)))</f>
        <v/>
      </c>
      <c r="Y2179" s="8" t="n">
        <v>1247.69</v>
      </c>
      <c r="Z2179" s="10" t="n">
        <v>1</v>
      </c>
    </row>
    <row r="2180">
      <c r="A2180" s="7" t="inlineStr">
        <is>
          <t>MAT-34-023</t>
        </is>
      </c>
      <c r="B2180" s="4" t="inlineStr">
        <is>
          <t>Tirador para mueble</t>
        </is>
      </c>
      <c r="C2180" s="7" t="inlineStr">
        <is>
          <t>unidad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>
        <v>350</v>
      </c>
      <c r="P2180" s="8" t="n"/>
      <c r="Q2180" s="8" t="n"/>
      <c r="R2180" s="8" t="n"/>
      <c r="S2180" s="8" t="n"/>
      <c r="T2180" s="8">
        <f>IF(COUNT(D2180:S2180)=0,"",MIN(D2180:S2180))</f>
        <v/>
      </c>
      <c r="U2180" s="8">
        <f>IF(COUNT(D2180:S2180)=0,"",MEDIAN(D2180:S2180))</f>
        <v/>
      </c>
      <c r="V2180" s="8">
        <f>IF(COUNT(D2180:S2180)=0,"",MAX(D2180:S2180))</f>
        <v/>
      </c>
      <c r="W2180" s="9">
        <f>IF(OR(T2180="",T2180=0),"",(V2180-T2180)/T2180)</f>
        <v/>
      </c>
      <c r="X2180" s="7">
        <f>IF(COUNT(D2180:S2180)=0,"",INDEX($D$1:$S$1,MATCH(MIN(D2180:S2180),D2180:S2180,0)))</f>
        <v/>
      </c>
      <c r="Y2180" s="8" t="n">
        <v>350</v>
      </c>
      <c r="Z2180" s="10" t="n">
        <v>1</v>
      </c>
    </row>
    <row r="2182">
      <c r="A2182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3"/>
  </sheetData>
  <autoFilter ref="A2:Z2180"/>
  <mergeCells count="2">
    <mergeCell ref="A1:Z1"/>
    <mergeCell ref="A2182:Z218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2026-09-11T01:47:18Z</dcterms:created>
  <dcterms:modified xsi:type="dcterms:W3CDTF">2026-09-11T01:47:19Z</dcterms:modified>
</cp:coreProperties>
</file>